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6" i="1"/>
  <c r="B24" i="1"/>
  <c r="B25" i="1"/>
  <c r="E3" i="20" l="1"/>
  <c r="E22" i="20" s="1"/>
  <c r="S242" i="3"/>
  <c r="W14" i="18"/>
  <c r="C18" i="20"/>
  <c r="C242" i="3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3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R242" i="3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I213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P14" i="18"/>
  <c r="J14" i="20"/>
  <c r="O3" i="20"/>
  <c r="O23" i="20" s="1"/>
  <c r="O3" i="18"/>
  <c r="O18" i="18" s="1"/>
  <c r="N3" i="20"/>
  <c r="Q14" i="20"/>
  <c r="Q3" i="20"/>
  <c r="Q22" i="20" s="1"/>
  <c r="C19" i="20"/>
  <c r="E14" i="18"/>
  <c r="M14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R22" i="18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U15" i="18"/>
  <c r="Q24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R3" i="20"/>
  <c r="P10" i="20" l="1"/>
  <c r="S22" i="18"/>
  <c r="S23" i="18"/>
  <c r="K23" i="18"/>
  <c r="P24" i="19"/>
  <c r="Q10" i="20"/>
  <c r="L10" i="20"/>
  <c r="G24" i="19"/>
  <c r="T22" i="18"/>
  <c r="E23" i="18"/>
  <c r="L23" i="18"/>
  <c r="R212" i="3"/>
  <c r="T23" i="18"/>
  <c r="L21" i="20"/>
  <c r="S10" i="20"/>
  <c r="U19" i="18"/>
  <c r="L20" i="19"/>
  <c r="D22" i="20"/>
  <c r="H20" i="19"/>
  <c r="H11" i="20"/>
  <c r="H25" i="19"/>
  <c r="G25" i="19"/>
  <c r="Q21" i="19"/>
  <c r="E17" i="20"/>
  <c r="E13" i="18"/>
  <c r="J21" i="19"/>
  <c r="M23" i="20"/>
  <c r="W17" i="20"/>
  <c r="Q25" i="19"/>
  <c r="E21" i="20"/>
  <c r="U29" i="3"/>
  <c r="U121" i="3" s="1"/>
  <c r="E23" i="20"/>
  <c r="E22" i="18"/>
  <c r="I21" i="18"/>
  <c r="J11" i="20"/>
  <c r="U24" i="19"/>
  <c r="W23" i="20"/>
  <c r="M24" i="19"/>
  <c r="N13" i="20"/>
  <c r="R23" i="18"/>
  <c r="E18" i="18"/>
  <c r="E19" i="18"/>
  <c r="E17" i="18"/>
  <c r="N23" i="18"/>
  <c r="W10" i="20"/>
  <c r="W24" i="19"/>
  <c r="N22" i="18"/>
  <c r="W3" i="19"/>
  <c r="W28" i="19" s="1"/>
  <c r="F22" i="20"/>
  <c r="G23" i="20"/>
  <c r="R21" i="19"/>
  <c r="N10" i="20"/>
  <c r="N20" i="19"/>
  <c r="N24" i="19"/>
  <c r="F20" i="19"/>
  <c r="K20" i="19"/>
  <c r="M22" i="18"/>
  <c r="U18" i="18"/>
  <c r="N29" i="3"/>
  <c r="N241" i="3" s="1"/>
  <c r="F19" i="18"/>
  <c r="M23" i="18"/>
  <c r="R25" i="19"/>
  <c r="M22" i="20"/>
  <c r="O21" i="19"/>
  <c r="Q11" i="20"/>
  <c r="T24" i="19"/>
  <c r="F24" i="19"/>
  <c r="E13" i="20"/>
  <c r="O11" i="20"/>
  <c r="T20" i="19"/>
  <c r="F89" i="3"/>
  <c r="F18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8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N123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E23" i="19"/>
  <c r="J17" i="18"/>
  <c r="J13" i="18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W23" i="19"/>
  <c r="W19" i="19"/>
  <c r="W27" i="19"/>
  <c r="F21" i="19"/>
  <c r="F11" i="20"/>
  <c r="F25" i="19"/>
  <c r="W23" i="18"/>
  <c r="K21" i="20"/>
  <c r="K17" i="20"/>
  <c r="K13" i="20"/>
  <c r="T25" i="19"/>
  <c r="T21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M19" i="19" l="1"/>
  <c r="U123" i="3"/>
  <c r="Q121" i="3"/>
  <c r="U122" i="3"/>
  <c r="Q23" i="19"/>
  <c r="M23" i="19"/>
  <c r="M9" i="20"/>
  <c r="M27" i="19"/>
  <c r="G28" i="19"/>
  <c r="M29" i="19"/>
  <c r="W29" i="19"/>
  <c r="E28" i="19"/>
  <c r="N29" i="19"/>
  <c r="F152" i="3"/>
  <c r="F153" i="3"/>
  <c r="N19" i="19"/>
  <c r="K183" i="3"/>
  <c r="U182" i="3"/>
  <c r="F183" i="3"/>
  <c r="M182" i="3"/>
  <c r="P27" i="19"/>
  <c r="P9" i="20"/>
  <c r="G27" i="19"/>
  <c r="E27" i="19"/>
  <c r="N121" i="3"/>
  <c r="N122" i="3"/>
  <c r="Q122" i="3"/>
  <c r="Q123" i="3"/>
  <c r="L121" i="3"/>
  <c r="D123" i="3"/>
  <c r="N9" i="20"/>
  <c r="T123" i="3"/>
  <c r="P121" i="3"/>
  <c r="P122" i="3"/>
  <c r="F182" i="3"/>
  <c r="N27" i="19"/>
  <c r="F241" i="3"/>
  <c r="T241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T10" i="5"/>
  <c r="S10" i="5"/>
  <c r="Q10" i="5"/>
  <c r="P10" i="5"/>
  <c r="N10" i="5"/>
  <c r="M10" i="5"/>
  <c r="L10" i="5"/>
  <c r="K10" i="5"/>
  <c r="I10" i="5"/>
  <c r="H10" i="5"/>
  <c r="F10" i="5"/>
  <c r="E10" i="5"/>
  <c r="D10" i="5"/>
  <c r="C10" i="5"/>
  <c r="B10" i="5" l="1"/>
  <c r="J10" i="5"/>
  <c r="R10" i="5"/>
  <c r="G10" i="5"/>
  <c r="O10" i="5"/>
  <c r="W10" i="5"/>
  <c r="Q15" i="17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217" i="4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20" i="3"/>
  <c r="W163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84" i="4" l="1"/>
  <c r="W10" i="9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H75" i="7" l="1"/>
  <c r="Q75" i="7"/>
  <c r="N84" i="4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I59" i="7" s="1"/>
  <c r="R59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109" i="5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31" i="4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84" i="4" s="1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92" i="6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24" i="5" s="1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18" i="4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D212" i="4" s="1"/>
  <c r="M21" i="4"/>
  <c r="Q22" i="4"/>
  <c r="Q106" i="5" s="1"/>
  <c r="D23" i="4"/>
  <c r="D214" i="4" s="1"/>
  <c r="M23" i="4"/>
  <c r="M214" i="4" s="1"/>
  <c r="Q24" i="4"/>
  <c r="Q215" i="4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M71" i="6" s="1"/>
  <c r="M213" i="7" s="1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77" i="6" s="1"/>
  <c r="J219" i="7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0" i="4"/>
  <c r="I268" i="4"/>
  <c r="V257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251" i="4"/>
  <c r="P170" i="4"/>
  <c r="P57" i="6"/>
  <c r="P199" i="7" s="1"/>
  <c r="F177" i="4"/>
  <c r="F258" i="4"/>
  <c r="R177" i="4"/>
  <c r="R258" i="4"/>
  <c r="R70" i="5"/>
  <c r="O46" i="4"/>
  <c r="O265" i="4" s="1"/>
  <c r="O71" i="6"/>
  <c r="O77" i="5"/>
  <c r="P190" i="4"/>
  <c r="P83" i="5"/>
  <c r="P138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G46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K70" i="5"/>
  <c r="K125" i="7" s="1"/>
  <c r="H184" i="4"/>
  <c r="H77" i="5"/>
  <c r="H132" i="7" s="1"/>
  <c r="R184" i="4"/>
  <c r="R77" i="5"/>
  <c r="R132" i="7" s="1"/>
  <c r="G77" i="6"/>
  <c r="G83" i="5"/>
  <c r="G271" i="4"/>
  <c r="V190" i="4"/>
  <c r="V77" i="6"/>
  <c r="V219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57" i="6"/>
  <c r="V63" i="5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C111" i="5"/>
  <c r="S26" i="4"/>
  <c r="O219" i="4"/>
  <c r="O106" i="6"/>
  <c r="O112" i="5"/>
  <c r="F58" i="4"/>
  <c r="F13" i="7"/>
  <c r="V73" i="4"/>
  <c r="V19" i="7" s="1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64" i="6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U250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M184" i="4"/>
  <c r="M77" i="5"/>
  <c r="M132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U73" i="4"/>
  <c r="S47" i="7"/>
  <c r="I199" i="4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O77" i="6"/>
  <c r="O271" i="4"/>
  <c r="O83" i="5"/>
  <c r="I58" i="4"/>
  <c r="I4" i="7" s="1"/>
  <c r="I13" i="7"/>
  <c r="R58" i="4"/>
  <c r="R13" i="7"/>
  <c r="R73" i="4"/>
  <c r="R19" i="7" s="1"/>
  <c r="R20" i="7"/>
  <c r="G112" i="4"/>
  <c r="M47" i="7"/>
  <c r="E252" i="4"/>
  <c r="R253" i="4"/>
  <c r="O109" i="5"/>
  <c r="V83" i="6"/>
  <c r="M216" i="4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J127" i="4" l="1"/>
  <c r="J46" i="7" s="1"/>
  <c r="Q106" i="6"/>
  <c r="O47" i="6"/>
  <c r="Q219" i="4"/>
  <c r="J18" i="6"/>
  <c r="U213" i="7"/>
  <c r="B63" i="5"/>
  <c r="C206" i="7"/>
  <c r="H103" i="6"/>
  <c r="Q98" i="5"/>
  <c r="C177" i="4"/>
  <c r="H216" i="4"/>
  <c r="I272" i="4"/>
  <c r="C118" i="6"/>
  <c r="J47" i="7"/>
  <c r="P70" i="5"/>
  <c r="G132" i="7"/>
  <c r="T125" i="6"/>
  <c r="P64" i="6"/>
  <c r="P206" i="7" s="1"/>
  <c r="B98" i="5"/>
  <c r="M26" i="7"/>
  <c r="B92" i="6"/>
  <c r="T206" i="7"/>
  <c r="I266" i="4"/>
  <c r="T118" i="6"/>
  <c r="N112" i="4"/>
  <c r="N31" i="7" s="1"/>
  <c r="T177" i="4"/>
  <c r="Q108" i="5"/>
  <c r="I88" i="6"/>
  <c r="T18" i="5"/>
  <c r="Q102" i="6"/>
  <c r="T184" i="4"/>
  <c r="J251" i="4"/>
  <c r="J254" i="4"/>
  <c r="G184" i="4"/>
  <c r="J213" i="7"/>
  <c r="T73" i="4"/>
  <c r="O206" i="7"/>
  <c r="O125" i="7"/>
  <c r="N18" i="5"/>
  <c r="N61" i="5" s="1"/>
  <c r="U263" i="4"/>
  <c r="E209" i="4"/>
  <c r="R127" i="4"/>
  <c r="R46" i="7" s="1"/>
  <c r="R266" i="4"/>
  <c r="I138" i="7"/>
  <c r="M58" i="4"/>
  <c r="M4" i="7" s="1"/>
  <c r="R268" i="4"/>
  <c r="S101" i="5"/>
  <c r="U63" i="5"/>
  <c r="U118" i="7" s="1"/>
  <c r="S112" i="4"/>
  <c r="R270" i="4"/>
  <c r="S95" i="6"/>
  <c r="H199" i="7"/>
  <c r="N250" i="4"/>
  <c r="S111" i="5"/>
  <c r="O132" i="7"/>
  <c r="V252" i="4"/>
  <c r="H118" i="7"/>
  <c r="U125" i="7"/>
  <c r="H58" i="4"/>
  <c r="S105" i="6"/>
  <c r="O213" i="7"/>
  <c r="V250" i="4"/>
  <c r="O125" i="6"/>
  <c r="M199" i="7"/>
  <c r="C58" i="4"/>
  <c r="C4" i="7" s="1"/>
  <c r="U256" i="4"/>
  <c r="O20" i="7"/>
  <c r="V251" i="4"/>
  <c r="U170" i="4"/>
  <c r="V262" i="4"/>
  <c r="U59" i="7"/>
  <c r="T213" i="7"/>
  <c r="M13" i="4"/>
  <c r="K184" i="4"/>
  <c r="B57" i="6"/>
  <c r="B199" i="7" s="1"/>
  <c r="P71" i="6"/>
  <c r="P213" i="7" s="1"/>
  <c r="O6" i="4"/>
  <c r="S42" i="5"/>
  <c r="W231" i="4"/>
  <c r="Q91" i="5"/>
  <c r="M196" i="4"/>
  <c r="U20" i="4"/>
  <c r="U157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O20" i="4"/>
  <c r="O98" i="6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B17" i="5" s="1"/>
  <c r="B144" i="5" s="1"/>
  <c r="T46" i="4"/>
  <c r="T76" i="5" s="1"/>
  <c r="S216" i="4"/>
  <c r="G190" i="4"/>
  <c r="Q57" i="6"/>
  <c r="Q199" i="7" s="1"/>
  <c r="N200" i="4"/>
  <c r="V206" i="7"/>
  <c r="G137" i="5"/>
  <c r="V6" i="4"/>
  <c r="U6" i="4"/>
  <c r="U143" i="4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97" i="5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V111" i="6"/>
  <c r="C137" i="5"/>
  <c r="E131" i="5"/>
  <c r="E42" i="5"/>
  <c r="E76" i="5" s="1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97" i="5"/>
  <c r="B84" i="6"/>
  <c r="B90" i="5"/>
  <c r="M204" i="4"/>
  <c r="M91" i="6"/>
  <c r="M97" i="5"/>
  <c r="U98" i="6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4" i="7"/>
  <c r="G209" i="4"/>
  <c r="G96" i="6"/>
  <c r="G102" i="5"/>
  <c r="N91" i="6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30" i="4"/>
  <c r="E70" i="6"/>
  <c r="E273" i="4"/>
  <c r="E269" i="4"/>
  <c r="E267" i="4"/>
  <c r="E272" i="4"/>
  <c r="E270" i="4"/>
  <c r="E268" i="4"/>
  <c r="E266" i="4"/>
  <c r="E264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97" i="4"/>
  <c r="K143" i="4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S231" i="4"/>
  <c r="G199" i="4"/>
  <c r="G86" i="6"/>
  <c r="G92" i="5"/>
  <c r="Q143" i="4"/>
  <c r="Q197" i="4"/>
  <c r="Q84" i="6"/>
  <c r="Q90" i="5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183" i="4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269" i="4"/>
  <c r="T272" i="4"/>
  <c r="T266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4" i="4"/>
  <c r="B231" i="4" s="1"/>
  <c r="B143" i="4"/>
  <c r="P13" i="4"/>
  <c r="M150" i="4"/>
  <c r="V19" i="4"/>
  <c r="V157" i="4"/>
  <c r="H13" i="4"/>
  <c r="U19" i="4"/>
  <c r="U244" i="4" s="1"/>
  <c r="N19" i="4"/>
  <c r="N244" i="4" s="1"/>
  <c r="N157" i="4"/>
  <c r="V4" i="4"/>
  <c r="V231" i="4" s="1"/>
  <c r="Q4" i="4"/>
  <c r="T6" i="4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H57" i="4" l="1"/>
  <c r="H3" i="7" s="1"/>
  <c r="U90" i="5"/>
  <c r="S156" i="4"/>
  <c r="N204" i="4"/>
  <c r="N17" i="5"/>
  <c r="O157" i="4"/>
  <c r="T268" i="4"/>
  <c r="O19" i="4"/>
  <c r="O239" i="4" s="1"/>
  <c r="U4" i="4"/>
  <c r="U230" i="4" s="1"/>
  <c r="T270" i="4"/>
  <c r="U84" i="6"/>
  <c r="N150" i="4"/>
  <c r="U104" i="5"/>
  <c r="N183" i="4"/>
  <c r="K104" i="6"/>
  <c r="T271" i="4"/>
  <c r="U211" i="4"/>
  <c r="N57" i="4"/>
  <c r="K217" i="4"/>
  <c r="K90" i="5"/>
  <c r="T267" i="4"/>
  <c r="H157" i="4"/>
  <c r="Q211" i="4"/>
  <c r="T273" i="4"/>
  <c r="S244" i="4"/>
  <c r="O104" i="5"/>
  <c r="K84" i="6"/>
  <c r="J183" i="4"/>
  <c r="K4" i="4"/>
  <c r="K223" i="4" s="1"/>
  <c r="T264" i="4"/>
  <c r="J57" i="4"/>
  <c r="J3" i="7" s="1"/>
  <c r="D91" i="6"/>
  <c r="R17" i="6"/>
  <c r="R136" i="6" s="1"/>
  <c r="I90" i="5"/>
  <c r="D204" i="4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B210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4" i="5"/>
  <c r="S147" i="5"/>
  <c r="S145" i="5"/>
  <c r="S142" i="5"/>
  <c r="S149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53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1" i="6"/>
  <c r="H149" i="6"/>
  <c r="H146" i="6"/>
  <c r="H145" i="6"/>
  <c r="H154" i="6"/>
  <c r="H159" i="6"/>
  <c r="H156" i="6"/>
  <c r="H147" i="6"/>
  <c r="H142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60" i="6"/>
  <c r="R156" i="6"/>
  <c r="R148" i="6"/>
  <c r="R149" i="6"/>
  <c r="R142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103" i="5"/>
  <c r="B237" i="4"/>
  <c r="B245" i="4"/>
  <c r="B239" i="4"/>
  <c r="B243" i="4"/>
  <c r="B241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237" i="4"/>
  <c r="O245" i="4"/>
  <c r="O242" i="4"/>
  <c r="G97" i="6"/>
  <c r="G237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233" i="4"/>
  <c r="U228" i="4"/>
  <c r="U235" i="4"/>
  <c r="U234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S30" i="4"/>
  <c r="C183" i="4"/>
  <c r="C70" i="6"/>
  <c r="C76" i="5"/>
  <c r="C273" i="4"/>
  <c r="C269" i="4"/>
  <c r="C267" i="4"/>
  <c r="C272" i="4"/>
  <c r="C270" i="4"/>
  <c r="C268" i="4"/>
  <c r="C266" i="4"/>
  <c r="C264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G54" i="6"/>
  <c r="G245" i="4"/>
  <c r="V244" i="4"/>
  <c r="B240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J142" i="5" l="1"/>
  <c r="J141" i="5"/>
  <c r="J144" i="5"/>
  <c r="B97" i="6"/>
  <c r="J159" i="5"/>
  <c r="B246" i="4"/>
  <c r="J146" i="5"/>
  <c r="R155" i="6"/>
  <c r="O244" i="4"/>
  <c r="K245" i="4"/>
  <c r="M156" i="4"/>
  <c r="U227" i="4"/>
  <c r="U88" i="5"/>
  <c r="O103" i="5"/>
  <c r="R137" i="6"/>
  <c r="R141" i="6"/>
  <c r="U222" i="4"/>
  <c r="G224" i="4"/>
  <c r="U236" i="4"/>
  <c r="U82" i="6"/>
  <c r="G222" i="4"/>
  <c r="O240" i="4"/>
  <c r="O97" i="6"/>
  <c r="R154" i="6"/>
  <c r="R151" i="6"/>
  <c r="R152" i="6"/>
  <c r="U232" i="4"/>
  <c r="R135" i="6"/>
  <c r="Q167" i="4"/>
  <c r="U225" i="4"/>
  <c r="U195" i="4"/>
  <c r="G88" i="5"/>
  <c r="O243" i="4"/>
  <c r="O210" i="4"/>
  <c r="R153" i="6"/>
  <c r="R145" i="6"/>
  <c r="U231" i="4"/>
  <c r="U229" i="4"/>
  <c r="U141" i="4"/>
  <c r="O246" i="4"/>
  <c r="O156" i="4"/>
  <c r="R159" i="6"/>
  <c r="R139" i="6"/>
  <c r="R158" i="6"/>
  <c r="M239" i="4"/>
  <c r="U226" i="4"/>
  <c r="O241" i="4"/>
  <c r="R140" i="6"/>
  <c r="R146" i="6"/>
  <c r="R147" i="6"/>
  <c r="U224" i="4"/>
  <c r="U223" i="4"/>
  <c r="R143" i="6"/>
  <c r="H139" i="6"/>
  <c r="H135" i="6"/>
  <c r="H140" i="6"/>
  <c r="H137" i="6"/>
  <c r="H152" i="6"/>
  <c r="H160" i="6"/>
  <c r="H148" i="6"/>
  <c r="S160" i="5"/>
  <c r="S141" i="5"/>
  <c r="S151" i="5"/>
  <c r="S163" i="5"/>
  <c r="G103" i="5"/>
  <c r="S143" i="5"/>
  <c r="S153" i="5"/>
  <c r="S162" i="5"/>
  <c r="G242" i="4"/>
  <c r="G246" i="4"/>
  <c r="G156" i="4"/>
  <c r="S159" i="5"/>
  <c r="S158" i="5"/>
  <c r="S166" i="5"/>
  <c r="S156" i="5"/>
  <c r="G238" i="4"/>
  <c r="P103" i="5"/>
  <c r="G239" i="4"/>
  <c r="U60" i="5"/>
  <c r="S150" i="5"/>
  <c r="S164" i="5"/>
  <c r="S152" i="5"/>
  <c r="G210" i="4"/>
  <c r="P246" i="4"/>
  <c r="G243" i="4"/>
  <c r="G228" i="4"/>
  <c r="U54" i="6"/>
  <c r="S144" i="5"/>
  <c r="S161" i="5"/>
  <c r="S148" i="5"/>
  <c r="M242" i="4"/>
  <c r="G244" i="4"/>
  <c r="Q238" i="4"/>
  <c r="G241" i="4"/>
  <c r="V147" i="5"/>
  <c r="S157" i="5"/>
  <c r="S165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N80" i="8"/>
  <c r="R79" i="8"/>
  <c r="K79" i="8"/>
  <c r="V77" i="8"/>
  <c r="S77" i="8"/>
  <c r="O77" i="8"/>
  <c r="N77" i="8"/>
  <c r="S76" i="8"/>
  <c r="R76" i="8"/>
  <c r="P76" i="8"/>
  <c r="V75" i="8"/>
  <c r="N75" i="8"/>
  <c r="L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N218" i="3" s="1"/>
  <c r="M6" i="3"/>
  <c r="L6" i="3"/>
  <c r="K6" i="3"/>
  <c r="J6" i="3"/>
  <c r="I6" i="3"/>
  <c r="H6" i="3"/>
  <c r="G6" i="3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7" i="1"/>
  <c r="B8" i="1"/>
  <c r="B20" i="1"/>
  <c r="B9" i="1"/>
  <c r="B4" i="1"/>
  <c r="B22" i="1"/>
  <c r="B6" i="1"/>
  <c r="B16" i="1"/>
  <c r="B7" i="1"/>
  <c r="B11" i="1"/>
  <c r="B18" i="1"/>
  <c r="B21" i="1"/>
  <c r="B12" i="1"/>
  <c r="B13" i="1"/>
  <c r="B15" i="1"/>
  <c r="O222" i="3" l="1"/>
  <c r="G218" i="3"/>
  <c r="O218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E219" i="3" s="1"/>
  <c r="M67" i="3"/>
  <c r="M219" i="3" s="1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I220" i="3" s="1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K189" i="3" s="1"/>
  <c r="C38" i="3"/>
  <c r="K38" i="3"/>
  <c r="C49" i="3"/>
  <c r="K49" i="3"/>
  <c r="C50" i="3"/>
  <c r="K50" i="3"/>
  <c r="G35" i="3"/>
  <c r="O35" i="3"/>
  <c r="G50" i="3"/>
  <c r="G202" i="3" s="1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F187" i="3" l="1"/>
  <c r="H193" i="3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D221" i="3" s="1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H221" i="3" l="1"/>
  <c r="N221" i="3"/>
  <c r="K221" i="3"/>
  <c r="E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 s="1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3" i="3"/>
  <c r="I140" i="3"/>
  <c r="I150" i="3"/>
  <c r="I149" i="3"/>
  <c r="I148" i="3"/>
  <c r="I146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2" i="3" l="1"/>
  <c r="I144" i="3"/>
  <c r="I141" i="3"/>
  <c r="I145" i="3"/>
  <c r="I13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44" i="3" l="1"/>
  <c r="B225" i="3"/>
  <c r="B53" i="12"/>
  <c r="B17" i="12"/>
  <c r="B67" i="12" s="1"/>
  <c r="S47" i="3"/>
  <c r="S147" i="3" s="1"/>
  <c r="R139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42" i="3"/>
  <c r="S150" i="3"/>
  <c r="S149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40" i="3" l="1"/>
  <c r="S143" i="3"/>
  <c r="S144" i="3"/>
  <c r="S141" i="3"/>
  <c r="S146" i="3"/>
  <c r="S145" i="3"/>
  <c r="S139" i="3"/>
  <c r="S148" i="3"/>
  <c r="S199" i="3"/>
  <c r="S128" i="3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<sst xmlns="http://schemas.openxmlformats.org/spreadsheetml/2006/main" count="2655" uniqueCount="1167">
  <si>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</si>
  <si>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</si>
  <si>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</si>
  <si>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</si>
  <si>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</si>
  <si>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</si>
  <si>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</si>
  <si>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</si>
  <si>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</si>
  <si>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</si>
  <si>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</si>
  <si>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</si>
  <si>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</si>
  <si>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</si>
  <si>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</si>
  <si>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</si>
  <si>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</si>
  <si>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</si>
  <si>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</si>
  <si>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</si>
  <si>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</si>
  <si>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</si>
  <si>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</si>
  <si>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</si>
  <si>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</si>
  <si>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</si>
  <si>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</si>
  <si>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</si>
  <si>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</si>
  <si>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</si>
  <si>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</si>
  <si>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</si>
  <si>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</si>
  <si>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</si>
  <si>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</si>
  <si>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</si>
  <si>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</si>
  <si>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</si>
  <si>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</si>
  <si>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</si>
  <si>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</si>
  <si>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</si>
  <si>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</si>
  <si>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</si>
  <si>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</si>
  <si>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</si>
  <si>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</si>
  <si>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</si>
  <si>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</si>
  <si>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</si>
  <si>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</si>
  <si>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</si>
  <si>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</si>
  <si>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</si>
  <si>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</si>
  <si>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</si>
  <si>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</si>
  <si>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</si>
  <si>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</si>
  <si>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</si>
  <si>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</si>
  <si>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</si>
  <si>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</si>
  <si>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</si>
  <si>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</si>
  <si>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</si>
  <si>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</si>
  <si>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</si>
  <si>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</si>
  <si>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</si>
  <si>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</si>
  <si>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</si>
  <si>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</si>
  <si>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</si>
  <si>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</si>
  <si>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</si>
  <si>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</si>
  <si>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</si>
  <si>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</si>
  <si>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</si>
  <si>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</si>
  <si>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</si>
  <si>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</si>
  <si>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</si>
  <si>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</si>
  <si>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</si>
  <si>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</si>
  <si>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</si>
  <si>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</si>
  <si>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</si>
  <si>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</si>
  <si>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</si>
  <si>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</si>
  <si>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</si>
  <si>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</si>
  <si>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</si>
  <si>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</si>
  <si>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</si>
  <si>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</si>
  <si>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</si>
  <si>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</si>
  <si>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</si>
  <si>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</si>
  <si>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</si>
  <si>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</si>
  <si>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</si>
  <si>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</si>
  <si>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</si>
  <si>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</si>
  <si>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</si>
  <si>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</si>
  <si>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</si>
  <si>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</si>
  <si>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</si>
  <si>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</si>
  <si>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</si>
  <si>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</si>
  <si>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</si>
  <si>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</si>
  <si>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</si>
  <si>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</si>
  <si>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</si>
  <si>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</si>
  <si>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</si>
  <si>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</si>
  <si>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</si>
  <si>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</si>
  <si>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</si>
  <si>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</si>
  <si>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</si>
  <si>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</si>
  <si>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</si>
  <si>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</si>
  <si>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</si>
  <si>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</si>
  <si>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</si>
  <si>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</si>
  <si>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</si>
  <si>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</si>
  <si>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</si>
  <si>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</si>
  <si>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</si>
  <si>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</si>
  <si>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</si>
  <si>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</si>
  <si>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</si>
  <si>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</si>
  <si>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</si>
  <si>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</si>
  <si>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</si>
  <si>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</si>
  <si>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</si>
  <si>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</si>
  <si>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</si>
  <si>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</si>
  <si>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</si>
  <si>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</si>
  <si>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</si>
  <si>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</si>
  <si>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</si>
  <si>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</si>
  <si>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</si>
  <si>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</si>
  <si>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</si>
  <si>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</si>
  <si>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</si>
  <si>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</si>
  <si>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</si>
  <si>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</si>
  <si>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</si>
  <si>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</si>
  <si>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</si>
  <si>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</si>
  <si>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</si>
  <si>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</si>
  <si>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</si>
  <si>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</si>
  <si>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</si>
  <si>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</si>
  <si>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</si>
  <si>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</si>
  <si>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</si>
  <si>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</si>
  <si>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</si>
  <si>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</si>
  <si>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</si>
  <si>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IE</t>
  </si>
  <si>
    <t>Ireland</t>
  </si>
  <si>
    <t>Aviation - IE - Ireland</t>
  </si>
  <si>
    <t>Activity.Mpkm.IE.Tr.Avia.Passenger</t>
  </si>
  <si>
    <t>Activity.Mpkm.IE.Tr.Avia.Passenger.Domestic</t>
  </si>
  <si>
    <t>Activity.Mpkm.IE.Tr.Avia.Passenger.IntraEEAwUK</t>
  </si>
  <si>
    <t>Activity.Mpkm.IE.Tr.Avia.Passenger.ExtraEEAwUK</t>
  </si>
  <si>
    <t>Activity.Mtkm.IE.Tr.Avia.Freight</t>
  </si>
  <si>
    <t>Activity.Mtkm.IE.Tr.Avia.Freight.Domestic</t>
  </si>
  <si>
    <t>Activity.Mtkm.IE.Tr.Avia.Freight.IntraEEAwUK</t>
  </si>
  <si>
    <t>Activity.Mtkm.IE.Tr.Avia.Freight.ExtraEEAwUK</t>
  </si>
  <si>
    <t>VehicleKm.Mkm.IE.Tr.Avia</t>
  </si>
  <si>
    <t>VehicleKm.Mkm.IE.Tr.Avia.Passenger</t>
  </si>
  <si>
    <t>VehicleKm.Mkm.IE.Tr.Avia.Passenger.Domestic</t>
  </si>
  <si>
    <t>VehicleKm.Mkm.IE.Tr.Avia.Passenger.IntraEEAwUK</t>
  </si>
  <si>
    <t>VehicleKm.Mkm.IE.Tr.Avia.Passenger.ExtraEEAwUK</t>
  </si>
  <si>
    <t>VehicleKm.Mkm.IE.Tr.Avia.Freight</t>
  </si>
  <si>
    <t>VehicleKm.Mkm.IE.Tr.Avia.Freight.Domestic</t>
  </si>
  <si>
    <t>VehicleKm.Mkm.IE.Tr.Avia.Freight.IntraEEAwUK</t>
  </si>
  <si>
    <t>VehicleKm.Mkm.IE.Tr.Avia.Freight.ExtraEEAwUK</t>
  </si>
  <si>
    <t>Flights.number.IE.Tr.Avia</t>
  </si>
  <si>
    <t>Flights.number.IE.Tr.Avia.Passenger</t>
  </si>
  <si>
    <t>Flights.number.IE.Tr.Avia.Passenger.Domestic</t>
  </si>
  <si>
    <t>Flights.number.IE.Tr.Avia.Passenger.IntraEEAwUK</t>
  </si>
  <si>
    <t>Flights.number.IE.Tr.Avia.Passenger.ExtraEEAwUK</t>
  </si>
  <si>
    <t>Flights.number.IE.Tr.Avia.Freight</t>
  </si>
  <si>
    <t>Flights.number.IE.Tr.Avia.Freight.Domestic</t>
  </si>
  <si>
    <t>Flights.number.IE.Tr.Avia.Freight.IntraEEAwUK</t>
  </si>
  <si>
    <t>Flights.number.IE.Tr.Avia.Freight.ExtraEEAwUK</t>
  </si>
  <si>
    <t>VolCarried.passenger.IE.Tr.Avia.Passenger</t>
  </si>
  <si>
    <t>VolCarried.passenger.IE.Tr.Avia.Passenger.Domestic</t>
  </si>
  <si>
    <t>VolCarried.passenger.IE.Tr.Avia.Passenger.IntraEEAwUK</t>
  </si>
  <si>
    <t>VolCarried.passenger.IE.Tr.Avia.Passenger.ExtraEEAwUK</t>
  </si>
  <si>
    <t>VolCarried.t.IE.Tr.Avia.Freight</t>
  </si>
  <si>
    <t>VolCarried.t.IE.Tr.Avia.Freight.Domestic</t>
  </si>
  <si>
    <t>VolCarried.t.IE.Tr.Avia.Freight.IntraEEAwUK</t>
  </si>
  <si>
    <t>VolCarried.t.IE.Tr.Avia.Freight.ExtraEEAwUK</t>
  </si>
  <si>
    <t>Stock.number.IE.Tr.Avia</t>
  </si>
  <si>
    <t>Stock.number.IE.Tr.Avia.Passenger</t>
  </si>
  <si>
    <t>Stock.number.IE.Tr.Avia.Passenger.Domestic</t>
  </si>
  <si>
    <t>Stock.number.IE.Tr.Avia.Passenger.IntraEEAwUK</t>
  </si>
  <si>
    <t>Stock.number.IE.Tr.Avia.Passenger.ExtraEEAwUK</t>
  </si>
  <si>
    <t>Stock.number.IE.Tr.Avia.Freight</t>
  </si>
  <si>
    <t>Stock.number.IE.Tr.Avia.Freight.Domestic</t>
  </si>
  <si>
    <t>Stock.number.IE.Tr.Avia.Freight.IntraEEAwUK</t>
  </si>
  <si>
    <t>Stock.number.IE.Tr.Avia.Freight.ExtraEEAwUK</t>
  </si>
  <si>
    <t>StockNew.number.IE.Tr.Avia</t>
  </si>
  <si>
    <t>StockNew.number.IE.Tr.Avia.Passenger</t>
  </si>
  <si>
    <t>StockNew.number.IE.Tr.Avia.Passenger.Domestic</t>
  </si>
  <si>
    <t>StockNew.number.IE.Tr.Avia.Passenger.IntraEEAwUK</t>
  </si>
  <si>
    <t>StockNew.number.IE.Tr.Avia.Passenger.ExtraEEAwUK</t>
  </si>
  <si>
    <t>StockNew.number.IE.Tr.Avia.Freight</t>
  </si>
  <si>
    <t>StockNew.number.IE.Tr.Avia.Freight.Domestic</t>
  </si>
  <si>
    <t>StockNew.number.IE.Tr.Avia.Freight.IntraEEAwUK</t>
  </si>
  <si>
    <t>StockNew.number.IE.Tr.Avia.Freight.ExtraEEAwUK</t>
  </si>
  <si>
    <t>Load.passenger_per_movement.IE.Tr.Avia.Passenger</t>
  </si>
  <si>
    <t>Load.passenger_per_movement.IE.Tr.Avia.Passenger.Domestic</t>
  </si>
  <si>
    <t>Load.passenger_per_movement.IE.Tr.Avia.Passenger.IntraEEAwUK</t>
  </si>
  <si>
    <t>Load.passenger_per_movement.IE.Tr.Avia.Passenger.ExtraEEAwUK</t>
  </si>
  <si>
    <t>Load.t_per_movement.IE.Tr.Avia.Freight</t>
  </si>
  <si>
    <t>Load.t_per_movement.IE.Tr.Avia.Freight.Domestic</t>
  </si>
  <si>
    <t>Load.t_per_movement.IE.Tr.Avia.Freight.IntraEEAwUK</t>
  </si>
  <si>
    <t>Load.t_per_movement.IE.Tr.Avia.Freight.ExtraEEAwUK</t>
  </si>
  <si>
    <t>VehicleKm_per_flight.km.IE.Tr.Avia</t>
  </si>
  <si>
    <t>VehicleKm_per_flight.km.IE.Tr.Avia.Passenger</t>
  </si>
  <si>
    <t>VehicleKm_per_flight.km.IE.Tr.Avia.Passenger.Domestic</t>
  </si>
  <si>
    <t>VehicleKm_per_flight.km.IE.Tr.Avia.Passenger.IntraEEAwUK</t>
  </si>
  <si>
    <t>VehicleKm_per_flight.km.IE.Tr.Avia.Passenger.ExtraEEAwUK</t>
  </si>
  <si>
    <t>VehicleKm_per_flight.km.IE.Tr.Avia.Freight</t>
  </si>
  <si>
    <t>VehicleKm_per_flight.km.IE.Tr.Avia.Freight.Domestic</t>
  </si>
  <si>
    <t>VehicleKm_per_flight.km.IE.Tr.Avia.Freight.IntraEEAwUK</t>
  </si>
  <si>
    <t>VehicleKm_per_flight.km.IE.Tr.Avia.Freight.ExtraEEAwUK</t>
  </si>
  <si>
    <t>Activity_per_flight.pkm.IE.Tr.Avia.Passenger</t>
  </si>
  <si>
    <t>Activity_per_flight.pkm.IE.Tr.Avia.Passenger.Domestic</t>
  </si>
  <si>
    <t>Activity_per_flight.pkm.IE.Tr.Avia.Passenger.IntraEEAwUK</t>
  </si>
  <si>
    <t>Activity_per_flight.pkm.IE.Tr.Avia.Passenger.ExtraEEAwUK</t>
  </si>
  <si>
    <t>Activity_per_flight.tkm.IE.Tr.Avia.Freight</t>
  </si>
  <si>
    <t>Activity_per_flight.tkm.IE.Tr.Avia.Freight.Domestic</t>
  </si>
  <si>
    <t>Activity_per_flight.tkm.IE.Tr.Avia.Freight.IntraEEAwUK</t>
  </si>
  <si>
    <t>Activity_per_flight.tkm.IE.Tr.Avia.Freight.ExtraEEAwUK</t>
  </si>
  <si>
    <t>Flights_per_vehicle.number.IE.Tr.Avia</t>
  </si>
  <si>
    <t>Flights_per_vehicle.number.IE.Tr.Avia.Passenger</t>
  </si>
  <si>
    <t>Flights_per_vehicle.number.IE.Tr.Avia.Passenger.Domestic</t>
  </si>
  <si>
    <t>Flights_per_vehicle.number.IE.Tr.Avia.Passenger.IntraEEAwUK</t>
  </si>
  <si>
    <t>Flights_per_vehicle.number.IE.Tr.Avia.Passenger.ExtraEEAwUK</t>
  </si>
  <si>
    <t>Flights_per_vehicle.number.IE.Tr.Avia.Freight</t>
  </si>
  <si>
    <t>Flights_per_vehicle.number.IE.Tr.Avia.Freight.Domestic</t>
  </si>
  <si>
    <t>Flights_per_vehicle.number.IE.Tr.Avia.Freight.IntraEEAwUK</t>
  </si>
  <si>
    <t>Flights_per_vehicle.number.IE.Tr.Avia.Freight.ExtraEEAwUK</t>
  </si>
  <si>
    <t>Aviation / energy consumption - IE - Ireland</t>
  </si>
  <si>
    <t>FEC.ktoe.IE.Tr.Avia</t>
  </si>
  <si>
    <t>FEC.ktoe.IE.Tr.Avia.Domestic</t>
  </si>
  <si>
    <t>FEC.ktoe.IE.Tr.Avia.International</t>
  </si>
  <si>
    <t>FEC.ktoe.IE.Tr.Avia.Passenger</t>
  </si>
  <si>
    <t>FEC.ktoe.IE.Tr.Avia.Passenger.Domestic</t>
  </si>
  <si>
    <t>FEC.ktoe.IE.Tr.Avia.Passenger.IntraEEAwUK</t>
  </si>
  <si>
    <t>FEC.ktoe.IE.Tr.Avia.Passenger.ExtraEEAwUK</t>
  </si>
  <si>
    <t>FEC.ktoe.IE.Tr.Avia.Freight</t>
  </si>
  <si>
    <t>FEC.ktoe.IE.Tr.Avia.Freight.Domestic</t>
  </si>
  <si>
    <t>FEC.ktoe.IE.Tr.Avia.Freight.IntraEEAwUK</t>
  </si>
  <si>
    <t>FEC.ktoe.IE.Tr.Avia.Freight.ExtraEEAwUK</t>
  </si>
  <si>
    <t>Eff.kgoe_per_100km.IE.Tr.Avia</t>
  </si>
  <si>
    <t>Eff.kgoe_per_100km.IE.Tr.Avia.Passenger</t>
  </si>
  <si>
    <t>Eff.kgoe_per_100km.IE.Tr.Avia.Passenger.Domestic</t>
  </si>
  <si>
    <t>Eff.kgoe_per_100km.IE.Tr.Avia.Passenger.IntraEEAwUK</t>
  </si>
  <si>
    <t>Eff.kgoe_per_100km.IE.Tr.Avia.Passenger.ExtraEEAwUK</t>
  </si>
  <si>
    <t>Eff.kgoe_per_100km.IE.Tr.Avia.Freight</t>
  </si>
  <si>
    <t>Eff.kgoe_per_100km.IE.Tr.Avia.Freight.Domestic</t>
  </si>
  <si>
    <t>Eff.kgoe_per_100km.IE.Tr.Avia.Freight.IntraEEAwUK</t>
  </si>
  <si>
    <t>Eff.kgoe_per_100km.IE.Tr.Avia.Freight.ExtraEEAwUK</t>
  </si>
  <si>
    <t>Eff.kgoe_per_kpkm.IE.Tr.Avia.Passenger</t>
  </si>
  <si>
    <t>Eff.kgoe_per_kpkm.IE.Tr.Avia.Passenger.Domestic</t>
  </si>
  <si>
    <t>Eff.kgoe_per_kpkm.IE.Tr.Avia.Passenger.IntraEEAwUK</t>
  </si>
  <si>
    <t>Eff.kgoe_per_kpkm.IE.Tr.Avia.Passenger.ExtraEEAwUK</t>
  </si>
  <si>
    <t>Eff.kgoe_per_ktkm.IE.Tr.Avia.Freight</t>
  </si>
  <si>
    <t>Eff.kgoe_per_ktkm.IE.Tr.Avia.Freight.Domestic</t>
  </si>
  <si>
    <t>Eff.kgoe_per_ktkm.IE.Tr.Avia.Freight.IntraEEAwUK</t>
  </si>
  <si>
    <t>Eff.kgoe_per_ktkm.IE.Tr.Avia.Freight.ExtraEEAwUK</t>
  </si>
  <si>
    <t>FEC_per_flight.kgoe.IE.Tr.Avia</t>
  </si>
  <si>
    <t>FEC_per_flight.kgoe.IE.Tr.Avia.Passenger</t>
  </si>
  <si>
    <t>FEC_per_flight.kgoe.IE.Tr.Avia.Passenger.Domestic</t>
  </si>
  <si>
    <t>FEC_per_flight.kgoe.IE.Tr.Avia.Passenger.IntraEEAwUK</t>
  </si>
  <si>
    <t>FEC_per_flight.kgoe.IE.Tr.Avia.Passenger.ExtraEEAwUK</t>
  </si>
  <si>
    <t>FEC_per_flight.kgoe.IE.Tr.Avia.Freight</t>
  </si>
  <si>
    <t>FEC_per_flight.kgoe.IE.Tr.Avia.Freight.Domestic</t>
  </si>
  <si>
    <t>FEC_per_flight.kgoe.IE.Tr.Avia.Freight.IntraEEAwUK</t>
  </si>
  <si>
    <t>FEC_per_flight.kgoe.IE.Tr.Avia.Freight.ExtraEEAwUK</t>
  </si>
  <si>
    <t>Eff_theor.kgoe_per_100km.IE.Tr.Avia</t>
  </si>
  <si>
    <t>Eff_theor.kgoe_per_100km.IE.Tr.Avia.Passenger</t>
  </si>
  <si>
    <t>Eff_theor.kgoe_per_100km.IE.Tr.Avia.Passenger.Domestic</t>
  </si>
  <si>
    <t>Eff_theor.kgoe_per_100km.IE.Tr.Avia.Passenger.IntraEEAwUK</t>
  </si>
  <si>
    <t>Eff_theor.kgoe_per_100km.IE.Tr.Avia.Passenger.ExtraEEAwUK</t>
  </si>
  <si>
    <t>Eff_theor.kgoe_per_100km.IE.Tr.Avia.Freight</t>
  </si>
  <si>
    <t>Eff_theor.kgoe_per_100km.IE.Tr.Avia.Freight.Domestic</t>
  </si>
  <si>
    <t>Eff_theor.kgoe_per_100km.IE.Tr.Avia.Freight.IntraEEAwUK</t>
  </si>
  <si>
    <t>Eff_theor.kgoe_per_100km.IE.Tr.Avia.Freight.ExtraEEAwUK</t>
  </si>
  <si>
    <t>Aviation / CO2 emissions - IE - Ireland</t>
  </si>
  <si>
    <t>EMI.ktCO2.IE.Tr.Avia</t>
  </si>
  <si>
    <t>EMI.ktCO2.IE.Tr.Avia.Domestic</t>
  </si>
  <si>
    <t>EMI.ktCO2.IE.Tr.Avia.International</t>
  </si>
  <si>
    <t>EMI.ktCO2.IE.Tr.Avia.Passenger</t>
  </si>
  <si>
    <t>EMI.ktCO2.IE.Tr.Avia.Passenger.Domestic</t>
  </si>
  <si>
    <t>EMI.ktCO2.IE.Tr.Avia.Passenger.IntraEEAwUK</t>
  </si>
  <si>
    <t>EMI.ktCO2.IE.Tr.Avia.Passenger.ExtraEEAwUK</t>
  </si>
  <si>
    <t>EMI.ktCO2.IE.Tr.Avia.Freight</t>
  </si>
  <si>
    <t>EMI.ktCO2.IE.Tr.Avia.Freight.Domestic</t>
  </si>
  <si>
    <t>EMI.ktCO2.IE.Tr.Avia.Freight.IntraEEAwUK</t>
  </si>
  <si>
    <t>EMI.ktCO2.IE.Tr.Avia.Freight.ExtraEEAwUK</t>
  </si>
  <si>
    <t>EMIint.gCO2_per_km.IE.Tr.Avia</t>
  </si>
  <si>
    <t>EMIint.gCO2_per_km.IE.Tr.Avia.Passenger</t>
  </si>
  <si>
    <t>EMIint.gCO2_per_km.IE.Tr.Avia.Passenger.Domestic</t>
  </si>
  <si>
    <t>EMIint.gCO2_per_km.IE.Tr.Avia.Passenger.IntraEEAwUK</t>
  </si>
  <si>
    <t>EMIint.gCO2_per_km.IE.Tr.Avia.Passenger.ExtraEEAwUK</t>
  </si>
  <si>
    <t>EMIint.gCO2_per_km.IE.Tr.Avia.Freight</t>
  </si>
  <si>
    <t>EMIint.gCO2_per_km.IE.Tr.Avia.Freight.Domestic</t>
  </si>
  <si>
    <t>EMIint.gCO2_per_km.IE.Tr.Avia.Freight.IntraEEAwUK</t>
  </si>
  <si>
    <t>EMIint.gCO2_per_km.IE.Tr.Avia.Freight.ExtraEEAwUK</t>
  </si>
  <si>
    <t>EMIint.gCO2_per_pkm.IE.Tr.Avia.Passenger</t>
  </si>
  <si>
    <t>EMIint.gCO2_per_pkm.IE.Tr.Avia.Passenger.Domestic</t>
  </si>
  <si>
    <t>EMIint.gCO2_per_pkm.IE.Tr.Avia.Passenger.IntraEEAwUK</t>
  </si>
  <si>
    <t>EMIint.gCO2_per_pkm.IE.Tr.Avia.Passenger.ExtraEEAwUK</t>
  </si>
  <si>
    <t>EMIint.gCO2_per_tkm.IE.Tr.Avia.Freight</t>
  </si>
  <si>
    <t>EMIint.gCO2_per_tkm.IE.Tr.Avia.Freight.Domestic</t>
  </si>
  <si>
    <t>EMIint.gCO2_per_tkm.IE.Tr.Avia.Freight.IntraEEAwUK</t>
  </si>
  <si>
    <t>EMIint.gCO2_per_tkm.IE.Tr.Avia.Freight.ExtraEEAwUK</t>
  </si>
  <si>
    <t>EMI_per_flight.kgCO2.IE.Tr.Avia</t>
  </si>
  <si>
    <t>EMI_per_flight.kgCO2.IE.Tr.Avia.Passenger</t>
  </si>
  <si>
    <t>EMI_per_flight.kgCO2.IE.Tr.Avia.Passenger.Domestic</t>
  </si>
  <si>
    <t>EMI_per_flight.kgCO2.IE.Tr.Avia.Passenger.IntraEEAwUK</t>
  </si>
  <si>
    <t>EMI_per_flight.kgCO2.IE.Tr.Avia.Passenger.ExtraEEAwUK</t>
  </si>
  <si>
    <t>EMI_per_flight.kgCO2.IE.Tr.Avia.Freight</t>
  </si>
  <si>
    <t>EMI_per_flight.kgCO2.IE.Tr.Avia.Freight.Domestic</t>
  </si>
  <si>
    <t>EMI_per_flight.kgCO2.IE.Tr.Avia.Freight.IntraEEAwUK</t>
  </si>
  <si>
    <t>EMI_per_flight.kgCO2.IE.Tr.Avia.Freight.ExtraEEAwUK</t>
  </si>
  <si>
    <t>Aviation / passenger transport specific data - IE - Ireland</t>
  </si>
  <si>
    <t>TrCap.seats.IE.Tr.Avia.Passenger</t>
  </si>
  <si>
    <t>TrCap.seats.IE.Tr.Avia.Passenger.Domestic</t>
  </si>
  <si>
    <t>TrCap.seats.IE.Tr.Avia.Passenger.IntraEEAwUK</t>
  </si>
  <si>
    <t>TrCap.seats.IE.Tr.Avia.Passenger.ExtraEEAwUK</t>
  </si>
  <si>
    <t>TrCap_per_flight.seats.IE.Tr.Avia.Passenger</t>
  </si>
  <si>
    <t>TrCap_per_flight.seats.IE.Tr.Avia.Passenger.Domestic</t>
  </si>
  <si>
    <t>TrCap_per_flight.seats.IE.Tr.Avia.Passenger.IntraEEAwUK</t>
  </si>
  <si>
    <t>TrCap_per_flight.seats.IE.Tr.Avia.Passenger.ExtraEEAwUK</t>
  </si>
  <si>
    <t>Transport overview - IE - Ireland</t>
  </si>
  <si>
    <t>Activity.Mpkm.IE.Tr</t>
  </si>
  <si>
    <t>Activity.Mpkm.IE.Tr.Road.Passenger</t>
  </si>
  <si>
    <t>Activity.Mpkm.IE.Tr.Road.Passenger.P2W</t>
  </si>
  <si>
    <t>Activity.Mpkm.IE.Tr.Road.Passenger.Car</t>
  </si>
  <si>
    <t>Activity.Mpkm.IE.Tr.Road.Passenger.Bus</t>
  </si>
  <si>
    <t>Activity.Mpkm.IE.Tr.Rail.Passenger</t>
  </si>
  <si>
    <t>Activity.Mpkm.IE.Tr.Rail.Passenger.MTU</t>
  </si>
  <si>
    <t>Activity.Mpkm.IE.Tr.Rail.Passenger.CPT</t>
  </si>
  <si>
    <t>Activity.Mpkm.IE.Tr.Rail.Passenger.HST</t>
  </si>
  <si>
    <t>Activity.Mtkm.IE.Tr</t>
  </si>
  <si>
    <t>Activity.Mtkm.IE.Tr.Road.Freight</t>
  </si>
  <si>
    <t>Activity.Mtkm.IE.Tr.Road.Freight.LCV</t>
  </si>
  <si>
    <t>Activity.Mtkm.IE.Tr.Road.Freight.HGV</t>
  </si>
  <si>
    <t>Activity.Mtkm.IE.Tr.Rail.Freight</t>
  </si>
  <si>
    <t>Activity.Mtkm.IE.Tr.DNavi.Freight</t>
  </si>
  <si>
    <t>Activity.Mtkm.IE.Tr.DNavi.Freight.DCS</t>
  </si>
  <si>
    <t>Activity.Mtkm.IE.Tr.DNavi.Freight.IWW</t>
  </si>
  <si>
    <t>Activity.Mtkm.IE.MBunk.Freight</t>
  </si>
  <si>
    <t>Activity.Mtkm.IE.MBunk.Freight.IntraEEA</t>
  </si>
  <si>
    <t>Activity.Mtkm.IE.MBunk.Freight.ExtraEEA</t>
  </si>
  <si>
    <t>FEC.ktoe.IE.Tr.Road.Passenger</t>
  </si>
  <si>
    <t>FEC.ktoe.IE.Tr.Road.Passenger.P2W</t>
  </si>
  <si>
    <t>FEC.ktoe.IE.Tr.Road.Passenger.Car</t>
  </si>
  <si>
    <t>FEC.ktoe.IE.Tr.Road.Passenger.Bus</t>
  </si>
  <si>
    <t>FEC.ktoe.IE.Tr.Rail.Passenger</t>
  </si>
  <si>
    <t>FEC.ktoe.IE.Tr.Rail.Passenger.MTU</t>
  </si>
  <si>
    <t>FEC.ktoe.IE.Tr.Rail.Passenger.CPT</t>
  </si>
  <si>
    <t>FEC.ktoe.IE.Tr.Rail.Passenger.HST</t>
  </si>
  <si>
    <t>FEC.ktoe.IE.Tr.Road.Freight</t>
  </si>
  <si>
    <t>FEC.ktoe.IE.Tr.Road.Freight.LCV</t>
  </si>
  <si>
    <t>FEC.ktoe.IE.Tr.Road.Freight.HGV</t>
  </si>
  <si>
    <t>FEC.ktoe.IE.Tr.Rail.Freight</t>
  </si>
  <si>
    <t>EMI.ktCO2.IE.Tr.Road.Passenger</t>
  </si>
  <si>
    <t>EMI.ktCO2.IE.Tr.Road.Passenger.P2W</t>
  </si>
  <si>
    <t>EMI.ktCO2.IE.Tr.Road.Passenger.Car</t>
  </si>
  <si>
    <t>EMI.ktCO2.IE.Tr.Road.Passenger.Bus</t>
  </si>
  <si>
    <t>EMI.ktCO2.IE.Tr.Rail.Passenger</t>
  </si>
  <si>
    <t>EMI.ktCO2.IE.Tr.Rail.Passenger.MTU</t>
  </si>
  <si>
    <t>EMI.ktCO2.IE.Tr.Rail.Passenger.CPT</t>
  </si>
  <si>
    <t>EMI.ktCO2.IE.Tr.Rail.Passenger.HST</t>
  </si>
  <si>
    <t>EMI.ktCO2.IE.Tr.Road.Freight</t>
  </si>
  <si>
    <t>EMI.ktCO2.IE.Tr.Road.Freight.LCV</t>
  </si>
  <si>
    <t>EMI.ktCO2.IE.Tr.Road.Freight.HGV</t>
  </si>
  <si>
    <t>EMI.ktCO2.IE.Tr.Rail.Freight</t>
  </si>
  <si>
    <t>Eff.kgoe_per_kpkm.IE.Tr</t>
  </si>
  <si>
    <t>Eff.kgoe_per_kpkm.IE.Tr.Road.Passenger</t>
  </si>
  <si>
    <t>Eff.kgoe_per_kpkm.IE.Tr.Road.Passenger.P2W</t>
  </si>
  <si>
    <t>Eff.kgoe_per_kpkm.IE.Tr.Road.Passenger.Car</t>
  </si>
  <si>
    <t>Eff.kgoe_per_kpkm.IE.Tr.Road.Passenger.Bus</t>
  </si>
  <si>
    <t>Eff.kgoe_per_kpkm.IE.Tr.Rail.Passenger</t>
  </si>
  <si>
    <t>Eff.kgoe_per_kpkm.IE.Tr.Rail.Passenger.MTU</t>
  </si>
  <si>
    <t>Eff.kgoe_per_kpkm.IE.Tr.Rail.Passenger.CPT</t>
  </si>
  <si>
    <t>Eff.kgoe_per_kpkm.IE.Tr.Rail.Passenger.HST</t>
  </si>
  <si>
    <t>Eff.kgoe_per_ktkm.IE.Tr</t>
  </si>
  <si>
    <t>Eff.kgoe_per_ktkm.IE.Tr.Road.Freight</t>
  </si>
  <si>
    <t>Eff.kgoe_per_ktkm.IE.Tr.Road.Freight.LCV</t>
  </si>
  <si>
    <t>Eff.kgoe_per_ktkm.IE.Tr.Road.Freight.HGV</t>
  </si>
  <si>
    <t>Eff.kgoe_per_ktkm.IE.Tr.Rail.Freight</t>
  </si>
  <si>
    <t>Eff.kgoe_per_ktkm.IE.Tr.DNavi.Freight</t>
  </si>
  <si>
    <t>Eff.kgoe_per_ktkm.IE.Tr.DNavi.Freight.DCS</t>
  </si>
  <si>
    <t>Eff.kgoe_per_ktkm.IE.Tr.DNavi.Freight.IWW</t>
  </si>
  <si>
    <t>Eff.kgoe_per_ktkm.IE.MBunk.Freight</t>
  </si>
  <si>
    <t>Eff.kgoe_per_ktkm.IE.MBunk.Freight.IntraEEA</t>
  </si>
  <si>
    <t>Eff.kgoe_per_ktkm.IE.MBunk.Freight.ExtraEEA</t>
  </si>
  <si>
    <t>EMIint.gCO2_per_pkm.IE.Tr</t>
  </si>
  <si>
    <t>EMIint.gCO2_per_pkm.IE.Tr.Road.Passenger</t>
  </si>
  <si>
    <t>EMIint.gCO2_per_pkm.IE.Tr.Road.Passenger.P2W</t>
  </si>
  <si>
    <t>EMIint.gCO2_per_pkm.IE.Tr.Road.Passenger.Car</t>
  </si>
  <si>
    <t>EMIint.gCO2_per_pkm.IE.Tr.Road.Passenger.Bus</t>
  </si>
  <si>
    <t>EMIint.gCO2_per_pkm.IE.Tr.Rail.Passenger</t>
  </si>
  <si>
    <t>EMIint.gCO2_per_pkm.IE.Tr.Rail.Passenger.MTU</t>
  </si>
  <si>
    <t>EMIint.gCO2_per_pkm.IE.Tr.Rail.Passenger.CPT</t>
  </si>
  <si>
    <t>EMIint.gCO2_per_pkm.IE.Tr.Rail.Passenger.HST</t>
  </si>
  <si>
    <t>EMIint.gCO2_per_tkm.IE.Tr</t>
  </si>
  <si>
    <t>EMIint.gCO2_per_tkm.IE.Tr.Road.Freight</t>
  </si>
  <si>
    <t>EMIint.gCO2_per_tkm.IE.Tr.Road.Freight.LCV</t>
  </si>
  <si>
    <t>EMIint.gCO2_per_tkm.IE.Tr.Road.Freight.HGV</t>
  </si>
  <si>
    <t>EMIint.gCO2_per_tkm.IE.Tr.Rail.Freight</t>
  </si>
  <si>
    <t>EMIint.gCO2_per_tkm.IE.Tr.DNavi.Freight</t>
  </si>
  <si>
    <t>EMIint.gCO2_per_tkm.IE.Tr.DNavi.Freight.DCS</t>
  </si>
  <si>
    <t>EMIint.gCO2_per_tkm.IE.Tr.DNavi.Freight.IWW</t>
  </si>
  <si>
    <t>EMIint.gCO2_per_tkm.IE.MBunk.Freight</t>
  </si>
  <si>
    <t>EMIint.gCO2_per_tkm.IE.MBunk.Freight.IntraEEA</t>
  </si>
  <si>
    <t>EMIint.gCO2_per_tkm.IE.MBunk.Freight.ExtraEEA</t>
  </si>
  <si>
    <t>Road transport - IE - Ireland</t>
  </si>
  <si>
    <t>Activity.Mpkm.IE.Tr.Road.Passenger.Car.ICE.Gasoline</t>
  </si>
  <si>
    <t>Activity.Mpkm.IE.Tr.Road.Passenger.Car.ICE.Diesel</t>
  </si>
  <si>
    <t>Activity.Mpkm.IE.Tr.Road.Passenger.Car.ICE.LPG</t>
  </si>
  <si>
    <t>Activity.Mpkm.IE.Tr.Road.Passenger.Car.ICE.NGas</t>
  </si>
  <si>
    <t>Activity.Mpkm.IE.Tr.Road.Passenger.Car.PHEV</t>
  </si>
  <si>
    <t>Activity.Mpkm.IE.Tr.Road.Passenger.Car.BEV</t>
  </si>
  <si>
    <t>Activity.Mpkm.IE.Tr.Road.Passenger.Bus.ICE.Gasoline</t>
  </si>
  <si>
    <t>Activity.Mpkm.IE.Tr.Road.Passenger.Bus.ICE.Diesel</t>
  </si>
  <si>
    <t>Activity.Mpkm.IE.Tr.Road.Passenger.Bus.ICE.LPG</t>
  </si>
  <si>
    <t>Activity.Mpkm.IE.Tr.Road.Passenger.Bus.ICE.NGas</t>
  </si>
  <si>
    <t>Activity.Mpkm.IE.Tr.Road.Passenger.Bus.ICE.BEV</t>
  </si>
  <si>
    <t>Activity.Mtkm.IE.Tr.Road.Freight.LCV.ICE.Gasoline</t>
  </si>
  <si>
    <t>Activity.Mtkm.IE.Tr.Road.Freight.LCV.ICE.Diesel</t>
  </si>
  <si>
    <t>Activity.Mtkm.IE.Tr.Road.Freight.LCV.ICE.LPG</t>
  </si>
  <si>
    <t>Activity.Mtkm.IE.Tr.Road.Freight.LCV.ICE.NGas</t>
  </si>
  <si>
    <t>Activity.Mtkm.IE.Tr.Road.Freight.LCV.ICE.BEV</t>
  </si>
  <si>
    <t>Activity.Mtkm.IE.Tr.Road.Freight.HGV.Domestic</t>
  </si>
  <si>
    <t>Activity.Mtkm.IE.Tr.Road.Freight.HGV.International</t>
  </si>
  <si>
    <t>VehicleKm.Mkm.IE.Tr.Road</t>
  </si>
  <si>
    <t>VehicleKm.Mkm.IE.Tr.Road.Passenger</t>
  </si>
  <si>
    <t>VehicleKm.Mkm.IE.Tr.Road.Passenger.P2W</t>
  </si>
  <si>
    <t>VehicleKm.Mkm.IE.Tr.Road.Passenger.Car</t>
  </si>
  <si>
    <t>VehicleKm.Mkm.IE.Tr.Road.Passenger.Car.ICE.Gasoline</t>
  </si>
  <si>
    <t>VehicleKm.Mkm.IE.Tr.Road.Passenger.Car.ICE.Diesel</t>
  </si>
  <si>
    <t>VehicleKm.Mkm.IE.Tr.Road.Passenger.Car.ICE.LPG</t>
  </si>
  <si>
    <t>VehicleKm.Mkm.IE.Tr.Road.Passenger.Car.ICE.NGas</t>
  </si>
  <si>
    <t>VehicleKm.Mkm.IE.Tr.Road.Passenger.Car.PHEV</t>
  </si>
  <si>
    <t>VehicleKm.Mkm.IE.Tr.Road.Passenger.Car.BEV</t>
  </si>
  <si>
    <t>VehicleKm.Mkm.IE.Tr.Road.Passenger.Bus</t>
  </si>
  <si>
    <t>VehicleKm.Mkm.IE.Tr.Road.Passenger.Bus.ICE.Gasoline</t>
  </si>
  <si>
    <t>VehicleKm.Mkm.IE.Tr.Road.Passenger.Bus.ICE.Diesel</t>
  </si>
  <si>
    <t>VehicleKm.Mkm.IE.Tr.Road.Passenger.Bus.ICE.LPG</t>
  </si>
  <si>
    <t>VehicleKm.Mkm.IE.Tr.Road.Passenger.Bus.ICE.NGas</t>
  </si>
  <si>
    <t>VehicleKm.Mkm.IE.Tr.Road.Passenger.Bus.ICE.BEV</t>
  </si>
  <si>
    <t>VehicleKm.Mkm.IE.Tr.Road.Freight</t>
  </si>
  <si>
    <t>VehicleKm.Mkm.IE.Tr.Road.Freight.LCV</t>
  </si>
  <si>
    <t>VehicleKm.Mkm.IE.Tr.Road.Freight.LCV.ICE.Gasoline</t>
  </si>
  <si>
    <t>VehicleKm.Mkm.IE.Tr.Road.Freight.LCV.ICE.Diesel</t>
  </si>
  <si>
    <t>VehicleKm.Mkm.IE.Tr.Road.Freight.LCV.ICE.LPG</t>
  </si>
  <si>
    <t>VehicleKm.Mkm.IE.Tr.Road.Freight.LCV.ICE.NGas</t>
  </si>
  <si>
    <t>VehicleKm.Mkm.IE.Tr.Road.Freight.LCV.ICE.BEV</t>
  </si>
  <si>
    <t>VehicleKm.Mkm.IE.Tr.Road.Freight.HGV</t>
  </si>
  <si>
    <t>VehicleKm.Mkm.IE.Tr.Road.Freight.HGV.Domestic</t>
  </si>
  <si>
    <t>VehicleKm.Mkm.IE.Tr.Road.Freight.HGV.International</t>
  </si>
  <si>
    <t>Stock.number.IE.Tr.Road</t>
  </si>
  <si>
    <t>Stock.number.IE.Tr.Road.Passenger</t>
  </si>
  <si>
    <t>Stock.number.IE.Tr.Road.Passenger.P2W</t>
  </si>
  <si>
    <t>Stock.number.IE.Tr.Road.Passenger.Car</t>
  </si>
  <si>
    <t>Stock.number.IE.Tr.Road.Passenger.Car.ICE.Gasoline</t>
  </si>
  <si>
    <t>Stock.number.IE.Tr.Road.Passenger.Car.ICE.Diesel</t>
  </si>
  <si>
    <t>Stock.number.IE.Tr.Road.Passenger.Car.ICE.LPG</t>
  </si>
  <si>
    <t>Stock.number.IE.Tr.Road.Passenger.Car.ICE.NGas</t>
  </si>
  <si>
    <t>Stock.number.IE.Tr.Road.Passenger.Car.PHEV</t>
  </si>
  <si>
    <t>Stock.number.IE.Tr.Road.Passenger.Car.BEV</t>
  </si>
  <si>
    <t>Stock.number.IE.Tr.Road.Passenger.Bus</t>
  </si>
  <si>
    <t>Stock.number.IE.Tr.Road.Passenger.Bus.ICE.Gasoline</t>
  </si>
  <si>
    <t>Stock.number.IE.Tr.Road.Passenger.Bus.ICE.Diesel</t>
  </si>
  <si>
    <t>Stock.number.IE.Tr.Road.Passenger.Bus.ICE.LPG</t>
  </si>
  <si>
    <t>Stock.number.IE.Tr.Road.Passenger.Bus.ICE.NGas</t>
  </si>
  <si>
    <t>Stock.number.IE.Tr.Road.Passenger.Bus.ICE.BEV</t>
  </si>
  <si>
    <t>Stock.number.IE.Tr.Road.Freight</t>
  </si>
  <si>
    <t>Stock.number.IE.Tr.Road.Freight.LCV</t>
  </si>
  <si>
    <t>Stock.number.IE.Tr.Road.Freight.LCV.ICE.Gasoline</t>
  </si>
  <si>
    <t>Stock.number.IE.Tr.Road.Freight.LCV.ICE.Diesel</t>
  </si>
  <si>
    <t>Stock.number.IE.Tr.Road.Freight.LCV.ICE.LPG</t>
  </si>
  <si>
    <t>Stock.number.IE.Tr.Road.Freight.LCV.ICE.NGas</t>
  </si>
  <si>
    <t>Stock.number.IE.Tr.Road.Freight.LCV.ICE.BEV</t>
  </si>
  <si>
    <t>Stock.number.IE.Tr.Road.Freight.HGV</t>
  </si>
  <si>
    <t>Stock.number.IE.Tr.Road.Freight.HGV.Domestic</t>
  </si>
  <si>
    <t>Stock.number.IE.Tr.Road.Freight.HGV.International</t>
  </si>
  <si>
    <t>StockNew.number.IE.Tr.Road</t>
  </si>
  <si>
    <t>StockNew.number.IE.Tr.Road.Passenger</t>
  </si>
  <si>
    <t>StockNew.number.IE.Tr.Road.Passenger.P2W</t>
  </si>
  <si>
    <t>StockNew.number.IE.Tr.Road.Passenger.Car</t>
  </si>
  <si>
    <t>StockNew.number.IE.Tr.Road.Passenger.Car.ICE.Gasoline</t>
  </si>
  <si>
    <t>StockNew.number.IE.Tr.Road.Passenger.Car.ICE.Diesel</t>
  </si>
  <si>
    <t>StockNew.number.IE.Tr.Road.Passenger.Car.ICE.LPG</t>
  </si>
  <si>
    <t>StockNew.number.IE.Tr.Road.Passenger.Car.ICE.NGas</t>
  </si>
  <si>
    <t>StockNew.number.IE.Tr.Road.Passenger.Car.PHEV</t>
  </si>
  <si>
    <t>StockNew.number.IE.Tr.Road.Passenger.Car.BEV</t>
  </si>
  <si>
    <t>StockNew.number.IE.Tr.Road.Passenger.Bus</t>
  </si>
  <si>
    <t>StockNew.number.IE.Tr.Road.Passenger.Bus.ICE.Gasoline</t>
  </si>
  <si>
    <t>StockNew.number.IE.Tr.Road.Passenger.Bus.ICE.Diesel</t>
  </si>
  <si>
    <t>StockNew.number.IE.Tr.Road.Passenger.Bus.ICE.LPG</t>
  </si>
  <si>
    <t>StockNew.number.IE.Tr.Road.Passenger.Bus.ICE.NGas</t>
  </si>
  <si>
    <t>StockNew.number.IE.Tr.Road.Passenger.Bus.ICE.BEV</t>
  </si>
  <si>
    <t>StockNew.number.IE.Tr.Road.Freight</t>
  </si>
  <si>
    <t>StockNew.number.IE.Tr.Road.Freight.LCV</t>
  </si>
  <si>
    <t>StockNew.number.IE.Tr.Road.Freight.LCV.ICE.Gasoline</t>
  </si>
  <si>
    <t>StockNew.number.IE.Tr.Road.Freight.LCV.ICE.Diesel</t>
  </si>
  <si>
    <t>StockNew.number.IE.Tr.Road.Freight.LCV.ICE.LPG</t>
  </si>
  <si>
    <t>StockNew.number.IE.Tr.Road.Freight.LCV.ICE.NGas</t>
  </si>
  <si>
    <t>StockNew.number.IE.Tr.Road.Freight.LCV.ICE.BEV</t>
  </si>
  <si>
    <t>StockNew.number.IE.Tr.Road.Freight.HGV</t>
  </si>
  <si>
    <t>StockNew.number.IE.Tr.Road.Freight.HGV.Domestic</t>
  </si>
  <si>
    <t>StockNew.number.IE.Tr.Road.Freight.HGV.International</t>
  </si>
  <si>
    <t>Load.passenger_per_movement.IE.Tr.Road.Passenger</t>
  </si>
  <si>
    <t>Load.passenger_per_movement.IE.Tr.Road.Passenger.P2W</t>
  </si>
  <si>
    <t>Load.passenger_per_movement.IE.Tr.Road.Passenger.Car</t>
  </si>
  <si>
    <t>Load.passenger_per_movement.IE.Tr.Road.Passenger.Car.ICE.Gasoline</t>
  </si>
  <si>
    <t>Load.passenger_per_movement.IE.Tr.Road.Passenger.Car.ICE.Diesel</t>
  </si>
  <si>
    <t>Load.passenger_per_movement.IE.Tr.Road.Passenger.Car.ICE.LPG</t>
  </si>
  <si>
    <t>Load.passenger_per_movement.IE.Tr.Road.Passenger.Car.ICE.NGas</t>
  </si>
  <si>
    <t>Load.passenger_per_movement.IE.Tr.Road.Passenger.Car.PHEV</t>
  </si>
  <si>
    <t>Load.passenger_per_movement.IE.Tr.Road.Passenger.Car.BEV</t>
  </si>
  <si>
    <t>Load.passenger_per_movement.IE.Tr.Road.Passenger.Bus</t>
  </si>
  <si>
    <t>Load.passenger_per_movement.IE.Tr.Road.Passenger.Bus.ICE.Gasoline</t>
  </si>
  <si>
    <t>Load.passenger_per_movement.IE.Tr.Road.Passenger.Bus.ICE.Diesel</t>
  </si>
  <si>
    <t>Load.passenger_per_movement.IE.Tr.Road.Passenger.Bus.ICE.LPG</t>
  </si>
  <si>
    <t>Load.passenger_per_movement.IE.Tr.Road.Passenger.Bus.ICE.NGas</t>
  </si>
  <si>
    <t>Load.passenger_per_movement.IE.Tr.Road.Passenger.Bus.ICE.BEV</t>
  </si>
  <si>
    <t>Load.t_per_movement.IE.Tr.Road.Freight</t>
  </si>
  <si>
    <t>Load.t_per_movement.IE.Tr.Road.Freight.LCV</t>
  </si>
  <si>
    <t>Load.t_per_movement.IE.Tr.Road.Freight.LCV.ICE.Gasoline</t>
  </si>
  <si>
    <t>Load.t_per_movement.IE.Tr.Road.Freight.LCV.ICE.Diesel</t>
  </si>
  <si>
    <t>Load.t_per_movement.IE.Tr.Road.Freight.LCV.ICE.LPG</t>
  </si>
  <si>
    <t>Load.t_per_movement.IE.Tr.Road.Freight.LCV.ICE.NGas</t>
  </si>
  <si>
    <t>Load.t_per_movement.IE.Tr.Road.Freight.LCV.ICE.BEV</t>
  </si>
  <si>
    <t>Load.t_per_movement.IE.Tr.Road.Freight.HGV</t>
  </si>
  <si>
    <t>Load.t_per_movement.IE.Tr.Road.Freight.HGV.Domestic</t>
  </si>
  <si>
    <t>Load.t_per_movement.IE.Tr.Road.Freight.HGV.International</t>
  </si>
  <si>
    <t>VehicleKm_per_vehicle.km.IE.Tr.Road</t>
  </si>
  <si>
    <t>VehicleKm_per_vehicle.km.IE.Tr.Road.Passenger</t>
  </si>
  <si>
    <t>VehicleKm_per_vehicle.km.IE.Tr.Road.Passenger.P2W</t>
  </si>
  <si>
    <t>VehicleKm_per_vehicle.km.IE.Tr.Road.Passenger.Car</t>
  </si>
  <si>
    <t>VehicleKm_per_vehicle.km.IE.Tr.Road.Passenger.Car.ICE.Gasoline</t>
  </si>
  <si>
    <t>VehicleKm_per_vehicle.km.IE.Tr.Road.Passenger.Car.ICE.Diesel</t>
  </si>
  <si>
    <t>VehicleKm_per_vehicle.km.IE.Tr.Road.Passenger.Car.ICE.LPG</t>
  </si>
  <si>
    <t>VehicleKm_per_vehicle.km.IE.Tr.Road.Passenger.Car.ICE.NGas</t>
  </si>
  <si>
    <t>VehicleKm_per_vehicle.km.IE.Tr.Road.Passenger.Car.PHEV</t>
  </si>
  <si>
    <t>VehicleKm_per_vehicle.km.IE.Tr.Road.Passenger.Car.BEV</t>
  </si>
  <si>
    <t>VehicleKm_per_vehicle.km.IE.Tr.Road.Passenger.Bus</t>
  </si>
  <si>
    <t>VehicleKm_per_vehicle.km.IE.Tr.Road.Passenger.Bus.ICE.Gasoline</t>
  </si>
  <si>
    <t>VehicleKm_per_vehicle.km.IE.Tr.Road.Passenger.Bus.ICE.Diesel</t>
  </si>
  <si>
    <t>VehicleKm_per_vehicle.km.IE.Tr.Road.Passenger.Bus.ICE.LPG</t>
  </si>
  <si>
    <t>VehicleKm_per_vehicle.km.IE.Tr.Road.Passenger.Bus.ICE.NGas</t>
  </si>
  <si>
    <t>VehicleKm_per_vehicle.km.IE.Tr.Road.Passenger.Bus.ICE.BEV</t>
  </si>
  <si>
    <t>VehicleKm_per_vehicle.km.IE.Tr.Road.Freight</t>
  </si>
  <si>
    <t>VehicleKm_per_vehicle.km.IE.Tr.Road.Freight.LCV</t>
  </si>
  <si>
    <t>VehicleKm_per_vehicle.km.IE.Tr.Road.Freight.LCV.ICE.Gasoline</t>
  </si>
  <si>
    <t>VehicleKm_per_vehicle.km.IE.Tr.Road.Freight.LCV.ICE.Diesel</t>
  </si>
  <si>
    <t>VehicleKm_per_vehicle.km.IE.Tr.Road.Freight.LCV.ICE.LPG</t>
  </si>
  <si>
    <t>VehicleKm_per_vehicle.km.IE.Tr.Road.Freight.LCV.ICE.NGas</t>
  </si>
  <si>
    <t>VehicleKm_per_vehicle.km.IE.Tr.Road.Freight.LCV.ICE.BEV</t>
  </si>
  <si>
    <t>VehicleKm_per_vehicle.km.IE.Tr.Road.Freight.HGV</t>
  </si>
  <si>
    <t>VehicleKm_per_vehicle.km.IE.Tr.Road.Freight.HGV.Domestic</t>
  </si>
  <si>
    <t>VehicleKm_per_vehicle.km.IE.Tr.Road.Freight.HGV.International</t>
  </si>
  <si>
    <t>Activity_per_vehicle.pkm.IE.Tr.Road.Passenger</t>
  </si>
  <si>
    <t>Activity_per_vehicle.pkm.IE.Tr.Road.Passenger.P2W</t>
  </si>
  <si>
    <t>Activity_per_vehicle.pkm.IE.Tr.Road.Passenger.Car</t>
  </si>
  <si>
    <t>Activity_per_vehicle.pkm.IE.Tr.Road.Passenger.Car.ICE.Gasoline</t>
  </si>
  <si>
    <t>Activity_per_vehicle.pkm.IE.Tr.Road.Passenger.Car.ICE.Diesel</t>
  </si>
  <si>
    <t>Activity_per_vehicle.pkm.IE.Tr.Road.Passenger.Car.ICE.LPG</t>
  </si>
  <si>
    <t>Activity_per_vehicle.pkm.IE.Tr.Road.Passenger.Car.ICE.NGas</t>
  </si>
  <si>
    <t>Activity_per_vehicle.pkm.IE.Tr.Road.Passenger.Car.PHEV</t>
  </si>
  <si>
    <t>Activity_per_vehicle.pkm.IE.Tr.Road.Passenger.Car.BEV</t>
  </si>
  <si>
    <t>Activity_per_vehicle.pkm.IE.Tr.Road.Passenger.Bus</t>
  </si>
  <si>
    <t>Activity_per_vehicle.pkm.IE.Tr.Road.Passenger.Bus.ICE.Gasoline</t>
  </si>
  <si>
    <t>Activity_per_vehicle.pkm.IE.Tr.Road.Passenger.Bus.ICE.Diesel</t>
  </si>
  <si>
    <t>Activity_per_vehicle.pkm.IE.Tr.Road.Passenger.Bus.ICE.LPG</t>
  </si>
  <si>
    <t>Activity_per_vehicle.pkm.IE.Tr.Road.Passenger.Bus.ICE.NGas</t>
  </si>
  <si>
    <t>Activity_per_vehicle.pkm.IE.Tr.Road.Passenger.Bus.ICE.BEV</t>
  </si>
  <si>
    <t>Activity_per_vehicle.tkm.IE.Tr.Road.Freight</t>
  </si>
  <si>
    <t>Activity_per_vehicle.tkm.IE.Tr.Road.Freight.LCV</t>
  </si>
  <si>
    <t>Activity_per_vehicle.tkm.IE.Tr.Road.Freight.LCV.ICE.Gasoline</t>
  </si>
  <si>
    <t>Activity_per_vehicle.tkm.IE.Tr.Road.Freight.LCV.ICE.Diesel</t>
  </si>
  <si>
    <t>Activity_per_vehicle.tkm.IE.Tr.Road.Freight.LCV.ICE.LPG</t>
  </si>
  <si>
    <t>Activity_per_vehicle.tkm.IE.Tr.Road.Freight.LCV.ICE.NGas</t>
  </si>
  <si>
    <t>Activity_per_vehicle.tkm.IE.Tr.Road.Freight.LCV.ICE.BEV</t>
  </si>
  <si>
    <t>Activity_per_vehicle.tkm.IE.Tr.Road.Freight.HGV</t>
  </si>
  <si>
    <t>Activity_per_vehicle.tkm.IE.Tr.Road.Freight.HGV.Domestic</t>
  </si>
  <si>
    <t>Activity_per_vehicle.tkm.IE.Tr.Road.Freight.HGV.International</t>
  </si>
  <si>
    <t>Road transport / energy consumption - IE - Ireland</t>
  </si>
  <si>
    <t>FEC.ktoe.IE.ES.Tr.Road</t>
  </si>
  <si>
    <t>FEC.ktoe.IE.ES.Tr.Road.LPG</t>
  </si>
  <si>
    <t>FEC.ktoe.IE.ES.Tr.Road.Gasoline</t>
  </si>
  <si>
    <t>FEC.ktoe.IE.ES.Tr.Road.Diesel</t>
  </si>
  <si>
    <t>FEC.ktoe.IE.ES.Tr.Road.NG</t>
  </si>
  <si>
    <t>FEC.ktoe.IE.ES.Tr.Road.Biogas</t>
  </si>
  <si>
    <t>FEC.ktoe.IE.ES.Tr.Road.Biogasoline</t>
  </si>
  <si>
    <t>FEC.ktoe.IE.ES.Tr.Road.Biodiesel</t>
  </si>
  <si>
    <t>FEC.ktoe.IE.ES.Tr.Road.OthLiqBio</t>
  </si>
  <si>
    <t>FEC.ktoe.IE.ES.Tr.Road.Elec</t>
  </si>
  <si>
    <t>FEC.ktoe.IE.Tr.Road</t>
  </si>
  <si>
    <t>FEC.ktoe.IE.Tr.Road.Passenger.P2W.Biogasoline</t>
  </si>
  <si>
    <t>FEC.ktoe.IE.Tr.Road.Passenger.Car.ICE.Gasoline</t>
  </si>
  <si>
    <t>FEC.ktoe.IE.Tr.Road.Passenger.Car.ICE.Gasoline.Biogasoline</t>
  </si>
  <si>
    <t>FEC.ktoe.IE.Tr.Road.Passenger.Car.ICE.Diesel</t>
  </si>
  <si>
    <t>FEC.ktoe.IE.Tr.Road.Passenger.Car.ICE.Diesel.BioDiesel_OthLiqBio</t>
  </si>
  <si>
    <t>FEC.ktoe.IE.Tr.Road.Passenger.Car.ICE.LPG</t>
  </si>
  <si>
    <t>FEC.ktoe.IE.Tr.Road.Passenger.Car.ICE.NGas</t>
  </si>
  <si>
    <t>FEC.ktoe.IE.Tr.Road.Passenger.Car.ICE.NGas.Biogas</t>
  </si>
  <si>
    <t>FEC.ktoe.IE.Tr.Road.Passenger.Car.PHEV</t>
  </si>
  <si>
    <t>FEC.ktoe.IE.Tr.Road.Passenger.Car.PHEV.Biogasoline</t>
  </si>
  <si>
    <t>FEC.ktoe.IE.Tr.Road.Passenger.Car.PHEV.Elec</t>
  </si>
  <si>
    <t>FEC.ktoe.IE.Tr.Road.Passenger.Car.BEV</t>
  </si>
  <si>
    <t>FEC.ktoe.IE.Tr.Road.Passenger.Bus.ICE.Gasoline</t>
  </si>
  <si>
    <t>FEC.ktoe.IE.Tr.Road.Passenger.Bus.ICE.Gasoline.Biogasoline</t>
  </si>
  <si>
    <t>FEC.ktoe.IE.Tr.Road.Passenger.Bus.ICE.Diesel</t>
  </si>
  <si>
    <t>FEC.ktoe.IE.Tr.Road.Passenger.Bus.ICE.Diesel.BioDiesel_OthLiqBio</t>
  </si>
  <si>
    <t>FEC.ktoe.IE.Tr.Road.Passenger.Bus.ICE.LPG</t>
  </si>
  <si>
    <t>FEC.ktoe.IE.Tr.Road.Passenger.Bus.ICE.NGas</t>
  </si>
  <si>
    <t>FEC.ktoe.IE.Tr.Road.Passenger.Bus.ICE.NGas.Biogas</t>
  </si>
  <si>
    <t>FEC.ktoe.IE.Tr.Road.Passenger.Bus.ICE.BEV</t>
  </si>
  <si>
    <t>FEC.ktoe.IE.Tr.Road.Freight.LCV.ICE.Gasoline</t>
  </si>
  <si>
    <t>FEC.ktoe.IE.Tr.Road.Freight.LCV.ICE.Gasoline.Biogasoline</t>
  </si>
  <si>
    <t>FEC.ktoe.IE.Tr.Road.Freight.LCV.ICE.Diesel</t>
  </si>
  <si>
    <t>FEC.ktoe.IE.Tr.Road.Freight.LCV.ICE.Diesel.BioDiesel_OthLiqBio</t>
  </si>
  <si>
    <t>FEC.ktoe.IE.Tr.Road.Freight.LCV.ICE.LPG</t>
  </si>
  <si>
    <t>FEC.ktoe.IE.Tr.Road.Freight.LCV.ICE.NGas</t>
  </si>
  <si>
    <t>FEC.ktoe.IE.Tr.Road.Freight.LCV.ICE.NGas.Biogas</t>
  </si>
  <si>
    <t>FEC.ktoe.IE.Tr.Road.Freight.LCV.ICE.BEV</t>
  </si>
  <si>
    <t>FEC.ktoe.IE.Tr.Road.Freight.HGV.Domestic</t>
  </si>
  <si>
    <t>FEC.ktoe.IE.Tr.Road.Freight.HGV.Domestic.BioDiesel_OthLiqBio</t>
  </si>
  <si>
    <t>FEC.ktoe.IE.Tr.Road.Freight.HGV.International</t>
  </si>
  <si>
    <t>FEC.ktoe.IE.Tr.Road.Freight.HGV.International.BioDiesel_OthLiqBio</t>
  </si>
  <si>
    <t>Eff.kgoe_per_100km.IE.Tr.Road</t>
  </si>
  <si>
    <t>Eff.kgoe_per_100km.IE.Tr.Road.Passenger</t>
  </si>
  <si>
    <t>Eff.kgoe_per_100km.IE.Tr.Road.Passenger.P2W</t>
  </si>
  <si>
    <t>Eff.kgoe_per_100km.IE.Tr.Road.Passenger.Car</t>
  </si>
  <si>
    <t>Eff.kgoe_per_100km.IE.Tr.Road.Passenger.Car.ICE.Gasoline</t>
  </si>
  <si>
    <t>Eff.kgoe_per_100km.IE.Tr.Road.Passenger.Car.ICE.Diesel</t>
  </si>
  <si>
    <t>Eff.kgoe_per_100km.IE.Tr.Road.Passenger.Car.ICE.LPG</t>
  </si>
  <si>
    <t>Eff.kgoe_per_100km.IE.Tr.Road.Passenger.Car.ICE.NGas</t>
  </si>
  <si>
    <t>Eff.kgoe_per_100km.IE.Tr.Road.Passenger.Car.PHEV</t>
  </si>
  <si>
    <t>Eff.kgoe_per_100km.IE.Tr.Road.Passenger.Car.BEV</t>
  </si>
  <si>
    <t>Eff.kgoe_per_100km.IE.Tr.Road.Passenger.Bus</t>
  </si>
  <si>
    <t>Eff.kgoe_per_100km.IE.Tr.Road.Passenger.Bus.ICE.Gasoline</t>
  </si>
  <si>
    <t>Eff.kgoe_per_100km.IE.Tr.Road.Passenger.Bus.ICE.Diesel</t>
  </si>
  <si>
    <t>Eff.kgoe_per_100km.IE.Tr.Road.Passenger.Bus.ICE.LPG</t>
  </si>
  <si>
    <t>Eff.kgoe_per_100km.IE.Tr.Road.Passenger.Bus.ICE.NGas</t>
  </si>
  <si>
    <t>Eff.kgoe_per_100km.IE.Tr.Road.Passenger.Bus.ICE.BEV</t>
  </si>
  <si>
    <t>Eff.kgoe_per_100km.IE.Tr.Road.Freight</t>
  </si>
  <si>
    <t>Eff.kgoe_per_100km.IE.Tr.Road.Freight.LCV</t>
  </si>
  <si>
    <t>Eff.kgoe_per_100km.IE.Tr.Road.Freight.LCV.ICE.Gasoline</t>
  </si>
  <si>
    <t>Eff.kgoe_per_100km.IE.Tr.Road.Freight.LCV.ICE.Diesel</t>
  </si>
  <si>
    <t>Eff.kgoe_per_100km.IE.Tr.Road.Freight.LCV.ICE.LPG</t>
  </si>
  <si>
    <t>Eff.kgoe_per_100km.IE.Tr.Road.Freight.LCV.ICE.NGas</t>
  </si>
  <si>
    <t>Eff.kgoe_per_100km.IE.Tr.Road.Freight.LCV.ICE.BEV</t>
  </si>
  <si>
    <t>Eff.kgoe_per_100km.IE.Tr.Road.Freight.HGV</t>
  </si>
  <si>
    <t>Eff.kgoe_per_100km.IE.Tr.Road.Freight.HGV.Domestic</t>
  </si>
  <si>
    <t>Eff.kgoe_per_100km.IE.Tr.Road.Freight.HGV.International</t>
  </si>
  <si>
    <t>Eff.kgoe_per_kpkm.IE.Tr.Road.Passenger.Car.ICE.Gasoline</t>
  </si>
  <si>
    <t>Eff.kgoe_per_kpkm.IE.Tr.Road.Passenger.Car.ICE.Diesel</t>
  </si>
  <si>
    <t>Eff.kgoe_per_kpkm.IE.Tr.Road.Passenger.Car.ICE.LPG</t>
  </si>
  <si>
    <t>Eff.kgoe_per_kpkm.IE.Tr.Road.Passenger.Car.ICE.NGas</t>
  </si>
  <si>
    <t>Eff.kgoe_per_kpkm.IE.Tr.Road.Passenger.Car.PHEV</t>
  </si>
  <si>
    <t>Eff.kgoe_per_kpkm.IE.Tr.Road.Passenger.Car.BEV</t>
  </si>
  <si>
    <t>Eff.kgoe_per_kpkm.IE.Tr.Road.Passenger.Bus.ICE.Gasoline</t>
  </si>
  <si>
    <t>Eff.kgoe_per_kpkm.IE.Tr.Road.Passenger.Bus.ICE.Diesel</t>
  </si>
  <si>
    <t>Eff.kgoe_per_kpkm.IE.Tr.Road.Passenger.Bus.ICE.LPG</t>
  </si>
  <si>
    <t>Eff.kgoe_per_kpkm.IE.Tr.Road.Passenger.Bus.ICE.NGas</t>
  </si>
  <si>
    <t>Eff.kgoe_per_kpkm.IE.Tr.Road.Passenger.Bus.ICE.BEV</t>
  </si>
  <si>
    <t>Eff.kgoe_per_ktkm.IE.Tr.Road.Freight.LCV.ICE.Gasoline</t>
  </si>
  <si>
    <t>Eff.kgoe_per_ktkm.IE.Tr.Road.Freight.LCV.ICE.Diesel</t>
  </si>
  <si>
    <t>Eff.kgoe_per_ktkm.IE.Tr.Road.Freight.LCV.ICE.LPG</t>
  </si>
  <si>
    <t>Eff.kgoe_per_ktkm.IE.Tr.Road.Freight.LCV.ICE.NGas</t>
  </si>
  <si>
    <t>Eff.kgoe_per_ktkm.IE.Tr.Road.Freight.LCV.ICE.BEV</t>
  </si>
  <si>
    <t>Eff.kgoe_per_ktkm.IE.Tr.Road.Freight.HGV.Domestic</t>
  </si>
  <si>
    <t>Eff.kgoe_per_ktkm.IE.Tr.Road.Freight.HGV.International</t>
  </si>
  <si>
    <t>FEC_per_vehicle.kgoe.IE.Tr.Road.Passenger.P2W</t>
  </si>
  <si>
    <t>FEC_per_vehicle.kgoe.IE.Tr.Road.Passenger.Car</t>
  </si>
  <si>
    <t>FEC_per_vehicle.kgoe.IE.Tr.Road.Passenger.Car.ICE.Gasoline</t>
  </si>
  <si>
    <t>FEC_per_vehicle.kgoe.IE.Tr.Road.Passenger.Car.ICE.Diesel</t>
  </si>
  <si>
    <t>FEC_per_vehicle.kgoe.IE.Tr.Road.Passenger.Car.ICE.LPG</t>
  </si>
  <si>
    <t>FEC_per_vehicle.kgoe.IE.Tr.Road.Passenger.Car.ICE.NGas</t>
  </si>
  <si>
    <t>FEC_per_vehicle.kgoe.IE.Tr.Road.Passenger.Car.PHEV</t>
  </si>
  <si>
    <t>FEC_per_vehicle.kgoe.IE.Tr.Road.Passenger.Car.BEV</t>
  </si>
  <si>
    <t>FEC_per_vehicle.kgoe.IE.Tr.Road.Passenger.Bus</t>
  </si>
  <si>
    <t>FEC_per_vehicle.kgoe.IE.Tr.Road.Passenger.Bus.ICE.Gasoline</t>
  </si>
  <si>
    <t>FEC_per_vehicle.kgoe.IE.Tr.Road.Passenger.Bus.ICE.Diesel</t>
  </si>
  <si>
    <t>FEC_per_vehicle.kgoe.IE.Tr.Road.Passenger.Bus.ICE.LPG</t>
  </si>
  <si>
    <t>FEC_per_vehicle.kgoe.IE.Tr.Road.Passenger.Bus.ICE.NGas</t>
  </si>
  <si>
    <t>FEC_per_vehicle.kgoe.IE.Tr.Road.Passenger.Bus.ICE.BEV</t>
  </si>
  <si>
    <t>FEC_per_vehicle.kgoe.IE.Tr.Road.Freight.LCV</t>
  </si>
  <si>
    <t>FEC_per_vehicle.kgoe.IE.Tr.Road.Freight.LCV.ICE.Gasoline</t>
  </si>
  <si>
    <t>FEC_per_vehicle.kgoe.IE.Tr.Road.Freight.LCV.ICE.Diesel</t>
  </si>
  <si>
    <t>FEC_per_vehicle.kgoe.IE.Tr.Road.Freight.LCV.ICE.LPG</t>
  </si>
  <si>
    <t>FEC_per_vehicle.kgoe.IE.Tr.Road.Freight.LCV.ICE.NGas</t>
  </si>
  <si>
    <t>FEC_per_vehicle.kgoe.IE.Tr.Road.Freight.LCV.ICE.BEV</t>
  </si>
  <si>
    <t>FEC_per_vehicle.kgoe.IE.Tr.Road.Freight.HGV</t>
  </si>
  <si>
    <t>FEC_per_vehicle.kgoe.IE.Tr.Road.Freight.HGV.Domestic</t>
  </si>
  <si>
    <t>FEC_per_vehicle.kgoe.IE.Tr.Road.Freight.HGV.International</t>
  </si>
  <si>
    <t>Road transport / CO2 emissions - IE - Ireland</t>
  </si>
  <si>
    <t>EMI.ktCO2.IE.ES.Tr.Road</t>
  </si>
  <si>
    <t>EMI.ktCO2.IE.ES.Tr.Road.LPG</t>
  </si>
  <si>
    <t>EMI.ktCO2.IE.ES.Tr.Road.Gasoline</t>
  </si>
  <si>
    <t>EMI.ktCO2.IE.ES.Tr.Road.Diesel</t>
  </si>
  <si>
    <t>EMI.ktCO2.IE.ES.Tr.Road.NG</t>
  </si>
  <si>
    <t>EMI.ktCO2.IE.ES.Tr.Road.Biogas</t>
  </si>
  <si>
    <t>EMI.ktCO2.IE.ES.Tr.Road.Biogasoline</t>
  </si>
  <si>
    <t>EMI.ktCO2.IE.ES.Tr.Road.Biodiesel</t>
  </si>
  <si>
    <t>EMI.ktCO2.IE.ES.Tr.Road.OthLiqBio</t>
  </si>
  <si>
    <t>EMI.ktCO2.IE.ES.Tr.Road.Elec</t>
  </si>
  <si>
    <t>EMI.ktCO2.IE.Tr.Road</t>
  </si>
  <si>
    <t>EMI.ktCO2.IE.Tr.Road.Passenger.Car.ICE.Gasoline</t>
  </si>
  <si>
    <t>EMI.ktCO2.IE.Tr.Road.Passenger.Car.ICE.Diesel</t>
  </si>
  <si>
    <t>EMI.ktCO2.IE.Tr.Road.Passenger.Car.ICE.LPG</t>
  </si>
  <si>
    <t>EMI.ktCO2.IE.Tr.Road.Passenger.Car.ICE.NGas</t>
  </si>
  <si>
    <t>EMI.ktCO2.IE.Tr.Road.Passenger.Car.PHEV</t>
  </si>
  <si>
    <t>EMI.ktCO2.IE.Tr.Road.Passenger.Car.BEV</t>
  </si>
  <si>
    <t>EMI.ktCO2.IE.Tr.Road.Passenger.Bus.ICE.Gasoline</t>
  </si>
  <si>
    <t>EMI.ktCO2.IE.Tr.Road.Passenger.Bus.ICE.Diesel</t>
  </si>
  <si>
    <t>EMI.ktCO2.IE.Tr.Road.Passenger.Bus.ICE.LPG</t>
  </si>
  <si>
    <t>EMI.ktCO2.IE.Tr.Road.Passenger.Bus.ICE.NGas</t>
  </si>
  <si>
    <t>EMI.ktCO2.IE.Tr.Road.Passenger.Bus.ICE.BEV</t>
  </si>
  <si>
    <t>EMI.ktCO2.IE.Tr.Road.Freight.LCV.ICE.Gasoline</t>
  </si>
  <si>
    <t>EMI.ktCO2.IE.Tr.Road.Freight.LCV.ICE.Diesel</t>
  </si>
  <si>
    <t>EMI.ktCO2.IE.Tr.Road.Freight.LCV.ICE.LPG</t>
  </si>
  <si>
    <t>EMI.ktCO2.IE.Tr.Road.Freight.LCV.ICE.NGas</t>
  </si>
  <si>
    <t>EMI.ktCO2.IE.Tr.Road.Freight.LCV.ICE.BEV</t>
  </si>
  <si>
    <t>EMI.ktCO2.IE.Tr.Road.Freight.HGV.Domestic</t>
  </si>
  <si>
    <t>EMI.ktCO2.IE.Tr.Road.Freight.HGV.International</t>
  </si>
  <si>
    <t>EMIint.gCO2_per_km.IE.Tr.Road</t>
  </si>
  <si>
    <t>EMIint.gCO2_per_km.IE.Tr.Road.Passenger</t>
  </si>
  <si>
    <t>EMIint.gCO2_per_km.IE.Tr.Road.Passenger.P2W</t>
  </si>
  <si>
    <t>EMIint.gCO2_per_km.IE.Tr.Road.Passenger.Car</t>
  </si>
  <si>
    <t>EMIint.gCO2_per_km.IE.Tr.Road.Passenger.Car.ICE.Gasoline</t>
  </si>
  <si>
    <t>EMIint.gCO2_per_km.IE.Tr.Road.Passenger.Car.ICE.Diesel</t>
  </si>
  <si>
    <t>EMIint.gCO2_per_km.IE.Tr.Road.Passenger.Car.ICE.LPG</t>
  </si>
  <si>
    <t>EMIint.gCO2_per_km.IE.Tr.Road.Passenger.Car.ICE.NGas</t>
  </si>
  <si>
    <t>EMIint.gCO2_per_km.IE.Tr.Road.Passenger.Car.PHEV</t>
  </si>
  <si>
    <t>EMIint.gCO2_per_km.IE.Tr.Road.Passenger.Car.BEV</t>
  </si>
  <si>
    <t>EMIint.gCO2_per_km.IE.Tr.Road.Passenger.Bus</t>
  </si>
  <si>
    <t>EMIint.gCO2_per_km.IE.Tr.Road.Passenger.Bus.ICE.Gasoline</t>
  </si>
  <si>
    <t>EMIint.gCO2_per_km.IE.Tr.Road.Passenger.Bus.ICE.Diesel</t>
  </si>
  <si>
    <t>EMIint.gCO2_per_km.IE.Tr.Road.Passenger.Bus.ICE.LPG</t>
  </si>
  <si>
    <t>EMIint.gCO2_per_km.IE.Tr.Road.Passenger.Bus.ICE.NGas</t>
  </si>
  <si>
    <t>EMIint.gCO2_per_km.IE.Tr.Road.Passenger.Bus.ICE.BEV</t>
  </si>
  <si>
    <t>EMIint.gCO2_per_km.IE.Tr.Road.Freight</t>
  </si>
  <si>
    <t>EMIint.gCO2_per_km.IE.Tr.Road.Freight.LCV</t>
  </si>
  <si>
    <t>EMIint.gCO2_per_km.IE.Tr.Road.Freight.LCV.ICE.Gasoline</t>
  </si>
  <si>
    <t>EMIint.gCO2_per_km.IE.Tr.Road.Freight.LCV.ICE.Diesel</t>
  </si>
  <si>
    <t>EMIint.gCO2_per_km.IE.Tr.Road.Freight.LCV.ICE.LPG</t>
  </si>
  <si>
    <t>EMIint.gCO2_per_km.IE.Tr.Road.Freight.LCV.ICE.NGas</t>
  </si>
  <si>
    <t>EMIint.gCO2_per_km.IE.Tr.Road.Freight.LCV.ICE.BEV</t>
  </si>
  <si>
    <t>EMIint.gCO2_per_km.IE.Tr.Road.Freight.HGV</t>
  </si>
  <si>
    <t>EMIint.gCO2_per_km.IE.Tr.Road.Freight.HGV.Domestic</t>
  </si>
  <si>
    <t>EMIint.gCO2_per_km.IE.Tr.Road.Freight.HGV.International</t>
  </si>
  <si>
    <t>EMIint.gCO2_per_pkm.IE.Tr.Road.Passenger.Car.ICE.Gasoline</t>
  </si>
  <si>
    <t>EMIint.gCO2_per_pkm.IE.Tr.Road.Passenger.Car.ICE.Diesel</t>
  </si>
  <si>
    <t>EMIint.gCO2_per_pkm.IE.Tr.Road.Passenger.Car.ICE.LPG</t>
  </si>
  <si>
    <t>EMIint.gCO2_per_pkm.IE.Tr.Road.Passenger.Car.ICE.NGas</t>
  </si>
  <si>
    <t>EMIint.gCO2_per_pkm.IE.Tr.Road.Passenger.Car.PHEV</t>
  </si>
  <si>
    <t>EMIint.gCO2_per_pkm.IE.Tr.Road.Passenger.Car.BEV</t>
  </si>
  <si>
    <t>EMIint.gCO2_per_pkm.IE.Tr.Road.Passenger.Bus.ICE.Gasoline</t>
  </si>
  <si>
    <t>EMIint.gCO2_per_pkm.IE.Tr.Road.Passenger.Bus.ICE.Diesel</t>
  </si>
  <si>
    <t>EMIint.gCO2_per_pkm.IE.Tr.Road.Passenger.Bus.ICE.LPG</t>
  </si>
  <si>
    <t>EMIint.gCO2_per_pkm.IE.Tr.Road.Passenger.Bus.ICE.NGas</t>
  </si>
  <si>
    <t>EMIint.gCO2_per_pkm.IE.Tr.Road.Passenger.Bus.ICE.BEV</t>
  </si>
  <si>
    <t>EMIint.gCO2_per_tkm.IE.Tr.Road.Freight.LCV.ICE.Gasoline</t>
  </si>
  <si>
    <t>EMIint.gCO2_per_tkm.IE.Tr.Road.Freight.LCV.ICE.Diesel</t>
  </si>
  <si>
    <t>EMIint.gCO2_per_tkm.IE.Tr.Road.Freight.LCV.ICE.LPG</t>
  </si>
  <si>
    <t>EMIint.gCO2_per_tkm.IE.Tr.Road.Freight.LCV.ICE.NGas</t>
  </si>
  <si>
    <t>EMIint.gCO2_per_tkm.IE.Tr.Road.Freight.LCV.ICE.BEV</t>
  </si>
  <si>
    <t>EMIint.gCO2_per_tkm.IE.Tr.Road.Freight.HGV.Domestic</t>
  </si>
  <si>
    <t>EMIint.gCO2_per_tkm.IE.Tr.Road.Freight.HGV.International</t>
  </si>
  <si>
    <t>EMI_per_vehicle.kgCO2.IE.Tr.Road.Passenger.P2W</t>
  </si>
  <si>
    <t>EMI_per_vehicle.kgCO2.IE.Tr.Road.Passenger.Car</t>
  </si>
  <si>
    <t>EMI_per_vehicle.kgCO2.IE.Tr.Road.Passenger.Car.ICE.Gasoline</t>
  </si>
  <si>
    <t>EMI_per_vehicle.kgCO2.IE.Tr.Road.Passenger.Car.ICE.Diesel</t>
  </si>
  <si>
    <t>EMI_per_vehicle.kgCO2.IE.Tr.Road.Passenger.Car.ICE.LPG</t>
  </si>
  <si>
    <t>EMI_per_vehicle.kgCO2.IE.Tr.Road.Passenger.Car.ICE.NGas</t>
  </si>
  <si>
    <t>EMI_per_vehicle.kgCO2.IE.Tr.Road.Passenger.Car.PHEV</t>
  </si>
  <si>
    <t>EMI_per_vehicle.kgCO2.IE.Tr.Road.Passenger.Car.BEV</t>
  </si>
  <si>
    <t>EMI_per_vehicle.kgCO2.IE.Tr.Road.Passenger.Bus</t>
  </si>
  <si>
    <t>EMI_per_vehicle.kgCO2.IE.Tr.Road.Passenger.Bus.ICE.Gasoline</t>
  </si>
  <si>
    <t>EMI_per_vehicle.kgCO2.IE.Tr.Road.Passenger.Bus.ICE.Diesel</t>
  </si>
  <si>
    <t>EMI_per_vehicle.kgCO2.IE.Tr.Road.Passenger.Bus.ICE.LPG</t>
  </si>
  <si>
    <t>EMI_per_vehicle.kgCO2.IE.Tr.Road.Passenger.Bus.ICE.NGas</t>
  </si>
  <si>
    <t>EMI_per_vehicle.kgCO2.IE.Tr.Road.Passenger.Bus.ICE.BEV</t>
  </si>
  <si>
    <t>EMI_per_vehicle.kgCO2.IE.Tr.Road.Freight.LCV</t>
  </si>
  <si>
    <t>EMI_per_vehicle.kgCO2.IE.Tr.Road.Freight.LCV.ICE.Gasoline</t>
  </si>
  <si>
    <t>EMI_per_vehicle.kgCO2.IE.Tr.Road.Freight.LCV.ICE.Diesel</t>
  </si>
  <si>
    <t>EMI_per_vehicle.kgCO2.IE.Tr.Road.Freight.LCV.ICE.LPG</t>
  </si>
  <si>
    <t>EMI_per_vehicle.kgCO2.IE.Tr.Road.Freight.LCV.ICE.NGas</t>
  </si>
  <si>
    <t>EMI_per_vehicle.kgCO2.IE.Tr.Road.Freight.LCV.ICE.BEV</t>
  </si>
  <si>
    <t>EMI_per_vehicle.kgCO2.IE.Tr.Road.Freight.HGV</t>
  </si>
  <si>
    <t>EMI_per_vehicle.kgCO2.IE.Tr.Road.Freight.HGV.Domestic</t>
  </si>
  <si>
    <t>EMI_per_vehicle.kgCO2.IE.Tr.Road.Freight.HGV.International</t>
  </si>
  <si>
    <t>Road transport / technologies - IE - Ireland</t>
  </si>
  <si>
    <t>StockVin.number.IE.Tr.Road</t>
  </si>
  <si>
    <t>StockVin.number.IE.Tr.Road.Passenger</t>
  </si>
  <si>
    <t>StockVin.number.IE.Tr.Road.Passenger.P2W</t>
  </si>
  <si>
    <t>StockVin.number.IE.Tr.Road.Passenger.Car</t>
  </si>
  <si>
    <t>StockVin.number.IE.Tr.Road.Passenger.Car.ICE.Gasoline</t>
  </si>
  <si>
    <t>StockVin.number.IE.Tr.Road.Passenger.Car.ICE.Diesel</t>
  </si>
  <si>
    <t>StockVin.number.IE.Tr.Road.Passenger.Car.ICE.LPG</t>
  </si>
  <si>
    <t>StockVin.number.IE.Tr.Road.Passenger.Car.ICE.NGas</t>
  </si>
  <si>
    <t>StockVin.number.IE.Tr.Road.Passenger.Car.PHEV</t>
  </si>
  <si>
    <t>StockVin.number.IE.Tr.Road.Passenger.Car.BEV</t>
  </si>
  <si>
    <t>StockVin.number.IE.Tr.Road.Passenger.Bus</t>
  </si>
  <si>
    <t>StockVin.number.IE.Tr.Road.Passenger.Bus.ICE.Gasoline</t>
  </si>
  <si>
    <t>StockVin.number.IE.Tr.Road.Passenger.Bus.ICE.Diesel</t>
  </si>
  <si>
    <t>StockVin.number.IE.Tr.Road.Passenger.Bus.ICE.LPG</t>
  </si>
  <si>
    <t>StockVin.number.IE.Tr.Road.Passenger.Bus.ICE.NGas</t>
  </si>
  <si>
    <t>StockVin.number.IE.Tr.Road.Passenger.Bus.ICE.BEV</t>
  </si>
  <si>
    <t>StockVin.number.IE.Tr.Road.Freight</t>
  </si>
  <si>
    <t>StockVin.number.IE.Tr.Road.Freight.LCV</t>
  </si>
  <si>
    <t>StockVin.number.IE.Tr.Road.Freight.LCV.ICE.Gasoline</t>
  </si>
  <si>
    <t>StockVin.number.IE.Tr.Road.Freight.LCV.ICE.Diesel</t>
  </si>
  <si>
    <t>StockVin.number.IE.Tr.Road.Freight.LCV.ICE.LPG</t>
  </si>
  <si>
    <t>StockVin.number.IE.Tr.Road.Freight.LCV.ICE.NGas</t>
  </si>
  <si>
    <t>StockVin.number.IE.Tr.Road.Freight.LCV.ICE.BEV</t>
  </si>
  <si>
    <t>StockVin.number.IE.Tr.Road.Freight.HGV</t>
  </si>
  <si>
    <t>StockVin.number.IE.Tr.Road.Freight.HGV.Domestic</t>
  </si>
  <si>
    <t>StockVin.number.IE.Tr.Road.Freight.HGV.International</t>
  </si>
  <si>
    <t>Eff_test_stock.kgoe_per_100km.IE.Tr.Road.Passenger.P2W</t>
  </si>
  <si>
    <t>Eff_test_stock.kgoe_per_100km.IE.Tr.Road.Passenger.Car</t>
  </si>
  <si>
    <t>Eff_test_stock.kgoe_per_100km.IE.Tr.Road.Passenger.Car.ICE.Gasoline</t>
  </si>
  <si>
    <t>Eff_test_stock.kgoe_per_100km.IE.Tr.Road.Passenger.Car.ICE.Diesel</t>
  </si>
  <si>
    <t>Eff_test_stock.kgoe_per_100km.IE.Tr.Road.Passenger.Car.ICE.LPG</t>
  </si>
  <si>
    <t>Eff_test_stock.kgoe_per_100km.IE.Tr.Road.Passenger.Car.ICE.NGas</t>
  </si>
  <si>
    <t>Eff_test_stock.kgoe_per_100km.IE.Tr.Road.Passenger.Car.PHEV</t>
  </si>
  <si>
    <t>Eff_test_stock.kgoe_per_100km.IE.Tr.Road.Passenger.Car.BEV</t>
  </si>
  <si>
    <t>Eff_test_stock.kgoe_per_100km.IE.Tr.Road.Passenger.Bus</t>
  </si>
  <si>
    <t>Eff_test_stock.kgoe_per_100km.IE.Tr.Road.Passenger.Bus.ICE.Gasoline</t>
  </si>
  <si>
    <t>Eff_test_stock.kgoe_per_100km.IE.Tr.Road.Passenger.Bus.ICE.Diesel</t>
  </si>
  <si>
    <t>Eff_test_stock.kgoe_per_100km.IE.Tr.Road.Passenger.Bus.ICE.LPG</t>
  </si>
  <si>
    <t>Eff_test_stock.kgoe_per_100km.IE.Tr.Road.Passenger.Bus.ICE.NGas</t>
  </si>
  <si>
    <t>Eff_test_stock.kgoe_per_100km.IE.Tr.Road.Passenger.Bus.ICE.BEV</t>
  </si>
  <si>
    <t>Eff_test_stock.kgoe_per_100km.IE.Tr.Road.Freight.LCV</t>
  </si>
  <si>
    <t>Eff_test_stock.kgoe_per_100km.IE.Tr.Road.Freight.LCV.ICE.Gasoline</t>
  </si>
  <si>
    <t>Eff_test_stock.kgoe_per_100km.IE.Tr.Road.Freight.LCV.ICE.Diesel</t>
  </si>
  <si>
    <t>Eff_test_stock.kgoe_per_100km.IE.Tr.Road.Freight.LCV.ICE.LPG</t>
  </si>
  <si>
    <t>Eff_test_stock.kgoe_per_100km.IE.Tr.Road.Freight.LCV.ICE.NGas</t>
  </si>
  <si>
    <t>Eff_test_stock.kgoe_per_100km.IE.Tr.Road.Freight.LCV.ICE.BEV</t>
  </si>
  <si>
    <t>Eff_test_stock.kgoe_per_100km.IE.Tr.Road.Freight.HGV</t>
  </si>
  <si>
    <t>Eff_test_stock.kgoe_per_100km.IE.Tr.Road.Freight.HGV.Domestic</t>
  </si>
  <si>
    <t>Eff_test_stock.kgoe_per_100km.IE.Tr.Road.Freight.HGV.International</t>
  </si>
  <si>
    <t>Eff_test_new.kgoe_per_100km.IE.Tr.Road.Passenger.P2W</t>
  </si>
  <si>
    <t>Eff_test_new.kgoe_per_100km.IE.Tr.Road.Passenger.Car</t>
  </si>
  <si>
    <t>Eff_test_new.kgoe_per_100km.IE.Tr.Road.Passenger.Car.ICE.Gasoline</t>
  </si>
  <si>
    <t>Eff_test_new.kgoe_per_100km.IE.Tr.Road.Passenger.Car.ICE.Diesel</t>
  </si>
  <si>
    <t>Eff_test_new.kgoe_per_100km.IE.Tr.Road.Passenger.Car.ICE.LPG</t>
  </si>
  <si>
    <t>Eff_test_new.kgoe_per_100km.IE.Tr.Road.Passenger.Car.ICE.NGas</t>
  </si>
  <si>
    <t>Eff_test_new.kgoe_per_100km.IE.Tr.Road.Passenger.Car.PHEV</t>
  </si>
  <si>
    <t>Eff_test_new.kgoe_per_100km.IE.Tr.Road.Passenger.Car.BEV</t>
  </si>
  <si>
    <t>Eff_test_new.kgoe_per_100km.IE.Tr.Road.Passenger.Bus</t>
  </si>
  <si>
    <t>Eff_test_new.kgoe_per_100km.IE.Tr.Road.Passenger.Bus.ICE.Gasoline</t>
  </si>
  <si>
    <t>Eff_test_new.kgoe_per_100km.IE.Tr.Road.Passenger.Bus.ICE.Diesel</t>
  </si>
  <si>
    <t>Eff_test_new.kgoe_per_100km.IE.Tr.Road.Passenger.Bus.ICE.LPG</t>
  </si>
  <si>
    <t>Eff_test_new.kgoe_per_100km.IE.Tr.Road.Passenger.Bus.ICE.NGas</t>
  </si>
  <si>
    <t>Eff_test_new.kgoe_per_100km.IE.Tr.Road.Passenger.Bus.ICE.BEV</t>
  </si>
  <si>
    <t>Eff_test_new.kgoe_per_100km.IE.Tr.Road.Freight.LCV</t>
  </si>
  <si>
    <t>Eff_test_new.kgoe_per_100km.IE.Tr.Road.Freight.LCV.ICE.Gasoline</t>
  </si>
  <si>
    <t>Eff_test_new.kgoe_per_100km.IE.Tr.Road.Freight.LCV.ICE.Diesel</t>
  </si>
  <si>
    <t>Eff_test_new.kgoe_per_100km.IE.Tr.Road.Freight.LCV.ICE.LPG</t>
  </si>
  <si>
    <t>Eff_test_new.kgoe_per_100km.IE.Tr.Road.Freight.LCV.ICE.NGas</t>
  </si>
  <si>
    <t>Eff_test_new.kgoe_per_100km.IE.Tr.Road.Freight.LCV.ICE.BEV</t>
  </si>
  <si>
    <t>Eff_test_new.kgoe_per_100km.IE.Tr.Road.Freight.HGV</t>
  </si>
  <si>
    <t>Eff_test_new.kgoe_per_100km.IE.Tr.Road.Freight.HGV.Domestic</t>
  </si>
  <si>
    <t>Eff_test_new.kgoe_per_100km.IE.Tr.Road.Freight.HGV.International</t>
  </si>
  <si>
    <t>EMIint_test_stock.gCO2_per_km.IE.Tr.Road.Passenger.P2W</t>
  </si>
  <si>
    <t>EMIint_test_stock.gCO2_per_km.IE.Tr.Road.Passenger.Car</t>
  </si>
  <si>
    <t>EMIint_test_stock.gCO2_per_km.IE.Tr.Road.Passenger.Car.ICE.Gasoline</t>
  </si>
  <si>
    <t>EMIint_test_stock.gCO2_per_km.IE.Tr.Road.Passenger.Car.ICE.Diesel</t>
  </si>
  <si>
    <t>EMIint_test_stock.gCO2_per_km.IE.Tr.Road.Passenger.Car.ICE.LPG</t>
  </si>
  <si>
    <t>EMIint_test_stock.gCO2_per_km.IE.Tr.Road.Passenger.Car.ICE.NGas</t>
  </si>
  <si>
    <t>EMIint_test_stock.gCO2_per_km.IE.Tr.Road.Passenger.Car.PHEV</t>
  </si>
  <si>
    <t>EMIint_test_stock.gCO2_per_km.IE.Tr.Road.Passenger.Car.BEV</t>
  </si>
  <si>
    <t>EMIint_test_stock.gCO2_per_km.IE.Tr.Road.Passenger.Bus</t>
  </si>
  <si>
    <t>EMIint_test_stock.gCO2_per_km.IE.Tr.Road.Passenger.Bus.ICE.Gasoline</t>
  </si>
  <si>
    <t>EMIint_test_stock.gCO2_per_km.IE.Tr.Road.Passenger.Bus.ICE.Diesel</t>
  </si>
  <si>
    <t>EMIint_test_stock.gCO2_per_km.IE.Tr.Road.Passenger.Bus.ICE.LPG</t>
  </si>
  <si>
    <t>EMIint_test_stock.gCO2_per_km.IE.Tr.Road.Passenger.Bus.ICE.NGas</t>
  </si>
  <si>
    <t>EMIint_test_stock.gCO2_per_km.IE.Tr.Road.Passenger.Bus.ICE.BEV</t>
  </si>
  <si>
    <t>EMIint_test_stock.gCO2_per_km.IE.Tr.Road.Freight.LCV</t>
  </si>
  <si>
    <t>EMIint_test_stock.gCO2_per_km.IE.Tr.Road.Freight.LCV.ICE.Gasoline</t>
  </si>
  <si>
    <t>EMIint_test_stock.gCO2_per_km.IE.Tr.Road.Freight.LCV.ICE.Diesel</t>
  </si>
  <si>
    <t>EMIint_test_stock.gCO2_per_km.IE.Tr.Road.Freight.LCV.ICE.LPG</t>
  </si>
  <si>
    <t>EMIint_test_stock.gCO2_per_km.IE.Tr.Road.Freight.LCV.ICE.NGas</t>
  </si>
  <si>
    <t>EMIint_test_stock.gCO2_per_km.IE.Tr.Road.Freight.LCV.ICE.BEV</t>
  </si>
  <si>
    <t>EMIint_test_stock.gCO2_per_km.IE.Tr.Road.Freight.HGV</t>
  </si>
  <si>
    <t>EMIint_test_stock.gCO2_per_km.IE.Tr.Road.Freight.HGV.Domestic</t>
  </si>
  <si>
    <t>EMIint_test_stock.gCO2_per_km.IE.Tr.Road.Freight.HGV.International</t>
  </si>
  <si>
    <t>EMIint_test_new.gCO2_per_km.IE.Tr.Road.Passenger.P2W</t>
  </si>
  <si>
    <t>EMIint_test_new.gCO2_per_km.IE.Tr.Road.Passenger.Car</t>
  </si>
  <si>
    <t>EMIint_test_new.gCO2_per_km.IE.Tr.Road.Passenger.Car.ICE.Gasoline</t>
  </si>
  <si>
    <t>EMIint_test_new.gCO2_per_km.IE.Tr.Road.Passenger.Car.ICE.Diesel</t>
  </si>
  <si>
    <t>EMIint_test_new.gCO2_per_km.IE.Tr.Road.Passenger.Car.ICE.LPG</t>
  </si>
  <si>
    <t>EMIint_test_new.gCO2_per_km.IE.Tr.Road.Passenger.Car.ICE.NGas</t>
  </si>
  <si>
    <t>EMIint_test_new.gCO2_per_km.IE.Tr.Road.Passenger.Car.PHEV</t>
  </si>
  <si>
    <t>EMIint_test_new.gCO2_per_km.IE.Tr.Road.Passenger.Car.BEV</t>
  </si>
  <si>
    <t>EMIint_test_new.gCO2_per_km.IE.Tr.Road.Passenger.Bus</t>
  </si>
  <si>
    <t>EMIint_test_new.gCO2_per_km.IE.Tr.Road.Passenger.Bus.ICE.Gasoline</t>
  </si>
  <si>
    <t>EMIint_test_new.gCO2_per_km.IE.Tr.Road.Passenger.Bus.ICE.Diesel</t>
  </si>
  <si>
    <t>EMIint_test_new.gCO2_per_km.IE.Tr.Road.Passenger.Bus.ICE.LPG</t>
  </si>
  <si>
    <t>EMIint_test_new.gCO2_per_km.IE.Tr.Road.Passenger.Bus.ICE.NGas</t>
  </si>
  <si>
    <t>EMIint_test_new.gCO2_per_km.IE.Tr.Road.Passenger.Bus.ICE.BEV</t>
  </si>
  <si>
    <t>EMIint_test_new.gCO2_per_km.IE.Tr.Road.Freight.LCV</t>
  </si>
  <si>
    <t>EMIint_test_new.gCO2_per_km.IE.Tr.Road.Freight.LCV.ICE.Gasoline</t>
  </si>
  <si>
    <t>EMIint_test_new.gCO2_per_km.IE.Tr.Road.Freight.LCV.ICE.Diesel</t>
  </si>
  <si>
    <t>EMIint_test_new.gCO2_per_km.IE.Tr.Road.Freight.LCV.ICE.LPG</t>
  </si>
  <si>
    <t>EMIint_test_new.gCO2_per_km.IE.Tr.Road.Freight.LCV.ICE.NGas</t>
  </si>
  <si>
    <t>EMIint_test_new.gCO2_per_km.IE.Tr.Road.Freight.LCV.ICE.BEV</t>
  </si>
  <si>
    <t>EMIint_test_new.gCO2_per_km.IE.Tr.Road.Freight.HGV</t>
  </si>
  <si>
    <t>EMIint_test_new.gCO2_per_km.IE.Tr.Road.Freight.HGV.Domestic</t>
  </si>
  <si>
    <t>EMIint_test_new.gCO2_per_km.IE.Tr.Road.Freight.HGV.International</t>
  </si>
  <si>
    <t>FEC.ktoe.IE.MBunk</t>
  </si>
  <si>
    <t>FEC.ktoe.IE.MBunk.IntraEEA</t>
  </si>
  <si>
    <t>FEC.ktoe.IE.MBunk.ExtraEEA</t>
  </si>
  <si>
    <t>EMI.ktCO2.IE.MBunk</t>
  </si>
  <si>
    <t>EMI.ktCO2.IE.MBunk.IntraEEA</t>
  </si>
  <si>
    <t>EMI.ktCO2.IE.MBunk.ExtraEEA</t>
  </si>
  <si>
    <t>International maritime bunkers - IE - Ireland</t>
  </si>
  <si>
    <t>VehicleKm.Mkm.IE.MBunk.Freight</t>
  </si>
  <si>
    <t>VehicleKm.Mkm.IE.MBunk.Freight.IntraEEA</t>
  </si>
  <si>
    <t>VehicleKm.Mkm.IE.MBunk.Freight.ExtraEEA</t>
  </si>
  <si>
    <t>Load.t_per_movement.IE.MBunk.Freight</t>
  </si>
  <si>
    <t>Load.t_per_movement.IE.MBunk.Freight.IntraEEA</t>
  </si>
  <si>
    <t>Load.t_per_movement.IE.MBunk.Freight.ExtraEEA</t>
  </si>
  <si>
    <t>International maritime bunkers / energy consumption - IE - Ireland</t>
  </si>
  <si>
    <t>FEC.ktoe.IE.ES.MBunk</t>
  </si>
  <si>
    <t>FEC.ktoe.IE.ES.MBunk.IntraEEA</t>
  </si>
  <si>
    <t>FEC.ktoe.IE.ES.MBunk.IntraEEA.Diesel</t>
  </si>
  <si>
    <t>FEC.ktoe.IE.ES.MBunk.IntraEEA.RFO_Other</t>
  </si>
  <si>
    <t>FEC.ktoe.IE.ES.MBunk.IntraEEA.LiqBio</t>
  </si>
  <si>
    <t>FEC.ktoe.IE.ES.MBunk.IntraEEA.NG</t>
  </si>
  <si>
    <t>FEC.ktoe.IE.ES.MBunk.IntraEEA.Biogas</t>
  </si>
  <si>
    <t>FEC.ktoe.IE.ES.MBunk.ExtraEEA</t>
  </si>
  <si>
    <t>FEC.ktoe.IE.ES.MBunk.ExtraEEA.Diesel</t>
  </si>
  <si>
    <t>FEC.ktoe.IE.ES.MBunk.ExtraEEA.RFO_Other</t>
  </si>
  <si>
    <t>FEC.ktoe.IE.ES.MBunk.ExtraEEA.LiqBio</t>
  </si>
  <si>
    <t>FEC.ktoe.IE.ES.MBunk.ExtraEEA.NG</t>
  </si>
  <si>
    <t>FEC.ktoe.IE.ES.MBunk.ExtraEEA.Biogas</t>
  </si>
  <si>
    <t>Eff.kgoe_per_100km.IE.MBunk.Freight</t>
  </si>
  <si>
    <t>Eff.kgoe_per_100km.IE.MBunk.Freight.IntraEEA</t>
  </si>
  <si>
    <t>Eff.kgoe_per_100km.IE.MBunk.Freight.ExtraEEA</t>
  </si>
  <si>
    <t>International maritime bunkers / CO2 emissions - IE - Ireland</t>
  </si>
  <si>
    <t>EMI.ktCO2.IE.ES.MBunk</t>
  </si>
  <si>
    <t>EMI.ktCO2.IE.ES.MBunk.IntraEEA</t>
  </si>
  <si>
    <t>EMI.ktCO2.IE.ES.MBunk.ExtraEEA</t>
  </si>
  <si>
    <t>EMIint.gCO2_per_km.IE.MBunk.Freight</t>
  </si>
  <si>
    <t>EMIint.gCO2_per_km.IE.MBunk.Freight.IntraEEA</t>
  </si>
  <si>
    <t>EMIint.gCO2_per_km.IE.MBunk.Freight.ExtraEEA</t>
  </si>
  <si>
    <t>FEC.ktoe.IE.Tr.DNavi</t>
  </si>
  <si>
    <t>FEC.ktoe.IE.Tr.Dnavi.DCS</t>
  </si>
  <si>
    <t>FEC.ktoe.IE.Tr.Dnavi.IWW</t>
  </si>
  <si>
    <t>EMI.ktCO2.IE.Tr.DNavi</t>
  </si>
  <si>
    <t>EMI.ktCO2.IE.Tr.Dnavi.DCS</t>
  </si>
  <si>
    <t>EMI.ktCO2.IE.Tr.Dnavi.IWW</t>
  </si>
  <si>
    <t>Domestic navigation - IE - Ireland</t>
  </si>
  <si>
    <t>VehicleKm.Mkm.IE.Tr.DNavi.Freight</t>
  </si>
  <si>
    <t>VehicleKm.Mkm.IE.Tr.DNavi.Freight.DCS</t>
  </si>
  <si>
    <t>VehicleKm.Mkm.IE.Tr.DNavi.Freight.IWW</t>
  </si>
  <si>
    <t>Load.t_per_movement.IE.Tr.DNavi.Freight</t>
  </si>
  <si>
    <t>Load.t_per_movement.IE.Tr.DNavi.Freight.DCS</t>
  </si>
  <si>
    <t>Load.t_per_movement.IE.Tr.DNavi.Freight.IWW</t>
  </si>
  <si>
    <t>Domestic navigation / energy consumption - IE - Ireland</t>
  </si>
  <si>
    <t>FEC.ktoe.IE.ES.Tr.DNavi</t>
  </si>
  <si>
    <t>FEC.ktoe.IE.ES.Tr.DNavi.DCS</t>
  </si>
  <si>
    <t>FEC.ktoe.IE.ES.Tr.DNavi.DCS.Diesel</t>
  </si>
  <si>
    <t>FEC.ktoe.IE.ES.Tr.DNavi.DCS.RFO_Other</t>
  </si>
  <si>
    <t>FEC.ktoe.IE.ES.Tr.DNavi.DCS.LiqBio</t>
  </si>
  <si>
    <t>FEC.ktoe.IE.ES.Tr.DNavi.DCS.NG</t>
  </si>
  <si>
    <t>FEC.ktoe.IE.ES.Tr.DNavi.DCS.Biogas</t>
  </si>
  <si>
    <t>FEC.ktoe.IE.ES.Tr.DNavi.IWW</t>
  </si>
  <si>
    <t>FEC.ktoe.IE.ES.Tr.DNavi.IWW.Diesel</t>
  </si>
  <si>
    <t>FEC.ktoe.IE.ES.Tr.DNavi.IWW.RFO_Other</t>
  </si>
  <si>
    <t>FEC.ktoe.IE.ES.Tr.DNavi.IWW.LiqBio</t>
  </si>
  <si>
    <t>FEC.ktoe.IE.ES.Tr.DNavi.IWW.NG</t>
  </si>
  <si>
    <t>FEC.ktoe.IE.ES.Tr.DNavi.IWW.Biogas</t>
  </si>
  <si>
    <t>Eff.kgoe_per_100km.IE.Tr.DNavi.Freight</t>
  </si>
  <si>
    <t>Eff.kgoe_per_100km.IE.Tr.DNavi.Freight.DCS</t>
  </si>
  <si>
    <t>Eff.kgoe_per_100km.IE.Tr.DNavi.Freight.IWW</t>
  </si>
  <si>
    <t>Domestic navigation / CO2 emissions - IE - Ireland</t>
  </si>
  <si>
    <t>EMI.ktCO2.IE.ES.Tr.DNavi</t>
  </si>
  <si>
    <t>EMI.ktCO2.IE.ES.Tr.DNavi.DCS</t>
  </si>
  <si>
    <t>EMI.ktCO2.IE.ES.Tr.DNavi.IWW</t>
  </si>
  <si>
    <t>EMIint.gCO2_per_km.IE.Tr.DNavi.Freight</t>
  </si>
  <si>
    <t>EMIint.gCO2_per_km.IE.Tr.DNavi.Freight.DCS</t>
  </si>
  <si>
    <t>EMIint.gCO2_per_km.IE.Tr.DNavi.Freight.IWW</t>
  </si>
  <si>
    <t>Rail, metro and tram - IE - Ireland</t>
  </si>
  <si>
    <t>Activity.Mpkm.IE.Tr.Rail.Passenger.CPT.Diesel</t>
  </si>
  <si>
    <t>Activity.Mpkm.IE.Tr.Rail.Passenger.CPT.Elc</t>
  </si>
  <si>
    <t>Activity.Mtkm.IE.Tr.Rail.Freight.Diesel</t>
  </si>
  <si>
    <t>Activity.Mtkm.IE.Tr.Rail.Freight.Elc</t>
  </si>
  <si>
    <t>VehicleKm.Mkm.IE.Tr.Rail</t>
  </si>
  <si>
    <t>VehicleKm.Mkm.IE.Tr.Rail.Passenger</t>
  </si>
  <si>
    <t>VehicleKm.Mkm.IE.Tr.Rail.Passenger.MTU</t>
  </si>
  <si>
    <t>VehicleKm.Mkm.IE.Tr.Rail.Passenger.CPT</t>
  </si>
  <si>
    <t>VehicleKm.Mkm.IE.Tr.Rail.Passenger.CPT.Diesel</t>
  </si>
  <si>
    <t>VehicleKm.Mkm.IE.Tr.Rail.Passenger.CPT.Elc</t>
  </si>
  <si>
    <t>VehicleKm.Mkm.IE.Tr.Rail.Passenger.HST</t>
  </si>
  <si>
    <t>VehicleKm.Mkm.IE.Tr.Rail.Freight</t>
  </si>
  <si>
    <t>VehicleKm.Mkm.IE.Tr.Rail.Freight.Diesel</t>
  </si>
  <si>
    <t>VehicleKm.Mkm.IE.Tr.Rail.Freight.Elc</t>
  </si>
  <si>
    <t>Stock.number.IE.Tr.Rail</t>
  </si>
  <si>
    <t>Stock.number.IE.Tr.Rail.Passenger</t>
  </si>
  <si>
    <t>Stock.number.IE.Tr.Rail.Passenger.MTU</t>
  </si>
  <si>
    <t>Stock.number.IE.Tr.Rail.Passenger.CPT</t>
  </si>
  <si>
    <t>Stock.number.IE.Tr.Rail.Passenger.CPT.Diesel</t>
  </si>
  <si>
    <t>Stock.number.IE.Tr.Rail.Passenger.CPT.Elc</t>
  </si>
  <si>
    <t>Stock.number.IE.Tr.Rail.Passenger.HST</t>
  </si>
  <si>
    <t>Stock.number.IE.Tr.Rail.Freight</t>
  </si>
  <si>
    <t>Stock.number.IE.Tr.Rail.Freight.Diesel</t>
  </si>
  <si>
    <t>Stock.number.IE.Tr.Rail.Freight.Elc</t>
  </si>
  <si>
    <t>StockNew.number.IE.Tr.Rail</t>
  </si>
  <si>
    <t>StockNew.number.IE.Tr.Rail.Passenger</t>
  </si>
  <si>
    <t>StockNew.number.IE.Tr.Rail.Passenger.MTU</t>
  </si>
  <si>
    <t>StockNew.number.IE.Tr.Rail.Passenger.CPT</t>
  </si>
  <si>
    <t>StockNew.number.IE.Tr.Rail.Passenger.CPT.Diesel</t>
  </si>
  <si>
    <t>StockNew.number.IE.Tr.Rail.Passenger.CPT.Elc</t>
  </si>
  <si>
    <t>StockNew.number.IE.Tr.Rail.Passenger.HST</t>
  </si>
  <si>
    <t>StockNew.number.IE.Tr.Rail.Freight</t>
  </si>
  <si>
    <t>StockNew.number.IE.Tr.Rail.Freight.Diesel</t>
  </si>
  <si>
    <t>StockNew.number.IE.Tr.Rail.Freight.Elc</t>
  </si>
  <si>
    <t>Load.passenger_per_movement.IE.Tr.Rail.Passenger</t>
  </si>
  <si>
    <t>Load.passenger_per_movement.IE.Tr.Rail.Passenger.MTU</t>
  </si>
  <si>
    <t>Load.passenger_per_movement.IE.Tr.Rail.Passenger.CPT</t>
  </si>
  <si>
    <t>Load.passenger_per_movement.IE.Tr.Rail.Passenger.CPT.Diesel</t>
  </si>
  <si>
    <t>Load.passenger_per_movement.IE.Tr.Rail.Passenger.CPT.Elc</t>
  </si>
  <si>
    <t>Load.passenger_per_movement.IE.Tr.Rail.Passenger.HST</t>
  </si>
  <si>
    <t>Load.t_per_movement.IE.Tr.Rail.Freight</t>
  </si>
  <si>
    <t>Load.t_per_movement.IE.Tr.Rail.Freight.Diesel</t>
  </si>
  <si>
    <t>Load.t_per_movement.IE.Tr.Rail.Freight.Elc</t>
  </si>
  <si>
    <t>TrCap.seats.IE.Tr.Rail.Passenger</t>
  </si>
  <si>
    <t>TrCap.seats.IE.Tr.Rail.Passenger.MTU</t>
  </si>
  <si>
    <t>TrCap.seats.IE.Tr.Rail.Passenger.CPT</t>
  </si>
  <si>
    <t>TrCap.seats.IE.Tr.Rail.Passenger.CPT.Diesel</t>
  </si>
  <si>
    <t>TrCap.seats.IE.Tr.Rail.Passenger.CPT.Elc</t>
  </si>
  <si>
    <t>TrCap.seats.IE.Tr.Rail.Passenger.HST</t>
  </si>
  <si>
    <t>TrCap.t.IE.Tr.Rail.Freight</t>
  </si>
  <si>
    <t>TrCap.t.IE.Tr.Rail.Freight.Diesel</t>
  </si>
  <si>
    <t>TrCap.t.IE.Tr.Rail.Freight.Elc</t>
  </si>
  <si>
    <t>VehicleKm_per_vehicle.km.IE.Tr.Rail</t>
  </si>
  <si>
    <t>VehicleKm_per_vehicle.km.IE.Tr.Rail.Passenger</t>
  </si>
  <si>
    <t>VehicleKm_per_vehicle.km.IE.Tr.Rail.Passenger.MTU</t>
  </si>
  <si>
    <t>VehicleKm_per_vehicle.km.IE.Tr.Rail.Passenger.CPT</t>
  </si>
  <si>
    <t>VehicleKm_per_vehicle.km.IE.Tr.Rail.Passenger.CPT.Diesel</t>
  </si>
  <si>
    <t>VehicleKm_per_vehicle.km.IE.Tr.Rail.Passenger.CPT.Elc</t>
  </si>
  <si>
    <t>VehicleKm_per_vehicle.km.IE.Tr.Rail.Passenger.HST</t>
  </si>
  <si>
    <t>VehicleKm_per_vehicle.km.IE.Tr.Rail.Freight</t>
  </si>
  <si>
    <t>VehicleKm_per_vehicle.km.IE.Tr.Rail.Freight.Diesel</t>
  </si>
  <si>
    <t>VehicleKm_per_vehicle.km.IE.Tr.Rail.Freight.Elc</t>
  </si>
  <si>
    <t>Activity_per_vehicle.pkm.IE.Tr.Rail.Passenger</t>
  </si>
  <si>
    <t>Activity_per_vehicle.pkm.IE.Tr.Rail.Passenger.MTU</t>
  </si>
  <si>
    <t>Activity_per_vehicle.pkm.IE.Tr.Rail.Passenger.CPT</t>
  </si>
  <si>
    <t>Activity_per_vehicle.pkm.IE.Tr.Rail.Passenger.CPT.Diesel</t>
  </si>
  <si>
    <t>Activity_per_vehicle.pkm.IE.Tr.Rail.Passenger.CPT.Elc</t>
  </si>
  <si>
    <t>Activity_per_vehicle.pkm.IE.Tr.Rail.Passenger.HST</t>
  </si>
  <si>
    <t>Activity_per_vehicle.tkm.IE.Tr.Rail.Freight</t>
  </si>
  <si>
    <t>Activity_per_vehicle.tkm.IE.Tr.Rail.Freight.Diesel</t>
  </si>
  <si>
    <t>Activity_per_vehicle.tkm.IE.Tr.Rail.Freight.Elc</t>
  </si>
  <si>
    <t>Rail, metro and tram / energy consumption - IE - Ireland</t>
  </si>
  <si>
    <t>FEC.ktoe.IE.ES.Tr.Rail</t>
  </si>
  <si>
    <t>FEC.ktoe.IE.ES.Tr.Rail.Diesel</t>
  </si>
  <si>
    <t>FEC.ktoe.IE.ES.Tr.Rail.LiqBio</t>
  </si>
  <si>
    <t>FEC.ktoe.IE.ES.Tr.Rail.Elec</t>
  </si>
  <si>
    <t>FEC.ktoe.IE.Tr.Rail</t>
  </si>
  <si>
    <t>FEC.ktoe.IE.Tr.Rail.Passenger.CPT.Diesel</t>
  </si>
  <si>
    <t>FEC.ktoe.IE.Tr.Rail.Passenger.CPT.Elc</t>
  </si>
  <si>
    <t>FEC.ktoe.IE.Tr.Rail.Freight.Diesel</t>
  </si>
  <si>
    <t>FEC.ktoe.IE.Tr.Rail.Freight.Elc</t>
  </si>
  <si>
    <t>Eff.kgoe_per_100km.IE.Tr.Rail</t>
  </si>
  <si>
    <t>Eff.kgoe_per_100km.IE.Tr.Rail.Passenger</t>
  </si>
  <si>
    <t>Eff.kgoe_per_100km.IE.Tr.Rail.Passenger.MTU</t>
  </si>
  <si>
    <t>Eff.kgoe_per_100km.IE.Tr.Rail.Passenger.CPT</t>
  </si>
  <si>
    <t>Eff.kgoe_per_100km.IE.Tr.Rail.Passenger.CPT.Diesel</t>
  </si>
  <si>
    <t>Eff.kgoe_per_100km.IE.Tr.Rail.Passenger.CPT.Elc</t>
  </si>
  <si>
    <t>Eff.kgoe_per_100km.IE.Tr.Rail.Passenger.HST</t>
  </si>
  <si>
    <t>Eff.kgoe_per_100km.IE.Tr.Rail.Freight</t>
  </si>
  <si>
    <t>Eff.kgoe_per_100km.IE.Tr.Rail.Freight.Diesel</t>
  </si>
  <si>
    <t>Eff.kgoe_per_100km.IE.Tr.Rail.Freight.Elc</t>
  </si>
  <si>
    <t>Eff.kgoe_per_kpkm.IE.Tr.Rail.Passenger.CPT.Diesel</t>
  </si>
  <si>
    <t>Eff.kgoe_per_kpkm.IE.Tr.Rail.Passenger.CPT.Elc</t>
  </si>
  <si>
    <t>Eff.kgoe_per_ktkm.IE.Tr.Rail.Freight.Diesel</t>
  </si>
  <si>
    <t>Eff.kgoe_per_ktkm.IE.Tr.Rail.Freight.Elc</t>
  </si>
  <si>
    <t>FEC_per_vehicle.kgoe.IE.Tr.Rail</t>
  </si>
  <si>
    <t>FEC_per_vehicle.kgoe.IE.Tr.Rail.Passenger</t>
  </si>
  <si>
    <t>FEC_per_vehicle.kgoe.IE.Tr.Rail.Passenger.MTU</t>
  </si>
  <si>
    <t>FEC_per_vehicle.kgoe.IE.Tr.Rail.Passenger.CPT</t>
  </si>
  <si>
    <t>FEC_per_vehicle.kgoe.IE.Tr.Rail.Passenger.CPT.Diesel</t>
  </si>
  <si>
    <t>FEC_per_vehicle.kgoe.IE.Tr.Rail.Passenger.CPT.Elc</t>
  </si>
  <si>
    <t>FEC_per_vehicle.kgoe.IE.Tr.Rail.Passenger.HST</t>
  </si>
  <si>
    <t>FEC_per_vehicle.kgoe.IE.Tr.Rail.Freight</t>
  </si>
  <si>
    <t>FEC_per_vehicle.kgoe.IE.Tr.Rail.Freight.Diesel</t>
  </si>
  <si>
    <t>FEC_per_vehicle.kgoe.IE.Tr.Rail.Freight.Elc</t>
  </si>
  <si>
    <t>Rail, metro and tram / CO2 emissions - IE - Ireland</t>
  </si>
  <si>
    <t>EMI.ktCO2.IE.ES.Tr.Rail</t>
  </si>
  <si>
    <t>EMI.ktCO2.IE.ES.Tr.Rail.Diesel</t>
  </si>
  <si>
    <t>EMI.ktCO2.IE.ES.Tr.Rail.Elec</t>
  </si>
  <si>
    <t>EMI.ktCO2.IE.Tr.Rail</t>
  </si>
  <si>
    <t>EMI.ktCO2.IE.Tr.Rail.Passenger.CPT.Diesel</t>
  </si>
  <si>
    <t>EMI.ktCO2.IE.Tr.Rail.Passenger.CPT.Elc</t>
  </si>
  <si>
    <t>EMI.ktCO2.IE.Tr.Rail.Freight.Diesel</t>
  </si>
  <si>
    <t>EMI.ktCO2.IE.Tr.Rail.Freight.Elc</t>
  </si>
  <si>
    <t>EMIint.gCO2_per_km.IE.Tr.Rail</t>
  </si>
  <si>
    <t>EMIint.gCO2_per_km.IE.Tr.Rail.Passenger</t>
  </si>
  <si>
    <t>EMIint.gCO2_per_km.IE.Tr.Rail.Passenger.MTU</t>
  </si>
  <si>
    <t>EMIint.gCO2_per_km.IE.Tr.Rail.Passenger.CPT</t>
  </si>
  <si>
    <t>EMIint.gCO2_per_km.IE.Tr.Rail.Passenger.CPT.Diesel</t>
  </si>
  <si>
    <t>EMIint.gCO2_per_km.IE.Tr.Rail.Passenger.CPT.Elc</t>
  </si>
  <si>
    <t>EMIint.gCO2_per_km.IE.Tr.Rail.Passenger.HST</t>
  </si>
  <si>
    <t>EMIint.gCO2_per_km.IE.Tr.Rail.Freight</t>
  </si>
  <si>
    <t>EMIint.gCO2_per_km.IE.Tr.Rail.Freight.Diesel</t>
  </si>
  <si>
    <t>EMIint.gCO2_per_km.IE.Tr.Rail.Freight.Elc</t>
  </si>
  <si>
    <t>EMIint.gCO2_per_pkm.IE.Tr.Rail.Passenger.CPT.Diesel</t>
  </si>
  <si>
    <t>EMIint.gCO2_per_pkm.IE.Tr.Rail.Passenger.CPT.Elc</t>
  </si>
  <si>
    <t>EMIint.gCO2_per_tkm.IE.Tr.Rail.Freight.Diesel</t>
  </si>
  <si>
    <t>EMIint.gCO2_per_tkm.IE.Tr.Rail.Freight.Elc</t>
  </si>
  <si>
    <t>EMI_per_vehicle.tCO2.IE.Tr.Rail</t>
  </si>
  <si>
    <t>EMI_per_vehicle.tCO2.IE.Tr.Rail.Passenger</t>
  </si>
  <si>
    <t>EMI_per_vehicle.tCO2.IE.Tr.Rail.Passenger.MTU</t>
  </si>
  <si>
    <t>EMI_per_vehicle.tCO2.IE.Tr.Rail.Passenger.CPT</t>
  </si>
  <si>
    <t>EMI_per_vehicle.tCO2.IE.Tr.Rail.Passenger.CPT.Diesel</t>
  </si>
  <si>
    <t>EMI_per_vehicle.tCO2.IE.Tr.Rail.Passenger.CPT.Elc</t>
  </si>
  <si>
    <t>EMI_per_vehicle.tCO2.IE.Tr.Rail.Passenger.HST</t>
  </si>
  <si>
    <t>EMI_per_vehicle.tCO2.IE.Tr.Rail.Freight</t>
  </si>
  <si>
    <t>EMI_per_vehicle.tCO2.IE.Tr.Rail.Freight.Diesel</t>
  </si>
  <si>
    <t>EMI_per_vehicle.tCO2.IE.Tr.Rail.Freight.Elc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</si>
</sst>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45432.786041666666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55864.730643714021</v>
      </c>
      <c r="C4" s="28">
        <f t="shared" si="0"/>
        <v>59033.552305801983</v>
      </c>
      <c r="D4" s="28">
        <f t="shared" si="0"/>
        <v>60468.461718069477</v>
      </c>
      <c r="E4" s="28">
        <f t="shared" si="0"/>
        <v>62630.114955885947</v>
      </c>
      <c r="F4" s="28">
        <f t="shared" si="0"/>
        <v>66608.317336397144</v>
      </c>
      <c r="G4" s="28">
        <f t="shared" si="0"/>
        <v>71691.155488089251</v>
      </c>
      <c r="H4" s="28">
        <f t="shared" si="0"/>
        <v>76512.113725846066</v>
      </c>
      <c r="I4" s="28">
        <f t="shared" si="0"/>
        <v>81102.455596173968</v>
      </c>
      <c r="J4" s="28">
        <f t="shared" si="0"/>
        <v>81974.339066229295</v>
      </c>
      <c r="K4" s="28">
        <f t="shared" si="0"/>
        <v>79127.756112755844</v>
      </c>
      <c r="L4" s="28">
        <f t="shared" si="0"/>
        <v>75739.510822082375</v>
      </c>
      <c r="M4" s="28">
        <f t="shared" si="0"/>
        <v>75488.430250693753</v>
      </c>
      <c r="N4" s="28">
        <f t="shared" si="0"/>
        <v>74951.063165278087</v>
      </c>
      <c r="O4" s="28">
        <f t="shared" si="0"/>
        <v>77610.316609575821</v>
      </c>
      <c r="P4" s="28">
        <f t="shared" si="0"/>
        <v>78756.20600681183</v>
      </c>
      <c r="Q4" s="28">
        <f t="shared" si="0"/>
        <v>86682.585949272616</v>
      </c>
      <c r="R4" s="28">
        <f t="shared" ref="R4:V4" si="1">R5+R9+R13</f>
        <v>93047.503432560567</v>
      </c>
      <c r="S4" s="28">
        <f t="shared" si="1"/>
        <v>98285.386778759159</v>
      </c>
      <c r="T4" s="28">
        <f t="shared" si="1"/>
        <v>102856.19169892935</v>
      </c>
      <c r="U4" s="28">
        <f t="shared" si="1"/>
        <v>106250.89657775452</v>
      </c>
      <c r="V4" s="28">
        <f t="shared" si="1"/>
        <v>66457.186751421017</v>
      </c>
      <c r="W4" s="28">
        <f t="shared" ref="W4" si="2">W5+W9+W13</f>
        <v>70991.442085512375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41691.038740831435</v>
      </c>
      <c r="C5" s="137">
        <f t="shared" si="3"/>
        <v>43878.423404630812</v>
      </c>
      <c r="D5" s="137">
        <f t="shared" si="3"/>
        <v>45180.384198213811</v>
      </c>
      <c r="E5" s="137">
        <f t="shared" si="3"/>
        <v>47623.58064602044</v>
      </c>
      <c r="F5" s="137">
        <f t="shared" si="3"/>
        <v>50622.817666747454</v>
      </c>
      <c r="G5" s="137">
        <f t="shared" si="3"/>
        <v>52459.551856137557</v>
      </c>
      <c r="H5" s="137">
        <f t="shared" si="3"/>
        <v>54177.079762288398</v>
      </c>
      <c r="I5" s="137">
        <f t="shared" si="3"/>
        <v>56420.638144959703</v>
      </c>
      <c r="J5" s="137">
        <f t="shared" si="3"/>
        <v>57632.19363109066</v>
      </c>
      <c r="K5" s="137">
        <f t="shared" si="3"/>
        <v>57968.784947191147</v>
      </c>
      <c r="L5" s="137">
        <f t="shared" si="3"/>
        <v>56683.257713109044</v>
      </c>
      <c r="M5" s="137">
        <f t="shared" si="3"/>
        <v>55964.432806355537</v>
      </c>
      <c r="N5" s="137">
        <f t="shared" si="3"/>
        <v>54835.949516979192</v>
      </c>
      <c r="O5" s="137">
        <f t="shared" si="3"/>
        <v>56294.943862909713</v>
      </c>
      <c r="P5" s="137">
        <f t="shared" si="3"/>
        <v>55723.973974538399</v>
      </c>
      <c r="Q5" s="137">
        <f t="shared" si="3"/>
        <v>60554.718927382062</v>
      </c>
      <c r="R5" s="137">
        <f t="shared" ref="R5:V5" si="4">R6+R7+R8</f>
        <v>64142.327645634352</v>
      </c>
      <c r="S5" s="137">
        <f t="shared" si="4"/>
        <v>66494.558705901363</v>
      </c>
      <c r="T5" s="137">
        <f t="shared" si="4"/>
        <v>67782.356034348108</v>
      </c>
      <c r="U5" s="137">
        <f t="shared" si="4"/>
        <v>69513.374561882898</v>
      </c>
      <c r="V5" s="137">
        <f t="shared" si="4"/>
        <v>58328.478937873442</v>
      </c>
      <c r="W5" s="137">
        <f t="shared" ref="W5" si="5">W6+W7+W8</f>
        <v>62074.842545774605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119.83874083142855</v>
      </c>
      <c r="C6" s="102">
        <f>TrRoad_act!C$5</f>
        <v>129.8234046308132</v>
      </c>
      <c r="D6" s="102">
        <f>TrRoad_act!D$5</f>
        <v>129.98419821380679</v>
      </c>
      <c r="E6" s="102">
        <f>TrRoad_act!E$5</f>
        <v>139.68064602044129</v>
      </c>
      <c r="F6" s="102">
        <f>TrRoad_act!F$5</f>
        <v>135.01766674745235</v>
      </c>
      <c r="G6" s="102">
        <f>TrRoad_act!G$5</f>
        <v>165.35185613755996</v>
      </c>
      <c r="H6" s="102">
        <f>TrRoad_act!H$5</f>
        <v>163.07976228839985</v>
      </c>
      <c r="I6" s="102">
        <f>TrRoad_act!I$5</f>
        <v>165.138144959703</v>
      </c>
      <c r="J6" s="102">
        <f>TrRoad_act!J$5</f>
        <v>176.1936310906585</v>
      </c>
      <c r="K6" s="102">
        <f>TrRoad_act!K$5</f>
        <v>161.98494719114288</v>
      </c>
      <c r="L6" s="102">
        <f>TrRoad_act!L$5</f>
        <v>141.55771310904396</v>
      </c>
      <c r="M6" s="102">
        <f>TrRoad_act!M$5</f>
        <v>129.83280635554573</v>
      </c>
      <c r="N6" s="102">
        <f>TrRoad_act!N$5</f>
        <v>116.34951697918966</v>
      </c>
      <c r="O6" s="102">
        <f>TrRoad_act!O$5</f>
        <v>115.64386290971895</v>
      </c>
      <c r="P6" s="102">
        <f>TrRoad_act!P$5</f>
        <v>133.67397453839712</v>
      </c>
      <c r="Q6" s="102">
        <f>TrRoad_act!Q$5</f>
        <v>127.61892738206616</v>
      </c>
      <c r="R6" s="102">
        <f>TrRoad_act!R$5</f>
        <v>132.82764563435555</v>
      </c>
      <c r="S6" s="102">
        <f>TrRoad_act!S$5</f>
        <v>126.41463345974572</v>
      </c>
      <c r="T6" s="102">
        <f>TrRoad_act!T$5</f>
        <v>120.09358390762648</v>
      </c>
      <c r="U6" s="102">
        <f>TrRoad_act!U$5</f>
        <v>128.66385911967063</v>
      </c>
      <c r="V6" s="102">
        <f>TrRoad_act!V$5</f>
        <v>116.26766391536512</v>
      </c>
      <c r="W6" s="102">
        <f>TrRoad_act!W$5</f>
        <v>121.45263045438453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34608.000000000007</v>
      </c>
      <c r="C7" s="102">
        <f>TrRoad_act!C$6</f>
        <v>36459</v>
      </c>
      <c r="D7" s="102">
        <f>TrRoad_act!D$6</f>
        <v>37788</v>
      </c>
      <c r="E7" s="102">
        <f>TrRoad_act!E$6</f>
        <v>39949.5</v>
      </c>
      <c r="F7" s="102">
        <f>TrRoad_act!F$6</f>
        <v>42627</v>
      </c>
      <c r="G7" s="102">
        <f>TrRoad_act!G$6</f>
        <v>44379</v>
      </c>
      <c r="H7" s="102">
        <f>TrRoad_act!H$6</f>
        <v>45990</v>
      </c>
      <c r="I7" s="102">
        <f>TrRoad_act!I$6</f>
        <v>47959.5</v>
      </c>
      <c r="J7" s="102">
        <f>TrRoad_act!J$6</f>
        <v>48888</v>
      </c>
      <c r="K7" s="102">
        <f>TrRoad_act!K$6</f>
        <v>48858</v>
      </c>
      <c r="L7" s="102">
        <f>TrRoad_act!L$6</f>
        <v>48082.5</v>
      </c>
      <c r="M7" s="102">
        <f>TrRoad_act!M$6</f>
        <v>47456.999999999993</v>
      </c>
      <c r="N7" s="102">
        <f>TrRoad_act!N$6</f>
        <v>46614</v>
      </c>
      <c r="O7" s="102">
        <f>TrRoad_act!O$6</f>
        <v>48046.499999999993</v>
      </c>
      <c r="P7" s="102">
        <f>TrRoad_act!P$6</f>
        <v>47185.5</v>
      </c>
      <c r="Q7" s="102">
        <f>TrRoad_act!Q$6</f>
        <v>51913.5</v>
      </c>
      <c r="R7" s="102">
        <f>TrRoad_act!R$6</f>
        <v>55033.5</v>
      </c>
      <c r="S7" s="102">
        <f>TrRoad_act!S$6</f>
        <v>56548.94407244162</v>
      </c>
      <c r="T7" s="102">
        <f>TrRoad_act!T$6</f>
        <v>57163.062450440484</v>
      </c>
      <c r="U7" s="102">
        <f>TrRoad_act!U$6</f>
        <v>58722.310702763221</v>
      </c>
      <c r="V7" s="102">
        <f>TrRoad_act!V$6</f>
        <v>50841.01127395808</v>
      </c>
      <c r="W7" s="102">
        <f>TrRoad_act!W$6</f>
        <v>53815.487049137737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6963.2</v>
      </c>
      <c r="C8" s="102">
        <f>TrRoad_act!C$13</f>
        <v>7289.5999999999995</v>
      </c>
      <c r="D8" s="102">
        <f>TrRoad_act!D$13</f>
        <v>7262.4000000000015</v>
      </c>
      <c r="E8" s="102">
        <f>TrRoad_act!E$13</f>
        <v>7534.4</v>
      </c>
      <c r="F8" s="102">
        <f>TrRoad_act!F$13</f>
        <v>7860.8</v>
      </c>
      <c r="G8" s="102">
        <f>TrRoad_act!G$13</f>
        <v>7915.2</v>
      </c>
      <c r="H8" s="102">
        <f>TrRoad_act!H$13</f>
        <v>8023.9999999999991</v>
      </c>
      <c r="I8" s="102">
        <f>TrRoad_act!I$13</f>
        <v>8295.9999999999982</v>
      </c>
      <c r="J8" s="102">
        <f>TrRoad_act!J$13</f>
        <v>8568</v>
      </c>
      <c r="K8" s="102">
        <f>TrRoad_act!K$13</f>
        <v>8948.8000000000011</v>
      </c>
      <c r="L8" s="102">
        <f>TrRoad_act!L$13</f>
        <v>8459.1999999999989</v>
      </c>
      <c r="M8" s="102">
        <f>TrRoad_act!M$13</f>
        <v>8377.5999999999985</v>
      </c>
      <c r="N8" s="102">
        <f>TrRoad_act!N$13</f>
        <v>8105.6</v>
      </c>
      <c r="O8" s="102">
        <f>TrRoad_act!O$13</f>
        <v>8132.7999999999993</v>
      </c>
      <c r="P8" s="102">
        <f>TrRoad_act!P$13</f>
        <v>8404.7999999999993</v>
      </c>
      <c r="Q8" s="102">
        <f>TrRoad_act!Q$13</f>
        <v>8513.6</v>
      </c>
      <c r="R8" s="102">
        <f>TrRoad_act!R$13</f>
        <v>8976</v>
      </c>
      <c r="S8" s="102">
        <f>TrRoad_act!S$13</f>
        <v>9819.1999999999971</v>
      </c>
      <c r="T8" s="102">
        <f>TrRoad_act!T$13</f>
        <v>10499.2</v>
      </c>
      <c r="U8" s="102">
        <f>TrRoad_act!U$13</f>
        <v>10662.400000000001</v>
      </c>
      <c r="V8" s="102">
        <f>TrRoad_act!V$13</f>
        <v>7371.1999999999989</v>
      </c>
      <c r="W8" s="102">
        <f>TrRoad_act!W$13</f>
        <v>8137.9028661824814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1389</v>
      </c>
      <c r="C9" s="110">
        <f t="shared" si="6"/>
        <v>1515</v>
      </c>
      <c r="D9" s="110">
        <f t="shared" si="6"/>
        <v>1628</v>
      </c>
      <c r="E9" s="110">
        <f t="shared" si="6"/>
        <v>1601</v>
      </c>
      <c r="F9" s="110">
        <f t="shared" si="6"/>
        <v>1632</v>
      </c>
      <c r="G9" s="110">
        <f t="shared" si="6"/>
        <v>1891</v>
      </c>
      <c r="H9" s="110">
        <f t="shared" si="6"/>
        <v>1985.11</v>
      </c>
      <c r="I9" s="110">
        <f t="shared" si="6"/>
        <v>2182</v>
      </c>
      <c r="J9" s="110">
        <f t="shared" si="6"/>
        <v>2117</v>
      </c>
      <c r="K9" s="110">
        <f t="shared" si="6"/>
        <v>1815</v>
      </c>
      <c r="L9" s="110">
        <f t="shared" si="6"/>
        <v>1809</v>
      </c>
      <c r="M9" s="110">
        <f t="shared" si="6"/>
        <v>1776</v>
      </c>
      <c r="N9" s="110">
        <f t="shared" si="6"/>
        <v>1722</v>
      </c>
      <c r="O9" s="110">
        <f t="shared" si="6"/>
        <v>1718.82473</v>
      </c>
      <c r="P9" s="110">
        <f t="shared" si="6"/>
        <v>1888.072934</v>
      </c>
      <c r="Q9" s="110">
        <f t="shared" si="6"/>
        <v>2097.6676819999998</v>
      </c>
      <c r="R9" s="110">
        <f t="shared" ref="R9:V9" si="7">R10+R11+R12</f>
        <v>2174.5483549999999</v>
      </c>
      <c r="S9" s="110">
        <f t="shared" si="7"/>
        <v>2306.8992669999998</v>
      </c>
      <c r="T9" s="110">
        <f t="shared" si="7"/>
        <v>2598</v>
      </c>
      <c r="U9" s="110">
        <f t="shared" si="7"/>
        <v>2704.0478929999999</v>
      </c>
      <c r="V9" s="110">
        <f t="shared" si="7"/>
        <v>954.308179</v>
      </c>
      <c r="W9" s="110">
        <f t="shared" ref="W9" si="8">W10+W11+W12</f>
        <v>991.65362000000005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50</v>
      </c>
      <c r="G10" s="102">
        <f>TrRail_act!G$5</f>
        <v>110</v>
      </c>
      <c r="H10" s="102">
        <f>TrRail_act!H$5</f>
        <v>113.10999999999999</v>
      </c>
      <c r="I10" s="102">
        <f>TrRail_act!I$5</f>
        <v>175</v>
      </c>
      <c r="J10" s="102">
        <f>TrRail_act!J$5</f>
        <v>141</v>
      </c>
      <c r="K10" s="102">
        <f>TrRail_act!K$5</f>
        <v>132</v>
      </c>
      <c r="L10" s="102">
        <f>TrRail_act!L$5</f>
        <v>131</v>
      </c>
      <c r="M10" s="102">
        <f>TrRail_act!M$5</f>
        <v>138</v>
      </c>
      <c r="N10" s="102">
        <f>TrRail_act!N$5</f>
        <v>144.00000000000003</v>
      </c>
      <c r="O10" s="102">
        <f>TrRail_act!O$5</f>
        <v>149.82472999999999</v>
      </c>
      <c r="P10" s="102">
        <f>TrRail_act!P$5</f>
        <v>160.072934</v>
      </c>
      <c r="Q10" s="102">
        <f>TrRail_act!Q$5</f>
        <v>179.66768199999999</v>
      </c>
      <c r="R10" s="102">
        <f>TrRail_act!R$5</f>
        <v>183.54835499999999</v>
      </c>
      <c r="S10" s="102">
        <f>TrRail_act!S$5</f>
        <v>184.89926700000001</v>
      </c>
      <c r="T10" s="102">
        <f>TrRail_act!T$5</f>
        <v>317</v>
      </c>
      <c r="U10" s="102">
        <f>TrRail_act!U$5</f>
        <v>305.04789299999999</v>
      </c>
      <c r="V10" s="102">
        <f>TrRail_act!V$5</f>
        <v>120.308179</v>
      </c>
      <c r="W10" s="102">
        <f>TrRail_act!W$5</f>
        <v>121.65362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1389</v>
      </c>
      <c r="C11" s="102">
        <f>TrRail_act!C$6</f>
        <v>1515</v>
      </c>
      <c r="D11" s="102">
        <f>TrRail_act!D$6</f>
        <v>1628</v>
      </c>
      <c r="E11" s="102">
        <f>TrRail_act!E$6</f>
        <v>1601</v>
      </c>
      <c r="F11" s="102">
        <f>TrRail_act!F$6</f>
        <v>1582</v>
      </c>
      <c r="G11" s="102">
        <f>TrRail_act!G$6</f>
        <v>1781</v>
      </c>
      <c r="H11" s="102">
        <f>TrRail_act!H$6</f>
        <v>1872</v>
      </c>
      <c r="I11" s="102">
        <f>TrRail_act!I$6</f>
        <v>2007.0000000000002</v>
      </c>
      <c r="J11" s="102">
        <f>TrRail_act!J$6</f>
        <v>1976</v>
      </c>
      <c r="K11" s="102">
        <f>TrRail_act!K$6</f>
        <v>1683</v>
      </c>
      <c r="L11" s="102">
        <f>TrRail_act!L$6</f>
        <v>1678</v>
      </c>
      <c r="M11" s="102">
        <f>TrRail_act!M$6</f>
        <v>1638</v>
      </c>
      <c r="N11" s="102">
        <f>TrRail_act!N$6</f>
        <v>1578</v>
      </c>
      <c r="O11" s="102">
        <f>TrRail_act!O$6</f>
        <v>1569</v>
      </c>
      <c r="P11" s="102">
        <f>TrRail_act!P$6</f>
        <v>1728</v>
      </c>
      <c r="Q11" s="102">
        <f>TrRail_act!Q$6</f>
        <v>1918</v>
      </c>
      <c r="R11" s="102">
        <f>TrRail_act!R$6</f>
        <v>1991</v>
      </c>
      <c r="S11" s="102">
        <f>TrRail_act!S$6</f>
        <v>2122</v>
      </c>
      <c r="T11" s="102">
        <f>TrRail_act!T$6</f>
        <v>2281</v>
      </c>
      <c r="U11" s="102">
        <f>TrRail_act!U$6</f>
        <v>2399</v>
      </c>
      <c r="V11" s="102">
        <f>TrRail_act!V$6</f>
        <v>834</v>
      </c>
      <c r="W11" s="102">
        <f>TrRail_act!W$6</f>
        <v>870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12784.691902882583</v>
      </c>
      <c r="C13" s="110">
        <f t="shared" ref="C13:V13" si="10">C14+C15+C16</f>
        <v>13640.128901171171</v>
      </c>
      <c r="D13" s="110">
        <f t="shared" si="10"/>
        <v>13660.077519855662</v>
      </c>
      <c r="E13" s="110">
        <f t="shared" si="10"/>
        <v>13405.534309865503</v>
      </c>
      <c r="F13" s="110">
        <f t="shared" si="10"/>
        <v>14353.499669649684</v>
      </c>
      <c r="G13" s="110">
        <f t="shared" si="10"/>
        <v>17340.60363195169</v>
      </c>
      <c r="H13" s="110">
        <f t="shared" si="10"/>
        <v>20349.923963557667</v>
      </c>
      <c r="I13" s="110">
        <f t="shared" si="10"/>
        <v>22499.817451214265</v>
      </c>
      <c r="J13" s="110">
        <f t="shared" si="10"/>
        <v>22225.145435138642</v>
      </c>
      <c r="K13" s="110">
        <f t="shared" si="10"/>
        <v>19343.971165564701</v>
      </c>
      <c r="L13" s="110">
        <f t="shared" si="10"/>
        <v>17247.253108973338</v>
      </c>
      <c r="M13" s="110">
        <f t="shared" si="10"/>
        <v>17747.997444338213</v>
      </c>
      <c r="N13" s="110">
        <f t="shared" si="10"/>
        <v>18393.113648298899</v>
      </c>
      <c r="O13" s="110">
        <f t="shared" si="10"/>
        <v>19596.5480166661</v>
      </c>
      <c r="P13" s="110">
        <f t="shared" si="10"/>
        <v>21144.159098273427</v>
      </c>
      <c r="Q13" s="110">
        <f t="shared" si="10"/>
        <v>24030.199339890554</v>
      </c>
      <c r="R13" s="110">
        <f t="shared" si="10"/>
        <v>26730.627431926223</v>
      </c>
      <c r="S13" s="110">
        <f t="shared" si="10"/>
        <v>29483.928805857791</v>
      </c>
      <c r="T13" s="110">
        <f t="shared" si="10"/>
        <v>32475.835664581253</v>
      </c>
      <c r="U13" s="110">
        <f t="shared" si="10"/>
        <v>34033.47412287163</v>
      </c>
      <c r="V13" s="110">
        <f t="shared" si="10"/>
        <v>7174.3996345475725</v>
      </c>
      <c r="W13" s="110">
        <f t="shared" ref="W13" si="11">W14+W15+W16</f>
        <v>7924.945919737771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245.73412033339039</v>
      </c>
      <c r="C14" s="102">
        <f>TrAvia_act!C$5</f>
        <v>249.05898476026823</v>
      </c>
      <c r="D14" s="102">
        <f>TrAvia_act!D$5</f>
        <v>225.64806440419474</v>
      </c>
      <c r="E14" s="102">
        <f>TrAvia_act!E$5</f>
        <v>237.33610979187873</v>
      </c>
      <c r="F14" s="102">
        <f>TrAvia_act!F$5</f>
        <v>233.52254281072697</v>
      </c>
      <c r="G14" s="102">
        <f>TrAvia_act!G$5</f>
        <v>276.98317063780559</v>
      </c>
      <c r="H14" s="102">
        <f>TrAvia_act!H$5</f>
        <v>343.41446379437969</v>
      </c>
      <c r="I14" s="102">
        <f>TrAvia_act!I$5</f>
        <v>309.37764662229546</v>
      </c>
      <c r="J14" s="102">
        <f>TrAvia_act!J$5</f>
        <v>264.86850526378169</v>
      </c>
      <c r="K14" s="102">
        <f>TrAvia_act!K$5</f>
        <v>188.63035433972456</v>
      </c>
      <c r="L14" s="102">
        <f>TrAvia_act!L$5</f>
        <v>99.506218488245409</v>
      </c>
      <c r="M14" s="102">
        <f>TrAvia_act!M$5</f>
        <v>26.751918972235639</v>
      </c>
      <c r="N14" s="102">
        <f>TrAvia_act!N$5</f>
        <v>13.479765788634564</v>
      </c>
      <c r="O14" s="102">
        <f>TrAvia_act!O$5</f>
        <v>16.108024700834822</v>
      </c>
      <c r="P14" s="102">
        <f>TrAvia_act!P$5</f>
        <v>14.907907873068609</v>
      </c>
      <c r="Q14" s="102">
        <f>TrAvia_act!Q$5</f>
        <v>17.990402728831125</v>
      </c>
      <c r="R14" s="102">
        <f>TrAvia_act!R$5</f>
        <v>19.760527936014345</v>
      </c>
      <c r="S14" s="102">
        <f>TrAvia_act!S$5</f>
        <v>20.589595722608081</v>
      </c>
      <c r="T14" s="102">
        <f>TrAvia_act!T$5</f>
        <v>23.793713005766833</v>
      </c>
      <c r="U14" s="102">
        <f>TrAvia_act!U$5</f>
        <v>23.034374435747623</v>
      </c>
      <c r="V14" s="102">
        <f>TrAvia_act!V$5</f>
        <v>6.7307216150449038</v>
      </c>
      <c r="W14" s="102">
        <f>TrAvia_act!W$5</f>
        <v>8.9693403233563593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7572.2651937928022</v>
      </c>
      <c r="C15" s="102">
        <f>TrAvia_act!C$6</f>
        <v>8447.616662486691</v>
      </c>
      <c r="D15" s="102">
        <f>TrAvia_act!D$6</f>
        <v>8677.7851784785962</v>
      </c>
      <c r="E15" s="102">
        <f>TrAvia_act!E$6</f>
        <v>9018.5837317155037</v>
      </c>
      <c r="F15" s="102">
        <f>TrAvia_act!F$6</f>
        <v>9637.5015212694016</v>
      </c>
      <c r="G15" s="102">
        <f>TrAvia_act!G$6</f>
        <v>11790.650288940091</v>
      </c>
      <c r="H15" s="102">
        <f>TrAvia_act!H$6</f>
        <v>13813.669407481617</v>
      </c>
      <c r="I15" s="102">
        <f>TrAvia_act!I$6</f>
        <v>15166.859434196955</v>
      </c>
      <c r="J15" s="102">
        <f>TrAvia_act!J$6</f>
        <v>14656.251085165026</v>
      </c>
      <c r="K15" s="102">
        <f>TrAvia_act!K$6</f>
        <v>12589.985299169346</v>
      </c>
      <c r="L15" s="102">
        <f>TrAvia_act!L$6</f>
        <v>11116.322644782629</v>
      </c>
      <c r="M15" s="102">
        <f>TrAvia_act!M$6</f>
        <v>11402.989017002197</v>
      </c>
      <c r="N15" s="102">
        <f>TrAvia_act!N$6</f>
        <v>11381.565514860031</v>
      </c>
      <c r="O15" s="102">
        <f>TrAvia_act!O$6</f>
        <v>11642.453784077117</v>
      </c>
      <c r="P15" s="102">
        <f>TrAvia_act!P$6</f>
        <v>12050.718389631178</v>
      </c>
      <c r="Q15" s="102">
        <f>TrAvia_act!Q$6</f>
        <v>13341.422659063051</v>
      </c>
      <c r="R15" s="102">
        <f>TrAvia_act!R$6</f>
        <v>14994.501486452289</v>
      </c>
      <c r="S15" s="102">
        <f>TrAvia_act!S$6</f>
        <v>15839.669842287069</v>
      </c>
      <c r="T15" s="102">
        <f>TrAvia_act!T$6</f>
        <v>16649.408246377388</v>
      </c>
      <c r="U15" s="102">
        <f>TrAvia_act!U$6</f>
        <v>17770.725166633154</v>
      </c>
      <c r="V15" s="102">
        <f>TrAvia_act!V$6</f>
        <v>4217.7946136694509</v>
      </c>
      <c r="W15" s="102">
        <f>TrAvia_act!W$6</f>
        <v>5274.2220297127587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4966.6925887563903</v>
      </c>
      <c r="C16" s="102">
        <f>TrAvia_act!C$7</f>
        <v>4943.4532539242109</v>
      </c>
      <c r="D16" s="102">
        <f>TrAvia_act!D$7</f>
        <v>4756.6442769728719</v>
      </c>
      <c r="E16" s="102">
        <f>TrAvia_act!E$7</f>
        <v>4149.6144683581215</v>
      </c>
      <c r="F16" s="102">
        <f>TrAvia_act!F$7</f>
        <v>4482.4756055695543</v>
      </c>
      <c r="G16" s="102">
        <f>TrAvia_act!G$7</f>
        <v>5272.9701723737917</v>
      </c>
      <c r="H16" s="102">
        <f>TrAvia_act!H$7</f>
        <v>6192.8400922816691</v>
      </c>
      <c r="I16" s="102">
        <f>TrAvia_act!I$7</f>
        <v>7023.5803703950141</v>
      </c>
      <c r="J16" s="102">
        <f>TrAvia_act!J$7</f>
        <v>7304.0258447098367</v>
      </c>
      <c r="K16" s="102">
        <f>TrAvia_act!K$7</f>
        <v>6565.3555120556302</v>
      </c>
      <c r="L16" s="102">
        <f>TrAvia_act!L$7</f>
        <v>6031.4242457024648</v>
      </c>
      <c r="M16" s="102">
        <f>TrAvia_act!M$7</f>
        <v>6318.2565083637792</v>
      </c>
      <c r="N16" s="102">
        <f>TrAvia_act!N$7</f>
        <v>6998.068367650234</v>
      </c>
      <c r="O16" s="102">
        <f>TrAvia_act!O$7</f>
        <v>7937.9862078881488</v>
      </c>
      <c r="P16" s="102">
        <f>TrAvia_act!P$7</f>
        <v>9078.5328007691805</v>
      </c>
      <c r="Q16" s="102">
        <f>TrAvia_act!Q$7</f>
        <v>10670.786278098674</v>
      </c>
      <c r="R16" s="102">
        <f>TrAvia_act!R$7</f>
        <v>11716.36541753792</v>
      </c>
      <c r="S16" s="102">
        <f>TrAvia_act!S$7</f>
        <v>13623.669367848115</v>
      </c>
      <c r="T16" s="102">
        <f>TrAvia_act!T$7</f>
        <v>15802.633705198097</v>
      </c>
      <c r="U16" s="102">
        <f>TrAvia_act!U$7</f>
        <v>16239.714581802731</v>
      </c>
      <c r="V16" s="102">
        <f>TrAvia_act!V$7</f>
        <v>2949.8742992630769</v>
      </c>
      <c r="W16" s="102">
        <f>TrAvia_act!W$7</f>
        <v>2641.7545497016567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11875.977729883622</v>
      </c>
      <c r="C17" s="28">
        <f t="shared" si="12"/>
        <v>12877.75515165294</v>
      </c>
      <c r="D17" s="28">
        <f t="shared" si="12"/>
        <v>14539.509463723709</v>
      </c>
      <c r="E17" s="28">
        <f t="shared" si="12"/>
        <v>15889.09643075661</v>
      </c>
      <c r="F17" s="28">
        <f t="shared" si="12"/>
        <v>17527.507524408662</v>
      </c>
      <c r="G17" s="28">
        <f t="shared" si="12"/>
        <v>18446.397687786732</v>
      </c>
      <c r="H17" s="28">
        <f t="shared" si="12"/>
        <v>18455.200300984536</v>
      </c>
      <c r="I17" s="28">
        <f t="shared" si="12"/>
        <v>19239.701828872119</v>
      </c>
      <c r="J17" s="28">
        <f t="shared" si="12"/>
        <v>17822.407783859129</v>
      </c>
      <c r="K17" s="28">
        <f t="shared" si="12"/>
        <v>12660.495075330202</v>
      </c>
      <c r="L17" s="28">
        <f t="shared" si="12"/>
        <v>12400.976550725225</v>
      </c>
      <c r="M17" s="28">
        <f t="shared" si="12"/>
        <v>11793.916625884436</v>
      </c>
      <c r="N17" s="28">
        <f t="shared" si="12"/>
        <v>11584.198637915884</v>
      </c>
      <c r="O17" s="28">
        <f t="shared" si="12"/>
        <v>11328.416226337258</v>
      </c>
      <c r="P17" s="28">
        <f t="shared" si="12"/>
        <v>11737.624924320833</v>
      </c>
      <c r="Q17" s="28">
        <f t="shared" si="12"/>
        <v>11826.104149794031</v>
      </c>
      <c r="R17" s="28">
        <f t="shared" ref="R17:V17" si="13">R18+R21+R22+R26</f>
        <v>13136.496587696234</v>
      </c>
      <c r="S17" s="28">
        <f t="shared" si="13"/>
        <v>13205.925351948414</v>
      </c>
      <c r="T17" s="28">
        <f t="shared" si="13"/>
        <v>13427.818834506728</v>
      </c>
      <c r="U17" s="28">
        <f t="shared" si="13"/>
        <v>14181.065025372038</v>
      </c>
      <c r="V17" s="28">
        <f t="shared" si="13"/>
        <v>12140.593727689127</v>
      </c>
      <c r="W17" s="28">
        <f t="shared" ref="W17" si="14">W18+W21+W22+W26</f>
        <v>13424.417303504317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11131.218040188469</v>
      </c>
      <c r="C18" s="137">
        <f t="shared" si="15"/>
        <v>12131.601479531972</v>
      </c>
      <c r="D18" s="137">
        <f t="shared" si="15"/>
        <v>13940.037527784869</v>
      </c>
      <c r="E18" s="137">
        <f t="shared" si="15"/>
        <v>15301.547064532197</v>
      </c>
      <c r="F18" s="137">
        <f t="shared" si="15"/>
        <v>16927.266937830449</v>
      </c>
      <c r="G18" s="137">
        <f t="shared" si="15"/>
        <v>17892.12050110571</v>
      </c>
      <c r="H18" s="137">
        <f t="shared" si="15"/>
        <v>17958.530251643566</v>
      </c>
      <c r="I18" s="137">
        <f t="shared" si="15"/>
        <v>18828.46395078344</v>
      </c>
      <c r="J18" s="137">
        <f t="shared" si="15"/>
        <v>17440.817548804021</v>
      </c>
      <c r="K18" s="137">
        <f t="shared" si="15"/>
        <v>12320.300611393221</v>
      </c>
      <c r="L18" s="137">
        <f t="shared" si="15"/>
        <v>12034.252742835679</v>
      </c>
      <c r="M18" s="137">
        <f t="shared" si="15"/>
        <v>11360.030588572878</v>
      </c>
      <c r="N18" s="137">
        <f t="shared" si="15"/>
        <v>11033.733620633073</v>
      </c>
      <c r="O18" s="137">
        <f t="shared" si="15"/>
        <v>10825.563842676444</v>
      </c>
      <c r="P18" s="137">
        <f t="shared" si="15"/>
        <v>11227.30126070133</v>
      </c>
      <c r="Q18" s="137">
        <f t="shared" si="15"/>
        <v>11326.362845431577</v>
      </c>
      <c r="R18" s="137">
        <f t="shared" ref="R18:V18" si="16">R19+R20</f>
        <v>12652.907070139909</v>
      </c>
      <c r="S18" s="137">
        <f t="shared" si="16"/>
        <v>12656.789855240633</v>
      </c>
      <c r="T18" s="137">
        <f t="shared" si="16"/>
        <v>12893.037354449338</v>
      </c>
      <c r="U18" s="137">
        <f t="shared" si="16"/>
        <v>13664.105429535264</v>
      </c>
      <c r="V18" s="137">
        <f t="shared" si="16"/>
        <v>11654.231861866556</v>
      </c>
      <c r="W18" s="137">
        <f t="shared" ref="W18" si="17">W19+W20</f>
        <v>12899.482395685047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1617.0775601749015</v>
      </c>
      <c r="C19" s="102">
        <f>TrRoad_act!C$20</f>
        <v>1748.6470705437418</v>
      </c>
      <c r="D19" s="102">
        <f>TrRoad_act!D$20</f>
        <v>1873.6215710614629</v>
      </c>
      <c r="E19" s="102">
        <f>TrRoad_act!E$20</f>
        <v>2009.4867662832255</v>
      </c>
      <c r="F19" s="102">
        <f>TrRoad_act!F$20</f>
        <v>2136.3317192962159</v>
      </c>
      <c r="G19" s="102">
        <f>TrRoad_act!G$20</f>
        <v>2279.5014257618795</v>
      </c>
      <c r="H19" s="102">
        <f>TrRoad_act!H$20</f>
        <v>2443.1998601008399</v>
      </c>
      <c r="I19" s="102">
        <f>TrRoad_act!I$20</f>
        <v>2581.4918531908847</v>
      </c>
      <c r="J19" s="102">
        <f>TrRoad_act!J$20</f>
        <v>2593.8131756908369</v>
      </c>
      <c r="K19" s="102">
        <f>TrRoad_act!K$20</f>
        <v>2506.033691759681</v>
      </c>
      <c r="L19" s="102">
        <f>TrRoad_act!L$20</f>
        <v>2378.4274489392592</v>
      </c>
      <c r="M19" s="102">
        <f>TrRoad_act!M$20</f>
        <v>2329.4249474074259</v>
      </c>
      <c r="N19" s="102">
        <f>TrRoad_act!N$20</f>
        <v>2216.6449434775323</v>
      </c>
      <c r="O19" s="102">
        <f>TrRoad_act!O$20</f>
        <v>2271.9757227580758</v>
      </c>
      <c r="P19" s="102">
        <f>TrRoad_act!P$20</f>
        <v>2215.7453594922345</v>
      </c>
      <c r="Q19" s="102">
        <f>TrRoad_act!Q$20</f>
        <v>2107.1300225479276</v>
      </c>
      <c r="R19" s="102">
        <f>TrRoad_act!R$20</f>
        <v>2063.4010575801858</v>
      </c>
      <c r="S19" s="102">
        <f>TrRoad_act!S$20</f>
        <v>2045.9021024835129</v>
      </c>
      <c r="T19" s="102">
        <f>TrRoad_act!T$20</f>
        <v>2064.0373544493386</v>
      </c>
      <c r="U19" s="102">
        <f>TrRoad_act!U$20</f>
        <v>2038.105429535264</v>
      </c>
      <c r="V19" s="102">
        <f>TrRoad_act!V$20</f>
        <v>2009.2318618665563</v>
      </c>
      <c r="W19" s="102">
        <f>TrRoad_act!W$20</f>
        <v>2051.4823956850464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9514.1404800135679</v>
      </c>
      <c r="C20" s="102">
        <f>TrRoad_act!C$26</f>
        <v>10382.954408988229</v>
      </c>
      <c r="D20" s="102">
        <f>TrRoad_act!D$26</f>
        <v>12066.415956723406</v>
      </c>
      <c r="E20" s="102">
        <f>TrRoad_act!E$26</f>
        <v>13292.060298248971</v>
      </c>
      <c r="F20" s="102">
        <f>TrRoad_act!F$26</f>
        <v>14790.935218534232</v>
      </c>
      <c r="G20" s="102">
        <f>TrRoad_act!G$26</f>
        <v>15612.61907534383</v>
      </c>
      <c r="H20" s="102">
        <f>TrRoad_act!H$26</f>
        <v>15515.330391542726</v>
      </c>
      <c r="I20" s="102">
        <f>TrRoad_act!I$26</f>
        <v>16246.972097592554</v>
      </c>
      <c r="J20" s="102">
        <f>TrRoad_act!J$26</f>
        <v>14847.004373113185</v>
      </c>
      <c r="K20" s="102">
        <f>TrRoad_act!K$26</f>
        <v>9814.2669196335391</v>
      </c>
      <c r="L20" s="102">
        <f>TrRoad_act!L$26</f>
        <v>9655.8252938964197</v>
      </c>
      <c r="M20" s="102">
        <f>TrRoad_act!M$26</f>
        <v>9030.6056411654517</v>
      </c>
      <c r="N20" s="102">
        <f>TrRoad_act!N$26</f>
        <v>8817.0886771555397</v>
      </c>
      <c r="O20" s="102">
        <f>TrRoad_act!O$26</f>
        <v>8553.5881199183677</v>
      </c>
      <c r="P20" s="102">
        <f>TrRoad_act!P$26</f>
        <v>9011.5559012090944</v>
      </c>
      <c r="Q20" s="102">
        <f>TrRoad_act!Q$26</f>
        <v>9219.2328228836486</v>
      </c>
      <c r="R20" s="102">
        <f>TrRoad_act!R$26</f>
        <v>10589.506012559723</v>
      </c>
      <c r="S20" s="102">
        <f>TrRoad_act!S$26</f>
        <v>10610.88775275712</v>
      </c>
      <c r="T20" s="102">
        <f>TrRoad_act!T$26</f>
        <v>10829</v>
      </c>
      <c r="U20" s="102">
        <f>TrRoad_act!U$26</f>
        <v>11626</v>
      </c>
      <c r="V20" s="102">
        <f>TrRoad_act!V$26</f>
        <v>9645</v>
      </c>
      <c r="W20" s="102">
        <f>TrRoad_act!W$26</f>
        <v>10848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491.00000000000006</v>
      </c>
      <c r="C21" s="110">
        <f>TrRail_act!C$10</f>
        <v>516</v>
      </c>
      <c r="D21" s="110">
        <f>TrRail_act!D$10</f>
        <v>426</v>
      </c>
      <c r="E21" s="110">
        <f>TrRail_act!E$10</f>
        <v>398</v>
      </c>
      <c r="F21" s="110">
        <f>TrRail_act!F$10</f>
        <v>399</v>
      </c>
      <c r="G21" s="110">
        <f>TrRail_act!G$10</f>
        <v>303</v>
      </c>
      <c r="H21" s="110">
        <f>TrRail_act!H$10</f>
        <v>205</v>
      </c>
      <c r="I21" s="110">
        <f>TrRail_act!I$10</f>
        <v>129</v>
      </c>
      <c r="J21" s="110">
        <f>TrRail_act!J$10</f>
        <v>103</v>
      </c>
      <c r="K21" s="110">
        <f>TrRail_act!K$10</f>
        <v>79</v>
      </c>
      <c r="L21" s="110">
        <f>TrRail_act!L$10</f>
        <v>92</v>
      </c>
      <c r="M21" s="110">
        <f>TrRail_act!M$10</f>
        <v>105</v>
      </c>
      <c r="N21" s="110">
        <f>TrRail_act!N$10</f>
        <v>91</v>
      </c>
      <c r="O21" s="110">
        <f>TrRail_act!O$10</f>
        <v>99</v>
      </c>
      <c r="P21" s="110">
        <f>TrRail_act!P$10</f>
        <v>100</v>
      </c>
      <c r="Q21" s="110">
        <f>TrRail_act!Q$10</f>
        <v>96</v>
      </c>
      <c r="R21" s="110">
        <f>TrRail_act!R$10</f>
        <v>101</v>
      </c>
      <c r="S21" s="110">
        <f>TrRail_act!S$10</f>
        <v>100</v>
      </c>
      <c r="T21" s="110">
        <f>TrRail_act!T$10</f>
        <v>89</v>
      </c>
      <c r="U21" s="110">
        <f>TrRail_act!U$10</f>
        <v>72</v>
      </c>
      <c r="V21" s="110">
        <f>TrRail_act!V$10</f>
        <v>74</v>
      </c>
      <c r="W21" s="110">
        <f>TrRail_act!W$10</f>
        <v>70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61.660689695152257</v>
      </c>
      <c r="C22" s="110">
        <f t="shared" ref="C22:V22" si="19">C23+C24+C25</f>
        <v>63.195672120968709</v>
      </c>
      <c r="D22" s="110">
        <f t="shared" si="19"/>
        <v>56.517935938840452</v>
      </c>
      <c r="E22" s="110">
        <f t="shared" si="19"/>
        <v>58.983366224411888</v>
      </c>
      <c r="F22" s="110">
        <f t="shared" si="19"/>
        <v>91.370586578214912</v>
      </c>
      <c r="G22" s="110">
        <f t="shared" si="19"/>
        <v>103.48718668102056</v>
      </c>
      <c r="H22" s="110">
        <f t="shared" si="19"/>
        <v>144.99204934096824</v>
      </c>
      <c r="I22" s="110">
        <f t="shared" si="19"/>
        <v>149.58787808867942</v>
      </c>
      <c r="J22" s="110">
        <f t="shared" si="19"/>
        <v>138.02323505510699</v>
      </c>
      <c r="K22" s="110">
        <f t="shared" si="19"/>
        <v>111.73846393698037</v>
      </c>
      <c r="L22" s="110">
        <f t="shared" si="19"/>
        <v>139.9908078895464</v>
      </c>
      <c r="M22" s="110">
        <f t="shared" si="19"/>
        <v>129.8420373115593</v>
      </c>
      <c r="N22" s="110">
        <f t="shared" si="19"/>
        <v>167.08001728281192</v>
      </c>
      <c r="O22" s="110">
        <f t="shared" si="19"/>
        <v>174.52838366081497</v>
      </c>
      <c r="P22" s="110">
        <f t="shared" si="19"/>
        <v>206.14066361950398</v>
      </c>
      <c r="Q22" s="110">
        <f t="shared" si="19"/>
        <v>239.56130436245422</v>
      </c>
      <c r="R22" s="110">
        <f t="shared" si="19"/>
        <v>242.16151755632629</v>
      </c>
      <c r="S22" s="110">
        <f t="shared" si="19"/>
        <v>320.65249670778007</v>
      </c>
      <c r="T22" s="110">
        <f t="shared" si="19"/>
        <v>280.21248005739056</v>
      </c>
      <c r="U22" s="110">
        <f t="shared" si="19"/>
        <v>246.05459583677208</v>
      </c>
      <c r="V22" s="110">
        <f t="shared" si="19"/>
        <v>210.81786582257234</v>
      </c>
      <c r="W22" s="110">
        <f t="shared" ref="W22" si="20">W23+W24+W25</f>
        <v>231.44490781927061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1.2693048588724356</v>
      </c>
      <c r="C23" s="102">
        <f>TrAvia_act!C$9</f>
        <v>1.2459139627850366</v>
      </c>
      <c r="D23" s="102">
        <f>TrAvia_act!D$9</f>
        <v>0.9286754519700775</v>
      </c>
      <c r="E23" s="102">
        <f>TrAvia_act!E$9</f>
        <v>0.96424985946791919</v>
      </c>
      <c r="F23" s="102">
        <f>TrAvia_act!F$9</f>
        <v>1.7736144245242014</v>
      </c>
      <c r="G23" s="102">
        <f>TrAvia_act!G$9</f>
        <v>2.3867942625949667</v>
      </c>
      <c r="H23" s="102">
        <f>TrAvia_act!H$9</f>
        <v>3.4532236591085872</v>
      </c>
      <c r="I23" s="102">
        <f>TrAvia_act!I$9</f>
        <v>2.9678405331469668</v>
      </c>
      <c r="J23" s="102">
        <f>TrAvia_act!J$9</f>
        <v>2.2440943342328703</v>
      </c>
      <c r="K23" s="102">
        <f>TrAvia_act!K$9</f>
        <v>2.1235112700943977</v>
      </c>
      <c r="L23" s="102">
        <f>TrAvia_act!L$9</f>
        <v>2.034461515313887</v>
      </c>
      <c r="M23" s="102">
        <f>TrAvia_act!M$9</f>
        <v>1.3762840790321709</v>
      </c>
      <c r="N23" s="102">
        <f>TrAvia_act!N$9</f>
        <v>1.3105952480699519</v>
      </c>
      <c r="O23" s="102">
        <f>TrAvia_act!O$9</f>
        <v>1.2320437484778846</v>
      </c>
      <c r="P23" s="102">
        <f>TrAvia_act!P$9</f>
        <v>1.0351749164059001</v>
      </c>
      <c r="Q23" s="102">
        <f>TrAvia_act!Q$9</f>
        <v>1.0989406438202862</v>
      </c>
      <c r="R23" s="102">
        <f>TrAvia_act!R$9</f>
        <v>1.0231479964892953</v>
      </c>
      <c r="S23" s="102">
        <f>TrAvia_act!S$9</f>
        <v>1.1964881658468949</v>
      </c>
      <c r="T23" s="102">
        <f>TrAvia_act!T$9</f>
        <v>1.2270904143241157</v>
      </c>
      <c r="U23" s="102">
        <f>TrAvia_act!U$9</f>
        <v>0.81174907264704321</v>
      </c>
      <c r="V23" s="102">
        <f>TrAvia_act!V$9</f>
        <v>0.73519743306159591</v>
      </c>
      <c r="W23" s="102">
        <f>TrAvia_act!W$9</f>
        <v>1.3215274500538283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15.941487001853382</v>
      </c>
      <c r="C24" s="102">
        <f>TrAvia_act!C$10</f>
        <v>16.56926978072439</v>
      </c>
      <c r="D24" s="102">
        <f>TrAvia_act!D$10</f>
        <v>11.612891109374164</v>
      </c>
      <c r="E24" s="102">
        <f>TrAvia_act!E$10</f>
        <v>11.619576216224409</v>
      </c>
      <c r="F24" s="102">
        <f>TrAvia_act!F$10</f>
        <v>11.025009196122673</v>
      </c>
      <c r="G24" s="102">
        <f>TrAvia_act!G$10</f>
        <v>21.471680905264204</v>
      </c>
      <c r="H24" s="102">
        <f>TrAvia_act!H$10</f>
        <v>32.627211540657235</v>
      </c>
      <c r="I24" s="102">
        <f>TrAvia_act!I$10</f>
        <v>29.947105958311354</v>
      </c>
      <c r="J24" s="102">
        <f>TrAvia_act!J$10</f>
        <v>29.702775724675735</v>
      </c>
      <c r="K24" s="102">
        <f>TrAvia_act!K$10</f>
        <v>27.786389407255832</v>
      </c>
      <c r="L24" s="102">
        <f>TrAvia_act!L$10</f>
        <v>29.380013421750153</v>
      </c>
      <c r="M24" s="102">
        <f>TrAvia_act!M$10</f>
        <v>29.690971965735134</v>
      </c>
      <c r="N24" s="102">
        <f>TrAvia_act!N$10</f>
        <v>29.687667940108664</v>
      </c>
      <c r="O24" s="102">
        <f>TrAvia_act!O$10</f>
        <v>26.487974225162251</v>
      </c>
      <c r="P24" s="102">
        <f>TrAvia_act!P$10</f>
        <v>31.566269745650505</v>
      </c>
      <c r="Q24" s="102">
        <f>TrAvia_act!Q$10</f>
        <v>32.602728593333438</v>
      </c>
      <c r="R24" s="102">
        <f>TrAvia_act!R$10</f>
        <v>32.244953592962801</v>
      </c>
      <c r="S24" s="102">
        <f>TrAvia_act!S$10</f>
        <v>29.510377038307269</v>
      </c>
      <c r="T24" s="102">
        <f>TrAvia_act!T$10</f>
        <v>32.211334454200184</v>
      </c>
      <c r="U24" s="102">
        <f>TrAvia_act!U$10</f>
        <v>31.04388671136541</v>
      </c>
      <c r="V24" s="102">
        <f>TrAvia_act!V$10</f>
        <v>32.943821551594155</v>
      </c>
      <c r="W24" s="102">
        <f>TrAvia_act!W$10</f>
        <v>38.03516480169197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44.449897834426444</v>
      </c>
      <c r="C25" s="102">
        <f>TrAvia_act!C$11</f>
        <v>45.380488377459287</v>
      </c>
      <c r="D25" s="102">
        <f>TrAvia_act!D$11</f>
        <v>43.976369377496212</v>
      </c>
      <c r="E25" s="102">
        <f>TrAvia_act!E$11</f>
        <v>46.399540148719559</v>
      </c>
      <c r="F25" s="102">
        <f>TrAvia_act!F$11</f>
        <v>78.571962957568033</v>
      </c>
      <c r="G25" s="102">
        <f>TrAvia_act!G$11</f>
        <v>79.628711513161392</v>
      </c>
      <c r="H25" s="102">
        <f>TrAvia_act!H$11</f>
        <v>108.91161414120242</v>
      </c>
      <c r="I25" s="102">
        <f>TrAvia_act!I$11</f>
        <v>116.67293159722109</v>
      </c>
      <c r="J25" s="102">
        <f>TrAvia_act!J$11</f>
        <v>106.07636499619839</v>
      </c>
      <c r="K25" s="102">
        <f>TrAvia_act!K$11</f>
        <v>81.828563259630144</v>
      </c>
      <c r="L25" s="102">
        <f>TrAvia_act!L$11</f>
        <v>108.57633295248237</v>
      </c>
      <c r="M25" s="102">
        <f>TrAvia_act!M$11</f>
        <v>98.774781266791976</v>
      </c>
      <c r="N25" s="102">
        <f>TrAvia_act!N$11</f>
        <v>136.08175409463331</v>
      </c>
      <c r="O25" s="102">
        <f>TrAvia_act!O$11</f>
        <v>146.80836568717484</v>
      </c>
      <c r="P25" s="102">
        <f>TrAvia_act!P$11</f>
        <v>173.53921895744756</v>
      </c>
      <c r="Q25" s="102">
        <f>TrAvia_act!Q$11</f>
        <v>205.85963512530051</v>
      </c>
      <c r="R25" s="102">
        <f>TrAvia_act!R$11</f>
        <v>208.89341596687419</v>
      </c>
      <c r="S25" s="102">
        <f>TrAvia_act!S$11</f>
        <v>289.94563150362592</v>
      </c>
      <c r="T25" s="102">
        <f>TrAvia_act!T$11</f>
        <v>246.77405518886624</v>
      </c>
      <c r="U25" s="102">
        <f>TrAvia_act!U$11</f>
        <v>214.19896005275962</v>
      </c>
      <c r="V25" s="102">
        <f>TrAvia_act!V$11</f>
        <v>177.13884683791659</v>
      </c>
      <c r="W25" s="102">
        <f>TrAvia_act!W$11</f>
        <v>192.0882155675248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192.09899999999999</v>
      </c>
      <c r="C26" s="110">
        <f t="shared" si="21"/>
        <v>166.958</v>
      </c>
      <c r="D26" s="110">
        <f t="shared" si="21"/>
        <v>116.95399999999999</v>
      </c>
      <c r="E26" s="110">
        <f t="shared" si="21"/>
        <v>130.566</v>
      </c>
      <c r="F26" s="110">
        <f t="shared" si="21"/>
        <v>109.87</v>
      </c>
      <c r="G26" s="110">
        <f t="shared" si="21"/>
        <v>147.79</v>
      </c>
      <c r="H26" s="110">
        <f t="shared" si="21"/>
        <v>146.678</v>
      </c>
      <c r="I26" s="110">
        <f t="shared" si="21"/>
        <v>132.65</v>
      </c>
      <c r="J26" s="110">
        <f t="shared" si="21"/>
        <v>140.56700000000001</v>
      </c>
      <c r="K26" s="110">
        <f t="shared" si="21"/>
        <v>149.45599999999999</v>
      </c>
      <c r="L26" s="110">
        <f t="shared" si="21"/>
        <v>134.733</v>
      </c>
      <c r="M26" s="110">
        <f t="shared" si="21"/>
        <v>199.04400000000001</v>
      </c>
      <c r="N26" s="110">
        <f t="shared" si="21"/>
        <v>292.38499999999999</v>
      </c>
      <c r="O26" s="110">
        <f t="shared" si="21"/>
        <v>229.32400000000001</v>
      </c>
      <c r="P26" s="110">
        <f t="shared" si="21"/>
        <v>204.18299999999999</v>
      </c>
      <c r="Q26" s="110">
        <f t="shared" si="21"/>
        <v>164.18</v>
      </c>
      <c r="R26" s="110">
        <f t="shared" ref="R26:V26" si="22">R27+R28</f>
        <v>140.428</v>
      </c>
      <c r="S26" s="110">
        <f t="shared" si="22"/>
        <v>128.483</v>
      </c>
      <c r="T26" s="110">
        <f t="shared" si="22"/>
        <v>165.56899999999999</v>
      </c>
      <c r="U26" s="110">
        <f t="shared" si="22"/>
        <v>198.905</v>
      </c>
      <c r="V26" s="110">
        <f t="shared" si="22"/>
        <v>201.54400000000001</v>
      </c>
      <c r="W26" s="110">
        <f t="shared" ref="W26" si="23">W27+W28</f>
        <v>223.49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192.09899999999999</v>
      </c>
      <c r="C27" s="102">
        <f>TrNavi_act!C4</f>
        <v>166.958</v>
      </c>
      <c r="D27" s="102">
        <f>TrNavi_act!D4</f>
        <v>116.95399999999999</v>
      </c>
      <c r="E27" s="102">
        <f>TrNavi_act!E4</f>
        <v>130.566</v>
      </c>
      <c r="F27" s="102">
        <f>TrNavi_act!F4</f>
        <v>109.87</v>
      </c>
      <c r="G27" s="102">
        <f>TrNavi_act!G4</f>
        <v>147.79</v>
      </c>
      <c r="H27" s="102">
        <f>TrNavi_act!H4</f>
        <v>146.678</v>
      </c>
      <c r="I27" s="102">
        <f>TrNavi_act!I4</f>
        <v>132.65</v>
      </c>
      <c r="J27" s="102">
        <f>TrNavi_act!J4</f>
        <v>140.56700000000001</v>
      </c>
      <c r="K27" s="102">
        <f>TrNavi_act!K4</f>
        <v>149.45599999999999</v>
      </c>
      <c r="L27" s="102">
        <f>TrNavi_act!L4</f>
        <v>134.733</v>
      </c>
      <c r="M27" s="102">
        <f>TrNavi_act!M4</f>
        <v>199.04400000000001</v>
      </c>
      <c r="N27" s="102">
        <f>TrNavi_act!N4</f>
        <v>292.38499999999999</v>
      </c>
      <c r="O27" s="102">
        <f>TrNavi_act!O4</f>
        <v>229.32400000000001</v>
      </c>
      <c r="P27" s="102">
        <f>TrNavi_act!P4</f>
        <v>204.18299999999999</v>
      </c>
      <c r="Q27" s="102">
        <f>TrNavi_act!Q4</f>
        <v>164.18</v>
      </c>
      <c r="R27" s="102">
        <f>TrNavi_act!R4</f>
        <v>140.428</v>
      </c>
      <c r="S27" s="102">
        <f>TrNavi_act!S4</f>
        <v>128.483</v>
      </c>
      <c r="T27" s="102">
        <f>TrNavi_act!T4</f>
        <v>165.56899999999999</v>
      </c>
      <c r="U27" s="102">
        <f>TrNavi_act!U4</f>
        <v>198.905</v>
      </c>
      <c r="V27" s="102">
        <f>TrNavi_act!V4</f>
        <v>201.54400000000001</v>
      </c>
      <c r="W27" s="102">
        <f>TrNavi_act!W4</f>
        <v>223.49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47158.639575000001</v>
      </c>
      <c r="C29" s="28">
        <f t="shared" si="24"/>
        <v>52640.976501000005</v>
      </c>
      <c r="D29" s="28">
        <f t="shared" si="24"/>
        <v>57626.170567000001</v>
      </c>
      <c r="E29" s="28">
        <f t="shared" si="24"/>
        <v>57755.690337</v>
      </c>
      <c r="F29" s="28">
        <f t="shared" si="24"/>
        <v>58141.324795</v>
      </c>
      <c r="G29" s="28">
        <f t="shared" si="24"/>
        <v>59929.877742999997</v>
      </c>
      <c r="H29" s="28">
        <f t="shared" si="24"/>
        <v>30306.877352</v>
      </c>
      <c r="I29" s="28">
        <f t="shared" si="24"/>
        <v>65318.672028000001</v>
      </c>
      <c r="J29" s="28">
        <f t="shared" si="24"/>
        <v>59533.083792999998</v>
      </c>
      <c r="K29" s="28">
        <f t="shared" si="24"/>
        <v>41692.114971000003</v>
      </c>
      <c r="L29" s="28">
        <f t="shared" si="24"/>
        <v>45275.037665999997</v>
      </c>
      <c r="M29" s="28">
        <f t="shared" si="24"/>
        <v>46093.615263</v>
      </c>
      <c r="N29" s="28">
        <f t="shared" si="24"/>
        <v>50809.217792000003</v>
      </c>
      <c r="O29" s="28">
        <f t="shared" si="24"/>
        <v>48755.422253000004</v>
      </c>
      <c r="P29" s="28">
        <f t="shared" si="24"/>
        <v>50072.724374999998</v>
      </c>
      <c r="Q29" s="28">
        <f t="shared" si="24"/>
        <v>53934.239312999998</v>
      </c>
      <c r="R29" s="28">
        <f t="shared" si="24"/>
        <v>52605.122173999996</v>
      </c>
      <c r="S29" s="28">
        <f t="shared" si="24"/>
        <v>54901.898125000007</v>
      </c>
      <c r="T29" s="28">
        <f t="shared" si="24"/>
        <v>55431.681814999996</v>
      </c>
      <c r="U29" s="28">
        <f t="shared" si="24"/>
        <v>53311.200199000006</v>
      </c>
      <c r="V29" s="28">
        <f t="shared" si="24"/>
        <v>53855.812842999992</v>
      </c>
      <c r="W29" s="28">
        <f t="shared" si="24"/>
        <v>57895.773394000003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11509.197969999999</v>
      </c>
      <c r="C30" s="102">
        <f>MBunk_act!C$4</f>
        <v>12362.392159000001</v>
      </c>
      <c r="D30" s="102">
        <f>MBunk_act!D$4</f>
        <v>13140.510358</v>
      </c>
      <c r="E30" s="102">
        <f>MBunk_act!E$4</f>
        <v>14308.316695000001</v>
      </c>
      <c r="F30" s="102">
        <f>MBunk_act!F$4</f>
        <v>15807.039368</v>
      </c>
      <c r="G30" s="102">
        <f>MBunk_act!G$4</f>
        <v>15922.999759</v>
      </c>
      <c r="H30" s="102">
        <f>MBunk_act!H$4</f>
        <v>15435.041131</v>
      </c>
      <c r="I30" s="102">
        <f>MBunk_act!I$4</f>
        <v>19466.437543</v>
      </c>
      <c r="J30" s="102">
        <f>MBunk_act!J$4</f>
        <v>17399.718765000001</v>
      </c>
      <c r="K30" s="102">
        <f>MBunk_act!K$4</f>
        <v>14713.530663000001</v>
      </c>
      <c r="L30" s="102">
        <f>MBunk_act!L$4</f>
        <v>15396.359646999999</v>
      </c>
      <c r="M30" s="102">
        <f>MBunk_act!M$4</f>
        <v>13732.336946000001</v>
      </c>
      <c r="N30" s="102">
        <f>MBunk_act!N$4</f>
        <v>14494.242265999999</v>
      </c>
      <c r="O30" s="102">
        <f>MBunk_act!O$4</f>
        <v>15864.59799</v>
      </c>
      <c r="P30" s="102">
        <f>MBunk_act!P$4</f>
        <v>14593.397926</v>
      </c>
      <c r="Q30" s="102">
        <f>MBunk_act!Q$4</f>
        <v>16083.479971000001</v>
      </c>
      <c r="R30" s="102">
        <f>MBunk_act!R$4</f>
        <v>16379.397043999999</v>
      </c>
      <c r="S30" s="102">
        <f>MBunk_act!S$4</f>
        <v>16706.950433000002</v>
      </c>
      <c r="T30" s="102">
        <f>MBunk_act!T$4</f>
        <v>17841.694137999999</v>
      </c>
      <c r="U30" s="102">
        <f>MBunk_act!U$4</f>
        <v>17661.595001000002</v>
      </c>
      <c r="V30" s="102">
        <f>MBunk_act!V$4</f>
        <v>16908.481268</v>
      </c>
      <c r="W30" s="102">
        <f>MBunk_act!W$4</f>
        <v>18836.446991000001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35649.441605</v>
      </c>
      <c r="C31" s="86">
        <f>MBunk_act!C$5</f>
        <v>40278.584342000002</v>
      </c>
      <c r="D31" s="86">
        <f>MBunk_act!D$5</f>
        <v>44485.660209000001</v>
      </c>
      <c r="E31" s="86">
        <f>MBunk_act!E$5</f>
        <v>43447.373641999999</v>
      </c>
      <c r="F31" s="86">
        <f>MBunk_act!F$5</f>
        <v>42334.285427000003</v>
      </c>
      <c r="G31" s="86">
        <f>MBunk_act!G$5</f>
        <v>44006.877983999999</v>
      </c>
      <c r="H31" s="86">
        <f>MBunk_act!H$5</f>
        <v>14871.836221</v>
      </c>
      <c r="I31" s="86">
        <f>MBunk_act!I$5</f>
        <v>45852.234485000001</v>
      </c>
      <c r="J31" s="86">
        <f>MBunk_act!J$5</f>
        <v>42133.365028</v>
      </c>
      <c r="K31" s="86">
        <f>MBunk_act!K$5</f>
        <v>26978.584308000001</v>
      </c>
      <c r="L31" s="86">
        <f>MBunk_act!L$5</f>
        <v>29878.678018999999</v>
      </c>
      <c r="M31" s="86">
        <f>MBunk_act!M$5</f>
        <v>32361.278316999997</v>
      </c>
      <c r="N31" s="86">
        <f>MBunk_act!N$5</f>
        <v>36314.975526000002</v>
      </c>
      <c r="O31" s="86">
        <f>MBunk_act!O$5</f>
        <v>32890.824263000002</v>
      </c>
      <c r="P31" s="86">
        <f>MBunk_act!P$5</f>
        <v>35479.326449</v>
      </c>
      <c r="Q31" s="86">
        <f>MBunk_act!Q$5</f>
        <v>37850.759341999998</v>
      </c>
      <c r="R31" s="86">
        <f>MBunk_act!R$5</f>
        <v>36225.725129999999</v>
      </c>
      <c r="S31" s="86">
        <f>MBunk_act!S$5</f>
        <v>38194.947692000002</v>
      </c>
      <c r="T31" s="86">
        <f>MBunk_act!T$5</f>
        <v>37589.987676999997</v>
      </c>
      <c r="U31" s="86">
        <f>MBunk_act!U$5</f>
        <v>35649.605198000005</v>
      </c>
      <c r="V31" s="86">
        <f>MBunk_act!V$5</f>
        <v>36947.331574999997</v>
      </c>
      <c r="W31" s="86">
        <f>MBunk_act!W$5</f>
        <v>39059.326402999999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2751.9727578252941</v>
      </c>
      <c r="C34" s="28">
        <f t="shared" si="25"/>
        <v>2960.7566525721895</v>
      </c>
      <c r="D34" s="28">
        <f t="shared" si="25"/>
        <v>3018.5600862869687</v>
      </c>
      <c r="E34" s="28">
        <f t="shared" si="25"/>
        <v>3018.2881615088099</v>
      </c>
      <c r="F34" s="28">
        <f t="shared" si="25"/>
        <v>3064.9153150841994</v>
      </c>
      <c r="G34" s="28">
        <f t="shared" si="25"/>
        <v>3338.1673123232436</v>
      </c>
      <c r="H34" s="28">
        <f t="shared" si="25"/>
        <v>3641.1257217962411</v>
      </c>
      <c r="I34" s="28">
        <f t="shared" si="25"/>
        <v>3811.5075854722254</v>
      </c>
      <c r="J34" s="28">
        <f t="shared" si="25"/>
        <v>3725.4445795490115</v>
      </c>
      <c r="K34" s="28">
        <f t="shared" si="25"/>
        <v>3301.743005448483</v>
      </c>
      <c r="L34" s="28">
        <f t="shared" si="25"/>
        <v>3353.2746855662504</v>
      </c>
      <c r="M34" s="28">
        <f t="shared" si="25"/>
        <v>3192.1468328074152</v>
      </c>
      <c r="N34" s="28">
        <f t="shared" si="25"/>
        <v>3035.3622043826708</v>
      </c>
      <c r="O34" s="28">
        <f t="shared" si="25"/>
        <v>3147.0883974771436</v>
      </c>
      <c r="P34" s="28">
        <f t="shared" si="25"/>
        <v>3352.2504005359647</v>
      </c>
      <c r="Q34" s="28">
        <f t="shared" si="25"/>
        <v>3516.7992803783909</v>
      </c>
      <c r="R34" s="28">
        <f t="shared" ref="R34:V34" si="26">R35+R39+R43</f>
        <v>3676.1853853100947</v>
      </c>
      <c r="S34" s="28">
        <f t="shared" si="26"/>
        <v>3812.8218972074255</v>
      </c>
      <c r="T34" s="28">
        <f t="shared" si="26"/>
        <v>3898.4626052598651</v>
      </c>
      <c r="U34" s="28">
        <f t="shared" si="26"/>
        <v>3907.3070250766546</v>
      </c>
      <c r="V34" s="28">
        <f t="shared" si="26"/>
        <v>2680.0157594141906</v>
      </c>
      <c r="W34" s="28">
        <f t="shared" ref="W34" si="27">W35+W39+W43</f>
        <v>2837.8359208057632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2097.0691269714962</v>
      </c>
      <c r="C35" s="137">
        <f t="shared" si="28"/>
        <v>2177.4496336054131</v>
      </c>
      <c r="D35" s="137">
        <f t="shared" si="28"/>
        <v>2193.1048905752468</v>
      </c>
      <c r="E35" s="137">
        <f t="shared" si="28"/>
        <v>2207.1949131618126</v>
      </c>
      <c r="F35" s="137">
        <f t="shared" si="28"/>
        <v>2295.8150149367893</v>
      </c>
      <c r="G35" s="137">
        <f t="shared" si="28"/>
        <v>2456.5129875480125</v>
      </c>
      <c r="H35" s="137">
        <f t="shared" si="28"/>
        <v>2733.2222877569984</v>
      </c>
      <c r="I35" s="137">
        <f t="shared" si="28"/>
        <v>2743.6887601984836</v>
      </c>
      <c r="J35" s="137">
        <f t="shared" si="28"/>
        <v>2724.0435468535493</v>
      </c>
      <c r="K35" s="137">
        <f t="shared" si="28"/>
        <v>2672.0431628254419</v>
      </c>
      <c r="L35" s="137">
        <f t="shared" si="28"/>
        <v>2564.046525579532</v>
      </c>
      <c r="M35" s="137">
        <f t="shared" si="28"/>
        <v>2465.5386275309197</v>
      </c>
      <c r="N35" s="137">
        <f t="shared" si="28"/>
        <v>2422.9340417039693</v>
      </c>
      <c r="O35" s="137">
        <f t="shared" si="28"/>
        <v>2475.2223333423162</v>
      </c>
      <c r="P35" s="137">
        <f t="shared" si="28"/>
        <v>2585.0122723021195</v>
      </c>
      <c r="Q35" s="137">
        <f t="shared" si="28"/>
        <v>2654.601009740551</v>
      </c>
      <c r="R35" s="137">
        <f t="shared" ref="R35:V35" si="29">R36+R37+R38</f>
        <v>2786.2656074868278</v>
      </c>
      <c r="S35" s="137">
        <f t="shared" si="29"/>
        <v>2775.3229321914314</v>
      </c>
      <c r="T35" s="137">
        <f t="shared" si="29"/>
        <v>2776.0643052144615</v>
      </c>
      <c r="U35" s="137">
        <f t="shared" si="29"/>
        <v>2767.9387810495473</v>
      </c>
      <c r="V35" s="137">
        <f t="shared" si="29"/>
        <v>2273.966215686763</v>
      </c>
      <c r="W35" s="137">
        <f t="shared" ref="W35" si="30">W36+W37+W38</f>
        <v>2388.1847187868807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4.3913926231090299</v>
      </c>
      <c r="C36" s="102">
        <f>TrRoad_ene!C$19</f>
        <v>4.6886837022671655</v>
      </c>
      <c r="D36" s="102">
        <f>TrRoad_ene!D$19</f>
        <v>4.6048946825741508</v>
      </c>
      <c r="E36" s="102">
        <f>TrRoad_ene!E$19</f>
        <v>4.9189578298332446</v>
      </c>
      <c r="F36" s="102">
        <f>TrRoad_ene!F$19</f>
        <v>4.7198967042099573</v>
      </c>
      <c r="G36" s="102">
        <f>TrRoad_ene!G$19</f>
        <v>5.7451139208879107</v>
      </c>
      <c r="H36" s="102">
        <f>TrRoad_ene!H$19</f>
        <v>5.6288429652337122</v>
      </c>
      <c r="I36" s="102">
        <f>TrRoad_ene!I$19</f>
        <v>5.6879547014120915</v>
      </c>
      <c r="J36" s="102">
        <f>TrRoad_ene!J$19</f>
        <v>6.0509304921566427</v>
      </c>
      <c r="K36" s="102">
        <f>TrRoad_ene!K$19</f>
        <v>5.5360981542613521</v>
      </c>
      <c r="L36" s="102">
        <f>TrRoad_ene!L$19</f>
        <v>4.8074636518270735</v>
      </c>
      <c r="M36" s="102">
        <f>TrRoad_ene!M$19</f>
        <v>4.3773299763245079</v>
      </c>
      <c r="N36" s="102">
        <f>TrRoad_ene!N$19</f>
        <v>3.9412964325877158</v>
      </c>
      <c r="O36" s="102">
        <f>TrRoad_ene!O$19</f>
        <v>3.8640570891794432</v>
      </c>
      <c r="P36" s="102">
        <f>TrRoad_ene!P$19</f>
        <v>4.4358795994203568</v>
      </c>
      <c r="Q36" s="102">
        <f>TrRoad_ene!Q$19</f>
        <v>4.1839506457997304</v>
      </c>
      <c r="R36" s="102">
        <f>TrRoad_ene!R$19</f>
        <v>4.3153939886426924</v>
      </c>
      <c r="S36" s="102">
        <f>TrRoad_ene!S$19</f>
        <v>4.0590089504167164</v>
      </c>
      <c r="T36" s="102">
        <f>TrRoad_ene!T$19</f>
        <v>3.8354369095328842</v>
      </c>
      <c r="U36" s="102">
        <f>TrRoad_ene!U$19</f>
        <v>4.0682569223060225</v>
      </c>
      <c r="V36" s="102">
        <f>TrRoad_ene!V$19</f>
        <v>3.6602327229158282</v>
      </c>
      <c r="W36" s="102">
        <f>TrRoad_ene!W$19</f>
        <v>3.5287351662288566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1963.4386917014351</v>
      </c>
      <c r="C37" s="102">
        <f>TrRoad_ene!C$21</f>
        <v>2045.2644820008079</v>
      </c>
      <c r="D37" s="102">
        <f>TrRoad_ene!D$21</f>
        <v>2060.5270770696579</v>
      </c>
      <c r="E37" s="102">
        <f>TrRoad_ene!E$21</f>
        <v>2068.7179050233112</v>
      </c>
      <c r="F37" s="102">
        <f>TrRoad_ene!F$21</f>
        <v>2153.5505778484976</v>
      </c>
      <c r="G37" s="102">
        <f>TrRoad_ene!G$21</f>
        <v>2308.42533214901</v>
      </c>
      <c r="H37" s="102">
        <f>TrRoad_ene!H$21</f>
        <v>2575.7488850871541</v>
      </c>
      <c r="I37" s="102">
        <f>TrRoad_ene!I$21</f>
        <v>2576.1321368202957</v>
      </c>
      <c r="J37" s="102">
        <f>TrRoad_ene!J$21</f>
        <v>2544.8324140271852</v>
      </c>
      <c r="K37" s="102">
        <f>TrRoad_ene!K$21</f>
        <v>2495.0946029603865</v>
      </c>
      <c r="L37" s="102">
        <f>TrRoad_ene!L$21</f>
        <v>2391.9687088266369</v>
      </c>
      <c r="M37" s="102">
        <f>TrRoad_ene!M$21</f>
        <v>2298.2552020604503</v>
      </c>
      <c r="N37" s="102">
        <f>TrRoad_ene!N$21</f>
        <v>2258.7371785048031</v>
      </c>
      <c r="O37" s="102">
        <f>TrRoad_ene!O$21</f>
        <v>2310.6675126571545</v>
      </c>
      <c r="P37" s="102">
        <f>TrRoad_ene!P$21</f>
        <v>2416.386416490262</v>
      </c>
      <c r="Q37" s="102">
        <f>TrRoad_ene!Q$21</f>
        <v>2480.7835829311621</v>
      </c>
      <c r="R37" s="102">
        <f>TrRoad_ene!R$21</f>
        <v>2602.4970261382773</v>
      </c>
      <c r="S37" s="102">
        <f>TrRoad_ene!S$21</f>
        <v>2573.2281302653842</v>
      </c>
      <c r="T37" s="102">
        <f>TrRoad_ene!T$21</f>
        <v>2559.1551296073644</v>
      </c>
      <c r="U37" s="102">
        <f>TrRoad_ene!U$21</f>
        <v>2546.5703170502138</v>
      </c>
      <c r="V37" s="102">
        <f>TrRoad_ene!V$21</f>
        <v>2089.3371986154407</v>
      </c>
      <c r="W37" s="102">
        <f>TrRoad_ene!W$21</f>
        <v>2203.3958599261177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129.2390426469521</v>
      </c>
      <c r="C38" s="102">
        <f>TrRoad_ene!C$33</f>
        <v>127.49646790233761</v>
      </c>
      <c r="D38" s="102">
        <f>TrRoad_ene!D$33</f>
        <v>127.97291882301469</v>
      </c>
      <c r="E38" s="102">
        <f>TrRoad_ene!E$33</f>
        <v>133.55805030866793</v>
      </c>
      <c r="F38" s="102">
        <f>TrRoad_ene!F$33</f>
        <v>137.54454038408176</v>
      </c>
      <c r="G38" s="102">
        <f>TrRoad_ene!G$33</f>
        <v>142.34254147811473</v>
      </c>
      <c r="H38" s="102">
        <f>TrRoad_ene!H$33</f>
        <v>151.84455970461048</v>
      </c>
      <c r="I38" s="102">
        <f>TrRoad_ene!I$33</f>
        <v>161.86866867677534</v>
      </c>
      <c r="J38" s="102">
        <f>TrRoad_ene!J$33</f>
        <v>173.16020233420758</v>
      </c>
      <c r="K38" s="102">
        <f>TrRoad_ene!K$33</f>
        <v>171.41246171079419</v>
      </c>
      <c r="L38" s="102">
        <f>TrRoad_ene!L$33</f>
        <v>167.27035310106783</v>
      </c>
      <c r="M38" s="102">
        <f>TrRoad_ene!M$33</f>
        <v>162.90609549414495</v>
      </c>
      <c r="N38" s="102">
        <f>TrRoad_ene!N$33</f>
        <v>160.25556676657845</v>
      </c>
      <c r="O38" s="102">
        <f>TrRoad_ene!O$33</f>
        <v>160.69076359598242</v>
      </c>
      <c r="P38" s="102">
        <f>TrRoad_ene!P$33</f>
        <v>164.18997621243716</v>
      </c>
      <c r="Q38" s="102">
        <f>TrRoad_ene!Q$33</f>
        <v>169.63347616358956</v>
      </c>
      <c r="R38" s="102">
        <f>TrRoad_ene!R$33</f>
        <v>179.45318735990756</v>
      </c>
      <c r="S38" s="102">
        <f>TrRoad_ene!S$33</f>
        <v>198.03579297563039</v>
      </c>
      <c r="T38" s="102">
        <f>TrRoad_ene!T$33</f>
        <v>213.07373869756435</v>
      </c>
      <c r="U38" s="102">
        <f>TrRoad_ene!U$33</f>
        <v>217.30020707702772</v>
      </c>
      <c r="V38" s="102">
        <f>TrRoad_ene!V$33</f>
        <v>180.96878434840676</v>
      </c>
      <c r="W38" s="102">
        <f>TrRoad_ene!W$33</f>
        <v>181.26012369453431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36.603175542466076</v>
      </c>
      <c r="C39" s="110">
        <f t="shared" si="31"/>
        <v>39.872723377060964</v>
      </c>
      <c r="D39" s="110">
        <f t="shared" si="31"/>
        <v>34.942364167774983</v>
      </c>
      <c r="E39" s="110">
        <f t="shared" si="31"/>
        <v>39.337872736383574</v>
      </c>
      <c r="F39" s="110">
        <f t="shared" si="31"/>
        <v>44.197594755177931</v>
      </c>
      <c r="G39" s="110">
        <f t="shared" si="31"/>
        <v>41.366559193167909</v>
      </c>
      <c r="H39" s="110">
        <f t="shared" si="31"/>
        <v>42.328689682359808</v>
      </c>
      <c r="I39" s="110">
        <f t="shared" si="31"/>
        <v>45.953527050161497</v>
      </c>
      <c r="J39" s="110">
        <f t="shared" si="31"/>
        <v>49.120165215364544</v>
      </c>
      <c r="K39" s="110">
        <f t="shared" si="31"/>
        <v>43.114448172304861</v>
      </c>
      <c r="L39" s="110">
        <f t="shared" si="31"/>
        <v>42.680969431625144</v>
      </c>
      <c r="M39" s="110">
        <f t="shared" si="31"/>
        <v>42.543846575308187</v>
      </c>
      <c r="N39" s="110">
        <f t="shared" si="31"/>
        <v>41.399378070056635</v>
      </c>
      <c r="O39" s="110">
        <f t="shared" si="31"/>
        <v>40.901595586618072</v>
      </c>
      <c r="P39" s="110">
        <f t="shared" si="31"/>
        <v>37.45049124087371</v>
      </c>
      <c r="Q39" s="110">
        <f t="shared" si="31"/>
        <v>38.346363538327232</v>
      </c>
      <c r="R39" s="110">
        <f t="shared" ref="R39:V39" si="32">R40+R41+R42</f>
        <v>39.271595889167706</v>
      </c>
      <c r="S39" s="110">
        <f t="shared" si="32"/>
        <v>40.549886693754928</v>
      </c>
      <c r="T39" s="110">
        <f t="shared" si="32"/>
        <v>41.468943630958087</v>
      </c>
      <c r="U39" s="110">
        <f t="shared" si="32"/>
        <v>43.534873061690917</v>
      </c>
      <c r="V39" s="110">
        <f t="shared" si="32"/>
        <v>35.138951380144114</v>
      </c>
      <c r="W39" s="110">
        <f t="shared" ref="W39" si="33">W40+W41+W42</f>
        <v>37.845985448661658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0.30061787931204664</v>
      </c>
      <c r="G40" s="102">
        <f>TrRail_ene!G$12</f>
        <v>0.64439162123526028</v>
      </c>
      <c r="H40" s="102">
        <f>TrRail_ene!H$12</f>
        <v>0.65440912206254431</v>
      </c>
      <c r="I40" s="102">
        <f>TrRail_ene!I$12</f>
        <v>0.98553424279841695</v>
      </c>
      <c r="J40" s="102">
        <f>TrRail_ene!J$12</f>
        <v>0.76646003298620913</v>
      </c>
      <c r="K40" s="102">
        <f>TrRail_ene!K$12</f>
        <v>0.76313507388753477</v>
      </c>
      <c r="L40" s="102">
        <f>TrRail_ene!L$12</f>
        <v>0.75684797040316987</v>
      </c>
      <c r="M40" s="102">
        <f>TrRail_ene!M$12</f>
        <v>0.7803587185401778</v>
      </c>
      <c r="N40" s="102">
        <f>TrRail_ene!N$12</f>
        <v>0.79953066706918718</v>
      </c>
      <c r="O40" s="102">
        <f>TrRail_ene!O$12</f>
        <v>0.82354634979874419</v>
      </c>
      <c r="P40" s="102">
        <f>TrRail_ene!P$12</f>
        <v>0.83131417661546481</v>
      </c>
      <c r="Q40" s="102">
        <f>TrRail_ene!Q$12</f>
        <v>0.88487248949653874</v>
      </c>
      <c r="R40" s="102">
        <f>TrRail_ene!R$12</f>
        <v>0.8717212913592427</v>
      </c>
      <c r="S40" s="102">
        <f>TrRail_ene!S$12</f>
        <v>0.85680791475351969</v>
      </c>
      <c r="T40" s="102">
        <f>TrRail_ene!T$12</f>
        <v>1.3030429852345815</v>
      </c>
      <c r="U40" s="102">
        <f>TrRail_ene!U$12</f>
        <v>1.2429122926826963</v>
      </c>
      <c r="V40" s="102">
        <f>TrRail_ene!V$12</f>
        <v>1.0867659019779798</v>
      </c>
      <c r="W40" s="102">
        <f>TrRail_ene!W$12</f>
        <v>1.0980730735881272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36.603175542466076</v>
      </c>
      <c r="C41" s="102">
        <f>TrRail_ene!C$13</f>
        <v>39.872723377060964</v>
      </c>
      <c r="D41" s="102">
        <f>TrRail_ene!D$13</f>
        <v>34.942364167774983</v>
      </c>
      <c r="E41" s="102">
        <f>TrRail_ene!E$13</f>
        <v>39.337872736383574</v>
      </c>
      <c r="F41" s="102">
        <f>TrRail_ene!F$13</f>
        <v>43.896976875865882</v>
      </c>
      <c r="G41" s="102">
        <f>TrRail_ene!G$13</f>
        <v>40.722167571932651</v>
      </c>
      <c r="H41" s="102">
        <f>TrRail_ene!H$13</f>
        <v>41.674280560297262</v>
      </c>
      <c r="I41" s="102">
        <f>TrRail_ene!I$13</f>
        <v>44.967992807363082</v>
      </c>
      <c r="J41" s="102">
        <f>TrRail_ene!J$13</f>
        <v>48.353705182378334</v>
      </c>
      <c r="K41" s="102">
        <f>TrRail_ene!K$13</f>
        <v>42.351313098417329</v>
      </c>
      <c r="L41" s="102">
        <f>TrRail_ene!L$13</f>
        <v>41.924121461221972</v>
      </c>
      <c r="M41" s="102">
        <f>TrRail_ene!M$13</f>
        <v>41.763487856768009</v>
      </c>
      <c r="N41" s="102">
        <f>TrRail_ene!N$13</f>
        <v>40.59984740298745</v>
      </c>
      <c r="O41" s="102">
        <f>TrRail_ene!O$13</f>
        <v>40.078049236819325</v>
      </c>
      <c r="P41" s="102">
        <f>TrRail_ene!P$13</f>
        <v>36.619177064258245</v>
      </c>
      <c r="Q41" s="102">
        <f>TrRail_ene!Q$13</f>
        <v>37.461491048830695</v>
      </c>
      <c r="R41" s="102">
        <f>TrRail_ene!R$13</f>
        <v>38.399874597808463</v>
      </c>
      <c r="S41" s="102">
        <f>TrRail_ene!S$13</f>
        <v>39.693078779001411</v>
      </c>
      <c r="T41" s="102">
        <f>TrRail_ene!T$13</f>
        <v>40.165900645723504</v>
      </c>
      <c r="U41" s="102">
        <f>TrRail_ene!U$13</f>
        <v>42.29196076900822</v>
      </c>
      <c r="V41" s="102">
        <f>TrRail_ene!V$13</f>
        <v>34.052185478166138</v>
      </c>
      <c r="W41" s="102">
        <f>TrRail_ene!W$13</f>
        <v>36.747912375073533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618.30045531133214</v>
      </c>
      <c r="C43" s="110">
        <f t="shared" si="34"/>
        <v>743.43429558971536</v>
      </c>
      <c r="D43" s="110">
        <f t="shared" si="34"/>
        <v>790.51283154394719</v>
      </c>
      <c r="E43" s="110">
        <f t="shared" si="34"/>
        <v>771.75537561061412</v>
      </c>
      <c r="F43" s="110">
        <f t="shared" si="34"/>
        <v>724.90270539223206</v>
      </c>
      <c r="G43" s="110">
        <f t="shared" si="34"/>
        <v>840.28776558206289</v>
      </c>
      <c r="H43" s="110">
        <f t="shared" si="34"/>
        <v>865.574744356883</v>
      </c>
      <c r="I43" s="110">
        <f t="shared" si="34"/>
        <v>1021.8652982235805</v>
      </c>
      <c r="J43" s="110">
        <f t="shared" si="34"/>
        <v>952.28086748009764</v>
      </c>
      <c r="K43" s="110">
        <f t="shared" si="34"/>
        <v>586.58539445073609</v>
      </c>
      <c r="L43" s="110">
        <f t="shared" si="34"/>
        <v>746.54719055509304</v>
      </c>
      <c r="M43" s="110">
        <f t="shared" si="34"/>
        <v>684.06435870118753</v>
      </c>
      <c r="N43" s="110">
        <f t="shared" si="34"/>
        <v>571.02878460864497</v>
      </c>
      <c r="O43" s="110">
        <f t="shared" si="34"/>
        <v>630.96446854820954</v>
      </c>
      <c r="P43" s="110">
        <f t="shared" si="34"/>
        <v>729.78763699297122</v>
      </c>
      <c r="Q43" s="110">
        <f t="shared" si="34"/>
        <v>823.85190709951235</v>
      </c>
      <c r="R43" s="110">
        <f t="shared" ref="R43:V43" si="35">R44+R45+R46</f>
        <v>850.6481819340994</v>
      </c>
      <c r="S43" s="110">
        <f t="shared" si="35"/>
        <v>996.94907832223907</v>
      </c>
      <c r="T43" s="110">
        <f t="shared" si="35"/>
        <v>1080.9293564144455</v>
      </c>
      <c r="U43" s="110">
        <f t="shared" si="35"/>
        <v>1095.8333709654162</v>
      </c>
      <c r="V43" s="110">
        <f t="shared" si="35"/>
        <v>370.91059234728357</v>
      </c>
      <c r="W43" s="110">
        <f t="shared" ref="W43" si="36">W44+W45+W46</f>
        <v>411.80521657022047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31.32254774998907</v>
      </c>
      <c r="C44" s="102">
        <f>TrAvia_ene!C$7</f>
        <v>37.457207963080769</v>
      </c>
      <c r="D44" s="102">
        <f>TrAvia_ene!D$7</f>
        <v>39.845878219212608</v>
      </c>
      <c r="E44" s="102">
        <f>TrAvia_ene!E$7</f>
        <v>37.934553160126413</v>
      </c>
      <c r="F44" s="102">
        <f>TrAvia_ene!F$7</f>
        <v>35.809202905547707</v>
      </c>
      <c r="G44" s="102">
        <f>TrAvia_ene!G$7</f>
        <v>44.533925604951236</v>
      </c>
      <c r="H44" s="102">
        <f>TrAvia_ene!H$7</f>
        <v>56.971512974444344</v>
      </c>
      <c r="I44" s="102">
        <f>TrAvia_ene!I$7</f>
        <v>51.032407449684044</v>
      </c>
      <c r="J44" s="102">
        <f>TrAvia_ene!J$7</f>
        <v>40.620753060595433</v>
      </c>
      <c r="K44" s="102">
        <f>TrAvia_ene!K$7</f>
        <v>30.400161695646787</v>
      </c>
      <c r="L44" s="102">
        <f>TrAvia_ene!L$7</f>
        <v>26.08103478624805</v>
      </c>
      <c r="M44" s="102">
        <f>TrAvia_ene!M$7</f>
        <v>7.3197599952719967</v>
      </c>
      <c r="N44" s="102">
        <f>TrAvia_ene!N$7</f>
        <v>6.7123309935220892</v>
      </c>
      <c r="O44" s="102">
        <f>TrAvia_ene!O$7</f>
        <v>6.8568842003635648</v>
      </c>
      <c r="P44" s="102">
        <f>TrAvia_ene!P$7</f>
        <v>7.2005182146311313</v>
      </c>
      <c r="Q44" s="102">
        <f>TrAvia_ene!Q$7</f>
        <v>7.2436886263866853</v>
      </c>
      <c r="R44" s="102">
        <f>TrAvia_ene!R$7</f>
        <v>3.7537839443431151</v>
      </c>
      <c r="S44" s="102">
        <f>TrAvia_ene!S$7</f>
        <v>5.0114517137636101</v>
      </c>
      <c r="T44" s="102">
        <f>TrAvia_ene!T$7</f>
        <v>4.8107329192836676</v>
      </c>
      <c r="U44" s="102">
        <f>TrAvia_ene!U$7</f>
        <v>5.4756828209685136</v>
      </c>
      <c r="V44" s="102">
        <f>TrAvia_ene!V$7</f>
        <v>4.1530152446172357</v>
      </c>
      <c r="W44" s="102">
        <f>TrAvia_ene!W$7</f>
        <v>5.3987599046780712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361.04671155700532</v>
      </c>
      <c r="C45" s="102">
        <f>TrAvia_ene!C$8</f>
        <v>448.51647023635354</v>
      </c>
      <c r="D45" s="102">
        <f>TrAvia_ene!D$8</f>
        <v>485.33074491730582</v>
      </c>
      <c r="E45" s="102">
        <f>TrAvia_ene!E$8</f>
        <v>502.85215181110914</v>
      </c>
      <c r="F45" s="102">
        <f>TrAvia_ene!F$8</f>
        <v>472.01920672820768</v>
      </c>
      <c r="G45" s="102">
        <f>TrAvia_ene!G$8</f>
        <v>548.29613187320797</v>
      </c>
      <c r="H45" s="102">
        <f>TrAvia_ene!H$8</f>
        <v>556.59127954955898</v>
      </c>
      <c r="I45" s="102">
        <f>TrAvia_ene!I$8</f>
        <v>672.43110120956487</v>
      </c>
      <c r="J45" s="102">
        <f>TrAvia_ene!J$8</f>
        <v>631.95914357770971</v>
      </c>
      <c r="K45" s="102">
        <f>TrAvia_ene!K$8</f>
        <v>375.16298326064282</v>
      </c>
      <c r="L45" s="102">
        <f>TrAvia_ene!L$8</f>
        <v>477.09465646409012</v>
      </c>
      <c r="M45" s="102">
        <f>TrAvia_ene!M$8</f>
        <v>447.63351381268279</v>
      </c>
      <c r="N45" s="102">
        <f>TrAvia_ene!N$8</f>
        <v>370.05500187048779</v>
      </c>
      <c r="O45" s="102">
        <f>TrAvia_ene!O$8</f>
        <v>408.65757665766728</v>
      </c>
      <c r="P45" s="102">
        <f>TrAvia_ene!P$8</f>
        <v>476.94426948231057</v>
      </c>
      <c r="Q45" s="102">
        <f>TrAvia_ene!Q$8</f>
        <v>542.80400579785896</v>
      </c>
      <c r="R45" s="102">
        <f>TrAvia_ene!R$8</f>
        <v>576.12762044949011</v>
      </c>
      <c r="S45" s="102">
        <f>TrAvia_ene!S$8</f>
        <v>681.01006806402745</v>
      </c>
      <c r="T45" s="102">
        <f>TrAvia_ene!T$8</f>
        <v>738.66048542873227</v>
      </c>
      <c r="U45" s="102">
        <f>TrAvia_ene!U$8</f>
        <v>740.67979853347549</v>
      </c>
      <c r="V45" s="102">
        <f>TrAvia_ene!V$8</f>
        <v>216.54013978636564</v>
      </c>
      <c r="W45" s="102">
        <f>TrAvia_ene!W$8</f>
        <v>250.80994009140508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225.93119600433772</v>
      </c>
      <c r="C46" s="102">
        <f>TrAvia_ene!C$9</f>
        <v>257.46061739028107</v>
      </c>
      <c r="D46" s="102">
        <f>TrAvia_ene!D$9</f>
        <v>265.33620840742884</v>
      </c>
      <c r="E46" s="102">
        <f>TrAvia_ene!E$9</f>
        <v>230.96867063937859</v>
      </c>
      <c r="F46" s="102">
        <f>TrAvia_ene!F$9</f>
        <v>217.07429575847675</v>
      </c>
      <c r="G46" s="102">
        <f>TrAvia_ene!G$9</f>
        <v>247.45770810390368</v>
      </c>
      <c r="H46" s="102">
        <f>TrAvia_ene!H$9</f>
        <v>252.0119518328797</v>
      </c>
      <c r="I46" s="102">
        <f>TrAvia_ene!I$9</f>
        <v>298.40178956433158</v>
      </c>
      <c r="J46" s="102">
        <f>TrAvia_ene!J$9</f>
        <v>279.70097084179247</v>
      </c>
      <c r="K46" s="102">
        <f>TrAvia_ene!K$9</f>
        <v>181.02224949444647</v>
      </c>
      <c r="L46" s="102">
        <f>TrAvia_ene!L$9</f>
        <v>243.37149930475485</v>
      </c>
      <c r="M46" s="102">
        <f>TrAvia_ene!M$9</f>
        <v>229.11108489323269</v>
      </c>
      <c r="N46" s="102">
        <f>TrAvia_ene!N$9</f>
        <v>194.26145174463508</v>
      </c>
      <c r="O46" s="102">
        <f>TrAvia_ene!O$9</f>
        <v>215.45000769017872</v>
      </c>
      <c r="P46" s="102">
        <f>TrAvia_ene!P$9</f>
        <v>245.64284929602951</v>
      </c>
      <c r="Q46" s="102">
        <f>TrAvia_ene!Q$9</f>
        <v>273.80421267526674</v>
      </c>
      <c r="R46" s="102">
        <f>TrAvia_ene!R$9</f>
        <v>270.76677754026616</v>
      </c>
      <c r="S46" s="102">
        <f>TrAvia_ene!S$9</f>
        <v>310.92755854444806</v>
      </c>
      <c r="T46" s="102">
        <f>TrAvia_ene!T$9</f>
        <v>337.45813806642968</v>
      </c>
      <c r="U46" s="102">
        <f>TrAvia_ene!U$9</f>
        <v>349.67788961097216</v>
      </c>
      <c r="V46" s="102">
        <f>TrAvia_ene!V$9</f>
        <v>150.21743731630073</v>
      </c>
      <c r="W46" s="102">
        <f>TrAvia_ene!W$9</f>
        <v>155.5965165741373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1352.3897529227702</v>
      </c>
      <c r="C47" s="28">
        <f t="shared" si="37"/>
        <v>1427.0516019419977</v>
      </c>
      <c r="D47" s="28">
        <f t="shared" si="37"/>
        <v>1482.0678586829358</v>
      </c>
      <c r="E47" s="28">
        <f t="shared" si="37"/>
        <v>1531.2516493252397</v>
      </c>
      <c r="F47" s="28">
        <f t="shared" si="37"/>
        <v>1682.504289386995</v>
      </c>
      <c r="G47" s="28">
        <f t="shared" si="37"/>
        <v>1747.8426618813999</v>
      </c>
      <c r="H47" s="28">
        <f t="shared" si="37"/>
        <v>1868.918818186562</v>
      </c>
      <c r="I47" s="28">
        <f t="shared" si="37"/>
        <v>1985.036524587963</v>
      </c>
      <c r="J47" s="28">
        <f t="shared" si="37"/>
        <v>1766.7201362023022</v>
      </c>
      <c r="K47" s="28">
        <f t="shared" si="37"/>
        <v>1428.0040673574651</v>
      </c>
      <c r="L47" s="28">
        <f t="shared" si="37"/>
        <v>1293.0758850482853</v>
      </c>
      <c r="M47" s="28">
        <f t="shared" si="37"/>
        <v>1203.7999419114592</v>
      </c>
      <c r="N47" s="28">
        <f t="shared" si="37"/>
        <v>1167.7218589306235</v>
      </c>
      <c r="O47" s="28">
        <f t="shared" si="37"/>
        <v>1178.0981641686951</v>
      </c>
      <c r="P47" s="28">
        <f t="shared" si="37"/>
        <v>1224.3038360228072</v>
      </c>
      <c r="Q47" s="28">
        <f t="shared" si="37"/>
        <v>1204.0819081527613</v>
      </c>
      <c r="R47" s="28">
        <f t="shared" ref="R47:V47" si="38">R48+R51+R52+R56</f>
        <v>1266.679151748207</v>
      </c>
      <c r="S47" s="28">
        <f t="shared" si="38"/>
        <v>1235.1265519337558</v>
      </c>
      <c r="T47" s="28">
        <f t="shared" si="38"/>
        <v>1274.025468389262</v>
      </c>
      <c r="U47" s="28">
        <f t="shared" si="38"/>
        <v>1310.2899745354991</v>
      </c>
      <c r="V47" s="28">
        <f t="shared" si="38"/>
        <v>1185.5736820365266</v>
      </c>
      <c r="W47" s="28">
        <f t="shared" ref="W47" si="39">W48+W51+W52+W56</f>
        <v>1301.0498070410183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1286.7114405263533</v>
      </c>
      <c r="C48" s="137">
        <f t="shared" si="40"/>
        <v>1359.5488186731764</v>
      </c>
      <c r="D48" s="137">
        <f t="shared" si="40"/>
        <v>1413.0111885305139</v>
      </c>
      <c r="E48" s="137">
        <f t="shared" si="40"/>
        <v>1457.6390507246881</v>
      </c>
      <c r="F48" s="137">
        <f t="shared" si="40"/>
        <v>1586.425139835351</v>
      </c>
      <c r="G48" s="137">
        <f t="shared" si="40"/>
        <v>1655.5061870005686</v>
      </c>
      <c r="H48" s="137">
        <f t="shared" si="40"/>
        <v>1732.5854508500524</v>
      </c>
      <c r="I48" s="137">
        <f t="shared" si="40"/>
        <v>1868.0300704120059</v>
      </c>
      <c r="J48" s="137">
        <f t="shared" si="40"/>
        <v>1650.8204810215821</v>
      </c>
      <c r="K48" s="137">
        <f t="shared" si="40"/>
        <v>1326.3385617431891</v>
      </c>
      <c r="L48" s="137">
        <f t="shared" si="40"/>
        <v>1185.4814311055109</v>
      </c>
      <c r="M48" s="137">
        <f t="shared" si="40"/>
        <v>1109.5024722094511</v>
      </c>
      <c r="N48" s="137">
        <f t="shared" si="40"/>
        <v>1070.096281282584</v>
      </c>
      <c r="O48" s="137">
        <f t="shared" si="40"/>
        <v>1080.5434200490088</v>
      </c>
      <c r="P48" s="137">
        <f t="shared" si="40"/>
        <v>1115.8004337321465</v>
      </c>
      <c r="Q48" s="137">
        <f t="shared" si="40"/>
        <v>1108.5572209230172</v>
      </c>
      <c r="R48" s="137">
        <f t="shared" ref="R48:V48" si="41">R49+R50</f>
        <v>1160.3274764330392</v>
      </c>
      <c r="S48" s="137">
        <f t="shared" si="41"/>
        <v>1133.28725383711</v>
      </c>
      <c r="T48" s="137">
        <f t="shared" si="41"/>
        <v>1166.6467263022496</v>
      </c>
      <c r="U48" s="137">
        <f t="shared" si="41"/>
        <v>1199.6171179607149</v>
      </c>
      <c r="V48" s="137">
        <f t="shared" si="41"/>
        <v>1047.8166049556996</v>
      </c>
      <c r="W48" s="137">
        <f t="shared" ref="W48" si="42">W49+W50</f>
        <v>1148.7564690770976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415.3900217461852</v>
      </c>
      <c r="C49" s="102">
        <f>TrRoad_ene!C$43</f>
        <v>428.21715224970717</v>
      </c>
      <c r="D49" s="102">
        <f>TrRoad_ene!D$43</f>
        <v>450.41733551544343</v>
      </c>
      <c r="E49" s="102">
        <f>TrRoad_ene!E$43</f>
        <v>475.92716525402665</v>
      </c>
      <c r="F49" s="102">
        <f>TrRoad_ene!F$43</f>
        <v>508.60128168017326</v>
      </c>
      <c r="G49" s="102">
        <f>TrRoad_ene!G$43</f>
        <v>538.85207948573657</v>
      </c>
      <c r="H49" s="102">
        <f>TrRoad_ene!H$43</f>
        <v>578.73606550235297</v>
      </c>
      <c r="I49" s="102">
        <f>TrRoad_ene!I$43</f>
        <v>614.96311433053393</v>
      </c>
      <c r="J49" s="102">
        <f>TrRoad_ene!J$43</f>
        <v>601.19524902890078</v>
      </c>
      <c r="K49" s="102">
        <f>TrRoad_ene!K$43</f>
        <v>572.78779758674943</v>
      </c>
      <c r="L49" s="102">
        <f>TrRoad_ene!L$43</f>
        <v>534.32829806312395</v>
      </c>
      <c r="M49" s="102">
        <f>TrRoad_ene!M$43</f>
        <v>517.52342941774066</v>
      </c>
      <c r="N49" s="102">
        <f>TrRoad_ene!N$43</f>
        <v>487.11000406303418</v>
      </c>
      <c r="O49" s="102">
        <f>TrRoad_ene!O$43</f>
        <v>496.78967885077378</v>
      </c>
      <c r="P49" s="102">
        <f>TrRoad_ene!P$43</f>
        <v>485.50975511014985</v>
      </c>
      <c r="Q49" s="102">
        <f>TrRoad_ene!Q$43</f>
        <v>468.22772227291534</v>
      </c>
      <c r="R49" s="102">
        <f>TrRoad_ene!R$43</f>
        <v>451.12903672238656</v>
      </c>
      <c r="S49" s="102">
        <f>TrRoad_ene!S$43</f>
        <v>439.50407565346859</v>
      </c>
      <c r="T49" s="102">
        <f>TrRoad_ene!T$43</f>
        <v>440.29445891918544</v>
      </c>
      <c r="U49" s="102">
        <f>TrRoad_ene!U$43</f>
        <v>426.79372002302387</v>
      </c>
      <c r="V49" s="102">
        <f>TrRoad_ene!V$43</f>
        <v>416.00132731306184</v>
      </c>
      <c r="W49" s="102">
        <f>TrRoad_ene!W$43</f>
        <v>429.85268903143628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871.32141878016807</v>
      </c>
      <c r="C50" s="102">
        <f>TrRoad_ene!C$52</f>
        <v>931.33166642346919</v>
      </c>
      <c r="D50" s="102">
        <f>TrRoad_ene!D$52</f>
        <v>962.59385301507041</v>
      </c>
      <c r="E50" s="102">
        <f>TrRoad_ene!E$52</f>
        <v>981.7118854706614</v>
      </c>
      <c r="F50" s="102">
        <f>TrRoad_ene!F$52</f>
        <v>1077.8238581551777</v>
      </c>
      <c r="G50" s="102">
        <f>TrRoad_ene!G$52</f>
        <v>1116.654107514832</v>
      </c>
      <c r="H50" s="102">
        <f>TrRoad_ene!H$52</f>
        <v>1153.8493853476994</v>
      </c>
      <c r="I50" s="102">
        <f>TrRoad_ene!I$52</f>
        <v>1253.066956081472</v>
      </c>
      <c r="J50" s="102">
        <f>TrRoad_ene!J$52</f>
        <v>1049.6252319926814</v>
      </c>
      <c r="K50" s="102">
        <f>TrRoad_ene!K$52</f>
        <v>753.55076415643964</v>
      </c>
      <c r="L50" s="102">
        <f>TrRoad_ene!L$52</f>
        <v>651.15313304238691</v>
      </c>
      <c r="M50" s="102">
        <f>TrRoad_ene!M$52</f>
        <v>591.97904279171041</v>
      </c>
      <c r="N50" s="102">
        <f>TrRoad_ene!N$52</f>
        <v>582.98627721954983</v>
      </c>
      <c r="O50" s="102">
        <f>TrRoad_ene!O$52</f>
        <v>583.75374119823493</v>
      </c>
      <c r="P50" s="102">
        <f>TrRoad_ene!P$52</f>
        <v>630.29067862199668</v>
      </c>
      <c r="Q50" s="102">
        <f>TrRoad_ene!Q$52</f>
        <v>640.32949865010198</v>
      </c>
      <c r="R50" s="102">
        <f>TrRoad_ene!R$52</f>
        <v>709.19843971065268</v>
      </c>
      <c r="S50" s="102">
        <f>TrRoad_ene!S$52</f>
        <v>693.78317818364144</v>
      </c>
      <c r="T50" s="102">
        <f>TrRoad_ene!T$52</f>
        <v>726.35226738306426</v>
      </c>
      <c r="U50" s="102">
        <f>TrRoad_ene!U$52</f>
        <v>772.8233979376912</v>
      </c>
      <c r="V50" s="102">
        <f>TrRoad_ene!V$52</f>
        <v>631.81527764263785</v>
      </c>
      <c r="W50" s="102">
        <f>TrRoad_ene!W$52</f>
        <v>718.90378004566128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5.7617427722372794</v>
      </c>
      <c r="C51" s="110">
        <f>TrRail_ene!C$17</f>
        <v>6.1621863391901064</v>
      </c>
      <c r="D51" s="110">
        <f>TrRail_ene!D$17</f>
        <v>5.3347639491639658</v>
      </c>
      <c r="E51" s="110">
        <f>TrRail_ene!E$17</f>
        <v>4.9392553805553634</v>
      </c>
      <c r="F51" s="110">
        <f>TrRail_ene!F$17</f>
        <v>4.7446236455099333</v>
      </c>
      <c r="G51" s="110">
        <f>TrRail_ene!G$17</f>
        <v>3.5158999641837636</v>
      </c>
      <c r="H51" s="110">
        <f>TrRail_ene!H$17</f>
        <v>2.3567789332893776</v>
      </c>
      <c r="I51" s="110">
        <f>TrRail_ene!I$17</f>
        <v>1.4914428552555248</v>
      </c>
      <c r="J51" s="110">
        <f>TrRail_ene!J$17</f>
        <v>1.1670230907403412</v>
      </c>
      <c r="K51" s="110">
        <f>TrRail_ene!K$17</f>
        <v>0.78314426105712265</v>
      </c>
      <c r="L51" s="110">
        <f>TrRail_ene!L$17</f>
        <v>0.97500649270848294</v>
      </c>
      <c r="M51" s="110">
        <f>TrRail_ene!M$17</f>
        <v>1.1159126680280014</v>
      </c>
      <c r="N51" s="110">
        <f>TrRail_ene!N$17</f>
        <v>0.93088848196400098</v>
      </c>
      <c r="O51" s="110">
        <f>TrRail_ene!O$17</f>
        <v>0.99780252172241868</v>
      </c>
      <c r="P51" s="110">
        <f>TrRail_ene!P$17</f>
        <v>1.0457254401237086</v>
      </c>
      <c r="Q51" s="110">
        <f>TrRail_ene!Q$17</f>
        <v>0.99224351240362973</v>
      </c>
      <c r="R51" s="110">
        <f>TrRail_ene!R$17</f>
        <v>1.0328753060171618</v>
      </c>
      <c r="S51" s="110">
        <f>TrRail_ene!S$17</f>
        <v>1.0002422830292543</v>
      </c>
      <c r="T51" s="110">
        <f>TrRail_ene!T$17</f>
        <v>0.88152928391723606</v>
      </c>
      <c r="U51" s="110">
        <f>TrRail_ene!U$17</f>
        <v>0.73210888155929177</v>
      </c>
      <c r="V51" s="110">
        <f>TrRail_ene!V$17</f>
        <v>0.72433322862630001</v>
      </c>
      <c r="W51" s="110">
        <f>TrRail_ene!W$17</f>
        <v>0.68238944385767786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11.590860251866552</v>
      </c>
      <c r="C52" s="110">
        <f t="shared" si="43"/>
        <v>12.854268468754135</v>
      </c>
      <c r="D52" s="110">
        <f t="shared" si="43"/>
        <v>12.121390296121346</v>
      </c>
      <c r="E52" s="110">
        <f t="shared" si="43"/>
        <v>12.972569359291048</v>
      </c>
      <c r="F52" s="110">
        <f t="shared" si="43"/>
        <v>18.746133816709975</v>
      </c>
      <c r="G52" s="110">
        <f t="shared" si="43"/>
        <v>21.366920574428949</v>
      </c>
      <c r="H52" s="110">
        <f t="shared" si="43"/>
        <v>27.714249624200413</v>
      </c>
      <c r="I52" s="110">
        <f t="shared" si="43"/>
        <v>26.213635568336933</v>
      </c>
      <c r="J52" s="110">
        <f t="shared" si="43"/>
        <v>23.107954531940273</v>
      </c>
      <c r="K52" s="110">
        <f t="shared" si="43"/>
        <v>14.878234096125404</v>
      </c>
      <c r="L52" s="110">
        <f t="shared" si="43"/>
        <v>22.39279224800238</v>
      </c>
      <c r="M52" s="110">
        <f t="shared" si="43"/>
        <v>17.463758237763511</v>
      </c>
      <c r="N52" s="110">
        <f t="shared" si="43"/>
        <v>17.795119088689596</v>
      </c>
      <c r="O52" s="110">
        <f t="shared" si="43"/>
        <v>18.951438588505766</v>
      </c>
      <c r="P52" s="110">
        <f t="shared" si="43"/>
        <v>20.19275853583347</v>
      </c>
      <c r="Q52" s="110">
        <f t="shared" si="43"/>
        <v>23.033045609000133</v>
      </c>
      <c r="R52" s="110">
        <f t="shared" si="43"/>
        <v>19.397905770113852</v>
      </c>
      <c r="S52" s="110">
        <f t="shared" si="43"/>
        <v>24.970956071569844</v>
      </c>
      <c r="T52" s="110">
        <f t="shared" si="43"/>
        <v>22.583541263972215</v>
      </c>
      <c r="U52" s="110">
        <f t="shared" si="43"/>
        <v>20.56963849288103</v>
      </c>
      <c r="V52" s="110">
        <f t="shared" si="43"/>
        <v>27.737043078339816</v>
      </c>
      <c r="W52" s="110">
        <f t="shared" ref="W52" si="44">W53+W54+W55</f>
        <v>34.736141985239556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1.3417686730547813</v>
      </c>
      <c r="C53" s="102">
        <f>TrAvia_ene!C$11</f>
        <v>1.526970884726625</v>
      </c>
      <c r="D53" s="102">
        <f>TrAvia_ene!D$11</f>
        <v>1.244921436849292</v>
      </c>
      <c r="E53" s="102">
        <f>TrAvia_ene!E$11</f>
        <v>1.0496256876809791</v>
      </c>
      <c r="F53" s="102">
        <f>TrAvia_ene!F$11</f>
        <v>2.121665538132417</v>
      </c>
      <c r="G53" s="102">
        <f>TrAvia_ene!G$11</f>
        <v>2.9118181611708613</v>
      </c>
      <c r="H53" s="102">
        <f>TrAvia_ene!H$11</f>
        <v>5.2555721502332116</v>
      </c>
      <c r="I53" s="102">
        <f>TrAvia_ene!I$11</f>
        <v>3.7748152502299739</v>
      </c>
      <c r="J53" s="102">
        <f>TrAvia_ene!J$11</f>
        <v>2.5883612988198599</v>
      </c>
      <c r="K53" s="102">
        <f>TrAvia_ene!K$11</f>
        <v>2.2758486224959511</v>
      </c>
      <c r="L53" s="102">
        <f>TrAvia_ene!L$11</f>
        <v>2.3817339153856478</v>
      </c>
      <c r="M53" s="102">
        <f>TrAvia_ene!M$11</f>
        <v>1.1301110279438238</v>
      </c>
      <c r="N53" s="102">
        <f>TrAvia_ene!N$11</f>
        <v>1.7375400296937316</v>
      </c>
      <c r="O53" s="102">
        <f>TrAvia_ene!O$11</f>
        <v>1.592986822852255</v>
      </c>
      <c r="P53" s="102">
        <f>TrAvia_ene!P$11</f>
        <v>1.249352808584689</v>
      </c>
      <c r="Q53" s="102">
        <f>TrAvia_ene!Q$11</f>
        <v>1.2061823968291345</v>
      </c>
      <c r="R53" s="102">
        <f>TrAvia_ene!R$11</f>
        <v>0.47115156726479518</v>
      </c>
      <c r="S53" s="102">
        <f>TrAvia_ene!S$11</f>
        <v>0.77530666972736095</v>
      </c>
      <c r="T53" s="102">
        <f>TrAvia_ene!T$11</f>
        <v>0.74223354675244435</v>
      </c>
      <c r="U53" s="102">
        <f>TrAvia_ene!U$11</f>
        <v>0.49946765194636095</v>
      </c>
      <c r="V53" s="102">
        <f>TrAvia_ene!V$11</f>
        <v>0.40983944153925539</v>
      </c>
      <c r="W53" s="102">
        <f>TrAvia_ene!W$11</f>
        <v>1.0622891064999167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4.3980529438194038</v>
      </c>
      <c r="C54" s="102">
        <f>TrAvia_ene!C$12</f>
        <v>4.8484732753628501</v>
      </c>
      <c r="D54" s="102">
        <f>TrAvia_ene!D$12</f>
        <v>3.8253872679597656</v>
      </c>
      <c r="E54" s="102">
        <f>TrAvia_ene!E$12</f>
        <v>3.7620287374645311</v>
      </c>
      <c r="F54" s="102">
        <f>TrAvia_ene!F$12</f>
        <v>3.6466470638382598</v>
      </c>
      <c r="G54" s="102">
        <f>TrAvia_ene!G$12</f>
        <v>7.0015169454829671</v>
      </c>
      <c r="H54" s="102">
        <f>TrAvia_ene!H$12</f>
        <v>10.541769933547027</v>
      </c>
      <c r="I54" s="102">
        <f>TrAvia_ene!I$12</f>
        <v>11.057507705948678</v>
      </c>
      <c r="J54" s="102">
        <f>TrAvia_ene!J$12</f>
        <v>10.171527255074782</v>
      </c>
      <c r="K54" s="102">
        <f>TrAvia_ene!K$12</f>
        <v>6.9573538789875737</v>
      </c>
      <c r="L54" s="102">
        <f>TrAvia_ene!L$12</f>
        <v>9.8833049465759544</v>
      </c>
      <c r="M54" s="102">
        <f>TrAvia_ene!M$12</f>
        <v>8.6139433630684241</v>
      </c>
      <c r="N54" s="102">
        <f>TrAvia_ene!N$12</f>
        <v>6.7116638979253391</v>
      </c>
      <c r="O54" s="102">
        <f>TrAvia_ene!O$12</f>
        <v>6.7481982824245277</v>
      </c>
      <c r="P54" s="102">
        <f>TrAvia_ene!P$12</f>
        <v>8.2938871966254109</v>
      </c>
      <c r="Q54" s="102">
        <f>TrAvia_ene!Q$12</f>
        <v>9.7734767716682605</v>
      </c>
      <c r="R54" s="102">
        <f>TrAvia_ene!R$12</f>
        <v>8.3089120160288488</v>
      </c>
      <c r="S54" s="102">
        <f>TrAvia_ene!S$12</f>
        <v>9.5741151758338194</v>
      </c>
      <c r="T54" s="102">
        <f>TrAvia_ene!T$12</f>
        <v>10.369790572731448</v>
      </c>
      <c r="U54" s="102">
        <f>TrAvia_ene!U$12</f>
        <v>9.9984386567791237</v>
      </c>
      <c r="V54" s="102">
        <f>TrAvia_ene!V$12</f>
        <v>9.1325643085606405</v>
      </c>
      <c r="W54" s="102">
        <f>TrAvia_ene!W$12</f>
        <v>11.780631891353165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5.8510386349923671</v>
      </c>
      <c r="C55" s="102">
        <f>TrAvia_ene!C$13</f>
        <v>6.4788243086646604</v>
      </c>
      <c r="D55" s="102">
        <f>TrAvia_ene!D$13</f>
        <v>7.051081591312288</v>
      </c>
      <c r="E55" s="102">
        <f>TrAvia_ene!E$13</f>
        <v>8.1609149341455378</v>
      </c>
      <c r="F55" s="102">
        <f>TrAvia_ene!F$13</f>
        <v>12.977821214739299</v>
      </c>
      <c r="G55" s="102">
        <f>TrAvia_ene!G$13</f>
        <v>11.45358546777512</v>
      </c>
      <c r="H55" s="102">
        <f>TrAvia_ene!H$13</f>
        <v>11.916907540420173</v>
      </c>
      <c r="I55" s="102">
        <f>TrAvia_ene!I$13</f>
        <v>11.381312612158283</v>
      </c>
      <c r="J55" s="102">
        <f>TrAvia_ene!J$13</f>
        <v>10.348065978045629</v>
      </c>
      <c r="K55" s="102">
        <f>TrAvia_ene!K$13</f>
        <v>5.6450315946418774</v>
      </c>
      <c r="L55" s="102">
        <f>TrAvia_ene!L$13</f>
        <v>10.127753386040775</v>
      </c>
      <c r="M55" s="102">
        <f>TrAvia_ene!M$13</f>
        <v>7.7197038467512611</v>
      </c>
      <c r="N55" s="102">
        <f>TrAvia_ene!N$13</f>
        <v>9.3459151610705256</v>
      </c>
      <c r="O55" s="102">
        <f>TrAvia_ene!O$13</f>
        <v>10.610253483228986</v>
      </c>
      <c r="P55" s="102">
        <f>TrAvia_ene!P$13</f>
        <v>10.649518530623372</v>
      </c>
      <c r="Q55" s="102">
        <f>TrAvia_ene!Q$13</f>
        <v>12.053386440502738</v>
      </c>
      <c r="R55" s="102">
        <f>TrAvia_ene!R$13</f>
        <v>10.617842186820207</v>
      </c>
      <c r="S55" s="102">
        <f>TrAvia_ene!S$13</f>
        <v>14.621534226008663</v>
      </c>
      <c r="T55" s="102">
        <f>TrAvia_ene!T$13</f>
        <v>11.471517144488324</v>
      </c>
      <c r="U55" s="102">
        <f>TrAvia_ene!U$13</f>
        <v>10.071732184155545</v>
      </c>
      <c r="V55" s="102">
        <f>TrAvia_ene!V$13</f>
        <v>18.194639328239919</v>
      </c>
      <c r="W55" s="102">
        <f>TrAvia_ene!W$13</f>
        <v>21.893220987386474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48.325709372312978</v>
      </c>
      <c r="C56" s="110">
        <f t="shared" si="45"/>
        <v>48.48632846087704</v>
      </c>
      <c r="D56" s="110">
        <f t="shared" si="45"/>
        <v>51.60051590713671</v>
      </c>
      <c r="E56" s="110">
        <f t="shared" si="45"/>
        <v>55.700773860705084</v>
      </c>
      <c r="F56" s="110">
        <f t="shared" si="45"/>
        <v>72.588392089423905</v>
      </c>
      <c r="G56" s="110">
        <f t="shared" si="45"/>
        <v>67.4536543422184</v>
      </c>
      <c r="H56" s="110">
        <f t="shared" si="45"/>
        <v>106.26233877901976</v>
      </c>
      <c r="I56" s="110">
        <f t="shared" si="45"/>
        <v>89.301375752364578</v>
      </c>
      <c r="J56" s="110">
        <f t="shared" si="45"/>
        <v>91.624677558039537</v>
      </c>
      <c r="K56" s="110">
        <f t="shared" si="45"/>
        <v>86.004127257093714</v>
      </c>
      <c r="L56" s="110">
        <f t="shared" si="45"/>
        <v>84.226655202063625</v>
      </c>
      <c r="M56" s="110">
        <f t="shared" si="45"/>
        <v>75.717798796216684</v>
      </c>
      <c r="N56" s="110">
        <f t="shared" si="45"/>
        <v>78.899570077386073</v>
      </c>
      <c r="O56" s="110">
        <f t="shared" si="45"/>
        <v>77.605503009458289</v>
      </c>
      <c r="P56" s="110">
        <f t="shared" si="45"/>
        <v>87.264918314703337</v>
      </c>
      <c r="Q56" s="110">
        <f t="shared" si="45"/>
        <v>71.4993981083405</v>
      </c>
      <c r="R56" s="110">
        <f t="shared" ref="R56:V56" si="46">R57+R58</f>
        <v>85.920894239036969</v>
      </c>
      <c r="S56" s="110">
        <f t="shared" si="46"/>
        <v>75.868099742046425</v>
      </c>
      <c r="T56" s="110">
        <f t="shared" si="46"/>
        <v>83.913671539122959</v>
      </c>
      <c r="U56" s="110">
        <f t="shared" si="46"/>
        <v>89.371109200343923</v>
      </c>
      <c r="V56" s="110">
        <f t="shared" si="46"/>
        <v>109.2957007738607</v>
      </c>
      <c r="W56" s="110">
        <f t="shared" ref="W56" si="47">W57+W58</f>
        <v>116.8748065348237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48.325709372312978</v>
      </c>
      <c r="C57" s="102">
        <f>TrNavi_ene!C4</f>
        <v>48.48632846087704</v>
      </c>
      <c r="D57" s="102">
        <f>TrNavi_ene!D4</f>
        <v>51.60051590713671</v>
      </c>
      <c r="E57" s="102">
        <f>TrNavi_ene!E4</f>
        <v>55.700773860705084</v>
      </c>
      <c r="F57" s="102">
        <f>TrNavi_ene!F4</f>
        <v>72.588392089423905</v>
      </c>
      <c r="G57" s="102">
        <f>TrNavi_ene!G4</f>
        <v>67.4536543422184</v>
      </c>
      <c r="H57" s="102">
        <f>TrNavi_ene!H4</f>
        <v>106.26233877901976</v>
      </c>
      <c r="I57" s="102">
        <f>TrNavi_ene!I4</f>
        <v>89.301375752364578</v>
      </c>
      <c r="J57" s="102">
        <f>TrNavi_ene!J4</f>
        <v>91.624677558039537</v>
      </c>
      <c r="K57" s="102">
        <f>TrNavi_ene!K4</f>
        <v>86.004127257093714</v>
      </c>
      <c r="L57" s="102">
        <f>TrNavi_ene!L4</f>
        <v>84.226655202063625</v>
      </c>
      <c r="M57" s="102">
        <f>TrNavi_ene!M4</f>
        <v>75.717798796216684</v>
      </c>
      <c r="N57" s="102">
        <f>TrNavi_ene!N4</f>
        <v>78.899570077386073</v>
      </c>
      <c r="O57" s="102">
        <f>TrNavi_ene!O4</f>
        <v>77.605503009458289</v>
      </c>
      <c r="P57" s="102">
        <f>TrNavi_ene!P4</f>
        <v>87.264918314703337</v>
      </c>
      <c r="Q57" s="102">
        <f>TrNavi_ene!Q4</f>
        <v>71.4993981083405</v>
      </c>
      <c r="R57" s="102">
        <f>TrNavi_ene!R4</f>
        <v>85.920894239036969</v>
      </c>
      <c r="S57" s="102">
        <f>TrNavi_ene!S4</f>
        <v>75.868099742046425</v>
      </c>
      <c r="T57" s="102">
        <f>TrNavi_ene!T4</f>
        <v>83.913671539122959</v>
      </c>
      <c r="U57" s="102">
        <f>TrNavi_ene!U4</f>
        <v>89.371109200343923</v>
      </c>
      <c r="V57" s="102">
        <f>TrNavi_ene!V4</f>
        <v>109.2957007738607</v>
      </c>
      <c r="W57" s="102">
        <f>TrNavi_ene!W4</f>
        <v>116.8748065348237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154.36233877901981</v>
      </c>
      <c r="C59" s="28">
        <f t="shared" ref="C59:W59" si="48">C60+C61</f>
        <v>164.755803955288</v>
      </c>
      <c r="D59" s="28">
        <f t="shared" si="48"/>
        <v>146.3792777300086</v>
      </c>
      <c r="E59" s="28">
        <f t="shared" si="48"/>
        <v>173.71401547721413</v>
      </c>
      <c r="F59" s="28">
        <f t="shared" si="48"/>
        <v>152.73413585554599</v>
      </c>
      <c r="G59" s="28">
        <f t="shared" si="48"/>
        <v>106.64058469475495</v>
      </c>
      <c r="H59" s="28">
        <f t="shared" si="48"/>
        <v>130.70060189165949</v>
      </c>
      <c r="I59" s="28">
        <f t="shared" si="48"/>
        <v>113.73215821152192</v>
      </c>
      <c r="J59" s="28">
        <f t="shared" si="48"/>
        <v>70.809630266552006</v>
      </c>
      <c r="K59" s="28">
        <f t="shared" si="48"/>
        <v>97.217454858125521</v>
      </c>
      <c r="L59" s="28">
        <f t="shared" si="48"/>
        <v>138.74746345657786</v>
      </c>
      <c r="M59" s="28">
        <f t="shared" si="48"/>
        <v>108.44230438521065</v>
      </c>
      <c r="N59" s="28">
        <f t="shared" si="48"/>
        <v>128.47979363714532</v>
      </c>
      <c r="O59" s="28">
        <f t="shared" si="48"/>
        <v>145.91969045571796</v>
      </c>
      <c r="P59" s="28">
        <f t="shared" si="48"/>
        <v>134.09174548581251</v>
      </c>
      <c r="Q59" s="28">
        <f t="shared" si="48"/>
        <v>159.77678417884778</v>
      </c>
      <c r="R59" s="28">
        <f t="shared" si="48"/>
        <v>159.94075666380053</v>
      </c>
      <c r="S59" s="28">
        <f t="shared" si="48"/>
        <v>155.81418744625964</v>
      </c>
      <c r="T59" s="28">
        <f t="shared" si="48"/>
        <v>172.71246775580403</v>
      </c>
      <c r="U59" s="28">
        <f t="shared" si="48"/>
        <v>142.20249355116079</v>
      </c>
      <c r="V59" s="28">
        <f t="shared" si="48"/>
        <v>154.96698194325023</v>
      </c>
      <c r="W59" s="28">
        <f t="shared" si="48"/>
        <v>171.78194325021497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59.677937980614018</v>
      </c>
      <c r="C60" s="102">
        <f>MBunk_ene!C$4</f>
        <v>63.256581449119793</v>
      </c>
      <c r="D60" s="102">
        <f>MBunk_ene!D$4</f>
        <v>54.333873244662207</v>
      </c>
      <c r="E60" s="102">
        <f>MBunk_ene!E$4</f>
        <v>67.059548046785608</v>
      </c>
      <c r="F60" s="102">
        <f>MBunk_ene!F$4</f>
        <v>61.60143712637614</v>
      </c>
      <c r="G60" s="102">
        <f>MBunk_ene!G$4</f>
        <v>42.774022328754121</v>
      </c>
      <c r="H60" s="102">
        <f>MBunk_ene!H$4</f>
        <v>63.212697831350916</v>
      </c>
      <c r="I60" s="102">
        <f>MBunk_ene!I$4</f>
        <v>48.616303219283189</v>
      </c>
      <c r="J60" s="102">
        <f>MBunk_ene!J$4</f>
        <v>29.889150735521863</v>
      </c>
      <c r="K60" s="102">
        <f>MBunk_ene!K$4</f>
        <v>43.088819840023319</v>
      </c>
      <c r="L60" s="102">
        <f>MBunk_ene!L$4</f>
        <v>61.275986232840367</v>
      </c>
      <c r="M60" s="102">
        <f>MBunk_ene!M$4</f>
        <v>44.899668401119804</v>
      </c>
      <c r="N60" s="102">
        <f>MBunk_ene!N$4</f>
        <v>53.807560070471922</v>
      </c>
      <c r="O60" s="102">
        <f>MBunk_ene!O$4</f>
        <v>64.547732748971754</v>
      </c>
      <c r="P60" s="102">
        <f>MBunk_ene!P$4</f>
        <v>56.503248222175046</v>
      </c>
      <c r="Q60" s="102">
        <f>MBunk_ene!Q$4</f>
        <v>68.154938577548677</v>
      </c>
      <c r="R60" s="102">
        <f>MBunk_ene!R$4</f>
        <v>67.881961346132385</v>
      </c>
      <c r="S60" s="102">
        <f>MBunk_ene!S$4</f>
        <v>65.451179228052453</v>
      </c>
      <c r="T60" s="102">
        <f>MBunk_ene!T$4</f>
        <v>74.562642336710383</v>
      </c>
      <c r="U60" s="102">
        <f>MBunk_ene!U$4</f>
        <v>61.755744305298116</v>
      </c>
      <c r="V60" s="102">
        <f>MBunk_ene!V$4</f>
        <v>61.46079582238788</v>
      </c>
      <c r="W60" s="102">
        <f>MBunk_ene!W$4</f>
        <v>70.653442534936815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94.68440079840579</v>
      </c>
      <c r="C61" s="86">
        <f>MBunk_ene!C$10</f>
        <v>101.49922250616821</v>
      </c>
      <c r="D61" s="86">
        <f>MBunk_ene!D$10</f>
        <v>92.045404485346381</v>
      </c>
      <c r="E61" s="86">
        <f>MBunk_ene!E$10</f>
        <v>106.65446743042853</v>
      </c>
      <c r="F61" s="86">
        <f>MBunk_ene!F$10</f>
        <v>91.132698729169846</v>
      </c>
      <c r="G61" s="86">
        <f>MBunk_ene!G$10</f>
        <v>63.866562366000828</v>
      </c>
      <c r="H61" s="86">
        <f>MBunk_ene!H$10</f>
        <v>67.48790406030858</v>
      </c>
      <c r="I61" s="86">
        <f>MBunk_ene!I$10</f>
        <v>65.115854992238724</v>
      </c>
      <c r="J61" s="86">
        <f>MBunk_ene!J$10</f>
        <v>40.920479531030146</v>
      </c>
      <c r="K61" s="86">
        <f>MBunk_ene!K$10</f>
        <v>54.128635018102202</v>
      </c>
      <c r="L61" s="86">
        <f>MBunk_ene!L$10</f>
        <v>77.471477223737494</v>
      </c>
      <c r="M61" s="86">
        <f>MBunk_ene!M$10</f>
        <v>63.542635984090843</v>
      </c>
      <c r="N61" s="86">
        <f>MBunk_ene!N$10</f>
        <v>74.672233566673398</v>
      </c>
      <c r="O61" s="86">
        <f>MBunk_ene!O$10</f>
        <v>81.371957706746187</v>
      </c>
      <c r="P61" s="86">
        <f>MBunk_ene!P$10</f>
        <v>77.588497263637464</v>
      </c>
      <c r="Q61" s="86">
        <f>MBunk_ene!Q$10</f>
        <v>91.621845601299086</v>
      </c>
      <c r="R61" s="86">
        <f>MBunk_ene!R$10</f>
        <v>92.058795317668142</v>
      </c>
      <c r="S61" s="86">
        <f>MBunk_ene!S$10</f>
        <v>90.363008218207185</v>
      </c>
      <c r="T61" s="86">
        <f>MBunk_ene!T$10</f>
        <v>98.149825419093645</v>
      </c>
      <c r="U61" s="86">
        <f>MBunk_ene!U$10</f>
        <v>80.446749245862662</v>
      </c>
      <c r="V61" s="86">
        <f>MBunk_ene!V$10</f>
        <v>93.506186120862353</v>
      </c>
      <c r="W61" s="86">
        <f>MBunk_ene!W$10</f>
        <v>101.12850071527815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8154.1975319364028</v>
      </c>
      <c r="C64" s="28">
        <f t="shared" si="49"/>
        <v>8778.1867844386634</v>
      </c>
      <c r="D64" s="28">
        <f t="shared" si="49"/>
        <v>8946.7912751697695</v>
      </c>
      <c r="E64" s="28">
        <f t="shared" si="49"/>
        <v>8948.0951232693369</v>
      </c>
      <c r="F64" s="28">
        <f t="shared" si="49"/>
        <v>9080.5397891950943</v>
      </c>
      <c r="G64" s="28">
        <f t="shared" si="49"/>
        <v>9896.2933473915273</v>
      </c>
      <c r="H64" s="28">
        <f t="shared" si="49"/>
        <v>10796.578432615381</v>
      </c>
      <c r="I64" s="28">
        <f t="shared" si="49"/>
        <v>11299.650020061348</v>
      </c>
      <c r="J64" s="28">
        <f t="shared" si="49"/>
        <v>10993.43207729996</v>
      </c>
      <c r="K64" s="28">
        <f t="shared" si="49"/>
        <v>9702.4727604484033</v>
      </c>
      <c r="L64" s="28">
        <f t="shared" si="49"/>
        <v>9832.8800630002861</v>
      </c>
      <c r="M64" s="28">
        <f t="shared" si="49"/>
        <v>9376.6726550725944</v>
      </c>
      <c r="N64" s="28">
        <f t="shared" si="49"/>
        <v>8916.1292456164119</v>
      </c>
      <c r="O64" s="28">
        <f t="shared" si="49"/>
        <v>9246.2651644021353</v>
      </c>
      <c r="P64" s="28">
        <f t="shared" si="49"/>
        <v>9853.7228076414794</v>
      </c>
      <c r="Q64" s="28">
        <f t="shared" si="49"/>
        <v>10361.500358171495</v>
      </c>
      <c r="R64" s="28">
        <f t="shared" ref="R64:V64" si="50">R65+R69+R73</f>
        <v>10867.791300891091</v>
      </c>
      <c r="S64" s="28">
        <f t="shared" si="50"/>
        <v>11197.130425007279</v>
      </c>
      <c r="T64" s="28">
        <f t="shared" si="50"/>
        <v>11481.9755152873</v>
      </c>
      <c r="U64" s="28">
        <f t="shared" si="50"/>
        <v>11449.510625654044</v>
      </c>
      <c r="V64" s="28">
        <f t="shared" si="50"/>
        <v>7783.6994213864073</v>
      </c>
      <c r="W64" s="28">
        <f t="shared" ref="W64" si="51">W65+W69+W73</f>
        <v>8243.2175875894718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6186.380603149647</v>
      </c>
      <c r="C65" s="137">
        <f t="shared" si="52"/>
        <v>6423.5349600510544</v>
      </c>
      <c r="D65" s="137">
        <f t="shared" si="52"/>
        <v>6464.8483985716503</v>
      </c>
      <c r="E65" s="137">
        <f t="shared" si="52"/>
        <v>6508.988062458031</v>
      </c>
      <c r="F65" s="137">
        <f t="shared" si="52"/>
        <v>6774.4673207069882</v>
      </c>
      <c r="G65" s="137">
        <f t="shared" si="52"/>
        <v>7254.1719160220628</v>
      </c>
      <c r="H65" s="137">
        <f t="shared" si="52"/>
        <v>8075.2082210020972</v>
      </c>
      <c r="I65" s="137">
        <f t="shared" si="52"/>
        <v>8094.7454457419126</v>
      </c>
      <c r="J65" s="137">
        <f t="shared" si="52"/>
        <v>7988.9477666073444</v>
      </c>
      <c r="K65" s="137">
        <f t="shared" si="52"/>
        <v>7815.0329447447593</v>
      </c>
      <c r="L65" s="137">
        <f t="shared" si="52"/>
        <v>7465.4340234544643</v>
      </c>
      <c r="M65" s="137">
        <f t="shared" si="52"/>
        <v>7197.6770815561558</v>
      </c>
      <c r="N65" s="137">
        <f t="shared" si="52"/>
        <v>7080.8454520349123</v>
      </c>
      <c r="O65" s="137">
        <f t="shared" si="52"/>
        <v>7231.2617523511981</v>
      </c>
      <c r="P65" s="137">
        <f t="shared" si="52"/>
        <v>7551.2062512693738</v>
      </c>
      <c r="Q65" s="137">
        <f t="shared" si="52"/>
        <v>7773.5750829173194</v>
      </c>
      <c r="R65" s="137">
        <f t="shared" ref="R65:V65" si="53">R66+R67+R68</f>
        <v>8197.1732280574124</v>
      </c>
      <c r="S65" s="137">
        <f t="shared" si="53"/>
        <v>8082.3205037069292</v>
      </c>
      <c r="T65" s="137">
        <f t="shared" si="53"/>
        <v>8112.7561401719158</v>
      </c>
      <c r="U65" s="137">
        <f t="shared" si="53"/>
        <v>8029.5007581514492</v>
      </c>
      <c r="V65" s="137">
        <f t="shared" si="53"/>
        <v>6571.005065190353</v>
      </c>
      <c r="W65" s="137">
        <f t="shared" ref="W65" si="54">W66+W67+W68</f>
        <v>6899.2740379708284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12.74141666566199</v>
      </c>
      <c r="C66" s="102">
        <f>TrRoad_emi!C$19</f>
        <v>13.603992580783954</v>
      </c>
      <c r="D66" s="102">
        <f>TrRoad_emi!D$19</f>
        <v>13.360882728502011</v>
      </c>
      <c r="E66" s="102">
        <f>TrRoad_emi!E$19</f>
        <v>14.272122000868457</v>
      </c>
      <c r="F66" s="102">
        <f>TrRoad_emi!F$19</f>
        <v>13.694555620182072</v>
      </c>
      <c r="G66" s="102">
        <f>TrRoad_emi!G$19</f>
        <v>16.669093510064286</v>
      </c>
      <c r="H66" s="102">
        <f>TrRoad_emi!H$19</f>
        <v>16.326535305625054</v>
      </c>
      <c r="I66" s="102">
        <f>TrRoad_emi!I$19</f>
        <v>16.473474074318155</v>
      </c>
      <c r="J66" s="102">
        <f>TrRoad_emi!J$19</f>
        <v>17.382933867768401</v>
      </c>
      <c r="K66" s="102">
        <f>TrRoad_emi!K$19</f>
        <v>15.843230098000406</v>
      </c>
      <c r="L66" s="102">
        <f>TrRoad_emi!L$19</f>
        <v>13.678117154664598</v>
      </c>
      <c r="M66" s="102">
        <f>TrRoad_emi!M$19</f>
        <v>12.483095591237278</v>
      </c>
      <c r="N66" s="102">
        <f>TrRoad_emi!N$19</f>
        <v>11.185205184268675</v>
      </c>
      <c r="O66" s="102">
        <f>TrRoad_emi!O$19</f>
        <v>10.955056671033406</v>
      </c>
      <c r="P66" s="102">
        <f>TrRoad_emi!P$19</f>
        <v>12.604855159506744</v>
      </c>
      <c r="Q66" s="102">
        <f>TrRoad_emi!Q$19</f>
        <v>11.858373333024794</v>
      </c>
      <c r="R66" s="102">
        <f>TrRoad_emi!R$19</f>
        <v>12.195190205386201</v>
      </c>
      <c r="S66" s="102">
        <f>TrRoad_emi!S$19</f>
        <v>11.403324955622049</v>
      </c>
      <c r="T66" s="102">
        <f>TrRoad_emi!T$19</f>
        <v>10.771586196168885</v>
      </c>
      <c r="U66" s="102">
        <f>TrRoad_emi!U$19</f>
        <v>11.420415322302585</v>
      </c>
      <c r="V66" s="102">
        <f>TrRoad_emi!V$19</f>
        <v>10.274257357011262</v>
      </c>
      <c r="W66" s="102">
        <f>TrRoad_emi!W$19</f>
        <v>9.9093057341167281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5772.8441729218202</v>
      </c>
      <c r="C67" s="102">
        <f>TrRoad_emi!C$20</f>
        <v>6014.5321123984004</v>
      </c>
      <c r="D67" s="102">
        <f>TrRoad_emi!D$20</f>
        <v>6054.5974668336985</v>
      </c>
      <c r="E67" s="102">
        <f>TrRoad_emi!E$20</f>
        <v>6080.4856052030955</v>
      </c>
      <c r="F67" s="102">
        <f>TrRoad_emi!F$20</f>
        <v>6334.1606531813786</v>
      </c>
      <c r="G67" s="102">
        <f>TrRoad_emi!G$20</f>
        <v>6796.199593846276</v>
      </c>
      <c r="H67" s="102">
        <f>TrRoad_emi!H$20</f>
        <v>7588.265760107266</v>
      </c>
      <c r="I67" s="102">
        <f>TrRoad_emi!I$20</f>
        <v>7579.5524955146147</v>
      </c>
      <c r="J67" s="102">
        <f>TrRoad_emi!J$20</f>
        <v>7442.4278608716322</v>
      </c>
      <c r="K67" s="102">
        <f>TrRoad_emi!K$20</f>
        <v>7279.9643407787153</v>
      </c>
      <c r="L67" s="102">
        <f>TrRoad_emi!L$20</f>
        <v>6947.6737748668802</v>
      </c>
      <c r="M67" s="102">
        <f>TrRoad_emi!M$20</f>
        <v>6695.6043935408388</v>
      </c>
      <c r="N67" s="102">
        <f>TrRoad_emi!N$20</f>
        <v>6585.3697302914397</v>
      </c>
      <c r="O67" s="102">
        <f>TrRoad_emi!O$20</f>
        <v>6737.5337546936908</v>
      </c>
      <c r="P67" s="102">
        <f>TrRoad_emi!P$20</f>
        <v>7047.5587956533027</v>
      </c>
      <c r="Q67" s="102">
        <f>TrRoad_emi!Q$20</f>
        <v>7254.540917990832</v>
      </c>
      <c r="R67" s="102">
        <f>TrRoad_emi!R$20</f>
        <v>7644.6821242091019</v>
      </c>
      <c r="S67" s="102">
        <f>TrRoad_emi!S$20</f>
        <v>7483.6844158233789</v>
      </c>
      <c r="T67" s="102">
        <f>TrRoad_emi!T$20</f>
        <v>7468.182841619282</v>
      </c>
      <c r="U67" s="102">
        <f>TrRoad_emi!U$20</f>
        <v>7378.5683665886199</v>
      </c>
      <c r="V67" s="102">
        <f>TrRoad_emi!V$20</f>
        <v>6031.4839281411996</v>
      </c>
      <c r="W67" s="102">
        <f>TrRoad_emi!W$20</f>
        <v>6358.0074720768753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400.79501356216463</v>
      </c>
      <c r="C68" s="102">
        <f>TrRoad_emi!C$27</f>
        <v>395.39885507187063</v>
      </c>
      <c r="D68" s="102">
        <f>TrRoad_emi!D$27</f>
        <v>396.89004900945054</v>
      </c>
      <c r="E68" s="102">
        <f>TrRoad_emi!E$27</f>
        <v>414.23033525406697</v>
      </c>
      <c r="F68" s="102">
        <f>TrRoad_emi!F$27</f>
        <v>426.61211190542741</v>
      </c>
      <c r="G68" s="102">
        <f>TrRoad_emi!G$27</f>
        <v>441.30322866572226</v>
      </c>
      <c r="H68" s="102">
        <f>TrRoad_emi!H$27</f>
        <v>470.6159255892062</v>
      </c>
      <c r="I68" s="102">
        <f>TrRoad_emi!I$27</f>
        <v>498.71947615297995</v>
      </c>
      <c r="J68" s="102">
        <f>TrRoad_emi!J$27</f>
        <v>529.1369718679432</v>
      </c>
      <c r="K68" s="102">
        <f>TrRoad_emi!K$27</f>
        <v>519.2253738680439</v>
      </c>
      <c r="L68" s="102">
        <f>TrRoad_emi!L$27</f>
        <v>504.0821314329196</v>
      </c>
      <c r="M68" s="102">
        <f>TrRoad_emi!M$27</f>
        <v>489.58959242407911</v>
      </c>
      <c r="N68" s="102">
        <f>TrRoad_emi!N$27</f>
        <v>484.29051655920392</v>
      </c>
      <c r="O68" s="102">
        <f>TrRoad_emi!O$27</f>
        <v>482.7729409864744</v>
      </c>
      <c r="P68" s="102">
        <f>TrRoad_emi!P$27</f>
        <v>491.04260045656395</v>
      </c>
      <c r="Q68" s="102">
        <f>TrRoad_emi!Q$27</f>
        <v>507.17579159346246</v>
      </c>
      <c r="R68" s="102">
        <f>TrRoad_emi!R$27</f>
        <v>540.29591364292514</v>
      </c>
      <c r="S68" s="102">
        <f>TrRoad_emi!S$27</f>
        <v>587.23276292792775</v>
      </c>
      <c r="T68" s="102">
        <f>TrRoad_emi!T$27</f>
        <v>633.80171235646526</v>
      </c>
      <c r="U68" s="102">
        <f>TrRoad_emi!U$27</f>
        <v>639.51197624052622</v>
      </c>
      <c r="V68" s="102">
        <f>TrRoad_emi!V$27</f>
        <v>529.24687969214244</v>
      </c>
      <c r="W68" s="102">
        <f>TrRoad_emi!W$27</f>
        <v>531.35726015983664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106.62261994264695</v>
      </c>
      <c r="C69" s="110">
        <f t="shared" si="55"/>
        <v>116.76612661219342</v>
      </c>
      <c r="D69" s="110">
        <f t="shared" si="55"/>
        <v>102.33698056765495</v>
      </c>
      <c r="E69" s="110">
        <f t="shared" si="55"/>
        <v>115.96719265945093</v>
      </c>
      <c r="F69" s="110">
        <f t="shared" si="55"/>
        <v>123.97116674896689</v>
      </c>
      <c r="G69" s="110">
        <f t="shared" si="55"/>
        <v>112.97211760025081</v>
      </c>
      <c r="H69" s="110">
        <f t="shared" si="55"/>
        <v>116.43700075867878</v>
      </c>
      <c r="I69" s="110">
        <f t="shared" si="55"/>
        <v>129.06884739055084</v>
      </c>
      <c r="J69" s="110">
        <f t="shared" si="55"/>
        <v>138.04243075839076</v>
      </c>
      <c r="K69" s="110">
        <f t="shared" si="55"/>
        <v>121.85212291351422</v>
      </c>
      <c r="L69" s="110">
        <f t="shared" si="55"/>
        <v>120.3206272125141</v>
      </c>
      <c r="M69" s="110">
        <f t="shared" si="55"/>
        <v>119.95119660439822</v>
      </c>
      <c r="N69" s="110">
        <f t="shared" si="55"/>
        <v>116.49477733082411</v>
      </c>
      <c r="O69" s="110">
        <f t="shared" si="55"/>
        <v>115.79342159365542</v>
      </c>
      <c r="P69" s="110">
        <f t="shared" si="55"/>
        <v>105.82770214909633</v>
      </c>
      <c r="Q69" s="110">
        <f t="shared" si="55"/>
        <v>108.07506794171633</v>
      </c>
      <c r="R69" s="110">
        <f t="shared" ref="R69:V69" si="56">R70+R71+R72</f>
        <v>110.0070292738221</v>
      </c>
      <c r="S69" s="110">
        <f t="shared" si="56"/>
        <v>113.75672520989816</v>
      </c>
      <c r="T69" s="110">
        <f t="shared" si="56"/>
        <v>115.35076268277028</v>
      </c>
      <c r="U69" s="110">
        <f t="shared" si="56"/>
        <v>121.28727429489686</v>
      </c>
      <c r="V69" s="110">
        <f t="shared" si="56"/>
        <v>96.213919178874193</v>
      </c>
      <c r="W69" s="110">
        <f t="shared" ref="W69" si="57">W70+W71+W72</f>
        <v>104.35275088370948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106.62261994264695</v>
      </c>
      <c r="C71" s="102">
        <f>TrRail_emi!C$11</f>
        <v>116.76612661219342</v>
      </c>
      <c r="D71" s="102">
        <f>TrRail_emi!D$11</f>
        <v>102.33698056765495</v>
      </c>
      <c r="E71" s="102">
        <f>TrRail_emi!E$11</f>
        <v>115.96719265945093</v>
      </c>
      <c r="F71" s="102">
        <f>TrRail_emi!F$11</f>
        <v>123.97116674896689</v>
      </c>
      <c r="G71" s="102">
        <f>TrRail_emi!G$11</f>
        <v>112.97211760025081</v>
      </c>
      <c r="H71" s="102">
        <f>TrRail_emi!H$11</f>
        <v>116.43700075867878</v>
      </c>
      <c r="I71" s="102">
        <f>TrRail_emi!I$11</f>
        <v>129.06884739055084</v>
      </c>
      <c r="J71" s="102">
        <f>TrRail_emi!J$11</f>
        <v>138.04243075839076</v>
      </c>
      <c r="K71" s="102">
        <f>TrRail_emi!K$11</f>
        <v>121.85212291351422</v>
      </c>
      <c r="L71" s="102">
        <f>TrRail_emi!L$11</f>
        <v>120.3206272125141</v>
      </c>
      <c r="M71" s="102">
        <f>TrRail_emi!M$11</f>
        <v>119.95119660439822</v>
      </c>
      <c r="N71" s="102">
        <f>TrRail_emi!N$11</f>
        <v>116.49477733082411</v>
      </c>
      <c r="O71" s="102">
        <f>TrRail_emi!O$11</f>
        <v>115.79342159365542</v>
      </c>
      <c r="P71" s="102">
        <f>TrRail_emi!P$11</f>
        <v>105.82770214909633</v>
      </c>
      <c r="Q71" s="102">
        <f>TrRail_emi!Q$11</f>
        <v>108.07506794171633</v>
      </c>
      <c r="R71" s="102">
        <f>TrRail_emi!R$11</f>
        <v>110.0070292738221</v>
      </c>
      <c r="S71" s="102">
        <f>TrRail_emi!S$11</f>
        <v>113.75672520989816</v>
      </c>
      <c r="T71" s="102">
        <f>TrRail_emi!T$11</f>
        <v>115.35076268277028</v>
      </c>
      <c r="U71" s="102">
        <f>TrRail_emi!U$11</f>
        <v>121.28727429489686</v>
      </c>
      <c r="V71" s="102">
        <f>TrRail_emi!V$11</f>
        <v>96.213919178874193</v>
      </c>
      <c r="W71" s="102">
        <f>TrRail_emi!W$11</f>
        <v>104.35275088370948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1861.1943088441085</v>
      </c>
      <c r="C73" s="110">
        <f t="shared" si="58"/>
        <v>2237.8856977754153</v>
      </c>
      <c r="D73" s="110">
        <f t="shared" si="58"/>
        <v>2379.6058960304636</v>
      </c>
      <c r="E73" s="110">
        <f t="shared" si="58"/>
        <v>2323.1398681518544</v>
      </c>
      <c r="F73" s="110">
        <f t="shared" si="58"/>
        <v>2182.1013017391383</v>
      </c>
      <c r="G73" s="110">
        <f t="shared" si="58"/>
        <v>2529.1493137692141</v>
      </c>
      <c r="H73" s="110">
        <f t="shared" si="58"/>
        <v>2604.9332108546055</v>
      </c>
      <c r="I73" s="110">
        <f t="shared" si="58"/>
        <v>3075.8357269288836</v>
      </c>
      <c r="J73" s="110">
        <f t="shared" si="58"/>
        <v>2866.4418799342257</v>
      </c>
      <c r="K73" s="110">
        <f t="shared" si="58"/>
        <v>1765.5876927901309</v>
      </c>
      <c r="L73" s="110">
        <f t="shared" si="58"/>
        <v>2247.1254123333074</v>
      </c>
      <c r="M73" s="110">
        <f t="shared" si="58"/>
        <v>2059.0443769120393</v>
      </c>
      <c r="N73" s="110">
        <f t="shared" si="58"/>
        <v>1718.7890162506756</v>
      </c>
      <c r="O73" s="110">
        <f t="shared" si="58"/>
        <v>1899.2099904572817</v>
      </c>
      <c r="P73" s="110">
        <f t="shared" si="58"/>
        <v>2196.6888542230081</v>
      </c>
      <c r="Q73" s="110">
        <f t="shared" si="58"/>
        <v>2479.85020731246</v>
      </c>
      <c r="R73" s="110">
        <f t="shared" ref="R73:V73" si="59">R74+R75+R76</f>
        <v>2560.6110435598571</v>
      </c>
      <c r="S73" s="110">
        <f t="shared" si="59"/>
        <v>3001.0531960904509</v>
      </c>
      <c r="T73" s="110">
        <f t="shared" si="59"/>
        <v>3253.8686124326132</v>
      </c>
      <c r="U73" s="110">
        <f t="shared" si="59"/>
        <v>3298.7225932076976</v>
      </c>
      <c r="V73" s="110">
        <f t="shared" si="59"/>
        <v>1116.4804370171801</v>
      </c>
      <c r="W73" s="110">
        <f t="shared" ref="W73" si="60">W74+W75+W76</f>
        <v>1239.5907987349333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94.209313515448144</v>
      </c>
      <c r="C74" s="102">
        <f>TrAvia_emi!C$7</f>
        <v>112.67637590375061</v>
      </c>
      <c r="D74" s="102">
        <f>TrAvia_emi!D$7</f>
        <v>119.86626030104314</v>
      </c>
      <c r="E74" s="102">
        <f>TrAvia_emi!E$7</f>
        <v>114.11229517758376</v>
      </c>
      <c r="F74" s="102">
        <f>TrAvia_emi!F$7</f>
        <v>107.71679154324812</v>
      </c>
      <c r="G74" s="102">
        <f>TrAvia_emi!G$7</f>
        <v>133.68420835078678</v>
      </c>
      <c r="H74" s="102">
        <f>TrAvia_emi!H$7</f>
        <v>170.78746427432171</v>
      </c>
      <c r="I74" s="102">
        <f>TrAvia_emi!I$7</f>
        <v>153.32854416962729</v>
      </c>
      <c r="J74" s="102">
        <f>TrAvia_emi!J$7</f>
        <v>122.0630502241459</v>
      </c>
      <c r="K74" s="102">
        <f>TrAvia_emi!K$7</f>
        <v>91.298169723343676</v>
      </c>
      <c r="L74" s="102">
        <f>TrAvia_emi!L$7</f>
        <v>78.29951533371964</v>
      </c>
      <c r="M74" s="102">
        <f>TrAvia_emi!M$7</f>
        <v>21.8338853773135</v>
      </c>
      <c r="N74" s="102">
        <f>TrAvia_emi!N$7</f>
        <v>20.022004221697738</v>
      </c>
      <c r="O74" s="102">
        <f>TrAvia_emi!O$7</f>
        <v>20.453187505184971</v>
      </c>
      <c r="P74" s="102">
        <f>TrAvia_emi!P$7</f>
        <v>21.478202763077366</v>
      </c>
      <c r="Q74" s="102">
        <f>TrAvia_emi!Q$7</f>
        <v>21.606974447199665</v>
      </c>
      <c r="R74" s="102">
        <f>TrAvia_emi!R$7</f>
        <v>11.197045862832523</v>
      </c>
      <c r="S74" s="102">
        <f>TrAvia_emi!S$7</f>
        <v>15.014232884792012</v>
      </c>
      <c r="T74" s="102">
        <f>TrAvia_emi!T$7</f>
        <v>14.418819833790399</v>
      </c>
      <c r="U74" s="102">
        <f>TrAvia_emi!U$7</f>
        <v>16.408813295735627</v>
      </c>
      <c r="V74" s="102">
        <f>TrAvia_emi!V$7</f>
        <v>12.426728495313851</v>
      </c>
      <c r="W74" s="102">
        <f>TrAvia_emi!W$7</f>
        <v>16.181703295249708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1086.8622374297993</v>
      </c>
      <c r="C75" s="102">
        <f>TrAvia_emi!C$8</f>
        <v>1350.1732567040215</v>
      </c>
      <c r="D75" s="102">
        <f>TrAvia_emi!D$8</f>
        <v>1460.9956064674195</v>
      </c>
      <c r="E75" s="102">
        <f>TrAvia_emi!E$8</f>
        <v>1513.7404588367792</v>
      </c>
      <c r="F75" s="102">
        <f>TrAvia_emi!F$8</f>
        <v>1420.9237605906262</v>
      </c>
      <c r="G75" s="102">
        <f>TrAvia_emi!G$8</f>
        <v>1650.5408901023313</v>
      </c>
      <c r="H75" s="102">
        <f>TrAvia_emi!H$8</f>
        <v>1675.511849467809</v>
      </c>
      <c r="I75" s="102">
        <f>TrAvia_emi!I$8</f>
        <v>2024.2255303372847</v>
      </c>
      <c r="J75" s="102">
        <f>TrAvia_emi!J$8</f>
        <v>1902.3924239361002</v>
      </c>
      <c r="K75" s="102">
        <f>TrAvia_emi!K$8</f>
        <v>1129.3565800089596</v>
      </c>
      <c r="L75" s="102">
        <f>TrAvia_emi!L$8</f>
        <v>1436.2024336246905</v>
      </c>
      <c r="M75" s="102">
        <f>TrAvia_emi!M$8</f>
        <v>1347.5152848586463</v>
      </c>
      <c r="N75" s="102">
        <f>TrAvia_emi!N$8</f>
        <v>1113.9799766367469</v>
      </c>
      <c r="O75" s="102">
        <f>TrAvia_emi!O$8</f>
        <v>1230.1856626622809</v>
      </c>
      <c r="P75" s="102">
        <f>TrAvia_emi!P$8</f>
        <v>1435.7497223098792</v>
      </c>
      <c r="Q75" s="102">
        <f>TrAvia_emi!Q$8</f>
        <v>1634.0078924501479</v>
      </c>
      <c r="R75" s="102">
        <f>TrAvia_emi!R$8</f>
        <v>1734.3222762132082</v>
      </c>
      <c r="S75" s="102">
        <f>TrAvia_emi!S$8</f>
        <v>2050.0508731857681</v>
      </c>
      <c r="T75" s="102">
        <f>TrAvia_emi!T$8</f>
        <v>2223.5964549625787</v>
      </c>
      <c r="U75" s="102">
        <f>TrAvia_emi!U$8</f>
        <v>2229.6752117794676</v>
      </c>
      <c r="V75" s="102">
        <f>TrAvia_emi!V$8</f>
        <v>651.85277496818276</v>
      </c>
      <c r="W75" s="102">
        <f>TrAvia_emi!W$8</f>
        <v>755.01547010860565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680.1227578988611</v>
      </c>
      <c r="C76" s="102">
        <f>TrAvia_emi!C$9</f>
        <v>775.03606516764319</v>
      </c>
      <c r="D76" s="102">
        <f>TrAvia_emi!D$9</f>
        <v>798.74402926200071</v>
      </c>
      <c r="E76" s="102">
        <f>TrAvia_emi!E$9</f>
        <v>695.28711413749159</v>
      </c>
      <c r="F76" s="102">
        <f>TrAvia_emi!F$9</f>
        <v>653.46074960526391</v>
      </c>
      <c r="G76" s="102">
        <f>TrAvia_emi!G$9</f>
        <v>744.92421531609591</v>
      </c>
      <c r="H76" s="102">
        <f>TrAvia_emi!H$9</f>
        <v>758.63389711247453</v>
      </c>
      <c r="I76" s="102">
        <f>TrAvia_emi!I$9</f>
        <v>898.28165242197156</v>
      </c>
      <c r="J76" s="102">
        <f>TrAvia_emi!J$9</f>
        <v>841.98640577397953</v>
      </c>
      <c r="K76" s="102">
        <f>TrAvia_emi!K$9</f>
        <v>544.93294305782786</v>
      </c>
      <c r="L76" s="102">
        <f>TrAvia_emi!L$9</f>
        <v>732.62346337489726</v>
      </c>
      <c r="M76" s="102">
        <f>TrAvia_emi!M$9</f>
        <v>689.69520667607947</v>
      </c>
      <c r="N76" s="102">
        <f>TrAvia_emi!N$9</f>
        <v>584.78703539223113</v>
      </c>
      <c r="O76" s="102">
        <f>TrAvia_emi!O$9</f>
        <v>648.57114028981573</v>
      </c>
      <c r="P76" s="102">
        <f>TrAvia_emi!P$9</f>
        <v>739.46092915005136</v>
      </c>
      <c r="Q76" s="102">
        <f>TrAvia_emi!Q$9</f>
        <v>824.2353404151122</v>
      </c>
      <c r="R76" s="102">
        <f>TrAvia_emi!R$9</f>
        <v>815.09172148381651</v>
      </c>
      <c r="S76" s="102">
        <f>TrAvia_emi!S$9</f>
        <v>935.98809001989082</v>
      </c>
      <c r="T76" s="102">
        <f>TrAvia_emi!T$9</f>
        <v>1015.8533376362437</v>
      </c>
      <c r="U76" s="102">
        <f>TrAvia_emi!U$9</f>
        <v>1052.6385681324941</v>
      </c>
      <c r="V76" s="102">
        <f>TrAvia_emi!V$9</f>
        <v>452.20093355368351</v>
      </c>
      <c r="W76" s="102">
        <f>TrAvia_emi!W$9</f>
        <v>468.39362533107806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4197.0695116235956</v>
      </c>
      <c r="C77" s="28">
        <f t="shared" si="61"/>
        <v>4427.9934328813351</v>
      </c>
      <c r="D77" s="28">
        <f t="shared" si="61"/>
        <v>4598.4738968702295</v>
      </c>
      <c r="E77" s="28">
        <f t="shared" si="61"/>
        <v>4750.9399840106635</v>
      </c>
      <c r="F77" s="28">
        <f t="shared" si="61"/>
        <v>5219.6271837649065</v>
      </c>
      <c r="G77" s="28">
        <f t="shared" si="61"/>
        <v>5419.7786967284737</v>
      </c>
      <c r="H77" s="28">
        <f t="shared" si="61"/>
        <v>5794.1217453046202</v>
      </c>
      <c r="I77" s="28">
        <f t="shared" si="61"/>
        <v>6119.9815653386504</v>
      </c>
      <c r="J77" s="28">
        <f t="shared" si="61"/>
        <v>5406.1545046200381</v>
      </c>
      <c r="K77" s="28">
        <f t="shared" si="61"/>
        <v>4335.0757911115943</v>
      </c>
      <c r="L77" s="28">
        <f t="shared" si="61"/>
        <v>3907.3249851997161</v>
      </c>
      <c r="M77" s="28">
        <f t="shared" si="61"/>
        <v>3628.3333202074095</v>
      </c>
      <c r="N77" s="28">
        <f t="shared" si="61"/>
        <v>3537.9447475435886</v>
      </c>
      <c r="O77" s="28">
        <f t="shared" si="61"/>
        <v>3550.1481942778619</v>
      </c>
      <c r="P77" s="28">
        <f t="shared" si="61"/>
        <v>3674.0053650785203</v>
      </c>
      <c r="Q77" s="28">
        <f t="shared" si="61"/>
        <v>3608.799898188503</v>
      </c>
      <c r="R77" s="28">
        <f t="shared" ref="R77:V77" si="62">R78+R81+R82+R86+R92</f>
        <v>3821.826770228909</v>
      </c>
      <c r="S77" s="28">
        <f t="shared" si="62"/>
        <v>3674.2529655127223</v>
      </c>
      <c r="T77" s="28">
        <f t="shared" si="62"/>
        <v>3801.3365954326991</v>
      </c>
      <c r="U77" s="28">
        <f t="shared" si="62"/>
        <v>3871.6448420259535</v>
      </c>
      <c r="V77" s="28">
        <f t="shared" si="62"/>
        <v>3489.1192430535903</v>
      </c>
      <c r="W77" s="28">
        <f t="shared" ref="W77" si="63">W78+W81+W82+W86+W92</f>
        <v>3836.4262152505266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3990.977021410351</v>
      </c>
      <c r="C78" s="137">
        <f t="shared" si="64"/>
        <v>4217.037271628943</v>
      </c>
      <c r="D78" s="137">
        <f t="shared" si="64"/>
        <v>4382.9674429483475</v>
      </c>
      <c r="E78" s="137">
        <f t="shared" si="64"/>
        <v>4521.5068252619676</v>
      </c>
      <c r="F78" s="137">
        <f t="shared" si="64"/>
        <v>4921.1545410930112</v>
      </c>
      <c r="G78" s="137">
        <f t="shared" si="64"/>
        <v>5133.2034806979382</v>
      </c>
      <c r="H78" s="137">
        <f t="shared" si="64"/>
        <v>5370.4558359979037</v>
      </c>
      <c r="I78" s="137">
        <f t="shared" si="64"/>
        <v>5755.9801402980838</v>
      </c>
      <c r="J78" s="137">
        <f t="shared" si="64"/>
        <v>5045.2691569526551</v>
      </c>
      <c r="K78" s="137">
        <f t="shared" si="64"/>
        <v>4018.1067538152392</v>
      </c>
      <c r="L78" s="137">
        <f t="shared" si="64"/>
        <v>3572.9428489855372</v>
      </c>
      <c r="M78" s="137">
        <f t="shared" si="64"/>
        <v>3334.7684927638466</v>
      </c>
      <c r="N78" s="137">
        <f t="shared" si="64"/>
        <v>3234.092623365088</v>
      </c>
      <c r="O78" s="137">
        <f t="shared" si="64"/>
        <v>3246.6154449687992</v>
      </c>
      <c r="P78" s="137">
        <f t="shared" si="64"/>
        <v>3337.2935189306245</v>
      </c>
      <c r="Q78" s="137">
        <f t="shared" si="64"/>
        <v>3314.6536610826788</v>
      </c>
      <c r="R78" s="137">
        <f t="shared" ref="R78:V78" si="65">R79+R80</f>
        <v>3493.7431151425881</v>
      </c>
      <c r="S78" s="137">
        <f t="shared" si="65"/>
        <v>3360.6760798530713</v>
      </c>
      <c r="T78" s="137">
        <f t="shared" si="65"/>
        <v>3470.3524520280821</v>
      </c>
      <c r="U78" s="137">
        <f t="shared" si="65"/>
        <v>3530.2444017685484</v>
      </c>
      <c r="V78" s="137">
        <f t="shared" si="65"/>
        <v>3064.3637696096439</v>
      </c>
      <c r="W78" s="137">
        <f t="shared" ref="W78" si="66">W79+W80</f>
        <v>3367.2165618691697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1287.7730709440846</v>
      </c>
      <c r="C79" s="102">
        <f>TrRoad_emi!C$34</f>
        <v>1327.6564006814435</v>
      </c>
      <c r="D79" s="102">
        <f>TrRoad_emi!D$34</f>
        <v>1396.5981765899569</v>
      </c>
      <c r="E79" s="102">
        <f>TrRoad_emi!E$34</f>
        <v>1475.8254155943414</v>
      </c>
      <c r="F79" s="102">
        <f>TrRoad_emi!F$34</f>
        <v>1577.2935404638545</v>
      </c>
      <c r="G79" s="102">
        <f>TrRoad_emi!G$34</f>
        <v>1670.507103624057</v>
      </c>
      <c r="H79" s="102">
        <f>TrRoad_emi!H$34</f>
        <v>1793.6702272248779</v>
      </c>
      <c r="I79" s="102">
        <f>TrRoad_emi!I$34</f>
        <v>1894.7305216099005</v>
      </c>
      <c r="J79" s="102">
        <f>TrRoad_emi!J$34</f>
        <v>1837.2492063216109</v>
      </c>
      <c r="K79" s="102">
        <f>TrRoad_emi!K$34</f>
        <v>1735.1447176911861</v>
      </c>
      <c r="L79" s="102">
        <f>TrRoad_emi!L$34</f>
        <v>1610.3386359204228</v>
      </c>
      <c r="M79" s="102">
        <f>TrRoad_emi!M$34</f>
        <v>1555.4159391486814</v>
      </c>
      <c r="N79" s="102">
        <f>TrRoad_emi!N$34</f>
        <v>1472.0732275696246</v>
      </c>
      <c r="O79" s="102">
        <f>TrRoad_emi!O$34</f>
        <v>1492.5748495416017</v>
      </c>
      <c r="P79" s="102">
        <f>TrRoad_emi!P$34</f>
        <v>1452.0469415957884</v>
      </c>
      <c r="Q79" s="102">
        <f>TrRoad_emi!Q$34</f>
        <v>1399.9482968800269</v>
      </c>
      <c r="R79" s="102">
        <f>TrRoad_emi!R$34</f>
        <v>1358.2581627378274</v>
      </c>
      <c r="S79" s="102">
        <f>TrRoad_emi!S$34</f>
        <v>1303.2007820480383</v>
      </c>
      <c r="T79" s="102">
        <f>TrRoad_emi!T$34</f>
        <v>1309.5812671335657</v>
      </c>
      <c r="U79" s="102">
        <f>TrRoad_emi!U$34</f>
        <v>1255.640292678693</v>
      </c>
      <c r="V79" s="102">
        <f>TrRoad_emi!V$34</f>
        <v>1216.0202814052366</v>
      </c>
      <c r="W79" s="102">
        <f>TrRoad_emi!W$34</f>
        <v>1258.7190144353697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2703.2039504662666</v>
      </c>
      <c r="C80" s="102">
        <f>TrRoad_emi!C$40</f>
        <v>2889.3808709474993</v>
      </c>
      <c r="D80" s="102">
        <f>TrRoad_emi!D$40</f>
        <v>2986.3692663583911</v>
      </c>
      <c r="E80" s="102">
        <f>TrRoad_emi!E$40</f>
        <v>3045.6814096676267</v>
      </c>
      <c r="F80" s="102">
        <f>TrRoad_emi!F$40</f>
        <v>3343.8610006291565</v>
      </c>
      <c r="G80" s="102">
        <f>TrRoad_emi!G$40</f>
        <v>3462.6963770738812</v>
      </c>
      <c r="H80" s="102">
        <f>TrRoad_emi!H$40</f>
        <v>3576.7856087730261</v>
      </c>
      <c r="I80" s="102">
        <f>TrRoad_emi!I$40</f>
        <v>3861.2496186881835</v>
      </c>
      <c r="J80" s="102">
        <f>TrRoad_emi!J$40</f>
        <v>3208.0199506310441</v>
      </c>
      <c r="K80" s="102">
        <f>TrRoad_emi!K$40</f>
        <v>2282.9620361240532</v>
      </c>
      <c r="L80" s="102">
        <f>TrRoad_emi!L$40</f>
        <v>1962.6042130651147</v>
      </c>
      <c r="M80" s="102">
        <f>TrRoad_emi!M$40</f>
        <v>1779.3525536151653</v>
      </c>
      <c r="N80" s="102">
        <f>TrRoad_emi!N$40</f>
        <v>1762.0193957954632</v>
      </c>
      <c r="O80" s="102">
        <f>TrRoad_emi!O$40</f>
        <v>1754.0405954271976</v>
      </c>
      <c r="P80" s="102">
        <f>TrRoad_emi!P$40</f>
        <v>1885.246577334836</v>
      </c>
      <c r="Q80" s="102">
        <f>TrRoad_emi!Q$40</f>
        <v>1914.7053642026522</v>
      </c>
      <c r="R80" s="102">
        <f>TrRoad_emi!R$40</f>
        <v>2135.4849524047604</v>
      </c>
      <c r="S80" s="102">
        <f>TrRoad_emi!S$40</f>
        <v>2057.4752978050333</v>
      </c>
      <c r="T80" s="102">
        <f>TrRoad_emi!T$40</f>
        <v>2160.7711848945164</v>
      </c>
      <c r="U80" s="102">
        <f>TrRoad_emi!U$40</f>
        <v>2274.6041090898552</v>
      </c>
      <c r="V80" s="102">
        <f>TrRoad_emi!V$40</f>
        <v>1848.3434882044071</v>
      </c>
      <c r="W80" s="102">
        <f>TrRoad_emi!W$40</f>
        <v>2108.4975474337998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17.875339097353056</v>
      </c>
      <c r="C81" s="110">
        <f>TrRail_emi!C$15</f>
        <v>19.117682747806565</v>
      </c>
      <c r="D81" s="110">
        <f>TrRail_emi!D$15</f>
        <v>16.484058912345048</v>
      </c>
      <c r="E81" s="110">
        <f>TrRail_emi!E$15</f>
        <v>15.263522020549063</v>
      </c>
      <c r="F81" s="110">
        <f>TrRail_emi!F$15</f>
        <v>14.396711731033063</v>
      </c>
      <c r="G81" s="110">
        <f>TrRail_emi!G$15</f>
        <v>10.559903479749197</v>
      </c>
      <c r="H81" s="110">
        <f>TrRail_emi!H$15</f>
        <v>7.0950203213212406</v>
      </c>
      <c r="I81" s="110">
        <f>TrRail_emi!I$15</f>
        <v>4.5237603294491588</v>
      </c>
      <c r="J81" s="110">
        <f>TrRail_emi!J$15</f>
        <v>3.5409727616092099</v>
      </c>
      <c r="K81" s="110">
        <f>TrRail_emi!K$15</f>
        <v>2.3825440064857637</v>
      </c>
      <c r="L81" s="110">
        <f>TrRail_emi!L$15</f>
        <v>2.964374107485912</v>
      </c>
      <c r="M81" s="110">
        <f>TrRail_emi!M$15</f>
        <v>3.3946259956017557</v>
      </c>
      <c r="N81" s="110">
        <f>TrRail_emi!N$15</f>
        <v>2.8299050291758978</v>
      </c>
      <c r="O81" s="110">
        <f>TrRail_emi!O$15</f>
        <v>3.040422366344552</v>
      </c>
      <c r="P81" s="110">
        <f>TrRail_emi!P$15</f>
        <v>3.1861726909036836</v>
      </c>
      <c r="Q81" s="110">
        <f>TrRail_emi!Q$15</f>
        <v>3.0216689782836652</v>
      </c>
      <c r="R81" s="110">
        <f>TrRail_emi!R$15</f>
        <v>3.1402917661779104</v>
      </c>
      <c r="S81" s="110">
        <f>TrRail_emi!S$15</f>
        <v>3.043073750101863</v>
      </c>
      <c r="T81" s="110">
        <f>TrRail_emi!T$15</f>
        <v>2.6750652372297217</v>
      </c>
      <c r="U81" s="110">
        <f>TrRail_emi!U$15</f>
        <v>2.2196713451031247</v>
      </c>
      <c r="V81" s="110">
        <f>TrRail_emi!V$15</f>
        <v>2.1847749811258117</v>
      </c>
      <c r="W81" s="110">
        <f>TrRail_emi!W$15</f>
        <v>2.0623480362904951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34.888593155891478</v>
      </c>
      <c r="C82" s="110">
        <f t="shared" si="67"/>
        <v>38.692004224585204</v>
      </c>
      <c r="D82" s="110">
        <f t="shared" si="67"/>
        <v>36.48656596953704</v>
      </c>
      <c r="E82" s="110">
        <f t="shared" si="67"/>
        <v>39.049163848145831</v>
      </c>
      <c r="F82" s="110">
        <f t="shared" si="67"/>
        <v>56.426920260862062</v>
      </c>
      <c r="G82" s="110">
        <f t="shared" si="67"/>
        <v>64.296408790786245</v>
      </c>
      <c r="H82" s="110">
        <f t="shared" si="67"/>
        <v>83.362557345394549</v>
      </c>
      <c r="I82" s="110">
        <f t="shared" si="67"/>
        <v>78.889343631117072</v>
      </c>
      <c r="J82" s="110">
        <f t="shared" si="67"/>
        <v>69.548198625774205</v>
      </c>
      <c r="K82" s="110">
        <f t="shared" si="67"/>
        <v>44.771935769869458</v>
      </c>
      <c r="L82" s="110">
        <f t="shared" si="67"/>
        <v>67.38982622669316</v>
      </c>
      <c r="M82" s="110">
        <f t="shared" si="67"/>
        <v>52.540301647961037</v>
      </c>
      <c r="N82" s="110">
        <f t="shared" si="67"/>
        <v>53.521132309324862</v>
      </c>
      <c r="O82" s="110">
        <f t="shared" si="67"/>
        <v>57.005978102718046</v>
      </c>
      <c r="P82" s="110">
        <f t="shared" si="67"/>
        <v>60.752164336992351</v>
      </c>
      <c r="Q82" s="110">
        <f t="shared" si="67"/>
        <v>69.303491247540251</v>
      </c>
      <c r="R82" s="110">
        <f t="shared" si="67"/>
        <v>58.380765720142655</v>
      </c>
      <c r="S82" s="110">
        <f t="shared" si="67"/>
        <v>75.159192949548938</v>
      </c>
      <c r="T82" s="110">
        <f t="shared" si="67"/>
        <v>67.973726007387285</v>
      </c>
      <c r="U82" s="110">
        <f t="shared" si="67"/>
        <v>61.914159552301754</v>
      </c>
      <c r="V82" s="110">
        <f t="shared" si="67"/>
        <v>83.48966162282035</v>
      </c>
      <c r="W82" s="110">
        <f t="shared" ref="W82" si="68">W83+W84+W85</f>
        <v>104.55270830506672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4.0356584845518784</v>
      </c>
      <c r="C83" s="102">
        <f>TrAvia_emi!C$11</f>
        <v>4.5933360962494127</v>
      </c>
      <c r="D83" s="102">
        <f>TrAvia_emi!D$11</f>
        <v>3.7450316989568586</v>
      </c>
      <c r="E83" s="102">
        <f>TrAvia_emi!E$11</f>
        <v>3.1574168224162391</v>
      </c>
      <c r="F83" s="102">
        <f>TrAvia_emi!F$11</f>
        <v>6.3821304567518524</v>
      </c>
      <c r="G83" s="102">
        <f>TrAvia_emi!G$11</f>
        <v>8.7408442092132184</v>
      </c>
      <c r="H83" s="102">
        <f>TrAvia_emi!H$11</f>
        <v>15.754993925678328</v>
      </c>
      <c r="I83" s="102">
        <f>TrAvia_emi!I$11</f>
        <v>11.341556390372734</v>
      </c>
      <c r="J83" s="102">
        <f>TrAvia_emi!J$11</f>
        <v>7.7778783358540915</v>
      </c>
      <c r="K83" s="102">
        <f>TrAvia_emi!K$11</f>
        <v>6.8348588366563474</v>
      </c>
      <c r="L83" s="102">
        <f>TrAvia_emi!L$11</f>
        <v>7.1503532262803446</v>
      </c>
      <c r="M83" s="102">
        <f>TrAvia_emi!M$11</f>
        <v>3.3709731826865026</v>
      </c>
      <c r="N83" s="102">
        <f>TrAvia_emi!N$11</f>
        <v>5.1828543383022643</v>
      </c>
      <c r="O83" s="102">
        <f>TrAvia_emi!O$11</f>
        <v>4.7516710548150289</v>
      </c>
      <c r="P83" s="102">
        <f>TrAvia_emi!P$11</f>
        <v>3.7266557969226359</v>
      </c>
      <c r="Q83" s="102">
        <f>TrAvia_emi!Q$11</f>
        <v>3.5978841128003372</v>
      </c>
      <c r="R83" s="102">
        <f>TrAvia_emi!R$11</f>
        <v>1.4053834171674762</v>
      </c>
      <c r="S83" s="102">
        <f>TrAvia_emi!S$11</f>
        <v>2.3228069552079913</v>
      </c>
      <c r="T83" s="102">
        <f>TrAvia_emi!T$11</f>
        <v>2.2246364462095971</v>
      </c>
      <c r="U83" s="102">
        <f>TrAvia_emi!U$11</f>
        <v>1.4967396242643745</v>
      </c>
      <c r="V83" s="102">
        <f>TrAvia_emi!V$11</f>
        <v>1.2263291046861484</v>
      </c>
      <c r="W83" s="102">
        <f>TrAvia_emi!W$11</f>
        <v>3.1839991847502969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13.239499238866635</v>
      </c>
      <c r="C84" s="102">
        <f>TrAvia_emi!C$12</f>
        <v>14.595403706778923</v>
      </c>
      <c r="D84" s="102">
        <f>TrAvia_emi!D$12</f>
        <v>11.515598486302149</v>
      </c>
      <c r="E84" s="102">
        <f>TrAvia_emi!E$12</f>
        <v>11.324869719053869</v>
      </c>
      <c r="F84" s="102">
        <f>TrAvia_emi!F$12</f>
        <v>10.977535205425307</v>
      </c>
      <c r="G84" s="102">
        <f>TrAvia_emi!G$12</f>
        <v>21.076730874943273</v>
      </c>
      <c r="H84" s="102">
        <f>TrAvia_emi!H$12</f>
        <v>31.733987015239997</v>
      </c>
      <c r="I84" s="102">
        <f>TrAvia_emi!I$12</f>
        <v>33.286517176288207</v>
      </c>
      <c r="J84" s="102">
        <f>TrAvia_emi!J$12</f>
        <v>30.619442074002365</v>
      </c>
      <c r="K84" s="102">
        <f>TrAvia_emi!K$12</f>
        <v>20.943786389571986</v>
      </c>
      <c r="L84" s="102">
        <f>TrAvia_emi!L$12</f>
        <v>29.751803807083107</v>
      </c>
      <c r="M84" s="102">
        <f>TrAvia_emi!M$12</f>
        <v>25.930632954123823</v>
      </c>
      <c r="N84" s="102">
        <f>TrAvia_emi!N$12</f>
        <v>20.20418357923251</v>
      </c>
      <c r="O84" s="102">
        <f>TrAvia_emi!O$12</f>
        <v>20.314163373006753</v>
      </c>
      <c r="P84" s="102">
        <f>TrAvia_emi!P$12</f>
        <v>24.967164931763687</v>
      </c>
      <c r="Q84" s="102">
        <f>TrAvia_emi!Q$12</f>
        <v>29.421187041739266</v>
      </c>
      <c r="R84" s="102">
        <f>TrAvia_emi!R$12</f>
        <v>25.012394283842191</v>
      </c>
      <c r="S84" s="102">
        <f>TrAvia_emi!S$12</f>
        <v>28.82104699567217</v>
      </c>
      <c r="T84" s="102">
        <f>TrAvia_emi!T$12</f>
        <v>31.216275963166755</v>
      </c>
      <c r="U84" s="102">
        <f>TrAvia_emi!U$12</f>
        <v>30.098391874137842</v>
      </c>
      <c r="V84" s="102">
        <f>TrAvia_emi!V$12</f>
        <v>27.491842357651741</v>
      </c>
      <c r="W84" s="102">
        <f>TrAvia_emi!W$12</f>
        <v>35.463344564353832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17.613435432472965</v>
      </c>
      <c r="C85" s="102">
        <f>TrAvia_emi!C$13</f>
        <v>19.503264421556867</v>
      </c>
      <c r="D85" s="102">
        <f>TrAvia_emi!D$13</f>
        <v>21.225935784278029</v>
      </c>
      <c r="E85" s="102">
        <f>TrAvia_emi!E$13</f>
        <v>24.566877306675721</v>
      </c>
      <c r="F85" s="102">
        <f>TrAvia_emi!F$13</f>
        <v>39.067254598684904</v>
      </c>
      <c r="G85" s="102">
        <f>TrAvia_emi!G$13</f>
        <v>34.47883370662975</v>
      </c>
      <c r="H85" s="102">
        <f>TrAvia_emi!H$13</f>
        <v>35.873576404476218</v>
      </c>
      <c r="I85" s="102">
        <f>TrAvia_emi!I$13</f>
        <v>34.26127006445612</v>
      </c>
      <c r="J85" s="102">
        <f>TrAvia_emi!J$13</f>
        <v>31.150878215917754</v>
      </c>
      <c r="K85" s="102">
        <f>TrAvia_emi!K$13</f>
        <v>16.993290543641123</v>
      </c>
      <c r="L85" s="102">
        <f>TrAvia_emi!L$13</f>
        <v>30.487669193329705</v>
      </c>
      <c r="M85" s="102">
        <f>TrAvia_emi!M$13</f>
        <v>23.238695511150713</v>
      </c>
      <c r="N85" s="102">
        <f>TrAvia_emi!N$13</f>
        <v>28.134094391790089</v>
      </c>
      <c r="O85" s="102">
        <f>TrAvia_emi!O$13</f>
        <v>31.940143674896259</v>
      </c>
      <c r="P85" s="102">
        <f>TrAvia_emi!P$13</f>
        <v>32.058343608306025</v>
      </c>
      <c r="Q85" s="102">
        <f>TrAvia_emi!Q$13</f>
        <v>36.284420093000648</v>
      </c>
      <c r="R85" s="102">
        <f>TrAvia_emi!R$13</f>
        <v>31.962988019132986</v>
      </c>
      <c r="S85" s="102">
        <f>TrAvia_emi!S$13</f>
        <v>44.015338998668774</v>
      </c>
      <c r="T85" s="102">
        <f>TrAvia_emi!T$13</f>
        <v>34.532813598010932</v>
      </c>
      <c r="U85" s="102">
        <f>TrAvia_emi!U$13</f>
        <v>30.319028053899537</v>
      </c>
      <c r="V85" s="102">
        <f>TrAvia_emi!V$13</f>
        <v>54.771490160482465</v>
      </c>
      <c r="W85" s="102">
        <f>TrAvia_emi!W$13</f>
        <v>65.905364555962592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153.32855796000001</v>
      </c>
      <c r="C86" s="110">
        <f t="shared" si="69"/>
        <v>153.14647428000001</v>
      </c>
      <c r="D86" s="110">
        <f t="shared" si="69"/>
        <v>162.53582904000001</v>
      </c>
      <c r="E86" s="110">
        <f t="shared" si="69"/>
        <v>175.12047288000005</v>
      </c>
      <c r="F86" s="110">
        <f t="shared" si="69"/>
        <v>227.64901068000003</v>
      </c>
      <c r="G86" s="110">
        <f t="shared" si="69"/>
        <v>211.71890376000005</v>
      </c>
      <c r="H86" s="110">
        <f t="shared" si="69"/>
        <v>333.20833163999998</v>
      </c>
      <c r="I86" s="110">
        <f t="shared" si="69"/>
        <v>280.58832108000001</v>
      </c>
      <c r="J86" s="110">
        <f t="shared" si="69"/>
        <v>287.79617628</v>
      </c>
      <c r="K86" s="110">
        <f t="shared" si="69"/>
        <v>269.81455751999999</v>
      </c>
      <c r="L86" s="110">
        <f t="shared" si="69"/>
        <v>264.02793588000003</v>
      </c>
      <c r="M86" s="110">
        <f t="shared" si="69"/>
        <v>237.62989980000003</v>
      </c>
      <c r="N86" s="110">
        <f t="shared" si="69"/>
        <v>247.50108684000006</v>
      </c>
      <c r="O86" s="110">
        <f t="shared" si="69"/>
        <v>243.48634884000001</v>
      </c>
      <c r="P86" s="110">
        <f t="shared" si="69"/>
        <v>272.77350911999997</v>
      </c>
      <c r="Q86" s="110">
        <f t="shared" si="69"/>
        <v>221.82107688000002</v>
      </c>
      <c r="R86" s="110">
        <f t="shared" ref="R86:V86" si="70">R87+R88</f>
        <v>266.5625976</v>
      </c>
      <c r="S86" s="110">
        <f t="shared" si="70"/>
        <v>235.37461895999999</v>
      </c>
      <c r="T86" s="110">
        <f t="shared" si="70"/>
        <v>260.33535216000001</v>
      </c>
      <c r="U86" s="110">
        <f t="shared" si="70"/>
        <v>277.26660935999996</v>
      </c>
      <c r="V86" s="110">
        <f t="shared" si="70"/>
        <v>339.08103684000002</v>
      </c>
      <c r="W86" s="110">
        <f t="shared" ref="W86" si="71">W87+W88</f>
        <v>362.59459703999994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153.32855796000001</v>
      </c>
      <c r="C87" s="102">
        <f>TrNavi_emi!C$4</f>
        <v>153.14647428000001</v>
      </c>
      <c r="D87" s="102">
        <f>TrNavi_emi!D$4</f>
        <v>162.53582904000001</v>
      </c>
      <c r="E87" s="102">
        <f>TrNavi_emi!E$4</f>
        <v>175.12047288000005</v>
      </c>
      <c r="F87" s="102">
        <f>TrNavi_emi!F$4</f>
        <v>227.64901068000003</v>
      </c>
      <c r="G87" s="102">
        <f>TrNavi_emi!G$4</f>
        <v>211.71890376000005</v>
      </c>
      <c r="H87" s="102">
        <f>TrNavi_emi!H$4</f>
        <v>333.20833163999998</v>
      </c>
      <c r="I87" s="102">
        <f>TrNavi_emi!I$4</f>
        <v>280.58832108000001</v>
      </c>
      <c r="J87" s="102">
        <f>TrNavi_emi!J$4</f>
        <v>287.79617628</v>
      </c>
      <c r="K87" s="102">
        <f>TrNavi_emi!K$4</f>
        <v>269.81455751999999</v>
      </c>
      <c r="L87" s="102">
        <f>TrNavi_emi!L$4</f>
        <v>264.02793588000003</v>
      </c>
      <c r="M87" s="102">
        <f>TrNavi_emi!M$4</f>
        <v>237.62989980000003</v>
      </c>
      <c r="N87" s="102">
        <f>TrNavi_emi!N$4</f>
        <v>247.50108684000006</v>
      </c>
      <c r="O87" s="102">
        <f>TrNavi_emi!O$4</f>
        <v>243.48634884000001</v>
      </c>
      <c r="P87" s="102">
        <f>TrNavi_emi!P$4</f>
        <v>272.77350911999997</v>
      </c>
      <c r="Q87" s="102">
        <f>TrNavi_emi!Q$4</f>
        <v>221.82107688000002</v>
      </c>
      <c r="R87" s="102">
        <f>TrNavi_emi!R$4</f>
        <v>266.5625976</v>
      </c>
      <c r="S87" s="102">
        <f>TrNavi_emi!S$4</f>
        <v>235.37461895999999</v>
      </c>
      <c r="T87" s="102">
        <f>TrNavi_emi!T$4</f>
        <v>260.33535216000001</v>
      </c>
      <c r="U87" s="102">
        <f>TrNavi_emi!U$4</f>
        <v>277.26660935999996</v>
      </c>
      <c r="V87" s="102">
        <f>TrNavi_emi!V$4</f>
        <v>339.08103684000002</v>
      </c>
      <c r="W87" s="102">
        <f>TrNavi_emi!W$4</f>
        <v>362.59459703999994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483.93153216000007</v>
      </c>
      <c r="C89" s="28">
        <f t="shared" si="72"/>
        <v>516.04034039999988</v>
      </c>
      <c r="D89" s="28">
        <f t="shared" si="72"/>
        <v>461.20591944</v>
      </c>
      <c r="E89" s="28">
        <f t="shared" si="72"/>
        <v>547.64266536000014</v>
      </c>
      <c r="F89" s="28">
        <f t="shared" si="72"/>
        <v>480.51311831999999</v>
      </c>
      <c r="G89" s="28">
        <f t="shared" si="72"/>
        <v>334.10964996000007</v>
      </c>
      <c r="H89" s="28">
        <f t="shared" si="72"/>
        <v>412.29194184000005</v>
      </c>
      <c r="I89" s="28">
        <f t="shared" si="72"/>
        <v>361.96206804000008</v>
      </c>
      <c r="J89" s="28">
        <f t="shared" si="72"/>
        <v>225.94074768000002</v>
      </c>
      <c r="K89" s="28">
        <f t="shared" si="72"/>
        <v>305.96377859999996</v>
      </c>
      <c r="L89" s="28">
        <f t="shared" si="72"/>
        <v>435.75980832000022</v>
      </c>
      <c r="M89" s="28">
        <f t="shared" si="72"/>
        <v>339.5632536</v>
      </c>
      <c r="N89" s="28">
        <f t="shared" si="72"/>
        <v>401.86402236000004</v>
      </c>
      <c r="O89" s="28">
        <f t="shared" si="72"/>
        <v>455.15340935999996</v>
      </c>
      <c r="P89" s="28">
        <f t="shared" si="72"/>
        <v>418.73032943999988</v>
      </c>
      <c r="Q89" s="28">
        <f t="shared" si="72"/>
        <v>497.59959959999986</v>
      </c>
      <c r="R89" s="28">
        <f t="shared" si="72"/>
        <v>497.70007848000006</v>
      </c>
      <c r="S89" s="28">
        <f t="shared" si="72"/>
        <v>485.27371079999995</v>
      </c>
      <c r="T89" s="28">
        <f t="shared" si="72"/>
        <v>537.99971040000025</v>
      </c>
      <c r="U89" s="28">
        <f t="shared" si="72"/>
        <v>442.58663304000004</v>
      </c>
      <c r="V89" s="28">
        <f t="shared" si="72"/>
        <v>482.20456464000006</v>
      </c>
      <c r="W89" s="28">
        <f t="shared" si="72"/>
        <v>533.86880759999997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185.145956736291</v>
      </c>
      <c r="C90" s="102">
        <f>MBunk_emi!C$4</f>
        <v>196.24840751148054</v>
      </c>
      <c r="D90" s="102">
        <f>MBunk_emi!D$4</f>
        <v>168.56642983105704</v>
      </c>
      <c r="E90" s="102">
        <f>MBunk_emi!E$4</f>
        <v>208.04680257985095</v>
      </c>
      <c r="F90" s="102">
        <f>MBunk_emi!F$4</f>
        <v>191.11345664788732</v>
      </c>
      <c r="G90" s="102">
        <f>MBunk_emi!G$4</f>
        <v>132.70293102434658</v>
      </c>
      <c r="H90" s="102">
        <f>MBunk_emi!H$4</f>
        <v>196.69212123868297</v>
      </c>
      <c r="I90" s="102">
        <f>MBunk_emi!I$4</f>
        <v>152.27445218698887</v>
      </c>
      <c r="J90" s="102">
        <f>MBunk_emi!J$4</f>
        <v>94.060714679573138</v>
      </c>
      <c r="K90" s="102">
        <f>MBunk_emi!K$4</f>
        <v>133.68739267882796</v>
      </c>
      <c r="L90" s="102">
        <f>MBunk_emi!L$4</f>
        <v>190.10377167730519</v>
      </c>
      <c r="M90" s="102">
        <f>MBunk_emi!M$4</f>
        <v>139.29757536140005</v>
      </c>
      <c r="N90" s="102">
        <f>MBunk_emi!N$4</f>
        <v>166.93358594476143</v>
      </c>
      <c r="O90" s="102">
        <f>MBunk_emi!O$4</f>
        <v>200.25409957778569</v>
      </c>
      <c r="P90" s="102">
        <f>MBunk_emi!P$4</f>
        <v>175.29673954554244</v>
      </c>
      <c r="Q90" s="102">
        <f>MBunk_emi!Q$4</f>
        <v>211.44516275583226</v>
      </c>
      <c r="R90" s="102">
        <f>MBunk_emi!R$4</f>
        <v>210.59827306111441</v>
      </c>
      <c r="S90" s="102">
        <f>MBunk_emi!S$4</f>
        <v>203.05696891927943</v>
      </c>
      <c r="T90" s="102">
        <f>MBunk_emi!T$4</f>
        <v>231.32454336308624</v>
      </c>
      <c r="U90" s="102">
        <f>MBunk_emi!U$4</f>
        <v>191.59218214074983</v>
      </c>
      <c r="V90" s="102">
        <f>MBunk_emi!V$4</f>
        <v>190.67712842233763</v>
      </c>
      <c r="W90" s="102">
        <f>MBunk_emi!W$4</f>
        <v>219.1965684051076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298.78557542370908</v>
      </c>
      <c r="C91" s="86">
        <f>MBunk_emi!C$5</f>
        <v>319.7919328885194</v>
      </c>
      <c r="D91" s="86">
        <f>MBunk_emi!D$5</f>
        <v>292.63948960894299</v>
      </c>
      <c r="E91" s="86">
        <f>MBunk_emi!E$5</f>
        <v>339.59586278014916</v>
      </c>
      <c r="F91" s="86">
        <f>MBunk_emi!F$5</f>
        <v>289.39966167211264</v>
      </c>
      <c r="G91" s="86">
        <f>MBunk_emi!G$5</f>
        <v>201.40671893565346</v>
      </c>
      <c r="H91" s="86">
        <f>MBunk_emi!H$5</f>
        <v>215.59982060131705</v>
      </c>
      <c r="I91" s="86">
        <f>MBunk_emi!I$5</f>
        <v>209.68761585301121</v>
      </c>
      <c r="J91" s="86">
        <f>MBunk_emi!J$5</f>
        <v>131.88003300042689</v>
      </c>
      <c r="K91" s="86">
        <f>MBunk_emi!K$5</f>
        <v>172.27638592117199</v>
      </c>
      <c r="L91" s="86">
        <f>MBunk_emi!L$5</f>
        <v>245.65603664269503</v>
      </c>
      <c r="M91" s="86">
        <f>MBunk_emi!M$5</f>
        <v>200.26567823859995</v>
      </c>
      <c r="N91" s="86">
        <f>MBunk_emi!N$5</f>
        <v>234.9304364152386</v>
      </c>
      <c r="O91" s="86">
        <f>MBunk_emi!O$5</f>
        <v>254.89930978221429</v>
      </c>
      <c r="P91" s="86">
        <f>MBunk_emi!P$5</f>
        <v>243.43358989445744</v>
      </c>
      <c r="Q91" s="86">
        <f>MBunk_emi!Q$5</f>
        <v>286.15443684416761</v>
      </c>
      <c r="R91" s="86">
        <f>MBunk_emi!R$5</f>
        <v>287.10180541888565</v>
      </c>
      <c r="S91" s="86">
        <f>MBunk_emi!S$5</f>
        <v>282.21674188072052</v>
      </c>
      <c r="T91" s="86">
        <f>MBunk_emi!T$5</f>
        <v>306.67516703691405</v>
      </c>
      <c r="U91" s="86">
        <f>MBunk_emi!U$5</f>
        <v>250.99445089925018</v>
      </c>
      <c r="V91" s="86">
        <f>MBunk_emi!V$5</f>
        <v>291.52743621766245</v>
      </c>
      <c r="W91" s="86">
        <f>MBunk_emi!W$5</f>
        <v>314.67223919489237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0.7462855053705082</v>
      </c>
      <c r="C97" s="139">
        <f t="shared" si="76"/>
        <v>0.74327940113335034</v>
      </c>
      <c r="D97" s="139">
        <f t="shared" si="76"/>
        <v>0.74717270647407241</v>
      </c>
      <c r="E97" s="139">
        <f t="shared" si="76"/>
        <v>0.76039427166251428</v>
      </c>
      <c r="F97" s="139">
        <f t="shared" si="76"/>
        <v>0.76000745389022695</v>
      </c>
      <c r="G97" s="139">
        <f t="shared" si="76"/>
        <v>0.73174370672339317</v>
      </c>
      <c r="H97" s="139">
        <f t="shared" si="76"/>
        <v>0.70808499627147525</v>
      </c>
      <c r="I97" s="139">
        <f t="shared" si="76"/>
        <v>0.69567114497605131</v>
      </c>
      <c r="J97" s="139">
        <f t="shared" si="76"/>
        <v>0.70305164137435794</v>
      </c>
      <c r="K97" s="139">
        <f t="shared" si="76"/>
        <v>0.73259735641418311</v>
      </c>
      <c r="L97" s="139">
        <f t="shared" si="76"/>
        <v>0.74839746253791029</v>
      </c>
      <c r="M97" s="139">
        <f t="shared" si="76"/>
        <v>0.7413643735934119</v>
      </c>
      <c r="N97" s="139">
        <f t="shared" si="76"/>
        <v>0.73162337131973543</v>
      </c>
      <c r="O97" s="139">
        <f t="shared" si="76"/>
        <v>0.72535387461573442</v>
      </c>
      <c r="P97" s="139">
        <f t="shared" si="76"/>
        <v>0.70755025921028603</v>
      </c>
      <c r="Q97" s="139">
        <f t="shared" si="76"/>
        <v>0.69857997733038557</v>
      </c>
      <c r="R97" s="139">
        <f t="shared" ref="R97:V97" si="77">IF(R5=0,0,R5/R$4)</f>
        <v>0.68935033482251085</v>
      </c>
      <c r="S97" s="139">
        <f t="shared" si="77"/>
        <v>0.6765457295862396</v>
      </c>
      <c r="T97" s="139">
        <f t="shared" si="77"/>
        <v>0.65900122214085111</v>
      </c>
      <c r="U97" s="139">
        <f t="shared" si="77"/>
        <v>0.65423800458015835</v>
      </c>
      <c r="V97" s="139">
        <f t="shared" si="77"/>
        <v>0.87768504490037325</v>
      </c>
      <c r="W97" s="139">
        <f t="shared" ref="W97" si="78">IF(W5=0,0,W5/W$4)</f>
        <v>0.87439895179200156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2.145159198846204E-3</v>
      </c>
      <c r="C98" s="140">
        <f t="shared" si="79"/>
        <v>2.1991460713444784E-3</v>
      </c>
      <c r="D98" s="140">
        <f t="shared" si="79"/>
        <v>2.1496197277160812E-3</v>
      </c>
      <c r="E98" s="140">
        <f t="shared" si="79"/>
        <v>2.2302473198209287E-3</v>
      </c>
      <c r="F98" s="140">
        <f t="shared" si="79"/>
        <v>2.0270391468615273E-3</v>
      </c>
      <c r="G98" s="140">
        <f t="shared" si="79"/>
        <v>2.3064470786083435E-3</v>
      </c>
      <c r="H98" s="140">
        <f t="shared" si="79"/>
        <v>2.1314240889062108E-3</v>
      </c>
      <c r="I98" s="140">
        <f t="shared" si="79"/>
        <v>2.0361670154842196E-3</v>
      </c>
      <c r="J98" s="140">
        <f t="shared" si="79"/>
        <v>2.1493754398959762E-3</v>
      </c>
      <c r="K98" s="140">
        <f t="shared" si="79"/>
        <v>2.0471318175674892E-3</v>
      </c>
      <c r="L98" s="140">
        <f t="shared" si="79"/>
        <v>1.8690074912362893E-3</v>
      </c>
      <c r="M98" s="140">
        <f t="shared" si="79"/>
        <v>1.7199033802183553E-3</v>
      </c>
      <c r="N98" s="140">
        <f t="shared" si="79"/>
        <v>1.552339780993125E-3</v>
      </c>
      <c r="O98" s="140">
        <f t="shared" si="79"/>
        <v>1.4900578680985617E-3</v>
      </c>
      <c r="P98" s="140">
        <f t="shared" si="79"/>
        <v>1.6973135364955912E-3</v>
      </c>
      <c r="Q98" s="140">
        <f t="shared" si="79"/>
        <v>1.4722556553256249E-3</v>
      </c>
      <c r="R98" s="140">
        <f t="shared" ref="R98:V98" si="80">IF(R6=0,0,R6/R$4)</f>
        <v>1.4275250891672448E-3</v>
      </c>
      <c r="S98" s="140">
        <f t="shared" si="80"/>
        <v>1.286199684438396E-3</v>
      </c>
      <c r="T98" s="140">
        <f t="shared" si="80"/>
        <v>1.1675873073266484E-3</v>
      </c>
      <c r="U98" s="140">
        <f t="shared" si="80"/>
        <v>1.2109437497829891E-3</v>
      </c>
      <c r="V98" s="140">
        <f t="shared" si="80"/>
        <v>1.7495122739735749E-3</v>
      </c>
      <c r="W98" s="140">
        <f t="shared" ref="W98" si="81">IF(W6=0,0,W6/W$4)</f>
        <v>1.7108066393142062E-3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0.61949640857874877</v>
      </c>
      <c r="C99" s="140">
        <f t="shared" si="82"/>
        <v>0.61759793500376403</v>
      </c>
      <c r="D99" s="140">
        <f t="shared" si="82"/>
        <v>0.62492080873802036</v>
      </c>
      <c r="E99" s="140">
        <f t="shared" si="82"/>
        <v>0.63786406951573971</v>
      </c>
      <c r="F99" s="140">
        <f t="shared" si="82"/>
        <v>0.63996512304488284</v>
      </c>
      <c r="G99" s="140">
        <f t="shared" si="82"/>
        <v>0.61903033502330862</v>
      </c>
      <c r="H99" s="140">
        <f t="shared" si="82"/>
        <v>0.60108128975221886</v>
      </c>
      <c r="I99" s="140">
        <f t="shared" si="82"/>
        <v>0.59134461031365493</v>
      </c>
      <c r="J99" s="140">
        <f t="shared" si="82"/>
        <v>0.59638175259335802</v>
      </c>
      <c r="K99" s="140">
        <f t="shared" si="82"/>
        <v>0.61745716547778884</v>
      </c>
      <c r="L99" s="140">
        <f t="shared" si="82"/>
        <v>0.63484038222730665</v>
      </c>
      <c r="M99" s="140">
        <f t="shared" si="82"/>
        <v>0.6286658742591068</v>
      </c>
      <c r="N99" s="140">
        <f t="shared" si="82"/>
        <v>0.62192580106848239</v>
      </c>
      <c r="O99" s="140">
        <f t="shared" si="82"/>
        <v>0.61907362447316516</v>
      </c>
      <c r="P99" s="140">
        <f t="shared" si="82"/>
        <v>0.59913373678664517</v>
      </c>
      <c r="Q99" s="140">
        <f t="shared" si="82"/>
        <v>0.59889191619618065</v>
      </c>
      <c r="R99" s="140">
        <f t="shared" ref="R99:V99" si="83">IF(R7=0,0,R7/R$4)</f>
        <v>0.59145595496699654</v>
      </c>
      <c r="S99" s="140">
        <f t="shared" si="83"/>
        <v>0.57535454583633616</v>
      </c>
      <c r="T99" s="140">
        <f t="shared" si="83"/>
        <v>0.55575713533865456</v>
      </c>
      <c r="U99" s="140">
        <f t="shared" si="83"/>
        <v>0.55267590763142571</v>
      </c>
      <c r="V99" s="140">
        <f t="shared" si="83"/>
        <v>0.76501901087275526</v>
      </c>
      <c r="W99" s="140">
        <f t="shared" ref="W99" si="84">IF(W7=0,0,W7/W$4)</f>
        <v>0.75805597785032408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0.12464393759291327</v>
      </c>
      <c r="C100" s="140">
        <f t="shared" si="85"/>
        <v>0.12348232005824182</v>
      </c>
      <c r="D100" s="140">
        <f t="shared" si="85"/>
        <v>0.12010227800833598</v>
      </c>
      <c r="E100" s="140">
        <f t="shared" si="85"/>
        <v>0.12029995482695374</v>
      </c>
      <c r="F100" s="140">
        <f t="shared" si="85"/>
        <v>0.11801529169848253</v>
      </c>
      <c r="G100" s="140">
        <f t="shared" si="85"/>
        <v>0.11040692462147621</v>
      </c>
      <c r="H100" s="140">
        <f t="shared" si="85"/>
        <v>0.10487228243035016</v>
      </c>
      <c r="I100" s="140">
        <f t="shared" si="85"/>
        <v>0.10229036764691209</v>
      </c>
      <c r="J100" s="140">
        <f t="shared" si="85"/>
        <v>0.10452051334110397</v>
      </c>
      <c r="K100" s="140">
        <f t="shared" si="85"/>
        <v>0.11309305911882675</v>
      </c>
      <c r="L100" s="140">
        <f t="shared" si="85"/>
        <v>0.11168807281936736</v>
      </c>
      <c r="M100" s="140">
        <f t="shared" si="85"/>
        <v>0.11097859595408671</v>
      </c>
      <c r="N100" s="140">
        <f t="shared" si="85"/>
        <v>0.10814523047025983</v>
      </c>
      <c r="O100" s="140">
        <f t="shared" si="85"/>
        <v>0.10479019227447073</v>
      </c>
      <c r="P100" s="140">
        <f t="shared" si="85"/>
        <v>0.1067192088871453</v>
      </c>
      <c r="Q100" s="140">
        <f t="shared" si="85"/>
        <v>9.8215805478879356E-2</v>
      </c>
      <c r="R100" s="140">
        <f t="shared" ref="R100:V100" si="86">IF(R8=0,0,R8/R$4)</f>
        <v>9.646685476634706E-2</v>
      </c>
      <c r="S100" s="140">
        <f t="shared" si="86"/>
        <v>9.9904984065464983E-2</v>
      </c>
      <c r="T100" s="140">
        <f t="shared" si="86"/>
        <v>0.10207649949486987</v>
      </c>
      <c r="U100" s="140">
        <f t="shared" si="86"/>
        <v>0.10035115319894967</v>
      </c>
      <c r="V100" s="140">
        <f t="shared" si="86"/>
        <v>0.11091652175364441</v>
      </c>
      <c r="W100" s="140">
        <f t="shared" ref="W100" si="87">IF(W8=0,0,W8/W$4)</f>
        <v>0.11463216730236318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2.4863630129330842E-2</v>
      </c>
      <c r="C101" s="124">
        <f t="shared" si="88"/>
        <v>2.5663371774615393E-2</v>
      </c>
      <c r="D101" s="124">
        <f t="shared" si="88"/>
        <v>2.6923125770760482E-2</v>
      </c>
      <c r="E101" s="124">
        <f t="shared" si="88"/>
        <v>2.5562782395141346E-2</v>
      </c>
      <c r="F101" s="124">
        <f t="shared" si="88"/>
        <v>2.4501444643283569E-2</v>
      </c>
      <c r="G101" s="124">
        <f t="shared" si="88"/>
        <v>2.6377033361028337E-2</v>
      </c>
      <c r="H101" s="124">
        <f t="shared" si="88"/>
        <v>2.5945041946075824E-2</v>
      </c>
      <c r="I101" s="124">
        <f t="shared" si="88"/>
        <v>2.6904240863737008E-2</v>
      </c>
      <c r="J101" s="124">
        <f t="shared" si="88"/>
        <v>2.5825154848636452E-2</v>
      </c>
      <c r="K101" s="124">
        <f t="shared" si="88"/>
        <v>2.2937589654553742E-2</v>
      </c>
      <c r="L101" s="124">
        <f t="shared" si="88"/>
        <v>2.3884495428673585E-2</v>
      </c>
      <c r="M101" s="124">
        <f t="shared" si="88"/>
        <v>2.3526784092634888E-2</v>
      </c>
      <c r="N101" s="124">
        <f t="shared" si="88"/>
        <v>2.2974990977816252E-2</v>
      </c>
      <c r="O101" s="124">
        <f t="shared" si="88"/>
        <v>2.2146858885355013E-2</v>
      </c>
      <c r="P101" s="124">
        <f t="shared" si="88"/>
        <v>2.3973640043512198E-2</v>
      </c>
      <c r="Q101" s="124">
        <f t="shared" si="88"/>
        <v>2.4199412823558041E-2</v>
      </c>
      <c r="R101" s="124">
        <f t="shared" ref="R101:V101" si="89">IF(R9=0,0,R9/R$4)</f>
        <v>2.337030306864794E-2</v>
      </c>
      <c r="S101" s="124">
        <f t="shared" si="89"/>
        <v>2.3471437032575759E-2</v>
      </c>
      <c r="T101" s="124">
        <f t="shared" si="89"/>
        <v>2.5258566908685606E-2</v>
      </c>
      <c r="U101" s="124">
        <f t="shared" si="89"/>
        <v>2.5449647768583061E-2</v>
      </c>
      <c r="V101" s="124">
        <f t="shared" si="89"/>
        <v>1.4359743853881906E-2</v>
      </c>
      <c r="W101" s="124">
        <f t="shared" ref="W101" si="90">IF(W9=0,0,W9/W$4)</f>
        <v>1.3968636090044612E-2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0</v>
      </c>
      <c r="E102" s="140">
        <f t="shared" si="91"/>
        <v>0</v>
      </c>
      <c r="F102" s="140">
        <f t="shared" si="91"/>
        <v>7.5065700500256038E-4</v>
      </c>
      <c r="G102" s="140">
        <f t="shared" si="91"/>
        <v>1.5343594234336949E-3</v>
      </c>
      <c r="H102" s="140">
        <f t="shared" si="91"/>
        <v>1.4783279992144698E-3</v>
      </c>
      <c r="I102" s="140">
        <f t="shared" si="91"/>
        <v>2.1577645055701083E-3</v>
      </c>
      <c r="J102" s="140">
        <f t="shared" si="91"/>
        <v>1.7200504646470193E-3</v>
      </c>
      <c r="K102" s="140">
        <f t="shared" si="91"/>
        <v>1.6681883385129995E-3</v>
      </c>
      <c r="L102" s="140">
        <f t="shared" si="91"/>
        <v>1.7296124384501047E-3</v>
      </c>
      <c r="M102" s="140">
        <f t="shared" si="91"/>
        <v>1.8280947099006838E-3</v>
      </c>
      <c r="N102" s="140">
        <f t="shared" si="91"/>
        <v>1.9212536009323698E-3</v>
      </c>
      <c r="O102" s="140">
        <f t="shared" si="91"/>
        <v>1.9304744078510062E-3</v>
      </c>
      <c r="P102" s="140">
        <f t="shared" si="91"/>
        <v>2.032512002751312E-3</v>
      </c>
      <c r="Q102" s="140">
        <f t="shared" si="91"/>
        <v>2.0727079151185339E-3</v>
      </c>
      <c r="R102" s="140">
        <f t="shared" ref="R102:V102" si="92">IF(R10=0,0,R10/R$4)</f>
        <v>1.9726306266028199E-3</v>
      </c>
      <c r="S102" s="140">
        <f t="shared" si="92"/>
        <v>1.8812488108350134E-3</v>
      </c>
      <c r="T102" s="140">
        <f t="shared" si="92"/>
        <v>3.0819729445932783E-3</v>
      </c>
      <c r="U102" s="140">
        <f t="shared" si="92"/>
        <v>2.8710147662308486E-3</v>
      </c>
      <c r="V102" s="140">
        <f t="shared" si="92"/>
        <v>1.8103110420548687E-3</v>
      </c>
      <c r="W102" s="140">
        <f t="shared" ref="W102" si="93">IF(W10=0,0,W10/W$4)</f>
        <v>1.713637819238307E-3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2.4863630129330842E-2</v>
      </c>
      <c r="C103" s="140">
        <f t="shared" si="94"/>
        <v>2.5663371774615393E-2</v>
      </c>
      <c r="D103" s="140">
        <f t="shared" si="94"/>
        <v>2.6923125770760482E-2</v>
      </c>
      <c r="E103" s="140">
        <f t="shared" si="94"/>
        <v>2.5562782395141346E-2</v>
      </c>
      <c r="F103" s="140">
        <f t="shared" si="94"/>
        <v>2.375078763828101E-2</v>
      </c>
      <c r="G103" s="140">
        <f t="shared" si="94"/>
        <v>2.4842673937594643E-2</v>
      </c>
      <c r="H103" s="140">
        <f t="shared" si="94"/>
        <v>2.4466713946861354E-2</v>
      </c>
      <c r="I103" s="140">
        <f t="shared" si="94"/>
        <v>2.4746476358166906E-2</v>
      </c>
      <c r="J103" s="140">
        <f t="shared" si="94"/>
        <v>2.4105104383989433E-2</v>
      </c>
      <c r="K103" s="140">
        <f t="shared" si="94"/>
        <v>2.1269401316040742E-2</v>
      </c>
      <c r="L103" s="140">
        <f t="shared" si="94"/>
        <v>2.215488299022348E-2</v>
      </c>
      <c r="M103" s="140">
        <f t="shared" si="94"/>
        <v>2.1698689382734202E-2</v>
      </c>
      <c r="N103" s="140">
        <f t="shared" si="94"/>
        <v>2.1053737376883881E-2</v>
      </c>
      <c r="O103" s="140">
        <f t="shared" si="94"/>
        <v>2.0216384477504006E-2</v>
      </c>
      <c r="P103" s="140">
        <f t="shared" si="94"/>
        <v>2.1941128040760885E-2</v>
      </c>
      <c r="Q103" s="140">
        <f t="shared" si="94"/>
        <v>2.2126704908439508E-2</v>
      </c>
      <c r="R103" s="140">
        <f t="shared" ref="R103:V103" si="95">IF(R11=0,0,R11/R$4)</f>
        <v>2.1397672442045122E-2</v>
      </c>
      <c r="S103" s="140">
        <f t="shared" si="95"/>
        <v>2.1590188221740751E-2</v>
      </c>
      <c r="T103" s="140">
        <f t="shared" si="95"/>
        <v>2.2176593964092328E-2</v>
      </c>
      <c r="U103" s="140">
        <f t="shared" si="95"/>
        <v>2.2578633002352213E-2</v>
      </c>
      <c r="V103" s="140">
        <f t="shared" si="95"/>
        <v>1.2549432811827037E-2</v>
      </c>
      <c r="W103" s="140">
        <f t="shared" ref="W103" si="96">IF(W11=0,0,W11/W$4)</f>
        <v>1.2254998270806304E-2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0.2288508645001609</v>
      </c>
      <c r="C105" s="124">
        <f t="shared" si="100"/>
        <v>0.23105722709203425</v>
      </c>
      <c r="D105" s="124">
        <f t="shared" si="100"/>
        <v>0.22590416775516703</v>
      </c>
      <c r="E105" s="124">
        <f t="shared" si="100"/>
        <v>0.21404294594234427</v>
      </c>
      <c r="F105" s="124">
        <f t="shared" si="100"/>
        <v>0.21549110146648942</v>
      </c>
      <c r="G105" s="124">
        <f t="shared" si="100"/>
        <v>0.24187925991557846</v>
      </c>
      <c r="H105" s="124">
        <f t="shared" si="100"/>
        <v>0.26596996178244897</v>
      </c>
      <c r="I105" s="124">
        <f t="shared" si="100"/>
        <v>0.27742461416021169</v>
      </c>
      <c r="J105" s="124">
        <f t="shared" si="100"/>
        <v>0.27112320377700566</v>
      </c>
      <c r="K105" s="124">
        <f t="shared" si="100"/>
        <v>0.24446505393126322</v>
      </c>
      <c r="L105" s="124">
        <f t="shared" si="100"/>
        <v>0.22771804203341625</v>
      </c>
      <c r="M105" s="124">
        <f t="shared" si="100"/>
        <v>0.23510884231395321</v>
      </c>
      <c r="N105" s="124">
        <f t="shared" si="100"/>
        <v>0.24540163770244841</v>
      </c>
      <c r="O105" s="124">
        <f t="shared" si="100"/>
        <v>0.25249926649891041</v>
      </c>
      <c r="P105" s="124">
        <f t="shared" si="100"/>
        <v>0.26847610074620171</v>
      </c>
      <c r="Q105" s="124">
        <f t="shared" si="100"/>
        <v>0.2772206098460564</v>
      </c>
      <c r="R105" s="124">
        <f t="shared" ref="R105:V105" si="101">IF(R13=0,0,R13/R$4)</f>
        <v>0.28727936210884131</v>
      </c>
      <c r="S105" s="124">
        <f t="shared" si="101"/>
        <v>0.29998283338118459</v>
      </c>
      <c r="T105" s="124">
        <f t="shared" si="101"/>
        <v>0.31574021095046334</v>
      </c>
      <c r="U105" s="124">
        <f t="shared" si="101"/>
        <v>0.3203123476512586</v>
      </c>
      <c r="V105" s="124">
        <f t="shared" si="101"/>
        <v>0.10795521124574486</v>
      </c>
      <c r="W105" s="124">
        <f t="shared" ref="W105" si="102">IF(W13=0,0,W13/W$4)</f>
        <v>0.11163241211795386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4.3987345414873268E-3</v>
      </c>
      <c r="C106" s="140">
        <f t="shared" si="103"/>
        <v>4.2189394849577776E-3</v>
      </c>
      <c r="D106" s="140">
        <f t="shared" si="103"/>
        <v>3.7316653672498749E-3</v>
      </c>
      <c r="E106" s="140">
        <f t="shared" si="103"/>
        <v>3.7894886502930487E-3</v>
      </c>
      <c r="F106" s="140">
        <f t="shared" si="103"/>
        <v>3.50590665173765E-3</v>
      </c>
      <c r="G106" s="140">
        <f t="shared" si="103"/>
        <v>3.8635612545514556E-3</v>
      </c>
      <c r="H106" s="140">
        <f t="shared" si="103"/>
        <v>4.4883672280298416E-3</v>
      </c>
      <c r="I106" s="140">
        <f t="shared" si="103"/>
        <v>3.8146520268480064E-3</v>
      </c>
      <c r="J106" s="140">
        <f t="shared" si="103"/>
        <v>3.2311148620519799E-3</v>
      </c>
      <c r="K106" s="140">
        <f t="shared" si="103"/>
        <v>2.3838708893871474E-3</v>
      </c>
      <c r="L106" s="140">
        <f t="shared" si="103"/>
        <v>1.313795367942008E-3</v>
      </c>
      <c r="M106" s="140">
        <f t="shared" si="103"/>
        <v>3.5438435907851965E-4</v>
      </c>
      <c r="N106" s="140">
        <f t="shared" si="103"/>
        <v>1.7984755945235498E-4</v>
      </c>
      <c r="O106" s="140">
        <f t="shared" si="103"/>
        <v>2.0755004494914481E-4</v>
      </c>
      <c r="P106" s="140">
        <f t="shared" si="103"/>
        <v>1.892918492261954E-4</v>
      </c>
      <c r="Q106" s="140">
        <f t="shared" si="103"/>
        <v>2.0754344753119456E-4</v>
      </c>
      <c r="R106" s="140">
        <f t="shared" ref="R106:V106" si="104">IF(R14=0,0,R14/R$4)</f>
        <v>2.123703184614349E-4</v>
      </c>
      <c r="S106" s="140">
        <f t="shared" si="104"/>
        <v>2.0948786383631325E-4</v>
      </c>
      <c r="T106" s="140">
        <f t="shared" si="104"/>
        <v>2.3132990452741511E-4</v>
      </c>
      <c r="U106" s="140">
        <f t="shared" si="104"/>
        <v>2.1679228296102933E-4</v>
      </c>
      <c r="V106" s="140">
        <f t="shared" si="104"/>
        <v>1.0127906316920622E-4</v>
      </c>
      <c r="W106" s="140">
        <f t="shared" ref="W106" si="105">IF(W14=0,0,W14/W$4)</f>
        <v>1.2634396569310969E-4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0.13554643701920085</v>
      </c>
      <c r="C107" s="140">
        <f t="shared" si="106"/>
        <v>0.14309856568899779</v>
      </c>
      <c r="D107" s="140">
        <f t="shared" si="106"/>
        <v>0.14350927627261698</v>
      </c>
      <c r="E107" s="140">
        <f t="shared" si="106"/>
        <v>0.14399755992892269</v>
      </c>
      <c r="F107" s="140">
        <f t="shared" si="106"/>
        <v>0.14468916055327416</v>
      </c>
      <c r="G107" s="140">
        <f t="shared" si="106"/>
        <v>0.16446450344769498</v>
      </c>
      <c r="H107" s="140">
        <f t="shared" si="106"/>
        <v>0.18054225317807826</v>
      </c>
      <c r="I107" s="140">
        <f t="shared" si="106"/>
        <v>0.18700863398903617</v>
      </c>
      <c r="J107" s="140">
        <f t="shared" si="106"/>
        <v>0.1787907197802942</v>
      </c>
      <c r="K107" s="140">
        <f t="shared" si="106"/>
        <v>0.1591095958948818</v>
      </c>
      <c r="L107" s="140">
        <f t="shared" si="106"/>
        <v>0.14677045737588246</v>
      </c>
      <c r="M107" s="140">
        <f t="shared" si="106"/>
        <v>0.15105611521041531</v>
      </c>
      <c r="N107" s="140">
        <f t="shared" si="106"/>
        <v>0.15185328978939244</v>
      </c>
      <c r="O107" s="140">
        <f t="shared" si="106"/>
        <v>0.15001167747640179</v>
      </c>
      <c r="P107" s="140">
        <f t="shared" si="106"/>
        <v>0.15301293701970459</v>
      </c>
      <c r="Q107" s="140">
        <f t="shared" si="106"/>
        <v>0.15391122118657796</v>
      </c>
      <c r="R107" s="140">
        <f t="shared" ref="R107:V107" si="107">IF(R15=0,0,R15/R$4)</f>
        <v>0.16114888560465332</v>
      </c>
      <c r="S107" s="140">
        <f t="shared" si="107"/>
        <v>0.1611599685509936</v>
      </c>
      <c r="T107" s="140">
        <f t="shared" si="107"/>
        <v>0.16187074371868557</v>
      </c>
      <c r="U107" s="140">
        <f t="shared" si="107"/>
        <v>0.16725247258152329</v>
      </c>
      <c r="V107" s="140">
        <f t="shared" si="107"/>
        <v>6.3466343067542869E-2</v>
      </c>
      <c r="W107" s="140">
        <f t="shared" ref="W107" si="108">IF(W15=0,0,W15/W$4)</f>
        <v>7.4293772245952155E-2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8.8905692939472702E-2</v>
      </c>
      <c r="C108" s="140">
        <f t="shared" si="109"/>
        <v>8.3739721918078686E-2</v>
      </c>
      <c r="D108" s="140">
        <f t="shared" si="109"/>
        <v>7.8663226115300175E-2</v>
      </c>
      <c r="E108" s="140">
        <f t="shared" si="109"/>
        <v>6.6255897363128549E-2</v>
      </c>
      <c r="F108" s="140">
        <f t="shared" si="109"/>
        <v>6.7296034261477594E-2</v>
      </c>
      <c r="G108" s="140">
        <f t="shared" si="109"/>
        <v>7.3551195213332018E-2</v>
      </c>
      <c r="H108" s="140">
        <f t="shared" si="109"/>
        <v>8.0939341376340845E-2</v>
      </c>
      <c r="I108" s="140">
        <f t="shared" si="109"/>
        <v>8.6601328144327527E-2</v>
      </c>
      <c r="J108" s="140">
        <f t="shared" si="109"/>
        <v>8.9101369134659519E-2</v>
      </c>
      <c r="K108" s="140">
        <f t="shared" si="109"/>
        <v>8.2971587146994277E-2</v>
      </c>
      <c r="L108" s="140">
        <f t="shared" si="109"/>
        <v>7.9633789289591791E-2</v>
      </c>
      <c r="M108" s="140">
        <f t="shared" si="109"/>
        <v>8.369834274445935E-2</v>
      </c>
      <c r="N108" s="140">
        <f t="shared" si="109"/>
        <v>9.3368500353603612E-2</v>
      </c>
      <c r="O108" s="140">
        <f t="shared" si="109"/>
        <v>0.10228003897755951</v>
      </c>
      <c r="P108" s="140">
        <f t="shared" si="109"/>
        <v>0.11527387187727091</v>
      </c>
      <c r="Q108" s="140">
        <f t="shared" si="109"/>
        <v>0.12310184521194728</v>
      </c>
      <c r="R108" s="140">
        <f t="shared" ref="R108:V108" si="110">IF(R16=0,0,R16/R$4)</f>
        <v>0.12591810618572657</v>
      </c>
      <c r="S108" s="140">
        <f t="shared" si="110"/>
        <v>0.13861337696635467</v>
      </c>
      <c r="T108" s="140">
        <f t="shared" si="110"/>
        <v>0.15363813732725037</v>
      </c>
      <c r="U108" s="140">
        <f t="shared" si="110"/>
        <v>0.15284308278677433</v>
      </c>
      <c r="V108" s="140">
        <f t="shared" si="110"/>
        <v>4.4387589115032787E-2</v>
      </c>
      <c r="W108" s="140">
        <f t="shared" ref="W108" si="111">IF(W16=0,0,W16/W$4)</f>
        <v>3.7212295906308604E-2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0.93728855790785903</v>
      </c>
      <c r="C110" s="139">
        <f t="shared" si="115"/>
        <v>0.94205871572071354</v>
      </c>
      <c r="D110" s="139">
        <f t="shared" si="115"/>
        <v>0.95876945247468415</v>
      </c>
      <c r="E110" s="139">
        <f t="shared" si="115"/>
        <v>0.96302185157067266</v>
      </c>
      <c r="F110" s="139">
        <f t="shared" si="115"/>
        <v>0.96575436720010976</v>
      </c>
      <c r="G110" s="139">
        <f t="shared" si="115"/>
        <v>0.96995200927235747</v>
      </c>
      <c r="H110" s="139">
        <f t="shared" si="115"/>
        <v>0.97308779957731084</v>
      </c>
      <c r="I110" s="139">
        <f t="shared" si="115"/>
        <v>0.97862555866268397</v>
      </c>
      <c r="J110" s="139">
        <f t="shared" si="115"/>
        <v>0.97858929951088347</v>
      </c>
      <c r="K110" s="139">
        <f t="shared" si="115"/>
        <v>0.97312945015871677</v>
      </c>
      <c r="L110" s="139">
        <f t="shared" si="115"/>
        <v>0.97042782829324037</v>
      </c>
      <c r="M110" s="139">
        <f t="shared" si="115"/>
        <v>0.9632110306461471</v>
      </c>
      <c r="N110" s="139">
        <f t="shared" si="115"/>
        <v>0.95248138999610199</v>
      </c>
      <c r="O110" s="139">
        <f t="shared" si="115"/>
        <v>0.95561141349205192</v>
      </c>
      <c r="P110" s="139">
        <f t="shared" si="115"/>
        <v>0.95652240833134039</v>
      </c>
      <c r="Q110" s="139">
        <f t="shared" si="115"/>
        <v>0.95774252466978671</v>
      </c>
      <c r="R110" s="139">
        <f t="shared" ref="R110:V110" si="116">IF(R18=0,0,R18/R$17)</f>
        <v>0.96318732971702214</v>
      </c>
      <c r="S110" s="139">
        <f t="shared" si="116"/>
        <v>0.95841749199144455</v>
      </c>
      <c r="T110" s="139">
        <f t="shared" si="116"/>
        <v>0.96017361519034561</v>
      </c>
      <c r="U110" s="139">
        <f t="shared" si="116"/>
        <v>0.96354578482562092</v>
      </c>
      <c r="V110" s="139">
        <f t="shared" si="116"/>
        <v>0.95993920258501664</v>
      </c>
      <c r="W110" s="139">
        <f t="shared" ref="W110" si="117">IF(W18=0,0,W18/W$17)</f>
        <v>0.96089700610824724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0.13616374137397005</v>
      </c>
      <c r="C111" s="140">
        <f t="shared" si="118"/>
        <v>0.13578819056202449</v>
      </c>
      <c r="D111" s="140">
        <f t="shared" si="118"/>
        <v>0.128864152930068</v>
      </c>
      <c r="E111" s="140">
        <f t="shared" si="118"/>
        <v>0.1264695431260302</v>
      </c>
      <c r="F111" s="140">
        <f t="shared" si="118"/>
        <v>0.12188451303308118</v>
      </c>
      <c r="G111" s="140">
        <f t="shared" si="118"/>
        <v>0.12357434033156112</v>
      </c>
      <c r="H111" s="140">
        <f t="shared" si="118"/>
        <v>0.13238544259909776</v>
      </c>
      <c r="I111" s="140">
        <f t="shared" si="118"/>
        <v>0.13417525261836236</v>
      </c>
      <c r="J111" s="140">
        <f t="shared" si="118"/>
        <v>0.1455366304680743</v>
      </c>
      <c r="K111" s="140">
        <f t="shared" si="118"/>
        <v>0.19794120821095304</v>
      </c>
      <c r="L111" s="140">
        <f t="shared" si="118"/>
        <v>0.19179356070955281</v>
      </c>
      <c r="M111" s="140">
        <f t="shared" si="118"/>
        <v>0.19751071855934374</v>
      </c>
      <c r="N111" s="140">
        <f t="shared" si="118"/>
        <v>0.1913507367028652</v>
      </c>
      <c r="O111" s="140">
        <f t="shared" si="118"/>
        <v>0.20055545959513696</v>
      </c>
      <c r="P111" s="140">
        <f t="shared" si="118"/>
        <v>0.18877288836356668</v>
      </c>
      <c r="Q111" s="140">
        <f t="shared" si="118"/>
        <v>0.1781761766899902</v>
      </c>
      <c r="R111" s="140">
        <f t="shared" ref="R111:V111" si="119">IF(R19=0,0,R19/R$17)</f>
        <v>0.15707392331017592</v>
      </c>
      <c r="S111" s="140">
        <f t="shared" si="119"/>
        <v>0.15492304007167954</v>
      </c>
      <c r="T111" s="140">
        <f t="shared" si="119"/>
        <v>0.15371352413134945</v>
      </c>
      <c r="U111" s="140">
        <f t="shared" si="119"/>
        <v>0.14372019491404839</v>
      </c>
      <c r="V111" s="140">
        <f t="shared" si="119"/>
        <v>0.16549700178864307</v>
      </c>
      <c r="W111" s="140">
        <f t="shared" ref="W111" si="120">IF(W19=0,0,W19/W$17)</f>
        <v>0.15281723960931448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0.80112481653388901</v>
      </c>
      <c r="C112" s="140">
        <f t="shared" si="121"/>
        <v>0.80627052515868902</v>
      </c>
      <c r="D112" s="140">
        <f t="shared" si="121"/>
        <v>0.82990529954461612</v>
      </c>
      <c r="E112" s="140">
        <f t="shared" si="121"/>
        <v>0.83655230844464246</v>
      </c>
      <c r="F112" s="140">
        <f t="shared" si="121"/>
        <v>0.84386985416702853</v>
      </c>
      <c r="G112" s="140">
        <f t="shared" si="121"/>
        <v>0.84637766894079636</v>
      </c>
      <c r="H112" s="140">
        <f t="shared" si="121"/>
        <v>0.84070235697821305</v>
      </c>
      <c r="I112" s="140">
        <f t="shared" si="121"/>
        <v>0.84445030604432159</v>
      </c>
      <c r="J112" s="140">
        <f t="shared" si="121"/>
        <v>0.83305266904280917</v>
      </c>
      <c r="K112" s="140">
        <f t="shared" si="121"/>
        <v>0.7751882419477637</v>
      </c>
      <c r="L112" s="140">
        <f t="shared" si="121"/>
        <v>0.77863426758368759</v>
      </c>
      <c r="M112" s="140">
        <f t="shared" si="121"/>
        <v>0.76570031208680334</v>
      </c>
      <c r="N112" s="140">
        <f t="shared" si="121"/>
        <v>0.7611306532932367</v>
      </c>
      <c r="O112" s="140">
        <f t="shared" si="121"/>
        <v>0.75505595389691493</v>
      </c>
      <c r="P112" s="140">
        <f t="shared" si="121"/>
        <v>0.76774951996777363</v>
      </c>
      <c r="Q112" s="140">
        <f t="shared" si="121"/>
        <v>0.7795663479797964</v>
      </c>
      <c r="R112" s="140">
        <f t="shared" ref="R112:V112" si="122">IF(R20=0,0,R20/R$17)</f>
        <v>0.80611340640684626</v>
      </c>
      <c r="S112" s="140">
        <f t="shared" si="122"/>
        <v>0.80349445191976498</v>
      </c>
      <c r="T112" s="140">
        <f t="shared" si="122"/>
        <v>0.80646009105899619</v>
      </c>
      <c r="U112" s="140">
        <f t="shared" si="122"/>
        <v>0.81982558991157251</v>
      </c>
      <c r="V112" s="140">
        <f t="shared" si="122"/>
        <v>0.79444220079637362</v>
      </c>
      <c r="W112" s="140">
        <f t="shared" ref="W112" si="123">IF(W20=0,0,W20/W$17)</f>
        <v>0.80807976649893265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4.1343964359624272E-2</v>
      </c>
      <c r="C113" s="124">
        <f t="shared" si="124"/>
        <v>4.0069095422564247E-2</v>
      </c>
      <c r="D113" s="124">
        <f t="shared" si="124"/>
        <v>2.9299475409598673E-2</v>
      </c>
      <c r="E113" s="124">
        <f t="shared" si="124"/>
        <v>2.5048623861932719E-2</v>
      </c>
      <c r="F113" s="124">
        <f t="shared" si="124"/>
        <v>2.2764217869788723E-2</v>
      </c>
      <c r="G113" s="124">
        <f t="shared" si="124"/>
        <v>1.6425971353778997E-2</v>
      </c>
      <c r="H113" s="124">
        <f t="shared" si="124"/>
        <v>1.1107980225447013E-2</v>
      </c>
      <c r="I113" s="124">
        <f t="shared" si="124"/>
        <v>6.7048856134774267E-3</v>
      </c>
      <c r="J113" s="124">
        <f t="shared" si="124"/>
        <v>5.7792415732559992E-3</v>
      </c>
      <c r="K113" s="124">
        <f t="shared" si="124"/>
        <v>6.2398823687342718E-3</v>
      </c>
      <c r="L113" s="124">
        <f t="shared" si="124"/>
        <v>7.4187705801781979E-3</v>
      </c>
      <c r="M113" s="124">
        <f t="shared" si="124"/>
        <v>8.9028948847708136E-3</v>
      </c>
      <c r="N113" s="124">
        <f t="shared" si="124"/>
        <v>7.8555282798890118E-3</v>
      </c>
      <c r="O113" s="124">
        <f t="shared" si="124"/>
        <v>8.7390856781759518E-3</v>
      </c>
      <c r="P113" s="124">
        <f t="shared" si="124"/>
        <v>8.5196111346850043E-3</v>
      </c>
      <c r="Q113" s="124">
        <f t="shared" si="124"/>
        <v>8.1176352570573283E-3</v>
      </c>
      <c r="R113" s="124">
        <f t="shared" ref="R113:V113" si="125">IF(R21=0,0,R21/R$17)</f>
        <v>7.6885035005906785E-3</v>
      </c>
      <c r="S113" s="124">
        <f t="shared" si="125"/>
        <v>7.5723584175224736E-3</v>
      </c>
      <c r="T113" s="124">
        <f t="shared" si="125"/>
        <v>6.6280310374227224E-3</v>
      </c>
      <c r="U113" s="124">
        <f t="shared" si="125"/>
        <v>5.0771927123372806E-3</v>
      </c>
      <c r="V113" s="124">
        <f t="shared" si="125"/>
        <v>6.0952537956383253E-3</v>
      </c>
      <c r="W113" s="124">
        <f t="shared" ref="W113" si="126">IF(W21=0,0,W21/W$17)</f>
        <v>5.2143790242372128E-3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5.1920516438823351E-3</v>
      </c>
      <c r="C114" s="124">
        <f t="shared" si="127"/>
        <v>4.9073515823801908E-3</v>
      </c>
      <c r="D114" s="124">
        <f t="shared" si="127"/>
        <v>3.8871968878904433E-3</v>
      </c>
      <c r="E114" s="124">
        <f t="shared" si="127"/>
        <v>3.7121913433817086E-3</v>
      </c>
      <c r="F114" s="124">
        <f t="shared" si="127"/>
        <v>5.2129823051550823E-3</v>
      </c>
      <c r="G114" s="124">
        <f t="shared" si="127"/>
        <v>5.6101569765862154E-3</v>
      </c>
      <c r="H114" s="124">
        <f t="shared" si="127"/>
        <v>7.8564332533000627E-3</v>
      </c>
      <c r="I114" s="124">
        <f t="shared" si="127"/>
        <v>7.7749582306000133E-3</v>
      </c>
      <c r="J114" s="124">
        <f t="shared" si="127"/>
        <v>7.7443652243277582E-3</v>
      </c>
      <c r="K114" s="124">
        <f t="shared" si="127"/>
        <v>8.8257578611368858E-3</v>
      </c>
      <c r="L114" s="124">
        <f t="shared" si="127"/>
        <v>1.128869225072114E-2</v>
      </c>
      <c r="M114" s="124">
        <f t="shared" si="127"/>
        <v>1.1009238188660023E-2</v>
      </c>
      <c r="N114" s="124">
        <f t="shared" si="127"/>
        <v>1.4423096711752461E-2</v>
      </c>
      <c r="O114" s="124">
        <f t="shared" si="127"/>
        <v>1.5406247455408343E-2</v>
      </c>
      <c r="P114" s="124">
        <f t="shared" si="127"/>
        <v>1.7562382930840822E-2</v>
      </c>
      <c r="Q114" s="124">
        <f t="shared" si="127"/>
        <v>2.025699260957604E-2</v>
      </c>
      <c r="R114" s="124">
        <f t="shared" ref="R114:V114" si="128">IF(R22=0,0,R22/R$17)</f>
        <v>1.8434254212278869E-2</v>
      </c>
      <c r="S114" s="124">
        <f t="shared" si="128"/>
        <v>2.4280956325447557E-2</v>
      </c>
      <c r="T114" s="124">
        <f t="shared" si="128"/>
        <v>2.0868056347118878E-2</v>
      </c>
      <c r="U114" s="124">
        <f t="shared" si="128"/>
        <v>1.7350925011382697E-2</v>
      </c>
      <c r="V114" s="124">
        <f t="shared" si="128"/>
        <v>1.7364708065451422E-2</v>
      </c>
      <c r="W114" s="124">
        <f t="shared" ref="W114" si="129">IF(W22=0,0,W22/W$17)</f>
        <v>1.7240592465704571E-2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1.0688003023771872E-4</v>
      </c>
      <c r="C115" s="140">
        <f t="shared" si="130"/>
        <v>9.6749312913059686E-5</v>
      </c>
      <c r="D115" s="140">
        <f t="shared" si="130"/>
        <v>6.3872543588016953E-5</v>
      </c>
      <c r="E115" s="140">
        <f t="shared" si="130"/>
        <v>6.0686261403852741E-5</v>
      </c>
      <c r="F115" s="140">
        <f t="shared" si="130"/>
        <v>1.0119033878914504E-4</v>
      </c>
      <c r="G115" s="140">
        <f t="shared" si="130"/>
        <v>1.293908058902607E-4</v>
      </c>
      <c r="H115" s="140">
        <f t="shared" si="130"/>
        <v>1.8711385424109253E-4</v>
      </c>
      <c r="I115" s="140">
        <f t="shared" si="130"/>
        <v>1.5425605654102538E-4</v>
      </c>
      <c r="J115" s="140">
        <f t="shared" si="130"/>
        <v>1.2591420651171696E-4</v>
      </c>
      <c r="K115" s="140">
        <f t="shared" si="130"/>
        <v>1.6772734853253863E-4</v>
      </c>
      <c r="L115" s="140">
        <f t="shared" si="130"/>
        <v>1.6405655691647197E-4</v>
      </c>
      <c r="M115" s="140">
        <f t="shared" si="130"/>
        <v>1.166944046400669E-4</v>
      </c>
      <c r="N115" s="140">
        <f t="shared" si="130"/>
        <v>1.1313646191979848E-4</v>
      </c>
      <c r="O115" s="140">
        <f t="shared" si="130"/>
        <v>1.0875692805261916E-4</v>
      </c>
      <c r="P115" s="140">
        <f t="shared" si="130"/>
        <v>8.8192877441583244E-5</v>
      </c>
      <c r="Q115" s="140">
        <f t="shared" si="130"/>
        <v>9.2924992871758693E-5</v>
      </c>
      <c r="R115" s="140">
        <f t="shared" ref="R115:V116" si="131">IF(R23=0,0,R23/R$17)</f>
        <v>7.7885910422082047E-5</v>
      </c>
      <c r="S115" s="140">
        <f t="shared" si="131"/>
        <v>9.0602372341167594E-5</v>
      </c>
      <c r="T115" s="140">
        <f t="shared" si="131"/>
        <v>9.1384194964765691E-5</v>
      </c>
      <c r="U115" s="140">
        <f t="shared" si="131"/>
        <v>5.724175660958491E-5</v>
      </c>
      <c r="V115" s="140">
        <f t="shared" si="131"/>
        <v>6.0556958708273597E-5</v>
      </c>
      <c r="W115" s="140">
        <f t="shared" ref="W115" si="132">IF(W23=0,0,W23/W$17)</f>
        <v>9.8442071650205345E-5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1.3423304897027288E-3</v>
      </c>
      <c r="C116" s="140">
        <f t="shared" si="133"/>
        <v>1.2866582401667749E-3</v>
      </c>
      <c r="D116" s="140">
        <f t="shared" si="133"/>
        <v>7.9871271712078726E-4</v>
      </c>
      <c r="E116" s="140">
        <f t="shared" si="133"/>
        <v>7.3129244742528804E-4</v>
      </c>
      <c r="F116" s="140">
        <f t="shared" si="133"/>
        <v>6.2901180791218243E-4</v>
      </c>
      <c r="G116" s="140">
        <f t="shared" si="133"/>
        <v>1.1640040114434104E-3</v>
      </c>
      <c r="H116" s="140">
        <f t="shared" si="133"/>
        <v>1.7679142468541326E-3</v>
      </c>
      <c r="I116" s="140">
        <f t="shared" si="133"/>
        <v>1.556526510892759E-3</v>
      </c>
      <c r="J116" s="140">
        <f t="shared" si="133"/>
        <v>1.6665972457198554E-3</v>
      </c>
      <c r="K116" s="140">
        <f t="shared" si="133"/>
        <v>2.1947316626977267E-3</v>
      </c>
      <c r="L116" s="140">
        <f t="shared" si="133"/>
        <v>2.3691693393317458E-3</v>
      </c>
      <c r="M116" s="140">
        <f t="shared" si="133"/>
        <v>2.5174819279773042E-3</v>
      </c>
      <c r="N116" s="140">
        <f t="shared" si="133"/>
        <v>2.5627726930492084E-3</v>
      </c>
      <c r="O116" s="140">
        <f t="shared" si="133"/>
        <v>2.3381886484344365E-3</v>
      </c>
      <c r="P116" s="140">
        <f t="shared" si="133"/>
        <v>2.6893234320551442E-3</v>
      </c>
      <c r="Q116" s="140">
        <f t="shared" si="133"/>
        <v>2.7568443656824436E-3</v>
      </c>
      <c r="R116" s="140">
        <f t="shared" si="131"/>
        <v>2.4546083027314702E-3</v>
      </c>
      <c r="S116" s="140">
        <f t="shared" si="131"/>
        <v>2.2346315197028796E-3</v>
      </c>
      <c r="T116" s="140">
        <f t="shared" si="131"/>
        <v>2.398850837294862E-3</v>
      </c>
      <c r="U116" s="140">
        <f t="shared" si="131"/>
        <v>2.1891082690773415E-3</v>
      </c>
      <c r="V116" s="140">
        <f t="shared" si="131"/>
        <v>2.713526396691702E-3</v>
      </c>
      <c r="W116" s="140">
        <f t="shared" ref="W116" si="134">IF(W24=0,0,W24/W$17)</f>
        <v>2.8332823646478309E-3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3.7428411239418878E-3</v>
      </c>
      <c r="C117" s="140">
        <f t="shared" si="135"/>
        <v>3.5239440293003566E-3</v>
      </c>
      <c r="D117" s="140">
        <f t="shared" si="135"/>
        <v>3.0246116271816395E-3</v>
      </c>
      <c r="E117" s="140">
        <f t="shared" si="135"/>
        <v>2.9202126345525678E-3</v>
      </c>
      <c r="F117" s="140">
        <f t="shared" si="135"/>
        <v>4.482780158453754E-3</v>
      </c>
      <c r="G117" s="140">
        <f t="shared" si="135"/>
        <v>4.3167621592525443E-3</v>
      </c>
      <c r="H117" s="140">
        <f t="shared" si="135"/>
        <v>5.9014051522048383E-3</v>
      </c>
      <c r="I117" s="140">
        <f t="shared" si="135"/>
        <v>6.0641756631662292E-3</v>
      </c>
      <c r="J117" s="140">
        <f t="shared" si="135"/>
        <v>5.9518537720961865E-3</v>
      </c>
      <c r="K117" s="140">
        <f t="shared" si="135"/>
        <v>6.4632988499066218E-3</v>
      </c>
      <c r="L117" s="140">
        <f t="shared" si="135"/>
        <v>8.7554663544729214E-3</v>
      </c>
      <c r="M117" s="140">
        <f t="shared" si="135"/>
        <v>8.3750618560426496E-3</v>
      </c>
      <c r="N117" s="140">
        <f t="shared" si="135"/>
        <v>1.1747187556783454E-2</v>
      </c>
      <c r="O117" s="140">
        <f t="shared" si="135"/>
        <v>1.2959301878921288E-2</v>
      </c>
      <c r="P117" s="140">
        <f t="shared" si="135"/>
        <v>1.4784866621344091E-2</v>
      </c>
      <c r="Q117" s="140">
        <f t="shared" si="135"/>
        <v>1.7407223251021838E-2</v>
      </c>
      <c r="R117" s="140">
        <f t="shared" ref="R117:V117" si="136">IF(R25=0,0,R25/R$17)</f>
        <v>1.5901759999125315E-2</v>
      </c>
      <c r="S117" s="140">
        <f t="shared" si="136"/>
        <v>2.1955722433403508E-2</v>
      </c>
      <c r="T117" s="140">
        <f t="shared" si="136"/>
        <v>1.8377821314859249E-2</v>
      </c>
      <c r="U117" s="140">
        <f t="shared" si="136"/>
        <v>1.5104574985695769E-2</v>
      </c>
      <c r="V117" s="140">
        <f t="shared" si="136"/>
        <v>1.4590624710051446E-2</v>
      </c>
      <c r="W117" s="140">
        <f t="shared" ref="W117" si="137">IF(W25=0,0,W25/W$17)</f>
        <v>1.4308868029406535E-2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1.6175426088634343E-2</v>
      </c>
      <c r="C118" s="124">
        <f t="shared" si="138"/>
        <v>1.2964837274342019E-2</v>
      </c>
      <c r="D118" s="124">
        <f t="shared" si="138"/>
        <v>8.0438752278267668E-3</v>
      </c>
      <c r="E118" s="124">
        <f t="shared" si="138"/>
        <v>8.2173332240128329E-3</v>
      </c>
      <c r="F118" s="124">
        <f t="shared" si="138"/>
        <v>6.2684326249465849E-3</v>
      </c>
      <c r="G118" s="124">
        <f t="shared" si="138"/>
        <v>8.0118623972772213E-3</v>
      </c>
      <c r="H118" s="124">
        <f t="shared" si="138"/>
        <v>7.947786943942034E-3</v>
      </c>
      <c r="I118" s="124">
        <f t="shared" si="138"/>
        <v>6.8945974932386094E-3</v>
      </c>
      <c r="J118" s="124">
        <f t="shared" si="138"/>
        <v>7.8870936915327768E-3</v>
      </c>
      <c r="K118" s="124">
        <f t="shared" si="138"/>
        <v>1.1804909611412015E-2</v>
      </c>
      <c r="L118" s="124">
        <f t="shared" si="138"/>
        <v>1.0864708875860317E-2</v>
      </c>
      <c r="M118" s="124">
        <f t="shared" si="138"/>
        <v>1.6876836280422112E-2</v>
      </c>
      <c r="N118" s="124">
        <f t="shared" si="138"/>
        <v>2.5239985012256577E-2</v>
      </c>
      <c r="O118" s="124">
        <f t="shared" si="138"/>
        <v>2.0243253374363862E-2</v>
      </c>
      <c r="P118" s="124">
        <f t="shared" si="138"/>
        <v>1.7395597603133882E-2</v>
      </c>
      <c r="Q118" s="124">
        <f t="shared" si="138"/>
        <v>1.3882847463579918E-2</v>
      </c>
      <c r="R118" s="124">
        <f t="shared" ref="R118:V118" si="139">IF(R26=0,0,R26/R$17)</f>
        <v>1.0689912570108394E-2</v>
      </c>
      <c r="S118" s="124">
        <f t="shared" si="139"/>
        <v>9.7291932655853997E-3</v>
      </c>
      <c r="T118" s="124">
        <f t="shared" si="139"/>
        <v>1.2330297425112838E-2</v>
      </c>
      <c r="U118" s="124">
        <f t="shared" si="139"/>
        <v>1.4026097450658982E-2</v>
      </c>
      <c r="V118" s="124">
        <f t="shared" si="139"/>
        <v>1.6600835553893658E-2</v>
      </c>
      <c r="W118" s="124">
        <f t="shared" ref="W118" si="140">IF(W26=0,0,W26/W$17)</f>
        <v>1.6648022401811069E-2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1.6175426088634343E-2</v>
      </c>
      <c r="C119" s="140">
        <f t="shared" si="141"/>
        <v>1.2964837274342019E-2</v>
      </c>
      <c r="D119" s="140">
        <f t="shared" si="141"/>
        <v>8.0438752278267668E-3</v>
      </c>
      <c r="E119" s="140">
        <f t="shared" si="141"/>
        <v>8.2173332240128329E-3</v>
      </c>
      <c r="F119" s="140">
        <f t="shared" si="141"/>
        <v>6.2684326249465849E-3</v>
      </c>
      <c r="G119" s="140">
        <f t="shared" si="141"/>
        <v>8.0118623972772213E-3</v>
      </c>
      <c r="H119" s="140">
        <f t="shared" si="141"/>
        <v>7.947786943942034E-3</v>
      </c>
      <c r="I119" s="140">
        <f t="shared" si="141"/>
        <v>6.8945974932386094E-3</v>
      </c>
      <c r="J119" s="140">
        <f t="shared" si="141"/>
        <v>7.8870936915327768E-3</v>
      </c>
      <c r="K119" s="140">
        <f t="shared" si="141"/>
        <v>1.1804909611412015E-2</v>
      </c>
      <c r="L119" s="140">
        <f t="shared" si="141"/>
        <v>1.0864708875860317E-2</v>
      </c>
      <c r="M119" s="140">
        <f t="shared" si="141"/>
        <v>1.6876836280422112E-2</v>
      </c>
      <c r="N119" s="140">
        <f t="shared" si="141"/>
        <v>2.5239985012256577E-2</v>
      </c>
      <c r="O119" s="140">
        <f t="shared" si="141"/>
        <v>2.0243253374363862E-2</v>
      </c>
      <c r="P119" s="140">
        <f t="shared" si="141"/>
        <v>1.7395597603133882E-2</v>
      </c>
      <c r="Q119" s="140">
        <f t="shared" si="141"/>
        <v>1.3882847463579918E-2</v>
      </c>
      <c r="R119" s="140">
        <f t="shared" ref="R119:V119" si="142">IF(R27=0,0,R27/R$17)</f>
        <v>1.0689912570108394E-2</v>
      </c>
      <c r="S119" s="140">
        <f t="shared" si="142"/>
        <v>9.7291932655853997E-3</v>
      </c>
      <c r="T119" s="140">
        <f t="shared" si="142"/>
        <v>1.2330297425112838E-2</v>
      </c>
      <c r="U119" s="140">
        <f t="shared" si="142"/>
        <v>1.4026097450658982E-2</v>
      </c>
      <c r="V119" s="140">
        <f t="shared" si="142"/>
        <v>1.6600835553893658E-2</v>
      </c>
      <c r="W119" s="140">
        <f t="shared" ref="W119" si="143">IF(W27=0,0,W27/W$17)</f>
        <v>1.6648022401811069E-2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0.24405279867533158</v>
      </c>
      <c r="C122" s="140">
        <f>IF(C30=0,0,C30/C$29)</f>
        <v>0.23484351888428887</v>
      </c>
      <c r="D122" s="140">
        <f t="shared" ref="D122:W122" si="150">IF(D30=0,0,D30/D$29)</f>
        <v>0.22803025480796044</v>
      </c>
      <c r="E122" s="140">
        <f t="shared" si="150"/>
        <v>0.24773864898007583</v>
      </c>
      <c r="F122" s="140">
        <f t="shared" si="150"/>
        <v>0.27187270712757072</v>
      </c>
      <c r="G122" s="140">
        <f t="shared" si="150"/>
        <v>0.26569384685353975</v>
      </c>
      <c r="H122" s="140">
        <f t="shared" si="150"/>
        <v>0.50929170140919899</v>
      </c>
      <c r="I122" s="140">
        <f t="shared" si="150"/>
        <v>0.29802255524508164</v>
      </c>
      <c r="J122" s="140">
        <f t="shared" si="150"/>
        <v>0.29226973736989398</v>
      </c>
      <c r="K122" s="140">
        <f t="shared" si="150"/>
        <v>0.35290919333870124</v>
      </c>
      <c r="L122" s="140">
        <f t="shared" si="150"/>
        <v>0.34006287881152086</v>
      </c>
      <c r="M122" s="140">
        <f t="shared" si="150"/>
        <v>0.2979227571464359</v>
      </c>
      <c r="N122" s="140">
        <f t="shared" si="150"/>
        <v>0.28526796703180385</v>
      </c>
      <c r="O122" s="140">
        <f t="shared" si="150"/>
        <v>0.32539145918326706</v>
      </c>
      <c r="P122" s="140">
        <f t="shared" si="150"/>
        <v>0.2914440567824606</v>
      </c>
      <c r="Q122" s="140">
        <f t="shared" si="150"/>
        <v>0.29820537335590697</v>
      </c>
      <c r="R122" s="140">
        <f t="shared" si="150"/>
        <v>0.31136506041792811</v>
      </c>
      <c r="S122" s="140">
        <f t="shared" si="150"/>
        <v>0.3043055159033265</v>
      </c>
      <c r="T122" s="140">
        <f t="shared" si="150"/>
        <v>0.32186817274542762</v>
      </c>
      <c r="U122" s="140">
        <f t="shared" si="150"/>
        <v>0.33129239137503591</v>
      </c>
      <c r="V122" s="140">
        <f t="shared" si="150"/>
        <v>0.31395833384395216</v>
      </c>
      <c r="W122" s="140">
        <f t="shared" si="150"/>
        <v>0.32535098655322747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0.75594720132466842</v>
      </c>
      <c r="C123" s="127">
        <f>IF(C31=0,0,C31/C$29)</f>
        <v>0.76515648111571111</v>
      </c>
      <c r="D123" s="127">
        <f t="shared" ref="D123:W123" si="152">IF(D31=0,0,D31/D$29)</f>
        <v>0.77196974519203954</v>
      </c>
      <c r="E123" s="127">
        <f t="shared" si="152"/>
        <v>0.7522613510199242</v>
      </c>
      <c r="F123" s="127">
        <f t="shared" si="152"/>
        <v>0.72812729287242928</v>
      </c>
      <c r="G123" s="127">
        <f t="shared" si="152"/>
        <v>0.73430615314646031</v>
      </c>
      <c r="H123" s="127">
        <f t="shared" si="152"/>
        <v>0.49070829859080101</v>
      </c>
      <c r="I123" s="127">
        <f t="shared" si="152"/>
        <v>0.7019774447549183</v>
      </c>
      <c r="J123" s="127">
        <f t="shared" si="152"/>
        <v>0.70773026263010608</v>
      </c>
      <c r="K123" s="127">
        <f t="shared" si="152"/>
        <v>0.6470908066612987</v>
      </c>
      <c r="L123" s="127">
        <f t="shared" si="152"/>
        <v>0.65993712118847914</v>
      </c>
      <c r="M123" s="127">
        <f t="shared" si="152"/>
        <v>0.70207724285356399</v>
      </c>
      <c r="N123" s="127">
        <f t="shared" si="152"/>
        <v>0.7147320329681961</v>
      </c>
      <c r="O123" s="127">
        <f t="shared" si="152"/>
        <v>0.67460854081673294</v>
      </c>
      <c r="P123" s="127">
        <f t="shared" si="152"/>
        <v>0.70855594321753945</v>
      </c>
      <c r="Q123" s="127">
        <f t="shared" si="152"/>
        <v>0.70179462664409298</v>
      </c>
      <c r="R123" s="127">
        <f t="shared" si="152"/>
        <v>0.68863493958207189</v>
      </c>
      <c r="S123" s="127">
        <f t="shared" si="152"/>
        <v>0.69569448409667345</v>
      </c>
      <c r="T123" s="127">
        <f t="shared" si="152"/>
        <v>0.67813182725457233</v>
      </c>
      <c r="U123" s="127">
        <f t="shared" si="152"/>
        <v>0.66870760862496414</v>
      </c>
      <c r="V123" s="127">
        <f t="shared" si="152"/>
        <v>0.68604166615604789</v>
      </c>
      <c r="W123" s="127">
        <f t="shared" si="152"/>
        <v>0.67464901344677242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0.76202394119216288</v>
      </c>
      <c r="C127" s="139">
        <f t="shared" ref="C127:W127" si="155">IF(C35=0,0,C35/C$34)</f>
        <v>0.73543687952663384</v>
      </c>
      <c r="D127" s="139">
        <f t="shared" si="155"/>
        <v>0.72654008132497139</v>
      </c>
      <c r="E127" s="139">
        <f t="shared" si="155"/>
        <v>0.73127375354991264</v>
      </c>
      <c r="F127" s="139">
        <f t="shared" si="155"/>
        <v>0.74906311559010197</v>
      </c>
      <c r="G127" s="139">
        <f t="shared" si="155"/>
        <v>0.73588671798429672</v>
      </c>
      <c r="H127" s="139">
        <f t="shared" si="155"/>
        <v>0.75065309373845091</v>
      </c>
      <c r="I127" s="139">
        <f t="shared" si="155"/>
        <v>0.71984344742122697</v>
      </c>
      <c r="J127" s="139">
        <f t="shared" si="155"/>
        <v>0.73119958938788243</v>
      </c>
      <c r="K127" s="139">
        <f t="shared" si="155"/>
        <v>0.80928259964996652</v>
      </c>
      <c r="L127" s="139">
        <f t="shared" si="155"/>
        <v>0.76463957355362155</v>
      </c>
      <c r="M127" s="139">
        <f t="shared" si="155"/>
        <v>0.77237632122408939</v>
      </c>
      <c r="N127" s="139">
        <f t="shared" si="155"/>
        <v>0.79823555759031517</v>
      </c>
      <c r="O127" s="139">
        <f t="shared" si="155"/>
        <v>0.78651185499796339</v>
      </c>
      <c r="P127" s="139">
        <f t="shared" si="155"/>
        <v>0.77112744080478668</v>
      </c>
      <c r="Q127" s="139">
        <f t="shared" si="155"/>
        <v>0.75483438152174798</v>
      </c>
      <c r="R127" s="139">
        <f t="shared" si="155"/>
        <v>0.75792304126463417</v>
      </c>
      <c r="S127" s="139">
        <f t="shared" si="155"/>
        <v>0.72789209855936998</v>
      </c>
      <c r="T127" s="139">
        <f t="shared" si="155"/>
        <v>0.71209206969664229</v>
      </c>
      <c r="U127" s="139">
        <f t="shared" si="155"/>
        <v>0.70840063585616109</v>
      </c>
      <c r="V127" s="139">
        <f t="shared" si="155"/>
        <v>0.8484898671580261</v>
      </c>
      <c r="W127" s="139">
        <f t="shared" si="155"/>
        <v>0.84155137415724501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1.5957253249044743E-3</v>
      </c>
      <c r="C128" s="140">
        <f t="shared" ref="C128:W128" si="156">IF(C36=0,0,C36/C$34)</f>
        <v>1.583609952609182E-3</v>
      </c>
      <c r="D128" s="140">
        <f t="shared" si="156"/>
        <v>1.525526923745447E-3</v>
      </c>
      <c r="E128" s="140">
        <f t="shared" si="156"/>
        <v>1.6297177627249183E-3</v>
      </c>
      <c r="F128" s="140">
        <f t="shared" si="156"/>
        <v>1.5399762208700022E-3</v>
      </c>
      <c r="G128" s="140">
        <f t="shared" si="156"/>
        <v>1.7210383373173466E-3</v>
      </c>
      <c r="H128" s="140">
        <f t="shared" si="156"/>
        <v>1.5459073361676976E-3</v>
      </c>
      <c r="I128" s="140">
        <f t="shared" si="156"/>
        <v>1.4923110013192809E-3</v>
      </c>
      <c r="J128" s="140">
        <f t="shared" si="156"/>
        <v>1.6242170197279236E-3</v>
      </c>
      <c r="K128" s="140">
        <f t="shared" si="156"/>
        <v>1.6767198855652218E-3</v>
      </c>
      <c r="L128" s="140">
        <f t="shared" si="156"/>
        <v>1.4336623458019102E-3</v>
      </c>
      <c r="M128" s="140">
        <f t="shared" si="156"/>
        <v>1.3712808982770861E-3</v>
      </c>
      <c r="N128" s="140">
        <f t="shared" si="156"/>
        <v>1.2984600081324704E-3</v>
      </c>
      <c r="O128" s="140">
        <f t="shared" si="156"/>
        <v>1.2278196863733017E-3</v>
      </c>
      <c r="P128" s="140">
        <f t="shared" si="156"/>
        <v>1.3232542529374115E-3</v>
      </c>
      <c r="Q128" s="140">
        <f t="shared" si="156"/>
        <v>1.1897041349910528E-3</v>
      </c>
      <c r="R128" s="140">
        <f t="shared" si="156"/>
        <v>1.1738782287440813E-3</v>
      </c>
      <c r="S128" s="140">
        <f t="shared" si="156"/>
        <v>1.0645682016748809E-3</v>
      </c>
      <c r="T128" s="140">
        <f t="shared" si="156"/>
        <v>9.8383319218146512E-4</v>
      </c>
      <c r="U128" s="140">
        <f t="shared" si="156"/>
        <v>1.0411920271932585E-3</v>
      </c>
      <c r="V128" s="140">
        <f t="shared" si="156"/>
        <v>1.3657504475704642E-3</v>
      </c>
      <c r="W128" s="140">
        <f t="shared" si="156"/>
        <v>1.2434598985648622E-3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0.71346588955808321</v>
      </c>
      <c r="C129" s="140">
        <f t="shared" ref="C129:W129" si="157">IF(C37=0,0,C37/C$34)</f>
        <v>0.69079114631861493</v>
      </c>
      <c r="D129" s="140">
        <f t="shared" si="157"/>
        <v>0.6826192019269175</v>
      </c>
      <c r="E129" s="140">
        <f t="shared" si="157"/>
        <v>0.68539443364121377</v>
      </c>
      <c r="F129" s="140">
        <f t="shared" si="157"/>
        <v>0.70264602981023483</v>
      </c>
      <c r="G129" s="140">
        <f t="shared" si="157"/>
        <v>0.69152475480398545</v>
      </c>
      <c r="H129" s="140">
        <f t="shared" si="157"/>
        <v>0.70740454515711837</v>
      </c>
      <c r="I129" s="140">
        <f t="shared" si="157"/>
        <v>0.67588272594271293</v>
      </c>
      <c r="J129" s="140">
        <f t="shared" si="157"/>
        <v>0.68309495945722887</v>
      </c>
      <c r="K129" s="140">
        <f t="shared" si="157"/>
        <v>0.7556901305895164</v>
      </c>
      <c r="L129" s="140">
        <f t="shared" si="157"/>
        <v>0.71332322374977686</v>
      </c>
      <c r="M129" s="140">
        <f t="shared" si="157"/>
        <v>0.71997164367254085</v>
      </c>
      <c r="N129" s="140">
        <f t="shared" si="157"/>
        <v>0.74414090524138388</v>
      </c>
      <c r="O129" s="140">
        <f t="shared" si="157"/>
        <v>0.734223898670751</v>
      </c>
      <c r="P129" s="140">
        <f t="shared" si="157"/>
        <v>0.72082515557427485</v>
      </c>
      <c r="Q129" s="140">
        <f t="shared" si="157"/>
        <v>0.70540948889873567</v>
      </c>
      <c r="R129" s="140">
        <f t="shared" si="157"/>
        <v>0.70793410923664579</v>
      </c>
      <c r="S129" s="140">
        <f t="shared" si="157"/>
        <v>0.67488810115942199</v>
      </c>
      <c r="T129" s="140">
        <f t="shared" si="157"/>
        <v>0.65645239899300645</v>
      </c>
      <c r="U129" s="140">
        <f t="shared" si="157"/>
        <v>0.65174563982472167</v>
      </c>
      <c r="V129" s="140">
        <f t="shared" si="157"/>
        <v>0.7795988479829451</v>
      </c>
      <c r="W129" s="140">
        <f t="shared" si="157"/>
        <v>0.77643525609489605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4.6962326309175149E-2</v>
      </c>
      <c r="C130" s="140">
        <f t="shared" ref="C130:W130" si="158">IF(C38=0,0,C38/C$34)</f>
        <v>4.3062123255409618E-2</v>
      </c>
      <c r="D130" s="140">
        <f t="shared" si="158"/>
        <v>4.2395352474308361E-2</v>
      </c>
      <c r="E130" s="140">
        <f t="shared" si="158"/>
        <v>4.4249602145973926E-2</v>
      </c>
      <c r="F130" s="140">
        <f t="shared" si="158"/>
        <v>4.4877109558997111E-2</v>
      </c>
      <c r="G130" s="140">
        <f t="shared" si="158"/>
        <v>4.2640924842994005E-2</v>
      </c>
      <c r="H130" s="140">
        <f t="shared" si="158"/>
        <v>4.1702641245164825E-2</v>
      </c>
      <c r="I130" s="140">
        <f t="shared" si="158"/>
        <v>4.2468410477194601E-2</v>
      </c>
      <c r="J130" s="140">
        <f t="shared" si="158"/>
        <v>4.6480412910925577E-2</v>
      </c>
      <c r="K130" s="140">
        <f t="shared" si="158"/>
        <v>5.1915749174884937E-2</v>
      </c>
      <c r="L130" s="140">
        <f t="shared" si="158"/>
        <v>4.9882687458042745E-2</v>
      </c>
      <c r="M130" s="140">
        <f t="shared" si="158"/>
        <v>5.1033396653271432E-2</v>
      </c>
      <c r="N130" s="140">
        <f t="shared" si="158"/>
        <v>5.2796192340798777E-2</v>
      </c>
      <c r="O130" s="140">
        <f t="shared" si="158"/>
        <v>5.1060136640839138E-2</v>
      </c>
      <c r="P130" s="140">
        <f t="shared" si="158"/>
        <v>4.8979030977574389E-2</v>
      </c>
      <c r="Q130" s="140">
        <f t="shared" si="158"/>
        <v>4.8235188488021358E-2</v>
      </c>
      <c r="R130" s="140">
        <f t="shared" si="158"/>
        <v>4.8815053799244203E-2</v>
      </c>
      <c r="S130" s="140">
        <f t="shared" si="158"/>
        <v>5.1939429198273095E-2</v>
      </c>
      <c r="T130" s="140">
        <f t="shared" si="158"/>
        <v>5.4655837511454392E-2</v>
      </c>
      <c r="U130" s="140">
        <f t="shared" si="158"/>
        <v>5.5613804004246294E-2</v>
      </c>
      <c r="V130" s="140">
        <f t="shared" si="158"/>
        <v>6.7525268727510648E-2</v>
      </c>
      <c r="W130" s="140">
        <f t="shared" si="158"/>
        <v>6.3872658163784207E-2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1.3300704172446531E-2</v>
      </c>
      <c r="C131" s="124">
        <f t="shared" ref="C131:W131" si="159">IF(C39=0,0,C39/C$34)</f>
        <v>1.3467072122398544E-2</v>
      </c>
      <c r="D131" s="124">
        <f t="shared" si="159"/>
        <v>1.1575838535238976E-2</v>
      </c>
      <c r="E131" s="124">
        <f t="shared" si="159"/>
        <v>1.3033173319249608E-2</v>
      </c>
      <c r="F131" s="124">
        <f t="shared" si="159"/>
        <v>1.4420494601484196E-2</v>
      </c>
      <c r="G131" s="124">
        <f t="shared" si="159"/>
        <v>1.2391996962063079E-2</v>
      </c>
      <c r="H131" s="124">
        <f t="shared" si="159"/>
        <v>1.1625165653845703E-2</v>
      </c>
      <c r="I131" s="124">
        <f t="shared" si="159"/>
        <v>1.2056522522824286E-2</v>
      </c>
      <c r="J131" s="124">
        <f t="shared" si="159"/>
        <v>1.3185047896031471E-2</v>
      </c>
      <c r="K131" s="124">
        <f t="shared" si="159"/>
        <v>1.3058087228823713E-2</v>
      </c>
      <c r="L131" s="124">
        <f t="shared" si="159"/>
        <v>1.2728145897304512E-2</v>
      </c>
      <c r="M131" s="124">
        <f t="shared" si="159"/>
        <v>1.3327659660909744E-2</v>
      </c>
      <c r="N131" s="124">
        <f t="shared" si="159"/>
        <v>1.3639024038146513E-2</v>
      </c>
      <c r="O131" s="124">
        <f t="shared" si="159"/>
        <v>1.2996646557308891E-2</v>
      </c>
      <c r="P131" s="124">
        <f t="shared" si="159"/>
        <v>1.1171746369210978E-2</v>
      </c>
      <c r="Q131" s="124">
        <f t="shared" si="159"/>
        <v>1.0903768023462899E-2</v>
      </c>
      <c r="R131" s="124">
        <f t="shared" si="159"/>
        <v>1.0682702794613023E-2</v>
      </c>
      <c r="S131" s="124">
        <f t="shared" si="159"/>
        <v>1.063513790755722E-2</v>
      </c>
      <c r="T131" s="124">
        <f t="shared" si="159"/>
        <v>1.0637255715883373E-2</v>
      </c>
      <c r="U131" s="124">
        <f t="shared" si="159"/>
        <v>1.1141912519873412E-2</v>
      </c>
      <c r="V131" s="124">
        <f t="shared" si="159"/>
        <v>1.3111471922025166E-2</v>
      </c>
      <c r="W131" s="124">
        <f t="shared" si="159"/>
        <v>1.3336213405148465E-2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0</v>
      </c>
      <c r="E132" s="140">
        <f t="shared" si="160"/>
        <v>0</v>
      </c>
      <c r="F132" s="140">
        <f t="shared" si="160"/>
        <v>9.808358418013519E-5</v>
      </c>
      <c r="G132" s="140">
        <f t="shared" si="160"/>
        <v>1.9303754454020672E-4</v>
      </c>
      <c r="H132" s="140">
        <f t="shared" si="160"/>
        <v>1.7972714266501928E-4</v>
      </c>
      <c r="I132" s="140">
        <f t="shared" si="160"/>
        <v>2.5856809167974266E-4</v>
      </c>
      <c r="J132" s="140">
        <f t="shared" si="160"/>
        <v>2.0573652798211643E-4</v>
      </c>
      <c r="K132" s="140">
        <f t="shared" si="160"/>
        <v>2.3113097313395427E-4</v>
      </c>
      <c r="L132" s="140">
        <f t="shared" si="160"/>
        <v>2.257041374095975E-4</v>
      </c>
      <c r="M132" s="140">
        <f t="shared" si="160"/>
        <v>2.4446203743512366E-4</v>
      </c>
      <c r="N132" s="140">
        <f t="shared" si="160"/>
        <v>2.6340535765872298E-4</v>
      </c>
      <c r="O132" s="140">
        <f t="shared" si="160"/>
        <v>2.6168516602804618E-4</v>
      </c>
      <c r="P132" s="140">
        <f t="shared" si="160"/>
        <v>2.4798689754278278E-4</v>
      </c>
      <c r="Q132" s="140">
        <f t="shared" si="160"/>
        <v>2.5161302051942262E-4</v>
      </c>
      <c r="R132" s="140">
        <f t="shared" si="160"/>
        <v>2.3712658639104812E-4</v>
      </c>
      <c r="S132" s="140">
        <f t="shared" si="160"/>
        <v>2.247175288678079E-4</v>
      </c>
      <c r="T132" s="140">
        <f t="shared" si="160"/>
        <v>3.3424534673655613E-4</v>
      </c>
      <c r="U132" s="140">
        <f t="shared" si="160"/>
        <v>3.1809946971298283E-4</v>
      </c>
      <c r="V132" s="140">
        <f t="shared" si="160"/>
        <v>4.0550728038089216E-4</v>
      </c>
      <c r="W132" s="140">
        <f t="shared" si="160"/>
        <v>3.8694029684293549E-4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1.3300704172446531E-2</v>
      </c>
      <c r="C133" s="140">
        <f t="shared" ref="C133:W133" si="161">IF(C41=0,0,C41/C$34)</f>
        <v>1.3467072122398544E-2</v>
      </c>
      <c r="D133" s="140">
        <f t="shared" si="161"/>
        <v>1.1575838535238976E-2</v>
      </c>
      <c r="E133" s="140">
        <f t="shared" si="161"/>
        <v>1.3033173319249608E-2</v>
      </c>
      <c r="F133" s="140">
        <f t="shared" si="161"/>
        <v>1.4322411017304059E-2</v>
      </c>
      <c r="G133" s="140">
        <f t="shared" si="161"/>
        <v>1.2198959417522873E-2</v>
      </c>
      <c r="H133" s="140">
        <f t="shared" si="161"/>
        <v>1.1445438511180683E-2</v>
      </c>
      <c r="I133" s="140">
        <f t="shared" si="161"/>
        <v>1.1797954431144543E-2</v>
      </c>
      <c r="J133" s="140">
        <f t="shared" si="161"/>
        <v>1.2979311368049355E-2</v>
      </c>
      <c r="K133" s="140">
        <f t="shared" si="161"/>
        <v>1.282695625568976E-2</v>
      </c>
      <c r="L133" s="140">
        <f t="shared" si="161"/>
        <v>1.2502441759894912E-2</v>
      </c>
      <c r="M133" s="140">
        <f t="shared" si="161"/>
        <v>1.308319762347462E-2</v>
      </c>
      <c r="N133" s="140">
        <f t="shared" si="161"/>
        <v>1.337561868048779E-2</v>
      </c>
      <c r="O133" s="140">
        <f t="shared" si="161"/>
        <v>1.2734961391280844E-2</v>
      </c>
      <c r="P133" s="140">
        <f t="shared" si="161"/>
        <v>1.0923759471668196E-2</v>
      </c>
      <c r="Q133" s="140">
        <f t="shared" si="161"/>
        <v>1.0652155002943477E-2</v>
      </c>
      <c r="R133" s="140">
        <f t="shared" si="161"/>
        <v>1.0445576208221976E-2</v>
      </c>
      <c r="S133" s="140">
        <f t="shared" si="161"/>
        <v>1.0410420378689413E-2</v>
      </c>
      <c r="T133" s="140">
        <f t="shared" si="161"/>
        <v>1.0303010369146817E-2</v>
      </c>
      <c r="U133" s="140">
        <f t="shared" si="161"/>
        <v>1.0823813050160429E-2</v>
      </c>
      <c r="V133" s="140">
        <f t="shared" si="161"/>
        <v>1.2705964641644276E-2</v>
      </c>
      <c r="W133" s="140">
        <f t="shared" si="161"/>
        <v>1.294927310830553E-2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0.22467535463539071</v>
      </c>
      <c r="C135" s="124">
        <f t="shared" ref="C135:W135" si="163">IF(C43=0,0,C43/C$34)</f>
        <v>0.25109604835096755</v>
      </c>
      <c r="D135" s="124">
        <f t="shared" si="163"/>
        <v>0.26188408013978975</v>
      </c>
      <c r="E135" s="124">
        <f t="shared" si="163"/>
        <v>0.25569307313083778</v>
      </c>
      <c r="F135" s="124">
        <f t="shared" si="163"/>
        <v>0.23651638980841386</v>
      </c>
      <c r="G135" s="124">
        <f t="shared" si="163"/>
        <v>0.25172128505364011</v>
      </c>
      <c r="H135" s="124">
        <f t="shared" si="163"/>
        <v>0.23772174060770343</v>
      </c>
      <c r="I135" s="124">
        <f t="shared" si="163"/>
        <v>0.26810003005594879</v>
      </c>
      <c r="J135" s="124">
        <f t="shared" si="163"/>
        <v>0.25561536271608615</v>
      </c>
      <c r="K135" s="124">
        <f t="shared" si="163"/>
        <v>0.17765931312120972</v>
      </c>
      <c r="L135" s="124">
        <f t="shared" si="163"/>
        <v>0.22263228054907391</v>
      </c>
      <c r="M135" s="124">
        <f t="shared" si="163"/>
        <v>0.21429601911500093</v>
      </c>
      <c r="N135" s="124">
        <f t="shared" si="163"/>
        <v>0.1881254183715384</v>
      </c>
      <c r="O135" s="124">
        <f t="shared" si="163"/>
        <v>0.20049149844472777</v>
      </c>
      <c r="P135" s="124">
        <f t="shared" si="163"/>
        <v>0.21770081282600229</v>
      </c>
      <c r="Q135" s="124">
        <f t="shared" si="163"/>
        <v>0.23426185045478903</v>
      </c>
      <c r="R135" s="124">
        <f t="shared" si="163"/>
        <v>0.23139425594075291</v>
      </c>
      <c r="S135" s="124">
        <f t="shared" si="163"/>
        <v>0.26147276353307275</v>
      </c>
      <c r="T135" s="124">
        <f t="shared" si="163"/>
        <v>0.27727067458747434</v>
      </c>
      <c r="U135" s="124">
        <f t="shared" si="163"/>
        <v>0.28045745162396546</v>
      </c>
      <c r="V135" s="124">
        <f t="shared" si="163"/>
        <v>0.13839866091994876</v>
      </c>
      <c r="W135" s="124">
        <f t="shared" si="163"/>
        <v>0.14511241243760642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1.1381852404215386E-2</v>
      </c>
      <c r="C136" s="140">
        <f t="shared" ref="C136:W136" si="164">IF(C44=0,0,C44/C$34)</f>
        <v>1.2651228168495177E-2</v>
      </c>
      <c r="D136" s="140">
        <f t="shared" si="164"/>
        <v>1.3200293212723722E-2</v>
      </c>
      <c r="E136" s="140">
        <f t="shared" si="164"/>
        <v>1.256823441972596E-2</v>
      </c>
      <c r="F136" s="140">
        <f t="shared" si="164"/>
        <v>1.1683586404267081E-2</v>
      </c>
      <c r="G136" s="140">
        <f t="shared" si="164"/>
        <v>1.334083089261252E-2</v>
      </c>
      <c r="H136" s="140">
        <f t="shared" si="164"/>
        <v>1.5646675596342537E-2</v>
      </c>
      <c r="I136" s="140">
        <f t="shared" si="164"/>
        <v>1.3389034733709287E-2</v>
      </c>
      <c r="J136" s="140">
        <f t="shared" si="164"/>
        <v>1.0903598803639385E-2</v>
      </c>
      <c r="K136" s="140">
        <f t="shared" si="164"/>
        <v>9.2073070634149691E-3</v>
      </c>
      <c r="L136" s="140">
        <f t="shared" si="164"/>
        <v>7.7777805971310935E-3</v>
      </c>
      <c r="M136" s="140">
        <f t="shared" si="164"/>
        <v>2.2930524122646472E-3</v>
      </c>
      <c r="N136" s="140">
        <f t="shared" si="164"/>
        <v>2.211377272811248E-3</v>
      </c>
      <c r="O136" s="140">
        <f t="shared" si="164"/>
        <v>2.1788025420132369E-3</v>
      </c>
      <c r="P136" s="140">
        <f t="shared" si="164"/>
        <v>2.1479655020638965E-3</v>
      </c>
      <c r="Q136" s="140">
        <f t="shared" si="164"/>
        <v>2.0597389981288038E-3</v>
      </c>
      <c r="R136" s="140">
        <f t="shared" si="164"/>
        <v>1.0211084455487749E-3</v>
      </c>
      <c r="S136" s="140">
        <f t="shared" si="164"/>
        <v>1.3143681632320882E-3</v>
      </c>
      <c r="T136" s="140">
        <f t="shared" si="164"/>
        <v>1.2340077118587604E-3</v>
      </c>
      <c r="U136" s="140">
        <f t="shared" si="164"/>
        <v>1.401395586736901E-3</v>
      </c>
      <c r="V136" s="140">
        <f t="shared" si="164"/>
        <v>1.5496234415893957E-3</v>
      </c>
      <c r="W136" s="140">
        <f t="shared" si="164"/>
        <v>1.9024214420209221E-3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0.13119559796889746</v>
      </c>
      <c r="C137" s="140">
        <f t="shared" ref="C137:W137" si="165">IF(C45=0,0,C45/C$34)</f>
        <v>0.15148711051504352</v>
      </c>
      <c r="D137" s="140">
        <f t="shared" si="165"/>
        <v>0.16078220444314401</v>
      </c>
      <c r="E137" s="140">
        <f t="shared" si="165"/>
        <v>0.16660177057439696</v>
      </c>
      <c r="F137" s="140">
        <f t="shared" si="165"/>
        <v>0.15400725899509571</v>
      </c>
      <c r="G137" s="140">
        <f t="shared" si="165"/>
        <v>0.16425064431285613</v>
      </c>
      <c r="H137" s="140">
        <f t="shared" si="165"/>
        <v>0.1528624173062009</v>
      </c>
      <c r="I137" s="140">
        <f t="shared" si="165"/>
        <v>0.176421294233435</v>
      </c>
      <c r="J137" s="140">
        <f t="shared" si="165"/>
        <v>0.1696332156024751</v>
      </c>
      <c r="K137" s="140">
        <f t="shared" si="165"/>
        <v>0.1136257372671207</v>
      </c>
      <c r="L137" s="140">
        <f t="shared" si="165"/>
        <v>0.14227723679115348</v>
      </c>
      <c r="M137" s="140">
        <f t="shared" si="165"/>
        <v>0.14022961262687281</v>
      </c>
      <c r="N137" s="140">
        <f t="shared" si="165"/>
        <v>0.12191461082838027</v>
      </c>
      <c r="O137" s="140">
        <f t="shared" si="165"/>
        <v>0.1298525891377143</v>
      </c>
      <c r="P137" s="140">
        <f t="shared" si="165"/>
        <v>0.14227584830955819</v>
      </c>
      <c r="Q137" s="140">
        <f t="shared" si="165"/>
        <v>0.15434602959184404</v>
      </c>
      <c r="R137" s="140">
        <f t="shared" si="165"/>
        <v>0.15671887025928438</v>
      </c>
      <c r="S137" s="140">
        <f t="shared" si="165"/>
        <v>0.17861051117095467</v>
      </c>
      <c r="T137" s="140">
        <f t="shared" si="165"/>
        <v>0.18947481615755921</v>
      </c>
      <c r="U137" s="140">
        <f t="shared" si="165"/>
        <v>0.18956273304858726</v>
      </c>
      <c r="V137" s="140">
        <f t="shared" si="165"/>
        <v>8.0798084498465012E-2</v>
      </c>
      <c r="W137" s="140">
        <f t="shared" si="165"/>
        <v>8.8380705259446843E-2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8.2097904262277838E-2</v>
      </c>
      <c r="C138" s="140">
        <f t="shared" ref="C138:W138" si="166">IF(C46=0,0,C46/C$34)</f>
        <v>8.6957709667428884E-2</v>
      </c>
      <c r="D138" s="140">
        <f t="shared" si="166"/>
        <v>8.7901582483922047E-2</v>
      </c>
      <c r="E138" s="140">
        <f t="shared" si="166"/>
        <v>7.6523068136714889E-2</v>
      </c>
      <c r="F138" s="140">
        <f t="shared" si="166"/>
        <v>7.0825544409051075E-2</v>
      </c>
      <c r="G138" s="140">
        <f t="shared" si="166"/>
        <v>7.4129809848171468E-2</v>
      </c>
      <c r="H138" s="140">
        <f t="shared" si="166"/>
        <v>6.9212647705160016E-2</v>
      </c>
      <c r="I138" s="140">
        <f t="shared" si="166"/>
        <v>7.8289701088804522E-2</v>
      </c>
      <c r="J138" s="140">
        <f t="shared" si="166"/>
        <v>7.5078548309971654E-2</v>
      </c>
      <c r="K138" s="140">
        <f t="shared" si="166"/>
        <v>5.4826268790674038E-2</v>
      </c>
      <c r="L138" s="140">
        <f t="shared" si="166"/>
        <v>7.2577263160789329E-2</v>
      </c>
      <c r="M138" s="140">
        <f t="shared" si="166"/>
        <v>7.1773354075863452E-2</v>
      </c>
      <c r="N138" s="140">
        <f t="shared" si="166"/>
        <v>6.3999430270346866E-2</v>
      </c>
      <c r="O138" s="140">
        <f t="shared" si="166"/>
        <v>6.8460106765000223E-2</v>
      </c>
      <c r="P138" s="140">
        <f t="shared" si="166"/>
        <v>7.3276999014380201E-2</v>
      </c>
      <c r="Q138" s="140">
        <f t="shared" si="166"/>
        <v>7.7856081864816212E-2</v>
      </c>
      <c r="R138" s="140">
        <f t="shared" si="166"/>
        <v>7.3654277235919746E-2</v>
      </c>
      <c r="S138" s="140">
        <f t="shared" si="166"/>
        <v>8.1547884198886034E-2</v>
      </c>
      <c r="T138" s="140">
        <f t="shared" si="166"/>
        <v>8.6561850718056402E-2</v>
      </c>
      <c r="U138" s="140">
        <f t="shared" si="166"/>
        <v>8.949332298864128E-2</v>
      </c>
      <c r="V138" s="140">
        <f t="shared" si="166"/>
        <v>5.6050952979894382E-2</v>
      </c>
      <c r="W138" s="140">
        <f t="shared" si="166"/>
        <v>5.4829285736138642E-2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0.95143536672436801</v>
      </c>
      <c r="C140" s="139">
        <f t="shared" ref="C140:W140" si="169">IF(C48=0,0,C48/C$47)</f>
        <v>0.95269772783481665</v>
      </c>
      <c r="D140" s="139">
        <f t="shared" si="169"/>
        <v>0.95340519008772628</v>
      </c>
      <c r="E140" s="139">
        <f t="shared" si="169"/>
        <v>0.95192651800049344</v>
      </c>
      <c r="F140" s="139">
        <f t="shared" si="169"/>
        <v>0.94289515327972839</v>
      </c>
      <c r="G140" s="139">
        <f t="shared" si="169"/>
        <v>0.94717117456016375</v>
      </c>
      <c r="H140" s="139">
        <f t="shared" si="169"/>
        <v>0.92705227963363557</v>
      </c>
      <c r="I140" s="139">
        <f t="shared" si="169"/>
        <v>0.94105576762611742</v>
      </c>
      <c r="J140" s="139">
        <f t="shared" si="169"/>
        <v>0.93439840707886246</v>
      </c>
      <c r="K140" s="139">
        <f t="shared" si="169"/>
        <v>0.92880587111883439</v>
      </c>
      <c r="L140" s="139">
        <f t="shared" si="169"/>
        <v>0.91679184865569074</v>
      </c>
      <c r="M140" s="139">
        <f t="shared" si="169"/>
        <v>0.92166682650584164</v>
      </c>
      <c r="N140" s="139">
        <f t="shared" si="169"/>
        <v>0.91639654862893194</v>
      </c>
      <c r="O140" s="139">
        <f t="shared" si="169"/>
        <v>0.91719302594064889</v>
      </c>
      <c r="P140" s="139">
        <f t="shared" si="169"/>
        <v>0.91137542895958112</v>
      </c>
      <c r="Q140" s="139">
        <f t="shared" si="169"/>
        <v>0.92066595587646272</v>
      </c>
      <c r="R140" s="139">
        <f t="shared" si="169"/>
        <v>0.9160389786408133</v>
      </c>
      <c r="S140" s="139">
        <f t="shared" si="169"/>
        <v>0.91754747889015686</v>
      </c>
      <c r="T140" s="139">
        <f t="shared" si="169"/>
        <v>0.9157169579798351</v>
      </c>
      <c r="U140" s="139">
        <f t="shared" si="169"/>
        <v>0.91553559996212441</v>
      </c>
      <c r="V140" s="139">
        <f t="shared" si="169"/>
        <v>0.88380555408062544</v>
      </c>
      <c r="W140" s="139">
        <f t="shared" si="169"/>
        <v>0.8829458048879143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0.30715259476674439</v>
      </c>
      <c r="C141" s="140">
        <f t="shared" ref="C141:W141" si="170">IF(C49=0,0,C49/C$47)</f>
        <v>0.30007124596403489</v>
      </c>
      <c r="D141" s="140">
        <f t="shared" si="170"/>
        <v>0.30391141193475057</v>
      </c>
      <c r="E141" s="140">
        <f t="shared" si="170"/>
        <v>0.31080924253289677</v>
      </c>
      <c r="F141" s="140">
        <f t="shared" si="170"/>
        <v>0.30228825262934544</v>
      </c>
      <c r="G141" s="140">
        <f t="shared" si="170"/>
        <v>0.30829552981943431</v>
      </c>
      <c r="H141" s="140">
        <f t="shared" si="170"/>
        <v>0.3096635658385144</v>
      </c>
      <c r="I141" s="140">
        <f t="shared" si="170"/>
        <v>0.30979939497999048</v>
      </c>
      <c r="J141" s="140">
        <f t="shared" si="170"/>
        <v>0.34028889845633115</v>
      </c>
      <c r="K141" s="140">
        <f t="shared" si="170"/>
        <v>0.40111076059236905</v>
      </c>
      <c r="L141" s="140">
        <f t="shared" si="170"/>
        <v>0.41322269190966421</v>
      </c>
      <c r="M141" s="140">
        <f t="shared" si="170"/>
        <v>0.42990816945545679</v>
      </c>
      <c r="N141" s="140">
        <f t="shared" si="170"/>
        <v>0.41714557309830602</v>
      </c>
      <c r="O141" s="140">
        <f t="shared" si="170"/>
        <v>0.42168784738012466</v>
      </c>
      <c r="P141" s="140">
        <f t="shared" si="170"/>
        <v>0.39655985779424235</v>
      </c>
      <c r="Q141" s="140">
        <f t="shared" si="170"/>
        <v>0.3888670024045503</v>
      </c>
      <c r="R141" s="140">
        <f t="shared" si="170"/>
        <v>0.35615099222226948</v>
      </c>
      <c r="S141" s="140">
        <f t="shared" si="170"/>
        <v>0.35583728239455803</v>
      </c>
      <c r="T141" s="140">
        <f t="shared" si="170"/>
        <v>0.34559313753424842</v>
      </c>
      <c r="U141" s="140">
        <f t="shared" si="170"/>
        <v>0.32572463219397157</v>
      </c>
      <c r="V141" s="140">
        <f t="shared" si="170"/>
        <v>0.35088610148504051</v>
      </c>
      <c r="W141" s="140">
        <f t="shared" si="170"/>
        <v>0.33038911093576934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0.64428277195762362</v>
      </c>
      <c r="C142" s="140">
        <f t="shared" ref="C142:W142" si="171">IF(C50=0,0,C50/C$47)</f>
        <v>0.65262648187078176</v>
      </c>
      <c r="D142" s="140">
        <f t="shared" si="171"/>
        <v>0.64949377815297571</v>
      </c>
      <c r="E142" s="140">
        <f t="shared" si="171"/>
        <v>0.64111727546759667</v>
      </c>
      <c r="F142" s="140">
        <f t="shared" si="171"/>
        <v>0.64060690065038284</v>
      </c>
      <c r="G142" s="140">
        <f t="shared" si="171"/>
        <v>0.63887564474072944</v>
      </c>
      <c r="H142" s="140">
        <f t="shared" si="171"/>
        <v>0.61738871379512117</v>
      </c>
      <c r="I142" s="140">
        <f t="shared" si="171"/>
        <v>0.631256372646127</v>
      </c>
      <c r="J142" s="140">
        <f t="shared" si="171"/>
        <v>0.59410950862253131</v>
      </c>
      <c r="K142" s="140">
        <f t="shared" si="171"/>
        <v>0.52769511052646534</v>
      </c>
      <c r="L142" s="140">
        <f t="shared" si="171"/>
        <v>0.50356915674602654</v>
      </c>
      <c r="M142" s="140">
        <f t="shared" si="171"/>
        <v>0.4917586570503848</v>
      </c>
      <c r="N142" s="140">
        <f t="shared" si="171"/>
        <v>0.49925097553062603</v>
      </c>
      <c r="O142" s="140">
        <f t="shared" si="171"/>
        <v>0.49550517856052412</v>
      </c>
      <c r="P142" s="140">
        <f t="shared" si="171"/>
        <v>0.51481557116533871</v>
      </c>
      <c r="Q142" s="140">
        <f t="shared" si="171"/>
        <v>0.53179895347191253</v>
      </c>
      <c r="R142" s="140">
        <f t="shared" si="171"/>
        <v>0.55988798641854376</v>
      </c>
      <c r="S142" s="140">
        <f t="shared" si="171"/>
        <v>0.56171019649559883</v>
      </c>
      <c r="T142" s="140">
        <f t="shared" si="171"/>
        <v>0.57012382044558685</v>
      </c>
      <c r="U142" s="140">
        <f t="shared" si="171"/>
        <v>0.58981096776815289</v>
      </c>
      <c r="V142" s="140">
        <f t="shared" si="171"/>
        <v>0.53291945259558493</v>
      </c>
      <c r="W142" s="140">
        <f t="shared" si="171"/>
        <v>0.55255669395214502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4.2604158747765299E-3</v>
      </c>
      <c r="C143" s="124">
        <f t="shared" ref="C143:W143" si="172">IF(C51=0,0,C51/C$47)</f>
        <v>4.3181243977472982E-3</v>
      </c>
      <c r="D143" s="124">
        <f t="shared" si="172"/>
        <v>3.5995409507799409E-3</v>
      </c>
      <c r="E143" s="124">
        <f t="shared" si="172"/>
        <v>3.2256326925309059E-3</v>
      </c>
      <c r="F143" s="124">
        <f t="shared" si="172"/>
        <v>2.8199771468271225E-3</v>
      </c>
      <c r="G143" s="124">
        <f t="shared" si="172"/>
        <v>2.0115654806132288E-3</v>
      </c>
      <c r="H143" s="124">
        <f t="shared" si="172"/>
        <v>1.2610386873712328E-3</v>
      </c>
      <c r="I143" s="124">
        <f t="shared" si="172"/>
        <v>7.5134277721419047E-4</v>
      </c>
      <c r="J143" s="124">
        <f t="shared" si="172"/>
        <v>6.6055911563273691E-4</v>
      </c>
      <c r="K143" s="124">
        <f t="shared" si="172"/>
        <v>5.4841878882483743E-4</v>
      </c>
      <c r="L143" s="124">
        <f t="shared" si="172"/>
        <v>7.5402109341175664E-4</v>
      </c>
      <c r="M143" s="124">
        <f t="shared" si="172"/>
        <v>9.2699179421465525E-4</v>
      </c>
      <c r="N143" s="124">
        <f t="shared" si="172"/>
        <v>7.9718340017758185E-4</v>
      </c>
      <c r="O143" s="124">
        <f t="shared" si="172"/>
        <v>8.4696042492053366E-4</v>
      </c>
      <c r="P143" s="124">
        <f t="shared" si="172"/>
        <v>8.5413882514718186E-4</v>
      </c>
      <c r="Q143" s="124">
        <f t="shared" si="172"/>
        <v>8.2406645734414957E-4</v>
      </c>
      <c r="R143" s="124">
        <f t="shared" si="172"/>
        <v>8.1541983586896427E-4</v>
      </c>
      <c r="S143" s="124">
        <f t="shared" si="172"/>
        <v>8.0982979554867585E-4</v>
      </c>
      <c r="T143" s="124">
        <f t="shared" si="172"/>
        <v>6.9192438125412442E-4</v>
      </c>
      <c r="U143" s="124">
        <f t="shared" si="172"/>
        <v>5.5873806240395454E-4</v>
      </c>
      <c r="V143" s="124">
        <f t="shared" si="172"/>
        <v>6.1095589384379048E-4</v>
      </c>
      <c r="W143" s="124">
        <f t="shared" si="172"/>
        <v>5.2449140698897483E-4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8.5706507512471972E-3</v>
      </c>
      <c r="C144" s="124">
        <f t="shared" ref="C144:W144" si="173">IF(C52=0,0,C52/C$47)</f>
        <v>9.0075708904018975E-3</v>
      </c>
      <c r="D144" s="124">
        <f t="shared" si="173"/>
        <v>8.1787012822025704E-3</v>
      </c>
      <c r="E144" s="124">
        <f t="shared" si="173"/>
        <v>8.47187290541534E-3</v>
      </c>
      <c r="F144" s="124">
        <f t="shared" si="173"/>
        <v>1.1141804472629283E-2</v>
      </c>
      <c r="G144" s="124">
        <f t="shared" si="173"/>
        <v>1.2224739125791407E-2</v>
      </c>
      <c r="H144" s="124">
        <f t="shared" si="173"/>
        <v>1.4829028074687554E-2</v>
      </c>
      <c r="I144" s="124">
        <f t="shared" si="173"/>
        <v>1.3205618759976287E-2</v>
      </c>
      <c r="J144" s="124">
        <f t="shared" si="173"/>
        <v>1.3079578399786939E-2</v>
      </c>
      <c r="K144" s="124">
        <f t="shared" si="173"/>
        <v>1.0418901763814801E-2</v>
      </c>
      <c r="L144" s="124">
        <f t="shared" si="173"/>
        <v>1.7317461803230676E-2</v>
      </c>
      <c r="M144" s="124">
        <f t="shared" si="173"/>
        <v>1.4507193122167462E-2</v>
      </c>
      <c r="N144" s="124">
        <f t="shared" si="173"/>
        <v>1.5239176138216692E-2</v>
      </c>
      <c r="O144" s="124">
        <f t="shared" si="173"/>
        <v>1.6086468144085875E-2</v>
      </c>
      <c r="P144" s="124">
        <f t="shared" si="173"/>
        <v>1.6493257589905407E-2</v>
      </c>
      <c r="Q144" s="124">
        <f t="shared" si="173"/>
        <v>1.9129135196737746E-2</v>
      </c>
      <c r="R144" s="124">
        <f t="shared" si="173"/>
        <v>1.5313985189810565E-2</v>
      </c>
      <c r="S144" s="124">
        <f t="shared" si="173"/>
        <v>2.0217325935123386E-2</v>
      </c>
      <c r="T144" s="124">
        <f t="shared" si="173"/>
        <v>1.7726130147558486E-2</v>
      </c>
      <c r="U144" s="124">
        <f t="shared" si="173"/>
        <v>1.5698539172730078E-2</v>
      </c>
      <c r="V144" s="124">
        <f t="shared" si="173"/>
        <v>2.3395461200432805E-2</v>
      </c>
      <c r="W144" s="124">
        <f t="shared" si="173"/>
        <v>2.6698548969650956E-2</v>
      </c>
      <c r="DA144" s="176"/>
    </row>
    <row r="145" spans="1:105" ht="11.45" customHeight="1" x14ac:dyDescent="0.25">
      <c r="A145" s="128" t="s">
        <v>27</v>
      </c>
      <c r="B145" s="140">
        <f t="shared" si="167"/>
        <v>9.9214643571127713E-4</v>
      </c>
      <c r="C145" s="140">
        <f t="shared" ref="C145:W145" si="174">IF(C53=0,0,C53/C$47)</f>
        <v>1.0700179885917598E-3</v>
      </c>
      <c r="D145" s="140">
        <f t="shared" si="174"/>
        <v>8.3998949815672548E-4</v>
      </c>
      <c r="E145" s="140">
        <f t="shared" si="174"/>
        <v>6.8546909852701637E-4</v>
      </c>
      <c r="F145" s="140">
        <f t="shared" si="174"/>
        <v>1.2610164214828994E-3</v>
      </c>
      <c r="G145" s="140">
        <f t="shared" si="174"/>
        <v>1.6659498161216318E-3</v>
      </c>
      <c r="H145" s="140">
        <f t="shared" si="174"/>
        <v>2.8120922637681857E-3</v>
      </c>
      <c r="I145" s="140">
        <f t="shared" si="174"/>
        <v>1.9016351605991321E-3</v>
      </c>
      <c r="J145" s="140">
        <f t="shared" si="174"/>
        <v>1.4650658277907769E-3</v>
      </c>
      <c r="K145" s="140">
        <f t="shared" si="174"/>
        <v>1.5937269889625947E-3</v>
      </c>
      <c r="L145" s="140">
        <f t="shared" si="174"/>
        <v>1.8419134893206291E-3</v>
      </c>
      <c r="M145" s="140">
        <f t="shared" si="174"/>
        <v>9.3878641175989077E-4</v>
      </c>
      <c r="N145" s="140">
        <f t="shared" si="174"/>
        <v>1.4879742264009138E-3</v>
      </c>
      <c r="O145" s="140">
        <f t="shared" si="174"/>
        <v>1.3521681565273628E-3</v>
      </c>
      <c r="P145" s="140">
        <f t="shared" si="174"/>
        <v>1.0204597680942128E-3</v>
      </c>
      <c r="Q145" s="140">
        <f t="shared" si="174"/>
        <v>1.0017444732473356E-3</v>
      </c>
      <c r="R145" s="140">
        <f t="shared" si="174"/>
        <v>3.719580973718052E-4</v>
      </c>
      <c r="S145" s="140">
        <f t="shared" si="174"/>
        <v>6.2771435729684112E-4</v>
      </c>
      <c r="T145" s="140">
        <f t="shared" si="174"/>
        <v>5.8258925364407591E-4</v>
      </c>
      <c r="U145" s="140">
        <f t="shared" si="174"/>
        <v>3.8118863889149681E-4</v>
      </c>
      <c r="V145" s="140">
        <f t="shared" si="174"/>
        <v>3.4568871403694716E-4</v>
      </c>
      <c r="W145" s="140">
        <f t="shared" si="174"/>
        <v>8.16486118172435E-4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3.2520602395236871E-3</v>
      </c>
      <c r="C146" s="140">
        <f t="shared" ref="C146:W146" si="175">IF(C54=0,0,C54/C$47)</f>
        <v>3.3975458692347381E-3</v>
      </c>
      <c r="D146" s="140">
        <f t="shared" si="175"/>
        <v>2.5811147887379862E-3</v>
      </c>
      <c r="E146" s="140">
        <f t="shared" si="175"/>
        <v>2.4568324475747042E-3</v>
      </c>
      <c r="F146" s="140">
        <f t="shared" si="175"/>
        <v>2.1673924321268046E-3</v>
      </c>
      <c r="G146" s="140">
        <f t="shared" si="175"/>
        <v>4.0058050407960899E-3</v>
      </c>
      <c r="H146" s="140">
        <f t="shared" si="175"/>
        <v>5.640571345830769E-3</v>
      </c>
      <c r="I146" s="140">
        <f t="shared" si="175"/>
        <v>5.5704303517759715E-3</v>
      </c>
      <c r="J146" s="140">
        <f t="shared" si="175"/>
        <v>5.7572940086250699E-3</v>
      </c>
      <c r="K146" s="140">
        <f t="shared" si="175"/>
        <v>4.8720826768107331E-3</v>
      </c>
      <c r="L146" s="140">
        <f t="shared" si="175"/>
        <v>7.6432520789040141E-3</v>
      </c>
      <c r="M146" s="140">
        <f t="shared" si="175"/>
        <v>7.1556269967838135E-3</v>
      </c>
      <c r="N146" s="140">
        <f t="shared" si="175"/>
        <v>5.7476562989681014E-3</v>
      </c>
      <c r="O146" s="140">
        <f t="shared" si="175"/>
        <v>5.7280441372950268E-3</v>
      </c>
      <c r="P146" s="140">
        <f t="shared" si="175"/>
        <v>6.7743700155088842E-3</v>
      </c>
      <c r="Q146" s="140">
        <f t="shared" si="175"/>
        <v>8.1169534277466312E-3</v>
      </c>
      <c r="R146" s="140">
        <f t="shared" si="175"/>
        <v>6.5596027254110128E-3</v>
      </c>
      <c r="S146" s="140">
        <f t="shared" si="175"/>
        <v>7.7515256722837525E-3</v>
      </c>
      <c r="T146" s="140">
        <f t="shared" si="175"/>
        <v>8.1393903261933014E-3</v>
      </c>
      <c r="U146" s="140">
        <f t="shared" si="175"/>
        <v>7.6307068290922351E-3</v>
      </c>
      <c r="V146" s="140">
        <f t="shared" si="175"/>
        <v>7.7030761115354056E-3</v>
      </c>
      <c r="W146" s="140">
        <f t="shared" si="175"/>
        <v>9.0547124542033428E-3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4.3264440760122334E-3</v>
      </c>
      <c r="C147" s="140">
        <f t="shared" ref="C147:W147" si="176">IF(C55=0,0,C55/C$47)</f>
        <v>4.5400070325754003E-3</v>
      </c>
      <c r="D147" s="140">
        <f t="shared" si="176"/>
        <v>4.7575969953078589E-3</v>
      </c>
      <c r="E147" s="140">
        <f t="shared" si="176"/>
        <v>5.3295713593136188E-3</v>
      </c>
      <c r="F147" s="140">
        <f t="shared" si="176"/>
        <v>7.71339561901958E-3</v>
      </c>
      <c r="G147" s="140">
        <f t="shared" si="176"/>
        <v>6.552984268873685E-3</v>
      </c>
      <c r="H147" s="140">
        <f t="shared" si="176"/>
        <v>6.3763644650885985E-3</v>
      </c>
      <c r="I147" s="140">
        <f t="shared" si="176"/>
        <v>5.7335532476011841E-3</v>
      </c>
      <c r="J147" s="140">
        <f t="shared" si="176"/>
        <v>5.8572185633710919E-3</v>
      </c>
      <c r="K147" s="140">
        <f t="shared" si="176"/>
        <v>3.9530920980414717E-3</v>
      </c>
      <c r="L147" s="140">
        <f t="shared" si="176"/>
        <v>7.8322962350060293E-3</v>
      </c>
      <c r="M147" s="140">
        <f t="shared" si="176"/>
        <v>6.412779713623756E-3</v>
      </c>
      <c r="N147" s="140">
        <f t="shared" si="176"/>
        <v>8.0035456128476762E-3</v>
      </c>
      <c r="O147" s="140">
        <f t="shared" si="176"/>
        <v>9.0062558502634876E-3</v>
      </c>
      <c r="P147" s="140">
        <f t="shared" si="176"/>
        <v>8.6984278063023113E-3</v>
      </c>
      <c r="Q147" s="140">
        <f t="shared" si="176"/>
        <v>1.0010437295743779E-2</v>
      </c>
      <c r="R147" s="140">
        <f t="shared" si="176"/>
        <v>8.3824243670277462E-3</v>
      </c>
      <c r="S147" s="140">
        <f t="shared" si="176"/>
        <v>1.1838085905542793E-2</v>
      </c>
      <c r="T147" s="140">
        <f t="shared" si="176"/>
        <v>9.0041505677211087E-3</v>
      </c>
      <c r="U147" s="140">
        <f t="shared" si="176"/>
        <v>7.6866437047463463E-3</v>
      </c>
      <c r="V147" s="140">
        <f t="shared" si="176"/>
        <v>1.534669637486045E-2</v>
      </c>
      <c r="W147" s="140">
        <f t="shared" si="176"/>
        <v>1.6827350397275179E-2</v>
      </c>
      <c r="DA147" s="175"/>
    </row>
    <row r="148" spans="1:105" ht="11.45" customHeight="1" x14ac:dyDescent="0.25">
      <c r="A148" s="109" t="s">
        <v>142</v>
      </c>
      <c r="B148" s="124">
        <f t="shared" si="167"/>
        <v>3.5733566649608202E-2</v>
      </c>
      <c r="C148" s="124">
        <f t="shared" ref="C148:W148" si="177">IF(C56=0,0,C56/C$47)</f>
        <v>3.3976576877034162E-2</v>
      </c>
      <c r="D148" s="124">
        <f t="shared" si="177"/>
        <v>3.4816567679291262E-2</v>
      </c>
      <c r="E148" s="124">
        <f t="shared" si="177"/>
        <v>3.637597640156022E-2</v>
      </c>
      <c r="F148" s="124">
        <f t="shared" si="177"/>
        <v>4.3143065100815177E-2</v>
      </c>
      <c r="G148" s="124">
        <f t="shared" si="177"/>
        <v>3.8592520833431558E-2</v>
      </c>
      <c r="H148" s="124">
        <f t="shared" si="177"/>
        <v>5.6857653604305607E-2</v>
      </c>
      <c r="I148" s="124">
        <f t="shared" si="177"/>
        <v>4.4987270836692038E-2</v>
      </c>
      <c r="J148" s="124">
        <f t="shared" si="177"/>
        <v>5.1861455405717891E-2</v>
      </c>
      <c r="K148" s="124">
        <f t="shared" si="177"/>
        <v>6.0226808328526088E-2</v>
      </c>
      <c r="L148" s="124">
        <f t="shared" si="177"/>
        <v>6.5136668447666926E-2</v>
      </c>
      <c r="M148" s="124">
        <f t="shared" si="177"/>
        <v>6.289898857777633E-2</v>
      </c>
      <c r="N148" s="124">
        <f t="shared" si="177"/>
        <v>6.756709183267387E-2</v>
      </c>
      <c r="O148" s="124">
        <f t="shared" si="177"/>
        <v>6.587354549034484E-2</v>
      </c>
      <c r="P148" s="124">
        <f t="shared" si="177"/>
        <v>7.1277174625366202E-2</v>
      </c>
      <c r="Q148" s="124">
        <f t="shared" si="177"/>
        <v>5.9380842469455491E-2</v>
      </c>
      <c r="R148" s="124">
        <f t="shared" si="177"/>
        <v>6.78316163335074E-2</v>
      </c>
      <c r="S148" s="124">
        <f t="shared" si="177"/>
        <v>6.1425365379170878E-2</v>
      </c>
      <c r="T148" s="124">
        <f t="shared" si="177"/>
        <v>6.5864987491352278E-2</v>
      </c>
      <c r="U148" s="124">
        <f t="shared" si="177"/>
        <v>6.8207122802741577E-2</v>
      </c>
      <c r="V148" s="124">
        <f t="shared" si="177"/>
        <v>9.2188028825097842E-2</v>
      </c>
      <c r="W148" s="124">
        <f t="shared" si="177"/>
        <v>8.9831154735445867E-2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3.5733566649608202E-2</v>
      </c>
      <c r="C149" s="140">
        <f t="shared" ref="C149:W149" si="178">IF(C57=0,0,C57/C$47)</f>
        <v>3.3976576877034162E-2</v>
      </c>
      <c r="D149" s="140">
        <f t="shared" si="178"/>
        <v>3.4816567679291262E-2</v>
      </c>
      <c r="E149" s="140">
        <f t="shared" si="178"/>
        <v>3.637597640156022E-2</v>
      </c>
      <c r="F149" s="140">
        <f t="shared" si="178"/>
        <v>4.3143065100815177E-2</v>
      </c>
      <c r="G149" s="140">
        <f t="shared" si="178"/>
        <v>3.8592520833431558E-2</v>
      </c>
      <c r="H149" s="140">
        <f t="shared" si="178"/>
        <v>5.6857653604305607E-2</v>
      </c>
      <c r="I149" s="140">
        <f t="shared" si="178"/>
        <v>4.4987270836692038E-2</v>
      </c>
      <c r="J149" s="140">
        <f t="shared" si="178"/>
        <v>5.1861455405717891E-2</v>
      </c>
      <c r="K149" s="140">
        <f t="shared" si="178"/>
        <v>6.0226808328526088E-2</v>
      </c>
      <c r="L149" s="140">
        <f t="shared" si="178"/>
        <v>6.5136668447666926E-2</v>
      </c>
      <c r="M149" s="140">
        <f t="shared" si="178"/>
        <v>6.289898857777633E-2</v>
      </c>
      <c r="N149" s="140">
        <f t="shared" si="178"/>
        <v>6.756709183267387E-2</v>
      </c>
      <c r="O149" s="140">
        <f t="shared" si="178"/>
        <v>6.587354549034484E-2</v>
      </c>
      <c r="P149" s="140">
        <f t="shared" si="178"/>
        <v>7.1277174625366202E-2</v>
      </c>
      <c r="Q149" s="140">
        <f t="shared" si="178"/>
        <v>5.9380842469455491E-2</v>
      </c>
      <c r="R149" s="140">
        <f t="shared" si="178"/>
        <v>6.78316163335074E-2</v>
      </c>
      <c r="S149" s="140">
        <f t="shared" si="178"/>
        <v>6.1425365379170878E-2</v>
      </c>
      <c r="T149" s="140">
        <f t="shared" si="178"/>
        <v>6.5864987491352278E-2</v>
      </c>
      <c r="U149" s="140">
        <f t="shared" si="178"/>
        <v>6.8207122802741577E-2</v>
      </c>
      <c r="V149" s="140">
        <f t="shared" si="178"/>
        <v>9.2188028825097842E-2</v>
      </c>
      <c r="W149" s="140">
        <f t="shared" si="178"/>
        <v>8.9831154735445867E-2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0.38660944406943099</v>
      </c>
      <c r="C152" s="140">
        <f t="shared" ref="C152:W152" si="181">IF(C60=0,0,C60/C$59)</f>
        <v>0.38394144503878347</v>
      </c>
      <c r="D152" s="140">
        <f t="shared" si="181"/>
        <v>0.3711855536333436</v>
      </c>
      <c r="E152" s="140">
        <f t="shared" si="181"/>
        <v>0.386034183036784</v>
      </c>
      <c r="F152" s="140">
        <f t="shared" si="181"/>
        <v>0.40332461883071119</v>
      </c>
      <c r="G152" s="140">
        <f t="shared" si="181"/>
        <v>0.40110453680640723</v>
      </c>
      <c r="H152" s="140">
        <f t="shared" si="181"/>
        <v>0.48364504001098074</v>
      </c>
      <c r="I152" s="140">
        <f t="shared" si="181"/>
        <v>0.42746312022730959</v>
      </c>
      <c r="J152" s="140">
        <f t="shared" si="181"/>
        <v>0.42210573085904746</v>
      </c>
      <c r="K152" s="140">
        <f t="shared" si="181"/>
        <v>0.44322102345617947</v>
      </c>
      <c r="L152" s="140">
        <f t="shared" si="181"/>
        <v>0.44163680334247829</v>
      </c>
      <c r="M152" s="140">
        <f t="shared" si="181"/>
        <v>0.41404199823738913</v>
      </c>
      <c r="N152" s="140">
        <f t="shared" si="181"/>
        <v>0.41880173175274621</v>
      </c>
      <c r="O152" s="140">
        <f t="shared" si="181"/>
        <v>0.44235108056619654</v>
      </c>
      <c r="P152" s="140">
        <f t="shared" si="181"/>
        <v>0.42137752788185856</v>
      </c>
      <c r="Q152" s="140">
        <f t="shared" si="181"/>
        <v>0.42656346432194275</v>
      </c>
      <c r="R152" s="140">
        <f t="shared" si="181"/>
        <v>0.4244194085490165</v>
      </c>
      <c r="S152" s="140">
        <f t="shared" si="181"/>
        <v>0.42005917625843014</v>
      </c>
      <c r="T152" s="140">
        <f t="shared" si="181"/>
        <v>0.43171545925760008</v>
      </c>
      <c r="U152" s="140">
        <f t="shared" si="181"/>
        <v>0.43428031930452748</v>
      </c>
      <c r="V152" s="140">
        <f t="shared" si="181"/>
        <v>0.39660574821606298</v>
      </c>
      <c r="W152" s="140">
        <f t="shared" si="181"/>
        <v>0.41129725975927567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0.61339055593056901</v>
      </c>
      <c r="C153" s="127">
        <f t="shared" ref="C153:W153" si="182">IF(C61=0,0,C61/C$59)</f>
        <v>0.61605855496121653</v>
      </c>
      <c r="D153" s="127">
        <f t="shared" si="182"/>
        <v>0.62881444636665629</v>
      </c>
      <c r="E153" s="127">
        <f t="shared" si="182"/>
        <v>0.61396581696321606</v>
      </c>
      <c r="F153" s="127">
        <f t="shared" si="182"/>
        <v>0.59667538116928887</v>
      </c>
      <c r="G153" s="127">
        <f t="shared" si="182"/>
        <v>0.59889546319359277</v>
      </c>
      <c r="H153" s="127">
        <f t="shared" si="182"/>
        <v>0.51635495998901937</v>
      </c>
      <c r="I153" s="127">
        <f t="shared" si="182"/>
        <v>0.57253687977269041</v>
      </c>
      <c r="J153" s="127">
        <f t="shared" si="182"/>
        <v>0.57789426914095254</v>
      </c>
      <c r="K153" s="127">
        <f t="shared" si="182"/>
        <v>0.55677897654382058</v>
      </c>
      <c r="L153" s="127">
        <f t="shared" si="182"/>
        <v>0.55836319665752177</v>
      </c>
      <c r="M153" s="127">
        <f t="shared" si="182"/>
        <v>0.58595800176261081</v>
      </c>
      <c r="N153" s="127">
        <f t="shared" si="182"/>
        <v>0.58119826824725385</v>
      </c>
      <c r="O153" s="127">
        <f t="shared" si="182"/>
        <v>0.55764891943380335</v>
      </c>
      <c r="P153" s="127">
        <f t="shared" si="182"/>
        <v>0.57862247211814144</v>
      </c>
      <c r="Q153" s="127">
        <f t="shared" si="182"/>
        <v>0.57343653567805719</v>
      </c>
      <c r="R153" s="127">
        <f t="shared" si="182"/>
        <v>0.5755805914509835</v>
      </c>
      <c r="S153" s="127">
        <f t="shared" si="182"/>
        <v>0.57994082374156986</v>
      </c>
      <c r="T153" s="127">
        <f t="shared" si="182"/>
        <v>0.56828454074239987</v>
      </c>
      <c r="U153" s="127">
        <f t="shared" si="182"/>
        <v>0.56571968069547252</v>
      </c>
      <c r="V153" s="127">
        <f t="shared" si="182"/>
        <v>0.60339425178393702</v>
      </c>
      <c r="W153" s="127">
        <f t="shared" si="182"/>
        <v>0.58870274024072433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0.75867436113980768</v>
      </c>
      <c r="C157" s="139">
        <f t="shared" ref="C157:W157" si="185">IF(C65=0,0,C65/C$64)</f>
        <v>0.73176102511719554</v>
      </c>
      <c r="D157" s="139">
        <f t="shared" si="185"/>
        <v>0.72258849007841386</v>
      </c>
      <c r="E157" s="139">
        <f t="shared" si="185"/>
        <v>0.7274160559079822</v>
      </c>
      <c r="F157" s="139">
        <f t="shared" si="185"/>
        <v>0.74604235849149692</v>
      </c>
      <c r="G157" s="139">
        <f t="shared" si="185"/>
        <v>0.73301908718521602</v>
      </c>
      <c r="H157" s="139">
        <f t="shared" si="185"/>
        <v>0.74794142157182897</v>
      </c>
      <c r="I157" s="139">
        <f t="shared" si="185"/>
        <v>0.71637134171151651</v>
      </c>
      <c r="J157" s="139">
        <f t="shared" si="185"/>
        <v>0.72670188076237863</v>
      </c>
      <c r="K157" s="139">
        <f t="shared" si="185"/>
        <v>0.80546816648662101</v>
      </c>
      <c r="L157" s="139">
        <f t="shared" si="185"/>
        <v>0.75923167735420871</v>
      </c>
      <c r="M157" s="139">
        <f t="shared" si="185"/>
        <v>0.76761526677188152</v>
      </c>
      <c r="N157" s="139">
        <f t="shared" si="185"/>
        <v>0.79416137395228859</v>
      </c>
      <c r="O157" s="139">
        <f t="shared" si="185"/>
        <v>0.78207380210026378</v>
      </c>
      <c r="P157" s="139">
        <f t="shared" si="185"/>
        <v>0.76633028944283643</v>
      </c>
      <c r="Q157" s="139">
        <f t="shared" si="185"/>
        <v>0.75023643431974263</v>
      </c>
      <c r="R157" s="139">
        <f t="shared" si="185"/>
        <v>0.75426303294812957</v>
      </c>
      <c r="S157" s="139">
        <f t="shared" si="185"/>
        <v>0.72182069842253138</v>
      </c>
      <c r="T157" s="139">
        <f t="shared" si="185"/>
        <v>0.7065644870406188</v>
      </c>
      <c r="U157" s="139">
        <f t="shared" si="185"/>
        <v>0.7012964152511777</v>
      </c>
      <c r="V157" s="139">
        <f t="shared" si="185"/>
        <v>0.84420077259611692</v>
      </c>
      <c r="W157" s="139">
        <f t="shared" si="185"/>
        <v>0.8369637177062984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1.5625592359958744E-3</v>
      </c>
      <c r="C158" s="140">
        <f t="shared" ref="C158:W158" si="186">IF(C66=0,0,C66/C$64)</f>
        <v>1.5497497279164908E-3</v>
      </c>
      <c r="D158" s="140">
        <f t="shared" si="186"/>
        <v>1.4933714577183407E-3</v>
      </c>
      <c r="E158" s="140">
        <f t="shared" si="186"/>
        <v>1.5949899732015697E-3</v>
      </c>
      <c r="F158" s="140">
        <f t="shared" si="186"/>
        <v>1.5081213163646043E-3</v>
      </c>
      <c r="G158" s="140">
        <f t="shared" si="186"/>
        <v>1.6843774658779631E-3</v>
      </c>
      <c r="H158" s="140">
        <f t="shared" si="186"/>
        <v>1.5121953133137281E-3</v>
      </c>
      <c r="I158" s="140">
        <f t="shared" si="186"/>
        <v>1.4578747169223137E-3</v>
      </c>
      <c r="J158" s="140">
        <f t="shared" si="186"/>
        <v>1.5812108307524772E-3</v>
      </c>
      <c r="K158" s="140">
        <f t="shared" si="186"/>
        <v>1.6329064238741759E-3</v>
      </c>
      <c r="L158" s="140">
        <f t="shared" si="186"/>
        <v>1.3910590861504948E-3</v>
      </c>
      <c r="M158" s="140">
        <f t="shared" si="186"/>
        <v>1.3312926717649858E-3</v>
      </c>
      <c r="N158" s="140">
        <f t="shared" si="186"/>
        <v>1.2544911447720261E-3</v>
      </c>
      <c r="O158" s="140">
        <f t="shared" si="186"/>
        <v>1.1848088364597275E-3</v>
      </c>
      <c r="P158" s="140">
        <f t="shared" si="186"/>
        <v>1.2791972542328656E-3</v>
      </c>
      <c r="Q158" s="140">
        <f t="shared" si="186"/>
        <v>1.1444648866583114E-3</v>
      </c>
      <c r="R158" s="140">
        <f t="shared" si="186"/>
        <v>1.1221406326036342E-3</v>
      </c>
      <c r="S158" s="140">
        <f t="shared" si="186"/>
        <v>1.0184149440783741E-3</v>
      </c>
      <c r="T158" s="140">
        <f t="shared" si="186"/>
        <v>9.3813004407015228E-4</v>
      </c>
      <c r="U158" s="140">
        <f t="shared" si="186"/>
        <v>9.9745881686102229E-4</v>
      </c>
      <c r="V158" s="140">
        <f t="shared" si="186"/>
        <v>1.3199709804802874E-3</v>
      </c>
      <c r="W158" s="140">
        <f t="shared" si="186"/>
        <v>1.2021162402695309E-3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0.70795981460004254</v>
      </c>
      <c r="C159" s="140">
        <f t="shared" ref="C159:W159" si="187">IF(C67=0,0,C67/C$64)</f>
        <v>0.68516793502964979</v>
      </c>
      <c r="D159" s="140">
        <f t="shared" si="187"/>
        <v>0.67673395752923826</v>
      </c>
      <c r="E159" s="140">
        <f t="shared" si="187"/>
        <v>0.67952849421447459</v>
      </c>
      <c r="F159" s="140">
        <f t="shared" si="187"/>
        <v>0.69755331733895121</v>
      </c>
      <c r="G159" s="140">
        <f t="shared" si="187"/>
        <v>0.68674193006188766</v>
      </c>
      <c r="H159" s="140">
        <f t="shared" si="187"/>
        <v>0.7028398679700113</v>
      </c>
      <c r="I159" s="140">
        <f t="shared" si="187"/>
        <v>0.67077763311765504</v>
      </c>
      <c r="J159" s="140">
        <f t="shared" si="187"/>
        <v>0.67698856995162593</v>
      </c>
      <c r="K159" s="140">
        <f t="shared" si="187"/>
        <v>0.75032051318454507</v>
      </c>
      <c r="L159" s="140">
        <f t="shared" si="187"/>
        <v>0.70657566555804718</v>
      </c>
      <c r="M159" s="140">
        <f t="shared" si="187"/>
        <v>0.71407040000683497</v>
      </c>
      <c r="N159" s="140">
        <f t="shared" si="187"/>
        <v>0.73859065395772683</v>
      </c>
      <c r="O159" s="140">
        <f t="shared" si="187"/>
        <v>0.72867624223378424</v>
      </c>
      <c r="P159" s="140">
        <f t="shared" si="187"/>
        <v>0.71521788599411174</v>
      </c>
      <c r="Q159" s="140">
        <f t="shared" si="187"/>
        <v>0.70014386596721101</v>
      </c>
      <c r="R159" s="140">
        <f t="shared" si="187"/>
        <v>0.70342555470146784</v>
      </c>
      <c r="S159" s="140">
        <f t="shared" si="187"/>
        <v>0.66835734976432715</v>
      </c>
      <c r="T159" s="140">
        <f t="shared" si="187"/>
        <v>0.65042664754649704</v>
      </c>
      <c r="U159" s="140">
        <f t="shared" si="187"/>
        <v>0.64444399484254156</v>
      </c>
      <c r="V159" s="140">
        <f t="shared" si="187"/>
        <v>0.77488654194034789</v>
      </c>
      <c r="W159" s="140">
        <f t="shared" si="187"/>
        <v>0.77130166764603381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4.9151987303769247E-2</v>
      </c>
      <c r="C160" s="140">
        <f t="shared" ref="C160:W160" si="188">IF(C68=0,0,C68/C$64)</f>
        <v>4.5043340359629307E-2</v>
      </c>
      <c r="D160" s="140">
        <f t="shared" si="188"/>
        <v>4.4361161091457268E-2</v>
      </c>
      <c r="E160" s="140">
        <f t="shared" si="188"/>
        <v>4.629257172030609E-2</v>
      </c>
      <c r="F160" s="140">
        <f t="shared" si="188"/>
        <v>4.6980919836181086E-2</v>
      </c>
      <c r="G160" s="140">
        <f t="shared" si="188"/>
        <v>4.4592779657450364E-2</v>
      </c>
      <c r="H160" s="140">
        <f t="shared" si="188"/>
        <v>4.3589358288503945E-2</v>
      </c>
      <c r="I160" s="140">
        <f t="shared" si="188"/>
        <v>4.4135833876939166E-2</v>
      </c>
      <c r="J160" s="140">
        <f t="shared" si="188"/>
        <v>4.8132099980000224E-2</v>
      </c>
      <c r="K160" s="140">
        <f t="shared" si="188"/>
        <v>5.351474687820177E-2</v>
      </c>
      <c r="L160" s="140">
        <f t="shared" si="188"/>
        <v>5.1264952710010997E-2</v>
      </c>
      <c r="M160" s="140">
        <f t="shared" si="188"/>
        <v>5.2213574093281465E-2</v>
      </c>
      <c r="N160" s="140">
        <f t="shared" si="188"/>
        <v>5.4316228849789712E-2</v>
      </c>
      <c r="O160" s="140">
        <f t="shared" si="188"/>
        <v>5.2212751030019863E-2</v>
      </c>
      <c r="P160" s="140">
        <f t="shared" si="188"/>
        <v>4.983320619449174E-2</v>
      </c>
      <c r="Q160" s="140">
        <f t="shared" si="188"/>
        <v>4.8948103465873381E-2</v>
      </c>
      <c r="R160" s="140">
        <f t="shared" si="188"/>
        <v>4.9715337614058178E-2</v>
      </c>
      <c r="S160" s="140">
        <f t="shared" si="188"/>
        <v>5.2444933714125778E-2</v>
      </c>
      <c r="T160" s="140">
        <f t="shared" si="188"/>
        <v>5.5199709450051579E-2</v>
      </c>
      <c r="U160" s="140">
        <f t="shared" si="188"/>
        <v>5.5854961591774985E-2</v>
      </c>
      <c r="V160" s="140">
        <f t="shared" si="188"/>
        <v>6.7994259675288785E-2</v>
      </c>
      <c r="W160" s="140">
        <f t="shared" si="188"/>
        <v>6.4459933819995055E-2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1.3075795567258835E-2</v>
      </c>
      <c r="C161" s="124">
        <f t="shared" ref="C161:W161" si="189">IF(C69=0,0,C69/C$64)</f>
        <v>1.3301850311409184E-2</v>
      </c>
      <c r="D161" s="124">
        <f t="shared" si="189"/>
        <v>1.1438400362784037E-2</v>
      </c>
      <c r="E161" s="124">
        <f t="shared" si="189"/>
        <v>1.2959986573888853E-2</v>
      </c>
      <c r="F161" s="124">
        <f t="shared" si="189"/>
        <v>1.3652400587075208E-2</v>
      </c>
      <c r="G161" s="124">
        <f t="shared" si="189"/>
        <v>1.1415599117221812E-2</v>
      </c>
      <c r="H161" s="124">
        <f t="shared" si="189"/>
        <v>1.0784620468919513E-2</v>
      </c>
      <c r="I161" s="124">
        <f t="shared" si="189"/>
        <v>1.1422375663087139E-2</v>
      </c>
      <c r="J161" s="124">
        <f t="shared" si="189"/>
        <v>1.255680935559977E-2</v>
      </c>
      <c r="K161" s="124">
        <f t="shared" si="189"/>
        <v>1.2558872972077561E-2</v>
      </c>
      <c r="L161" s="124">
        <f t="shared" si="189"/>
        <v>1.2236560035473566E-2</v>
      </c>
      <c r="M161" s="124">
        <f t="shared" si="189"/>
        <v>1.2792511908742702E-2</v>
      </c>
      <c r="N161" s="124">
        <f t="shared" si="189"/>
        <v>1.3065622325752894E-2</v>
      </c>
      <c r="O161" s="124">
        <f t="shared" si="189"/>
        <v>1.2523264208283457E-2</v>
      </c>
      <c r="P161" s="124">
        <f t="shared" si="189"/>
        <v>1.0739870018164894E-2</v>
      </c>
      <c r="Q161" s="124">
        <f t="shared" si="189"/>
        <v>1.0430445804741393E-2</v>
      </c>
      <c r="R161" s="124">
        <f t="shared" si="189"/>
        <v>1.0122298655551309E-2</v>
      </c>
      <c r="S161" s="124">
        <f t="shared" si="189"/>
        <v>1.0159453439591798E-2</v>
      </c>
      <c r="T161" s="124">
        <f t="shared" si="189"/>
        <v>1.0046247052973618E-2</v>
      </c>
      <c r="U161" s="124">
        <f t="shared" si="189"/>
        <v>1.0593227803390804E-2</v>
      </c>
      <c r="V161" s="124">
        <f t="shared" si="189"/>
        <v>1.2360949976372146E-2</v>
      </c>
      <c r="W161" s="124">
        <f t="shared" si="189"/>
        <v>1.2659225572404779E-2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1.3075795567258835E-2</v>
      </c>
      <c r="C163" s="140">
        <f t="shared" ref="C163:W163" si="191">IF(C71=0,0,C71/C$64)</f>
        <v>1.3301850311409184E-2</v>
      </c>
      <c r="D163" s="140">
        <f t="shared" si="191"/>
        <v>1.1438400362784037E-2</v>
      </c>
      <c r="E163" s="140">
        <f t="shared" si="191"/>
        <v>1.2959986573888853E-2</v>
      </c>
      <c r="F163" s="140">
        <f t="shared" si="191"/>
        <v>1.3652400587075208E-2</v>
      </c>
      <c r="G163" s="140">
        <f t="shared" si="191"/>
        <v>1.1415599117221812E-2</v>
      </c>
      <c r="H163" s="140">
        <f t="shared" si="191"/>
        <v>1.0784620468919513E-2</v>
      </c>
      <c r="I163" s="140">
        <f t="shared" si="191"/>
        <v>1.1422375663087139E-2</v>
      </c>
      <c r="J163" s="140">
        <f t="shared" si="191"/>
        <v>1.255680935559977E-2</v>
      </c>
      <c r="K163" s="140">
        <f t="shared" si="191"/>
        <v>1.2558872972077561E-2</v>
      </c>
      <c r="L163" s="140">
        <f t="shared" si="191"/>
        <v>1.2236560035473566E-2</v>
      </c>
      <c r="M163" s="140">
        <f t="shared" si="191"/>
        <v>1.2792511908742702E-2</v>
      </c>
      <c r="N163" s="140">
        <f t="shared" si="191"/>
        <v>1.3065622325752894E-2</v>
      </c>
      <c r="O163" s="140">
        <f t="shared" si="191"/>
        <v>1.2523264208283457E-2</v>
      </c>
      <c r="P163" s="140">
        <f t="shared" si="191"/>
        <v>1.0739870018164894E-2</v>
      </c>
      <c r="Q163" s="140">
        <f t="shared" si="191"/>
        <v>1.0430445804741393E-2</v>
      </c>
      <c r="R163" s="140">
        <f t="shared" si="191"/>
        <v>1.0122298655551309E-2</v>
      </c>
      <c r="S163" s="140">
        <f t="shared" si="191"/>
        <v>1.0159453439591798E-2</v>
      </c>
      <c r="T163" s="140">
        <f t="shared" si="191"/>
        <v>1.0046247052973618E-2</v>
      </c>
      <c r="U163" s="140">
        <f t="shared" si="191"/>
        <v>1.0593227803390804E-2</v>
      </c>
      <c r="V163" s="140">
        <f t="shared" si="191"/>
        <v>1.2360949976372146E-2</v>
      </c>
      <c r="W163" s="140">
        <f t="shared" si="191"/>
        <v>1.2659225572404779E-2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0.22824984329293344</v>
      </c>
      <c r="C165" s="124">
        <f t="shared" ref="C165:W165" si="193">IF(C73=0,0,C73/C$64)</f>
        <v>0.25493712457139528</v>
      </c>
      <c r="D165" s="124">
        <f t="shared" si="193"/>
        <v>0.26597310955880205</v>
      </c>
      <c r="E165" s="124">
        <f t="shared" si="193"/>
        <v>0.25962395751812889</v>
      </c>
      <c r="F165" s="124">
        <f t="shared" si="193"/>
        <v>0.2403052409214278</v>
      </c>
      <c r="G165" s="124">
        <f t="shared" si="193"/>
        <v>0.25556531369756225</v>
      </c>
      <c r="H165" s="124">
        <f t="shared" si="193"/>
        <v>0.24127395795925155</v>
      </c>
      <c r="I165" s="124">
        <f t="shared" si="193"/>
        <v>0.27220628262539626</v>
      </c>
      <c r="J165" s="124">
        <f t="shared" si="193"/>
        <v>0.26074130988202165</v>
      </c>
      <c r="K165" s="124">
        <f t="shared" si="193"/>
        <v>0.1819729605413016</v>
      </c>
      <c r="L165" s="124">
        <f t="shared" si="193"/>
        <v>0.22853176261031774</v>
      </c>
      <c r="M165" s="124">
        <f t="shared" si="193"/>
        <v>0.2195922213193757</v>
      </c>
      <c r="N165" s="124">
        <f t="shared" si="193"/>
        <v>0.19277300372195849</v>
      </c>
      <c r="O165" s="124">
        <f t="shared" si="193"/>
        <v>0.20540293369145279</v>
      </c>
      <c r="P165" s="124">
        <f t="shared" si="193"/>
        <v>0.22292984053899856</v>
      </c>
      <c r="Q165" s="124">
        <f t="shared" si="193"/>
        <v>0.23933311987551595</v>
      </c>
      <c r="R165" s="124">
        <f t="shared" si="193"/>
        <v>0.23561466839631923</v>
      </c>
      <c r="S165" s="124">
        <f t="shared" si="193"/>
        <v>0.26801984813787683</v>
      </c>
      <c r="T165" s="124">
        <f t="shared" si="193"/>
        <v>0.28338926590640751</v>
      </c>
      <c r="U165" s="124">
        <f t="shared" si="193"/>
        <v>0.28811035694543152</v>
      </c>
      <c r="V165" s="124">
        <f t="shared" si="193"/>
        <v>0.14343827742751097</v>
      </c>
      <c r="W165" s="124">
        <f t="shared" si="193"/>
        <v>0.15037705672129678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1.1553474532162329E-2</v>
      </c>
      <c r="C166" s="140">
        <f t="shared" ref="C166:W166" si="194">IF(C74=0,0,C74/C$64)</f>
        <v>1.2835951053524535E-2</v>
      </c>
      <c r="D166" s="140">
        <f t="shared" si="194"/>
        <v>1.3397681539046368E-2</v>
      </c>
      <c r="E166" s="140">
        <f t="shared" si="194"/>
        <v>1.2752691338834462E-2</v>
      </c>
      <c r="F166" s="140">
        <f t="shared" si="194"/>
        <v>1.1862377572687913E-2</v>
      </c>
      <c r="G166" s="140">
        <f t="shared" si="194"/>
        <v>1.3508513102637905E-2</v>
      </c>
      <c r="H166" s="140">
        <f t="shared" si="194"/>
        <v>1.5818665639327909E-2</v>
      </c>
      <c r="I166" s="140">
        <f t="shared" si="194"/>
        <v>1.3569317978646106E-2</v>
      </c>
      <c r="J166" s="140">
        <f t="shared" si="194"/>
        <v>1.1103270513326824E-2</v>
      </c>
      <c r="K166" s="140">
        <f t="shared" si="194"/>
        <v>9.4097836682949156E-3</v>
      </c>
      <c r="L166" s="140">
        <f t="shared" si="194"/>
        <v>7.963029634455672E-3</v>
      </c>
      <c r="M166" s="140">
        <f t="shared" si="194"/>
        <v>2.3285323248969131E-3</v>
      </c>
      <c r="N166" s="140">
        <f t="shared" si="194"/>
        <v>2.2455937627352696E-3</v>
      </c>
      <c r="O166" s="140">
        <f t="shared" si="194"/>
        <v>2.2120485559866026E-3</v>
      </c>
      <c r="P166" s="140">
        <f t="shared" si="194"/>
        <v>2.1797043799954671E-3</v>
      </c>
      <c r="Q166" s="140">
        <f t="shared" si="194"/>
        <v>2.0853132944361227E-3</v>
      </c>
      <c r="R166" s="140">
        <f t="shared" si="194"/>
        <v>1.0302963640748636E-3</v>
      </c>
      <c r="S166" s="140">
        <f t="shared" si="194"/>
        <v>1.3409000623284472E-3</v>
      </c>
      <c r="T166" s="140">
        <f t="shared" si="194"/>
        <v>1.2557786606140148E-3</v>
      </c>
      <c r="U166" s="140">
        <f t="shared" si="194"/>
        <v>1.4331453834340877E-3</v>
      </c>
      <c r="V166" s="140">
        <f t="shared" si="194"/>
        <v>1.5965067280437767E-3</v>
      </c>
      <c r="W166" s="140">
        <f t="shared" si="194"/>
        <v>1.963032410986212E-3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0.13328868146412179</v>
      </c>
      <c r="C167" s="140">
        <f t="shared" ref="C167:W167" si="195">IF(C75=0,0,C75/C$64)</f>
        <v>0.15381003957417622</v>
      </c>
      <c r="D167" s="140">
        <f t="shared" si="195"/>
        <v>0.16329827773250433</v>
      </c>
      <c r="E167" s="140">
        <f t="shared" si="195"/>
        <v>0.16916901731412404</v>
      </c>
      <c r="F167" s="140">
        <f t="shared" si="195"/>
        <v>0.15648009849385594</v>
      </c>
      <c r="G167" s="140">
        <f t="shared" si="195"/>
        <v>0.16678374742573512</v>
      </c>
      <c r="H167" s="140">
        <f t="shared" si="195"/>
        <v>0.15518915181556556</v>
      </c>
      <c r="I167" s="140">
        <f t="shared" si="195"/>
        <v>0.17914055096781614</v>
      </c>
      <c r="J167" s="140">
        <f t="shared" si="195"/>
        <v>0.17304809003771432</v>
      </c>
      <c r="K167" s="140">
        <f t="shared" si="195"/>
        <v>0.11639884057317013</v>
      </c>
      <c r="L167" s="140">
        <f t="shared" si="195"/>
        <v>0.14606121750929452</v>
      </c>
      <c r="M167" s="140">
        <f t="shared" si="195"/>
        <v>0.14370932359781879</v>
      </c>
      <c r="N167" s="140">
        <f t="shared" si="195"/>
        <v>0.12493986414389761</v>
      </c>
      <c r="O167" s="140">
        <f t="shared" si="195"/>
        <v>0.13304676437341009</v>
      </c>
      <c r="P167" s="140">
        <f t="shared" si="195"/>
        <v>0.14570632342087675</v>
      </c>
      <c r="Q167" s="140">
        <f t="shared" si="195"/>
        <v>0.15769993108782779</v>
      </c>
      <c r="R167" s="140">
        <f t="shared" si="195"/>
        <v>0.15958369352114854</v>
      </c>
      <c r="S167" s="140">
        <f t="shared" si="195"/>
        <v>0.18308716567302424</v>
      </c>
      <c r="T167" s="140">
        <f t="shared" si="195"/>
        <v>0.19365974539851996</v>
      </c>
      <c r="U167" s="140">
        <f t="shared" si="195"/>
        <v>0.19473978274526466</v>
      </c>
      <c r="V167" s="140">
        <f t="shared" si="195"/>
        <v>8.3745882218570669E-2</v>
      </c>
      <c r="W167" s="140">
        <f t="shared" si="195"/>
        <v>9.1592325701230409E-2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8.340768729664931E-2</v>
      </c>
      <c r="C168" s="140">
        <f t="shared" ref="C168:W168" si="196">IF(C76=0,0,C76/C$64)</f>
        <v>8.8291133943694533E-2</v>
      </c>
      <c r="D168" s="140">
        <f t="shared" si="196"/>
        <v>8.9277150287251361E-2</v>
      </c>
      <c r="E168" s="140">
        <f t="shared" si="196"/>
        <v>7.7702248865170395E-2</v>
      </c>
      <c r="F168" s="140">
        <f t="shared" si="196"/>
        <v>7.196276485488394E-2</v>
      </c>
      <c r="G168" s="140">
        <f t="shared" si="196"/>
        <v>7.5273053169189211E-2</v>
      </c>
      <c r="H168" s="140">
        <f t="shared" si="196"/>
        <v>7.0266140504358088E-2</v>
      </c>
      <c r="I168" s="140">
        <f t="shared" si="196"/>
        <v>7.949641367893398E-2</v>
      </c>
      <c r="J168" s="140">
        <f t="shared" si="196"/>
        <v>7.6589949330980484E-2</v>
      </c>
      <c r="K168" s="140">
        <f t="shared" si="196"/>
        <v>5.6164336299836574E-2</v>
      </c>
      <c r="L168" s="140">
        <f t="shared" si="196"/>
        <v>7.4507515466567517E-2</v>
      </c>
      <c r="M168" s="140">
        <f t="shared" si="196"/>
        <v>7.3554365396659979E-2</v>
      </c>
      <c r="N168" s="140">
        <f t="shared" si="196"/>
        <v>6.5587545815325624E-2</v>
      </c>
      <c r="O168" s="140">
        <f t="shared" si="196"/>
        <v>7.0144120762056089E-2</v>
      </c>
      <c r="P168" s="140">
        <f t="shared" si="196"/>
        <v>7.5043812738126311E-2</v>
      </c>
      <c r="Q168" s="140">
        <f t="shared" si="196"/>
        <v>7.9547875493252013E-2</v>
      </c>
      <c r="R168" s="140">
        <f t="shared" si="196"/>
        <v>7.500067851109582E-2</v>
      </c>
      <c r="S168" s="140">
        <f t="shared" si="196"/>
        <v>8.3591782402524115E-2</v>
      </c>
      <c r="T168" s="140">
        <f t="shared" si="196"/>
        <v>8.8473741847273496E-2</v>
      </c>
      <c r="U168" s="140">
        <f t="shared" si="196"/>
        <v>9.1937428816732766E-2</v>
      </c>
      <c r="V168" s="140">
        <f t="shared" si="196"/>
        <v>5.8095888480896522E-2</v>
      </c>
      <c r="W168" s="140">
        <f t="shared" si="196"/>
        <v>5.6821698609080193E-2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0.95089609794584518</v>
      </c>
      <c r="C170" s="139">
        <f t="shared" ref="C170:W170" si="199">IF(C78=0,0,C78/C$77)</f>
        <v>0.95235851984651188</v>
      </c>
      <c r="D170" s="139">
        <f t="shared" si="199"/>
        <v>0.95313522295547704</v>
      </c>
      <c r="E170" s="139">
        <f t="shared" si="199"/>
        <v>0.95170783897063416</v>
      </c>
      <c r="F170" s="139">
        <f t="shared" si="199"/>
        <v>0.94281724878737272</v>
      </c>
      <c r="G170" s="139">
        <f t="shared" si="199"/>
        <v>0.94712418494070238</v>
      </c>
      <c r="H170" s="139">
        <f t="shared" si="199"/>
        <v>0.92688004706665983</v>
      </c>
      <c r="I170" s="139">
        <f t="shared" si="199"/>
        <v>0.94052246380901894</v>
      </c>
      <c r="J170" s="139">
        <f t="shared" si="199"/>
        <v>0.93324546174938683</v>
      </c>
      <c r="K170" s="139">
        <f t="shared" si="199"/>
        <v>0.92688269996426564</v>
      </c>
      <c r="L170" s="139">
        <f t="shared" si="199"/>
        <v>0.9144217239464949</v>
      </c>
      <c r="M170" s="139">
        <f t="shared" si="199"/>
        <v>0.91909099811513961</v>
      </c>
      <c r="N170" s="139">
        <f t="shared" si="199"/>
        <v>0.91411620422012907</v>
      </c>
      <c r="O170" s="139">
        <f t="shared" si="199"/>
        <v>0.91450138622429977</v>
      </c>
      <c r="P170" s="139">
        <f t="shared" si="199"/>
        <v>0.90835292475390828</v>
      </c>
      <c r="Q170" s="139">
        <f t="shared" si="199"/>
        <v>0.91849195150624008</v>
      </c>
      <c r="R170" s="139">
        <f t="shared" si="199"/>
        <v>0.914155278401938</v>
      </c>
      <c r="S170" s="139">
        <f t="shared" si="199"/>
        <v>0.9146556079282111</v>
      </c>
      <c r="T170" s="139">
        <f t="shared" si="199"/>
        <v>0.91292953541596555</v>
      </c>
      <c r="U170" s="139">
        <f t="shared" si="199"/>
        <v>0.91182031043974654</v>
      </c>
      <c r="V170" s="139">
        <f t="shared" si="199"/>
        <v>0.87826283831096275</v>
      </c>
      <c r="W170" s="139">
        <f t="shared" si="199"/>
        <v>0.87769616120436278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0.30682671978094594</v>
      </c>
      <c r="C171" s="140">
        <f t="shared" ref="C171:W171" si="200">IF(C79=0,0,C79/C$77)</f>
        <v>0.29983251348625545</v>
      </c>
      <c r="D171" s="140">
        <f t="shared" si="200"/>
        <v>0.30370905824658406</v>
      </c>
      <c r="E171" s="140">
        <f t="shared" si="200"/>
        <v>0.31063861479228255</v>
      </c>
      <c r="F171" s="140">
        <f t="shared" si="200"/>
        <v>0.30218509578037639</v>
      </c>
      <c r="G171" s="140">
        <f t="shared" si="200"/>
        <v>0.30822422779594683</v>
      </c>
      <c r="H171" s="140">
        <f t="shared" si="200"/>
        <v>0.30956723142353948</v>
      </c>
      <c r="I171" s="140">
        <f t="shared" si="200"/>
        <v>0.30959742302835763</v>
      </c>
      <c r="J171" s="140">
        <f t="shared" si="200"/>
        <v>0.33984400644700752</v>
      </c>
      <c r="K171" s="140">
        <f t="shared" si="200"/>
        <v>0.4002570661506849</v>
      </c>
      <c r="L171" s="140">
        <f t="shared" si="200"/>
        <v>0.41213327328034199</v>
      </c>
      <c r="M171" s="140">
        <f t="shared" si="200"/>
        <v>0.42868606654356878</v>
      </c>
      <c r="N171" s="140">
        <f t="shared" si="200"/>
        <v>0.41608146328223239</v>
      </c>
      <c r="O171" s="140">
        <f t="shared" si="200"/>
        <v>0.42042606895885015</v>
      </c>
      <c r="P171" s="140">
        <f t="shared" si="200"/>
        <v>0.39522178040280448</v>
      </c>
      <c r="Q171" s="140">
        <f t="shared" si="200"/>
        <v>0.38792627365755417</v>
      </c>
      <c r="R171" s="140">
        <f t="shared" si="200"/>
        <v>0.3553950098728505</v>
      </c>
      <c r="S171" s="140">
        <f t="shared" si="200"/>
        <v>0.3546845560934816</v>
      </c>
      <c r="T171" s="140">
        <f t="shared" si="200"/>
        <v>0.344505474392093</v>
      </c>
      <c r="U171" s="140">
        <f t="shared" si="200"/>
        <v>0.32431701354653225</v>
      </c>
      <c r="V171" s="140">
        <f t="shared" si="200"/>
        <v>0.34851783407121562</v>
      </c>
      <c r="W171" s="140">
        <f t="shared" si="200"/>
        <v>0.32809676084260952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0.64406937816489929</v>
      </c>
      <c r="C172" s="140">
        <f t="shared" ref="C172:W172" si="201">IF(C80=0,0,C80/C$77)</f>
        <v>0.65252600636025626</v>
      </c>
      <c r="D172" s="140">
        <f t="shared" si="201"/>
        <v>0.64942616470889303</v>
      </c>
      <c r="E172" s="140">
        <f t="shared" si="201"/>
        <v>0.64106922417835166</v>
      </c>
      <c r="F172" s="140">
        <f t="shared" si="201"/>
        <v>0.64063215300699627</v>
      </c>
      <c r="G172" s="140">
        <f t="shared" si="201"/>
        <v>0.63889995714475556</v>
      </c>
      <c r="H172" s="140">
        <f t="shared" si="201"/>
        <v>0.61731281564312046</v>
      </c>
      <c r="I172" s="140">
        <f t="shared" si="201"/>
        <v>0.63092504078066136</v>
      </c>
      <c r="J172" s="140">
        <f t="shared" si="201"/>
        <v>0.59340145530237931</v>
      </c>
      <c r="K172" s="140">
        <f t="shared" si="201"/>
        <v>0.52662563381358074</v>
      </c>
      <c r="L172" s="140">
        <f t="shared" si="201"/>
        <v>0.50228845066615302</v>
      </c>
      <c r="M172" s="140">
        <f t="shared" si="201"/>
        <v>0.49040493157157089</v>
      </c>
      <c r="N172" s="140">
        <f t="shared" si="201"/>
        <v>0.49803474093789663</v>
      </c>
      <c r="O172" s="140">
        <f t="shared" si="201"/>
        <v>0.49407531726544957</v>
      </c>
      <c r="P172" s="140">
        <f t="shared" si="201"/>
        <v>0.51313114435110385</v>
      </c>
      <c r="Q172" s="140">
        <f t="shared" si="201"/>
        <v>0.53056567784868602</v>
      </c>
      <c r="R172" s="140">
        <f t="shared" si="201"/>
        <v>0.55876026852908756</v>
      </c>
      <c r="S172" s="140">
        <f t="shared" si="201"/>
        <v>0.55997105183472951</v>
      </c>
      <c r="T172" s="140">
        <f t="shared" si="201"/>
        <v>0.56842406102387255</v>
      </c>
      <c r="U172" s="140">
        <f t="shared" si="201"/>
        <v>0.58750329689321423</v>
      </c>
      <c r="V172" s="140">
        <f t="shared" si="201"/>
        <v>0.52974500423974702</v>
      </c>
      <c r="W172" s="140">
        <f t="shared" si="201"/>
        <v>0.54959940036175325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4.2590047765108741E-3</v>
      </c>
      <c r="C173" s="124">
        <f t="shared" ref="C173:W173" si="202">IF(C81=0,0,C81/C$77)</f>
        <v>4.3174595982556638E-3</v>
      </c>
      <c r="D173" s="124">
        <f t="shared" si="202"/>
        <v>3.5846803270024596E-3</v>
      </c>
      <c r="E173" s="124">
        <f t="shared" si="202"/>
        <v>3.2127372839729825E-3</v>
      </c>
      <c r="F173" s="124">
        <f t="shared" si="202"/>
        <v>2.7581877448666255E-3</v>
      </c>
      <c r="G173" s="124">
        <f t="shared" si="202"/>
        <v>1.9484012301320425E-3</v>
      </c>
      <c r="H173" s="124">
        <f t="shared" si="202"/>
        <v>1.2245204076132554E-3</v>
      </c>
      <c r="I173" s="124">
        <f t="shared" si="202"/>
        <v>7.3917875097371079E-4</v>
      </c>
      <c r="J173" s="124">
        <f t="shared" si="202"/>
        <v>6.549891902984154E-4</v>
      </c>
      <c r="K173" s="124">
        <f t="shared" si="202"/>
        <v>5.4959685165615875E-4</v>
      </c>
      <c r="L173" s="124">
        <f t="shared" si="202"/>
        <v>7.5867098813496645E-4</v>
      </c>
      <c r="M173" s="124">
        <f t="shared" si="202"/>
        <v>9.3558824287061522E-4</v>
      </c>
      <c r="N173" s="124">
        <f t="shared" si="202"/>
        <v>7.9987259019257263E-4</v>
      </c>
      <c r="O173" s="124">
        <f t="shared" si="202"/>
        <v>8.5642125341277655E-4</v>
      </c>
      <c r="P173" s="124">
        <f t="shared" si="202"/>
        <v>8.6722047855136686E-4</v>
      </c>
      <c r="Q173" s="124">
        <f t="shared" si="202"/>
        <v>8.3730577020921617E-4</v>
      </c>
      <c r="R173" s="124">
        <f t="shared" si="202"/>
        <v>8.2167297341679928E-4</v>
      </c>
      <c r="S173" s="124">
        <f t="shared" si="202"/>
        <v>8.282156342159251E-4</v>
      </c>
      <c r="T173" s="124">
        <f t="shared" si="202"/>
        <v>7.0371701375874184E-4</v>
      </c>
      <c r="U173" s="124">
        <f t="shared" si="202"/>
        <v>5.7331481467747837E-4</v>
      </c>
      <c r="V173" s="124">
        <f t="shared" si="202"/>
        <v>6.2616804669987463E-4</v>
      </c>
      <c r="W173" s="124">
        <f t="shared" si="202"/>
        <v>5.3757010315805579E-4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8.3126078944532802E-3</v>
      </c>
      <c r="C174" s="124">
        <f t="shared" ref="C174:W174" si="203">IF(C82=0,0,C82/C$77)</f>
        <v>8.7380446270011666E-3</v>
      </c>
      <c r="D174" s="124">
        <f t="shared" si="203"/>
        <v>7.9344945274931727E-3</v>
      </c>
      <c r="E174" s="124">
        <f t="shared" si="203"/>
        <v>8.2192500809452843E-3</v>
      </c>
      <c r="F174" s="124">
        <f t="shared" si="203"/>
        <v>1.0810526935021715E-2</v>
      </c>
      <c r="G174" s="124">
        <f t="shared" si="203"/>
        <v>1.186329043833419E-2</v>
      </c>
      <c r="H174" s="124">
        <f t="shared" si="203"/>
        <v>1.4387436268999529E-2</v>
      </c>
      <c r="I174" s="124">
        <f t="shared" si="203"/>
        <v>1.2890454454620847E-2</v>
      </c>
      <c r="J174" s="124">
        <f t="shared" si="203"/>
        <v>1.2864633921642289E-2</v>
      </c>
      <c r="K174" s="124">
        <f t="shared" si="203"/>
        <v>1.0327832298034424E-2</v>
      </c>
      <c r="L174" s="124">
        <f t="shared" si="203"/>
        <v>1.7247049191442838E-2</v>
      </c>
      <c r="M174" s="124">
        <f t="shared" si="203"/>
        <v>1.4480560910803429E-2</v>
      </c>
      <c r="N174" s="124">
        <f t="shared" si="203"/>
        <v>1.5127746793243402E-2</v>
      </c>
      <c r="O174" s="124">
        <f t="shared" si="203"/>
        <v>1.6057351688754974E-2</v>
      </c>
      <c r="P174" s="124">
        <f t="shared" si="203"/>
        <v>1.6535676543764102E-2</v>
      </c>
      <c r="Q174" s="124">
        <f t="shared" si="203"/>
        <v>1.9204027156598039E-2</v>
      </c>
      <c r="R174" s="124">
        <f t="shared" si="203"/>
        <v>1.527561797800844E-2</v>
      </c>
      <c r="S174" s="124">
        <f t="shared" si="203"/>
        <v>2.0455639188430477E-2</v>
      </c>
      <c r="T174" s="124">
        <f t="shared" si="203"/>
        <v>1.7881533061044272E-2</v>
      </c>
      <c r="U174" s="124">
        <f t="shared" si="203"/>
        <v>1.5991693990170679E-2</v>
      </c>
      <c r="V174" s="124">
        <f t="shared" si="203"/>
        <v>2.3928577903732599E-2</v>
      </c>
      <c r="W174" s="124">
        <f t="shared" si="203"/>
        <v>2.7252631078749732E-2</v>
      </c>
      <c r="DA174" s="176"/>
    </row>
    <row r="175" spans="1:105" ht="11.45" customHeight="1" x14ac:dyDescent="0.25">
      <c r="A175" s="128" t="s">
        <v>27</v>
      </c>
      <c r="B175" s="140">
        <f t="shared" si="197"/>
        <v>9.6154196955168438E-4</v>
      </c>
      <c r="C175" s="140">
        <f t="shared" ref="C175:W175" si="204">IF(C83=0,0,C83/C$77)</f>
        <v>1.0373403135922196E-3</v>
      </c>
      <c r="D175" s="140">
        <f t="shared" si="204"/>
        <v>8.1440751495964064E-4</v>
      </c>
      <c r="E175" s="140">
        <f t="shared" si="204"/>
        <v>6.6458781484139088E-4</v>
      </c>
      <c r="F175" s="140">
        <f t="shared" si="204"/>
        <v>1.2227176830948365E-3</v>
      </c>
      <c r="G175" s="140">
        <f t="shared" si="204"/>
        <v>1.6127677343153199E-3</v>
      </c>
      <c r="H175" s="140">
        <f t="shared" si="204"/>
        <v>2.719134084202786E-3</v>
      </c>
      <c r="I175" s="140">
        <f t="shared" si="204"/>
        <v>1.8532010708344588E-3</v>
      </c>
      <c r="J175" s="140">
        <f t="shared" si="204"/>
        <v>1.4387081111365213E-3</v>
      </c>
      <c r="K175" s="140">
        <f t="shared" si="204"/>
        <v>1.5766411398550801E-3</v>
      </c>
      <c r="L175" s="140">
        <f t="shared" si="204"/>
        <v>1.829986820488357E-3</v>
      </c>
      <c r="M175" s="140">
        <f t="shared" si="204"/>
        <v>9.2906932334811091E-4</v>
      </c>
      <c r="N175" s="140">
        <f t="shared" si="204"/>
        <v>1.4649336572881031E-3</v>
      </c>
      <c r="O175" s="140">
        <f t="shared" si="204"/>
        <v>1.3384430155546139E-3</v>
      </c>
      <c r="P175" s="140">
        <f t="shared" si="204"/>
        <v>1.0143305266629599E-3</v>
      </c>
      <c r="Q175" s="140">
        <f t="shared" si="204"/>
        <v>9.96975231185956E-4</v>
      </c>
      <c r="R175" s="140">
        <f t="shared" si="204"/>
        <v>3.6772556729024652E-4</v>
      </c>
      <c r="S175" s="140">
        <f t="shared" si="204"/>
        <v>6.3218482151618976E-4</v>
      </c>
      <c r="T175" s="140">
        <f t="shared" si="204"/>
        <v>5.8522479931992727E-4</v>
      </c>
      <c r="U175" s="140">
        <f t="shared" si="204"/>
        <v>3.865901148828416E-4</v>
      </c>
      <c r="V175" s="140">
        <f t="shared" si="204"/>
        <v>3.5147239726117694E-4</v>
      </c>
      <c r="W175" s="140">
        <f t="shared" si="204"/>
        <v>8.2993885613993879E-4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3.1544627036079425E-3</v>
      </c>
      <c r="C176" s="140">
        <f t="shared" ref="C176:W176" si="205">IF(C84=0,0,C84/C$77)</f>
        <v>3.2961665205726294E-3</v>
      </c>
      <c r="D176" s="140">
        <f t="shared" si="205"/>
        <v>2.5042217797821551E-3</v>
      </c>
      <c r="E176" s="140">
        <f t="shared" si="205"/>
        <v>2.3837113828353612E-3</v>
      </c>
      <c r="F176" s="140">
        <f t="shared" si="205"/>
        <v>2.1031262998188376E-3</v>
      </c>
      <c r="G176" s="140">
        <f t="shared" si="205"/>
        <v>3.8888545186661887E-3</v>
      </c>
      <c r="H176" s="140">
        <f t="shared" si="205"/>
        <v>5.476927895233864E-3</v>
      </c>
      <c r="I176" s="140">
        <f t="shared" si="205"/>
        <v>5.4389897781409891E-3</v>
      </c>
      <c r="J176" s="140">
        <f t="shared" si="205"/>
        <v>5.6638118736405587E-3</v>
      </c>
      <c r="K176" s="140">
        <f t="shared" si="205"/>
        <v>4.8312388061389827E-3</v>
      </c>
      <c r="L176" s="140">
        <f t="shared" si="205"/>
        <v>7.6143663298491654E-3</v>
      </c>
      <c r="M176" s="140">
        <f t="shared" si="205"/>
        <v>7.1467063981435772E-3</v>
      </c>
      <c r="N176" s="140">
        <f t="shared" si="205"/>
        <v>5.710712015290902E-3</v>
      </c>
      <c r="O176" s="140">
        <f t="shared" si="205"/>
        <v>5.7220606750301786E-3</v>
      </c>
      <c r="P176" s="140">
        <f t="shared" si="205"/>
        <v>6.7956256049805991E-3</v>
      </c>
      <c r="Q176" s="140">
        <f t="shared" si="205"/>
        <v>8.1526235512552857E-3</v>
      </c>
      <c r="R176" s="140">
        <f t="shared" si="205"/>
        <v>6.5446174794427086E-3</v>
      </c>
      <c r="S176" s="140">
        <f t="shared" si="205"/>
        <v>7.8440562656388428E-3</v>
      </c>
      <c r="T176" s="140">
        <f t="shared" si="205"/>
        <v>8.2119210386875675E-3</v>
      </c>
      <c r="U176" s="140">
        <f t="shared" si="205"/>
        <v>7.7740580818327232E-3</v>
      </c>
      <c r="V176" s="140">
        <f t="shared" si="205"/>
        <v>7.8793071954719341E-3</v>
      </c>
      <c r="W176" s="140">
        <f t="shared" si="205"/>
        <v>9.2438489819979507E-3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4.1966032212936537E-3</v>
      </c>
      <c r="C177" s="140">
        <f t="shared" ref="C177:W177" si="206">IF(C85=0,0,C85/C$77)</f>
        <v>4.4045377928363183E-3</v>
      </c>
      <c r="D177" s="140">
        <f t="shared" si="206"/>
        <v>4.6158652327513757E-3</v>
      </c>
      <c r="E177" s="140">
        <f t="shared" si="206"/>
        <v>5.1709508832685309E-3</v>
      </c>
      <c r="F177" s="140">
        <f t="shared" si="206"/>
        <v>7.484682952108042E-3</v>
      </c>
      <c r="G177" s="140">
        <f t="shared" si="206"/>
        <v>6.3616681853526811E-3</v>
      </c>
      <c r="H177" s="140">
        <f t="shared" si="206"/>
        <v>6.1913742895628784E-3</v>
      </c>
      <c r="I177" s="140">
        <f t="shared" si="206"/>
        <v>5.5982636056453984E-3</v>
      </c>
      <c r="J177" s="140">
        <f t="shared" si="206"/>
        <v>5.7621139368652097E-3</v>
      </c>
      <c r="K177" s="140">
        <f t="shared" si="206"/>
        <v>3.9199523520403613E-3</v>
      </c>
      <c r="L177" s="140">
        <f t="shared" si="206"/>
        <v>7.8026960411053141E-3</v>
      </c>
      <c r="M177" s="140">
        <f t="shared" si="206"/>
        <v>6.4047851893117413E-3</v>
      </c>
      <c r="N177" s="140">
        <f t="shared" si="206"/>
        <v>7.9521011206643965E-3</v>
      </c>
      <c r="O177" s="140">
        <f t="shared" si="206"/>
        <v>8.996847998170179E-3</v>
      </c>
      <c r="P177" s="140">
        <f t="shared" si="206"/>
        <v>8.7257204121205419E-3</v>
      </c>
      <c r="Q177" s="140">
        <f t="shared" si="206"/>
        <v>1.0054428374156798E-2</v>
      </c>
      <c r="R177" s="140">
        <f t="shared" si="206"/>
        <v>8.3632749312754842E-3</v>
      </c>
      <c r="S177" s="140">
        <f t="shared" si="206"/>
        <v>1.1979398101275443E-2</v>
      </c>
      <c r="T177" s="140">
        <f t="shared" si="206"/>
        <v>9.0843872230367759E-3</v>
      </c>
      <c r="U177" s="140">
        <f t="shared" si="206"/>
        <v>7.8310457934551159E-3</v>
      </c>
      <c r="V177" s="140">
        <f t="shared" si="206"/>
        <v>1.5697798310999489E-2</v>
      </c>
      <c r="W177" s="140">
        <f t="shared" si="206"/>
        <v>1.7178843240611846E-2</v>
      </c>
      <c r="DA177" s="175"/>
    </row>
    <row r="178" spans="1:105" ht="11.45" customHeight="1" x14ac:dyDescent="0.25">
      <c r="A178" s="109" t="s">
        <v>142</v>
      </c>
      <c r="B178" s="124">
        <f t="shared" si="197"/>
        <v>3.653228938319069E-2</v>
      </c>
      <c r="C178" s="124">
        <f t="shared" ref="C178:W178" si="207">IF(C86=0,0,C86/C$77)</f>
        <v>3.4585975928231268E-2</v>
      </c>
      <c r="D178" s="124">
        <f t="shared" si="207"/>
        <v>3.5345602190027352E-2</v>
      </c>
      <c r="E178" s="124">
        <f t="shared" si="207"/>
        <v>3.686017366444741E-2</v>
      </c>
      <c r="F178" s="124">
        <f t="shared" si="207"/>
        <v>4.3614036532738966E-2</v>
      </c>
      <c r="G178" s="124">
        <f t="shared" si="207"/>
        <v>3.9064123390831318E-2</v>
      </c>
      <c r="H178" s="124">
        <f t="shared" si="207"/>
        <v>5.7507996256727235E-2</v>
      </c>
      <c r="I178" s="124">
        <f t="shared" si="207"/>
        <v>4.5847902985386463E-2</v>
      </c>
      <c r="J178" s="124">
        <f t="shared" si="207"/>
        <v>5.3234915138672539E-2</v>
      </c>
      <c r="K178" s="124">
        <f t="shared" si="207"/>
        <v>6.2239870886043845E-2</v>
      </c>
      <c r="L178" s="124">
        <f t="shared" si="207"/>
        <v>6.7572555873927312E-2</v>
      </c>
      <c r="M178" s="124">
        <f t="shared" si="207"/>
        <v>6.5492852731186282E-2</v>
      </c>
      <c r="N178" s="124">
        <f t="shared" si="207"/>
        <v>6.9956176396435019E-2</v>
      </c>
      <c r="O178" s="124">
        <f t="shared" si="207"/>
        <v>6.8584840833532515E-2</v>
      </c>
      <c r="P178" s="124">
        <f t="shared" si="207"/>
        <v>7.4244178223776297E-2</v>
      </c>
      <c r="Q178" s="124">
        <f t="shared" si="207"/>
        <v>6.1466715566952546E-2</v>
      </c>
      <c r="R178" s="124">
        <f t="shared" si="207"/>
        <v>6.9747430646636605E-2</v>
      </c>
      <c r="S178" s="124">
        <f t="shared" si="207"/>
        <v>6.4060537249142485E-2</v>
      </c>
      <c r="T178" s="124">
        <f t="shared" si="207"/>
        <v>6.8485214509231465E-2</v>
      </c>
      <c r="U178" s="124">
        <f t="shared" si="207"/>
        <v>7.1614680755405224E-2</v>
      </c>
      <c r="V178" s="124">
        <f t="shared" si="207"/>
        <v>9.7182415738604783E-2</v>
      </c>
      <c r="W178" s="124">
        <f t="shared" si="207"/>
        <v>9.4513637613729468E-2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3.653228938319069E-2</v>
      </c>
      <c r="C179" s="140">
        <f t="shared" ref="C179:W179" si="208">IF(C87=0,0,C87/C$77)</f>
        <v>3.4585975928231268E-2</v>
      </c>
      <c r="D179" s="140">
        <f t="shared" si="208"/>
        <v>3.5345602190027352E-2</v>
      </c>
      <c r="E179" s="140">
        <f t="shared" si="208"/>
        <v>3.686017366444741E-2</v>
      </c>
      <c r="F179" s="140">
        <f t="shared" si="208"/>
        <v>4.3614036532738966E-2</v>
      </c>
      <c r="G179" s="140">
        <f t="shared" si="208"/>
        <v>3.9064123390831318E-2</v>
      </c>
      <c r="H179" s="140">
        <f t="shared" si="208"/>
        <v>5.7507996256727235E-2</v>
      </c>
      <c r="I179" s="140">
        <f t="shared" si="208"/>
        <v>4.5847902985386463E-2</v>
      </c>
      <c r="J179" s="140">
        <f t="shared" si="208"/>
        <v>5.3234915138672539E-2</v>
      </c>
      <c r="K179" s="140">
        <f t="shared" si="208"/>
        <v>6.2239870886043845E-2</v>
      </c>
      <c r="L179" s="140">
        <f t="shared" si="208"/>
        <v>6.7572555873927312E-2</v>
      </c>
      <c r="M179" s="140">
        <f t="shared" si="208"/>
        <v>6.5492852731186282E-2</v>
      </c>
      <c r="N179" s="140">
        <f t="shared" si="208"/>
        <v>6.9956176396435019E-2</v>
      </c>
      <c r="O179" s="140">
        <f t="shared" si="208"/>
        <v>6.8584840833532515E-2</v>
      </c>
      <c r="P179" s="140">
        <f t="shared" si="208"/>
        <v>7.4244178223776297E-2</v>
      </c>
      <c r="Q179" s="140">
        <f t="shared" si="208"/>
        <v>6.1466715566952546E-2</v>
      </c>
      <c r="R179" s="140">
        <f t="shared" si="208"/>
        <v>6.9747430646636605E-2</v>
      </c>
      <c r="S179" s="140">
        <f t="shared" si="208"/>
        <v>6.4060537249142485E-2</v>
      </c>
      <c r="T179" s="140">
        <f t="shared" si="208"/>
        <v>6.8485214509231465E-2</v>
      </c>
      <c r="U179" s="140">
        <f t="shared" si="208"/>
        <v>7.1614680755405224E-2</v>
      </c>
      <c r="V179" s="140">
        <f t="shared" si="208"/>
        <v>9.7182415738604783E-2</v>
      </c>
      <c r="W179" s="140">
        <f t="shared" si="208"/>
        <v>9.4513637613729468E-2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0.38258709018175124</v>
      </c>
      <c r="C182" s="140">
        <f t="shared" ref="C182:W182" si="211">IF(C90=0,0,C90/C$89)</f>
        <v>0.38029663990873647</v>
      </c>
      <c r="D182" s="140">
        <f t="shared" si="211"/>
        <v>0.36549060349384016</v>
      </c>
      <c r="E182" s="140">
        <f t="shared" si="211"/>
        <v>0.37989516839979703</v>
      </c>
      <c r="F182" s="140">
        <f t="shared" si="211"/>
        <v>0.39772786498747453</v>
      </c>
      <c r="G182" s="140">
        <f t="shared" si="211"/>
        <v>0.39718377197496063</v>
      </c>
      <c r="H182" s="140">
        <f t="shared" si="211"/>
        <v>0.47707001102392188</v>
      </c>
      <c r="I182" s="140">
        <f t="shared" si="211"/>
        <v>0.42069173991502656</v>
      </c>
      <c r="J182" s="140">
        <f t="shared" si="211"/>
        <v>0.41630699927040771</v>
      </c>
      <c r="K182" s="140">
        <f t="shared" si="211"/>
        <v>0.43693862486122398</v>
      </c>
      <c r="L182" s="140">
        <f t="shared" si="211"/>
        <v>0.43625815884723007</v>
      </c>
      <c r="M182" s="140">
        <f t="shared" si="211"/>
        <v>0.41022570576935963</v>
      </c>
      <c r="N182" s="140">
        <f t="shared" si="211"/>
        <v>0.41539818609394713</v>
      </c>
      <c r="O182" s="140">
        <f t="shared" si="211"/>
        <v>0.43997055818908809</v>
      </c>
      <c r="P182" s="140">
        <f t="shared" si="211"/>
        <v>0.41863874484559116</v>
      </c>
      <c r="Q182" s="140">
        <f t="shared" si="211"/>
        <v>0.42493033138652936</v>
      </c>
      <c r="R182" s="140">
        <f t="shared" si="211"/>
        <v>0.42314293721691115</v>
      </c>
      <c r="S182" s="140">
        <f t="shared" si="211"/>
        <v>0.41843801631975702</v>
      </c>
      <c r="T182" s="140">
        <f t="shared" si="211"/>
        <v>0.42997150164095355</v>
      </c>
      <c r="U182" s="140">
        <f t="shared" si="211"/>
        <v>0.43289193084020261</v>
      </c>
      <c r="V182" s="140">
        <f t="shared" si="211"/>
        <v>0.39542787937872725</v>
      </c>
      <c r="W182" s="140">
        <f t="shared" si="211"/>
        <v>0.41058133624720056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0.61741290981824881</v>
      </c>
      <c r="C183" s="127">
        <f t="shared" ref="C183:W183" si="212">IF(C91=0,0,C91/C$89)</f>
        <v>0.6197033600912637</v>
      </c>
      <c r="D183" s="127">
        <f t="shared" si="212"/>
        <v>0.6345093965061599</v>
      </c>
      <c r="E183" s="127">
        <f t="shared" si="212"/>
        <v>0.62010483160020291</v>
      </c>
      <c r="F183" s="127">
        <f t="shared" si="212"/>
        <v>0.60227213501252541</v>
      </c>
      <c r="G183" s="127">
        <f t="shared" si="212"/>
        <v>0.60281622802503931</v>
      </c>
      <c r="H183" s="127">
        <f t="shared" si="212"/>
        <v>0.52292998897607812</v>
      </c>
      <c r="I183" s="127">
        <f t="shared" si="212"/>
        <v>0.57930826008497338</v>
      </c>
      <c r="J183" s="127">
        <f t="shared" si="212"/>
        <v>0.5836930007295924</v>
      </c>
      <c r="K183" s="127">
        <f t="shared" si="212"/>
        <v>0.56306137513877608</v>
      </c>
      <c r="L183" s="127">
        <f t="shared" si="212"/>
        <v>0.56374184115276993</v>
      </c>
      <c r="M183" s="127">
        <f t="shared" si="212"/>
        <v>0.58977429423064032</v>
      </c>
      <c r="N183" s="127">
        <f t="shared" si="212"/>
        <v>0.58460181390605281</v>
      </c>
      <c r="O183" s="127">
        <f t="shared" si="212"/>
        <v>0.56002944181091197</v>
      </c>
      <c r="P183" s="127">
        <f t="shared" si="212"/>
        <v>0.58136125515440884</v>
      </c>
      <c r="Q183" s="127">
        <f t="shared" si="212"/>
        <v>0.57506966861347064</v>
      </c>
      <c r="R183" s="127">
        <f t="shared" si="212"/>
        <v>0.5768570627830889</v>
      </c>
      <c r="S183" s="127">
        <f t="shared" si="212"/>
        <v>0.58156198368024303</v>
      </c>
      <c r="T183" s="127">
        <f t="shared" si="212"/>
        <v>0.57002849835904656</v>
      </c>
      <c r="U183" s="127">
        <f t="shared" si="212"/>
        <v>0.56710806915979728</v>
      </c>
      <c r="V183" s="127">
        <f t="shared" si="212"/>
        <v>0.60457212062127286</v>
      </c>
      <c r="W183" s="127">
        <f t="shared" si="212"/>
        <v>0.5894186637527995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49.26136269010992</v>
      </c>
      <c r="C186" s="32">
        <f t="shared" si="213"/>
        <v>50.153794527475831</v>
      </c>
      <c r="D186" s="32">
        <f t="shared" si="213"/>
        <v>49.919577917507169</v>
      </c>
      <c r="E186" s="32">
        <f t="shared" si="213"/>
        <v>48.192281997801963</v>
      </c>
      <c r="F186" s="32">
        <f t="shared" si="213"/>
        <v>46.014003020151677</v>
      </c>
      <c r="G186" s="32">
        <f t="shared" si="213"/>
        <v>46.563167933286351</v>
      </c>
      <c r="H186" s="32">
        <f t="shared" si="213"/>
        <v>47.58887899559172</v>
      </c>
      <c r="I186" s="32">
        <f t="shared" si="213"/>
        <v>46.996204460818248</v>
      </c>
      <c r="J186" s="32">
        <f t="shared" si="213"/>
        <v>45.446472908297849</v>
      </c>
      <c r="K186" s="32">
        <f t="shared" si="213"/>
        <v>41.726736200424405</v>
      </c>
      <c r="L186" s="32">
        <f t="shared" si="213"/>
        <v>44.273783249582067</v>
      </c>
      <c r="M186" s="32">
        <f t="shared" si="213"/>
        <v>42.286570567256945</v>
      </c>
      <c r="N186" s="32">
        <f t="shared" si="213"/>
        <v>40.497920592390422</v>
      </c>
      <c r="O186" s="32">
        <f t="shared" si="213"/>
        <v>40.549871910828486</v>
      </c>
      <c r="P186" s="32">
        <f t="shared" si="213"/>
        <v>42.564904666002064</v>
      </c>
      <c r="Q186" s="32">
        <f t="shared" si="213"/>
        <v>40.571000990169487</v>
      </c>
      <c r="R186" s="32">
        <f t="shared" si="213"/>
        <v>39.508694480712627</v>
      </c>
      <c r="S186" s="32">
        <f t="shared" si="213"/>
        <v>38.793375314176707</v>
      </c>
      <c r="T186" s="32">
        <f t="shared" si="213"/>
        <v>37.902070267884952</v>
      </c>
      <c r="U186" s="32">
        <f t="shared" si="213"/>
        <v>36.774344037815084</v>
      </c>
      <c r="V186" s="32">
        <f t="shared" si="213"/>
        <v>40.326951687537168</v>
      </c>
      <c r="W186" s="32">
        <f t="shared" ref="W186" si="214">IF(W34=0,0,W34/W4*1000)</f>
        <v>39.974338278513386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50.300236940790477</v>
      </c>
      <c r="C187" s="141">
        <f t="shared" si="215"/>
        <v>49.624609652123709</v>
      </c>
      <c r="D187" s="141">
        <f t="shared" si="215"/>
        <v>48.541085462083132</v>
      </c>
      <c r="E187" s="141">
        <f t="shared" si="215"/>
        <v>46.346681270515766</v>
      </c>
      <c r="F187" s="141">
        <f t="shared" si="215"/>
        <v>45.351387393136719</v>
      </c>
      <c r="G187" s="141">
        <f t="shared" si="215"/>
        <v>46.826800851914072</v>
      </c>
      <c r="H187" s="141">
        <f t="shared" si="215"/>
        <v>50.449789832702294</v>
      </c>
      <c r="I187" s="141">
        <f t="shared" si="215"/>
        <v>48.629169226147596</v>
      </c>
      <c r="J187" s="141">
        <f t="shared" si="215"/>
        <v>47.26600490500882</v>
      </c>
      <c r="K187" s="141">
        <f t="shared" si="215"/>
        <v>46.094517338247478</v>
      </c>
      <c r="L187" s="141">
        <f t="shared" si="215"/>
        <v>45.234635922955242</v>
      </c>
      <c r="M187" s="141">
        <f t="shared" si="215"/>
        <v>44.055456365688812</v>
      </c>
      <c r="N187" s="141">
        <f t="shared" si="215"/>
        <v>44.185138819448021</v>
      </c>
      <c r="O187" s="141">
        <f t="shared" si="215"/>
        <v>43.968821416182855</v>
      </c>
      <c r="P187" s="141">
        <f t="shared" si="215"/>
        <v>46.389589397972095</v>
      </c>
      <c r="Q187" s="141">
        <f t="shared" si="215"/>
        <v>43.838053528478596</v>
      </c>
      <c r="R187" s="141">
        <f t="shared" si="215"/>
        <v>43.438797900819026</v>
      </c>
      <c r="S187" s="141">
        <f t="shared" si="215"/>
        <v>41.737594567194606</v>
      </c>
      <c r="T187" s="141">
        <f t="shared" si="215"/>
        <v>40.955559346560861</v>
      </c>
      <c r="U187" s="141">
        <f t="shared" si="215"/>
        <v>39.818794562842655</v>
      </c>
      <c r="V187" s="141">
        <f t="shared" si="215"/>
        <v>38.985522288499915</v>
      </c>
      <c r="W187" s="141">
        <f t="shared" ref="W187" si="216">IF(W35=0,0,W35/W5*1000)</f>
        <v>38.472666556114255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36.644181945187434</v>
      </c>
      <c r="C188" s="97">
        <f t="shared" si="217"/>
        <v>36.115858427844067</v>
      </c>
      <c r="D188" s="97">
        <f t="shared" si="217"/>
        <v>35.426572966967179</v>
      </c>
      <c r="E188" s="97">
        <f t="shared" si="217"/>
        <v>35.215743698045245</v>
      </c>
      <c r="F188" s="97">
        <f t="shared" si="217"/>
        <v>34.957623086750729</v>
      </c>
      <c r="G188" s="97">
        <f t="shared" si="217"/>
        <v>34.744780343490191</v>
      </c>
      <c r="H188" s="97">
        <f t="shared" si="217"/>
        <v>34.515888950581953</v>
      </c>
      <c r="I188" s="97">
        <f t="shared" si="217"/>
        <v>34.443615088446499</v>
      </c>
      <c r="J188" s="97">
        <f t="shared" si="217"/>
        <v>34.342504066127127</v>
      </c>
      <c r="K188" s="97">
        <f t="shared" si="217"/>
        <v>34.176621039538539</v>
      </c>
      <c r="L188" s="97">
        <f t="shared" si="217"/>
        <v>33.961156522243435</v>
      </c>
      <c r="M188" s="97">
        <f t="shared" si="217"/>
        <v>33.715130244795276</v>
      </c>
      <c r="N188" s="97">
        <f t="shared" si="217"/>
        <v>33.874626512567808</v>
      </c>
      <c r="O188" s="97">
        <f t="shared" si="217"/>
        <v>33.413421101265378</v>
      </c>
      <c r="P188" s="97">
        <f t="shared" si="217"/>
        <v>33.18431740163583</v>
      </c>
      <c r="Q188" s="97">
        <f t="shared" si="217"/>
        <v>32.784718784493457</v>
      </c>
      <c r="R188" s="97">
        <f t="shared" si="217"/>
        <v>32.488673333275784</v>
      </c>
      <c r="S188" s="97">
        <f t="shared" si="217"/>
        <v>32.108695325286284</v>
      </c>
      <c r="T188" s="97">
        <f t="shared" si="217"/>
        <v>31.937067616226887</v>
      </c>
      <c r="U188" s="97">
        <f t="shared" si="217"/>
        <v>31.619267058686034</v>
      </c>
      <c r="V188" s="97">
        <f t="shared" si="217"/>
        <v>31.481089407457489</v>
      </c>
      <c r="W188" s="97">
        <f t="shared" ref="W188" si="218">IF(W36=0,0,W36/W6*1000)</f>
        <v>29.0544153142421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56.733665386657265</v>
      </c>
      <c r="C189" s="97">
        <f t="shared" si="219"/>
        <v>56.097657149148574</v>
      </c>
      <c r="D189" s="97">
        <f t="shared" si="219"/>
        <v>54.528609004701437</v>
      </c>
      <c r="E189" s="97">
        <f t="shared" si="219"/>
        <v>51.783324072223962</v>
      </c>
      <c r="F189" s="97">
        <f t="shared" si="219"/>
        <v>50.520810234088664</v>
      </c>
      <c r="G189" s="97">
        <f t="shared" si="219"/>
        <v>52.016163774510694</v>
      </c>
      <c r="H189" s="97">
        <f t="shared" si="219"/>
        <v>56.006716353275806</v>
      </c>
      <c r="I189" s="97">
        <f t="shared" si="219"/>
        <v>53.714741330086753</v>
      </c>
      <c r="J189" s="97">
        <f t="shared" si="219"/>
        <v>52.054336729405691</v>
      </c>
      <c r="K189" s="97">
        <f t="shared" si="219"/>
        <v>51.068291844946302</v>
      </c>
      <c r="L189" s="97">
        <f t="shared" si="219"/>
        <v>49.747178470891427</v>
      </c>
      <c r="M189" s="97">
        <f t="shared" si="219"/>
        <v>48.428160272677388</v>
      </c>
      <c r="N189" s="97">
        <f t="shared" si="219"/>
        <v>48.456197247711053</v>
      </c>
      <c r="O189" s="97">
        <f t="shared" si="219"/>
        <v>48.092317081518004</v>
      </c>
      <c r="P189" s="97">
        <f t="shared" si="219"/>
        <v>51.210359464035811</v>
      </c>
      <c r="Q189" s="97">
        <f t="shared" si="219"/>
        <v>47.786868212144469</v>
      </c>
      <c r="R189" s="97">
        <f t="shared" si="219"/>
        <v>47.289324250470663</v>
      </c>
      <c r="S189" s="97">
        <f t="shared" si="219"/>
        <v>45.504441726957246</v>
      </c>
      <c r="T189" s="97">
        <f t="shared" si="219"/>
        <v>44.769384632359639</v>
      </c>
      <c r="U189" s="97">
        <f t="shared" si="219"/>
        <v>43.366316593709641</v>
      </c>
      <c r="V189" s="97">
        <f t="shared" si="219"/>
        <v>41.095508257241264</v>
      </c>
      <c r="W189" s="97">
        <f t="shared" ref="W189" si="220">IF(W37=0,0,W37/W7*1000)</f>
        <v>40.943527239923434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18.560294497781495</v>
      </c>
      <c r="C190" s="97">
        <f t="shared" si="221"/>
        <v>17.490187102493639</v>
      </c>
      <c r="D190" s="97">
        <f t="shared" si="221"/>
        <v>17.621298582151173</v>
      </c>
      <c r="E190" s="97">
        <f t="shared" si="221"/>
        <v>17.726434793569219</v>
      </c>
      <c r="F190" s="97">
        <f t="shared" si="221"/>
        <v>17.497524473855304</v>
      </c>
      <c r="G190" s="97">
        <f t="shared" si="221"/>
        <v>17.983442171785267</v>
      </c>
      <c r="H190" s="97">
        <f t="shared" si="221"/>
        <v>18.923798567374188</v>
      </c>
      <c r="I190" s="97">
        <f t="shared" si="221"/>
        <v>19.511652444162895</v>
      </c>
      <c r="J190" s="97">
        <f t="shared" si="221"/>
        <v>20.210107648717038</v>
      </c>
      <c r="K190" s="97">
        <f t="shared" si="221"/>
        <v>19.15479859990101</v>
      </c>
      <c r="L190" s="97">
        <f t="shared" si="221"/>
        <v>19.77377921092631</v>
      </c>
      <c r="M190" s="97">
        <f t="shared" si="221"/>
        <v>19.445437296379033</v>
      </c>
      <c r="N190" s="97">
        <f t="shared" si="221"/>
        <v>19.770969054305471</v>
      </c>
      <c r="O190" s="97">
        <f t="shared" si="221"/>
        <v>19.758356727816057</v>
      </c>
      <c r="P190" s="97">
        <f t="shared" si="221"/>
        <v>19.535262732300254</v>
      </c>
      <c r="Q190" s="97">
        <f t="shared" si="221"/>
        <v>19.92499954937859</v>
      </c>
      <c r="R190" s="97">
        <f t="shared" si="221"/>
        <v>19.992556524053871</v>
      </c>
      <c r="S190" s="97">
        <f t="shared" si="221"/>
        <v>20.168220728331274</v>
      </c>
      <c r="T190" s="97">
        <f t="shared" si="221"/>
        <v>20.294283249920408</v>
      </c>
      <c r="U190" s="97">
        <f t="shared" si="221"/>
        <v>20.380046432044164</v>
      </c>
      <c r="V190" s="97">
        <f t="shared" si="221"/>
        <v>24.550790149284619</v>
      </c>
      <c r="W190" s="97">
        <f t="shared" ref="W190" si="222">IF(W38=0,0,W38/W8*1000)</f>
        <v>22.273566872832937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26.352178216318269</v>
      </c>
      <c r="C191" s="130">
        <f t="shared" si="223"/>
        <v>26.318629291789414</v>
      </c>
      <c r="D191" s="130">
        <f t="shared" si="223"/>
        <v>21.463368653424435</v>
      </c>
      <c r="E191" s="130">
        <f t="shared" si="223"/>
        <v>24.570813701676187</v>
      </c>
      <c r="F191" s="130">
        <f t="shared" si="223"/>
        <v>27.081859531359026</v>
      </c>
      <c r="G191" s="130">
        <f t="shared" si="223"/>
        <v>21.8754940207128</v>
      </c>
      <c r="H191" s="130">
        <f t="shared" si="223"/>
        <v>21.323095285581054</v>
      </c>
      <c r="I191" s="130">
        <f t="shared" si="223"/>
        <v>21.060278208140009</v>
      </c>
      <c r="J191" s="130">
        <f t="shared" si="223"/>
        <v>23.20272329492893</v>
      </c>
      <c r="K191" s="130">
        <f t="shared" si="223"/>
        <v>23.754516899341521</v>
      </c>
      <c r="L191" s="130">
        <f t="shared" si="223"/>
        <v>23.593681277846954</v>
      </c>
      <c r="M191" s="130">
        <f t="shared" si="223"/>
        <v>23.954868567178035</v>
      </c>
      <c r="N191" s="130">
        <f t="shared" si="223"/>
        <v>24.0414506794754</v>
      </c>
      <c r="O191" s="130">
        <f t="shared" si="223"/>
        <v>23.796257333706198</v>
      </c>
      <c r="P191" s="130">
        <f t="shared" si="223"/>
        <v>19.835299032401526</v>
      </c>
      <c r="Q191" s="130">
        <f t="shared" si="223"/>
        <v>18.280475914929614</v>
      </c>
      <c r="R191" s="130">
        <f t="shared" si="223"/>
        <v>18.059656295464492</v>
      </c>
      <c r="S191" s="130">
        <f t="shared" si="223"/>
        <v>17.577658146507588</v>
      </c>
      <c r="T191" s="130">
        <f t="shared" si="223"/>
        <v>15.961872067343377</v>
      </c>
      <c r="U191" s="130">
        <f t="shared" si="223"/>
        <v>16.099889789078865</v>
      </c>
      <c r="V191" s="130">
        <f t="shared" si="223"/>
        <v>36.821387632835233</v>
      </c>
      <c r="W191" s="130">
        <f t="shared" ref="W191" si="224">IF(W39=0,0,W39/W9*1000)</f>
        <v>38.164521043811298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0</v>
      </c>
      <c r="E192" s="97">
        <f t="shared" si="225"/>
        <v>0</v>
      </c>
      <c r="F192" s="97">
        <f t="shared" si="225"/>
        <v>6.0123575862409329</v>
      </c>
      <c r="G192" s="97">
        <f t="shared" si="225"/>
        <v>5.858105647593276</v>
      </c>
      <c r="H192" s="97">
        <f t="shared" si="225"/>
        <v>5.7855991695035307</v>
      </c>
      <c r="I192" s="97">
        <f t="shared" si="225"/>
        <v>5.6316242445623823</v>
      </c>
      <c r="J192" s="97">
        <f t="shared" si="225"/>
        <v>5.43588675876744</v>
      </c>
      <c r="K192" s="97">
        <f t="shared" si="225"/>
        <v>5.7813263173298086</v>
      </c>
      <c r="L192" s="97">
        <f t="shared" si="225"/>
        <v>5.7774654229249602</v>
      </c>
      <c r="M192" s="97">
        <f t="shared" si="225"/>
        <v>5.6547733227549113</v>
      </c>
      <c r="N192" s="97">
        <f t="shared" si="225"/>
        <v>5.5522962990915774</v>
      </c>
      <c r="O192" s="97">
        <f t="shared" si="225"/>
        <v>5.4967317464796652</v>
      </c>
      <c r="P192" s="97">
        <f t="shared" si="225"/>
        <v>5.1933462818608973</v>
      </c>
      <c r="Q192" s="97">
        <f t="shared" si="225"/>
        <v>4.9250509587836664</v>
      </c>
      <c r="R192" s="97">
        <f t="shared" si="225"/>
        <v>4.7492732438775755</v>
      </c>
      <c r="S192" s="97">
        <f t="shared" si="225"/>
        <v>4.6339173143045489</v>
      </c>
      <c r="T192" s="97">
        <f t="shared" si="225"/>
        <v>4.1105456947463139</v>
      </c>
      <c r="U192" s="97">
        <f t="shared" si="225"/>
        <v>4.0744824704712723</v>
      </c>
      <c r="V192" s="97">
        <f t="shared" si="225"/>
        <v>9.0331838700507632</v>
      </c>
      <c r="W192" s="97">
        <f t="shared" ref="W192" si="226">IF(W40=0,0,W40/W10*1000)</f>
        <v>9.0262260472654017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26.352178216318269</v>
      </c>
      <c r="C193" s="97">
        <f t="shared" si="227"/>
        <v>26.318629291789414</v>
      </c>
      <c r="D193" s="97">
        <f t="shared" si="227"/>
        <v>21.463368653424435</v>
      </c>
      <c r="E193" s="97">
        <f t="shared" si="227"/>
        <v>24.570813701676187</v>
      </c>
      <c r="F193" s="97">
        <f t="shared" si="227"/>
        <v>27.747772993594111</v>
      </c>
      <c r="G193" s="97">
        <f t="shared" si="227"/>
        <v>22.864776851169371</v>
      </c>
      <c r="H193" s="97">
        <f t="shared" si="227"/>
        <v>22.261902008705803</v>
      </c>
      <c r="I193" s="97">
        <f t="shared" si="227"/>
        <v>22.405576884585489</v>
      </c>
      <c r="J193" s="97">
        <f t="shared" si="227"/>
        <v>24.470498574078103</v>
      </c>
      <c r="K193" s="97">
        <f t="shared" si="227"/>
        <v>25.164178905773813</v>
      </c>
      <c r="L193" s="97">
        <f t="shared" si="227"/>
        <v>24.984577748046465</v>
      </c>
      <c r="M193" s="97">
        <f t="shared" si="227"/>
        <v>25.496634833191703</v>
      </c>
      <c r="N193" s="97">
        <f t="shared" si="227"/>
        <v>25.728673892894452</v>
      </c>
      <c r="O193" s="97">
        <f t="shared" si="227"/>
        <v>25.543689762153807</v>
      </c>
      <c r="P193" s="97">
        <f t="shared" si="227"/>
        <v>21.191653393667966</v>
      </c>
      <c r="Q193" s="97">
        <f t="shared" si="227"/>
        <v>19.531538607315273</v>
      </c>
      <c r="R193" s="97">
        <f t="shared" si="227"/>
        <v>19.286727572982656</v>
      </c>
      <c r="S193" s="97">
        <f t="shared" si="227"/>
        <v>18.70550366588191</v>
      </c>
      <c r="T193" s="97">
        <f t="shared" si="227"/>
        <v>17.608899888524114</v>
      </c>
      <c r="U193" s="97">
        <f t="shared" si="227"/>
        <v>17.628995735309804</v>
      </c>
      <c r="V193" s="97">
        <f t="shared" si="227"/>
        <v>40.829958606913834</v>
      </c>
      <c r="W193" s="97">
        <f t="shared" ref="W193" si="228">IF(W41=0,0,W41/W11*1000)</f>
        <v>42.238979741463829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48.36256203967833</v>
      </c>
      <c r="C195" s="130">
        <f t="shared" si="231"/>
        <v>54.503465544660841</v>
      </c>
      <c r="D195" s="130">
        <f t="shared" si="231"/>
        <v>57.870303473380289</v>
      </c>
      <c r="E195" s="130">
        <f t="shared" si="231"/>
        <v>57.56990790308582</v>
      </c>
      <c r="F195" s="130">
        <f t="shared" si="231"/>
        <v>50.503551194906898</v>
      </c>
      <c r="G195" s="130">
        <f t="shared" si="231"/>
        <v>48.457815161275803</v>
      </c>
      <c r="H195" s="130">
        <f t="shared" si="231"/>
        <v>42.534544399622376</v>
      </c>
      <c r="I195" s="130">
        <f t="shared" si="231"/>
        <v>45.41660395419931</v>
      </c>
      <c r="J195" s="130">
        <f t="shared" si="231"/>
        <v>42.847002745570883</v>
      </c>
      <c r="K195" s="130">
        <f t="shared" si="231"/>
        <v>30.323938628224901</v>
      </c>
      <c r="L195" s="130">
        <f t="shared" si="231"/>
        <v>43.28499070769027</v>
      </c>
      <c r="M195" s="130">
        <f t="shared" si="231"/>
        <v>38.543185553557251</v>
      </c>
      <c r="N195" s="130">
        <f t="shared" si="231"/>
        <v>31.045792220256139</v>
      </c>
      <c r="O195" s="130">
        <f t="shared" si="231"/>
        <v>32.197735438486347</v>
      </c>
      <c r="P195" s="130">
        <f t="shared" si="231"/>
        <v>34.514857441295156</v>
      </c>
      <c r="Q195" s="130">
        <f t="shared" si="231"/>
        <v>34.284023009825958</v>
      </c>
      <c r="R195" s="130">
        <f t="shared" si="231"/>
        <v>31.82297849537613</v>
      </c>
      <c r="S195" s="130">
        <f t="shared" si="231"/>
        <v>33.813305034306275</v>
      </c>
      <c r="T195" s="130">
        <f t="shared" si="231"/>
        <v>33.284112149678322</v>
      </c>
      <c r="U195" s="130">
        <f t="shared" si="231"/>
        <v>32.198692587454062</v>
      </c>
      <c r="V195" s="130">
        <f t="shared" si="231"/>
        <v>51.699181986072027</v>
      </c>
      <c r="W195" s="130">
        <f t="shared" ref="W195" si="232">IF(W43=0,0,W43/W13*1000)</f>
        <v>51.963157949707089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127.46519574690483</v>
      </c>
      <c r="C196" s="97">
        <f t="shared" si="233"/>
        <v>150.39492752744982</v>
      </c>
      <c r="D196" s="97">
        <f t="shared" si="233"/>
        <v>176.5841791039617</v>
      </c>
      <c r="E196" s="97">
        <f t="shared" si="233"/>
        <v>159.83473055739989</v>
      </c>
      <c r="F196" s="97">
        <f t="shared" si="233"/>
        <v>153.34366641670019</v>
      </c>
      <c r="G196" s="97">
        <f t="shared" si="233"/>
        <v>160.78206304882545</v>
      </c>
      <c r="H196" s="97">
        <f t="shared" si="233"/>
        <v>165.89724365411757</v>
      </c>
      <c r="I196" s="97">
        <f t="shared" si="233"/>
        <v>164.95182508123185</v>
      </c>
      <c r="J196" s="97">
        <f t="shared" si="233"/>
        <v>153.36195981527271</v>
      </c>
      <c r="K196" s="97">
        <f t="shared" si="233"/>
        <v>161.16261776668188</v>
      </c>
      <c r="L196" s="97">
        <f t="shared" si="233"/>
        <v>262.10457177939065</v>
      </c>
      <c r="M196" s="97">
        <f t="shared" si="233"/>
        <v>273.61625918756619</v>
      </c>
      <c r="N196" s="97">
        <f t="shared" si="233"/>
        <v>497.95605493246603</v>
      </c>
      <c r="O196" s="97">
        <f t="shared" si="233"/>
        <v>425.68125687119147</v>
      </c>
      <c r="P196" s="97">
        <f t="shared" si="233"/>
        <v>482.99991359880823</v>
      </c>
      <c r="Q196" s="97">
        <f t="shared" si="233"/>
        <v>402.64182717700191</v>
      </c>
      <c r="R196" s="97">
        <f t="shared" si="233"/>
        <v>189.96374775502304</v>
      </c>
      <c r="S196" s="97">
        <f t="shared" si="233"/>
        <v>243.39728575927623</v>
      </c>
      <c r="T196" s="97">
        <f t="shared" si="233"/>
        <v>202.18504434838314</v>
      </c>
      <c r="U196" s="97">
        <f t="shared" si="233"/>
        <v>237.71788707535572</v>
      </c>
      <c r="V196" s="97">
        <f t="shared" si="233"/>
        <v>617.02377280530698</v>
      </c>
      <c r="W196" s="97">
        <f t="shared" ref="W196" si="234">IF(W44=0,0,W44/W14*1000)</f>
        <v>601.91270595671142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47.680146206839851</v>
      </c>
      <c r="C197" s="97">
        <f t="shared" si="235"/>
        <v>53.093847431321009</v>
      </c>
      <c r="D197" s="97">
        <f t="shared" si="235"/>
        <v>55.927951076843179</v>
      </c>
      <c r="E197" s="97">
        <f t="shared" si="235"/>
        <v>55.7573302826626</v>
      </c>
      <c r="F197" s="97">
        <f t="shared" si="235"/>
        <v>48.977341864640849</v>
      </c>
      <c r="G197" s="97">
        <f t="shared" si="235"/>
        <v>46.50262016400594</v>
      </c>
      <c r="H197" s="97">
        <f t="shared" si="235"/>
        <v>40.292789926484254</v>
      </c>
      <c r="I197" s="97">
        <f t="shared" si="235"/>
        <v>44.335553060736089</v>
      </c>
      <c r="J197" s="97">
        <f t="shared" si="235"/>
        <v>43.11874434365928</v>
      </c>
      <c r="K197" s="97">
        <f t="shared" si="235"/>
        <v>29.798524330715068</v>
      </c>
      <c r="L197" s="97">
        <f t="shared" si="235"/>
        <v>42.9183887252509</v>
      </c>
      <c r="M197" s="97">
        <f t="shared" si="235"/>
        <v>39.25580504771581</v>
      </c>
      <c r="N197" s="97">
        <f t="shared" si="235"/>
        <v>32.51354142690964</v>
      </c>
      <c r="O197" s="97">
        <f t="shared" si="235"/>
        <v>35.100639799538712</v>
      </c>
      <c r="P197" s="97">
        <f t="shared" si="235"/>
        <v>39.57807775947105</v>
      </c>
      <c r="Q197" s="97">
        <f t="shared" si="235"/>
        <v>40.685616494514036</v>
      </c>
      <c r="R197" s="97">
        <f t="shared" si="235"/>
        <v>38.422592506328293</v>
      </c>
      <c r="S197" s="97">
        <f t="shared" si="235"/>
        <v>42.993955988018079</v>
      </c>
      <c r="T197" s="97">
        <f t="shared" si="235"/>
        <v>44.365569904831389</v>
      </c>
      <c r="U197" s="97">
        <f t="shared" si="235"/>
        <v>41.679773424451923</v>
      </c>
      <c r="V197" s="97">
        <f t="shared" si="235"/>
        <v>51.339659613718666</v>
      </c>
      <c r="W197" s="97">
        <f t="shared" ref="W197" si="236">IF(W45=0,0,W45/W15*1000)</f>
        <v>47.553921446318881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45.489265133058822</v>
      </c>
      <c r="C198" s="97">
        <f t="shared" si="237"/>
        <v>52.081127132314585</v>
      </c>
      <c r="D198" s="97">
        <f t="shared" si="237"/>
        <v>55.78222649356676</v>
      </c>
      <c r="E198" s="97">
        <f t="shared" si="237"/>
        <v>55.660272153129924</v>
      </c>
      <c r="F198" s="97">
        <f t="shared" si="237"/>
        <v>48.427323394411374</v>
      </c>
      <c r="G198" s="97">
        <f t="shared" si="237"/>
        <v>46.929472387381793</v>
      </c>
      <c r="H198" s="97">
        <f t="shared" si="237"/>
        <v>40.694083502490258</v>
      </c>
      <c r="I198" s="97">
        <f t="shared" si="237"/>
        <v>42.485708688138651</v>
      </c>
      <c r="J198" s="97">
        <f t="shared" si="237"/>
        <v>38.294082850812252</v>
      </c>
      <c r="K198" s="97">
        <f t="shared" si="237"/>
        <v>27.572345345510151</v>
      </c>
      <c r="L198" s="97">
        <f t="shared" si="237"/>
        <v>40.350585432315249</v>
      </c>
      <c r="M198" s="97">
        <f t="shared" si="237"/>
        <v>36.261757431017145</v>
      </c>
      <c r="N198" s="97">
        <f t="shared" si="237"/>
        <v>27.759296071276154</v>
      </c>
      <c r="O198" s="97">
        <f t="shared" si="237"/>
        <v>27.141645506524235</v>
      </c>
      <c r="P198" s="97">
        <f t="shared" si="237"/>
        <v>27.057549351500647</v>
      </c>
      <c r="Q198" s="97">
        <f t="shared" si="237"/>
        <v>25.659234993511024</v>
      </c>
      <c r="R198" s="97">
        <f t="shared" si="237"/>
        <v>23.110134234543633</v>
      </c>
      <c r="S198" s="97">
        <f t="shared" si="237"/>
        <v>22.822600148990528</v>
      </c>
      <c r="T198" s="97">
        <f t="shared" si="237"/>
        <v>21.354550409874186</v>
      </c>
      <c r="U198" s="97">
        <f t="shared" si="237"/>
        <v>21.532268184245098</v>
      </c>
      <c r="V198" s="97">
        <f t="shared" si="237"/>
        <v>50.923335056625056</v>
      </c>
      <c r="W198" s="97">
        <f t="shared" ref="W198" si="238">IF(W46=0,0,W46/W16*1000)</f>
        <v>58.898930103748434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113.87607687405313</v>
      </c>
      <c r="C199" s="32">
        <f t="shared" si="239"/>
        <v>110.81524575801758</v>
      </c>
      <c r="D199" s="32">
        <f t="shared" si="239"/>
        <v>101.93382812403108</v>
      </c>
      <c r="E199" s="32">
        <f t="shared" si="239"/>
        <v>96.371222617869421</v>
      </c>
      <c r="F199" s="32">
        <f t="shared" si="239"/>
        <v>95.992216066314825</v>
      </c>
      <c r="G199" s="32">
        <f t="shared" si="239"/>
        <v>94.752519785401674</v>
      </c>
      <c r="H199" s="32">
        <f t="shared" si="239"/>
        <v>101.2678696360104</v>
      </c>
      <c r="I199" s="32">
        <f t="shared" si="239"/>
        <v>103.17397547238033</v>
      </c>
      <c r="J199" s="32">
        <f t="shared" si="239"/>
        <v>99.129150091736363</v>
      </c>
      <c r="K199" s="32">
        <f t="shared" si="239"/>
        <v>112.79211901752751</v>
      </c>
      <c r="L199" s="32">
        <f t="shared" si="239"/>
        <v>104.27210145580547</v>
      </c>
      <c r="M199" s="32">
        <f t="shared" si="239"/>
        <v>102.06956519172317</v>
      </c>
      <c r="N199" s="32">
        <f t="shared" si="239"/>
        <v>100.80298995466022</v>
      </c>
      <c r="O199" s="32">
        <f t="shared" si="239"/>
        <v>103.99495751486894</v>
      </c>
      <c r="P199" s="32">
        <f t="shared" si="239"/>
        <v>104.30592593617472</v>
      </c>
      <c r="Q199" s="32">
        <f t="shared" si="239"/>
        <v>101.81560156255956</v>
      </c>
      <c r="R199" s="32">
        <f t="shared" si="239"/>
        <v>96.424426656844773</v>
      </c>
      <c r="S199" s="32">
        <f t="shared" si="239"/>
        <v>93.528209422410825</v>
      </c>
      <c r="T199" s="32">
        <f t="shared" si="239"/>
        <v>94.879554460124155</v>
      </c>
      <c r="U199" s="32">
        <f t="shared" si="239"/>
        <v>92.397148746669956</v>
      </c>
      <c r="V199" s="32">
        <f t="shared" si="239"/>
        <v>97.6536822357033</v>
      </c>
      <c r="W199" s="32">
        <f t="shared" ref="W199" si="240">IF(W47=0,0,W47/W17*1000)</f>
        <v>96.916668904608002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115.59484648317672</v>
      </c>
      <c r="C200" s="141">
        <f t="shared" si="241"/>
        <v>112.06672268018046</v>
      </c>
      <c r="D200" s="141">
        <f t="shared" si="241"/>
        <v>101.36351395856302</v>
      </c>
      <c r="E200" s="141">
        <f t="shared" si="241"/>
        <v>95.260893854542502</v>
      </c>
      <c r="F200" s="141">
        <f t="shared" si="241"/>
        <v>93.720099391229994</v>
      </c>
      <c r="G200" s="141">
        <f t="shared" si="241"/>
        <v>92.52710917625781</v>
      </c>
      <c r="H200" s="141">
        <f t="shared" si="241"/>
        <v>96.477018251061281</v>
      </c>
      <c r="I200" s="141">
        <f t="shared" si="241"/>
        <v>99.213089038751804</v>
      </c>
      <c r="J200" s="141">
        <f t="shared" si="241"/>
        <v>94.65270056304125</v>
      </c>
      <c r="K200" s="141">
        <f t="shared" si="241"/>
        <v>107.65472398592735</v>
      </c>
      <c r="L200" s="141">
        <f t="shared" si="241"/>
        <v>98.508935821649629</v>
      </c>
      <c r="M200" s="141">
        <f t="shared" si="241"/>
        <v>97.66720816099793</v>
      </c>
      <c r="N200" s="141">
        <f t="shared" si="241"/>
        <v>96.984059800166349</v>
      </c>
      <c r="O200" s="141">
        <f t="shared" si="241"/>
        <v>99.814054561232169</v>
      </c>
      <c r="P200" s="141">
        <f t="shared" si="241"/>
        <v>99.382782008153441</v>
      </c>
      <c r="Q200" s="141">
        <f t="shared" si="241"/>
        <v>97.874069200435997</v>
      </c>
      <c r="R200" s="141">
        <f t="shared" si="241"/>
        <v>91.704417806982988</v>
      </c>
      <c r="S200" s="141">
        <f t="shared" si="241"/>
        <v>89.53986491036386</v>
      </c>
      <c r="T200" s="141">
        <f t="shared" si="241"/>
        <v>90.486569939211748</v>
      </c>
      <c r="U200" s="141">
        <f t="shared" si="241"/>
        <v>87.793315423907373</v>
      </c>
      <c r="V200" s="141">
        <f t="shared" si="241"/>
        <v>89.908680157997139</v>
      </c>
      <c r="W200" s="141">
        <f t="shared" ref="W200" si="242">IF(W48=0,0,W48/W18*1000)</f>
        <v>89.054462329539945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256.87699339619621</v>
      </c>
      <c r="C201" s="97">
        <f t="shared" si="243"/>
        <v>244.88483666206756</v>
      </c>
      <c r="D201" s="97">
        <f t="shared" si="243"/>
        <v>240.39931140431332</v>
      </c>
      <c r="E201" s="97">
        <f t="shared" si="243"/>
        <v>236.84015900951073</v>
      </c>
      <c r="F201" s="97">
        <f t="shared" si="243"/>
        <v>238.072241818197</v>
      </c>
      <c r="G201" s="97">
        <f t="shared" si="243"/>
        <v>236.39032351367607</v>
      </c>
      <c r="H201" s="97">
        <f t="shared" si="243"/>
        <v>236.87626827158806</v>
      </c>
      <c r="I201" s="97">
        <f t="shared" si="243"/>
        <v>238.22004844617317</v>
      </c>
      <c r="J201" s="97">
        <f t="shared" si="243"/>
        <v>231.78047465534146</v>
      </c>
      <c r="K201" s="97">
        <f t="shared" si="243"/>
        <v>228.56348638495382</v>
      </c>
      <c r="L201" s="97">
        <f t="shared" si="243"/>
        <v>224.65612659382396</v>
      </c>
      <c r="M201" s="97">
        <f t="shared" si="243"/>
        <v>222.16789169092027</v>
      </c>
      <c r="N201" s="97">
        <f t="shared" si="243"/>
        <v>219.75102755917371</v>
      </c>
      <c r="O201" s="97">
        <f t="shared" si="243"/>
        <v>218.65976553996518</v>
      </c>
      <c r="P201" s="97">
        <f t="shared" si="243"/>
        <v>219.11802862645303</v>
      </c>
      <c r="Q201" s="97">
        <f t="shared" si="243"/>
        <v>222.21111998904439</v>
      </c>
      <c r="R201" s="97">
        <f t="shared" si="243"/>
        <v>218.63371401555816</v>
      </c>
      <c r="S201" s="97">
        <f t="shared" si="243"/>
        <v>214.82165501465406</v>
      </c>
      <c r="T201" s="97">
        <f t="shared" si="243"/>
        <v>213.31709814750465</v>
      </c>
      <c r="U201" s="97">
        <f t="shared" si="243"/>
        <v>209.40708652169329</v>
      </c>
      <c r="V201" s="97">
        <f t="shared" si="243"/>
        <v>207.04495842834226</v>
      </c>
      <c r="W201" s="97">
        <f t="shared" ref="W201" si="244">IF(W49=0,0,W49/W19*1000)</f>
        <v>209.53272128269796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91.581727283779344</v>
      </c>
      <c r="C202" s="97">
        <f t="shared" si="245"/>
        <v>89.69813694041089</v>
      </c>
      <c r="D202" s="97">
        <f t="shared" si="245"/>
        <v>79.774628727158472</v>
      </c>
      <c r="E202" s="97">
        <f t="shared" si="245"/>
        <v>73.857014145503626</v>
      </c>
      <c r="F202" s="97">
        <f t="shared" si="245"/>
        <v>72.870568509053967</v>
      </c>
      <c r="G202" s="97">
        <f t="shared" si="245"/>
        <v>71.522535849113481</v>
      </c>
      <c r="H202" s="97">
        <f t="shared" si="245"/>
        <v>74.368341261791812</v>
      </c>
      <c r="I202" s="97">
        <f t="shared" si="245"/>
        <v>77.126183793172714</v>
      </c>
      <c r="J202" s="97">
        <f t="shared" si="245"/>
        <v>70.696095024628292</v>
      </c>
      <c r="K202" s="97">
        <f t="shared" si="245"/>
        <v>76.781156486477244</v>
      </c>
      <c r="L202" s="97">
        <f t="shared" si="245"/>
        <v>67.436300183888974</v>
      </c>
      <c r="M202" s="97">
        <f t="shared" si="245"/>
        <v>65.552529510668791</v>
      </c>
      <c r="N202" s="97">
        <f t="shared" si="245"/>
        <v>66.120042404702872</v>
      </c>
      <c r="O202" s="97">
        <f t="shared" si="245"/>
        <v>68.246650763890884</v>
      </c>
      <c r="P202" s="97">
        <f t="shared" si="245"/>
        <v>69.942492232382392</v>
      </c>
      <c r="Q202" s="97">
        <f t="shared" si="245"/>
        <v>69.455833359658627</v>
      </c>
      <c r="R202" s="97">
        <f t="shared" si="245"/>
        <v>66.971815197942675</v>
      </c>
      <c r="S202" s="97">
        <f t="shared" si="245"/>
        <v>65.384084192519111</v>
      </c>
      <c r="T202" s="97">
        <f t="shared" si="245"/>
        <v>67.074731497189433</v>
      </c>
      <c r="U202" s="97">
        <f t="shared" si="245"/>
        <v>66.473713911722967</v>
      </c>
      <c r="V202" s="97">
        <f t="shared" si="245"/>
        <v>65.507027230962962</v>
      </c>
      <c r="W202" s="97">
        <f t="shared" ref="W202" si="246">IF(W50=0,0,W50/W20*1000)</f>
        <v>66.27062869152482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11.734710330422155</v>
      </c>
      <c r="C203" s="130">
        <f t="shared" si="247"/>
        <v>11.942221587577725</v>
      </c>
      <c r="D203" s="130">
        <f t="shared" si="247"/>
        <v>12.522920068460014</v>
      </c>
      <c r="E203" s="130">
        <f t="shared" si="247"/>
        <v>12.410189398380309</v>
      </c>
      <c r="F203" s="130">
        <f t="shared" si="247"/>
        <v>11.891287332105096</v>
      </c>
      <c r="G203" s="130">
        <f t="shared" si="247"/>
        <v>11.603630244830903</v>
      </c>
      <c r="H203" s="130">
        <f t="shared" si="247"/>
        <v>11.496482601411598</v>
      </c>
      <c r="I203" s="130">
        <f t="shared" si="247"/>
        <v>11.561572521360658</v>
      </c>
      <c r="J203" s="130">
        <f t="shared" si="247"/>
        <v>11.330321269323701</v>
      </c>
      <c r="K203" s="130">
        <f t="shared" si="247"/>
        <v>9.9132184943939574</v>
      </c>
      <c r="L203" s="130">
        <f t="shared" si="247"/>
        <v>10.597896659874815</v>
      </c>
      <c r="M203" s="130">
        <f t="shared" si="247"/>
        <v>10.627739695504774</v>
      </c>
      <c r="N203" s="130">
        <f t="shared" si="247"/>
        <v>10.229543757846164</v>
      </c>
      <c r="O203" s="130">
        <f t="shared" si="247"/>
        <v>10.078813350731501</v>
      </c>
      <c r="P203" s="130">
        <f t="shared" si="247"/>
        <v>10.457254401237087</v>
      </c>
      <c r="Q203" s="130">
        <f t="shared" si="247"/>
        <v>10.335869920871142</v>
      </c>
      <c r="R203" s="130">
        <f t="shared" si="247"/>
        <v>10.226488178387742</v>
      </c>
      <c r="S203" s="130">
        <f t="shared" si="247"/>
        <v>10.002422830292543</v>
      </c>
      <c r="T203" s="130">
        <f t="shared" si="247"/>
        <v>9.904823414800406</v>
      </c>
      <c r="U203" s="130">
        <f t="shared" si="247"/>
        <v>10.168178910545718</v>
      </c>
      <c r="V203" s="130">
        <f t="shared" si="247"/>
        <v>9.7882868733283779</v>
      </c>
      <c r="W203" s="130">
        <f t="shared" ref="W203" si="248">IF(W51=0,0,W51/W21*1000)</f>
        <v>9.7484206265382536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187.9781155412185</v>
      </c>
      <c r="C204" s="130">
        <f t="shared" si="249"/>
        <v>203.40425281257529</v>
      </c>
      <c r="D204" s="130">
        <f t="shared" si="249"/>
        <v>214.46979785741328</v>
      </c>
      <c r="E204" s="130">
        <f t="shared" si="249"/>
        <v>219.93606315948094</v>
      </c>
      <c r="F204" s="130">
        <f t="shared" si="249"/>
        <v>205.16595677825637</v>
      </c>
      <c r="G204" s="130">
        <f t="shared" si="249"/>
        <v>206.46923797714581</v>
      </c>
      <c r="H204" s="130">
        <f t="shared" si="249"/>
        <v>191.1432368200179</v>
      </c>
      <c r="I204" s="130">
        <f t="shared" si="249"/>
        <v>175.23903609887986</v>
      </c>
      <c r="J204" s="130">
        <f t="shared" si="249"/>
        <v>167.42075725666203</v>
      </c>
      <c r="K204" s="130">
        <f t="shared" si="249"/>
        <v>133.15230558849112</v>
      </c>
      <c r="L204" s="130">
        <f t="shared" si="249"/>
        <v>159.95901863549804</v>
      </c>
      <c r="M204" s="130">
        <f t="shared" si="249"/>
        <v>134.50003249609196</v>
      </c>
      <c r="N204" s="130">
        <f t="shared" si="249"/>
        <v>106.50656720108108</v>
      </c>
      <c r="O204" s="130">
        <f t="shared" si="249"/>
        <v>108.58657022422615</v>
      </c>
      <c r="P204" s="130">
        <f t="shared" si="249"/>
        <v>97.956211944215994</v>
      </c>
      <c r="Q204" s="130">
        <f t="shared" si="249"/>
        <v>96.146769906342342</v>
      </c>
      <c r="R204" s="130">
        <f t="shared" si="249"/>
        <v>80.103172320110431</v>
      </c>
      <c r="S204" s="130">
        <f t="shared" si="249"/>
        <v>77.875445624010226</v>
      </c>
      <c r="T204" s="130">
        <f t="shared" si="249"/>
        <v>80.594344903363549</v>
      </c>
      <c r="U204" s="130">
        <f t="shared" si="249"/>
        <v>83.597863404780838</v>
      </c>
      <c r="V204" s="130">
        <f t="shared" si="249"/>
        <v>131.56874997341899</v>
      </c>
      <c r="W204" s="130">
        <f t="shared" ref="W204" si="250">IF(W52=0,0,W52/W22*1000)</f>
        <v>150.08384635692272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1057.0893695677787</v>
      </c>
      <c r="C205" s="97">
        <f t="shared" si="251"/>
        <v>1225.5829297500861</v>
      </c>
      <c r="D205" s="97">
        <f t="shared" si="251"/>
        <v>1340.5344506612457</v>
      </c>
      <c r="E205" s="97">
        <f t="shared" si="251"/>
        <v>1088.5411881316436</v>
      </c>
      <c r="F205" s="97">
        <f t="shared" si="251"/>
        <v>1196.2383192173156</v>
      </c>
      <c r="G205" s="97">
        <f t="shared" si="251"/>
        <v>1219.9703203597778</v>
      </c>
      <c r="H205" s="97">
        <f t="shared" si="251"/>
        <v>1521.9321622480372</v>
      </c>
      <c r="I205" s="97">
        <f t="shared" si="251"/>
        <v>1271.9063602205497</v>
      </c>
      <c r="J205" s="97">
        <f t="shared" si="251"/>
        <v>1153.4102017617165</v>
      </c>
      <c r="K205" s="97">
        <f t="shared" si="251"/>
        <v>1071.7384242537039</v>
      </c>
      <c r="L205" s="97">
        <f t="shared" si="251"/>
        <v>1170.6949959277956</v>
      </c>
      <c r="M205" s="97">
        <f t="shared" si="251"/>
        <v>821.13209413752679</v>
      </c>
      <c r="N205" s="97">
        <f t="shared" si="251"/>
        <v>1325.7640238300269</v>
      </c>
      <c r="O205" s="97">
        <f t="shared" si="251"/>
        <v>1292.9628715054102</v>
      </c>
      <c r="P205" s="97">
        <f t="shared" si="251"/>
        <v>1206.9001951113817</v>
      </c>
      <c r="Q205" s="97">
        <f t="shared" si="251"/>
        <v>1097.5864835029124</v>
      </c>
      <c r="R205" s="97">
        <f t="shared" si="251"/>
        <v>460.49209780153694</v>
      </c>
      <c r="S205" s="97">
        <f t="shared" si="251"/>
        <v>647.985238682729</v>
      </c>
      <c r="T205" s="97">
        <f t="shared" si="251"/>
        <v>604.87274457381238</v>
      </c>
      <c r="U205" s="97">
        <f t="shared" si="251"/>
        <v>615.29808752061808</v>
      </c>
      <c r="V205" s="97">
        <f t="shared" si="251"/>
        <v>557.45494082120717</v>
      </c>
      <c r="W205" s="97">
        <f t="shared" ref="W205" si="252">IF(W53=0,0,W53/W23*1000)</f>
        <v>803.83431040849564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275.88724585780983</v>
      </c>
      <c r="C206" s="97">
        <f t="shared" si="253"/>
        <v>292.61840379974069</v>
      </c>
      <c r="D206" s="97">
        <f t="shared" si="253"/>
        <v>329.40869176598363</v>
      </c>
      <c r="E206" s="97">
        <f t="shared" si="253"/>
        <v>323.76643239463522</v>
      </c>
      <c r="F206" s="97">
        <f t="shared" si="253"/>
        <v>330.76136255022169</v>
      </c>
      <c r="G206" s="97">
        <f t="shared" si="253"/>
        <v>326.08145474844531</v>
      </c>
      <c r="H206" s="97">
        <f t="shared" si="253"/>
        <v>323.09748322840204</v>
      </c>
      <c r="I206" s="97">
        <f t="shared" si="253"/>
        <v>369.23460054342377</v>
      </c>
      <c r="J206" s="97">
        <f t="shared" si="253"/>
        <v>342.44366079984684</v>
      </c>
      <c r="K206" s="97">
        <f t="shared" si="253"/>
        <v>250.38711496538684</v>
      </c>
      <c r="L206" s="97">
        <f t="shared" si="253"/>
        <v>336.39552183659998</v>
      </c>
      <c r="M206" s="97">
        <f t="shared" si="253"/>
        <v>290.11995205173298</v>
      </c>
      <c r="N206" s="97">
        <f t="shared" si="253"/>
        <v>226.0758208245027</v>
      </c>
      <c r="O206" s="97">
        <f t="shared" si="253"/>
        <v>254.76460468668373</v>
      </c>
      <c r="P206" s="97">
        <f t="shared" si="253"/>
        <v>262.74524242029645</v>
      </c>
      <c r="Q206" s="97">
        <f t="shared" si="253"/>
        <v>299.77481006503018</v>
      </c>
      <c r="R206" s="97">
        <f t="shared" si="253"/>
        <v>257.68100400808771</v>
      </c>
      <c r="S206" s="97">
        <f t="shared" si="253"/>
        <v>324.43215359145393</v>
      </c>
      <c r="T206" s="97">
        <f t="shared" si="253"/>
        <v>321.92986563396738</v>
      </c>
      <c r="U206" s="97">
        <f t="shared" si="253"/>
        <v>322.07431852012968</v>
      </c>
      <c r="V206" s="97">
        <f t="shared" si="253"/>
        <v>277.21629970153583</v>
      </c>
      <c r="W206" s="97">
        <f t="shared" ref="W206" si="254">IF(W54=0,0,W54/W24*1000)</f>
        <v>309.73000781711119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131.63221784642073</v>
      </c>
      <c r="C207" s="97">
        <f t="shared" si="255"/>
        <v>142.76673831220214</v>
      </c>
      <c r="D207" s="97">
        <f t="shared" si="255"/>
        <v>160.33796539194296</v>
      </c>
      <c r="E207" s="97">
        <f t="shared" si="255"/>
        <v>175.88353048302238</v>
      </c>
      <c r="F207" s="97">
        <f t="shared" si="255"/>
        <v>165.17114663086417</v>
      </c>
      <c r="G207" s="97">
        <f t="shared" si="255"/>
        <v>143.83738290028742</v>
      </c>
      <c r="H207" s="97">
        <f t="shared" si="255"/>
        <v>109.41815190591211</v>
      </c>
      <c r="I207" s="97">
        <f t="shared" si="255"/>
        <v>97.548869787971995</v>
      </c>
      <c r="J207" s="97">
        <f t="shared" si="255"/>
        <v>97.552984384565647</v>
      </c>
      <c r="K207" s="97">
        <f t="shared" si="255"/>
        <v>68.986077352122294</v>
      </c>
      <c r="L207" s="97">
        <f t="shared" si="255"/>
        <v>93.277725546994759</v>
      </c>
      <c r="M207" s="97">
        <f t="shared" si="255"/>
        <v>78.154603308107966</v>
      </c>
      <c r="N207" s="97">
        <f t="shared" si="255"/>
        <v>68.678679395705274</v>
      </c>
      <c r="O207" s="97">
        <f t="shared" si="255"/>
        <v>72.272812476080134</v>
      </c>
      <c r="P207" s="97">
        <f t="shared" si="255"/>
        <v>61.366638588103079</v>
      </c>
      <c r="Q207" s="97">
        <f t="shared" si="255"/>
        <v>58.55148063954455</v>
      </c>
      <c r="R207" s="97">
        <f t="shared" si="255"/>
        <v>50.828994000002176</v>
      </c>
      <c r="S207" s="97">
        <f t="shared" si="255"/>
        <v>50.428537757865179</v>
      </c>
      <c r="T207" s="97">
        <f t="shared" si="255"/>
        <v>46.48591253123714</v>
      </c>
      <c r="U207" s="97">
        <f t="shared" si="255"/>
        <v>47.020453235042616</v>
      </c>
      <c r="V207" s="97">
        <f t="shared" si="255"/>
        <v>102.713998950711</v>
      </c>
      <c r="W207" s="97">
        <f t="shared" ref="W207" si="256">IF(W55=0,0,W55/W25*1000)</f>
        <v>113.97482621566833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251.5666889068292</v>
      </c>
      <c r="C208" s="130">
        <f t="shared" si="257"/>
        <v>290.4103335023002</v>
      </c>
      <c r="D208" s="130">
        <f t="shared" si="257"/>
        <v>441.20351511822355</v>
      </c>
      <c r="E208" s="130">
        <f t="shared" si="257"/>
        <v>426.61009650831829</v>
      </c>
      <c r="F208" s="130">
        <f t="shared" si="257"/>
        <v>660.67527158845814</v>
      </c>
      <c r="G208" s="130">
        <f t="shared" si="257"/>
        <v>456.41555140549701</v>
      </c>
      <c r="H208" s="130">
        <f t="shared" si="257"/>
        <v>724.45996522327664</v>
      </c>
      <c r="I208" s="130">
        <f t="shared" si="257"/>
        <v>673.21052206833451</v>
      </c>
      <c r="J208" s="130">
        <f t="shared" si="257"/>
        <v>651.82210304011278</v>
      </c>
      <c r="K208" s="130">
        <f t="shared" si="257"/>
        <v>575.44780575616721</v>
      </c>
      <c r="L208" s="130">
        <f t="shared" si="257"/>
        <v>625.1375327652737</v>
      </c>
      <c r="M208" s="130">
        <f t="shared" si="257"/>
        <v>380.40734107140474</v>
      </c>
      <c r="N208" s="130">
        <f t="shared" si="257"/>
        <v>269.84821409233058</v>
      </c>
      <c r="O208" s="130">
        <f t="shared" si="257"/>
        <v>338.40986119838436</v>
      </c>
      <c r="P208" s="130">
        <f t="shared" si="257"/>
        <v>427.38581720663984</v>
      </c>
      <c r="Q208" s="130">
        <f t="shared" si="257"/>
        <v>435.49395851102753</v>
      </c>
      <c r="R208" s="130">
        <f t="shared" si="257"/>
        <v>611.85015979033369</v>
      </c>
      <c r="S208" s="130">
        <f t="shared" si="257"/>
        <v>590.49134704238247</v>
      </c>
      <c r="T208" s="130">
        <f t="shared" si="257"/>
        <v>506.81994539510998</v>
      </c>
      <c r="U208" s="130">
        <f t="shared" si="257"/>
        <v>449.31554863047148</v>
      </c>
      <c r="V208" s="130">
        <f t="shared" si="257"/>
        <v>542.29200955553483</v>
      </c>
      <c r="W208" s="130">
        <f t="shared" ref="W208" si="258">IF(W56=0,0,W56/W26*1000)</f>
        <v>522.9531815062137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251.5666889068292</v>
      </c>
      <c r="C209" s="97">
        <f t="shared" si="259"/>
        <v>290.4103335023002</v>
      </c>
      <c r="D209" s="97">
        <f t="shared" si="259"/>
        <v>441.20351511822355</v>
      </c>
      <c r="E209" s="97">
        <f t="shared" si="259"/>
        <v>426.61009650831829</v>
      </c>
      <c r="F209" s="97">
        <f t="shared" si="259"/>
        <v>660.67527158845814</v>
      </c>
      <c r="G209" s="97">
        <f t="shared" si="259"/>
        <v>456.41555140549701</v>
      </c>
      <c r="H209" s="97">
        <f t="shared" si="259"/>
        <v>724.45996522327664</v>
      </c>
      <c r="I209" s="97">
        <f t="shared" si="259"/>
        <v>673.21052206833451</v>
      </c>
      <c r="J209" s="97">
        <f t="shared" si="259"/>
        <v>651.82210304011278</v>
      </c>
      <c r="K209" s="97">
        <f t="shared" si="259"/>
        <v>575.44780575616721</v>
      </c>
      <c r="L209" s="97">
        <f t="shared" si="259"/>
        <v>625.1375327652737</v>
      </c>
      <c r="M209" s="97">
        <f t="shared" si="259"/>
        <v>380.40734107140474</v>
      </c>
      <c r="N209" s="97">
        <f t="shared" si="259"/>
        <v>269.84821409233058</v>
      </c>
      <c r="O209" s="97">
        <f t="shared" si="259"/>
        <v>338.40986119838436</v>
      </c>
      <c r="P209" s="97">
        <f t="shared" si="259"/>
        <v>427.38581720663984</v>
      </c>
      <c r="Q209" s="97">
        <f t="shared" si="259"/>
        <v>435.49395851102753</v>
      </c>
      <c r="R209" s="97">
        <f t="shared" si="259"/>
        <v>611.85015979033369</v>
      </c>
      <c r="S209" s="97">
        <f t="shared" si="259"/>
        <v>590.49134704238247</v>
      </c>
      <c r="T209" s="97">
        <f t="shared" si="259"/>
        <v>506.81994539510998</v>
      </c>
      <c r="U209" s="97">
        <f t="shared" si="259"/>
        <v>449.31554863047148</v>
      </c>
      <c r="V209" s="97">
        <f t="shared" si="259"/>
        <v>542.29200955553483</v>
      </c>
      <c r="W209" s="97">
        <f t="shared" ref="W209" si="260">IF(W57=0,0,W57/W27*1000)</f>
        <v>522.9531815062137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3.2732568235673027</v>
      </c>
      <c r="C211" s="32">
        <f t="shared" si="263"/>
        <v>3.1298014380899297</v>
      </c>
      <c r="D211" s="32">
        <f t="shared" si="263"/>
        <v>2.5401527863077131</v>
      </c>
      <c r="E211" s="32">
        <f t="shared" si="263"/>
        <v>3.0077385356075954</v>
      </c>
      <c r="F211" s="32">
        <f t="shared" si="263"/>
        <v>2.626946262302587</v>
      </c>
      <c r="G211" s="32">
        <f t="shared" si="263"/>
        <v>1.7794226971739637</v>
      </c>
      <c r="H211" s="32">
        <f t="shared" si="263"/>
        <v>4.3125723700806926</v>
      </c>
      <c r="I211" s="32">
        <f t="shared" si="263"/>
        <v>1.7411890762685536</v>
      </c>
      <c r="J211" s="32">
        <f t="shared" si="263"/>
        <v>1.1894164682071773</v>
      </c>
      <c r="K211" s="32">
        <f t="shared" si="263"/>
        <v>2.3317947512556647</v>
      </c>
      <c r="L211" s="32">
        <f t="shared" si="263"/>
        <v>3.064546615734181</v>
      </c>
      <c r="M211" s="32">
        <f t="shared" si="263"/>
        <v>2.3526534806710817</v>
      </c>
      <c r="N211" s="32">
        <f t="shared" si="263"/>
        <v>2.528670962090164</v>
      </c>
      <c r="O211" s="32">
        <f t="shared" si="263"/>
        <v>2.9928915331409991</v>
      </c>
      <c r="P211" s="32">
        <f t="shared" si="263"/>
        <v>2.6779398796355687</v>
      </c>
      <c r="Q211" s="32">
        <f t="shared" si="263"/>
        <v>2.9624369642372264</v>
      </c>
      <c r="R211" s="32">
        <f t="shared" si="263"/>
        <v>3.0404027222818808</v>
      </c>
      <c r="S211" s="32">
        <f t="shared" si="263"/>
        <v>2.8380473675336999</v>
      </c>
      <c r="T211" s="32">
        <f t="shared" si="263"/>
        <v>3.1157717410094432</v>
      </c>
      <c r="U211" s="32">
        <f t="shared" si="263"/>
        <v>2.6674037166739337</v>
      </c>
      <c r="V211" s="32">
        <f t="shared" si="263"/>
        <v>2.8774420765871396</v>
      </c>
      <c r="W211" s="32">
        <f t="shared" si="262"/>
        <v>2.9670895331371026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5.1852386357564777</v>
      </c>
      <c r="C212" s="97">
        <f t="shared" si="264"/>
        <v>5.1168560773303149</v>
      </c>
      <c r="D212" s="97">
        <f t="shared" si="264"/>
        <v>4.1348373666159404</v>
      </c>
      <c r="E212" s="97">
        <f t="shared" si="264"/>
        <v>4.6867531294033604</v>
      </c>
      <c r="F212" s="97">
        <f t="shared" si="264"/>
        <v>3.8970888660581808</v>
      </c>
      <c r="G212" s="97">
        <f t="shared" si="264"/>
        <v>2.6863042753346389</v>
      </c>
      <c r="H212" s="97">
        <f t="shared" si="264"/>
        <v>4.0954019684724683</v>
      </c>
      <c r="I212" s="97">
        <f t="shared" si="264"/>
        <v>2.4974422316303726</v>
      </c>
      <c r="J212" s="97">
        <f t="shared" si="264"/>
        <v>1.7177950482535778</v>
      </c>
      <c r="K212" s="97">
        <f t="shared" si="264"/>
        <v>2.9285166712826056</v>
      </c>
      <c r="L212" s="97">
        <f t="shared" si="264"/>
        <v>3.9799009400757974</v>
      </c>
      <c r="M212" s="97">
        <f t="shared" si="264"/>
        <v>3.2696305499697429</v>
      </c>
      <c r="N212" s="97">
        <f t="shared" si="264"/>
        <v>3.7123403267993869</v>
      </c>
      <c r="O212" s="97">
        <f t="shared" si="264"/>
        <v>4.0686648845220281</v>
      </c>
      <c r="P212" s="97">
        <f t="shared" si="264"/>
        <v>3.8718363268575922</v>
      </c>
      <c r="Q212" s="97">
        <f t="shared" si="264"/>
        <v>4.2375741257761579</v>
      </c>
      <c r="R212" s="97">
        <f t="shared" si="264"/>
        <v>4.1443504399936684</v>
      </c>
      <c r="S212" s="97">
        <f t="shared" si="264"/>
        <v>3.9176018083331101</v>
      </c>
      <c r="T212" s="97">
        <f t="shared" si="264"/>
        <v>4.1791234487034332</v>
      </c>
      <c r="U212" s="97">
        <f t="shared" si="264"/>
        <v>3.4966119595541341</v>
      </c>
      <c r="V212" s="97">
        <f t="shared" si="264"/>
        <v>3.6349093007368425</v>
      </c>
      <c r="W212" s="97">
        <f t="shared" si="262"/>
        <v>3.7508900998524202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2.6559855227893907</v>
      </c>
      <c r="C213" s="98">
        <f t="shared" si="265"/>
        <v>2.5199302349941615</v>
      </c>
      <c r="D213" s="98">
        <f t="shared" si="265"/>
        <v>2.0691028087006891</v>
      </c>
      <c r="E213" s="98">
        <f t="shared" si="265"/>
        <v>2.4547966537458796</v>
      </c>
      <c r="F213" s="98">
        <f t="shared" si="265"/>
        <v>2.1526924999434889</v>
      </c>
      <c r="G213" s="98">
        <f t="shared" si="265"/>
        <v>1.4512859191970264</v>
      </c>
      <c r="H213" s="98">
        <f t="shared" si="265"/>
        <v>4.5379671385172511</v>
      </c>
      <c r="I213" s="98">
        <f t="shared" si="265"/>
        <v>1.4201239203193157</v>
      </c>
      <c r="J213" s="98">
        <f t="shared" si="265"/>
        <v>0.97121318232797638</v>
      </c>
      <c r="K213" s="98">
        <f t="shared" si="265"/>
        <v>2.0063556486190919</v>
      </c>
      <c r="L213" s="98">
        <f t="shared" si="265"/>
        <v>2.5928683047647891</v>
      </c>
      <c r="M213" s="98">
        <f t="shared" si="265"/>
        <v>1.9635391210955557</v>
      </c>
      <c r="N213" s="98">
        <f t="shared" si="265"/>
        <v>2.0562380253626</v>
      </c>
      <c r="O213" s="98">
        <f t="shared" si="265"/>
        <v>2.4740017780060395</v>
      </c>
      <c r="P213" s="98">
        <f t="shared" si="265"/>
        <v>2.1868650008101924</v>
      </c>
      <c r="Q213" s="98">
        <f t="shared" si="265"/>
        <v>2.420607860821264</v>
      </c>
      <c r="R213" s="98">
        <f t="shared" si="265"/>
        <v>2.5412547295410937</v>
      </c>
      <c r="S213" s="98">
        <f t="shared" si="265"/>
        <v>2.3658366794185679</v>
      </c>
      <c r="T213" s="98">
        <f t="shared" si="265"/>
        <v>2.6110629847093061</v>
      </c>
      <c r="U213" s="98">
        <f t="shared" si="265"/>
        <v>2.2565957967572623</v>
      </c>
      <c r="V213" s="98">
        <f t="shared" si="265"/>
        <v>2.5307967351052838</v>
      </c>
      <c r="W213" s="98">
        <f t="shared" si="262"/>
        <v>2.5890999673642825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145.9632479737719</v>
      </c>
      <c r="C216" s="32">
        <f t="shared" si="266"/>
        <v>148.69826465746868</v>
      </c>
      <c r="D216" s="32">
        <f t="shared" si="266"/>
        <v>147.95797711679253</v>
      </c>
      <c r="E216" s="32">
        <f t="shared" si="266"/>
        <v>142.87208525119271</v>
      </c>
      <c r="F216" s="32">
        <f t="shared" si="266"/>
        <v>136.32741603927542</v>
      </c>
      <c r="G216" s="32">
        <f t="shared" si="266"/>
        <v>138.04064504213068</v>
      </c>
      <c r="H216" s="32">
        <f t="shared" si="266"/>
        <v>141.10939963443013</v>
      </c>
      <c r="I216" s="32">
        <f t="shared" si="266"/>
        <v>139.32562136373107</v>
      </c>
      <c r="J216" s="32">
        <f t="shared" si="266"/>
        <v>134.10821242996627</v>
      </c>
      <c r="K216" s="32">
        <f t="shared" si="266"/>
        <v>122.61781752818224</v>
      </c>
      <c r="L216" s="32">
        <f t="shared" si="266"/>
        <v>129.82497452483469</v>
      </c>
      <c r="M216" s="32">
        <f t="shared" si="266"/>
        <v>124.21337447252616</v>
      </c>
      <c r="N216" s="32">
        <f t="shared" si="266"/>
        <v>118.95934319110377</v>
      </c>
      <c r="O216" s="32">
        <f t="shared" si="266"/>
        <v>119.13706280720545</v>
      </c>
      <c r="P216" s="32">
        <f t="shared" si="266"/>
        <v>125.11677881980762</v>
      </c>
      <c r="Q216" s="32">
        <f t="shared" si="266"/>
        <v>119.53381691029769</v>
      </c>
      <c r="R216" s="32">
        <f t="shared" si="266"/>
        <v>116.79831161475389</v>
      </c>
      <c r="S216" s="32">
        <f t="shared" si="266"/>
        <v>113.92467173387708</v>
      </c>
      <c r="T216" s="32">
        <f t="shared" si="266"/>
        <v>111.63134980630259</v>
      </c>
      <c r="U216" s="32">
        <f t="shared" si="266"/>
        <v>107.75919069327833</v>
      </c>
      <c r="V216" s="32">
        <f t="shared" si="266"/>
        <v>117.12351668602602</v>
      </c>
      <c r="W216" s="32">
        <f t="shared" ref="W216" si="267">IF(W4=0,0,W64/W4*1000)</f>
        <v>116.11565204803344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148.38633888703808</v>
      </c>
      <c r="C217" s="141">
        <f t="shared" si="268"/>
        <v>146.39393263553612</v>
      </c>
      <c r="D217" s="141">
        <f t="shared" si="268"/>
        <v>143.08971721464988</v>
      </c>
      <c r="E217" s="141">
        <f t="shared" si="268"/>
        <v>136.67573866061119</v>
      </c>
      <c r="F217" s="141">
        <f t="shared" si="268"/>
        <v>133.82240722560419</v>
      </c>
      <c r="G217" s="141">
        <f t="shared" si="268"/>
        <v>138.28124067692266</v>
      </c>
      <c r="H217" s="141">
        <f t="shared" si="268"/>
        <v>149.05211311561115</v>
      </c>
      <c r="I217" s="141">
        <f t="shared" si="268"/>
        <v>143.47135572880882</v>
      </c>
      <c r="J217" s="141">
        <f t="shared" si="268"/>
        <v>138.61953299479427</v>
      </c>
      <c r="K217" s="141">
        <f t="shared" si="268"/>
        <v>134.81450321693234</v>
      </c>
      <c r="L217" s="141">
        <f t="shared" si="268"/>
        <v>131.70439252520143</v>
      </c>
      <c r="M217" s="141">
        <f t="shared" si="268"/>
        <v>128.61163279293987</v>
      </c>
      <c r="N217" s="141">
        <f t="shared" si="268"/>
        <v>129.12779872339817</v>
      </c>
      <c r="O217" s="141">
        <f t="shared" si="268"/>
        <v>128.45313017738991</v>
      </c>
      <c r="P217" s="141">
        <f t="shared" si="268"/>
        <v>135.51090693423441</v>
      </c>
      <c r="Q217" s="141">
        <f t="shared" si="268"/>
        <v>128.37273825413149</v>
      </c>
      <c r="R217" s="141">
        <f t="shared" si="268"/>
        <v>127.79662866842231</v>
      </c>
      <c r="S217" s="141">
        <f t="shared" si="268"/>
        <v>121.54859978023474</v>
      </c>
      <c r="T217" s="141">
        <f t="shared" si="268"/>
        <v>119.68831735593328</v>
      </c>
      <c r="U217" s="141">
        <f t="shared" si="268"/>
        <v>115.51015626501265</v>
      </c>
      <c r="V217" s="141">
        <f t="shared" si="268"/>
        <v>112.65517607941108</v>
      </c>
      <c r="W217" s="141">
        <f t="shared" ref="W217" si="269">IF(W5=0,0,W65/W5*1000)</f>
        <v>111.14444684870904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106.32134965090074</v>
      </c>
      <c r="C218" s="97">
        <f t="shared" si="270"/>
        <v>104.7884441135284</v>
      </c>
      <c r="D218" s="97">
        <f t="shared" si="270"/>
        <v>102.78851515878205</v>
      </c>
      <c r="E218" s="97">
        <f t="shared" si="270"/>
        <v>102.17680407047824</v>
      </c>
      <c r="F218" s="97">
        <f t="shared" si="270"/>
        <v>101.42787940334834</v>
      </c>
      <c r="G218" s="97">
        <f t="shared" si="270"/>
        <v>100.80983606375057</v>
      </c>
      <c r="H218" s="97">
        <f t="shared" si="270"/>
        <v>100.11380367817956</v>
      </c>
      <c r="I218" s="97">
        <f t="shared" si="270"/>
        <v>99.755717119978613</v>
      </c>
      <c r="J218" s="97">
        <f t="shared" si="270"/>
        <v>98.658128333958913</v>
      </c>
      <c r="K218" s="97">
        <f t="shared" si="270"/>
        <v>97.806804723066833</v>
      </c>
      <c r="L218" s="97">
        <f t="shared" si="270"/>
        <v>96.625728505010159</v>
      </c>
      <c r="M218" s="97">
        <f t="shared" si="270"/>
        <v>96.147467975485782</v>
      </c>
      <c r="N218" s="97">
        <f t="shared" si="270"/>
        <v>96.134521867153666</v>
      </c>
      <c r="O218" s="97">
        <f t="shared" si="270"/>
        <v>94.730981786606506</v>
      </c>
      <c r="P218" s="97">
        <f t="shared" si="270"/>
        <v>94.295506683584605</v>
      </c>
      <c r="Q218" s="97">
        <f t="shared" si="270"/>
        <v>92.920177095072575</v>
      </c>
      <c r="R218" s="97">
        <f t="shared" si="270"/>
        <v>91.812138558540738</v>
      </c>
      <c r="S218" s="97">
        <f t="shared" si="270"/>
        <v>90.205735234388158</v>
      </c>
      <c r="T218" s="97">
        <f t="shared" si="270"/>
        <v>89.693269579282173</v>
      </c>
      <c r="U218" s="97">
        <f t="shared" si="270"/>
        <v>88.761641384317741</v>
      </c>
      <c r="V218" s="97">
        <f t="shared" si="270"/>
        <v>88.36728124588636</v>
      </c>
      <c r="W218" s="97">
        <f t="shared" ref="W218" si="271">IF(W6=0,0,W66/W6*1000)</f>
        <v>81.589881561589479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166.80663930079228</v>
      </c>
      <c r="C219" s="97">
        <f t="shared" si="272"/>
        <v>164.96700711479744</v>
      </c>
      <c r="D219" s="97">
        <f t="shared" si="272"/>
        <v>160.22540136640464</v>
      </c>
      <c r="E219" s="97">
        <f t="shared" si="272"/>
        <v>152.20429805637357</v>
      </c>
      <c r="F219" s="97">
        <f t="shared" si="272"/>
        <v>148.59503725763904</v>
      </c>
      <c r="G219" s="97">
        <f t="shared" si="272"/>
        <v>153.13998949607418</v>
      </c>
      <c r="H219" s="97">
        <f t="shared" si="272"/>
        <v>164.99816829978835</v>
      </c>
      <c r="I219" s="97">
        <f t="shared" si="272"/>
        <v>158.04069048915471</v>
      </c>
      <c r="J219" s="97">
        <f t="shared" si="272"/>
        <v>152.2342468677719</v>
      </c>
      <c r="K219" s="97">
        <f t="shared" si="272"/>
        <v>149.00250400709638</v>
      </c>
      <c r="L219" s="97">
        <f t="shared" si="272"/>
        <v>144.49485311426986</v>
      </c>
      <c r="M219" s="97">
        <f t="shared" si="272"/>
        <v>141.08781409572538</v>
      </c>
      <c r="N219" s="97">
        <f t="shared" si="272"/>
        <v>141.27450401792251</v>
      </c>
      <c r="O219" s="97">
        <f t="shared" si="272"/>
        <v>140.22943928680948</v>
      </c>
      <c r="P219" s="97">
        <f t="shared" si="272"/>
        <v>149.35856980753204</v>
      </c>
      <c r="Q219" s="97">
        <f t="shared" si="272"/>
        <v>139.74285914050935</v>
      </c>
      <c r="R219" s="97">
        <f t="shared" si="272"/>
        <v>138.9096118583972</v>
      </c>
      <c r="S219" s="97">
        <f t="shared" si="272"/>
        <v>132.3399497298563</v>
      </c>
      <c r="T219" s="97">
        <f t="shared" si="272"/>
        <v>130.64700387761914</v>
      </c>
      <c r="U219" s="97">
        <f t="shared" si="272"/>
        <v>125.6518736794432</v>
      </c>
      <c r="V219" s="97">
        <f t="shared" si="272"/>
        <v>118.6342241628593</v>
      </c>
      <c r="W219" s="97">
        <f t="shared" ref="W219" si="273">IF(W7=0,0,W67/W7*1000)</f>
        <v>118.14456805475939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57.559026534088439</v>
      </c>
      <c r="C220" s="97">
        <f t="shared" si="274"/>
        <v>54.241502287076202</v>
      </c>
      <c r="D220" s="97">
        <f t="shared" si="274"/>
        <v>54.649984717097716</v>
      </c>
      <c r="E220" s="97">
        <f t="shared" si="274"/>
        <v>54.978543116116342</v>
      </c>
      <c r="F220" s="97">
        <f t="shared" si="274"/>
        <v>54.27082636696359</v>
      </c>
      <c r="G220" s="97">
        <f t="shared" si="274"/>
        <v>55.75389486882483</v>
      </c>
      <c r="H220" s="97">
        <f t="shared" si="274"/>
        <v>58.6510375858931</v>
      </c>
      <c r="I220" s="97">
        <f t="shared" si="274"/>
        <v>60.115655273985062</v>
      </c>
      <c r="J220" s="97">
        <f t="shared" si="274"/>
        <v>61.757349657789824</v>
      </c>
      <c r="K220" s="97">
        <f t="shared" si="274"/>
        <v>58.021787710982913</v>
      </c>
      <c r="L220" s="97">
        <f t="shared" si="274"/>
        <v>59.589811262639451</v>
      </c>
      <c r="M220" s="97">
        <f t="shared" si="274"/>
        <v>58.440316131598451</v>
      </c>
      <c r="N220" s="97">
        <f t="shared" si="274"/>
        <v>59.747645647355391</v>
      </c>
      <c r="O220" s="97">
        <f t="shared" si="274"/>
        <v>59.361221348917276</v>
      </c>
      <c r="P220" s="97">
        <f t="shared" si="274"/>
        <v>58.424067254017224</v>
      </c>
      <c r="Q220" s="97">
        <f t="shared" si="274"/>
        <v>59.572424308572451</v>
      </c>
      <c r="R220" s="97">
        <f t="shared" si="274"/>
        <v>60.193395013694868</v>
      </c>
      <c r="S220" s="97">
        <f t="shared" si="274"/>
        <v>59.804542419741722</v>
      </c>
      <c r="T220" s="97">
        <f t="shared" si="274"/>
        <v>60.366667208593533</v>
      </c>
      <c r="U220" s="97">
        <f t="shared" si="274"/>
        <v>59.978239068176599</v>
      </c>
      <c r="V220" s="97">
        <f t="shared" si="274"/>
        <v>71.799283656954429</v>
      </c>
      <c r="W220" s="97">
        <f t="shared" ref="W220" si="275">IF(W8=0,0,W68/W8*1000)</f>
        <v>65.29412661926969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76.762145387074838</v>
      </c>
      <c r="C221" s="130">
        <f t="shared" si="276"/>
        <v>77.073350899137566</v>
      </c>
      <c r="D221" s="130">
        <f t="shared" si="276"/>
        <v>62.860553174235221</v>
      </c>
      <c r="E221" s="130">
        <f t="shared" si="276"/>
        <v>72.434224022142985</v>
      </c>
      <c r="F221" s="130">
        <f t="shared" si="276"/>
        <v>75.96272472363168</v>
      </c>
      <c r="G221" s="130">
        <f t="shared" si="276"/>
        <v>59.741997673321421</v>
      </c>
      <c r="H221" s="130">
        <f t="shared" si="276"/>
        <v>58.655188255904598</v>
      </c>
      <c r="I221" s="130">
        <f t="shared" si="276"/>
        <v>59.151625751856479</v>
      </c>
      <c r="J221" s="130">
        <f t="shared" si="276"/>
        <v>65.206627661025394</v>
      </c>
      <c r="K221" s="130">
        <f t="shared" si="276"/>
        <v>67.136155875214442</v>
      </c>
      <c r="L221" s="130">
        <f t="shared" si="276"/>
        <v>66.512231737155389</v>
      </c>
      <c r="M221" s="130">
        <f t="shared" si="276"/>
        <v>67.540088178152146</v>
      </c>
      <c r="N221" s="130">
        <f t="shared" si="276"/>
        <v>67.65085791569345</v>
      </c>
      <c r="O221" s="130">
        <f t="shared" si="276"/>
        <v>67.367788915659489</v>
      </c>
      <c r="P221" s="130">
        <f t="shared" si="276"/>
        <v>56.050643088714665</v>
      </c>
      <c r="Q221" s="130">
        <f t="shared" si="276"/>
        <v>51.521539312019748</v>
      </c>
      <c r="R221" s="130">
        <f t="shared" si="276"/>
        <v>50.588449330583913</v>
      </c>
      <c r="S221" s="130">
        <f t="shared" si="276"/>
        <v>49.311526878168699</v>
      </c>
      <c r="T221" s="130">
        <f t="shared" si="276"/>
        <v>44.399831671582099</v>
      </c>
      <c r="U221" s="130">
        <f t="shared" si="276"/>
        <v>44.853966754388722</v>
      </c>
      <c r="V221" s="130">
        <f t="shared" si="276"/>
        <v>100.82059579505521</v>
      </c>
      <c r="W221" s="130">
        <f t="shared" ref="W221" si="277">IF(W9=0,0,W69/W9*1000)</f>
        <v>105.23104920819981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76.762145387074838</v>
      </c>
      <c r="C223" s="97">
        <f t="shared" si="280"/>
        <v>77.073350899137566</v>
      </c>
      <c r="D223" s="97">
        <f t="shared" si="280"/>
        <v>62.860553174235221</v>
      </c>
      <c r="E223" s="97">
        <f t="shared" si="280"/>
        <v>72.434224022142985</v>
      </c>
      <c r="F223" s="97">
        <f t="shared" si="280"/>
        <v>78.363569373556814</v>
      </c>
      <c r="G223" s="97">
        <f t="shared" si="280"/>
        <v>63.431845929394051</v>
      </c>
      <c r="H223" s="97">
        <f t="shared" si="280"/>
        <v>62.199252542029257</v>
      </c>
      <c r="I223" s="97">
        <f t="shared" si="280"/>
        <v>64.309341001769212</v>
      </c>
      <c r="J223" s="97">
        <f t="shared" si="280"/>
        <v>69.85952973602771</v>
      </c>
      <c r="K223" s="97">
        <f t="shared" si="280"/>
        <v>72.401736728172452</v>
      </c>
      <c r="L223" s="97">
        <f t="shared" si="280"/>
        <v>71.7047837976842</v>
      </c>
      <c r="M223" s="97">
        <f t="shared" si="280"/>
        <v>73.230278757263875</v>
      </c>
      <c r="N223" s="97">
        <f t="shared" si="280"/>
        <v>73.824320234996264</v>
      </c>
      <c r="O223" s="97">
        <f t="shared" si="280"/>
        <v>73.800778581042337</v>
      </c>
      <c r="P223" s="97">
        <f t="shared" si="280"/>
        <v>61.242883188134449</v>
      </c>
      <c r="Q223" s="97">
        <f t="shared" si="280"/>
        <v>56.347793504544491</v>
      </c>
      <c r="R223" s="97">
        <f t="shared" si="280"/>
        <v>55.252149308800654</v>
      </c>
      <c r="S223" s="97">
        <f t="shared" si="280"/>
        <v>53.608258817105636</v>
      </c>
      <c r="T223" s="97">
        <f t="shared" si="280"/>
        <v>50.570259834620906</v>
      </c>
      <c r="U223" s="97">
        <f t="shared" si="280"/>
        <v>50.557429885325909</v>
      </c>
      <c r="V223" s="97">
        <f t="shared" si="280"/>
        <v>115.36441148546066</v>
      </c>
      <c r="W223" s="97">
        <f t="shared" ref="W223" si="281">IF(W11=0,0,W71/W11*1000)</f>
        <v>119.94569067093043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145.57991095776524</v>
      </c>
      <c r="C225" s="130">
        <f t="shared" si="284"/>
        <v>164.06631594099275</v>
      </c>
      <c r="D225" s="130">
        <f t="shared" si="284"/>
        <v>174.20149282253908</v>
      </c>
      <c r="E225" s="130">
        <f t="shared" si="284"/>
        <v>173.29707376469074</v>
      </c>
      <c r="F225" s="130">
        <f t="shared" si="284"/>
        <v>152.02573253637701</v>
      </c>
      <c r="G225" s="130">
        <f t="shared" si="284"/>
        <v>145.8512845025198</v>
      </c>
      <c r="H225" s="130">
        <f t="shared" si="284"/>
        <v>128.00702427780467</v>
      </c>
      <c r="I225" s="130">
        <f t="shared" si="284"/>
        <v>136.70491921092841</v>
      </c>
      <c r="J225" s="130">
        <f t="shared" si="284"/>
        <v>128.97291890843118</v>
      </c>
      <c r="K225" s="130">
        <f t="shared" si="284"/>
        <v>91.273279807879035</v>
      </c>
      <c r="L225" s="130">
        <f t="shared" si="284"/>
        <v>130.2888870555382</v>
      </c>
      <c r="M225" s="130">
        <f t="shared" si="284"/>
        <v>116.01558899079596</v>
      </c>
      <c r="N225" s="130">
        <f t="shared" si="284"/>
        <v>93.447420002737772</v>
      </c>
      <c r="O225" s="130">
        <f t="shared" si="284"/>
        <v>96.915537820338443</v>
      </c>
      <c r="P225" s="130">
        <f t="shared" si="284"/>
        <v>103.89104830384973</v>
      </c>
      <c r="Q225" s="130">
        <f t="shared" si="284"/>
        <v>103.19723828490532</v>
      </c>
      <c r="R225" s="130">
        <f t="shared" si="284"/>
        <v>95.793151510598037</v>
      </c>
      <c r="S225" s="130">
        <f t="shared" si="284"/>
        <v>101.78606846636427</v>
      </c>
      <c r="T225" s="130">
        <f t="shared" si="284"/>
        <v>100.193529922968</v>
      </c>
      <c r="U225" s="130">
        <f t="shared" si="284"/>
        <v>96.925826064605204</v>
      </c>
      <c r="V225" s="130">
        <f t="shared" si="284"/>
        <v>155.62005099923414</v>
      </c>
      <c r="W225" s="130">
        <f t="shared" ref="W225" si="285">IF(W13=0,0,W73/W13*1000)</f>
        <v>156.41631012870687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383.37904963150112</v>
      </c>
      <c r="C226" s="97">
        <f t="shared" si="286"/>
        <v>452.40839639737254</v>
      </c>
      <c r="D226" s="97">
        <f t="shared" si="286"/>
        <v>531.20890098277687</v>
      </c>
      <c r="E226" s="97">
        <f t="shared" si="286"/>
        <v>480.80460776764829</v>
      </c>
      <c r="F226" s="97">
        <f t="shared" si="286"/>
        <v>461.26935004537853</v>
      </c>
      <c r="G226" s="97">
        <f t="shared" si="286"/>
        <v>482.64379400002491</v>
      </c>
      <c r="H226" s="97">
        <f t="shared" si="286"/>
        <v>497.32169806505635</v>
      </c>
      <c r="I226" s="97">
        <f t="shared" si="286"/>
        <v>495.60317574210154</v>
      </c>
      <c r="J226" s="97">
        <f t="shared" si="286"/>
        <v>460.84395765583264</v>
      </c>
      <c r="K226" s="97">
        <f t="shared" si="286"/>
        <v>484.00571606261758</v>
      </c>
      <c r="L226" s="97">
        <f t="shared" si="286"/>
        <v>786.88062437996371</v>
      </c>
      <c r="M226" s="97">
        <f t="shared" si="286"/>
        <v>816.16146490177778</v>
      </c>
      <c r="N226" s="97">
        <f t="shared" si="286"/>
        <v>1485.3376932245551</v>
      </c>
      <c r="O226" s="97">
        <f t="shared" si="286"/>
        <v>1269.751436631765</v>
      </c>
      <c r="P226" s="97">
        <f t="shared" si="286"/>
        <v>1440.7254824721654</v>
      </c>
      <c r="Q226" s="97">
        <f t="shared" si="286"/>
        <v>1201.0278353898482</v>
      </c>
      <c r="R226" s="97">
        <f t="shared" si="286"/>
        <v>566.63697949210473</v>
      </c>
      <c r="S226" s="97">
        <f t="shared" si="286"/>
        <v>729.21455511172906</v>
      </c>
      <c r="T226" s="97">
        <f t="shared" si="286"/>
        <v>605.99284484501186</v>
      </c>
      <c r="U226" s="97">
        <f t="shared" si="286"/>
        <v>712.36201102428811</v>
      </c>
      <c r="V226" s="97">
        <f t="shared" si="286"/>
        <v>1846.2698661517807</v>
      </c>
      <c r="W226" s="97">
        <f t="shared" ref="W226" si="287">IF(W14=0,0,W74/W14*1000)</f>
        <v>1804.1129795367667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143.53198278379509</v>
      </c>
      <c r="C227" s="97">
        <f t="shared" si="288"/>
        <v>159.82889738590202</v>
      </c>
      <c r="D227" s="97">
        <f t="shared" si="288"/>
        <v>168.36042566377103</v>
      </c>
      <c r="E227" s="97">
        <f t="shared" si="288"/>
        <v>167.8468043173379</v>
      </c>
      <c r="F227" s="97">
        <f t="shared" si="288"/>
        <v>147.43694280667358</v>
      </c>
      <c r="G227" s="97">
        <f t="shared" si="288"/>
        <v>139.98726530381262</v>
      </c>
      <c r="H227" s="97">
        <f t="shared" si="288"/>
        <v>121.29375620936285</v>
      </c>
      <c r="I227" s="97">
        <f t="shared" si="288"/>
        <v>133.46372326582204</v>
      </c>
      <c r="J227" s="97">
        <f t="shared" si="288"/>
        <v>129.80075279016549</v>
      </c>
      <c r="K227" s="97">
        <f t="shared" si="288"/>
        <v>89.702771939175463</v>
      </c>
      <c r="L227" s="97">
        <f t="shared" si="288"/>
        <v>129.19762042879913</v>
      </c>
      <c r="M227" s="97">
        <f t="shared" si="288"/>
        <v>118.17211108854536</v>
      </c>
      <c r="N227" s="97">
        <f t="shared" si="288"/>
        <v>97.875812882007253</v>
      </c>
      <c r="O227" s="97">
        <f t="shared" si="288"/>
        <v>105.66377891443751</v>
      </c>
      <c r="P227" s="97">
        <f t="shared" si="288"/>
        <v>119.14225159765114</v>
      </c>
      <c r="Q227" s="97">
        <f t="shared" si="288"/>
        <v>122.47628564110732</v>
      </c>
      <c r="R227" s="97">
        <f t="shared" si="288"/>
        <v>115.6638837096511</v>
      </c>
      <c r="S227" s="97">
        <f t="shared" si="288"/>
        <v>129.4251012551259</v>
      </c>
      <c r="T227" s="97">
        <f t="shared" si="288"/>
        <v>133.55408324775706</v>
      </c>
      <c r="U227" s="97">
        <f t="shared" si="288"/>
        <v>125.46900539354311</v>
      </c>
      <c r="V227" s="97">
        <f t="shared" si="288"/>
        <v>154.54824966004583</v>
      </c>
      <c r="W227" s="97">
        <f t="shared" ref="W227" si="289">IF(W15=0,0,W75/W15*1000)</f>
        <v>143.15200722593107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136.93675333128618</v>
      </c>
      <c r="C228" s="97">
        <f t="shared" si="290"/>
        <v>156.78029615277626</v>
      </c>
      <c r="D228" s="97">
        <f t="shared" si="290"/>
        <v>167.92174961006785</v>
      </c>
      <c r="E228" s="97">
        <f t="shared" si="290"/>
        <v>167.55462933707091</v>
      </c>
      <c r="F228" s="97">
        <f t="shared" si="290"/>
        <v>145.78121714557184</v>
      </c>
      <c r="G228" s="97">
        <f t="shared" si="290"/>
        <v>141.27222247888142</v>
      </c>
      <c r="H228" s="97">
        <f t="shared" si="290"/>
        <v>122.50177395311462</v>
      </c>
      <c r="I228" s="97">
        <f t="shared" si="290"/>
        <v>127.89511973242377</v>
      </c>
      <c r="J228" s="97">
        <f t="shared" si="290"/>
        <v>115.27702991136235</v>
      </c>
      <c r="K228" s="97">
        <f t="shared" si="290"/>
        <v>83.001284859166432</v>
      </c>
      <c r="L228" s="97">
        <f t="shared" si="290"/>
        <v>121.46773855228459</v>
      </c>
      <c r="M228" s="97">
        <f t="shared" si="290"/>
        <v>109.15910200275928</v>
      </c>
      <c r="N228" s="97">
        <f t="shared" si="290"/>
        <v>83.56406434888649</v>
      </c>
      <c r="O228" s="97">
        <f t="shared" si="290"/>
        <v>81.704745171428556</v>
      </c>
      <c r="P228" s="97">
        <f t="shared" si="290"/>
        <v>81.451589742276454</v>
      </c>
      <c r="Q228" s="97">
        <f t="shared" si="290"/>
        <v>77.242231165928189</v>
      </c>
      <c r="R228" s="97">
        <f t="shared" si="290"/>
        <v>69.568649699481654</v>
      </c>
      <c r="S228" s="97">
        <f t="shared" si="290"/>
        <v>68.703083196427571</v>
      </c>
      <c r="T228" s="97">
        <f t="shared" si="290"/>
        <v>64.283799560708047</v>
      </c>
      <c r="U228" s="97">
        <f t="shared" si="290"/>
        <v>64.818785011900331</v>
      </c>
      <c r="V228" s="97">
        <f t="shared" si="290"/>
        <v>153.29498401564098</v>
      </c>
      <c r="W228" s="97">
        <f t="shared" ref="W228" si="291">IF(W16=0,0,W76/W16*1000)</f>
        <v>177.30399116147089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353.40833463020687</v>
      </c>
      <c r="C229" s="32">
        <f t="shared" si="292"/>
        <v>343.84823913296526</v>
      </c>
      <c r="D229" s="32">
        <f t="shared" si="292"/>
        <v>316.27434944373402</v>
      </c>
      <c r="E229" s="32">
        <f t="shared" si="292"/>
        <v>299.00630314095417</v>
      </c>
      <c r="F229" s="32">
        <f t="shared" si="292"/>
        <v>297.79631681778466</v>
      </c>
      <c r="G229" s="32">
        <f t="shared" si="292"/>
        <v>293.81230896463228</v>
      </c>
      <c r="H229" s="32">
        <f t="shared" si="292"/>
        <v>313.95604766183544</v>
      </c>
      <c r="I229" s="32">
        <f t="shared" si="292"/>
        <v>318.09128955183081</v>
      </c>
      <c r="J229" s="32">
        <f t="shared" si="292"/>
        <v>303.33468800529437</v>
      </c>
      <c r="K229" s="32">
        <f t="shared" si="292"/>
        <v>342.40965817827862</v>
      </c>
      <c r="L229" s="32">
        <f t="shared" si="292"/>
        <v>315.08203964559635</v>
      </c>
      <c r="M229" s="32">
        <f t="shared" si="292"/>
        <v>307.64447768302904</v>
      </c>
      <c r="N229" s="32">
        <f t="shared" si="292"/>
        <v>305.41126392322468</v>
      </c>
      <c r="O229" s="32">
        <f t="shared" si="292"/>
        <v>313.38433575773615</v>
      </c>
      <c r="P229" s="32">
        <f t="shared" si="292"/>
        <v>313.01097017215409</v>
      </c>
      <c r="Q229" s="32">
        <f t="shared" si="292"/>
        <v>305.15543009583212</v>
      </c>
      <c r="R229" s="32">
        <f t="shared" si="292"/>
        <v>290.93196536194193</v>
      </c>
      <c r="S229" s="32">
        <f t="shared" si="292"/>
        <v>278.22760371507172</v>
      </c>
      <c r="T229" s="32">
        <f t="shared" si="292"/>
        <v>283.09412290133429</v>
      </c>
      <c r="U229" s="32">
        <f t="shared" si="292"/>
        <v>273.01509689850548</v>
      </c>
      <c r="V229" s="32">
        <f t="shared" si="292"/>
        <v>287.39280148185293</v>
      </c>
      <c r="W229" s="32">
        <f t="shared" ref="W229" si="293">IF(W17=0,0,W77/W17*1000)</f>
        <v>285.77971978337297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358.53911108390952</v>
      </c>
      <c r="C230" s="141">
        <f t="shared" si="294"/>
        <v>347.60763273866075</v>
      </c>
      <c r="D230" s="141">
        <f t="shared" si="294"/>
        <v>314.41575635735177</v>
      </c>
      <c r="E230" s="141">
        <f t="shared" si="294"/>
        <v>295.49344299587005</v>
      </c>
      <c r="F230" s="141">
        <f t="shared" si="294"/>
        <v>290.72351485725142</v>
      </c>
      <c r="G230" s="141">
        <f t="shared" si="294"/>
        <v>286.89743512406551</v>
      </c>
      <c r="H230" s="141">
        <f t="shared" si="294"/>
        <v>299.04762587720114</v>
      </c>
      <c r="I230" s="141">
        <f t="shared" si="294"/>
        <v>305.70630484482939</v>
      </c>
      <c r="J230" s="141">
        <f t="shared" si="294"/>
        <v>289.27939546610457</v>
      </c>
      <c r="K230" s="141">
        <f t="shared" si="294"/>
        <v>326.13707088441396</v>
      </c>
      <c r="L230" s="141">
        <f t="shared" si="294"/>
        <v>296.89777382418765</v>
      </c>
      <c r="M230" s="141">
        <f t="shared" si="294"/>
        <v>293.55277406720273</v>
      </c>
      <c r="N230" s="141">
        <f t="shared" si="294"/>
        <v>293.10954338405793</v>
      </c>
      <c r="O230" s="141">
        <f t="shared" si="294"/>
        <v>299.90266485427946</v>
      </c>
      <c r="P230" s="141">
        <f t="shared" si="294"/>
        <v>297.24806001350277</v>
      </c>
      <c r="Q230" s="141">
        <f t="shared" si="294"/>
        <v>292.64943268346957</v>
      </c>
      <c r="R230" s="141">
        <f t="shared" si="294"/>
        <v>276.12177152455422</v>
      </c>
      <c r="S230" s="141">
        <f t="shared" si="294"/>
        <v>265.5235741677073</v>
      </c>
      <c r="T230" s="141">
        <f t="shared" si="294"/>
        <v>269.1648489508546</v>
      </c>
      <c r="U230" s="141">
        <f t="shared" si="294"/>
        <v>258.35898441897615</v>
      </c>
      <c r="V230" s="141">
        <f t="shared" si="294"/>
        <v>262.94000376262051</v>
      </c>
      <c r="W230" s="141">
        <f t="shared" ref="W230" si="295">IF(W18=0,0,W78/W18*1000)</f>
        <v>261.0350135440724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796.35825928151553</v>
      </c>
      <c r="C231" s="97">
        <f t="shared" si="296"/>
        <v>759.24777677899795</v>
      </c>
      <c r="D231" s="97">
        <f t="shared" si="296"/>
        <v>745.40035093572396</v>
      </c>
      <c r="E231" s="97">
        <f t="shared" si="296"/>
        <v>734.42902951983524</v>
      </c>
      <c r="F231" s="97">
        <f t="shared" si="296"/>
        <v>738.31864509481306</v>
      </c>
      <c r="G231" s="97">
        <f t="shared" si="296"/>
        <v>732.83880621646108</v>
      </c>
      <c r="H231" s="97">
        <f t="shared" si="296"/>
        <v>734.14797394055449</v>
      </c>
      <c r="I231" s="97">
        <f t="shared" si="296"/>
        <v>733.96726751932056</v>
      </c>
      <c r="J231" s="97">
        <f t="shared" si="296"/>
        <v>708.31979093184975</v>
      </c>
      <c r="K231" s="97">
        <f t="shared" si="296"/>
        <v>692.38682759799849</v>
      </c>
      <c r="L231" s="97">
        <f t="shared" si="296"/>
        <v>677.06023012751905</v>
      </c>
      <c r="M231" s="97">
        <f t="shared" si="296"/>
        <v>667.72528596802772</v>
      </c>
      <c r="N231" s="97">
        <f t="shared" si="296"/>
        <v>664.09969350355072</v>
      </c>
      <c r="O231" s="97">
        <f t="shared" si="296"/>
        <v>656.95017538729826</v>
      </c>
      <c r="P231" s="97">
        <f t="shared" si="296"/>
        <v>655.33114415662953</v>
      </c>
      <c r="Q231" s="97">
        <f t="shared" si="296"/>
        <v>664.38628936016892</v>
      </c>
      <c r="R231" s="97">
        <f t="shared" si="296"/>
        <v>658.26183317493246</v>
      </c>
      <c r="S231" s="97">
        <f t="shared" si="296"/>
        <v>636.98100728577765</v>
      </c>
      <c r="T231" s="97">
        <f t="shared" si="296"/>
        <v>634.47556523653464</v>
      </c>
      <c r="U231" s="97">
        <f t="shared" si="296"/>
        <v>616.08210963110412</v>
      </c>
      <c r="V231" s="97">
        <f t="shared" si="296"/>
        <v>605.21650312451538</v>
      </c>
      <c r="W231" s="97">
        <f t="shared" ref="W231" si="297">IF(W19=0,0,W79/W19*1000)</f>
        <v>613.56559387634843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284.12487246167001</v>
      </c>
      <c r="C232" s="97">
        <f t="shared" si="298"/>
        <v>278.2811863689052</v>
      </c>
      <c r="D232" s="97">
        <f t="shared" si="298"/>
        <v>247.49430792615652</v>
      </c>
      <c r="E232" s="97">
        <f t="shared" si="298"/>
        <v>229.13538919687636</v>
      </c>
      <c r="F232" s="97">
        <f t="shared" si="298"/>
        <v>226.07502170917695</v>
      </c>
      <c r="G232" s="97">
        <f t="shared" si="298"/>
        <v>221.78830857036226</v>
      </c>
      <c r="H232" s="97">
        <f t="shared" si="298"/>
        <v>230.53235210013327</v>
      </c>
      <c r="I232" s="97">
        <f t="shared" si="298"/>
        <v>237.65964485532271</v>
      </c>
      <c r="J232" s="97">
        <f t="shared" si="298"/>
        <v>216.07186675586414</v>
      </c>
      <c r="K232" s="97">
        <f t="shared" si="298"/>
        <v>232.61666457807101</v>
      </c>
      <c r="L232" s="97">
        <f t="shared" si="298"/>
        <v>203.25597795412722</v>
      </c>
      <c r="M232" s="97">
        <f t="shared" si="298"/>
        <v>197.03579408939061</v>
      </c>
      <c r="N232" s="97">
        <f t="shared" si="298"/>
        <v>199.84140574209403</v>
      </c>
      <c r="O232" s="97">
        <f t="shared" si="298"/>
        <v>205.0648886568012</v>
      </c>
      <c r="P232" s="97">
        <f t="shared" si="298"/>
        <v>209.20322727864226</v>
      </c>
      <c r="Q232" s="97">
        <f t="shared" si="298"/>
        <v>207.68597571915521</v>
      </c>
      <c r="R232" s="97">
        <f t="shared" si="298"/>
        <v>201.66048821087222</v>
      </c>
      <c r="S232" s="97">
        <f t="shared" si="298"/>
        <v>193.90227714645471</v>
      </c>
      <c r="T232" s="97">
        <f t="shared" si="298"/>
        <v>199.53561592894232</v>
      </c>
      <c r="U232" s="97">
        <f t="shared" si="298"/>
        <v>195.64803966023183</v>
      </c>
      <c r="V232" s="97">
        <f t="shared" si="298"/>
        <v>191.63747933690067</v>
      </c>
      <c r="W232" s="97">
        <f t="shared" ref="W232" si="299">IF(W20=0,0,W80/W20*1000)</f>
        <v>194.36739928408923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36.405985941655914</v>
      </c>
      <c r="C233" s="130">
        <f t="shared" si="300"/>
        <v>37.04977276706699</v>
      </c>
      <c r="D233" s="130">
        <f t="shared" si="300"/>
        <v>38.694973972640959</v>
      </c>
      <c r="E233" s="130">
        <f t="shared" si="300"/>
        <v>38.350557840575533</v>
      </c>
      <c r="F233" s="130">
        <f t="shared" si="300"/>
        <v>36.08198428830341</v>
      </c>
      <c r="G233" s="130">
        <f t="shared" si="300"/>
        <v>34.851166599832332</v>
      </c>
      <c r="H233" s="130">
        <f t="shared" si="300"/>
        <v>34.609855225957268</v>
      </c>
      <c r="I233" s="130">
        <f t="shared" si="300"/>
        <v>35.06790953061364</v>
      </c>
      <c r="J233" s="130">
        <f t="shared" si="300"/>
        <v>34.378376326303005</v>
      </c>
      <c r="K233" s="130">
        <f t="shared" si="300"/>
        <v>30.158784892224858</v>
      </c>
      <c r="L233" s="130">
        <f t="shared" si="300"/>
        <v>32.221457690064256</v>
      </c>
      <c r="M233" s="130">
        <f t="shared" si="300"/>
        <v>32.32977138668339</v>
      </c>
      <c r="N233" s="130">
        <f t="shared" si="300"/>
        <v>31.097857463471403</v>
      </c>
      <c r="O233" s="130">
        <f t="shared" si="300"/>
        <v>30.711337033783352</v>
      </c>
      <c r="P233" s="130">
        <f t="shared" si="300"/>
        <v>31.86172690903684</v>
      </c>
      <c r="Q233" s="130">
        <f t="shared" si="300"/>
        <v>31.475718523788178</v>
      </c>
      <c r="R233" s="130">
        <f t="shared" si="300"/>
        <v>31.091997684929808</v>
      </c>
      <c r="S233" s="130">
        <f t="shared" si="300"/>
        <v>30.43073750101863</v>
      </c>
      <c r="T233" s="130">
        <f t="shared" si="300"/>
        <v>30.056912777862042</v>
      </c>
      <c r="U233" s="130">
        <f t="shared" si="300"/>
        <v>30.828768681987842</v>
      </c>
      <c r="V233" s="130">
        <f t="shared" si="300"/>
        <v>29.523986231429888</v>
      </c>
      <c r="W233" s="130">
        <f t="shared" ref="W233" si="301">IF(W21=0,0,W81/W21*1000)</f>
        <v>29.46211480414993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565.81581114935875</v>
      </c>
      <c r="C234" s="130">
        <f t="shared" si="302"/>
        <v>612.25718353815819</v>
      </c>
      <c r="D234" s="130">
        <f t="shared" si="302"/>
        <v>645.57499072542407</v>
      </c>
      <c r="E234" s="130">
        <f t="shared" si="302"/>
        <v>662.03688171300496</v>
      </c>
      <c r="F234" s="130">
        <f t="shared" si="302"/>
        <v>617.56110334871903</v>
      </c>
      <c r="G234" s="130">
        <f t="shared" si="302"/>
        <v>621.29825781202862</v>
      </c>
      <c r="H234" s="130">
        <f t="shared" si="302"/>
        <v>574.94571408778654</v>
      </c>
      <c r="I234" s="130">
        <f t="shared" si="302"/>
        <v>527.37791750979659</v>
      </c>
      <c r="J234" s="130">
        <f t="shared" si="302"/>
        <v>503.88761427020944</v>
      </c>
      <c r="K234" s="130">
        <f t="shared" si="302"/>
        <v>400.68508365320366</v>
      </c>
      <c r="L234" s="130">
        <f t="shared" si="302"/>
        <v>481.38750852744658</v>
      </c>
      <c r="M234" s="130">
        <f t="shared" si="302"/>
        <v>404.64785315936808</v>
      </c>
      <c r="N234" s="130">
        <f t="shared" si="302"/>
        <v>320.33233644410666</v>
      </c>
      <c r="O234" s="130">
        <f t="shared" si="302"/>
        <v>326.62869446786152</v>
      </c>
      <c r="P234" s="130">
        <f t="shared" si="302"/>
        <v>294.71217987892561</v>
      </c>
      <c r="Q234" s="130">
        <f t="shared" si="302"/>
        <v>289.29334573452087</v>
      </c>
      <c r="R234" s="130">
        <f t="shared" si="302"/>
        <v>241.08192874436958</v>
      </c>
      <c r="S234" s="130">
        <f t="shared" si="302"/>
        <v>234.39453527175775</v>
      </c>
      <c r="T234" s="130">
        <f t="shared" si="302"/>
        <v>242.57922414257041</v>
      </c>
      <c r="U234" s="130">
        <f t="shared" si="302"/>
        <v>251.62773059266257</v>
      </c>
      <c r="V234" s="130">
        <f t="shared" si="302"/>
        <v>396.02744908292811</v>
      </c>
      <c r="W234" s="130">
        <f t="shared" ref="W234" si="303">IF(W22=0,0,W82/W22*1000)</f>
        <v>451.73907384779989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3179.4241204881887</v>
      </c>
      <c r="C235" s="97">
        <f t="shared" si="304"/>
        <v>3686.7201375460645</v>
      </c>
      <c r="D235" s="97">
        <f t="shared" si="304"/>
        <v>4032.6593009562243</v>
      </c>
      <c r="E235" s="97">
        <f t="shared" si="304"/>
        <v>3274.4799404570585</v>
      </c>
      <c r="F235" s="97">
        <f t="shared" si="304"/>
        <v>3598.3753675571029</v>
      </c>
      <c r="G235" s="97">
        <f t="shared" si="304"/>
        <v>3662.1691053128352</v>
      </c>
      <c r="H235" s="97">
        <f t="shared" si="304"/>
        <v>4562.4018253556478</v>
      </c>
      <c r="I235" s="97">
        <f t="shared" si="304"/>
        <v>3821.4844307509502</v>
      </c>
      <c r="J235" s="97">
        <f t="shared" si="304"/>
        <v>3465.9319874415664</v>
      </c>
      <c r="K235" s="97">
        <f t="shared" si="304"/>
        <v>3218.6590826770203</v>
      </c>
      <c r="L235" s="97">
        <f t="shared" si="304"/>
        <v>3514.6170976732151</v>
      </c>
      <c r="M235" s="97">
        <f t="shared" si="304"/>
        <v>2449.3294909413144</v>
      </c>
      <c r="N235" s="97">
        <f t="shared" si="304"/>
        <v>3954.5804442178428</v>
      </c>
      <c r="O235" s="97">
        <f t="shared" si="304"/>
        <v>3856.7389028883358</v>
      </c>
      <c r="P235" s="97">
        <f t="shared" si="304"/>
        <v>3600.025211064316</v>
      </c>
      <c r="Q235" s="97">
        <f t="shared" si="304"/>
        <v>3273.956726446012</v>
      </c>
      <c r="R235" s="97">
        <f t="shared" si="304"/>
        <v>1373.5876158578587</v>
      </c>
      <c r="S235" s="97">
        <f t="shared" si="304"/>
        <v>1941.3538900853807</v>
      </c>
      <c r="T235" s="97">
        <f t="shared" si="304"/>
        <v>1812.936047939819</v>
      </c>
      <c r="U235" s="97">
        <f t="shared" si="304"/>
        <v>1843.8451914501566</v>
      </c>
      <c r="V235" s="97">
        <f t="shared" si="304"/>
        <v>1668.0269129604058</v>
      </c>
      <c r="W235" s="97">
        <f t="shared" ref="W235" si="305">IF(W23=0,0,W83/W23*1000)</f>
        <v>2409.3326132730776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830.50591436842694</v>
      </c>
      <c r="C236" s="97">
        <f t="shared" si="306"/>
        <v>880.87187304767428</v>
      </c>
      <c r="D236" s="97">
        <f t="shared" si="306"/>
        <v>991.62201538310489</v>
      </c>
      <c r="E236" s="97">
        <f t="shared" si="306"/>
        <v>974.63707008874883</v>
      </c>
      <c r="F236" s="97">
        <f t="shared" si="306"/>
        <v>995.69397268946841</v>
      </c>
      <c r="G236" s="97">
        <f t="shared" si="306"/>
        <v>981.60600317862861</v>
      </c>
      <c r="H236" s="97">
        <f t="shared" si="306"/>
        <v>972.62332625930412</v>
      </c>
      <c r="I236" s="97">
        <f t="shared" si="306"/>
        <v>1111.5103149741935</v>
      </c>
      <c r="J236" s="97">
        <f t="shared" si="306"/>
        <v>1030.8613025874583</v>
      </c>
      <c r="K236" s="97">
        <f t="shared" si="306"/>
        <v>753.742635741762</v>
      </c>
      <c r="L236" s="97">
        <f t="shared" si="306"/>
        <v>1012.654534223518</v>
      </c>
      <c r="M236" s="97">
        <f t="shared" si="306"/>
        <v>873.35076076489077</v>
      </c>
      <c r="N236" s="97">
        <f t="shared" si="306"/>
        <v>680.55812332555195</v>
      </c>
      <c r="O236" s="97">
        <f t="shared" si="306"/>
        <v>766.92023332268695</v>
      </c>
      <c r="P236" s="97">
        <f t="shared" si="306"/>
        <v>790.94442051404872</v>
      </c>
      <c r="Q236" s="97">
        <f t="shared" si="306"/>
        <v>902.41486866701302</v>
      </c>
      <c r="R236" s="97">
        <f t="shared" si="306"/>
        <v>775.69949703078328</v>
      </c>
      <c r="S236" s="97">
        <f t="shared" si="306"/>
        <v>976.64109673216706</v>
      </c>
      <c r="T236" s="97">
        <f t="shared" si="306"/>
        <v>969.10843627269594</v>
      </c>
      <c r="U236" s="97">
        <f t="shared" si="306"/>
        <v>969.54328412487689</v>
      </c>
      <c r="V236" s="97">
        <f t="shared" si="306"/>
        <v>834.50677738149079</v>
      </c>
      <c r="W236" s="97">
        <f t="shared" ref="W236" si="307">IF(W24=0,0,W84/W24*1000)</f>
        <v>932.38309204792154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396.25367639948456</v>
      </c>
      <c r="C237" s="97">
        <f t="shared" si="308"/>
        <v>429.77202579521457</v>
      </c>
      <c r="D237" s="97">
        <f t="shared" si="308"/>
        <v>482.66685232864768</v>
      </c>
      <c r="E237" s="97">
        <f t="shared" si="308"/>
        <v>529.4638099415231</v>
      </c>
      <c r="F237" s="97">
        <f t="shared" si="308"/>
        <v>497.21622227743967</v>
      </c>
      <c r="G237" s="97">
        <f t="shared" si="308"/>
        <v>432.99499704865792</v>
      </c>
      <c r="H237" s="97">
        <f t="shared" si="308"/>
        <v>329.38246932936477</v>
      </c>
      <c r="I237" s="97">
        <f t="shared" si="308"/>
        <v>293.65226017233419</v>
      </c>
      <c r="J237" s="97">
        <f t="shared" si="308"/>
        <v>293.66464638031431</v>
      </c>
      <c r="K237" s="97">
        <f t="shared" si="308"/>
        <v>207.66942332500548</v>
      </c>
      <c r="L237" s="97">
        <f t="shared" si="308"/>
        <v>280.79479536919342</v>
      </c>
      <c r="M237" s="97">
        <f t="shared" si="308"/>
        <v>235.26952136074786</v>
      </c>
      <c r="N237" s="97">
        <f t="shared" si="308"/>
        <v>206.74406042874207</v>
      </c>
      <c r="O237" s="97">
        <f t="shared" si="308"/>
        <v>217.5635123066188</v>
      </c>
      <c r="P237" s="97">
        <f t="shared" si="308"/>
        <v>184.73255671484176</v>
      </c>
      <c r="Q237" s="97">
        <f t="shared" si="308"/>
        <v>176.25806084284284</v>
      </c>
      <c r="R237" s="97">
        <f t="shared" si="308"/>
        <v>153.01098826495135</v>
      </c>
      <c r="S237" s="97">
        <f t="shared" si="308"/>
        <v>151.805491155049</v>
      </c>
      <c r="T237" s="97">
        <f t="shared" si="308"/>
        <v>139.93697016317847</v>
      </c>
      <c r="U237" s="97">
        <f t="shared" si="308"/>
        <v>141.54610296161857</v>
      </c>
      <c r="V237" s="97">
        <f t="shared" si="308"/>
        <v>309.20089601011574</v>
      </c>
      <c r="W237" s="97">
        <f t="shared" ref="W237" si="309">IF(W25=0,0,W85/W25*1000)</f>
        <v>343.09946792542758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798.1746805553388</v>
      </c>
      <c r="C238" s="130">
        <f t="shared" si="310"/>
        <v>917.27544819655247</v>
      </c>
      <c r="D238" s="130">
        <f t="shared" si="310"/>
        <v>1389.7415140995606</v>
      </c>
      <c r="E238" s="130">
        <f t="shared" si="310"/>
        <v>1341.2410036303481</v>
      </c>
      <c r="F238" s="130">
        <f t="shared" si="310"/>
        <v>2071.9851704741973</v>
      </c>
      <c r="G238" s="130">
        <f t="shared" si="310"/>
        <v>1432.5658282698428</v>
      </c>
      <c r="H238" s="130">
        <f t="shared" si="310"/>
        <v>2271.6994480426515</v>
      </c>
      <c r="I238" s="130">
        <f t="shared" si="310"/>
        <v>2115.2530801356957</v>
      </c>
      <c r="J238" s="130">
        <f t="shared" si="310"/>
        <v>2047.3950235830598</v>
      </c>
      <c r="K238" s="130">
        <f t="shared" si="310"/>
        <v>1805.3109779466868</v>
      </c>
      <c r="L238" s="130">
        <f t="shared" si="310"/>
        <v>1959.6382169179046</v>
      </c>
      <c r="M238" s="130">
        <f t="shared" si="310"/>
        <v>1193.8561313076505</v>
      </c>
      <c r="N238" s="130">
        <f t="shared" si="310"/>
        <v>846.49037002582236</v>
      </c>
      <c r="O238" s="130">
        <f t="shared" si="310"/>
        <v>1061.7569414452914</v>
      </c>
      <c r="P238" s="130">
        <f t="shared" si="310"/>
        <v>1335.9266399259486</v>
      </c>
      <c r="Q238" s="130">
        <f t="shared" si="310"/>
        <v>1351.0846441710319</v>
      </c>
      <c r="R238" s="130">
        <f t="shared" si="310"/>
        <v>1898.2154385165352</v>
      </c>
      <c r="S238" s="130">
        <f t="shared" si="310"/>
        <v>1831.9514563016116</v>
      </c>
      <c r="T238" s="130">
        <f t="shared" si="310"/>
        <v>1572.3677268087629</v>
      </c>
      <c r="U238" s="130">
        <f t="shared" si="310"/>
        <v>1393.9650052034888</v>
      </c>
      <c r="V238" s="130">
        <f t="shared" si="310"/>
        <v>1682.4169255348709</v>
      </c>
      <c r="W238" s="130">
        <f t="shared" ref="W238" si="311">IF(W26=0,0,W86/W26*1000)</f>
        <v>1622.4197818246896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798.1746805553388</v>
      </c>
      <c r="C239" s="97">
        <f t="shared" si="312"/>
        <v>917.27544819655247</v>
      </c>
      <c r="D239" s="97">
        <f t="shared" si="312"/>
        <v>1389.7415140995606</v>
      </c>
      <c r="E239" s="97">
        <f t="shared" si="312"/>
        <v>1341.2410036303481</v>
      </c>
      <c r="F239" s="97">
        <f t="shared" si="312"/>
        <v>2071.9851704741973</v>
      </c>
      <c r="G239" s="97">
        <f t="shared" si="312"/>
        <v>1432.5658282698428</v>
      </c>
      <c r="H239" s="97">
        <f t="shared" si="312"/>
        <v>2271.6994480426515</v>
      </c>
      <c r="I239" s="97">
        <f t="shared" si="312"/>
        <v>2115.2530801356957</v>
      </c>
      <c r="J239" s="97">
        <f t="shared" si="312"/>
        <v>2047.3950235830598</v>
      </c>
      <c r="K239" s="97">
        <f t="shared" si="312"/>
        <v>1805.3109779466868</v>
      </c>
      <c r="L239" s="97">
        <f t="shared" si="312"/>
        <v>1959.6382169179046</v>
      </c>
      <c r="M239" s="97">
        <f t="shared" si="312"/>
        <v>1193.8561313076505</v>
      </c>
      <c r="N239" s="97">
        <f t="shared" si="312"/>
        <v>846.49037002582236</v>
      </c>
      <c r="O239" s="97">
        <f t="shared" si="312"/>
        <v>1061.7569414452914</v>
      </c>
      <c r="P239" s="97">
        <f t="shared" si="312"/>
        <v>1335.9266399259486</v>
      </c>
      <c r="Q239" s="97">
        <f t="shared" si="312"/>
        <v>1351.0846441710319</v>
      </c>
      <c r="R239" s="97">
        <f t="shared" si="312"/>
        <v>1898.2154385165352</v>
      </c>
      <c r="S239" s="97">
        <f t="shared" si="312"/>
        <v>1831.9514563016116</v>
      </c>
      <c r="T239" s="97">
        <f t="shared" si="312"/>
        <v>1572.3677268087629</v>
      </c>
      <c r="U239" s="97">
        <f t="shared" si="312"/>
        <v>1393.9650052034888</v>
      </c>
      <c r="V239" s="97">
        <f t="shared" si="312"/>
        <v>1682.4169255348709</v>
      </c>
      <c r="W239" s="97">
        <f t="shared" ref="W239" si="313">IF(W27=0,0,W87/W27*1000)</f>
        <v>1622.4197818246896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10.261778891869149</v>
      </c>
      <c r="C241" s="32">
        <f t="shared" si="316"/>
        <v>9.8030161045777113</v>
      </c>
      <c r="D241" s="32">
        <f t="shared" si="316"/>
        <v>8.003410861802303</v>
      </c>
      <c r="E241" s="32">
        <f t="shared" si="316"/>
        <v>9.4820555717462192</v>
      </c>
      <c r="F241" s="32">
        <f t="shared" si="316"/>
        <v>8.2645711980976877</v>
      </c>
      <c r="G241" s="32">
        <f t="shared" si="316"/>
        <v>5.5750097037203643</v>
      </c>
      <c r="H241" s="32">
        <f t="shared" si="316"/>
        <v>13.603907029134831</v>
      </c>
      <c r="I241" s="32">
        <f t="shared" si="316"/>
        <v>5.5414792861195741</v>
      </c>
      <c r="J241" s="32">
        <f t="shared" si="316"/>
        <v>3.795213237493444</v>
      </c>
      <c r="K241" s="32">
        <f t="shared" si="316"/>
        <v>7.3386485385263072</v>
      </c>
      <c r="L241" s="32">
        <f t="shared" si="316"/>
        <v>9.6247254731107805</v>
      </c>
      <c r="M241" s="32">
        <f t="shared" si="316"/>
        <v>7.3668175443068842</v>
      </c>
      <c r="N241" s="32">
        <f t="shared" si="316"/>
        <v>7.9092739432661405</v>
      </c>
      <c r="O241" s="32">
        <f t="shared" si="316"/>
        <v>9.3354418509213843</v>
      </c>
      <c r="P241" s="32">
        <f t="shared" si="316"/>
        <v>8.3624435192318192</v>
      </c>
      <c r="Q241" s="32">
        <f t="shared" si="316"/>
        <v>9.2260427872589155</v>
      </c>
      <c r="R241" s="32">
        <f t="shared" si="316"/>
        <v>9.4610573630791333</v>
      </c>
      <c r="S241" s="32">
        <f t="shared" si="316"/>
        <v>8.8389241059595864</v>
      </c>
      <c r="T241" s="32">
        <f t="shared" si="316"/>
        <v>9.7056357083940359</v>
      </c>
      <c r="U241" s="32">
        <f t="shared" si="316"/>
        <v>8.3019446455512718</v>
      </c>
      <c r="V241" s="32">
        <f t="shared" si="316"/>
        <v>8.9536215161345485</v>
      </c>
      <c r="W241" s="32">
        <f t="shared" si="315"/>
        <v>9.221205215911791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16.086781826057251</v>
      </c>
      <c r="C242" s="97">
        <f t="shared" si="317"/>
        <v>15.874630491203828</v>
      </c>
      <c r="D242" s="97">
        <f t="shared" si="317"/>
        <v>12.827997181131785</v>
      </c>
      <c r="E242" s="97">
        <f t="shared" si="317"/>
        <v>14.540271019619817</v>
      </c>
      <c r="F242" s="97">
        <f t="shared" si="317"/>
        <v>12.090401763329583</v>
      </c>
      <c r="G242" s="97">
        <f t="shared" si="317"/>
        <v>8.3340408863185598</v>
      </c>
      <c r="H242" s="97">
        <f t="shared" si="317"/>
        <v>12.743219766589618</v>
      </c>
      <c r="I242" s="97">
        <f t="shared" si="317"/>
        <v>7.8224098194970315</v>
      </c>
      <c r="J242" s="97">
        <f t="shared" si="317"/>
        <v>5.4058755747695635</v>
      </c>
      <c r="K242" s="97">
        <f t="shared" si="317"/>
        <v>9.0860172001415389</v>
      </c>
      <c r="L242" s="97">
        <f t="shared" si="317"/>
        <v>12.347319498628829</v>
      </c>
      <c r="M242" s="97">
        <f t="shared" si="317"/>
        <v>10.143763287280471</v>
      </c>
      <c r="N242" s="97">
        <f t="shared" si="317"/>
        <v>11.517234421860563</v>
      </c>
      <c r="O242" s="97">
        <f t="shared" si="317"/>
        <v>12.622702428640974</v>
      </c>
      <c r="P242" s="97">
        <f t="shared" si="317"/>
        <v>12.01205781096594</v>
      </c>
      <c r="Q242" s="97">
        <f t="shared" si="317"/>
        <v>13.146729634201517</v>
      </c>
      <c r="R242" s="97">
        <f t="shared" si="317"/>
        <v>12.857510718824628</v>
      </c>
      <c r="S242" s="97">
        <f t="shared" si="317"/>
        <v>12.15404150108664</v>
      </c>
      <c r="T242" s="97">
        <f t="shared" si="317"/>
        <v>12.965391154778366</v>
      </c>
      <c r="U242" s="97">
        <f t="shared" si="317"/>
        <v>10.847954679625587</v>
      </c>
      <c r="V242" s="97">
        <f t="shared" si="317"/>
        <v>11.277010950900834</v>
      </c>
      <c r="W242" s="97">
        <f t="shared" si="315"/>
        <v>11.636831962516023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8.3812133366432029</v>
      </c>
      <c r="C243" s="98">
        <f t="shared" si="318"/>
        <v>7.9395027931768762</v>
      </c>
      <c r="D243" s="98">
        <f t="shared" si="318"/>
        <v>6.5782881097882049</v>
      </c>
      <c r="E243" s="98">
        <f t="shared" si="318"/>
        <v>7.8162575620420549</v>
      </c>
      <c r="F243" s="98">
        <f t="shared" si="318"/>
        <v>6.8360587347374722</v>
      </c>
      <c r="G243" s="98">
        <f t="shared" si="318"/>
        <v>4.5767100090326975</v>
      </c>
      <c r="H243" s="98">
        <f t="shared" si="318"/>
        <v>14.497189008636076</v>
      </c>
      <c r="I243" s="98">
        <f t="shared" si="318"/>
        <v>4.5731166257907878</v>
      </c>
      <c r="J243" s="98">
        <f t="shared" si="318"/>
        <v>3.130061719798197</v>
      </c>
      <c r="K243" s="98">
        <f t="shared" si="318"/>
        <v>6.3856718334210969</v>
      </c>
      <c r="L243" s="98">
        <f t="shared" si="318"/>
        <v>8.2217839921324867</v>
      </c>
      <c r="M243" s="98">
        <f t="shared" si="318"/>
        <v>6.1884353354915707</v>
      </c>
      <c r="N243" s="98">
        <f t="shared" si="318"/>
        <v>6.4692439692555554</v>
      </c>
      <c r="O243" s="98">
        <f t="shared" si="318"/>
        <v>7.749860804460261</v>
      </c>
      <c r="P243" s="98">
        <f t="shared" si="318"/>
        <v>6.8612799130891817</v>
      </c>
      <c r="Q243" s="98">
        <f t="shared" si="318"/>
        <v>7.5600712328813078</v>
      </c>
      <c r="R243" s="98">
        <f t="shared" si="318"/>
        <v>7.9253570325670299</v>
      </c>
      <c r="S243" s="98">
        <f t="shared" si="318"/>
        <v>7.388850068770517</v>
      </c>
      <c r="T243" s="98">
        <f t="shared" si="318"/>
        <v>8.158426910699891</v>
      </c>
      <c r="U243" s="98">
        <f t="shared" si="318"/>
        <v>7.0405955270812184</v>
      </c>
      <c r="V243" s="98">
        <f t="shared" si="318"/>
        <v>7.8903515840077958</v>
      </c>
      <c r="W243" s="98">
        <f t="shared" si="315"/>
        <v>8.0562638471595243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41691.038740831435</v>
      </c>
      <c r="C4" s="29">
        <f t="shared" si="0"/>
        <v>43878.423404630812</v>
      </c>
      <c r="D4" s="29">
        <f t="shared" si="0"/>
        <v>45180.384198213811</v>
      </c>
      <c r="E4" s="29">
        <f t="shared" si="0"/>
        <v>47623.58064602044</v>
      </c>
      <c r="F4" s="29">
        <f t="shared" si="0"/>
        <v>50622.817666747454</v>
      </c>
      <c r="G4" s="29">
        <f t="shared" si="0"/>
        <v>52459.551856137557</v>
      </c>
      <c r="H4" s="29">
        <f t="shared" si="0"/>
        <v>54177.079762288398</v>
      </c>
      <c r="I4" s="29">
        <f t="shared" si="0"/>
        <v>56420.638144959703</v>
      </c>
      <c r="J4" s="29">
        <f t="shared" si="0"/>
        <v>57632.19363109066</v>
      </c>
      <c r="K4" s="29">
        <f t="shared" si="0"/>
        <v>57968.784947191147</v>
      </c>
      <c r="L4" s="29">
        <f t="shared" ref="L4" si="1">L5+L6+L13</f>
        <v>56683.257713109044</v>
      </c>
      <c r="M4" s="29">
        <f t="shared" ref="M4:V4" si="2">M5+M6+M13</f>
        <v>55964.432806355537</v>
      </c>
      <c r="N4" s="29">
        <f t="shared" si="2"/>
        <v>54835.949516979192</v>
      </c>
      <c r="O4" s="29">
        <f t="shared" si="2"/>
        <v>56294.943862909713</v>
      </c>
      <c r="P4" s="29">
        <f t="shared" si="2"/>
        <v>55723.973974538399</v>
      </c>
      <c r="Q4" s="29">
        <f t="shared" si="2"/>
        <v>60554.718927382062</v>
      </c>
      <c r="R4" s="29">
        <f t="shared" si="2"/>
        <v>64142.327645634352</v>
      </c>
      <c r="S4" s="29">
        <f t="shared" si="2"/>
        <v>66494.558705901363</v>
      </c>
      <c r="T4" s="29">
        <f t="shared" si="2"/>
        <v>67782.356034348108</v>
      </c>
      <c r="U4" s="29">
        <f t="shared" si="2"/>
        <v>69513.374561882898</v>
      </c>
      <c r="V4" s="29">
        <f t="shared" si="2"/>
        <v>58328.478937873442</v>
      </c>
      <c r="W4" s="29">
        <f t="shared" ref="W4" si="3">W5+W6+W13</f>
        <v>62074.842545774605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119.83874083142855</v>
      </c>
      <c r="C5" s="152">
        <f t="shared" si="4"/>
        <v>129.8234046308132</v>
      </c>
      <c r="D5" s="152">
        <f t="shared" si="4"/>
        <v>129.98419821380679</v>
      </c>
      <c r="E5" s="152">
        <f t="shared" si="4"/>
        <v>139.68064602044129</v>
      </c>
      <c r="F5" s="152">
        <f t="shared" si="4"/>
        <v>135.01766674745235</v>
      </c>
      <c r="G5" s="152">
        <f t="shared" si="4"/>
        <v>165.35185613755996</v>
      </c>
      <c r="H5" s="152">
        <f t="shared" si="4"/>
        <v>163.07976228839985</v>
      </c>
      <c r="I5" s="152">
        <f t="shared" si="4"/>
        <v>165.138144959703</v>
      </c>
      <c r="J5" s="152">
        <f t="shared" si="4"/>
        <v>176.1936310906585</v>
      </c>
      <c r="K5" s="152">
        <f t="shared" si="4"/>
        <v>161.98494719114288</v>
      </c>
      <c r="L5" s="152">
        <f t="shared" ref="L5:L7" si="5">IF(L32=0,0,L32*L142)</f>
        <v>141.55771310904396</v>
      </c>
      <c r="M5" s="152">
        <f t="shared" ref="M5:V5" si="6">IF(M32=0,0,M32*M142)</f>
        <v>129.83280635554573</v>
      </c>
      <c r="N5" s="152">
        <f t="shared" si="6"/>
        <v>116.34951697918966</v>
      </c>
      <c r="O5" s="152">
        <f t="shared" si="6"/>
        <v>115.64386290971895</v>
      </c>
      <c r="P5" s="152">
        <f t="shared" si="6"/>
        <v>133.67397453839712</v>
      </c>
      <c r="Q5" s="152">
        <f t="shared" si="6"/>
        <v>127.61892738206616</v>
      </c>
      <c r="R5" s="152">
        <f t="shared" si="6"/>
        <v>132.82764563435555</v>
      </c>
      <c r="S5" s="152">
        <f t="shared" si="6"/>
        <v>126.41463345974572</v>
      </c>
      <c r="T5" s="152">
        <f t="shared" si="6"/>
        <v>120.09358390762648</v>
      </c>
      <c r="U5" s="152">
        <f t="shared" si="6"/>
        <v>128.66385911967063</v>
      </c>
      <c r="V5" s="152">
        <f t="shared" si="6"/>
        <v>116.26766391536512</v>
      </c>
      <c r="W5" s="152">
        <f t="shared" ref="W5" si="7">IF(W32=0,0,W32*W142)</f>
        <v>121.45263045438453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34608.000000000007</v>
      </c>
      <c r="C6" s="116">
        <f t="shared" si="8"/>
        <v>36459</v>
      </c>
      <c r="D6" s="116">
        <f t="shared" si="8"/>
        <v>37788</v>
      </c>
      <c r="E6" s="116">
        <f t="shared" si="8"/>
        <v>39949.5</v>
      </c>
      <c r="F6" s="116">
        <f t="shared" si="8"/>
        <v>42627</v>
      </c>
      <c r="G6" s="116">
        <f t="shared" si="8"/>
        <v>44379</v>
      </c>
      <c r="H6" s="116">
        <f t="shared" si="8"/>
        <v>45990</v>
      </c>
      <c r="I6" s="116">
        <f t="shared" si="8"/>
        <v>47959.5</v>
      </c>
      <c r="J6" s="116">
        <f t="shared" si="8"/>
        <v>48888</v>
      </c>
      <c r="K6" s="116">
        <f t="shared" si="8"/>
        <v>48858</v>
      </c>
      <c r="L6" s="116">
        <f t="shared" ref="L6" si="9">SUM(L7:L12)</f>
        <v>48082.5</v>
      </c>
      <c r="M6" s="116">
        <f t="shared" ref="M6:V6" si="10">SUM(M7:M12)</f>
        <v>47456.999999999993</v>
      </c>
      <c r="N6" s="116">
        <f t="shared" si="10"/>
        <v>46614</v>
      </c>
      <c r="O6" s="116">
        <f t="shared" si="10"/>
        <v>48046.499999999993</v>
      </c>
      <c r="P6" s="116">
        <f t="shared" si="10"/>
        <v>47185.5</v>
      </c>
      <c r="Q6" s="116">
        <f t="shared" si="10"/>
        <v>51913.5</v>
      </c>
      <c r="R6" s="116">
        <f t="shared" si="10"/>
        <v>55033.5</v>
      </c>
      <c r="S6" s="116">
        <f t="shared" si="10"/>
        <v>56548.94407244162</v>
      </c>
      <c r="T6" s="116">
        <f t="shared" si="10"/>
        <v>57163.062450440484</v>
      </c>
      <c r="U6" s="116">
        <f t="shared" si="10"/>
        <v>58722.310702763221</v>
      </c>
      <c r="V6" s="116">
        <f t="shared" si="10"/>
        <v>50841.01127395808</v>
      </c>
      <c r="W6" s="116">
        <f t="shared" ref="W6" si="11">SUM(W7:W12)</f>
        <v>53815.487049137737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29610.888341440121</v>
      </c>
      <c r="C7" s="87">
        <f t="shared" si="12"/>
        <v>31260.496022213163</v>
      </c>
      <c r="D7" s="87">
        <f t="shared" si="12"/>
        <v>32300.422627077071</v>
      </c>
      <c r="E7" s="87">
        <f t="shared" si="12"/>
        <v>33961.839675291005</v>
      </c>
      <c r="F7" s="87">
        <f t="shared" si="12"/>
        <v>35788.547964946214</v>
      </c>
      <c r="G7" s="87">
        <f t="shared" si="12"/>
        <v>36167.369615309151</v>
      </c>
      <c r="H7" s="87">
        <f t="shared" si="12"/>
        <v>37235.881474839109</v>
      </c>
      <c r="I7" s="87">
        <f t="shared" si="12"/>
        <v>38390.949187240658</v>
      </c>
      <c r="J7" s="87">
        <f t="shared" si="12"/>
        <v>37494.593916934391</v>
      </c>
      <c r="K7" s="87">
        <f t="shared" si="12"/>
        <v>35692.451604251219</v>
      </c>
      <c r="L7" s="87">
        <f t="shared" si="5"/>
        <v>33018.011190575002</v>
      </c>
      <c r="M7" s="87">
        <f t="shared" ref="M7:V7" si="13">IF(M34=0,0,M34*M144)</f>
        <v>29852.37494511273</v>
      </c>
      <c r="N7" s="87">
        <f t="shared" si="13"/>
        <v>28055.757514006084</v>
      </c>
      <c r="O7" s="87">
        <f t="shared" si="13"/>
        <v>26782.411040726809</v>
      </c>
      <c r="P7" s="87">
        <f t="shared" si="13"/>
        <v>24856.398874107497</v>
      </c>
      <c r="Q7" s="87">
        <f t="shared" si="13"/>
        <v>24554.032515567997</v>
      </c>
      <c r="R7" s="87">
        <f t="shared" si="13"/>
        <v>23555.219740327746</v>
      </c>
      <c r="S7" s="87">
        <f t="shared" si="13"/>
        <v>22395.570086797314</v>
      </c>
      <c r="T7" s="87">
        <f t="shared" si="13"/>
        <v>21319.33426176232</v>
      </c>
      <c r="U7" s="87">
        <f t="shared" si="13"/>
        <v>21023.49881950931</v>
      </c>
      <c r="V7" s="87">
        <f t="shared" si="13"/>
        <v>16704.133687011039</v>
      </c>
      <c r="W7" s="87">
        <f t="shared" ref="W7" si="14">IF(W34=0,0,W34*W144)</f>
        <v>17427.581507268253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4956.3396487145765</v>
      </c>
      <c r="C8" s="87">
        <f t="shared" si="15"/>
        <v>5168.3571884860066</v>
      </c>
      <c r="D8" s="87">
        <f t="shared" si="15"/>
        <v>5461.7867726314034</v>
      </c>
      <c r="E8" s="87">
        <f t="shared" si="15"/>
        <v>5965.4014495523224</v>
      </c>
      <c r="F8" s="87">
        <f t="shared" si="15"/>
        <v>6816.7254190343956</v>
      </c>
      <c r="G8" s="87">
        <f t="shared" si="15"/>
        <v>8191.1679249851004</v>
      </c>
      <c r="H8" s="87">
        <f t="shared" si="15"/>
        <v>8737.6514694941143</v>
      </c>
      <c r="I8" s="87">
        <f t="shared" si="15"/>
        <v>9545.5008831070736</v>
      </c>
      <c r="J8" s="87">
        <f t="shared" si="15"/>
        <v>11376.519989003813</v>
      </c>
      <c r="K8" s="87">
        <f t="shared" si="15"/>
        <v>13153.509009089554</v>
      </c>
      <c r="L8" s="87">
        <f t="shared" ref="L8" si="16">IF(L35=0,0,L35*L145)</f>
        <v>15053.654591230254</v>
      </c>
      <c r="M8" s="87">
        <f t="shared" ref="M8:V8" si="17">IF(M35=0,0,M35*M145)</f>
        <v>17580.400361975142</v>
      </c>
      <c r="N8" s="87">
        <f t="shared" si="17"/>
        <v>18520.410563112917</v>
      </c>
      <c r="O8" s="87">
        <f t="shared" si="17"/>
        <v>21229.928173583983</v>
      </c>
      <c r="P8" s="87">
        <f t="shared" si="17"/>
        <v>22267.85216595008</v>
      </c>
      <c r="Q8" s="87">
        <f t="shared" si="17"/>
        <v>27276.958372077719</v>
      </c>
      <c r="R8" s="87">
        <f t="shared" si="17"/>
        <v>31379.748675421801</v>
      </c>
      <c r="S8" s="87">
        <f t="shared" si="17"/>
        <v>34043.576979082995</v>
      </c>
      <c r="T8" s="87">
        <f t="shared" si="17"/>
        <v>35681.69141493956</v>
      </c>
      <c r="U8" s="87">
        <f t="shared" si="17"/>
        <v>37426.209860856776</v>
      </c>
      <c r="V8" s="87">
        <f t="shared" si="17"/>
        <v>33776.218270676</v>
      </c>
      <c r="W8" s="87">
        <f t="shared" ref="W8" si="18">IF(W35=0,0,W35*W145)</f>
        <v>35549.650625304232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40.772009845303437</v>
      </c>
      <c r="C9" s="87">
        <f t="shared" si="19"/>
        <v>30.146789300831117</v>
      </c>
      <c r="D9" s="87">
        <f t="shared" si="19"/>
        <v>25.790600291526818</v>
      </c>
      <c r="E9" s="87">
        <f t="shared" si="19"/>
        <v>22.258875156669902</v>
      </c>
      <c r="F9" s="87">
        <f t="shared" si="19"/>
        <v>21.726616019390129</v>
      </c>
      <c r="G9" s="87">
        <f t="shared" si="19"/>
        <v>20.462459705745047</v>
      </c>
      <c r="H9" s="87">
        <f t="shared" si="19"/>
        <v>16.46705566677495</v>
      </c>
      <c r="I9" s="87">
        <f t="shared" si="19"/>
        <v>23.049929652271302</v>
      </c>
      <c r="J9" s="87">
        <f t="shared" si="19"/>
        <v>16.886094061798385</v>
      </c>
      <c r="K9" s="87">
        <f t="shared" si="19"/>
        <v>11.996696083814559</v>
      </c>
      <c r="L9" s="87">
        <f t="shared" ref="L9" si="20">IF(L36=0,0,L36*L146)</f>
        <v>10.431936876456582</v>
      </c>
      <c r="M9" s="87">
        <f t="shared" ref="M9:V9" si="21">IF(M36=0,0,M36*M146)</f>
        <v>11.449648230914061</v>
      </c>
      <c r="N9" s="87">
        <f t="shared" si="21"/>
        <v>21.129410252555711</v>
      </c>
      <c r="O9" s="87">
        <f t="shared" si="21"/>
        <v>28.676651365399305</v>
      </c>
      <c r="P9" s="87">
        <f t="shared" si="21"/>
        <v>48.488023274792539</v>
      </c>
      <c r="Q9" s="87">
        <f t="shared" si="21"/>
        <v>57.140413525436564</v>
      </c>
      <c r="R9" s="87">
        <f t="shared" si="21"/>
        <v>57.145677309562593</v>
      </c>
      <c r="S9" s="87">
        <f t="shared" si="21"/>
        <v>49.9712369800936</v>
      </c>
      <c r="T9" s="87">
        <f t="shared" si="21"/>
        <v>43.071867527206777</v>
      </c>
      <c r="U9" s="87">
        <f t="shared" si="21"/>
        <v>38.564899844595097</v>
      </c>
      <c r="V9" s="87">
        <f t="shared" si="21"/>
        <v>33.337350018194677</v>
      </c>
      <c r="W9" s="87">
        <f t="shared" ref="W9" si="22">IF(W36=0,0,W36*W146)</f>
        <v>33.214179285821743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" si="26">IF(W37=0,0,W37*W147)</f>
        <v>0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0.14977045835167427</v>
      </c>
      <c r="P11" s="87">
        <f t="shared" si="29"/>
        <v>0.70468404711191568</v>
      </c>
      <c r="Q11" s="87">
        <f t="shared" si="29"/>
        <v>2.816495363339393</v>
      </c>
      <c r="R11" s="87">
        <f t="shared" si="29"/>
        <v>9.3995300747320023</v>
      </c>
      <c r="S11" s="87">
        <f t="shared" si="29"/>
        <v>16.447463616803304</v>
      </c>
      <c r="T11" s="87">
        <f t="shared" si="29"/>
        <v>36.41244776568324</v>
      </c>
      <c r="U11" s="87">
        <f t="shared" si="29"/>
        <v>66.688546895649097</v>
      </c>
      <c r="V11" s="87">
        <f t="shared" si="29"/>
        <v>104.46949920068245</v>
      </c>
      <c r="W11" s="87">
        <f t="shared" ref="W11" si="30">IF(W38=0,0,W38*W148)</f>
        <v>344.10647054423418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4.2690575412385835E-2</v>
      </c>
      <c r="L12" s="87">
        <f t="shared" ref="L12" si="32">IF(L39=0,0,L39*L149)</f>
        <v>0.40228131828925057</v>
      </c>
      <c r="M12" s="87">
        <f t="shared" ref="M12:V12" si="33">IF(M39=0,0,M39*M149)</f>
        <v>12.775044681211876</v>
      </c>
      <c r="N12" s="87">
        <f t="shared" si="33"/>
        <v>16.702512628444303</v>
      </c>
      <c r="O12" s="87">
        <f t="shared" si="33"/>
        <v>5.3343638654486929</v>
      </c>
      <c r="P12" s="87">
        <f t="shared" si="33"/>
        <v>12.056252620525289</v>
      </c>
      <c r="Q12" s="87">
        <f t="shared" si="33"/>
        <v>22.552203465507638</v>
      </c>
      <c r="R12" s="87">
        <f t="shared" si="33"/>
        <v>31.986376866154796</v>
      </c>
      <c r="S12" s="87">
        <f t="shared" si="33"/>
        <v>43.378305964417684</v>
      </c>
      <c r="T12" s="87">
        <f t="shared" si="33"/>
        <v>82.55245844571651</v>
      </c>
      <c r="U12" s="87">
        <f t="shared" si="33"/>
        <v>167.34857565688947</v>
      </c>
      <c r="V12" s="87">
        <f t="shared" si="33"/>
        <v>222.8524670521669</v>
      </c>
      <c r="W12" s="87">
        <f t="shared" ref="W12" si="34">IF(W39=0,0,W39*W149)</f>
        <v>460.93426673519832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6963.2</v>
      </c>
      <c r="C13" s="116">
        <f t="shared" si="35"/>
        <v>7289.5999999999995</v>
      </c>
      <c r="D13" s="116">
        <f t="shared" si="35"/>
        <v>7262.4000000000015</v>
      </c>
      <c r="E13" s="116">
        <f t="shared" si="35"/>
        <v>7534.4</v>
      </c>
      <c r="F13" s="116">
        <f t="shared" si="35"/>
        <v>7860.8</v>
      </c>
      <c r="G13" s="116">
        <f t="shared" si="35"/>
        <v>7915.2</v>
      </c>
      <c r="H13" s="116">
        <f t="shared" si="35"/>
        <v>8023.9999999999991</v>
      </c>
      <c r="I13" s="116">
        <f t="shared" si="35"/>
        <v>8295.9999999999982</v>
      </c>
      <c r="J13" s="116">
        <f t="shared" si="35"/>
        <v>8568</v>
      </c>
      <c r="K13" s="116">
        <f t="shared" si="35"/>
        <v>8948.8000000000011</v>
      </c>
      <c r="L13" s="116">
        <f t="shared" ref="L13" si="36">SUM(L14:L18)</f>
        <v>8459.1999999999989</v>
      </c>
      <c r="M13" s="116">
        <f t="shared" ref="M13:V13" si="37">SUM(M14:M18)</f>
        <v>8377.5999999999985</v>
      </c>
      <c r="N13" s="116">
        <f t="shared" si="37"/>
        <v>8105.6</v>
      </c>
      <c r="O13" s="116">
        <f t="shared" si="37"/>
        <v>8132.7999999999993</v>
      </c>
      <c r="P13" s="116">
        <f t="shared" si="37"/>
        <v>8404.7999999999993</v>
      </c>
      <c r="Q13" s="116">
        <f t="shared" si="37"/>
        <v>8513.6</v>
      </c>
      <c r="R13" s="116">
        <f t="shared" si="37"/>
        <v>8976</v>
      </c>
      <c r="S13" s="116">
        <f t="shared" si="37"/>
        <v>9819.1999999999971</v>
      </c>
      <c r="T13" s="116">
        <f t="shared" si="37"/>
        <v>10499.2</v>
      </c>
      <c r="U13" s="116">
        <f t="shared" si="37"/>
        <v>10662.400000000001</v>
      </c>
      <c r="V13" s="116">
        <f t="shared" si="37"/>
        <v>7371.1999999999989</v>
      </c>
      <c r="W13" s="116">
        <f t="shared" ref="W13" si="38">SUM(W14:W18)</f>
        <v>8137.9028661824814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53.992796607194229</v>
      </c>
      <c r="C14" s="101">
        <f t="shared" si="39"/>
        <v>49.60255815354887</v>
      </c>
      <c r="D14" s="101">
        <f t="shared" si="39"/>
        <v>44.124503063368813</v>
      </c>
      <c r="E14" s="101">
        <f t="shared" si="39"/>
        <v>38.928261440499043</v>
      </c>
      <c r="F14" s="101">
        <f t="shared" si="39"/>
        <v>34.383149257023121</v>
      </c>
      <c r="G14" s="101">
        <f t="shared" si="39"/>
        <v>28.99945687256054</v>
      </c>
      <c r="H14" s="101">
        <f t="shared" si="39"/>
        <v>23.719546358059617</v>
      </c>
      <c r="I14" s="101">
        <f t="shared" si="39"/>
        <v>20.45952041416998</v>
      </c>
      <c r="J14" s="101">
        <f t="shared" si="39"/>
        <v>17.103755943223739</v>
      </c>
      <c r="K14" s="101">
        <f t="shared" si="39"/>
        <v>14.948619337336938</v>
      </c>
      <c r="L14" s="101">
        <f t="shared" ref="L14" si="40">IF(L41=0,0,L41*L151)</f>
        <v>11.489352389630433</v>
      </c>
      <c r="M14" s="101">
        <f t="shared" ref="M14:V14" si="41">IF(M41=0,0,M41*M151)</f>
        <v>9.2803242689260586</v>
      </c>
      <c r="N14" s="101">
        <f t="shared" si="41"/>
        <v>6.8897006806851664</v>
      </c>
      <c r="O14" s="101">
        <f t="shared" si="41"/>
        <v>6.9049805963200415</v>
      </c>
      <c r="P14" s="101">
        <f t="shared" si="41"/>
        <v>7.020565100154311</v>
      </c>
      <c r="Q14" s="101">
        <f t="shared" si="41"/>
        <v>6.0029096989966577</v>
      </c>
      <c r="R14" s="101">
        <f t="shared" si="41"/>
        <v>4.966334274761075</v>
      </c>
      <c r="S14" s="101">
        <f t="shared" si="41"/>
        <v>6.2578511466315607</v>
      </c>
      <c r="T14" s="101">
        <f t="shared" si="41"/>
        <v>4.2472510400471117</v>
      </c>
      <c r="U14" s="101">
        <f t="shared" si="41"/>
        <v>5.2045803172329395</v>
      </c>
      <c r="V14" s="101">
        <f t="shared" si="41"/>
        <v>3.9712731685970768</v>
      </c>
      <c r="W14" s="101">
        <f t="shared" ref="W14" si="42">IF(W41=0,0,W41*W151)</f>
        <v>3.9447739642186992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6909.2072033928052</v>
      </c>
      <c r="C15" s="101">
        <f t="shared" si="43"/>
        <v>7239.4749950386586</v>
      </c>
      <c r="D15" s="101">
        <f t="shared" si="43"/>
        <v>7217.7527337424344</v>
      </c>
      <c r="E15" s="101">
        <f t="shared" si="43"/>
        <v>7494.9476703992277</v>
      </c>
      <c r="F15" s="101">
        <f t="shared" si="43"/>
        <v>7825.8793158397857</v>
      </c>
      <c r="G15" s="101">
        <f t="shared" si="43"/>
        <v>7885.6695846730017</v>
      </c>
      <c r="H15" s="101">
        <f t="shared" si="43"/>
        <v>7999.766938647128</v>
      </c>
      <c r="I15" s="101">
        <f t="shared" si="43"/>
        <v>8275.0317214785155</v>
      </c>
      <c r="J15" s="101">
        <f t="shared" si="43"/>
        <v>8549.7938154840049</v>
      </c>
      <c r="K15" s="101">
        <f t="shared" si="43"/>
        <v>8932.6907664781284</v>
      </c>
      <c r="L15" s="101">
        <f t="shared" ref="L15" si="44">IF(L42=0,0,L42*L152)</f>
        <v>8446.5886414859451</v>
      </c>
      <c r="M15" s="101">
        <f t="shared" ref="M15:V15" si="45">IF(M42=0,0,M42*M152)</f>
        <v>8367.1801779152684</v>
      </c>
      <c r="N15" s="101">
        <f t="shared" si="45"/>
        <v>8097.5899697957457</v>
      </c>
      <c r="O15" s="101">
        <f t="shared" si="45"/>
        <v>8124.7739124991449</v>
      </c>
      <c r="P15" s="101">
        <f t="shared" si="45"/>
        <v>8396.641432374623</v>
      </c>
      <c r="Q15" s="101">
        <f t="shared" si="45"/>
        <v>8506.4744721788957</v>
      </c>
      <c r="R15" s="101">
        <f t="shared" si="45"/>
        <v>8969.9079679489369</v>
      </c>
      <c r="S15" s="101">
        <f t="shared" si="45"/>
        <v>9811.822479986693</v>
      </c>
      <c r="T15" s="101">
        <f t="shared" si="45"/>
        <v>10493.834745101394</v>
      </c>
      <c r="U15" s="101">
        <f t="shared" si="45"/>
        <v>10656.078552501613</v>
      </c>
      <c r="V15" s="101">
        <f t="shared" si="45"/>
        <v>7363.7817888843911</v>
      </c>
      <c r="W15" s="101">
        <f t="shared" ref="W15" si="46">IF(W42=0,0,W42*W152)</f>
        <v>8127.8387306297973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0.52244680779264607</v>
      </c>
      <c r="D16" s="101">
        <f t="shared" si="47"/>
        <v>0.52276319419765693</v>
      </c>
      <c r="E16" s="101">
        <f t="shared" si="47"/>
        <v>0.52406816027248782</v>
      </c>
      <c r="F16" s="101">
        <f t="shared" si="47"/>
        <v>0.53753490319144315</v>
      </c>
      <c r="G16" s="101">
        <f t="shared" si="47"/>
        <v>0.53095845443736378</v>
      </c>
      <c r="H16" s="101">
        <f t="shared" si="47"/>
        <v>0.51351499481186724</v>
      </c>
      <c r="I16" s="101">
        <f t="shared" si="47"/>
        <v>0.50875810731386883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" si="54">IF(W44=0,0,W44*W154)</f>
        <v>0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1.1024285727705971</v>
      </c>
      <c r="K18" s="101">
        <f t="shared" si="55"/>
        <v>1.1606141845357734</v>
      </c>
      <c r="L18" s="101">
        <f t="shared" ref="L18" si="56">IF(L45=0,0,L45*L155)</f>
        <v>1.122006124423631</v>
      </c>
      <c r="M18" s="101">
        <f t="shared" ref="M18:V18" si="57">IF(M45=0,0,M45*M155)</f>
        <v>1.1394978158045892</v>
      </c>
      <c r="N18" s="101">
        <f t="shared" si="57"/>
        <v>1.1203295235692612</v>
      </c>
      <c r="O18" s="101">
        <f t="shared" si="57"/>
        <v>1.1211069045340645</v>
      </c>
      <c r="P18" s="101">
        <f t="shared" si="57"/>
        <v>1.1380025252219921</v>
      </c>
      <c r="Q18" s="101">
        <f t="shared" si="57"/>
        <v>1.1226181221082359</v>
      </c>
      <c r="R18" s="101">
        <f t="shared" si="57"/>
        <v>1.1256977763021692</v>
      </c>
      <c r="S18" s="101">
        <f t="shared" si="57"/>
        <v>1.1196688666734884</v>
      </c>
      <c r="T18" s="101">
        <f t="shared" si="57"/>
        <v>1.1180038585596948</v>
      </c>
      <c r="U18" s="101">
        <f t="shared" si="57"/>
        <v>1.1168671811547877</v>
      </c>
      <c r="V18" s="101">
        <f t="shared" si="57"/>
        <v>3.4469379470113908</v>
      </c>
      <c r="W18" s="101">
        <f t="shared" ref="W18" si="58">IF(W45=0,0,W45*W155)</f>
        <v>6.1193615884654831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11131.218040188469</v>
      </c>
      <c r="C19" s="29">
        <f t="shared" si="59"/>
        <v>12131.601479531972</v>
      </c>
      <c r="D19" s="29">
        <f t="shared" si="59"/>
        <v>13940.037527784869</v>
      </c>
      <c r="E19" s="29">
        <f t="shared" si="59"/>
        <v>15301.547064532197</v>
      </c>
      <c r="F19" s="29">
        <f t="shared" si="59"/>
        <v>16927.266937830449</v>
      </c>
      <c r="G19" s="29">
        <f t="shared" si="59"/>
        <v>17892.12050110571</v>
      </c>
      <c r="H19" s="29">
        <f t="shared" si="59"/>
        <v>17958.530251643566</v>
      </c>
      <c r="I19" s="29">
        <f t="shared" si="59"/>
        <v>18828.46395078344</v>
      </c>
      <c r="J19" s="29">
        <f t="shared" si="59"/>
        <v>17440.817548804021</v>
      </c>
      <c r="K19" s="29">
        <f t="shared" si="59"/>
        <v>12320.300611393221</v>
      </c>
      <c r="L19" s="29">
        <f t="shared" ref="L19" si="60">L20+L26</f>
        <v>12034.252742835679</v>
      </c>
      <c r="M19" s="29">
        <f t="shared" ref="M19:V19" si="61">M20+M26</f>
        <v>11360.030588572878</v>
      </c>
      <c r="N19" s="29">
        <f t="shared" si="61"/>
        <v>11033.733620633073</v>
      </c>
      <c r="O19" s="29">
        <f t="shared" si="61"/>
        <v>10825.563842676444</v>
      </c>
      <c r="P19" s="29">
        <f t="shared" si="61"/>
        <v>11227.30126070133</v>
      </c>
      <c r="Q19" s="29">
        <f t="shared" si="61"/>
        <v>11326.362845431577</v>
      </c>
      <c r="R19" s="29">
        <f t="shared" si="61"/>
        <v>12652.907070139909</v>
      </c>
      <c r="S19" s="29">
        <f t="shared" si="61"/>
        <v>12656.789855240633</v>
      </c>
      <c r="T19" s="29">
        <f t="shared" si="61"/>
        <v>12893.037354449338</v>
      </c>
      <c r="U19" s="29">
        <f t="shared" si="61"/>
        <v>13664.105429535264</v>
      </c>
      <c r="V19" s="29">
        <f t="shared" si="61"/>
        <v>11654.231861866556</v>
      </c>
      <c r="W19" s="29">
        <f t="shared" ref="W19" si="62">W20+W26</f>
        <v>12899.482395685047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1617.0775601749015</v>
      </c>
      <c r="C20" s="152">
        <f t="shared" si="63"/>
        <v>1748.6470705437418</v>
      </c>
      <c r="D20" s="152">
        <f t="shared" si="63"/>
        <v>1873.6215710614629</v>
      </c>
      <c r="E20" s="152">
        <f t="shared" si="63"/>
        <v>2009.4867662832255</v>
      </c>
      <c r="F20" s="152">
        <f t="shared" si="63"/>
        <v>2136.3317192962159</v>
      </c>
      <c r="G20" s="152">
        <f t="shared" si="63"/>
        <v>2279.5014257618795</v>
      </c>
      <c r="H20" s="152">
        <f t="shared" si="63"/>
        <v>2443.1998601008399</v>
      </c>
      <c r="I20" s="152">
        <f t="shared" si="63"/>
        <v>2581.4918531908847</v>
      </c>
      <c r="J20" s="152">
        <f t="shared" si="63"/>
        <v>2593.8131756908369</v>
      </c>
      <c r="K20" s="152">
        <f t="shared" si="63"/>
        <v>2506.033691759681</v>
      </c>
      <c r="L20" s="152">
        <f t="shared" ref="L20" si="64">SUM(L21:L25)</f>
        <v>2378.4274489392592</v>
      </c>
      <c r="M20" s="152">
        <f t="shared" ref="M20:V20" si="65">SUM(M21:M25)</f>
        <v>2329.4249474074259</v>
      </c>
      <c r="N20" s="152">
        <f t="shared" si="65"/>
        <v>2216.6449434775323</v>
      </c>
      <c r="O20" s="152">
        <f t="shared" si="65"/>
        <v>2271.9757227580758</v>
      </c>
      <c r="P20" s="152">
        <f t="shared" si="65"/>
        <v>2215.7453594922345</v>
      </c>
      <c r="Q20" s="152">
        <f t="shared" si="65"/>
        <v>2107.1300225479276</v>
      </c>
      <c r="R20" s="152">
        <f t="shared" si="65"/>
        <v>2063.4010575801858</v>
      </c>
      <c r="S20" s="152">
        <f t="shared" si="65"/>
        <v>2045.9021024835129</v>
      </c>
      <c r="T20" s="152">
        <f t="shared" si="65"/>
        <v>2064.0373544493386</v>
      </c>
      <c r="U20" s="152">
        <f t="shared" si="65"/>
        <v>2038.105429535264</v>
      </c>
      <c r="V20" s="152">
        <f t="shared" si="65"/>
        <v>2009.2318618665563</v>
      </c>
      <c r="W20" s="152">
        <f t="shared" ref="W20" si="66">SUM(W21:W25)</f>
        <v>2051.4823956850464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17.598671730761147</v>
      </c>
      <c r="C21" s="87">
        <f t="shared" si="67"/>
        <v>16.176883962778778</v>
      </c>
      <c r="D21" s="87">
        <f t="shared" si="67"/>
        <v>15.041354030622763</v>
      </c>
      <c r="E21" s="87">
        <f t="shared" si="67"/>
        <v>13.53844043469336</v>
      </c>
      <c r="F21" s="87">
        <f t="shared" si="67"/>
        <v>11.763842264252116</v>
      </c>
      <c r="G21" s="87">
        <f t="shared" si="67"/>
        <v>9.0630564188759539</v>
      </c>
      <c r="H21" s="87">
        <f t="shared" si="67"/>
        <v>6.9855112240787527</v>
      </c>
      <c r="I21" s="87">
        <f t="shared" si="67"/>
        <v>5.5066631706184932</v>
      </c>
      <c r="J21" s="87">
        <f t="shared" si="67"/>
        <v>4.961996165298638</v>
      </c>
      <c r="K21" s="87">
        <f t="shared" si="67"/>
        <v>4.5403327325864611</v>
      </c>
      <c r="L21" s="87">
        <f t="shared" ref="L21" si="68">IF(L48=0,0,L48*L158)</f>
        <v>3.8624013964758102</v>
      </c>
      <c r="M21" s="87">
        <f t="shared" ref="M21:V21" si="69">IF(M48=0,0,M48*M158)</f>
        <v>3.2762352329628235</v>
      </c>
      <c r="N21" s="87">
        <f t="shared" si="69"/>
        <v>2.7005000717607768</v>
      </c>
      <c r="O21" s="87">
        <f t="shared" si="69"/>
        <v>2.5841944852691658</v>
      </c>
      <c r="P21" s="87">
        <f t="shared" si="69"/>
        <v>2.3835607049645233</v>
      </c>
      <c r="Q21" s="87">
        <f t="shared" si="69"/>
        <v>2.102482534439678</v>
      </c>
      <c r="R21" s="87">
        <f t="shared" si="69"/>
        <v>1.8587690122435558</v>
      </c>
      <c r="S21" s="87">
        <f t="shared" si="69"/>
        <v>2.003913749461796</v>
      </c>
      <c r="T21" s="87">
        <f t="shared" si="69"/>
        <v>2.0758460239648611</v>
      </c>
      <c r="U21" s="87">
        <f t="shared" si="69"/>
        <v>2.2977920984142601</v>
      </c>
      <c r="V21" s="87">
        <f t="shared" si="69"/>
        <v>3.0864851646759011</v>
      </c>
      <c r="W21" s="87">
        <f t="shared" ref="W21" si="70">IF(W48=0,0,W48*W158)</f>
        <v>3.5367399229535312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1599.4788884441402</v>
      </c>
      <c r="C22" s="87">
        <f t="shared" si="71"/>
        <v>1732.4701865809632</v>
      </c>
      <c r="D22" s="87">
        <f t="shared" si="71"/>
        <v>1858.58021703084</v>
      </c>
      <c r="E22" s="87">
        <f t="shared" si="71"/>
        <v>1995.9483258485322</v>
      </c>
      <c r="F22" s="87">
        <f t="shared" si="71"/>
        <v>2124.5678770319637</v>
      </c>
      <c r="G22" s="87">
        <f t="shared" si="71"/>
        <v>2270.4383693430036</v>
      </c>
      <c r="H22" s="87">
        <f t="shared" si="71"/>
        <v>2436.2143488767611</v>
      </c>
      <c r="I22" s="87">
        <f t="shared" si="71"/>
        <v>2575.9851900202661</v>
      </c>
      <c r="J22" s="87">
        <f t="shared" si="71"/>
        <v>2588.8511795255381</v>
      </c>
      <c r="K22" s="87">
        <f t="shared" si="71"/>
        <v>2501.4933590270944</v>
      </c>
      <c r="L22" s="87">
        <f t="shared" ref="L22" si="72">IF(L49=0,0,L49*L159)</f>
        <v>2374.5650475427833</v>
      </c>
      <c r="M22" s="87">
        <f t="shared" ref="M22:V22" si="73">IF(M49=0,0,M49*M159)</f>
        <v>2325.9232091958402</v>
      </c>
      <c r="N22" s="87">
        <f t="shared" si="73"/>
        <v>2213.4335097694593</v>
      </c>
      <c r="O22" s="87">
        <f t="shared" si="73"/>
        <v>2268.8434173339815</v>
      </c>
      <c r="P22" s="87">
        <f t="shared" si="73"/>
        <v>2212.7302146102852</v>
      </c>
      <c r="Q22" s="87">
        <f t="shared" si="73"/>
        <v>2104.4224451636574</v>
      </c>
      <c r="R22" s="87">
        <f t="shared" si="73"/>
        <v>2060.911031021255</v>
      </c>
      <c r="S22" s="87">
        <f t="shared" si="73"/>
        <v>2042.8640440584811</v>
      </c>
      <c r="T22" s="87">
        <f t="shared" si="73"/>
        <v>2060.8412988064201</v>
      </c>
      <c r="U22" s="87">
        <f t="shared" si="73"/>
        <v>2033.5804786548424</v>
      </c>
      <c r="V22" s="87">
        <f t="shared" si="73"/>
        <v>2000.2574338514971</v>
      </c>
      <c r="W22" s="87">
        <f t="shared" ref="W22" si="74">IF(W49=0,0,W49*W159)</f>
        <v>2037.6587561435335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1.0411161965191705E-2</v>
      </c>
      <c r="P23" s="87">
        <f t="shared" si="77"/>
        <v>2.0719601939187406E-2</v>
      </c>
      <c r="Q23" s="87">
        <f t="shared" si="77"/>
        <v>2.0519439157734069E-2</v>
      </c>
      <c r="R23" s="87">
        <f t="shared" si="77"/>
        <v>2.0350735983106567E-2</v>
      </c>
      <c r="S23" s="87">
        <f t="shared" si="77"/>
        <v>2.5225080116584919E-2</v>
      </c>
      <c r="T23" s="87">
        <f t="shared" si="77"/>
        <v>2.5436929143574157E-2</v>
      </c>
      <c r="U23" s="87">
        <f t="shared" si="77"/>
        <v>2.5224197764703127E-2</v>
      </c>
      <c r="V23" s="87">
        <f t="shared" si="77"/>
        <v>2.0012778170667371E-2</v>
      </c>
      <c r="W23" s="87">
        <f t="shared" ref="W23" si="78">IF(W50=0,0,W50*W160)</f>
        <v>2.0185014214768832E-2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0.22550297862275773</v>
      </c>
      <c r="N25" s="87">
        <f t="shared" si="85"/>
        <v>0.51093363631201871</v>
      </c>
      <c r="O25" s="87">
        <f t="shared" si="85"/>
        <v>0.53769977686002524</v>
      </c>
      <c r="P25" s="87">
        <f t="shared" si="85"/>
        <v>0.61086457504542335</v>
      </c>
      <c r="Q25" s="87">
        <f t="shared" si="85"/>
        <v>0.58457541067280028</v>
      </c>
      <c r="R25" s="87">
        <f t="shared" si="85"/>
        <v>0.61090681070447406</v>
      </c>
      <c r="S25" s="87">
        <f t="shared" si="85"/>
        <v>1.0089195954532462</v>
      </c>
      <c r="T25" s="87">
        <f t="shared" si="85"/>
        <v>1.0947726898097414</v>
      </c>
      <c r="U25" s="87">
        <f t="shared" si="85"/>
        <v>2.2019345842427462</v>
      </c>
      <c r="V25" s="87">
        <f t="shared" si="85"/>
        <v>5.8679300722127277</v>
      </c>
      <c r="W25" s="87">
        <f t="shared" ref="W25" si="86">IF(W52=0,0,W52*W162)</f>
        <v>10.26671460434466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9514.1404800135679</v>
      </c>
      <c r="C26" s="116">
        <f t="shared" si="87"/>
        <v>10382.954408988229</v>
      </c>
      <c r="D26" s="116">
        <f t="shared" si="87"/>
        <v>12066.415956723406</v>
      </c>
      <c r="E26" s="116">
        <f t="shared" si="87"/>
        <v>13292.060298248971</v>
      </c>
      <c r="F26" s="116">
        <f t="shared" si="87"/>
        <v>14790.935218534232</v>
      </c>
      <c r="G26" s="116">
        <f t="shared" si="87"/>
        <v>15612.61907534383</v>
      </c>
      <c r="H26" s="116">
        <f t="shared" si="87"/>
        <v>15515.330391542726</v>
      </c>
      <c r="I26" s="116">
        <f t="shared" si="87"/>
        <v>16246.972097592554</v>
      </c>
      <c r="J26" s="116">
        <f t="shared" si="87"/>
        <v>14847.004373113185</v>
      </c>
      <c r="K26" s="116">
        <f t="shared" si="87"/>
        <v>9814.2669196335391</v>
      </c>
      <c r="L26" s="116">
        <f t="shared" ref="L26" si="88">SUM(L27:L28)</f>
        <v>9655.8252938964197</v>
      </c>
      <c r="M26" s="116">
        <f t="shared" ref="M26:V26" si="89">SUM(M27:M28)</f>
        <v>9030.6056411654517</v>
      </c>
      <c r="N26" s="116">
        <f t="shared" si="89"/>
        <v>8817.0886771555397</v>
      </c>
      <c r="O26" s="116">
        <f t="shared" si="89"/>
        <v>8553.5881199183677</v>
      </c>
      <c r="P26" s="116">
        <f t="shared" si="89"/>
        <v>9011.5559012090944</v>
      </c>
      <c r="Q26" s="116">
        <f t="shared" si="89"/>
        <v>9219.2328228836486</v>
      </c>
      <c r="R26" s="116">
        <f t="shared" si="89"/>
        <v>10589.506012559723</v>
      </c>
      <c r="S26" s="116">
        <f t="shared" si="89"/>
        <v>10610.88775275712</v>
      </c>
      <c r="T26" s="116">
        <f t="shared" si="89"/>
        <v>10829</v>
      </c>
      <c r="U26" s="116">
        <f t="shared" si="89"/>
        <v>11626</v>
      </c>
      <c r="V26" s="116">
        <f t="shared" si="89"/>
        <v>9645</v>
      </c>
      <c r="W26" s="116">
        <f t="shared" ref="W26" si="90">SUM(W27:W28)</f>
        <v>10848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8337</v>
      </c>
      <c r="C27" s="101">
        <f t="shared" si="91"/>
        <v>9122</v>
      </c>
      <c r="D27" s="101">
        <f t="shared" si="91"/>
        <v>10731</v>
      </c>
      <c r="E27" s="101">
        <f t="shared" si="91"/>
        <v>11935</v>
      </c>
      <c r="F27" s="101">
        <f t="shared" si="91"/>
        <v>13216</v>
      </c>
      <c r="G27" s="101">
        <f t="shared" si="91"/>
        <v>13983</v>
      </c>
      <c r="H27" s="101">
        <f t="shared" si="91"/>
        <v>13832.000000000002</v>
      </c>
      <c r="I27" s="101">
        <f t="shared" si="91"/>
        <v>14428</v>
      </c>
      <c r="J27" s="101">
        <f t="shared" si="91"/>
        <v>13264.999999999998</v>
      </c>
      <c r="K27" s="101">
        <f t="shared" si="91"/>
        <v>8469</v>
      </c>
      <c r="L27" s="101">
        <f t="shared" ref="L27:V27" si="92">IF(L54=0,0,L54*L164)</f>
        <v>8221</v>
      </c>
      <c r="M27" s="101">
        <f t="shared" si="92"/>
        <v>7470</v>
      </c>
      <c r="N27" s="101">
        <f t="shared" si="92"/>
        <v>7419</v>
      </c>
      <c r="O27" s="101">
        <f t="shared" si="92"/>
        <v>7215.9999999999991</v>
      </c>
      <c r="P27" s="101">
        <f t="shared" si="92"/>
        <v>7704</v>
      </c>
      <c r="Q27" s="101">
        <f t="shared" si="92"/>
        <v>7760</v>
      </c>
      <c r="R27" s="101">
        <f t="shared" si="92"/>
        <v>9281</v>
      </c>
      <c r="S27" s="101">
        <f t="shared" si="92"/>
        <v>9326</v>
      </c>
      <c r="T27" s="101">
        <f t="shared" si="92"/>
        <v>9401</v>
      </c>
      <c r="U27" s="101">
        <f t="shared" si="92"/>
        <v>10002</v>
      </c>
      <c r="V27" s="101">
        <f t="shared" si="92"/>
        <v>9059</v>
      </c>
      <c r="W27" s="101">
        <f t="shared" ref="W27" si="93">IF(W54=0,0,W54*W164)</f>
        <v>10238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1177.1404800135679</v>
      </c>
      <c r="C28" s="88">
        <f t="shared" si="94"/>
        <v>1260.9544089882293</v>
      </c>
      <c r="D28" s="88">
        <f t="shared" si="94"/>
        <v>1335.4159567234055</v>
      </c>
      <c r="E28" s="88">
        <f t="shared" si="94"/>
        <v>1357.0602982489709</v>
      </c>
      <c r="F28" s="88">
        <f t="shared" si="94"/>
        <v>1574.9352185342323</v>
      </c>
      <c r="G28" s="88">
        <f t="shared" si="94"/>
        <v>1629.6190753438295</v>
      </c>
      <c r="H28" s="88">
        <f t="shared" si="94"/>
        <v>1683.3303915427241</v>
      </c>
      <c r="I28" s="88">
        <f t="shared" si="94"/>
        <v>1818.9720975925538</v>
      </c>
      <c r="J28" s="88">
        <f t="shared" si="94"/>
        <v>1582.0043731131864</v>
      </c>
      <c r="K28" s="88">
        <f t="shared" si="94"/>
        <v>1345.2669196335391</v>
      </c>
      <c r="L28" s="88">
        <f t="shared" ref="L28:V28" si="95">IF(L55=0,0,L55*L165)</f>
        <v>1434.8252938964197</v>
      </c>
      <c r="M28" s="88">
        <f t="shared" si="95"/>
        <v>1560.6056411654517</v>
      </c>
      <c r="N28" s="88">
        <f t="shared" si="95"/>
        <v>1398.0886771555397</v>
      </c>
      <c r="O28" s="88">
        <f t="shared" si="95"/>
        <v>1337.5881199183677</v>
      </c>
      <c r="P28" s="88">
        <f t="shared" si="95"/>
        <v>1307.5559012090944</v>
      </c>
      <c r="Q28" s="88">
        <f t="shared" si="95"/>
        <v>1459.2328228836486</v>
      </c>
      <c r="R28" s="88">
        <f t="shared" si="95"/>
        <v>1308.5060125597229</v>
      </c>
      <c r="S28" s="88">
        <f t="shared" si="95"/>
        <v>1284.8877527571203</v>
      </c>
      <c r="T28" s="88">
        <f t="shared" si="95"/>
        <v>1428</v>
      </c>
      <c r="U28" s="88">
        <f t="shared" si="95"/>
        <v>1624</v>
      </c>
      <c r="V28" s="88">
        <f t="shared" si="95"/>
        <v>586</v>
      </c>
      <c r="W28" s="88">
        <f t="shared" ref="W28" si="96">IF(W55=0,0,W55*W165)</f>
        <v>610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27988.48772248107</v>
      </c>
      <c r="C30" s="62">
        <f t="shared" ref="C30:V30" si="98">C31+C46</f>
        <v>29845.185741578935</v>
      </c>
      <c r="D30" s="62">
        <f t="shared" si="98"/>
        <v>31297.567716169589</v>
      </c>
      <c r="E30" s="62">
        <f t="shared" si="98"/>
        <v>32709.151995775614</v>
      </c>
      <c r="F30" s="62">
        <f t="shared" si="98"/>
        <v>33986.79046457506</v>
      </c>
      <c r="G30" s="62">
        <f t="shared" si="98"/>
        <v>35870.616253963577</v>
      </c>
      <c r="H30" s="62">
        <f t="shared" si="98"/>
        <v>39353.543146677119</v>
      </c>
      <c r="I30" s="62">
        <f t="shared" si="98"/>
        <v>40262.852917301512</v>
      </c>
      <c r="J30" s="62">
        <f t="shared" si="98"/>
        <v>41628.114690512688</v>
      </c>
      <c r="K30" s="62">
        <f t="shared" si="98"/>
        <v>40037.990169506404</v>
      </c>
      <c r="L30" s="62">
        <f t="shared" si="98"/>
        <v>39396.479861956737</v>
      </c>
      <c r="M30" s="62">
        <f t="shared" si="98"/>
        <v>38522.731100179626</v>
      </c>
      <c r="N30" s="62">
        <f t="shared" si="98"/>
        <v>37180.898899733213</v>
      </c>
      <c r="O30" s="62">
        <f t="shared" si="98"/>
        <v>38324.981678394513</v>
      </c>
      <c r="P30" s="62">
        <f t="shared" si="98"/>
        <v>38043.713535289316</v>
      </c>
      <c r="Q30" s="62">
        <f t="shared" si="98"/>
        <v>40061.5111509087</v>
      </c>
      <c r="R30" s="62">
        <f t="shared" si="98"/>
        <v>41583.160218600082</v>
      </c>
      <c r="S30" s="62">
        <f t="shared" si="98"/>
        <v>42741.82245825776</v>
      </c>
      <c r="T30" s="62">
        <f t="shared" si="98"/>
        <v>42608.595985223736</v>
      </c>
      <c r="U30" s="62">
        <f t="shared" si="98"/>
        <v>43077.577790294221</v>
      </c>
      <c r="V30" s="62">
        <f t="shared" si="98"/>
        <v>37844.284798894383</v>
      </c>
      <c r="W30" s="62">
        <f t="shared" ref="W30" si="99">W31+W46</f>
        <v>39625.650718837765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22374.526240946387</v>
      </c>
      <c r="C31" s="29">
        <f t="shared" ref="C31:V31" si="101">C32+C33+C40</f>
        <v>23894.237324005473</v>
      </c>
      <c r="D31" s="29">
        <f t="shared" si="101"/>
        <v>24795.965904742578</v>
      </c>
      <c r="E31" s="29">
        <f t="shared" si="101"/>
        <v>25784.653069159267</v>
      </c>
      <c r="F31" s="29">
        <f t="shared" si="101"/>
        <v>26551.014148916925</v>
      </c>
      <c r="G31" s="29">
        <f t="shared" si="101"/>
        <v>27895.265529231652</v>
      </c>
      <c r="H31" s="29">
        <f t="shared" si="101"/>
        <v>31027.251123471298</v>
      </c>
      <c r="I31" s="29">
        <f t="shared" si="101"/>
        <v>31495.197879059324</v>
      </c>
      <c r="J31" s="29">
        <f t="shared" si="101"/>
        <v>33076.123089920598</v>
      </c>
      <c r="K31" s="29">
        <f t="shared" si="101"/>
        <v>32505.183561996218</v>
      </c>
      <c r="L31" s="29">
        <f t="shared" si="101"/>
        <v>32233.854412213364</v>
      </c>
      <c r="M31" s="29">
        <f t="shared" si="101"/>
        <v>31564.589804999905</v>
      </c>
      <c r="N31" s="29">
        <f t="shared" si="101"/>
        <v>30535.78253709841</v>
      </c>
      <c r="O31" s="29">
        <f t="shared" si="101"/>
        <v>31561.512801715355</v>
      </c>
      <c r="P31" s="29">
        <f t="shared" si="101"/>
        <v>31371.856158800685</v>
      </c>
      <c r="Q31" s="29">
        <f t="shared" si="101"/>
        <v>33645.362123519968</v>
      </c>
      <c r="R31" s="29">
        <f t="shared" si="101"/>
        <v>35043.569266039645</v>
      </c>
      <c r="S31" s="29">
        <f t="shared" si="101"/>
        <v>36226.624748494854</v>
      </c>
      <c r="T31" s="29">
        <f t="shared" si="101"/>
        <v>35998.602341196005</v>
      </c>
      <c r="U31" s="29">
        <f t="shared" si="101"/>
        <v>36411.023465386468</v>
      </c>
      <c r="V31" s="29">
        <f t="shared" si="101"/>
        <v>31561.96754629034</v>
      </c>
      <c r="W31" s="29">
        <f t="shared" ref="W31" si="102">W32+W33+W40</f>
        <v>33031.403418399612</v>
      </c>
      <c r="DA31" s="173" t="s">
        <v>474</v>
      </c>
    </row>
    <row r="32" spans="1:105" ht="11.45" customHeight="1" x14ac:dyDescent="0.25">
      <c r="A32" s="136" t="s">
        <v>180</v>
      </c>
      <c r="B32" s="152">
        <v>108.47764199498566</v>
      </c>
      <c r="C32" s="152">
        <v>117.51798151017231</v>
      </c>
      <c r="D32" s="152">
        <v>117.6839832739675</v>
      </c>
      <c r="E32" s="152">
        <v>126.40978212133339</v>
      </c>
      <c r="F32" s="152">
        <v>122.17346477257254</v>
      </c>
      <c r="G32" s="152">
        <v>149.75757863691481</v>
      </c>
      <c r="H32" s="152">
        <v>147.65857658644785</v>
      </c>
      <c r="I32" s="152">
        <v>149.28270510604045</v>
      </c>
      <c r="J32" s="152">
        <v>159.19293935567725</v>
      </c>
      <c r="K32" s="152">
        <v>146.28503184141593</v>
      </c>
      <c r="L32" s="152">
        <v>128.05764938622798</v>
      </c>
      <c r="M32" s="152">
        <v>117.5539</v>
      </c>
      <c r="N32" s="152">
        <v>106</v>
      </c>
      <c r="O32" s="152">
        <v>105.41134281914596</v>
      </c>
      <c r="P32" s="152">
        <v>121.58210692469706</v>
      </c>
      <c r="Q32" s="152">
        <v>115.87451783145301</v>
      </c>
      <c r="R32" s="152">
        <v>120.46228818945978</v>
      </c>
      <c r="S32" s="152">
        <v>114.78658029348</v>
      </c>
      <c r="T32" s="152">
        <v>109.17263326869741</v>
      </c>
      <c r="U32" s="152">
        <v>116.85162997501456</v>
      </c>
      <c r="V32" s="152">
        <v>105.70941552455847</v>
      </c>
      <c r="W32" s="152">
        <v>110.4145152241302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22056.291349868581</v>
      </c>
      <c r="C33" s="116">
        <f t="shared" ref="C33:V33" si="104">SUM(C34:C39)</f>
        <v>23557.126713821199</v>
      </c>
      <c r="D33" s="116">
        <f t="shared" si="104"/>
        <v>24454.490706183216</v>
      </c>
      <c r="E33" s="116">
        <f t="shared" si="104"/>
        <v>25420.787756303074</v>
      </c>
      <c r="F33" s="116">
        <f t="shared" si="104"/>
        <v>26181.400313791877</v>
      </c>
      <c r="G33" s="116">
        <f t="shared" si="104"/>
        <v>27487.031292017906</v>
      </c>
      <c r="H33" s="116">
        <f t="shared" si="104"/>
        <v>30601.490896118536</v>
      </c>
      <c r="I33" s="116">
        <f t="shared" si="104"/>
        <v>31047.983930868086</v>
      </c>
      <c r="J33" s="116">
        <f t="shared" si="104"/>
        <v>32597.337897981673</v>
      </c>
      <c r="K33" s="116">
        <f t="shared" si="104"/>
        <v>32041.70353969817</v>
      </c>
      <c r="L33" s="116">
        <f t="shared" si="104"/>
        <v>31795.512089764743</v>
      </c>
      <c r="M33" s="116">
        <f t="shared" si="104"/>
        <v>31144.280814677382</v>
      </c>
      <c r="N33" s="116">
        <f t="shared" si="104"/>
        <v>30131.893058517075</v>
      </c>
      <c r="O33" s="116">
        <f t="shared" si="104"/>
        <v>31157.10145889621</v>
      </c>
      <c r="P33" s="116">
        <f t="shared" si="104"/>
        <v>30945.542154325598</v>
      </c>
      <c r="Q33" s="116">
        <f t="shared" si="104"/>
        <v>33216.487605688511</v>
      </c>
      <c r="R33" s="116">
        <f t="shared" si="104"/>
        <v>34594.106977850184</v>
      </c>
      <c r="S33" s="116">
        <f t="shared" si="104"/>
        <v>35750.838168201371</v>
      </c>
      <c r="T33" s="116">
        <f t="shared" si="104"/>
        <v>35503.429707927309</v>
      </c>
      <c r="U33" s="116">
        <f t="shared" si="104"/>
        <v>35902.171835411456</v>
      </c>
      <c r="V33" s="116">
        <f t="shared" si="104"/>
        <v>31131.058130765781</v>
      </c>
      <c r="W33" s="116">
        <f t="shared" ref="W33" si="105">SUM(W34:W39)</f>
        <v>32595.988903175479</v>
      </c>
      <c r="DA33" s="176" t="s">
        <v>476</v>
      </c>
    </row>
    <row r="34" spans="1:105" ht="11.45" customHeight="1" x14ac:dyDescent="0.25">
      <c r="A34" s="111" t="s">
        <v>110</v>
      </c>
      <c r="B34" s="87">
        <v>19031.263846510999</v>
      </c>
      <c r="C34" s="87">
        <v>20367.585987164919</v>
      </c>
      <c r="D34" s="87">
        <v>21082.012953630154</v>
      </c>
      <c r="E34" s="87">
        <v>21801.810289402336</v>
      </c>
      <c r="F34" s="87">
        <v>22189.59441845294</v>
      </c>
      <c r="G34" s="87">
        <v>22646.501525981621</v>
      </c>
      <c r="H34" s="87">
        <v>25056.215217057652</v>
      </c>
      <c r="I34" s="87">
        <v>25147.501886933995</v>
      </c>
      <c r="J34" s="87">
        <v>25347.078381574102</v>
      </c>
      <c r="K34" s="87">
        <v>23783.880208814891</v>
      </c>
      <c r="L34" s="87">
        <v>22243.086628359946</v>
      </c>
      <c r="M34" s="87">
        <v>20025.879143771315</v>
      </c>
      <c r="N34" s="87">
        <v>18567.75732723175</v>
      </c>
      <c r="O34" s="87">
        <v>17830.474432949435</v>
      </c>
      <c r="P34" s="87">
        <v>16765.652835850527</v>
      </c>
      <c r="Q34" s="87">
        <v>16209.924820469274</v>
      </c>
      <c r="R34" s="87">
        <v>15318.455516320213</v>
      </c>
      <c r="S34" s="87">
        <v>14675.786059121716</v>
      </c>
      <c r="T34" s="87">
        <v>13741.371718177132</v>
      </c>
      <c r="U34" s="87">
        <v>13345.698237267965</v>
      </c>
      <c r="V34" s="87">
        <v>10634.023607447556</v>
      </c>
      <c r="W34" s="87">
        <v>10961.605813038701</v>
      </c>
      <c r="DA34" s="171" t="s">
        <v>477</v>
      </c>
    </row>
    <row r="35" spans="1:105" ht="11.45" customHeight="1" x14ac:dyDescent="0.25">
      <c r="A35" s="111" t="s">
        <v>111</v>
      </c>
      <c r="B35" s="87">
        <v>2998.2391281035539</v>
      </c>
      <c r="C35" s="87">
        <v>3169.4596544965752</v>
      </c>
      <c r="D35" s="87">
        <v>3355.2711775334456</v>
      </c>
      <c r="E35" s="87">
        <v>3604.3755747683203</v>
      </c>
      <c r="F35" s="87">
        <v>3978.0487458369257</v>
      </c>
      <c r="G35" s="87">
        <v>4827.4639533482596</v>
      </c>
      <c r="H35" s="87">
        <v>5533.9797125672112</v>
      </c>
      <c r="I35" s="87">
        <v>5885.0984917799287</v>
      </c>
      <c r="J35" s="87">
        <v>7238.6520527264483</v>
      </c>
      <c r="K35" s="87">
        <v>8249.6774736924635</v>
      </c>
      <c r="L35" s="87">
        <v>9544.9817754475807</v>
      </c>
      <c r="M35" s="87">
        <v>11100.191673719039</v>
      </c>
      <c r="N35" s="87">
        <v>11536.579837565436</v>
      </c>
      <c r="O35" s="87">
        <v>13303.036007836477</v>
      </c>
      <c r="P35" s="87">
        <v>14136.750811269194</v>
      </c>
      <c r="Q35" s="87">
        <v>16948.96288781958</v>
      </c>
      <c r="R35" s="87">
        <v>19207.298884385564</v>
      </c>
      <c r="S35" s="87">
        <v>20997.299803461508</v>
      </c>
      <c r="T35" s="87">
        <v>21646.659999764153</v>
      </c>
      <c r="U35" s="87">
        <v>22361.512134105466</v>
      </c>
      <c r="V35" s="87">
        <v>20238.284620562525</v>
      </c>
      <c r="W35" s="87">
        <v>21045.604693233749</v>
      </c>
      <c r="DA35" s="171" t="s">
        <v>478</v>
      </c>
    </row>
    <row r="36" spans="1:105" ht="11.45" customHeight="1" x14ac:dyDescent="0.25">
      <c r="A36" s="111" t="s">
        <v>112</v>
      </c>
      <c r="B36" s="87">
        <v>26.788375254029905</v>
      </c>
      <c r="C36" s="87">
        <v>20.08107215970454</v>
      </c>
      <c r="D36" s="87">
        <v>17.206575019616459</v>
      </c>
      <c r="E36" s="87">
        <v>14.60189213241906</v>
      </c>
      <c r="F36" s="87">
        <v>13.757149502014389</v>
      </c>
      <c r="G36" s="87">
        <v>13.065812688026485</v>
      </c>
      <c r="H36" s="87">
        <v>11.295966493672779</v>
      </c>
      <c r="I36" s="87">
        <v>15.383552154160986</v>
      </c>
      <c r="J36" s="87">
        <v>11.607463681124788</v>
      </c>
      <c r="K36" s="87">
        <v>8.1109147226455143</v>
      </c>
      <c r="L36" s="87">
        <v>7.1116766141321301</v>
      </c>
      <c r="M36" s="87">
        <v>7.7463735425571709</v>
      </c>
      <c r="N36" s="87">
        <v>14.080746727555921</v>
      </c>
      <c r="O36" s="87">
        <v>19.171319023809534</v>
      </c>
      <c r="P36" s="87">
        <v>32.783270682600119</v>
      </c>
      <c r="Q36" s="87">
        <v>37.691640657433425</v>
      </c>
      <c r="R36" s="87">
        <v>37.032807742851176</v>
      </c>
      <c r="S36" s="87">
        <v>32.569425206508114</v>
      </c>
      <c r="T36" s="87">
        <v>27.578890434622625</v>
      </c>
      <c r="U36" s="87">
        <v>24.307374837274729</v>
      </c>
      <c r="V36" s="87">
        <v>21.044520874452722</v>
      </c>
      <c r="W36" s="87">
        <v>20.7399964382227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0.10232594648859847</v>
      </c>
      <c r="P38" s="87">
        <v>0.48690955127837732</v>
      </c>
      <c r="Q38" s="87">
        <v>1.8986580605838776</v>
      </c>
      <c r="R38" s="87">
        <v>6.225087376017842</v>
      </c>
      <c r="S38" s="87">
        <v>10.955317845909324</v>
      </c>
      <c r="T38" s="87">
        <v>23.82698083098845</v>
      </c>
      <c r="U38" s="87">
        <v>42.956922340228452</v>
      </c>
      <c r="V38" s="87">
        <v>67.395908854376628</v>
      </c>
      <c r="W38" s="87">
        <v>219.59075140380531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3.4942468170361812E-2</v>
      </c>
      <c r="L39" s="87">
        <v>0.33200934308396068</v>
      </c>
      <c r="M39" s="87">
        <v>10.463623644471816</v>
      </c>
      <c r="N39" s="87">
        <v>13.475146992332292</v>
      </c>
      <c r="O39" s="87">
        <v>4.3173731400032942</v>
      </c>
      <c r="P39" s="87">
        <v>9.868326971997007</v>
      </c>
      <c r="Q39" s="87">
        <v>18.009598681642384</v>
      </c>
      <c r="R39" s="87">
        <v>25.094682025538724</v>
      </c>
      <c r="S39" s="87">
        <v>34.227562565729976</v>
      </c>
      <c r="T39" s="87">
        <v>63.992118720426618</v>
      </c>
      <c r="U39" s="87">
        <v>127.69716686051972</v>
      </c>
      <c r="V39" s="87">
        <v>170.30947302687252</v>
      </c>
      <c r="W39" s="87">
        <v>348.44764906099834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209.7572490828195</v>
      </c>
      <c r="C40" s="116">
        <f t="shared" ref="C40:V40" si="107">SUM(C41:C45)</f>
        <v>219.59262867410033</v>
      </c>
      <c r="D40" s="116">
        <f t="shared" si="107"/>
        <v>223.79121528539338</v>
      </c>
      <c r="E40" s="116">
        <f t="shared" si="107"/>
        <v>237.45553073486056</v>
      </c>
      <c r="F40" s="116">
        <f t="shared" si="107"/>
        <v>247.44037035247524</v>
      </c>
      <c r="G40" s="116">
        <f t="shared" si="107"/>
        <v>258.47665857682898</v>
      </c>
      <c r="H40" s="116">
        <f t="shared" si="107"/>
        <v>278.10165076631557</v>
      </c>
      <c r="I40" s="116">
        <f t="shared" si="107"/>
        <v>297.93124308519691</v>
      </c>
      <c r="J40" s="116">
        <f t="shared" si="107"/>
        <v>319.59225258324483</v>
      </c>
      <c r="K40" s="116">
        <f t="shared" si="107"/>
        <v>317.19499045663088</v>
      </c>
      <c r="L40" s="116">
        <f t="shared" si="107"/>
        <v>310.28467306239247</v>
      </c>
      <c r="M40" s="116">
        <f t="shared" si="107"/>
        <v>302.75509032252245</v>
      </c>
      <c r="N40" s="116">
        <f t="shared" si="107"/>
        <v>297.88947858133719</v>
      </c>
      <c r="O40" s="116">
        <f t="shared" si="107"/>
        <v>299</v>
      </c>
      <c r="P40" s="116">
        <f t="shared" si="107"/>
        <v>304.731897550393</v>
      </c>
      <c r="Q40" s="116">
        <f t="shared" si="107"/>
        <v>312.99999999999994</v>
      </c>
      <c r="R40" s="116">
        <f t="shared" si="107"/>
        <v>329</v>
      </c>
      <c r="S40" s="116">
        <f t="shared" si="107"/>
        <v>361</v>
      </c>
      <c r="T40" s="116">
        <f t="shared" si="107"/>
        <v>386</v>
      </c>
      <c r="U40" s="116">
        <f t="shared" si="107"/>
        <v>392</v>
      </c>
      <c r="V40" s="116">
        <f t="shared" si="107"/>
        <v>325.2</v>
      </c>
      <c r="W40" s="116">
        <f t="shared" ref="W40" si="108">SUM(W41:W45)</f>
        <v>325</v>
      </c>
      <c r="DA40" s="176" t="s">
        <v>483</v>
      </c>
    </row>
    <row r="41" spans="1:105" ht="11.45" customHeight="1" x14ac:dyDescent="0.25">
      <c r="A41" s="111" t="s">
        <v>110</v>
      </c>
      <c r="B41" s="101">
        <v>4.2288013076163908</v>
      </c>
      <c r="C41" s="101">
        <v>3.8850041083370939</v>
      </c>
      <c r="D41" s="101">
        <v>3.535216736544387</v>
      </c>
      <c r="E41" s="101">
        <v>3.189862570402644</v>
      </c>
      <c r="F41" s="101">
        <v>2.8139916908851275</v>
      </c>
      <c r="G41" s="101">
        <v>2.4621961610195573</v>
      </c>
      <c r="H41" s="101">
        <v>2.1374323272397526</v>
      </c>
      <c r="I41" s="101">
        <v>1.9103638994447472</v>
      </c>
      <c r="J41" s="101">
        <v>1.6587526275414606</v>
      </c>
      <c r="K41" s="101">
        <v>1.3776406486814581</v>
      </c>
      <c r="L41" s="101">
        <v>1.0957208565560872</v>
      </c>
      <c r="M41" s="101">
        <v>0.8719836315745102</v>
      </c>
      <c r="N41" s="101">
        <v>0.65833007953909006</v>
      </c>
      <c r="O41" s="101">
        <v>0.66003490994235692</v>
      </c>
      <c r="P41" s="101">
        <v>0.66181400207022512</v>
      </c>
      <c r="Q41" s="101">
        <v>0.57380754475703333</v>
      </c>
      <c r="R41" s="101">
        <v>0.47328457426811754</v>
      </c>
      <c r="S41" s="101">
        <v>0.59817694783978159</v>
      </c>
      <c r="T41" s="101">
        <v>0.40598723176920914</v>
      </c>
      <c r="U41" s="101">
        <v>0.49749664797079568</v>
      </c>
      <c r="V41" s="101">
        <v>0.45552839286848817</v>
      </c>
      <c r="W41" s="101">
        <v>0.40960601945946784</v>
      </c>
      <c r="DA41" s="175" t="s">
        <v>484</v>
      </c>
    </row>
    <row r="42" spans="1:105" ht="11.45" customHeight="1" x14ac:dyDescent="0.25">
      <c r="A42" s="111" t="s">
        <v>111</v>
      </c>
      <c r="B42" s="101">
        <v>205.52844777520312</v>
      </c>
      <c r="C42" s="101">
        <v>215.69205884757395</v>
      </c>
      <c r="D42" s="101">
        <v>220.24004713089724</v>
      </c>
      <c r="E42" s="101">
        <v>234.24928878474543</v>
      </c>
      <c r="F42" s="101">
        <v>244.609577203237</v>
      </c>
      <c r="G42" s="101">
        <v>255.99722559276205</v>
      </c>
      <c r="H42" s="101">
        <v>275.94650508952247</v>
      </c>
      <c r="I42" s="101">
        <v>296.00268061339409</v>
      </c>
      <c r="J42" s="101">
        <v>317.89251022028986</v>
      </c>
      <c r="K42" s="101">
        <v>315.77632135557297</v>
      </c>
      <c r="L42" s="101">
        <v>309.14788641742928</v>
      </c>
      <c r="M42" s="101">
        <v>301.84199985540243</v>
      </c>
      <c r="N42" s="101">
        <v>297.19003123513664</v>
      </c>
      <c r="O42" s="101">
        <v>298.29880396331873</v>
      </c>
      <c r="P42" s="101">
        <v>304.02887830762728</v>
      </c>
      <c r="Q42" s="101">
        <v>312.38496632502677</v>
      </c>
      <c r="R42" s="101">
        <v>328.48549143674791</v>
      </c>
      <c r="S42" s="101">
        <v>360.36070075727224</v>
      </c>
      <c r="T42" s="101">
        <v>385.55293629991081</v>
      </c>
      <c r="U42" s="101">
        <v>391.46147414311309</v>
      </c>
      <c r="V42" s="101">
        <v>324.59253197232852</v>
      </c>
      <c r="W42" s="101">
        <v>324.34619724797932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1.556571818928381E-2</v>
      </c>
      <c r="D43" s="101">
        <v>1.5951417951760898E-2</v>
      </c>
      <c r="E43" s="101">
        <v>1.6379379712469846E-2</v>
      </c>
      <c r="F43" s="101">
        <v>1.6801458353122103E-2</v>
      </c>
      <c r="G43" s="101">
        <v>1.7236823047363643E-2</v>
      </c>
      <c r="H43" s="101">
        <v>1.7713349553326228E-2</v>
      </c>
      <c r="I43" s="101">
        <v>1.8198572358076124E-2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4.0989735413493995E-2</v>
      </c>
      <c r="K45" s="101">
        <v>4.1028452376427854E-2</v>
      </c>
      <c r="L45" s="101">
        <v>4.1065788407088237E-2</v>
      </c>
      <c r="M45" s="101">
        <v>4.1106835545522691E-2</v>
      </c>
      <c r="N45" s="101">
        <v>4.1117266661452469E-2</v>
      </c>
      <c r="O45" s="101">
        <v>4.1161126738930062E-2</v>
      </c>
      <c r="P45" s="101">
        <v>4.1205240695462518E-2</v>
      </c>
      <c r="Q45" s="101">
        <v>4.1226130216178575E-2</v>
      </c>
      <c r="R45" s="101">
        <v>4.1223988983961152E-2</v>
      </c>
      <c r="S45" s="101">
        <v>4.1122294887983572E-2</v>
      </c>
      <c r="T45" s="101">
        <v>4.1076468319985501E-2</v>
      </c>
      <c r="U45" s="101">
        <v>4.1029208916095815E-2</v>
      </c>
      <c r="V45" s="101">
        <v>0.15193963480297976</v>
      </c>
      <c r="W45" s="101">
        <v>0.24419673256119578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5613.9614815346813</v>
      </c>
      <c r="C46" s="29">
        <f t="shared" ref="C46:V46" si="110">C47+C53</f>
        <v>5950.9484175734624</v>
      </c>
      <c r="D46" s="29">
        <f t="shared" si="110"/>
        <v>6501.6018114270119</v>
      </c>
      <c r="E46" s="29">
        <f t="shared" si="110"/>
        <v>6924.4989266163466</v>
      </c>
      <c r="F46" s="29">
        <f t="shared" si="110"/>
        <v>7435.776315658135</v>
      </c>
      <c r="G46" s="29">
        <f t="shared" si="110"/>
        <v>7975.3507247319249</v>
      </c>
      <c r="H46" s="29">
        <f t="shared" si="110"/>
        <v>8326.2920232058204</v>
      </c>
      <c r="I46" s="29">
        <f t="shared" si="110"/>
        <v>8767.6550382421847</v>
      </c>
      <c r="J46" s="29">
        <f t="shared" si="110"/>
        <v>8551.9916005920913</v>
      </c>
      <c r="K46" s="29">
        <f t="shared" si="110"/>
        <v>7532.8066075101833</v>
      </c>
      <c r="L46" s="29">
        <f t="shared" si="110"/>
        <v>7162.6254497433729</v>
      </c>
      <c r="M46" s="29">
        <f t="shared" si="110"/>
        <v>6958.1412951797229</v>
      </c>
      <c r="N46" s="29">
        <f t="shared" si="110"/>
        <v>6645.1163626348025</v>
      </c>
      <c r="O46" s="29">
        <f t="shared" si="110"/>
        <v>6763.4688766791551</v>
      </c>
      <c r="P46" s="29">
        <f t="shared" si="110"/>
        <v>6671.8573764886296</v>
      </c>
      <c r="Q46" s="29">
        <f t="shared" si="110"/>
        <v>6416.1490273887302</v>
      </c>
      <c r="R46" s="29">
        <f t="shared" si="110"/>
        <v>6539.5909525604384</v>
      </c>
      <c r="S46" s="29">
        <f t="shared" si="110"/>
        <v>6515.1977097629078</v>
      </c>
      <c r="T46" s="29">
        <f t="shared" si="110"/>
        <v>6609.9936440277297</v>
      </c>
      <c r="U46" s="29">
        <f t="shared" si="110"/>
        <v>6666.5543249077491</v>
      </c>
      <c r="V46" s="29">
        <f t="shared" si="110"/>
        <v>6282.3172526040471</v>
      </c>
      <c r="W46" s="29">
        <f t="shared" ref="W46" si="111">W47+W53</f>
        <v>6594.2473004381527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3697.3981343657101</v>
      </c>
      <c r="C47" s="152">
        <f t="shared" ref="C47:V47" si="113">SUM(C48:C52)</f>
        <v>3991.4296923664228</v>
      </c>
      <c r="D47" s="152">
        <f t="shared" si="113"/>
        <v>4269.4675017251848</v>
      </c>
      <c r="E47" s="152">
        <f t="shared" si="113"/>
        <v>4571.2943678885786</v>
      </c>
      <c r="F47" s="152">
        <f t="shared" si="113"/>
        <v>4851.22577629855</v>
      </c>
      <c r="G47" s="152">
        <f t="shared" si="113"/>
        <v>5166.9444042487894</v>
      </c>
      <c r="H47" s="152">
        <f t="shared" si="113"/>
        <v>5528.8123989649112</v>
      </c>
      <c r="I47" s="152">
        <f t="shared" si="113"/>
        <v>5831.7894113027787</v>
      </c>
      <c r="J47" s="152">
        <f t="shared" si="113"/>
        <v>5847.3046843224365</v>
      </c>
      <c r="K47" s="152">
        <f t="shared" si="113"/>
        <v>5633.8393514174468</v>
      </c>
      <c r="L47" s="152">
        <f t="shared" si="113"/>
        <v>5322.4296225232883</v>
      </c>
      <c r="M47" s="152">
        <f t="shared" si="113"/>
        <v>5209.7200716868747</v>
      </c>
      <c r="N47" s="152">
        <f t="shared" si="113"/>
        <v>4934.8655903510935</v>
      </c>
      <c r="O47" s="152">
        <f t="shared" si="113"/>
        <v>5079.6392167961785</v>
      </c>
      <c r="P47" s="152">
        <f t="shared" si="113"/>
        <v>4957.3735503282969</v>
      </c>
      <c r="Q47" s="152">
        <f t="shared" si="113"/>
        <v>4692.9594622062732</v>
      </c>
      <c r="R47" s="152">
        <f t="shared" si="113"/>
        <v>4594.663610906081</v>
      </c>
      <c r="S47" s="152">
        <f t="shared" si="113"/>
        <v>4545.7444177839297</v>
      </c>
      <c r="T47" s="152">
        <f t="shared" si="113"/>
        <v>4596.1174877961485</v>
      </c>
      <c r="U47" s="152">
        <f t="shared" si="113"/>
        <v>4523.3936178691174</v>
      </c>
      <c r="V47" s="152">
        <f t="shared" si="113"/>
        <v>4441.1188761701987</v>
      </c>
      <c r="W47" s="152">
        <f t="shared" ref="W47" si="114">SUM(W48:W52)</f>
        <v>4553.8024041377494</v>
      </c>
      <c r="DA47" s="174" t="s">
        <v>490</v>
      </c>
    </row>
    <row r="48" spans="1:105" ht="11.45" customHeight="1" x14ac:dyDescent="0.25">
      <c r="A48" s="111" t="s">
        <v>110</v>
      </c>
      <c r="B48" s="87">
        <v>50.177276641621752</v>
      </c>
      <c r="C48" s="87">
        <v>46.063828280192659</v>
      </c>
      <c r="D48" s="87">
        <v>42.771090542857984</v>
      </c>
      <c r="E48" s="87">
        <v>38.444509527545364</v>
      </c>
      <c r="F48" s="87">
        <v>33.356253175763342</v>
      </c>
      <c r="G48" s="87">
        <v>25.661386796994744</v>
      </c>
      <c r="H48" s="87">
        <v>19.751673721690548</v>
      </c>
      <c r="I48" s="87">
        <v>15.546453625989599</v>
      </c>
      <c r="J48" s="87">
        <v>13.980063024798634</v>
      </c>
      <c r="K48" s="87">
        <v>12.760770129562712</v>
      </c>
      <c r="L48" s="87">
        <v>10.827595913134072</v>
      </c>
      <c r="M48" s="87">
        <v>9.1770625622834157</v>
      </c>
      <c r="N48" s="87">
        <v>7.5451970971796563</v>
      </c>
      <c r="O48" s="87">
        <v>7.236814909702046</v>
      </c>
      <c r="P48" s="87">
        <v>6.6663171326633872</v>
      </c>
      <c r="Q48" s="87">
        <v>5.8536089399093738</v>
      </c>
      <c r="R48" s="87">
        <v>5.1741853561049256</v>
      </c>
      <c r="S48" s="87">
        <v>5.5659288014501955</v>
      </c>
      <c r="T48" s="87">
        <v>5.7783657692854478</v>
      </c>
      <c r="U48" s="87">
        <v>6.3821260053654276</v>
      </c>
      <c r="V48" s="87">
        <v>8.5541327910723162</v>
      </c>
      <c r="W48" s="87">
        <v>9.8240291838914366</v>
      </c>
      <c r="DA48" s="171" t="s">
        <v>491</v>
      </c>
    </row>
    <row r="49" spans="1:105" ht="11.45" customHeight="1" x14ac:dyDescent="0.25">
      <c r="A49" s="111" t="s">
        <v>111</v>
      </c>
      <c r="B49" s="87">
        <v>3647.2208577240885</v>
      </c>
      <c r="C49" s="87">
        <v>3945.36586408623</v>
      </c>
      <c r="D49" s="87">
        <v>4226.6964111823272</v>
      </c>
      <c r="E49" s="87">
        <v>4532.8498583610335</v>
      </c>
      <c r="F49" s="87">
        <v>4817.8695231227866</v>
      </c>
      <c r="G49" s="87">
        <v>5141.2830174517949</v>
      </c>
      <c r="H49" s="87">
        <v>5509.060725243221</v>
      </c>
      <c r="I49" s="87">
        <v>5816.242957676789</v>
      </c>
      <c r="J49" s="87">
        <v>5833.3246212976383</v>
      </c>
      <c r="K49" s="87">
        <v>5621.0785812878839</v>
      </c>
      <c r="L49" s="87">
        <v>5311.6020266101541</v>
      </c>
      <c r="M49" s="87">
        <v>5200.0483518248711</v>
      </c>
      <c r="N49" s="87">
        <v>4926.1994935999237</v>
      </c>
      <c r="O49" s="87">
        <v>5071.1935664830735</v>
      </c>
      <c r="P49" s="87">
        <v>4949.3090573462168</v>
      </c>
      <c r="Q49" s="87">
        <v>4685.765909893601</v>
      </c>
      <c r="R49" s="87">
        <v>4588.0924178200357</v>
      </c>
      <c r="S49" s="87">
        <v>4537.894979276567</v>
      </c>
      <c r="T49" s="87">
        <v>4587.8667546087217</v>
      </c>
      <c r="U49" s="87">
        <v>4512.1114717172059</v>
      </c>
      <c r="V49" s="87">
        <v>4419.6567287313292</v>
      </c>
      <c r="W49" s="87">
        <v>4521.4017833365051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2.9092526552666594E-2</v>
      </c>
      <c r="P50" s="87">
        <v>5.7826471956756977E-2</v>
      </c>
      <c r="Q50" s="87">
        <v>5.7129022728195582E-2</v>
      </c>
      <c r="R50" s="87">
        <v>5.6542510461512117E-2</v>
      </c>
      <c r="S50" s="87">
        <v>6.9937986761958434E-2</v>
      </c>
      <c r="T50" s="87">
        <v>7.0672960441447705E-2</v>
      </c>
      <c r="U50" s="87">
        <v>6.9934928811095615E-2</v>
      </c>
      <c r="V50" s="87">
        <v>5.5371229100108298E-2</v>
      </c>
      <c r="W50" s="87">
        <v>5.5967545556596283E-2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0.49465729972065614</v>
      </c>
      <c r="N52" s="87">
        <v>1.1208996539900056</v>
      </c>
      <c r="O52" s="87">
        <v>1.1797428768502258</v>
      </c>
      <c r="P52" s="87">
        <v>1.3403493774594157</v>
      </c>
      <c r="Q52" s="87">
        <v>1.2828143500348523</v>
      </c>
      <c r="R52" s="87">
        <v>1.3404652194784195</v>
      </c>
      <c r="S52" s="87">
        <v>2.2135717191504072</v>
      </c>
      <c r="T52" s="87">
        <v>2.4016944576995902</v>
      </c>
      <c r="U52" s="87">
        <v>4.8300852177351645</v>
      </c>
      <c r="V52" s="87">
        <v>12.852643418697284</v>
      </c>
      <c r="W52" s="87">
        <v>22.520624071795901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1916.5633471689707</v>
      </c>
      <c r="C53" s="116">
        <f t="shared" ref="C53:V53" si="116">SUM(C54:C55)</f>
        <v>1959.5187252070393</v>
      </c>
      <c r="D53" s="116">
        <f t="shared" si="116"/>
        <v>2232.1343097018275</v>
      </c>
      <c r="E53" s="116">
        <f t="shared" si="116"/>
        <v>2353.2045587277685</v>
      </c>
      <c r="F53" s="116">
        <f t="shared" si="116"/>
        <v>2584.5505393595849</v>
      </c>
      <c r="G53" s="116">
        <f t="shared" si="116"/>
        <v>2808.406320483135</v>
      </c>
      <c r="H53" s="116">
        <f t="shared" si="116"/>
        <v>2797.4796242409102</v>
      </c>
      <c r="I53" s="116">
        <f t="shared" si="116"/>
        <v>2935.865626939405</v>
      </c>
      <c r="J53" s="116">
        <f t="shared" si="116"/>
        <v>2704.6869162696548</v>
      </c>
      <c r="K53" s="116">
        <f t="shared" si="116"/>
        <v>1898.9672560927361</v>
      </c>
      <c r="L53" s="116">
        <f t="shared" si="116"/>
        <v>1840.1958272200841</v>
      </c>
      <c r="M53" s="116">
        <f t="shared" si="116"/>
        <v>1748.421223492848</v>
      </c>
      <c r="N53" s="116">
        <f t="shared" si="116"/>
        <v>1710.250772283709</v>
      </c>
      <c r="O53" s="116">
        <f t="shared" si="116"/>
        <v>1683.829659882977</v>
      </c>
      <c r="P53" s="116">
        <f t="shared" si="116"/>
        <v>1714.4838261603322</v>
      </c>
      <c r="Q53" s="116">
        <f t="shared" si="116"/>
        <v>1723.1895651824573</v>
      </c>
      <c r="R53" s="116">
        <f t="shared" si="116"/>
        <v>1944.9273416543579</v>
      </c>
      <c r="S53" s="116">
        <f t="shared" si="116"/>
        <v>1969.4532919789779</v>
      </c>
      <c r="T53" s="116">
        <f t="shared" si="116"/>
        <v>2013.876156231581</v>
      </c>
      <c r="U53" s="116">
        <f t="shared" si="116"/>
        <v>2143.1607070386312</v>
      </c>
      <c r="V53" s="116">
        <f t="shared" si="116"/>
        <v>1841.1983764338481</v>
      </c>
      <c r="W53" s="116">
        <f t="shared" ref="W53" si="117">SUM(W54:W55)</f>
        <v>2040.4448963004031</v>
      </c>
      <c r="DA53" s="176" t="s">
        <v>496</v>
      </c>
    </row>
    <row r="54" spans="1:105" ht="11.45" customHeight="1" x14ac:dyDescent="0.25">
      <c r="A54" s="128" t="s">
        <v>27</v>
      </c>
      <c r="B54" s="101">
        <v>1834</v>
      </c>
      <c r="C54" s="101">
        <v>1871</v>
      </c>
      <c r="D54" s="101">
        <v>2139</v>
      </c>
      <c r="E54" s="101">
        <v>2258</v>
      </c>
      <c r="F54" s="101">
        <v>2472</v>
      </c>
      <c r="G54" s="101">
        <v>2692</v>
      </c>
      <c r="H54" s="101">
        <v>2678</v>
      </c>
      <c r="I54" s="101">
        <v>2807</v>
      </c>
      <c r="J54" s="101">
        <v>2591</v>
      </c>
      <c r="K54" s="101">
        <v>1801</v>
      </c>
      <c r="L54" s="101">
        <v>1739</v>
      </c>
      <c r="M54" s="101">
        <v>1638</v>
      </c>
      <c r="N54" s="101">
        <v>1611</v>
      </c>
      <c r="O54" s="101">
        <v>1589</v>
      </c>
      <c r="P54" s="101">
        <v>1622</v>
      </c>
      <c r="Q54" s="101">
        <v>1619</v>
      </c>
      <c r="R54" s="101">
        <v>1851</v>
      </c>
      <c r="S54" s="101">
        <v>1878</v>
      </c>
      <c r="T54" s="101">
        <v>1913</v>
      </c>
      <c r="U54" s="101">
        <v>2028</v>
      </c>
      <c r="V54" s="101">
        <v>1799</v>
      </c>
      <c r="W54" s="101">
        <v>1997</v>
      </c>
      <c r="DA54" s="175" t="s">
        <v>497</v>
      </c>
    </row>
    <row r="55" spans="1:105" ht="11.45" customHeight="1" x14ac:dyDescent="0.25">
      <c r="A55" s="138" t="s">
        <v>116</v>
      </c>
      <c r="B55" s="88">
        <v>82.563347168970665</v>
      </c>
      <c r="C55" s="88">
        <v>88.518725207039225</v>
      </c>
      <c r="D55" s="88">
        <v>93.134309701827419</v>
      </c>
      <c r="E55" s="88">
        <v>95.204558727768628</v>
      </c>
      <c r="F55" s="88">
        <v>112.55053935958499</v>
      </c>
      <c r="G55" s="88">
        <v>116.40632048313498</v>
      </c>
      <c r="H55" s="88">
        <v>119.4796242409102</v>
      </c>
      <c r="I55" s="88">
        <v>128.8656269394049</v>
      </c>
      <c r="J55" s="88">
        <v>113.68691626965466</v>
      </c>
      <c r="K55" s="88">
        <v>97.967256092736122</v>
      </c>
      <c r="L55" s="88">
        <v>101.19582722008398</v>
      </c>
      <c r="M55" s="88">
        <v>110.42122349284803</v>
      </c>
      <c r="N55" s="88">
        <v>99.250772283709082</v>
      </c>
      <c r="O55" s="88">
        <v>94.829659882976927</v>
      </c>
      <c r="P55" s="88">
        <v>92.483826160332342</v>
      </c>
      <c r="Q55" s="88">
        <v>104.18956518245719</v>
      </c>
      <c r="R55" s="88">
        <v>93.927341654357875</v>
      </c>
      <c r="S55" s="88">
        <v>91.453291978977887</v>
      </c>
      <c r="T55" s="88">
        <v>100.87615623158101</v>
      </c>
      <c r="U55" s="88">
        <v>115.16070703863137</v>
      </c>
      <c r="V55" s="88">
        <v>42.198376433848168</v>
      </c>
      <c r="W55" s="88">
        <v>43.444896300403173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1583440</v>
      </c>
      <c r="C57" s="54">
        <f t="shared" si="118"/>
        <v>1690626</v>
      </c>
      <c r="D57" s="54">
        <f t="shared" si="118"/>
        <v>1771616</v>
      </c>
      <c r="E57" s="54">
        <f t="shared" si="118"/>
        <v>1851944</v>
      </c>
      <c r="F57" s="54">
        <f t="shared" si="118"/>
        <v>1919961</v>
      </c>
      <c r="G57" s="54">
        <f t="shared" si="118"/>
        <v>2022535</v>
      </c>
      <c r="H57" s="54">
        <f t="shared" si="118"/>
        <v>2270456</v>
      </c>
      <c r="I57" s="54">
        <f t="shared" si="118"/>
        <v>2304505</v>
      </c>
      <c r="J57" s="54">
        <f t="shared" si="118"/>
        <v>2407906</v>
      </c>
      <c r="K57" s="54">
        <f t="shared" si="118"/>
        <v>2362982</v>
      </c>
      <c r="L57" s="54">
        <f t="shared" ref="L57" si="119">L58+L73</f>
        <v>2315088</v>
      </c>
      <c r="M57" s="54">
        <f t="shared" ref="M57:V57" si="120">M58+M73</f>
        <v>2331428</v>
      </c>
      <c r="N57" s="54">
        <f t="shared" si="120"/>
        <v>2309701</v>
      </c>
      <c r="O57" s="54">
        <f t="shared" si="120"/>
        <v>2341978</v>
      </c>
      <c r="P57" s="54">
        <f t="shared" si="120"/>
        <v>2376489</v>
      </c>
      <c r="Q57" s="54">
        <f t="shared" si="120"/>
        <v>2416964</v>
      </c>
      <c r="R57" s="54">
        <f t="shared" si="120"/>
        <v>2458619</v>
      </c>
      <c r="S57" s="54">
        <f t="shared" si="120"/>
        <v>2504919</v>
      </c>
      <c r="T57" s="54">
        <f t="shared" si="120"/>
        <v>2547941</v>
      </c>
      <c r="U57" s="54">
        <f t="shared" si="120"/>
        <v>2622512</v>
      </c>
      <c r="V57" s="54">
        <f t="shared" si="120"/>
        <v>2661002</v>
      </c>
      <c r="W57" s="54">
        <f t="shared" ref="W57" si="121">W58+W73</f>
        <v>2686109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1360485</v>
      </c>
      <c r="C58" s="28">
        <f t="shared" si="122"/>
        <v>1445375</v>
      </c>
      <c r="D58" s="28">
        <f t="shared" si="122"/>
        <v>1511642</v>
      </c>
      <c r="E58" s="28">
        <f t="shared" si="122"/>
        <v>1575911</v>
      </c>
      <c r="F58" s="28">
        <f t="shared" si="122"/>
        <v>1626849</v>
      </c>
      <c r="G58" s="28">
        <f t="shared" si="122"/>
        <v>1705498</v>
      </c>
      <c r="H58" s="28">
        <f t="shared" si="122"/>
        <v>1924601</v>
      </c>
      <c r="I58" s="28">
        <f t="shared" si="122"/>
        <v>1930311</v>
      </c>
      <c r="J58" s="28">
        <f t="shared" si="122"/>
        <v>2050536</v>
      </c>
      <c r="K58" s="28">
        <f t="shared" si="122"/>
        <v>2021176</v>
      </c>
      <c r="L58" s="28">
        <f t="shared" ref="L58" si="123">L59+L60+L67</f>
        <v>1985217</v>
      </c>
      <c r="M58" s="28">
        <f t="shared" ref="M58:V58" si="124">M59+M60+M67</f>
        <v>2008939</v>
      </c>
      <c r="N58" s="28">
        <f t="shared" si="124"/>
        <v>1996167</v>
      </c>
      <c r="O58" s="28">
        <f t="shared" si="124"/>
        <v>2028609</v>
      </c>
      <c r="P58" s="28">
        <f t="shared" si="124"/>
        <v>2065290</v>
      </c>
      <c r="Q58" s="28">
        <f t="shared" si="124"/>
        <v>2108023</v>
      </c>
      <c r="R58" s="28">
        <f t="shared" si="124"/>
        <v>2152190</v>
      </c>
      <c r="S58" s="28">
        <f t="shared" si="124"/>
        <v>2194218</v>
      </c>
      <c r="T58" s="28">
        <f t="shared" si="124"/>
        <v>2235619</v>
      </c>
      <c r="U58" s="28">
        <f t="shared" si="124"/>
        <v>2308693</v>
      </c>
      <c r="V58" s="28">
        <f t="shared" si="124"/>
        <v>2348703</v>
      </c>
      <c r="W58" s="28">
        <f t="shared" ref="W58" si="125">W59+W60+W67</f>
        <v>2369053</v>
      </c>
      <c r="DA58" s="173" t="s">
        <v>500</v>
      </c>
    </row>
    <row r="59" spans="1:105" ht="11.45" customHeight="1" x14ac:dyDescent="0.25">
      <c r="A59" s="136" t="s">
        <v>180</v>
      </c>
      <c r="B59" s="137">
        <v>30638</v>
      </c>
      <c r="C59" s="137">
        <v>32913</v>
      </c>
      <c r="D59" s="137">
        <v>33147</v>
      </c>
      <c r="E59" s="137">
        <v>35094</v>
      </c>
      <c r="F59" s="137">
        <v>34854</v>
      </c>
      <c r="G59" s="137">
        <v>34300</v>
      </c>
      <c r="H59" s="137">
        <v>34927</v>
      </c>
      <c r="I59" s="137">
        <v>37178</v>
      </c>
      <c r="J59" s="137">
        <v>39409</v>
      </c>
      <c r="K59" s="137">
        <v>39552</v>
      </c>
      <c r="L59" s="137">
        <v>38145</v>
      </c>
      <c r="M59" s="137">
        <v>36582</v>
      </c>
      <c r="N59" s="137">
        <v>35106</v>
      </c>
      <c r="O59" s="137">
        <v>36623</v>
      </c>
      <c r="P59" s="137">
        <v>36573</v>
      </c>
      <c r="Q59" s="137">
        <v>36974</v>
      </c>
      <c r="R59" s="137">
        <v>38023</v>
      </c>
      <c r="S59" s="137">
        <v>39873</v>
      </c>
      <c r="T59" s="137">
        <v>40198</v>
      </c>
      <c r="U59" s="137">
        <v>42492</v>
      </c>
      <c r="V59" s="137">
        <v>44819</v>
      </c>
      <c r="W59" s="137">
        <v>46636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1321600</v>
      </c>
      <c r="C60" s="110">
        <f t="shared" si="126"/>
        <v>1404000</v>
      </c>
      <c r="D60" s="110">
        <f t="shared" si="126"/>
        <v>1470000</v>
      </c>
      <c r="E60" s="110">
        <f t="shared" si="126"/>
        <v>1532000</v>
      </c>
      <c r="F60" s="110">
        <f t="shared" si="126"/>
        <v>1583000</v>
      </c>
      <c r="G60" s="110">
        <f t="shared" si="126"/>
        <v>1662000</v>
      </c>
      <c r="H60" s="110">
        <f t="shared" si="126"/>
        <v>1880000</v>
      </c>
      <c r="I60" s="110">
        <f t="shared" si="126"/>
        <v>1883000</v>
      </c>
      <c r="J60" s="110">
        <f t="shared" si="126"/>
        <v>2000500</v>
      </c>
      <c r="K60" s="110">
        <f t="shared" si="126"/>
        <v>1971274</v>
      </c>
      <c r="L60" s="110">
        <f t="shared" ref="L60" si="127">SUM(L61:L66)</f>
        <v>1937130</v>
      </c>
      <c r="M60" s="110">
        <f t="shared" ref="M60:V60" si="128">SUM(M61:M66)</f>
        <v>1962460</v>
      </c>
      <c r="N60" s="110">
        <f t="shared" si="128"/>
        <v>1951130</v>
      </c>
      <c r="O60" s="110">
        <f t="shared" si="128"/>
        <v>1981830</v>
      </c>
      <c r="P60" s="110">
        <f t="shared" si="128"/>
        <v>2018310</v>
      </c>
      <c r="Q60" s="110">
        <f t="shared" si="128"/>
        <v>2060170</v>
      </c>
      <c r="R60" s="110">
        <f t="shared" si="128"/>
        <v>2102720</v>
      </c>
      <c r="S60" s="110">
        <f t="shared" si="128"/>
        <v>2142390</v>
      </c>
      <c r="T60" s="110">
        <f t="shared" si="128"/>
        <v>2182920</v>
      </c>
      <c r="U60" s="110">
        <f t="shared" si="128"/>
        <v>2253210</v>
      </c>
      <c r="V60" s="110">
        <f t="shared" si="128"/>
        <v>2291940</v>
      </c>
      <c r="W60" s="110">
        <f t="shared" ref="W60" si="129">SUM(W61:W66)</f>
        <v>2309760</v>
      </c>
      <c r="DA60" s="176" t="s">
        <v>502</v>
      </c>
    </row>
    <row r="61" spans="1:105" ht="11.45" customHeight="1" x14ac:dyDescent="0.25">
      <c r="A61" s="111" t="s">
        <v>110</v>
      </c>
      <c r="B61" s="84">
        <v>1146869</v>
      </c>
      <c r="C61" s="84">
        <v>1221368</v>
      </c>
      <c r="D61" s="84">
        <v>1274051</v>
      </c>
      <c r="E61" s="84">
        <v>1323872</v>
      </c>
      <c r="F61" s="84">
        <v>1360374</v>
      </c>
      <c r="G61" s="84">
        <v>1388577</v>
      </c>
      <c r="H61" s="84">
        <v>1541639</v>
      </c>
      <c r="I61" s="84">
        <v>1544130</v>
      </c>
      <c r="J61" s="84">
        <v>1574499</v>
      </c>
      <c r="K61" s="84">
        <v>1505195</v>
      </c>
      <c r="L61" s="84">
        <v>1412432</v>
      </c>
      <c r="M61" s="84">
        <v>1350783</v>
      </c>
      <c r="N61" s="84">
        <v>1279510</v>
      </c>
      <c r="O61" s="84">
        <v>1235068</v>
      </c>
      <c r="P61" s="84">
        <v>1184842</v>
      </c>
      <c r="Q61" s="84">
        <v>1135417</v>
      </c>
      <c r="R61" s="84">
        <v>1069822</v>
      </c>
      <c r="S61" s="84">
        <v>1003066</v>
      </c>
      <c r="T61" s="84">
        <v>953465</v>
      </c>
      <c r="U61" s="84">
        <v>929416</v>
      </c>
      <c r="V61" s="84">
        <v>906412</v>
      </c>
      <c r="W61" s="84">
        <v>889802</v>
      </c>
      <c r="DA61" s="171" t="s">
        <v>503</v>
      </c>
    </row>
    <row r="62" spans="1:105" ht="11.45" customHeight="1" x14ac:dyDescent="0.25">
      <c r="A62" s="111" t="s">
        <v>111</v>
      </c>
      <c r="B62" s="84">
        <v>173131</v>
      </c>
      <c r="C62" s="84">
        <v>181431</v>
      </c>
      <c r="D62" s="84">
        <v>194915</v>
      </c>
      <c r="E62" s="84">
        <v>207268</v>
      </c>
      <c r="F62" s="84">
        <v>221848</v>
      </c>
      <c r="G62" s="84">
        <v>272682</v>
      </c>
      <c r="H62" s="84">
        <v>337662</v>
      </c>
      <c r="I62" s="84">
        <v>337965</v>
      </c>
      <c r="J62" s="84">
        <v>425296</v>
      </c>
      <c r="K62" s="84">
        <v>465599</v>
      </c>
      <c r="L62" s="84">
        <v>524267</v>
      </c>
      <c r="M62" s="84">
        <v>610626</v>
      </c>
      <c r="N62" s="84">
        <v>669972</v>
      </c>
      <c r="O62" s="84">
        <v>745362</v>
      </c>
      <c r="P62" s="84">
        <v>830835</v>
      </c>
      <c r="Q62" s="84">
        <v>921453</v>
      </c>
      <c r="R62" s="84">
        <v>1029000</v>
      </c>
      <c r="S62" s="84">
        <v>1134823</v>
      </c>
      <c r="T62" s="84">
        <v>1222560</v>
      </c>
      <c r="U62" s="84">
        <v>1312079</v>
      </c>
      <c r="V62" s="84">
        <v>1367080</v>
      </c>
      <c r="W62" s="84">
        <v>1380945</v>
      </c>
      <c r="DA62" s="171" t="s">
        <v>504</v>
      </c>
    </row>
    <row r="63" spans="1:105" ht="11.45" customHeight="1" x14ac:dyDescent="0.25">
      <c r="A63" s="111" t="s">
        <v>112</v>
      </c>
      <c r="B63" s="84">
        <v>1600</v>
      </c>
      <c r="C63" s="84">
        <v>1201</v>
      </c>
      <c r="D63" s="84">
        <v>1034</v>
      </c>
      <c r="E63" s="84">
        <v>860</v>
      </c>
      <c r="F63" s="84">
        <v>778</v>
      </c>
      <c r="G63" s="84">
        <v>741</v>
      </c>
      <c r="H63" s="84">
        <v>699</v>
      </c>
      <c r="I63" s="84">
        <v>905</v>
      </c>
      <c r="J63" s="84">
        <v>705</v>
      </c>
      <c r="K63" s="84">
        <v>478</v>
      </c>
      <c r="L63" s="84">
        <v>412</v>
      </c>
      <c r="M63" s="84">
        <v>454</v>
      </c>
      <c r="N63" s="84">
        <v>880</v>
      </c>
      <c r="O63" s="84">
        <v>1147</v>
      </c>
      <c r="P63" s="84">
        <v>2037</v>
      </c>
      <c r="Q63" s="84">
        <v>2145</v>
      </c>
      <c r="R63" s="84">
        <v>2056</v>
      </c>
      <c r="S63" s="84">
        <v>1816</v>
      </c>
      <c r="T63" s="84">
        <v>1623</v>
      </c>
      <c r="U63" s="84">
        <v>1501</v>
      </c>
      <c r="V63" s="84">
        <v>1511</v>
      </c>
      <c r="W63" s="84">
        <v>1461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7</v>
      </c>
      <c r="P65" s="84">
        <v>36</v>
      </c>
      <c r="Q65" s="84">
        <v>135</v>
      </c>
      <c r="R65" s="84">
        <v>416</v>
      </c>
      <c r="S65" s="84">
        <v>739</v>
      </c>
      <c r="T65" s="84">
        <v>1631</v>
      </c>
      <c r="U65" s="84">
        <v>2947</v>
      </c>
      <c r="V65" s="84">
        <v>5659</v>
      </c>
      <c r="W65" s="84">
        <v>17570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2</v>
      </c>
      <c r="L66" s="84">
        <v>19</v>
      </c>
      <c r="M66" s="84">
        <v>597</v>
      </c>
      <c r="N66" s="84">
        <v>768</v>
      </c>
      <c r="O66" s="84">
        <v>246</v>
      </c>
      <c r="P66" s="84">
        <v>560</v>
      </c>
      <c r="Q66" s="84">
        <v>1020</v>
      </c>
      <c r="R66" s="84">
        <v>1426</v>
      </c>
      <c r="S66" s="84">
        <v>1946</v>
      </c>
      <c r="T66" s="84">
        <v>3641</v>
      </c>
      <c r="U66" s="84">
        <v>7267</v>
      </c>
      <c r="V66" s="84">
        <v>11278</v>
      </c>
      <c r="W66" s="84">
        <v>19982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8247</v>
      </c>
      <c r="C67" s="110">
        <f t="shared" si="130"/>
        <v>8462</v>
      </c>
      <c r="D67" s="110">
        <f t="shared" si="130"/>
        <v>8495</v>
      </c>
      <c r="E67" s="110">
        <f t="shared" si="130"/>
        <v>8817</v>
      </c>
      <c r="F67" s="110">
        <f t="shared" si="130"/>
        <v>8995</v>
      </c>
      <c r="G67" s="110">
        <f t="shared" si="130"/>
        <v>9198</v>
      </c>
      <c r="H67" s="110">
        <f t="shared" si="130"/>
        <v>9674</v>
      </c>
      <c r="I67" s="110">
        <f t="shared" si="130"/>
        <v>10133</v>
      </c>
      <c r="J67" s="110">
        <f t="shared" si="130"/>
        <v>10627</v>
      </c>
      <c r="K67" s="110">
        <f t="shared" si="130"/>
        <v>10350</v>
      </c>
      <c r="L67" s="110">
        <f t="shared" ref="L67" si="131">SUM(L68:L72)</f>
        <v>9942</v>
      </c>
      <c r="M67" s="110">
        <f t="shared" ref="M67:V67" si="132">SUM(M68:M72)</f>
        <v>9897</v>
      </c>
      <c r="N67" s="110">
        <f t="shared" si="132"/>
        <v>9931</v>
      </c>
      <c r="O67" s="110">
        <f t="shared" si="132"/>
        <v>10156</v>
      </c>
      <c r="P67" s="110">
        <f t="shared" si="132"/>
        <v>10407</v>
      </c>
      <c r="Q67" s="110">
        <f t="shared" si="132"/>
        <v>10879</v>
      </c>
      <c r="R67" s="110">
        <f t="shared" si="132"/>
        <v>11447</v>
      </c>
      <c r="S67" s="110">
        <f t="shared" si="132"/>
        <v>11955</v>
      </c>
      <c r="T67" s="110">
        <f t="shared" si="132"/>
        <v>12501</v>
      </c>
      <c r="U67" s="110">
        <f t="shared" si="132"/>
        <v>12991</v>
      </c>
      <c r="V67" s="110">
        <f t="shared" si="132"/>
        <v>11944</v>
      </c>
      <c r="W67" s="110">
        <f t="shared" ref="W67" si="133">SUM(W68:W72)</f>
        <v>12657</v>
      </c>
      <c r="DA67" s="176" t="s">
        <v>509</v>
      </c>
    </row>
    <row r="68" spans="1:105" ht="11.45" customHeight="1" x14ac:dyDescent="0.25">
      <c r="A68" s="111" t="s">
        <v>110</v>
      </c>
      <c r="B68" s="102">
        <v>167</v>
      </c>
      <c r="C68" s="102">
        <v>153</v>
      </c>
      <c r="D68" s="102">
        <v>139</v>
      </c>
      <c r="E68" s="102">
        <v>125</v>
      </c>
      <c r="F68" s="102">
        <v>110</v>
      </c>
      <c r="G68" s="102">
        <v>96</v>
      </c>
      <c r="H68" s="102">
        <v>83</v>
      </c>
      <c r="I68" s="102">
        <v>71</v>
      </c>
      <c r="J68" s="102">
        <v>59</v>
      </c>
      <c r="K68" s="102">
        <v>49</v>
      </c>
      <c r="L68" s="102">
        <v>39</v>
      </c>
      <c r="M68" s="102">
        <v>31</v>
      </c>
      <c r="N68" s="102">
        <v>24</v>
      </c>
      <c r="O68" s="102">
        <v>24</v>
      </c>
      <c r="P68" s="102">
        <v>24</v>
      </c>
      <c r="Q68" s="102">
        <v>21</v>
      </c>
      <c r="R68" s="102">
        <v>17</v>
      </c>
      <c r="S68" s="102">
        <v>20</v>
      </c>
      <c r="T68" s="102">
        <v>13</v>
      </c>
      <c r="U68" s="102">
        <v>16</v>
      </c>
      <c r="V68" s="102">
        <v>16</v>
      </c>
      <c r="W68" s="102">
        <v>15</v>
      </c>
      <c r="DA68" s="175" t="s">
        <v>510</v>
      </c>
    </row>
    <row r="69" spans="1:105" ht="11.45" customHeight="1" x14ac:dyDescent="0.25">
      <c r="A69" s="111" t="s">
        <v>111</v>
      </c>
      <c r="B69" s="102">
        <v>8080</v>
      </c>
      <c r="C69" s="102">
        <v>8308</v>
      </c>
      <c r="D69" s="102">
        <v>8355</v>
      </c>
      <c r="E69" s="102">
        <v>8691</v>
      </c>
      <c r="F69" s="102">
        <v>8884</v>
      </c>
      <c r="G69" s="102">
        <v>9101</v>
      </c>
      <c r="H69" s="102">
        <v>9590</v>
      </c>
      <c r="I69" s="102">
        <v>10061</v>
      </c>
      <c r="J69" s="102">
        <v>10567</v>
      </c>
      <c r="K69" s="102">
        <v>10300</v>
      </c>
      <c r="L69" s="102">
        <v>9902</v>
      </c>
      <c r="M69" s="102">
        <v>9865</v>
      </c>
      <c r="N69" s="102">
        <v>9906</v>
      </c>
      <c r="O69" s="102">
        <v>10131</v>
      </c>
      <c r="P69" s="102">
        <v>10382</v>
      </c>
      <c r="Q69" s="102">
        <v>10857</v>
      </c>
      <c r="R69" s="102">
        <v>11429</v>
      </c>
      <c r="S69" s="102">
        <v>11934</v>
      </c>
      <c r="T69" s="102">
        <v>12487</v>
      </c>
      <c r="U69" s="102">
        <v>12974</v>
      </c>
      <c r="V69" s="102">
        <v>11924</v>
      </c>
      <c r="W69" s="102">
        <v>12636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1</v>
      </c>
      <c r="D70" s="102">
        <v>1</v>
      </c>
      <c r="E70" s="102">
        <v>1</v>
      </c>
      <c r="F70" s="102">
        <v>1</v>
      </c>
      <c r="G70" s="102">
        <v>1</v>
      </c>
      <c r="H70" s="102">
        <v>1</v>
      </c>
      <c r="I70" s="102">
        <v>1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1</v>
      </c>
      <c r="K72" s="102">
        <v>1</v>
      </c>
      <c r="L72" s="102">
        <v>1</v>
      </c>
      <c r="M72" s="102">
        <v>1</v>
      </c>
      <c r="N72" s="102">
        <v>1</v>
      </c>
      <c r="O72" s="102">
        <v>1</v>
      </c>
      <c r="P72" s="102">
        <v>1</v>
      </c>
      <c r="Q72" s="102">
        <v>1</v>
      </c>
      <c r="R72" s="102">
        <v>1</v>
      </c>
      <c r="S72" s="102">
        <v>1</v>
      </c>
      <c r="T72" s="102">
        <v>1</v>
      </c>
      <c r="U72" s="102">
        <v>1</v>
      </c>
      <c r="V72" s="102">
        <v>4</v>
      </c>
      <c r="W72" s="102">
        <v>6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222955</v>
      </c>
      <c r="C73" s="28">
        <f t="shared" si="134"/>
        <v>245251</v>
      </c>
      <c r="D73" s="28">
        <f t="shared" si="134"/>
        <v>259974</v>
      </c>
      <c r="E73" s="28">
        <f t="shared" si="134"/>
        <v>276033</v>
      </c>
      <c r="F73" s="28">
        <f t="shared" si="134"/>
        <v>293112</v>
      </c>
      <c r="G73" s="28">
        <f t="shared" si="134"/>
        <v>317037</v>
      </c>
      <c r="H73" s="28">
        <f t="shared" si="134"/>
        <v>345855</v>
      </c>
      <c r="I73" s="28">
        <f t="shared" si="134"/>
        <v>374194</v>
      </c>
      <c r="J73" s="28">
        <f t="shared" si="134"/>
        <v>357370</v>
      </c>
      <c r="K73" s="28">
        <f t="shared" si="134"/>
        <v>341806</v>
      </c>
      <c r="L73" s="28">
        <f t="shared" ref="L73" si="135">L74+L80</f>
        <v>329871</v>
      </c>
      <c r="M73" s="28">
        <f t="shared" ref="M73:V73" si="136">M74+M80</f>
        <v>322489</v>
      </c>
      <c r="N73" s="28">
        <f t="shared" si="136"/>
        <v>313534</v>
      </c>
      <c r="O73" s="28">
        <f t="shared" si="136"/>
        <v>313369</v>
      </c>
      <c r="P73" s="28">
        <f t="shared" si="136"/>
        <v>311199</v>
      </c>
      <c r="Q73" s="28">
        <f t="shared" si="136"/>
        <v>308941</v>
      </c>
      <c r="R73" s="28">
        <f t="shared" si="136"/>
        <v>306429</v>
      </c>
      <c r="S73" s="28">
        <f t="shared" si="136"/>
        <v>310701</v>
      </c>
      <c r="T73" s="28">
        <f t="shared" si="136"/>
        <v>312322</v>
      </c>
      <c r="U73" s="28">
        <f t="shared" si="136"/>
        <v>313819</v>
      </c>
      <c r="V73" s="28">
        <f t="shared" si="136"/>
        <v>312299</v>
      </c>
      <c r="W73" s="28">
        <f t="shared" ref="W73" si="137">W74+W80</f>
        <v>317056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157329</v>
      </c>
      <c r="C74" s="137">
        <f t="shared" si="138"/>
        <v>170664</v>
      </c>
      <c r="D74" s="137">
        <f t="shared" si="138"/>
        <v>183596</v>
      </c>
      <c r="E74" s="137">
        <f t="shared" si="138"/>
        <v>197676</v>
      </c>
      <c r="F74" s="137">
        <f t="shared" si="138"/>
        <v>211065</v>
      </c>
      <c r="G74" s="137">
        <f t="shared" si="138"/>
        <v>226069</v>
      </c>
      <c r="H74" s="137">
        <f t="shared" si="138"/>
        <v>243303</v>
      </c>
      <c r="I74" s="137">
        <f t="shared" si="138"/>
        <v>258412</v>
      </c>
      <c r="J74" s="137">
        <f t="shared" si="138"/>
        <v>261710</v>
      </c>
      <c r="K74" s="137">
        <f t="shared" si="138"/>
        <v>255603</v>
      </c>
      <c r="L74" s="137">
        <f t="shared" ref="L74" si="139">SUM(L75:L79)</f>
        <v>246984</v>
      </c>
      <c r="M74" s="137">
        <f t="shared" ref="M74:V74" si="140">SUM(M75:M79)</f>
        <v>242353</v>
      </c>
      <c r="N74" s="137">
        <f t="shared" si="140"/>
        <v>234787</v>
      </c>
      <c r="O74" s="137">
        <f t="shared" si="140"/>
        <v>236544</v>
      </c>
      <c r="P74" s="137">
        <f t="shared" si="140"/>
        <v>230023</v>
      </c>
      <c r="Q74" s="137">
        <f t="shared" si="140"/>
        <v>222726</v>
      </c>
      <c r="R74" s="137">
        <f t="shared" si="140"/>
        <v>218229</v>
      </c>
      <c r="S74" s="137">
        <f t="shared" si="140"/>
        <v>218335</v>
      </c>
      <c r="T74" s="137">
        <f t="shared" si="140"/>
        <v>218361</v>
      </c>
      <c r="U74" s="137">
        <f t="shared" si="140"/>
        <v>218590</v>
      </c>
      <c r="V74" s="137">
        <f t="shared" si="140"/>
        <v>219388</v>
      </c>
      <c r="W74" s="137">
        <f t="shared" ref="W74" si="141">SUM(W75:W79)</f>
        <v>220494</v>
      </c>
      <c r="DA74" s="174" t="s">
        <v>516</v>
      </c>
    </row>
    <row r="75" spans="1:105" ht="11.45" customHeight="1" x14ac:dyDescent="0.25">
      <c r="A75" s="111" t="s">
        <v>110</v>
      </c>
      <c r="B75" s="84">
        <v>3828</v>
      </c>
      <c r="C75" s="84">
        <v>3537</v>
      </c>
      <c r="D75" s="84">
        <v>3307</v>
      </c>
      <c r="E75" s="84">
        <v>2993</v>
      </c>
      <c r="F75" s="84">
        <v>2616</v>
      </c>
      <c r="G75" s="84">
        <v>2027</v>
      </c>
      <c r="H75" s="84">
        <v>1571</v>
      </c>
      <c r="I75" s="84">
        <v>1246</v>
      </c>
      <c r="J75" s="84">
        <v>1132</v>
      </c>
      <c r="K75" s="84">
        <v>1046</v>
      </c>
      <c r="L75" s="84">
        <v>899</v>
      </c>
      <c r="M75" s="84">
        <v>765</v>
      </c>
      <c r="N75" s="84">
        <v>637</v>
      </c>
      <c r="O75" s="84">
        <v>604</v>
      </c>
      <c r="P75" s="84">
        <v>560</v>
      </c>
      <c r="Q75" s="84">
        <v>503</v>
      </c>
      <c r="R75" s="84">
        <v>445</v>
      </c>
      <c r="S75" s="84">
        <v>484</v>
      </c>
      <c r="T75" s="84">
        <v>497</v>
      </c>
      <c r="U75" s="84">
        <v>555</v>
      </c>
      <c r="V75" s="84">
        <v>752</v>
      </c>
      <c r="W75" s="84">
        <v>854</v>
      </c>
      <c r="DA75" s="171" t="s">
        <v>517</v>
      </c>
    </row>
    <row r="76" spans="1:105" ht="11.45" customHeight="1" x14ac:dyDescent="0.25">
      <c r="A76" s="111" t="s">
        <v>111</v>
      </c>
      <c r="B76" s="84">
        <v>153501</v>
      </c>
      <c r="C76" s="84">
        <v>167127</v>
      </c>
      <c r="D76" s="84">
        <v>180289</v>
      </c>
      <c r="E76" s="84">
        <v>194683</v>
      </c>
      <c r="F76" s="84">
        <v>208449</v>
      </c>
      <c r="G76" s="84">
        <v>224042</v>
      </c>
      <c r="H76" s="84">
        <v>241732</v>
      </c>
      <c r="I76" s="84">
        <v>257166</v>
      </c>
      <c r="J76" s="84">
        <v>260578</v>
      </c>
      <c r="K76" s="84">
        <v>254557</v>
      </c>
      <c r="L76" s="84">
        <v>246085</v>
      </c>
      <c r="M76" s="84">
        <v>241554</v>
      </c>
      <c r="N76" s="84">
        <v>234073</v>
      </c>
      <c r="O76" s="84">
        <v>235857</v>
      </c>
      <c r="P76" s="84">
        <v>229367</v>
      </c>
      <c r="Q76" s="84">
        <v>222131</v>
      </c>
      <c r="R76" s="84">
        <v>217688</v>
      </c>
      <c r="S76" s="84">
        <v>217694</v>
      </c>
      <c r="T76" s="84">
        <v>217694</v>
      </c>
      <c r="U76" s="84">
        <v>217698</v>
      </c>
      <c r="V76" s="84">
        <v>217742</v>
      </c>
      <c r="W76" s="84">
        <v>218088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2</v>
      </c>
      <c r="P77" s="84">
        <v>4</v>
      </c>
      <c r="Q77" s="84">
        <v>4</v>
      </c>
      <c r="R77" s="84">
        <v>4</v>
      </c>
      <c r="S77" s="84">
        <v>5</v>
      </c>
      <c r="T77" s="84">
        <v>5</v>
      </c>
      <c r="U77" s="84">
        <v>5</v>
      </c>
      <c r="V77" s="84">
        <v>4</v>
      </c>
      <c r="W77" s="84">
        <v>4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34</v>
      </c>
      <c r="N79" s="84">
        <v>77</v>
      </c>
      <c r="O79" s="84">
        <v>81</v>
      </c>
      <c r="P79" s="84">
        <v>92</v>
      </c>
      <c r="Q79" s="84">
        <v>88</v>
      </c>
      <c r="R79" s="84">
        <v>92</v>
      </c>
      <c r="S79" s="84">
        <v>152</v>
      </c>
      <c r="T79" s="84">
        <v>165</v>
      </c>
      <c r="U79" s="84">
        <v>332</v>
      </c>
      <c r="V79" s="84">
        <v>890</v>
      </c>
      <c r="W79" s="84">
        <v>1548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65626</v>
      </c>
      <c r="C80" s="110">
        <f t="shared" si="142"/>
        <v>74587</v>
      </c>
      <c r="D80" s="110">
        <f t="shared" si="142"/>
        <v>76378</v>
      </c>
      <c r="E80" s="110">
        <f t="shared" si="142"/>
        <v>78357</v>
      </c>
      <c r="F80" s="110">
        <f t="shared" si="142"/>
        <v>82047</v>
      </c>
      <c r="G80" s="110">
        <f t="shared" si="142"/>
        <v>90968</v>
      </c>
      <c r="H80" s="110">
        <f t="shared" si="142"/>
        <v>102552</v>
      </c>
      <c r="I80" s="110">
        <f t="shared" si="142"/>
        <v>115782</v>
      </c>
      <c r="J80" s="110">
        <f t="shared" si="142"/>
        <v>95660</v>
      </c>
      <c r="K80" s="110">
        <f t="shared" si="142"/>
        <v>86203</v>
      </c>
      <c r="L80" s="110">
        <f t="shared" ref="L80" si="143">SUM(L81:L82)</f>
        <v>82887</v>
      </c>
      <c r="M80" s="110">
        <f t="shared" ref="M80:V80" si="144">SUM(M81:M82)</f>
        <v>80136</v>
      </c>
      <c r="N80" s="110">
        <f t="shared" si="144"/>
        <v>78747</v>
      </c>
      <c r="O80" s="110">
        <f t="shared" si="144"/>
        <v>76825</v>
      </c>
      <c r="P80" s="110">
        <f t="shared" si="144"/>
        <v>81176</v>
      </c>
      <c r="Q80" s="110">
        <f t="shared" si="144"/>
        <v>86215</v>
      </c>
      <c r="R80" s="110">
        <f t="shared" si="144"/>
        <v>88200</v>
      </c>
      <c r="S80" s="110">
        <f t="shared" si="144"/>
        <v>92366</v>
      </c>
      <c r="T80" s="110">
        <f t="shared" si="144"/>
        <v>93961</v>
      </c>
      <c r="U80" s="110">
        <f t="shared" si="144"/>
        <v>95229</v>
      </c>
      <c r="V80" s="110">
        <f t="shared" si="144"/>
        <v>92911</v>
      </c>
      <c r="W80" s="110">
        <f t="shared" ref="W80" si="145">SUM(W81:W82)</f>
        <v>96562</v>
      </c>
      <c r="DA80" s="176" t="s">
        <v>522</v>
      </c>
    </row>
    <row r="81" spans="1:105" ht="11.45" customHeight="1" x14ac:dyDescent="0.25">
      <c r="A81" s="128" t="s">
        <v>27</v>
      </c>
      <c r="B81" s="102">
        <v>64655</v>
      </c>
      <c r="C81" s="102">
        <v>73546</v>
      </c>
      <c r="D81" s="102">
        <v>75282</v>
      </c>
      <c r="E81" s="102">
        <v>77237</v>
      </c>
      <c r="F81" s="102">
        <v>80723</v>
      </c>
      <c r="G81" s="102">
        <v>89599</v>
      </c>
      <c r="H81" s="102">
        <v>101146</v>
      </c>
      <c r="I81" s="102">
        <v>114266</v>
      </c>
      <c r="J81" s="102">
        <v>94323</v>
      </c>
      <c r="K81" s="102">
        <v>85050</v>
      </c>
      <c r="L81" s="102">
        <v>81696</v>
      </c>
      <c r="M81" s="102">
        <v>78837</v>
      </c>
      <c r="N81" s="102">
        <v>77579</v>
      </c>
      <c r="O81" s="102">
        <v>75709</v>
      </c>
      <c r="P81" s="102">
        <v>80088</v>
      </c>
      <c r="Q81" s="102">
        <v>84989</v>
      </c>
      <c r="R81" s="102">
        <v>87095</v>
      </c>
      <c r="S81" s="102">
        <v>91290</v>
      </c>
      <c r="T81" s="102">
        <v>92774</v>
      </c>
      <c r="U81" s="102">
        <v>93874</v>
      </c>
      <c r="V81" s="102">
        <v>92415</v>
      </c>
      <c r="W81" s="102">
        <v>96051</v>
      </c>
      <c r="DA81" s="175" t="s">
        <v>523</v>
      </c>
    </row>
    <row r="82" spans="1:105" ht="11.45" customHeight="1" x14ac:dyDescent="0.25">
      <c r="A82" s="138" t="s">
        <v>116</v>
      </c>
      <c r="B82" s="86">
        <v>971</v>
      </c>
      <c r="C82" s="86">
        <v>1041</v>
      </c>
      <c r="D82" s="86">
        <v>1096</v>
      </c>
      <c r="E82" s="86">
        <v>1120</v>
      </c>
      <c r="F82" s="86">
        <v>1324</v>
      </c>
      <c r="G82" s="86">
        <v>1369</v>
      </c>
      <c r="H82" s="86">
        <v>1406</v>
      </c>
      <c r="I82" s="86">
        <v>1516</v>
      </c>
      <c r="J82" s="86">
        <v>1337</v>
      </c>
      <c r="K82" s="86">
        <v>1153</v>
      </c>
      <c r="L82" s="86">
        <v>1191</v>
      </c>
      <c r="M82" s="86">
        <v>1299</v>
      </c>
      <c r="N82" s="86">
        <v>1168</v>
      </c>
      <c r="O82" s="86">
        <v>1116</v>
      </c>
      <c r="P82" s="86">
        <v>1088</v>
      </c>
      <c r="Q82" s="86">
        <v>1226</v>
      </c>
      <c r="R82" s="86">
        <v>1105</v>
      </c>
      <c r="S82" s="86">
        <v>1076</v>
      </c>
      <c r="T82" s="86">
        <v>1187</v>
      </c>
      <c r="U82" s="86">
        <v>1355</v>
      </c>
      <c r="V82" s="86">
        <v>496</v>
      </c>
      <c r="W82" s="86">
        <v>511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1583440</v>
      </c>
      <c r="C84" s="54">
        <f t="shared" si="146"/>
        <v>1690626</v>
      </c>
      <c r="D84" s="54">
        <f t="shared" ref="D84:V84" si="147">D85+D100</f>
        <v>1771616</v>
      </c>
      <c r="E84" s="54">
        <f t="shared" si="147"/>
        <v>1851944</v>
      </c>
      <c r="F84" s="54">
        <f t="shared" si="147"/>
        <v>1919961</v>
      </c>
      <c r="G84" s="54">
        <f t="shared" si="147"/>
        <v>2022535</v>
      </c>
      <c r="H84" s="54">
        <f t="shared" si="147"/>
        <v>2270456</v>
      </c>
      <c r="I84" s="54">
        <f t="shared" si="147"/>
        <v>2304505</v>
      </c>
      <c r="J84" s="54">
        <f t="shared" si="147"/>
        <v>2407906</v>
      </c>
      <c r="K84" s="54">
        <f t="shared" si="147"/>
        <v>2362982</v>
      </c>
      <c r="L84" s="54">
        <f t="shared" si="147"/>
        <v>2315088</v>
      </c>
      <c r="M84" s="54">
        <f t="shared" si="147"/>
        <v>2331428</v>
      </c>
      <c r="N84" s="54">
        <f t="shared" si="147"/>
        <v>2309701</v>
      </c>
      <c r="O84" s="54">
        <f t="shared" si="147"/>
        <v>2341978</v>
      </c>
      <c r="P84" s="54">
        <f t="shared" si="147"/>
        <v>2376489</v>
      </c>
      <c r="Q84" s="54">
        <f t="shared" si="147"/>
        <v>2416964</v>
      </c>
      <c r="R84" s="54">
        <f t="shared" si="147"/>
        <v>2458619</v>
      </c>
      <c r="S84" s="54">
        <f t="shared" si="147"/>
        <v>2504919</v>
      </c>
      <c r="T84" s="54">
        <f t="shared" si="147"/>
        <v>2547941</v>
      </c>
      <c r="U84" s="54">
        <f t="shared" si="147"/>
        <v>2622512</v>
      </c>
      <c r="V84" s="54">
        <f t="shared" si="147"/>
        <v>2661002</v>
      </c>
      <c r="W84" s="54">
        <f t="shared" ref="W84" si="148">W85+W100</f>
        <v>2686109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1360485</v>
      </c>
      <c r="C85" s="28">
        <f t="shared" si="149"/>
        <v>1445375</v>
      </c>
      <c r="D85" s="28">
        <f t="shared" ref="D85:V85" si="150">D86+D87+D94</f>
        <v>1511642</v>
      </c>
      <c r="E85" s="28">
        <f t="shared" si="150"/>
        <v>1575911</v>
      </c>
      <c r="F85" s="28">
        <f t="shared" si="150"/>
        <v>1626849</v>
      </c>
      <c r="G85" s="28">
        <f t="shared" si="150"/>
        <v>1705498</v>
      </c>
      <c r="H85" s="28">
        <f t="shared" si="150"/>
        <v>1924601</v>
      </c>
      <c r="I85" s="28">
        <f t="shared" si="150"/>
        <v>1930311</v>
      </c>
      <c r="J85" s="28">
        <f t="shared" si="150"/>
        <v>2050536</v>
      </c>
      <c r="K85" s="28">
        <f t="shared" si="150"/>
        <v>2021176</v>
      </c>
      <c r="L85" s="28">
        <f t="shared" si="150"/>
        <v>1985217</v>
      </c>
      <c r="M85" s="28">
        <f t="shared" si="150"/>
        <v>2008939</v>
      </c>
      <c r="N85" s="28">
        <f t="shared" si="150"/>
        <v>1996167</v>
      </c>
      <c r="O85" s="28">
        <f t="shared" si="150"/>
        <v>2028609</v>
      </c>
      <c r="P85" s="28">
        <f t="shared" si="150"/>
        <v>2065290</v>
      </c>
      <c r="Q85" s="28">
        <f t="shared" si="150"/>
        <v>2108023</v>
      </c>
      <c r="R85" s="28">
        <f t="shared" si="150"/>
        <v>2152190</v>
      </c>
      <c r="S85" s="28">
        <f t="shared" si="150"/>
        <v>2194218</v>
      </c>
      <c r="T85" s="28">
        <f t="shared" si="150"/>
        <v>2235619</v>
      </c>
      <c r="U85" s="28">
        <f t="shared" si="150"/>
        <v>2308693</v>
      </c>
      <c r="V85" s="28">
        <f t="shared" si="150"/>
        <v>2348703</v>
      </c>
      <c r="W85" s="28">
        <f t="shared" ref="W85" si="151">W86+W87+W94</f>
        <v>2369053</v>
      </c>
      <c r="DA85" s="173"/>
    </row>
    <row r="86" spans="1:105" ht="11.45" hidden="1" customHeight="1" x14ac:dyDescent="0.25">
      <c r="A86" s="136" t="s">
        <v>180</v>
      </c>
      <c r="B86" s="137">
        <v>30638</v>
      </c>
      <c r="C86" s="137">
        <v>32913</v>
      </c>
      <c r="D86" s="137">
        <v>33147</v>
      </c>
      <c r="E86" s="137">
        <v>35094</v>
      </c>
      <c r="F86" s="137">
        <v>34854</v>
      </c>
      <c r="G86" s="137">
        <v>34300</v>
      </c>
      <c r="H86" s="137">
        <v>34927</v>
      </c>
      <c r="I86" s="137">
        <v>37178</v>
      </c>
      <c r="J86" s="137">
        <v>39409</v>
      </c>
      <c r="K86" s="137">
        <v>39552</v>
      </c>
      <c r="L86" s="137">
        <v>38145</v>
      </c>
      <c r="M86" s="137">
        <v>36582</v>
      </c>
      <c r="N86" s="137">
        <v>35106</v>
      </c>
      <c r="O86" s="137">
        <v>36623</v>
      </c>
      <c r="P86" s="137">
        <v>36573</v>
      </c>
      <c r="Q86" s="137">
        <v>36974</v>
      </c>
      <c r="R86" s="137">
        <v>38023</v>
      </c>
      <c r="S86" s="137">
        <v>39873</v>
      </c>
      <c r="T86" s="137">
        <v>40198</v>
      </c>
      <c r="U86" s="137">
        <v>42492</v>
      </c>
      <c r="V86" s="137">
        <v>44819</v>
      </c>
      <c r="W86" s="137">
        <v>46636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1321600</v>
      </c>
      <c r="C87" s="110">
        <f t="shared" si="152"/>
        <v>1404000</v>
      </c>
      <c r="D87" s="110">
        <f t="shared" ref="D87:V87" si="153">SUM(D88:D93)</f>
        <v>1470000</v>
      </c>
      <c r="E87" s="110">
        <f t="shared" si="153"/>
        <v>1532000</v>
      </c>
      <c r="F87" s="110">
        <f t="shared" si="153"/>
        <v>1583000</v>
      </c>
      <c r="G87" s="110">
        <f t="shared" si="153"/>
        <v>1662000</v>
      </c>
      <c r="H87" s="110">
        <f t="shared" si="153"/>
        <v>1880000</v>
      </c>
      <c r="I87" s="110">
        <f t="shared" si="153"/>
        <v>1883000</v>
      </c>
      <c r="J87" s="110">
        <f t="shared" si="153"/>
        <v>2000500</v>
      </c>
      <c r="K87" s="110">
        <f t="shared" si="153"/>
        <v>1971274</v>
      </c>
      <c r="L87" s="110">
        <f t="shared" si="153"/>
        <v>1937130</v>
      </c>
      <c r="M87" s="110">
        <f t="shared" si="153"/>
        <v>1962460</v>
      </c>
      <c r="N87" s="110">
        <f t="shared" si="153"/>
        <v>1951130</v>
      </c>
      <c r="O87" s="110">
        <f t="shared" si="153"/>
        <v>1981830</v>
      </c>
      <c r="P87" s="110">
        <f t="shared" si="153"/>
        <v>2018310</v>
      </c>
      <c r="Q87" s="110">
        <f t="shared" si="153"/>
        <v>2060170</v>
      </c>
      <c r="R87" s="110">
        <f t="shared" si="153"/>
        <v>2102720</v>
      </c>
      <c r="S87" s="110">
        <f t="shared" si="153"/>
        <v>2142390</v>
      </c>
      <c r="T87" s="110">
        <f t="shared" si="153"/>
        <v>2182920</v>
      </c>
      <c r="U87" s="110">
        <f t="shared" si="153"/>
        <v>2253210</v>
      </c>
      <c r="V87" s="110">
        <f t="shared" si="153"/>
        <v>2291940</v>
      </c>
      <c r="W87" s="110">
        <f t="shared" ref="W87" si="154">SUM(W88:W93)</f>
        <v>2309760</v>
      </c>
      <c r="DA87" s="176"/>
    </row>
    <row r="88" spans="1:105" ht="11.45" hidden="1" customHeight="1" x14ac:dyDescent="0.25">
      <c r="A88" s="111" t="s">
        <v>110</v>
      </c>
      <c r="B88" s="84">
        <v>1146869</v>
      </c>
      <c r="C88" s="84">
        <v>1221368</v>
      </c>
      <c r="D88" s="84">
        <v>1274051</v>
      </c>
      <c r="E88" s="84">
        <v>1323872</v>
      </c>
      <c r="F88" s="84">
        <v>1360374</v>
      </c>
      <c r="G88" s="84">
        <v>1388577</v>
      </c>
      <c r="H88" s="84">
        <v>1541639</v>
      </c>
      <c r="I88" s="84">
        <v>1544130</v>
      </c>
      <c r="J88" s="84">
        <v>1574499</v>
      </c>
      <c r="K88" s="84">
        <v>1505195</v>
      </c>
      <c r="L88" s="84">
        <v>1412432</v>
      </c>
      <c r="M88" s="84">
        <v>1350783</v>
      </c>
      <c r="N88" s="84">
        <v>1279510</v>
      </c>
      <c r="O88" s="84">
        <v>1235068</v>
      </c>
      <c r="P88" s="84">
        <v>1184842</v>
      </c>
      <c r="Q88" s="84">
        <v>1135417</v>
      </c>
      <c r="R88" s="84">
        <v>1069822</v>
      </c>
      <c r="S88" s="84">
        <v>1003066</v>
      </c>
      <c r="T88" s="84">
        <v>953465</v>
      </c>
      <c r="U88" s="84">
        <v>929416</v>
      </c>
      <c r="V88" s="84">
        <v>906412</v>
      </c>
      <c r="W88" s="84">
        <v>889802</v>
      </c>
      <c r="DA88" s="171"/>
    </row>
    <row r="89" spans="1:105" ht="11.45" hidden="1" customHeight="1" x14ac:dyDescent="0.25">
      <c r="A89" s="111" t="s">
        <v>111</v>
      </c>
      <c r="B89" s="84">
        <v>173131</v>
      </c>
      <c r="C89" s="84">
        <v>181431</v>
      </c>
      <c r="D89" s="84">
        <v>194915</v>
      </c>
      <c r="E89" s="84">
        <v>207268</v>
      </c>
      <c r="F89" s="84">
        <v>221848</v>
      </c>
      <c r="G89" s="84">
        <v>272682</v>
      </c>
      <c r="H89" s="84">
        <v>337662</v>
      </c>
      <c r="I89" s="84">
        <v>337965</v>
      </c>
      <c r="J89" s="84">
        <v>425296</v>
      </c>
      <c r="K89" s="84">
        <v>465599</v>
      </c>
      <c r="L89" s="84">
        <v>524267</v>
      </c>
      <c r="M89" s="84">
        <v>610626</v>
      </c>
      <c r="N89" s="84">
        <v>669972</v>
      </c>
      <c r="O89" s="84">
        <v>745362</v>
      </c>
      <c r="P89" s="84">
        <v>830835</v>
      </c>
      <c r="Q89" s="84">
        <v>921453</v>
      </c>
      <c r="R89" s="84">
        <v>1029000</v>
      </c>
      <c r="S89" s="84">
        <v>1134823</v>
      </c>
      <c r="T89" s="84">
        <v>1222560</v>
      </c>
      <c r="U89" s="84">
        <v>1312079</v>
      </c>
      <c r="V89" s="84">
        <v>1367080</v>
      </c>
      <c r="W89" s="84">
        <v>1380945</v>
      </c>
      <c r="DA89" s="171"/>
    </row>
    <row r="90" spans="1:105" ht="11.45" hidden="1" customHeight="1" x14ac:dyDescent="0.25">
      <c r="A90" s="111" t="s">
        <v>112</v>
      </c>
      <c r="B90" s="84">
        <v>1600</v>
      </c>
      <c r="C90" s="84">
        <v>1201</v>
      </c>
      <c r="D90" s="84">
        <v>1034</v>
      </c>
      <c r="E90" s="84">
        <v>860</v>
      </c>
      <c r="F90" s="84">
        <v>778</v>
      </c>
      <c r="G90" s="84">
        <v>741</v>
      </c>
      <c r="H90" s="84">
        <v>699</v>
      </c>
      <c r="I90" s="84">
        <v>905</v>
      </c>
      <c r="J90" s="84">
        <v>705</v>
      </c>
      <c r="K90" s="84">
        <v>478</v>
      </c>
      <c r="L90" s="84">
        <v>412</v>
      </c>
      <c r="M90" s="84">
        <v>454</v>
      </c>
      <c r="N90" s="84">
        <v>880</v>
      </c>
      <c r="O90" s="84">
        <v>1147</v>
      </c>
      <c r="P90" s="84">
        <v>2037</v>
      </c>
      <c r="Q90" s="84">
        <v>2145</v>
      </c>
      <c r="R90" s="84">
        <v>2056</v>
      </c>
      <c r="S90" s="84">
        <v>1816</v>
      </c>
      <c r="T90" s="84">
        <v>1623</v>
      </c>
      <c r="U90" s="84">
        <v>1501</v>
      </c>
      <c r="V90" s="84">
        <v>1511</v>
      </c>
      <c r="W90" s="84">
        <v>1461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7</v>
      </c>
      <c r="P92" s="84">
        <v>36</v>
      </c>
      <c r="Q92" s="84">
        <v>135</v>
      </c>
      <c r="R92" s="84">
        <v>416</v>
      </c>
      <c r="S92" s="84">
        <v>739</v>
      </c>
      <c r="T92" s="84">
        <v>1631</v>
      </c>
      <c r="U92" s="84">
        <v>2947</v>
      </c>
      <c r="V92" s="84">
        <v>5659</v>
      </c>
      <c r="W92" s="84">
        <v>17570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2</v>
      </c>
      <c r="L93" s="84">
        <v>19</v>
      </c>
      <c r="M93" s="84">
        <v>597</v>
      </c>
      <c r="N93" s="84">
        <v>768</v>
      </c>
      <c r="O93" s="84">
        <v>246</v>
      </c>
      <c r="P93" s="84">
        <v>560</v>
      </c>
      <c r="Q93" s="84">
        <v>1020</v>
      </c>
      <c r="R93" s="84">
        <v>1426</v>
      </c>
      <c r="S93" s="84">
        <v>1946</v>
      </c>
      <c r="T93" s="84">
        <v>3641</v>
      </c>
      <c r="U93" s="84">
        <v>7267</v>
      </c>
      <c r="V93" s="84">
        <v>11278</v>
      </c>
      <c r="W93" s="84">
        <v>19982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8247</v>
      </c>
      <c r="C94" s="110">
        <f t="shared" si="155"/>
        <v>8462</v>
      </c>
      <c r="D94" s="110">
        <f t="shared" ref="D94:V94" si="156">SUM(D95:D99)</f>
        <v>8495</v>
      </c>
      <c r="E94" s="110">
        <f t="shared" si="156"/>
        <v>8817</v>
      </c>
      <c r="F94" s="110">
        <f t="shared" si="156"/>
        <v>8995</v>
      </c>
      <c r="G94" s="110">
        <f t="shared" si="156"/>
        <v>9198</v>
      </c>
      <c r="H94" s="110">
        <f t="shared" si="156"/>
        <v>9674</v>
      </c>
      <c r="I94" s="110">
        <f t="shared" si="156"/>
        <v>10133</v>
      </c>
      <c r="J94" s="110">
        <f t="shared" si="156"/>
        <v>10627</v>
      </c>
      <c r="K94" s="110">
        <f t="shared" si="156"/>
        <v>10350</v>
      </c>
      <c r="L94" s="110">
        <f t="shared" si="156"/>
        <v>9942</v>
      </c>
      <c r="M94" s="110">
        <f t="shared" si="156"/>
        <v>9897</v>
      </c>
      <c r="N94" s="110">
        <f t="shared" si="156"/>
        <v>9931</v>
      </c>
      <c r="O94" s="110">
        <f t="shared" si="156"/>
        <v>10156</v>
      </c>
      <c r="P94" s="110">
        <f t="shared" si="156"/>
        <v>10407</v>
      </c>
      <c r="Q94" s="110">
        <f t="shared" si="156"/>
        <v>10879</v>
      </c>
      <c r="R94" s="110">
        <f t="shared" si="156"/>
        <v>11447</v>
      </c>
      <c r="S94" s="110">
        <f t="shared" si="156"/>
        <v>11955</v>
      </c>
      <c r="T94" s="110">
        <f t="shared" si="156"/>
        <v>12501</v>
      </c>
      <c r="U94" s="110">
        <f t="shared" si="156"/>
        <v>12991</v>
      </c>
      <c r="V94" s="110">
        <f t="shared" si="156"/>
        <v>11944</v>
      </c>
      <c r="W94" s="110">
        <f t="shared" ref="W94" si="157">SUM(W95:W99)</f>
        <v>12657</v>
      </c>
      <c r="DA94" s="176"/>
    </row>
    <row r="95" spans="1:105" ht="11.45" hidden="1" customHeight="1" x14ac:dyDescent="0.25">
      <c r="A95" s="111" t="s">
        <v>110</v>
      </c>
      <c r="B95" s="102">
        <v>167</v>
      </c>
      <c r="C95" s="102">
        <v>153</v>
      </c>
      <c r="D95" s="102">
        <v>139</v>
      </c>
      <c r="E95" s="102">
        <v>125</v>
      </c>
      <c r="F95" s="102">
        <v>110</v>
      </c>
      <c r="G95" s="102">
        <v>96</v>
      </c>
      <c r="H95" s="102">
        <v>83</v>
      </c>
      <c r="I95" s="102">
        <v>71</v>
      </c>
      <c r="J95" s="102">
        <v>59</v>
      </c>
      <c r="K95" s="102">
        <v>49</v>
      </c>
      <c r="L95" s="102">
        <v>39</v>
      </c>
      <c r="M95" s="102">
        <v>31</v>
      </c>
      <c r="N95" s="102">
        <v>24</v>
      </c>
      <c r="O95" s="102">
        <v>24</v>
      </c>
      <c r="P95" s="102">
        <v>24</v>
      </c>
      <c r="Q95" s="102">
        <v>21</v>
      </c>
      <c r="R95" s="102">
        <v>17</v>
      </c>
      <c r="S95" s="102">
        <v>20</v>
      </c>
      <c r="T95" s="102">
        <v>13</v>
      </c>
      <c r="U95" s="102">
        <v>16</v>
      </c>
      <c r="V95" s="102">
        <v>16</v>
      </c>
      <c r="W95" s="102">
        <v>15</v>
      </c>
      <c r="DA95" s="175"/>
    </row>
    <row r="96" spans="1:105" ht="11.45" hidden="1" customHeight="1" x14ac:dyDescent="0.25">
      <c r="A96" s="111" t="s">
        <v>111</v>
      </c>
      <c r="B96" s="102">
        <v>8080</v>
      </c>
      <c r="C96" s="102">
        <v>8308</v>
      </c>
      <c r="D96" s="102">
        <v>8355</v>
      </c>
      <c r="E96" s="102">
        <v>8691</v>
      </c>
      <c r="F96" s="102">
        <v>8884</v>
      </c>
      <c r="G96" s="102">
        <v>9101</v>
      </c>
      <c r="H96" s="102">
        <v>9590</v>
      </c>
      <c r="I96" s="102">
        <v>10061</v>
      </c>
      <c r="J96" s="102">
        <v>10567</v>
      </c>
      <c r="K96" s="102">
        <v>10300</v>
      </c>
      <c r="L96" s="102">
        <v>9902</v>
      </c>
      <c r="M96" s="102">
        <v>9865</v>
      </c>
      <c r="N96" s="102">
        <v>9906</v>
      </c>
      <c r="O96" s="102">
        <v>10131</v>
      </c>
      <c r="P96" s="102">
        <v>10382</v>
      </c>
      <c r="Q96" s="102">
        <v>10857</v>
      </c>
      <c r="R96" s="102">
        <v>11429</v>
      </c>
      <c r="S96" s="102">
        <v>11934</v>
      </c>
      <c r="T96" s="102">
        <v>12487</v>
      </c>
      <c r="U96" s="102">
        <v>12974</v>
      </c>
      <c r="V96" s="102">
        <v>11924</v>
      </c>
      <c r="W96" s="102">
        <v>12636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1</v>
      </c>
      <c r="D97" s="102">
        <v>1</v>
      </c>
      <c r="E97" s="102">
        <v>1</v>
      </c>
      <c r="F97" s="102">
        <v>1</v>
      </c>
      <c r="G97" s="102">
        <v>1</v>
      </c>
      <c r="H97" s="102">
        <v>1</v>
      </c>
      <c r="I97" s="102">
        <v>1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1</v>
      </c>
      <c r="K99" s="102">
        <v>1</v>
      </c>
      <c r="L99" s="102">
        <v>1</v>
      </c>
      <c r="M99" s="102">
        <v>1</v>
      </c>
      <c r="N99" s="102">
        <v>1</v>
      </c>
      <c r="O99" s="102">
        <v>1</v>
      </c>
      <c r="P99" s="102">
        <v>1</v>
      </c>
      <c r="Q99" s="102">
        <v>1</v>
      </c>
      <c r="R99" s="102">
        <v>1</v>
      </c>
      <c r="S99" s="102">
        <v>1</v>
      </c>
      <c r="T99" s="102">
        <v>1</v>
      </c>
      <c r="U99" s="102">
        <v>1</v>
      </c>
      <c r="V99" s="102">
        <v>4</v>
      </c>
      <c r="W99" s="102">
        <v>6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222955</v>
      </c>
      <c r="C100" s="28">
        <f t="shared" si="158"/>
        <v>245251</v>
      </c>
      <c r="D100" s="28">
        <f t="shared" ref="D100:V100" si="159">D101+D107</f>
        <v>259974</v>
      </c>
      <c r="E100" s="28">
        <f t="shared" si="159"/>
        <v>276033</v>
      </c>
      <c r="F100" s="28">
        <f t="shared" si="159"/>
        <v>293112</v>
      </c>
      <c r="G100" s="28">
        <f t="shared" si="159"/>
        <v>317037</v>
      </c>
      <c r="H100" s="28">
        <f t="shared" si="159"/>
        <v>345855</v>
      </c>
      <c r="I100" s="28">
        <f t="shared" si="159"/>
        <v>374194</v>
      </c>
      <c r="J100" s="28">
        <f t="shared" si="159"/>
        <v>357370</v>
      </c>
      <c r="K100" s="28">
        <f t="shared" si="159"/>
        <v>341806</v>
      </c>
      <c r="L100" s="28">
        <f t="shared" si="159"/>
        <v>329871</v>
      </c>
      <c r="M100" s="28">
        <f t="shared" si="159"/>
        <v>322489</v>
      </c>
      <c r="N100" s="28">
        <f t="shared" si="159"/>
        <v>313534</v>
      </c>
      <c r="O100" s="28">
        <f t="shared" si="159"/>
        <v>313369</v>
      </c>
      <c r="P100" s="28">
        <f t="shared" si="159"/>
        <v>311199</v>
      </c>
      <c r="Q100" s="28">
        <f t="shared" si="159"/>
        <v>308941</v>
      </c>
      <c r="R100" s="28">
        <f t="shared" si="159"/>
        <v>306429</v>
      </c>
      <c r="S100" s="28">
        <f t="shared" si="159"/>
        <v>310701</v>
      </c>
      <c r="T100" s="28">
        <f t="shared" si="159"/>
        <v>312322</v>
      </c>
      <c r="U100" s="28">
        <f t="shared" si="159"/>
        <v>313819</v>
      </c>
      <c r="V100" s="28">
        <f t="shared" si="159"/>
        <v>312299</v>
      </c>
      <c r="W100" s="28">
        <f t="shared" ref="W100" si="160">W101+W107</f>
        <v>317056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157329</v>
      </c>
      <c r="C101" s="137">
        <f t="shared" si="161"/>
        <v>170664</v>
      </c>
      <c r="D101" s="137">
        <f t="shared" ref="D101:V101" si="162">SUM(D102:D106)</f>
        <v>183596</v>
      </c>
      <c r="E101" s="137">
        <f t="shared" si="162"/>
        <v>197676</v>
      </c>
      <c r="F101" s="137">
        <f t="shared" si="162"/>
        <v>211065</v>
      </c>
      <c r="G101" s="137">
        <f t="shared" si="162"/>
        <v>226069</v>
      </c>
      <c r="H101" s="137">
        <f t="shared" si="162"/>
        <v>243303</v>
      </c>
      <c r="I101" s="137">
        <f t="shared" si="162"/>
        <v>258412</v>
      </c>
      <c r="J101" s="137">
        <f t="shared" si="162"/>
        <v>261710</v>
      </c>
      <c r="K101" s="137">
        <f t="shared" si="162"/>
        <v>255603</v>
      </c>
      <c r="L101" s="137">
        <f t="shared" si="162"/>
        <v>246984</v>
      </c>
      <c r="M101" s="137">
        <f t="shared" si="162"/>
        <v>242353</v>
      </c>
      <c r="N101" s="137">
        <f t="shared" si="162"/>
        <v>234787</v>
      </c>
      <c r="O101" s="137">
        <f t="shared" si="162"/>
        <v>236544</v>
      </c>
      <c r="P101" s="137">
        <f t="shared" si="162"/>
        <v>230023</v>
      </c>
      <c r="Q101" s="137">
        <f t="shared" si="162"/>
        <v>222726</v>
      </c>
      <c r="R101" s="137">
        <f t="shared" si="162"/>
        <v>218229</v>
      </c>
      <c r="S101" s="137">
        <f t="shared" si="162"/>
        <v>218335</v>
      </c>
      <c r="T101" s="137">
        <f t="shared" si="162"/>
        <v>218361</v>
      </c>
      <c r="U101" s="137">
        <f t="shared" si="162"/>
        <v>218590</v>
      </c>
      <c r="V101" s="137">
        <f t="shared" si="162"/>
        <v>219388</v>
      </c>
      <c r="W101" s="137">
        <f t="shared" ref="W101" si="163">SUM(W102:W106)</f>
        <v>220494</v>
      </c>
      <c r="DA101" s="174"/>
    </row>
    <row r="102" spans="1:105" ht="11.45" hidden="1" customHeight="1" x14ac:dyDescent="0.25">
      <c r="A102" s="111" t="s">
        <v>110</v>
      </c>
      <c r="B102" s="84">
        <v>3828</v>
      </c>
      <c r="C102" s="84">
        <v>3537</v>
      </c>
      <c r="D102" s="84">
        <v>3307</v>
      </c>
      <c r="E102" s="84">
        <v>2993</v>
      </c>
      <c r="F102" s="84">
        <v>2616</v>
      </c>
      <c r="G102" s="84">
        <v>2027</v>
      </c>
      <c r="H102" s="84">
        <v>1571</v>
      </c>
      <c r="I102" s="84">
        <v>1246</v>
      </c>
      <c r="J102" s="84">
        <v>1132</v>
      </c>
      <c r="K102" s="84">
        <v>1046</v>
      </c>
      <c r="L102" s="84">
        <v>899</v>
      </c>
      <c r="M102" s="84">
        <v>765</v>
      </c>
      <c r="N102" s="84">
        <v>637</v>
      </c>
      <c r="O102" s="84">
        <v>604</v>
      </c>
      <c r="P102" s="84">
        <v>560</v>
      </c>
      <c r="Q102" s="84">
        <v>503</v>
      </c>
      <c r="R102" s="84">
        <v>445</v>
      </c>
      <c r="S102" s="84">
        <v>484</v>
      </c>
      <c r="T102" s="84">
        <v>497</v>
      </c>
      <c r="U102" s="84">
        <v>555</v>
      </c>
      <c r="V102" s="84">
        <v>752</v>
      </c>
      <c r="W102" s="84">
        <v>854</v>
      </c>
      <c r="DA102" s="171"/>
    </row>
    <row r="103" spans="1:105" ht="11.45" hidden="1" customHeight="1" x14ac:dyDescent="0.25">
      <c r="A103" s="111" t="s">
        <v>111</v>
      </c>
      <c r="B103" s="84">
        <v>153501</v>
      </c>
      <c r="C103" s="84">
        <v>167127</v>
      </c>
      <c r="D103" s="84">
        <v>180289</v>
      </c>
      <c r="E103" s="84">
        <v>194683</v>
      </c>
      <c r="F103" s="84">
        <v>208449</v>
      </c>
      <c r="G103" s="84">
        <v>224042</v>
      </c>
      <c r="H103" s="84">
        <v>241732</v>
      </c>
      <c r="I103" s="84">
        <v>257166</v>
      </c>
      <c r="J103" s="84">
        <v>260578</v>
      </c>
      <c r="K103" s="84">
        <v>254557</v>
      </c>
      <c r="L103" s="84">
        <v>246085</v>
      </c>
      <c r="M103" s="84">
        <v>241554</v>
      </c>
      <c r="N103" s="84">
        <v>234073</v>
      </c>
      <c r="O103" s="84">
        <v>235857</v>
      </c>
      <c r="P103" s="84">
        <v>229367</v>
      </c>
      <c r="Q103" s="84">
        <v>222131</v>
      </c>
      <c r="R103" s="84">
        <v>217688</v>
      </c>
      <c r="S103" s="84">
        <v>217694</v>
      </c>
      <c r="T103" s="84">
        <v>217694</v>
      </c>
      <c r="U103" s="84">
        <v>217698</v>
      </c>
      <c r="V103" s="84">
        <v>217742</v>
      </c>
      <c r="W103" s="84">
        <v>218088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2</v>
      </c>
      <c r="P104" s="84">
        <v>4</v>
      </c>
      <c r="Q104" s="84">
        <v>4</v>
      </c>
      <c r="R104" s="84">
        <v>4</v>
      </c>
      <c r="S104" s="84">
        <v>5</v>
      </c>
      <c r="T104" s="84">
        <v>5</v>
      </c>
      <c r="U104" s="84">
        <v>5</v>
      </c>
      <c r="V104" s="84">
        <v>4</v>
      </c>
      <c r="W104" s="84">
        <v>4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34</v>
      </c>
      <c r="N106" s="84">
        <v>77</v>
      </c>
      <c r="O106" s="84">
        <v>81</v>
      </c>
      <c r="P106" s="84">
        <v>92</v>
      </c>
      <c r="Q106" s="84">
        <v>88</v>
      </c>
      <c r="R106" s="84">
        <v>92</v>
      </c>
      <c r="S106" s="84">
        <v>152</v>
      </c>
      <c r="T106" s="84">
        <v>165</v>
      </c>
      <c r="U106" s="84">
        <v>332</v>
      </c>
      <c r="V106" s="84">
        <v>890</v>
      </c>
      <c r="W106" s="84">
        <v>1548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65626</v>
      </c>
      <c r="C107" s="110">
        <f t="shared" si="164"/>
        <v>74587</v>
      </c>
      <c r="D107" s="110">
        <f t="shared" ref="D107:V107" si="165">SUM(D108:D109)</f>
        <v>76378</v>
      </c>
      <c r="E107" s="110">
        <f t="shared" si="165"/>
        <v>78357</v>
      </c>
      <c r="F107" s="110">
        <f t="shared" si="165"/>
        <v>82047</v>
      </c>
      <c r="G107" s="110">
        <f t="shared" si="165"/>
        <v>90968</v>
      </c>
      <c r="H107" s="110">
        <f t="shared" si="165"/>
        <v>102552</v>
      </c>
      <c r="I107" s="110">
        <f t="shared" si="165"/>
        <v>115782</v>
      </c>
      <c r="J107" s="110">
        <f t="shared" si="165"/>
        <v>95660</v>
      </c>
      <c r="K107" s="110">
        <f t="shared" si="165"/>
        <v>86203</v>
      </c>
      <c r="L107" s="110">
        <f t="shared" si="165"/>
        <v>82887</v>
      </c>
      <c r="M107" s="110">
        <f t="shared" si="165"/>
        <v>80136</v>
      </c>
      <c r="N107" s="110">
        <f t="shared" si="165"/>
        <v>78747</v>
      </c>
      <c r="O107" s="110">
        <f t="shared" si="165"/>
        <v>76825</v>
      </c>
      <c r="P107" s="110">
        <f t="shared" si="165"/>
        <v>81176</v>
      </c>
      <c r="Q107" s="110">
        <f t="shared" si="165"/>
        <v>86215</v>
      </c>
      <c r="R107" s="110">
        <f t="shared" si="165"/>
        <v>88200</v>
      </c>
      <c r="S107" s="110">
        <f t="shared" si="165"/>
        <v>92366</v>
      </c>
      <c r="T107" s="110">
        <f t="shared" si="165"/>
        <v>93961</v>
      </c>
      <c r="U107" s="110">
        <f t="shared" si="165"/>
        <v>95229</v>
      </c>
      <c r="V107" s="110">
        <f t="shared" si="165"/>
        <v>92911</v>
      </c>
      <c r="W107" s="110">
        <f t="shared" ref="W107" si="166">SUM(W108:W109)</f>
        <v>96562</v>
      </c>
      <c r="DA107" s="176"/>
    </row>
    <row r="108" spans="1:105" ht="11.45" hidden="1" customHeight="1" x14ac:dyDescent="0.25">
      <c r="A108" s="128" t="s">
        <v>27</v>
      </c>
      <c r="B108" s="102">
        <v>64655</v>
      </c>
      <c r="C108" s="102">
        <v>73546</v>
      </c>
      <c r="D108" s="102">
        <v>75282</v>
      </c>
      <c r="E108" s="102">
        <v>77237</v>
      </c>
      <c r="F108" s="102">
        <v>80723</v>
      </c>
      <c r="G108" s="102">
        <v>89599</v>
      </c>
      <c r="H108" s="102">
        <v>101146</v>
      </c>
      <c r="I108" s="102">
        <v>114266</v>
      </c>
      <c r="J108" s="102">
        <v>94323</v>
      </c>
      <c r="K108" s="102">
        <v>85050</v>
      </c>
      <c r="L108" s="102">
        <v>81696</v>
      </c>
      <c r="M108" s="102">
        <v>78837</v>
      </c>
      <c r="N108" s="102">
        <v>77579</v>
      </c>
      <c r="O108" s="102">
        <v>75709</v>
      </c>
      <c r="P108" s="102">
        <v>80088</v>
      </c>
      <c r="Q108" s="102">
        <v>84989</v>
      </c>
      <c r="R108" s="102">
        <v>87095</v>
      </c>
      <c r="S108" s="102">
        <v>91290</v>
      </c>
      <c r="T108" s="102">
        <v>92774</v>
      </c>
      <c r="U108" s="102">
        <v>93874</v>
      </c>
      <c r="V108" s="102">
        <v>92415</v>
      </c>
      <c r="W108" s="102">
        <v>96051</v>
      </c>
      <c r="DA108" s="175"/>
    </row>
    <row r="109" spans="1:105" ht="11.45" hidden="1" customHeight="1" x14ac:dyDescent="0.25">
      <c r="A109" s="138" t="s">
        <v>116</v>
      </c>
      <c r="B109" s="86">
        <v>971</v>
      </c>
      <c r="C109" s="86">
        <v>1041</v>
      </c>
      <c r="D109" s="86">
        <v>1096</v>
      </c>
      <c r="E109" s="86">
        <v>1120</v>
      </c>
      <c r="F109" s="86">
        <v>1324</v>
      </c>
      <c r="G109" s="86">
        <v>1369</v>
      </c>
      <c r="H109" s="86">
        <v>1406</v>
      </c>
      <c r="I109" s="86">
        <v>1516</v>
      </c>
      <c r="J109" s="86">
        <v>1337</v>
      </c>
      <c r="K109" s="86">
        <v>1153</v>
      </c>
      <c r="L109" s="86">
        <v>1191</v>
      </c>
      <c r="M109" s="86">
        <v>1299</v>
      </c>
      <c r="N109" s="86">
        <v>1168</v>
      </c>
      <c r="O109" s="86">
        <v>1116</v>
      </c>
      <c r="P109" s="86">
        <v>1088</v>
      </c>
      <c r="Q109" s="86">
        <v>1226</v>
      </c>
      <c r="R109" s="86">
        <v>1105</v>
      </c>
      <c r="S109" s="86">
        <v>1076</v>
      </c>
      <c r="T109" s="86">
        <v>1187</v>
      </c>
      <c r="U109" s="86">
        <v>1355</v>
      </c>
      <c r="V109" s="86">
        <v>496</v>
      </c>
      <c r="W109" s="86">
        <v>511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263970</v>
      </c>
      <c r="C111" s="54">
        <f t="shared" si="167"/>
        <v>199545</v>
      </c>
      <c r="D111" s="54">
        <f t="shared" si="167"/>
        <v>185961</v>
      </c>
      <c r="E111" s="54">
        <f t="shared" si="167"/>
        <v>178407</v>
      </c>
      <c r="F111" s="54">
        <f t="shared" si="167"/>
        <v>185357</v>
      </c>
      <c r="G111" s="54">
        <f t="shared" si="167"/>
        <v>220541</v>
      </c>
      <c r="H111" s="54">
        <f t="shared" si="167"/>
        <v>267326</v>
      </c>
      <c r="I111" s="54">
        <f t="shared" si="167"/>
        <v>244705</v>
      </c>
      <c r="J111" s="54">
        <f t="shared" si="167"/>
        <v>222393</v>
      </c>
      <c r="K111" s="54">
        <f t="shared" si="167"/>
        <v>78471</v>
      </c>
      <c r="L111" s="54">
        <f t="shared" ref="L111" si="168">L112+L127</f>
        <v>120315</v>
      </c>
      <c r="M111" s="54">
        <f t="shared" ref="M111:V111" si="169">M112+M127</f>
        <v>139506</v>
      </c>
      <c r="N111" s="54">
        <f t="shared" si="169"/>
        <v>101117</v>
      </c>
      <c r="O111" s="54">
        <f t="shared" si="169"/>
        <v>200384</v>
      </c>
      <c r="P111" s="54">
        <f t="shared" si="169"/>
        <v>143401</v>
      </c>
      <c r="Q111" s="54">
        <f t="shared" si="169"/>
        <v>169773</v>
      </c>
      <c r="R111" s="54">
        <f t="shared" si="169"/>
        <v>198726</v>
      </c>
      <c r="S111" s="54">
        <f t="shared" si="169"/>
        <v>201409</v>
      </c>
      <c r="T111" s="54">
        <f t="shared" si="169"/>
        <v>217812</v>
      </c>
      <c r="U111" s="54">
        <f t="shared" si="169"/>
        <v>237763</v>
      </c>
      <c r="V111" s="54">
        <f t="shared" si="169"/>
        <v>195599</v>
      </c>
      <c r="W111" s="54">
        <f t="shared" ref="W111" si="170">W112+W127</f>
        <v>201371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232481</v>
      </c>
      <c r="C112" s="28">
        <f t="shared" si="171"/>
        <v>168651</v>
      </c>
      <c r="D112" s="28">
        <f t="shared" si="171"/>
        <v>159122</v>
      </c>
      <c r="E112" s="28">
        <f t="shared" si="171"/>
        <v>149341</v>
      </c>
      <c r="F112" s="28">
        <f t="shared" si="171"/>
        <v>155848</v>
      </c>
      <c r="G112" s="28">
        <f t="shared" si="171"/>
        <v>183638</v>
      </c>
      <c r="H112" s="28">
        <f t="shared" si="171"/>
        <v>225914</v>
      </c>
      <c r="I112" s="28">
        <f t="shared" si="171"/>
        <v>201572</v>
      </c>
      <c r="J112" s="28">
        <f t="shared" si="171"/>
        <v>193355</v>
      </c>
      <c r="K112" s="28">
        <f t="shared" si="171"/>
        <v>69231</v>
      </c>
      <c r="L112" s="28">
        <f t="shared" ref="L112" si="172">L113+L114+L121</f>
        <v>109456</v>
      </c>
      <c r="M112" s="28">
        <f t="shared" ref="M112:V112" si="173">M113+M114+M121</f>
        <v>127537</v>
      </c>
      <c r="N112" s="28">
        <f t="shared" si="173"/>
        <v>89981</v>
      </c>
      <c r="O112" s="28">
        <f t="shared" si="173"/>
        <v>188275</v>
      </c>
      <c r="P112" s="28">
        <f t="shared" si="173"/>
        <v>125743</v>
      </c>
      <c r="Q112" s="28">
        <f t="shared" si="173"/>
        <v>146830</v>
      </c>
      <c r="R112" s="28">
        <f t="shared" si="173"/>
        <v>171446</v>
      </c>
      <c r="S112" s="28">
        <f t="shared" si="173"/>
        <v>175520</v>
      </c>
      <c r="T112" s="28">
        <f t="shared" si="173"/>
        <v>194373</v>
      </c>
      <c r="U112" s="28">
        <f t="shared" si="173"/>
        <v>214111</v>
      </c>
      <c r="V112" s="28">
        <f t="shared" si="173"/>
        <v>177851</v>
      </c>
      <c r="W112" s="28">
        <f t="shared" ref="W112" si="174">W113+W114+W121</f>
        <v>174104</v>
      </c>
      <c r="DA112" s="173" t="s">
        <v>526</v>
      </c>
    </row>
    <row r="113" spans="1:105" ht="11.45" customHeight="1" x14ac:dyDescent="0.25">
      <c r="A113" s="136" t="s">
        <v>180</v>
      </c>
      <c r="B113" s="137">
        <v>3848</v>
      </c>
      <c r="C113" s="137">
        <v>4705</v>
      </c>
      <c r="D113" s="137">
        <v>5596</v>
      </c>
      <c r="E113" s="137">
        <v>2853</v>
      </c>
      <c r="F113" s="137">
        <v>2534</v>
      </c>
      <c r="G113" s="137">
        <v>2391</v>
      </c>
      <c r="H113" s="137">
        <v>2508</v>
      </c>
      <c r="I113" s="137">
        <v>2882</v>
      </c>
      <c r="J113" s="137">
        <v>2789</v>
      </c>
      <c r="K113" s="137">
        <v>1422</v>
      </c>
      <c r="L113" s="137">
        <v>1112</v>
      </c>
      <c r="M113" s="137">
        <v>831</v>
      </c>
      <c r="N113" s="137">
        <v>663</v>
      </c>
      <c r="O113" s="137">
        <v>3044</v>
      </c>
      <c r="P113" s="137">
        <v>1499</v>
      </c>
      <c r="Q113" s="137">
        <v>2022</v>
      </c>
      <c r="R113" s="137">
        <v>2604</v>
      </c>
      <c r="S113" s="137">
        <v>3420</v>
      </c>
      <c r="T113" s="137">
        <v>2371</v>
      </c>
      <c r="U113" s="137">
        <v>3897</v>
      </c>
      <c r="V113" s="137">
        <v>3964</v>
      </c>
      <c r="W113" s="137">
        <v>3489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227432</v>
      </c>
      <c r="C114" s="110">
        <f t="shared" si="175"/>
        <v>163143</v>
      </c>
      <c r="D114" s="110">
        <f t="shared" si="175"/>
        <v>152879</v>
      </c>
      <c r="E114" s="110">
        <f t="shared" si="175"/>
        <v>145532</v>
      </c>
      <c r="F114" s="110">
        <f t="shared" si="175"/>
        <v>152487</v>
      </c>
      <c r="G114" s="110">
        <f t="shared" si="175"/>
        <v>180386</v>
      </c>
      <c r="H114" s="110">
        <f t="shared" si="175"/>
        <v>222270</v>
      </c>
      <c r="I114" s="110">
        <f t="shared" si="175"/>
        <v>197572</v>
      </c>
      <c r="J114" s="110">
        <f t="shared" si="175"/>
        <v>189414</v>
      </c>
      <c r="K114" s="110">
        <f t="shared" si="175"/>
        <v>67434</v>
      </c>
      <c r="L114" s="110">
        <f t="shared" ref="L114" si="176">SUM(L115:L120)</f>
        <v>108103</v>
      </c>
      <c r="M114" s="110">
        <f t="shared" ref="M114:V114" si="177">SUM(M115:M120)</f>
        <v>126109</v>
      </c>
      <c r="N114" s="110">
        <f t="shared" si="177"/>
        <v>88649</v>
      </c>
      <c r="O114" s="110">
        <f t="shared" si="177"/>
        <v>184381</v>
      </c>
      <c r="P114" s="110">
        <f t="shared" si="177"/>
        <v>123369</v>
      </c>
      <c r="Q114" s="110">
        <f t="shared" si="177"/>
        <v>143705</v>
      </c>
      <c r="R114" s="110">
        <f t="shared" si="177"/>
        <v>167745</v>
      </c>
      <c r="S114" s="110">
        <f t="shared" si="177"/>
        <v>171023</v>
      </c>
      <c r="T114" s="110">
        <f t="shared" si="177"/>
        <v>190839</v>
      </c>
      <c r="U114" s="110">
        <f t="shared" si="177"/>
        <v>209074</v>
      </c>
      <c r="V114" s="110">
        <f t="shared" si="177"/>
        <v>173620</v>
      </c>
      <c r="W114" s="110">
        <f t="shared" ref="W114" si="178">SUM(W115:W120)</f>
        <v>169797</v>
      </c>
      <c r="DA114" s="176" t="s">
        <v>528</v>
      </c>
    </row>
    <row r="115" spans="1:105" ht="11.45" customHeight="1" x14ac:dyDescent="0.25">
      <c r="A115" s="111" t="s">
        <v>110</v>
      </c>
      <c r="B115" s="84">
        <v>201938</v>
      </c>
      <c r="C115" s="84">
        <v>139909</v>
      </c>
      <c r="D115" s="84">
        <v>125347</v>
      </c>
      <c r="E115" s="84">
        <v>117765</v>
      </c>
      <c r="F115" s="84">
        <v>121504</v>
      </c>
      <c r="G115" s="84">
        <v>129552</v>
      </c>
      <c r="H115" s="84">
        <v>153065</v>
      </c>
      <c r="I115" s="84">
        <v>131964</v>
      </c>
      <c r="J115" s="84">
        <v>96775</v>
      </c>
      <c r="K115" s="84">
        <v>21275</v>
      </c>
      <c r="L115" s="84">
        <v>35382</v>
      </c>
      <c r="M115" s="84">
        <v>31492</v>
      </c>
      <c r="N115" s="84">
        <v>19759</v>
      </c>
      <c r="O115" s="84">
        <v>18032</v>
      </c>
      <c r="P115" s="84">
        <v>26309</v>
      </c>
      <c r="Q115" s="84">
        <v>39096</v>
      </c>
      <c r="R115" s="84">
        <v>46686</v>
      </c>
      <c r="S115" s="84">
        <v>50143</v>
      </c>
      <c r="T115" s="84">
        <v>62142</v>
      </c>
      <c r="U115" s="84">
        <v>68121</v>
      </c>
      <c r="V115" s="84">
        <v>52593</v>
      </c>
      <c r="W115" s="84">
        <v>62823</v>
      </c>
      <c r="DA115" s="171" t="s">
        <v>529</v>
      </c>
    </row>
    <row r="116" spans="1:105" ht="11.45" customHeight="1" x14ac:dyDescent="0.25">
      <c r="A116" s="111" t="s">
        <v>111</v>
      </c>
      <c r="B116" s="84">
        <v>25494</v>
      </c>
      <c r="C116" s="84">
        <v>23234</v>
      </c>
      <c r="D116" s="84">
        <v>27532</v>
      </c>
      <c r="E116" s="84">
        <v>27767</v>
      </c>
      <c r="F116" s="84">
        <v>30983</v>
      </c>
      <c r="G116" s="84">
        <v>50834</v>
      </c>
      <c r="H116" s="84">
        <v>69205</v>
      </c>
      <c r="I116" s="84">
        <v>65402</v>
      </c>
      <c r="J116" s="84">
        <v>92639</v>
      </c>
      <c r="K116" s="84">
        <v>46137</v>
      </c>
      <c r="L116" s="84">
        <v>72686</v>
      </c>
      <c r="M116" s="84">
        <v>93962</v>
      </c>
      <c r="N116" s="84">
        <v>67689</v>
      </c>
      <c r="O116" s="84">
        <v>165908</v>
      </c>
      <c r="P116" s="84">
        <v>95819</v>
      </c>
      <c r="Q116" s="84">
        <v>103908</v>
      </c>
      <c r="R116" s="84">
        <v>120350</v>
      </c>
      <c r="S116" s="84">
        <v>119914</v>
      </c>
      <c r="T116" s="84">
        <v>126083</v>
      </c>
      <c r="U116" s="84">
        <v>135744</v>
      </c>
      <c r="V116" s="84">
        <v>114211</v>
      </c>
      <c r="W116" s="84">
        <v>85518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206</v>
      </c>
      <c r="J117" s="84">
        <v>0</v>
      </c>
      <c r="K117" s="84">
        <v>20</v>
      </c>
      <c r="L117" s="84">
        <v>16</v>
      </c>
      <c r="M117" s="84">
        <v>58</v>
      </c>
      <c r="N117" s="84">
        <v>433</v>
      </c>
      <c r="O117" s="84">
        <v>267</v>
      </c>
      <c r="P117" s="84">
        <v>890</v>
      </c>
      <c r="Q117" s="84">
        <v>108</v>
      </c>
      <c r="R117" s="84">
        <v>0</v>
      </c>
      <c r="S117" s="84">
        <v>8</v>
      </c>
      <c r="T117" s="84">
        <v>9</v>
      </c>
      <c r="U117" s="84">
        <v>11</v>
      </c>
      <c r="V117" s="84">
        <v>23</v>
      </c>
      <c r="W117" s="84">
        <v>334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7</v>
      </c>
      <c r="P119" s="84">
        <v>33</v>
      </c>
      <c r="Q119" s="84">
        <v>99</v>
      </c>
      <c r="R119" s="84">
        <v>289</v>
      </c>
      <c r="S119" s="84">
        <v>327</v>
      </c>
      <c r="T119" s="84">
        <v>893</v>
      </c>
      <c r="U119" s="84">
        <v>1533</v>
      </c>
      <c r="V119" s="84">
        <v>2718</v>
      </c>
      <c r="W119" s="84">
        <v>11923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2</v>
      </c>
      <c r="L120" s="84">
        <v>19</v>
      </c>
      <c r="M120" s="84">
        <v>597</v>
      </c>
      <c r="N120" s="84">
        <v>768</v>
      </c>
      <c r="O120" s="84">
        <v>167</v>
      </c>
      <c r="P120" s="84">
        <v>318</v>
      </c>
      <c r="Q120" s="84">
        <v>494</v>
      </c>
      <c r="R120" s="84">
        <v>420</v>
      </c>
      <c r="S120" s="84">
        <v>631</v>
      </c>
      <c r="T120" s="84">
        <v>1712</v>
      </c>
      <c r="U120" s="84">
        <v>3665</v>
      </c>
      <c r="V120" s="84">
        <v>4075</v>
      </c>
      <c r="W120" s="84">
        <v>9199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1201</v>
      </c>
      <c r="C121" s="110">
        <f t="shared" si="179"/>
        <v>803</v>
      </c>
      <c r="D121" s="110">
        <f t="shared" si="179"/>
        <v>647</v>
      </c>
      <c r="E121" s="110">
        <f t="shared" si="179"/>
        <v>956</v>
      </c>
      <c r="F121" s="110">
        <f t="shared" si="179"/>
        <v>827</v>
      </c>
      <c r="G121" s="110">
        <f t="shared" si="179"/>
        <v>861</v>
      </c>
      <c r="H121" s="110">
        <f t="shared" si="179"/>
        <v>1136</v>
      </c>
      <c r="I121" s="110">
        <f t="shared" si="179"/>
        <v>1118</v>
      </c>
      <c r="J121" s="110">
        <f t="shared" si="179"/>
        <v>1152</v>
      </c>
      <c r="K121" s="110">
        <f t="shared" si="179"/>
        <v>375</v>
      </c>
      <c r="L121" s="110">
        <f t="shared" ref="L121" si="180">SUM(L122:L126)</f>
        <v>241</v>
      </c>
      <c r="M121" s="110">
        <f t="shared" ref="M121:V121" si="181">SUM(M122:M126)</f>
        <v>597</v>
      </c>
      <c r="N121" s="110">
        <f t="shared" si="181"/>
        <v>669</v>
      </c>
      <c r="O121" s="110">
        <f t="shared" si="181"/>
        <v>850</v>
      </c>
      <c r="P121" s="110">
        <f t="shared" si="181"/>
        <v>875</v>
      </c>
      <c r="Q121" s="110">
        <f t="shared" si="181"/>
        <v>1103</v>
      </c>
      <c r="R121" s="110">
        <f t="shared" si="181"/>
        <v>1097</v>
      </c>
      <c r="S121" s="110">
        <f t="shared" si="181"/>
        <v>1077</v>
      </c>
      <c r="T121" s="110">
        <f t="shared" si="181"/>
        <v>1163</v>
      </c>
      <c r="U121" s="110">
        <f t="shared" si="181"/>
        <v>1140</v>
      </c>
      <c r="V121" s="110">
        <f t="shared" si="181"/>
        <v>267</v>
      </c>
      <c r="W121" s="110">
        <f t="shared" ref="W121" si="182">SUM(W122:W126)</f>
        <v>818</v>
      </c>
      <c r="DA121" s="176" t="s">
        <v>535</v>
      </c>
    </row>
    <row r="122" spans="1:105" ht="11.45" customHeight="1" x14ac:dyDescent="0.25">
      <c r="A122" s="111" t="s">
        <v>110</v>
      </c>
      <c r="B122" s="102">
        <v>1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1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3</v>
      </c>
      <c r="T122" s="102">
        <v>0</v>
      </c>
      <c r="U122" s="102">
        <v>3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1200</v>
      </c>
      <c r="C123" s="102">
        <v>802</v>
      </c>
      <c r="D123" s="102">
        <v>647</v>
      </c>
      <c r="E123" s="102">
        <v>956</v>
      </c>
      <c r="F123" s="102">
        <v>827</v>
      </c>
      <c r="G123" s="102">
        <v>861</v>
      </c>
      <c r="H123" s="102">
        <v>1136</v>
      </c>
      <c r="I123" s="102">
        <v>1117</v>
      </c>
      <c r="J123" s="102">
        <v>1151</v>
      </c>
      <c r="K123" s="102">
        <v>375</v>
      </c>
      <c r="L123" s="102">
        <v>241</v>
      </c>
      <c r="M123" s="102">
        <v>597</v>
      </c>
      <c r="N123" s="102">
        <v>669</v>
      </c>
      <c r="O123" s="102">
        <v>850</v>
      </c>
      <c r="P123" s="102">
        <v>875</v>
      </c>
      <c r="Q123" s="102">
        <v>1103</v>
      </c>
      <c r="R123" s="102">
        <v>1097</v>
      </c>
      <c r="S123" s="102">
        <v>1074</v>
      </c>
      <c r="T123" s="102">
        <v>1163</v>
      </c>
      <c r="U123" s="102">
        <v>1136</v>
      </c>
      <c r="V123" s="102">
        <v>264</v>
      </c>
      <c r="W123" s="102">
        <v>815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1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1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102">
        <v>1</v>
      </c>
      <c r="V126" s="102">
        <v>3</v>
      </c>
      <c r="W126" s="102">
        <v>3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31489</v>
      </c>
      <c r="C127" s="28">
        <f t="shared" si="183"/>
        <v>30894</v>
      </c>
      <c r="D127" s="28">
        <f t="shared" si="183"/>
        <v>26839</v>
      </c>
      <c r="E127" s="28">
        <f t="shared" si="183"/>
        <v>29066</v>
      </c>
      <c r="F127" s="28">
        <f t="shared" si="183"/>
        <v>29509</v>
      </c>
      <c r="G127" s="28">
        <f t="shared" si="183"/>
        <v>36903</v>
      </c>
      <c r="H127" s="28">
        <f t="shared" si="183"/>
        <v>41412</v>
      </c>
      <c r="I127" s="28">
        <f t="shared" si="183"/>
        <v>43133</v>
      </c>
      <c r="J127" s="28">
        <f t="shared" si="183"/>
        <v>29038</v>
      </c>
      <c r="K127" s="28">
        <f t="shared" si="183"/>
        <v>9240</v>
      </c>
      <c r="L127" s="28">
        <f t="shared" ref="L127" si="184">L128+L134</f>
        <v>10859</v>
      </c>
      <c r="M127" s="28">
        <f t="shared" ref="M127:V127" si="185">M128+M134</f>
        <v>11969</v>
      </c>
      <c r="N127" s="28">
        <f t="shared" si="185"/>
        <v>11136</v>
      </c>
      <c r="O127" s="28">
        <f t="shared" si="185"/>
        <v>12109</v>
      </c>
      <c r="P127" s="28">
        <f t="shared" si="185"/>
        <v>17658</v>
      </c>
      <c r="Q127" s="28">
        <f t="shared" si="185"/>
        <v>22943</v>
      </c>
      <c r="R127" s="28">
        <f t="shared" si="185"/>
        <v>27280</v>
      </c>
      <c r="S127" s="28">
        <f t="shared" si="185"/>
        <v>25889</v>
      </c>
      <c r="T127" s="28">
        <f t="shared" si="185"/>
        <v>23439</v>
      </c>
      <c r="U127" s="28">
        <f t="shared" si="185"/>
        <v>23652</v>
      </c>
      <c r="V127" s="28">
        <f t="shared" si="185"/>
        <v>17748</v>
      </c>
      <c r="W127" s="28">
        <f t="shared" ref="W127" si="186">W128+W134</f>
        <v>27267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25683</v>
      </c>
      <c r="C128" s="137">
        <f t="shared" si="187"/>
        <v>21891</v>
      </c>
      <c r="D128" s="137">
        <f t="shared" si="187"/>
        <v>21603</v>
      </c>
      <c r="E128" s="137">
        <f t="shared" si="187"/>
        <v>22983</v>
      </c>
      <c r="F128" s="137">
        <f t="shared" si="187"/>
        <v>22746</v>
      </c>
      <c r="G128" s="137">
        <f t="shared" si="187"/>
        <v>27901</v>
      </c>
      <c r="H128" s="137">
        <f t="shared" si="187"/>
        <v>29739</v>
      </c>
      <c r="I128" s="137">
        <f t="shared" si="187"/>
        <v>29785</v>
      </c>
      <c r="J128" s="137">
        <f t="shared" si="187"/>
        <v>20266</v>
      </c>
      <c r="K128" s="137">
        <f t="shared" si="187"/>
        <v>6794</v>
      </c>
      <c r="L128" s="137">
        <f t="shared" ref="L128" si="188">SUM(L129:L133)</f>
        <v>8214</v>
      </c>
      <c r="M128" s="137">
        <f t="shared" ref="M128:V128" si="189">SUM(M129:M133)</f>
        <v>9189</v>
      </c>
      <c r="N128" s="137">
        <f t="shared" si="189"/>
        <v>8436</v>
      </c>
      <c r="O128" s="137">
        <f t="shared" si="189"/>
        <v>8692</v>
      </c>
      <c r="P128" s="137">
        <f t="shared" si="189"/>
        <v>12889</v>
      </c>
      <c r="Q128" s="137">
        <f t="shared" si="189"/>
        <v>15954</v>
      </c>
      <c r="R128" s="137">
        <f t="shared" si="189"/>
        <v>18034</v>
      </c>
      <c r="S128" s="137">
        <f t="shared" si="189"/>
        <v>14916</v>
      </c>
      <c r="T128" s="137">
        <f t="shared" si="189"/>
        <v>15453</v>
      </c>
      <c r="U128" s="137">
        <f t="shared" si="189"/>
        <v>15438</v>
      </c>
      <c r="V128" s="137">
        <f t="shared" si="189"/>
        <v>13813</v>
      </c>
      <c r="W128" s="137">
        <f t="shared" ref="W128" si="190">SUM(W129:W133)</f>
        <v>17947</v>
      </c>
      <c r="DA128" s="174" t="s">
        <v>542</v>
      </c>
    </row>
    <row r="129" spans="1:105" ht="11.45" customHeight="1" x14ac:dyDescent="0.25">
      <c r="A129" s="111" t="s">
        <v>110</v>
      </c>
      <c r="B129" s="84">
        <v>273</v>
      </c>
      <c r="C129" s="84">
        <v>134</v>
      </c>
      <c r="D129" s="84">
        <v>205</v>
      </c>
      <c r="E129" s="84">
        <v>153</v>
      </c>
      <c r="F129" s="84">
        <v>144</v>
      </c>
      <c r="G129" s="84">
        <v>141</v>
      </c>
      <c r="H129" s="84">
        <v>120</v>
      </c>
      <c r="I129" s="84">
        <v>82</v>
      </c>
      <c r="J129" s="84">
        <v>75</v>
      </c>
      <c r="K129" s="84">
        <v>62</v>
      </c>
      <c r="L129" s="84">
        <v>41</v>
      </c>
      <c r="M129" s="84">
        <v>20</v>
      </c>
      <c r="N129" s="84">
        <v>2</v>
      </c>
      <c r="O129" s="84">
        <v>10</v>
      </c>
      <c r="P129" s="84">
        <v>20</v>
      </c>
      <c r="Q129" s="84">
        <v>17</v>
      </c>
      <c r="R129" s="84">
        <v>20</v>
      </c>
      <c r="S129" s="84">
        <v>74</v>
      </c>
      <c r="T129" s="84">
        <v>32</v>
      </c>
      <c r="U129" s="84">
        <v>89</v>
      </c>
      <c r="V129" s="84">
        <v>240</v>
      </c>
      <c r="W129" s="84">
        <v>175</v>
      </c>
      <c r="DA129" s="171" t="s">
        <v>543</v>
      </c>
    </row>
    <row r="130" spans="1:105" ht="11.45" customHeight="1" x14ac:dyDescent="0.25">
      <c r="A130" s="111" t="s">
        <v>111</v>
      </c>
      <c r="B130" s="84">
        <v>25410</v>
      </c>
      <c r="C130" s="84">
        <v>21757</v>
      </c>
      <c r="D130" s="84">
        <v>21398</v>
      </c>
      <c r="E130" s="84">
        <v>22830</v>
      </c>
      <c r="F130" s="84">
        <v>22602</v>
      </c>
      <c r="G130" s="84">
        <v>27760</v>
      </c>
      <c r="H130" s="84">
        <v>29619</v>
      </c>
      <c r="I130" s="84">
        <v>29703</v>
      </c>
      <c r="J130" s="84">
        <v>20191</v>
      </c>
      <c r="K130" s="84">
        <v>6732</v>
      </c>
      <c r="L130" s="84">
        <v>8173</v>
      </c>
      <c r="M130" s="84">
        <v>9135</v>
      </c>
      <c r="N130" s="84">
        <v>8389</v>
      </c>
      <c r="O130" s="84">
        <v>8673</v>
      </c>
      <c r="P130" s="84">
        <v>12856</v>
      </c>
      <c r="Q130" s="84">
        <v>15917</v>
      </c>
      <c r="R130" s="84">
        <v>18003</v>
      </c>
      <c r="S130" s="84">
        <v>14780</v>
      </c>
      <c r="T130" s="84">
        <v>15337</v>
      </c>
      <c r="U130" s="84">
        <v>15017</v>
      </c>
      <c r="V130" s="84">
        <v>12840</v>
      </c>
      <c r="W130" s="84">
        <v>17111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2</v>
      </c>
      <c r="P131" s="84">
        <v>2</v>
      </c>
      <c r="Q131" s="84">
        <v>0</v>
      </c>
      <c r="R131" s="84">
        <v>0</v>
      </c>
      <c r="S131" s="84">
        <v>1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34</v>
      </c>
      <c r="N133" s="84">
        <v>45</v>
      </c>
      <c r="O133" s="84">
        <v>7</v>
      </c>
      <c r="P133" s="84">
        <v>11</v>
      </c>
      <c r="Q133" s="84">
        <v>20</v>
      </c>
      <c r="R133" s="84">
        <v>11</v>
      </c>
      <c r="S133" s="84">
        <v>61</v>
      </c>
      <c r="T133" s="84">
        <v>84</v>
      </c>
      <c r="U133" s="84">
        <v>332</v>
      </c>
      <c r="V133" s="84">
        <v>733</v>
      </c>
      <c r="W133" s="84">
        <v>661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5806</v>
      </c>
      <c r="C134" s="110">
        <f t="shared" si="191"/>
        <v>9003</v>
      </c>
      <c r="D134" s="110">
        <f t="shared" si="191"/>
        <v>5236</v>
      </c>
      <c r="E134" s="110">
        <f t="shared" si="191"/>
        <v>6083</v>
      </c>
      <c r="F134" s="110">
        <f t="shared" si="191"/>
        <v>6763</v>
      </c>
      <c r="G134" s="110">
        <f t="shared" si="191"/>
        <v>9002</v>
      </c>
      <c r="H134" s="110">
        <f t="shared" si="191"/>
        <v>11673</v>
      </c>
      <c r="I134" s="110">
        <f t="shared" si="191"/>
        <v>13348</v>
      </c>
      <c r="J134" s="110">
        <f t="shared" si="191"/>
        <v>8772</v>
      </c>
      <c r="K134" s="110">
        <f t="shared" si="191"/>
        <v>2446</v>
      </c>
      <c r="L134" s="110">
        <f t="shared" ref="L134" si="192">SUM(L135:L136)</f>
        <v>2645</v>
      </c>
      <c r="M134" s="110">
        <f t="shared" ref="M134:V134" si="193">SUM(M135:M136)</f>
        <v>2780</v>
      </c>
      <c r="N134" s="110">
        <f t="shared" si="193"/>
        <v>2700</v>
      </c>
      <c r="O134" s="110">
        <f t="shared" si="193"/>
        <v>3417</v>
      </c>
      <c r="P134" s="110">
        <f t="shared" si="193"/>
        <v>4769</v>
      </c>
      <c r="Q134" s="110">
        <f t="shared" si="193"/>
        <v>6989</v>
      </c>
      <c r="R134" s="110">
        <f t="shared" si="193"/>
        <v>9246</v>
      </c>
      <c r="S134" s="110">
        <f t="shared" si="193"/>
        <v>10973</v>
      </c>
      <c r="T134" s="110">
        <f t="shared" si="193"/>
        <v>7986</v>
      </c>
      <c r="U134" s="110">
        <f t="shared" si="193"/>
        <v>8214</v>
      </c>
      <c r="V134" s="110">
        <f t="shared" si="193"/>
        <v>3935</v>
      </c>
      <c r="W134" s="110">
        <f t="shared" ref="W134" si="194">SUM(W135:W136)</f>
        <v>9320</v>
      </c>
      <c r="DA134" s="176" t="s">
        <v>548</v>
      </c>
    </row>
    <row r="135" spans="1:105" ht="11.45" customHeight="1" x14ac:dyDescent="0.25">
      <c r="A135" s="128" t="s">
        <v>27</v>
      </c>
      <c r="B135" s="102">
        <v>5709</v>
      </c>
      <c r="C135" s="102">
        <v>8891</v>
      </c>
      <c r="D135" s="102">
        <v>5129</v>
      </c>
      <c r="E135" s="102">
        <v>5998</v>
      </c>
      <c r="F135" s="102">
        <v>6490</v>
      </c>
      <c r="G135" s="102">
        <v>8876</v>
      </c>
      <c r="H135" s="102">
        <v>11547</v>
      </c>
      <c r="I135" s="102">
        <v>13140</v>
      </c>
      <c r="J135" s="102">
        <v>8772</v>
      </c>
      <c r="K135" s="102">
        <v>2446</v>
      </c>
      <c r="L135" s="102">
        <v>2508</v>
      </c>
      <c r="M135" s="102">
        <v>2572</v>
      </c>
      <c r="N135" s="102">
        <v>2700</v>
      </c>
      <c r="O135" s="102">
        <v>3375</v>
      </c>
      <c r="P135" s="102">
        <v>4705</v>
      </c>
      <c r="Q135" s="102">
        <v>6755</v>
      </c>
      <c r="R135" s="102">
        <v>9246</v>
      </c>
      <c r="S135" s="102">
        <v>10904</v>
      </c>
      <c r="T135" s="102">
        <v>7776</v>
      </c>
      <c r="U135" s="102">
        <v>7945</v>
      </c>
      <c r="V135" s="102">
        <v>3935</v>
      </c>
      <c r="W135" s="102">
        <v>9287</v>
      </c>
      <c r="DA135" s="175" t="s">
        <v>549</v>
      </c>
    </row>
    <row r="136" spans="1:105" ht="11.45" customHeight="1" x14ac:dyDescent="0.25">
      <c r="A136" s="138" t="s">
        <v>116</v>
      </c>
      <c r="B136" s="86">
        <v>97</v>
      </c>
      <c r="C136" s="86">
        <v>112</v>
      </c>
      <c r="D136" s="86">
        <v>107</v>
      </c>
      <c r="E136" s="86">
        <v>85</v>
      </c>
      <c r="F136" s="86">
        <v>273</v>
      </c>
      <c r="G136" s="86">
        <v>126</v>
      </c>
      <c r="H136" s="86">
        <v>126</v>
      </c>
      <c r="I136" s="86">
        <v>208</v>
      </c>
      <c r="J136" s="86">
        <v>0</v>
      </c>
      <c r="K136" s="86">
        <v>0</v>
      </c>
      <c r="L136" s="86">
        <v>137</v>
      </c>
      <c r="M136" s="86">
        <v>208</v>
      </c>
      <c r="N136" s="86">
        <v>0</v>
      </c>
      <c r="O136" s="86">
        <v>42</v>
      </c>
      <c r="P136" s="86">
        <v>64</v>
      </c>
      <c r="Q136" s="86">
        <v>234</v>
      </c>
      <c r="R136" s="86">
        <v>0</v>
      </c>
      <c r="S136" s="86">
        <v>69</v>
      </c>
      <c r="T136" s="86">
        <v>210</v>
      </c>
      <c r="U136" s="86">
        <v>269</v>
      </c>
      <c r="V136" s="86">
        <v>0</v>
      </c>
      <c r="W136" s="86">
        <v>33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1.8633261009359368</v>
      </c>
      <c r="C141" s="32">
        <f t="shared" si="195"/>
        <v>1.8363600733365162</v>
      </c>
      <c r="D141" s="32">
        <f t="shared" si="195"/>
        <v>1.8220860752826098</v>
      </c>
      <c r="E141" s="32">
        <f t="shared" si="195"/>
        <v>1.8469738769912893</v>
      </c>
      <c r="F141" s="32">
        <f t="shared" si="195"/>
        <v>1.9066246352330942</v>
      </c>
      <c r="G141" s="32">
        <f t="shared" si="195"/>
        <v>1.8805898012035343</v>
      </c>
      <c r="H141" s="32">
        <f t="shared" si="195"/>
        <v>1.7461127815252981</v>
      </c>
      <c r="I141" s="32">
        <f t="shared" si="195"/>
        <v>1.7914044662177824</v>
      </c>
      <c r="J141" s="32">
        <f t="shared" si="195"/>
        <v>1.7424107860045157</v>
      </c>
      <c r="K141" s="32">
        <f t="shared" si="195"/>
        <v>1.7833704841761291</v>
      </c>
      <c r="L141" s="32">
        <f t="shared" ref="L141" si="196">IF(L4=0,0,L4/L31)</f>
        <v>1.7585007671819672</v>
      </c>
      <c r="M141" s="32">
        <f t="shared" ref="M141:V141" si="197">IF(M4=0,0,M4/M31)</f>
        <v>1.7730131502450457</v>
      </c>
      <c r="N141" s="32">
        <f t="shared" si="197"/>
        <v>1.7957931633275852</v>
      </c>
      <c r="O141" s="32">
        <f t="shared" si="197"/>
        <v>1.7836579702811364</v>
      </c>
      <c r="P141" s="32">
        <f t="shared" si="197"/>
        <v>1.7762408986089355</v>
      </c>
      <c r="Q141" s="32">
        <f t="shared" si="197"/>
        <v>1.799793942031938</v>
      </c>
      <c r="R141" s="32">
        <f t="shared" si="197"/>
        <v>1.8303594350988102</v>
      </c>
      <c r="S141" s="32">
        <f t="shared" si="197"/>
        <v>1.8355162582090698</v>
      </c>
      <c r="T141" s="32">
        <f t="shared" si="197"/>
        <v>1.8829163252479799</v>
      </c>
      <c r="U141" s="32">
        <f t="shared" si="197"/>
        <v>1.9091299267642017</v>
      </c>
      <c r="V141" s="32">
        <f t="shared" si="197"/>
        <v>1.8480621923308811</v>
      </c>
      <c r="W141" s="32">
        <f t="shared" ref="W141" si="198">IF(W4=0,0,W4/W31)</f>
        <v>1.8792674885620153</v>
      </c>
      <c r="DA141" s="173" t="s">
        <v>551</v>
      </c>
    </row>
    <row r="142" spans="1:105" ht="11.45" customHeight="1" x14ac:dyDescent="0.25">
      <c r="A142" s="136" t="s">
        <v>180</v>
      </c>
      <c r="B142" s="141">
        <v>1.104732169943075</v>
      </c>
      <c r="C142" s="141">
        <v>1.1047109809282738</v>
      </c>
      <c r="D142" s="141">
        <v>1.1045190228750541</v>
      </c>
      <c r="E142" s="141">
        <v>1.1049828872133485</v>
      </c>
      <c r="F142" s="141">
        <v>1.1051308645358422</v>
      </c>
      <c r="G142" s="141">
        <v>1.1041301391394238</v>
      </c>
      <c r="H142" s="141">
        <v>1.1044381305743087</v>
      </c>
      <c r="I142" s="141">
        <v>1.1062108289262302</v>
      </c>
      <c r="J142" s="141">
        <v>1.1067930010199598</v>
      </c>
      <c r="K142" s="141">
        <v>1.1073241407688714</v>
      </c>
      <c r="L142" s="141">
        <v>1.1054217673643154</v>
      </c>
      <c r="M142" s="141">
        <v>1.1044534154591701</v>
      </c>
      <c r="N142" s="141">
        <v>1.0976369526338647</v>
      </c>
      <c r="O142" s="141">
        <v>1.0970722866905216</v>
      </c>
      <c r="P142" s="141">
        <v>1.0994543351777022</v>
      </c>
      <c r="Q142" s="141">
        <v>1.1013545494764962</v>
      </c>
      <c r="R142" s="141">
        <v>1.1026491994361578</v>
      </c>
      <c r="S142" s="141">
        <v>1.1013015035079514</v>
      </c>
      <c r="T142" s="141">
        <v>1.1000337750583542</v>
      </c>
      <c r="U142" s="141">
        <v>1.1010874144175977</v>
      </c>
      <c r="V142" s="141">
        <v>1.0998799240201433</v>
      </c>
      <c r="W142" s="141">
        <v>1.099969783935093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1.5690761176042505</v>
      </c>
      <c r="C143" s="130">
        <f t="shared" si="199"/>
        <v>1.547684505114503</v>
      </c>
      <c r="D143" s="130">
        <f t="shared" si="199"/>
        <v>1.5452376601916089</v>
      </c>
      <c r="E143" s="130">
        <f t="shared" si="199"/>
        <v>1.5715287969427516</v>
      </c>
      <c r="F143" s="130">
        <f t="shared" si="199"/>
        <v>1.6281405688428698</v>
      </c>
      <c r="G143" s="130">
        <f t="shared" si="199"/>
        <v>1.6145432196196261</v>
      </c>
      <c r="H143" s="130">
        <f t="shared" si="199"/>
        <v>1.5028679535948142</v>
      </c>
      <c r="I143" s="130">
        <f t="shared" si="199"/>
        <v>1.544689668314289</v>
      </c>
      <c r="J143" s="130">
        <f t="shared" si="199"/>
        <v>1.4997543711392149</v>
      </c>
      <c r="K143" s="130">
        <f t="shared" si="199"/>
        <v>1.5248252933701614</v>
      </c>
      <c r="L143" s="130">
        <f t="shared" ref="L143" si="200">IF(L6=0,0,L6/L33)</f>
        <v>1.5122417234310934</v>
      </c>
      <c r="M143" s="130">
        <f t="shared" ref="M143:V143" si="201">IF(M6=0,0,M6/M33)</f>
        <v>1.5237789654669087</v>
      </c>
      <c r="N143" s="130">
        <f t="shared" si="201"/>
        <v>1.5469987202421753</v>
      </c>
      <c r="O143" s="130">
        <f t="shared" si="201"/>
        <v>1.5420722002457452</v>
      </c>
      <c r="P143" s="130">
        <f t="shared" si="201"/>
        <v>1.5247915116395647</v>
      </c>
      <c r="Q143" s="130">
        <f t="shared" si="201"/>
        <v>1.5628834877505084</v>
      </c>
      <c r="R143" s="130">
        <f t="shared" si="201"/>
        <v>1.5908345324605919</v>
      </c>
      <c r="S143" s="130">
        <f t="shared" si="201"/>
        <v>1.5817515607994654</v>
      </c>
      <c r="T143" s="130">
        <f t="shared" si="201"/>
        <v>1.610071559866143</v>
      </c>
      <c r="U143" s="130">
        <f t="shared" si="201"/>
        <v>1.6356200112897776</v>
      </c>
      <c r="V143" s="130">
        <f t="shared" si="201"/>
        <v>1.6331282753191616</v>
      </c>
      <c r="W143" s="130">
        <f t="shared" ref="W143" si="202">IF(W6=0,0,W6/W33)</f>
        <v>1.6509849481478707</v>
      </c>
      <c r="DA143" s="176" t="s">
        <v>553</v>
      </c>
    </row>
    <row r="144" spans="1:105" ht="11.45" customHeight="1" x14ac:dyDescent="0.25">
      <c r="A144" s="111" t="s">
        <v>110</v>
      </c>
      <c r="B144" s="96">
        <v>1.555907614977903</v>
      </c>
      <c r="C144" s="96">
        <v>1.5348159591378503</v>
      </c>
      <c r="D144" s="96">
        <v>1.5321318081969586</v>
      </c>
      <c r="E144" s="96">
        <v>1.5577531968434544</v>
      </c>
      <c r="F144" s="96">
        <v>1.6128527313317786</v>
      </c>
      <c r="G144" s="96">
        <v>1.5970400361316499</v>
      </c>
      <c r="H144" s="96">
        <v>1.4860936159859388</v>
      </c>
      <c r="I144" s="96">
        <v>1.5266307309509588</v>
      </c>
      <c r="J144" s="96">
        <v>1.4792471681545298</v>
      </c>
      <c r="K144" s="96">
        <v>1.5006992673559933</v>
      </c>
      <c r="L144" s="96">
        <v>1.4844167872132019</v>
      </c>
      <c r="M144" s="96">
        <v>1.4906898583974411</v>
      </c>
      <c r="N144" s="96">
        <v>1.5109933321273588</v>
      </c>
      <c r="O144" s="96">
        <v>1.5020582397535558</v>
      </c>
      <c r="P144" s="96">
        <v>1.4825786456078984</v>
      </c>
      <c r="Q144" s="96">
        <v>1.51475301628556</v>
      </c>
      <c r="R144" s="96">
        <v>1.5377020036538358</v>
      </c>
      <c r="S144" s="96">
        <v>1.5260218428216576</v>
      </c>
      <c r="T144" s="96">
        <v>1.5514706027172698</v>
      </c>
      <c r="U144" s="96">
        <v>1.5753015275589723</v>
      </c>
      <c r="V144" s="96">
        <v>1.570819691928488</v>
      </c>
      <c r="W144" s="96">
        <v>1.5898748599897974</v>
      </c>
      <c r="DA144" s="171" t="s">
        <v>554</v>
      </c>
    </row>
    <row r="145" spans="1:105" ht="11.45" customHeight="1" x14ac:dyDescent="0.25">
      <c r="A145" s="111" t="s">
        <v>111</v>
      </c>
      <c r="B145" s="96">
        <v>1.6530835056673949</v>
      </c>
      <c r="C145" s="96">
        <v>1.6306745476799351</v>
      </c>
      <c r="D145" s="96">
        <v>1.627822755192776</v>
      </c>
      <c r="E145" s="96">
        <v>1.6550443553418437</v>
      </c>
      <c r="F145" s="96">
        <v>1.7135851907717767</v>
      </c>
      <c r="G145" s="96">
        <v>1.6967848966130186</v>
      </c>
      <c r="H145" s="96">
        <v>1.5789091979595857</v>
      </c>
      <c r="I145" s="96">
        <v>1.6219781022254511</v>
      </c>
      <c r="J145" s="96">
        <v>1.5716351478337505</v>
      </c>
      <c r="K145" s="96">
        <v>1.5944270610620841</v>
      </c>
      <c r="L145" s="96">
        <v>1.577127641034638</v>
      </c>
      <c r="M145" s="96">
        <v>1.5837925036554759</v>
      </c>
      <c r="N145" s="96">
        <v>1.6053640527677637</v>
      </c>
      <c r="O145" s="96">
        <v>1.5958709095486157</v>
      </c>
      <c r="P145" s="96">
        <v>1.575174696309928</v>
      </c>
      <c r="Q145" s="96">
        <v>1.6093585520610456</v>
      </c>
      <c r="R145" s="96">
        <v>1.6337408432234968</v>
      </c>
      <c r="S145" s="96">
        <v>1.6213311853303511</v>
      </c>
      <c r="T145" s="96">
        <v>1.6483693750134349</v>
      </c>
      <c r="U145" s="96">
        <v>1.6736886860068307</v>
      </c>
      <c r="V145" s="96">
        <v>1.6689269324910396</v>
      </c>
      <c r="W145" s="96">
        <v>1.6891722116558425</v>
      </c>
      <c r="DA145" s="171" t="s">
        <v>555</v>
      </c>
    </row>
    <row r="146" spans="1:105" ht="11.45" customHeight="1" x14ac:dyDescent="0.25">
      <c r="A146" s="111" t="s">
        <v>112</v>
      </c>
      <c r="B146" s="96">
        <v>1.5220038340761224</v>
      </c>
      <c r="C146" s="96">
        <v>1.5012539699610679</v>
      </c>
      <c r="D146" s="96">
        <v>1.4988805303858606</v>
      </c>
      <c r="E146" s="96">
        <v>1.5243829330344689</v>
      </c>
      <c r="F146" s="96">
        <v>1.5792963517775838</v>
      </c>
      <c r="G146" s="96">
        <v>1.5661069230310376</v>
      </c>
      <c r="H146" s="96">
        <v>1.4577819149869697</v>
      </c>
      <c r="I146" s="96">
        <v>1.4983489782648602</v>
      </c>
      <c r="J146" s="96">
        <v>1.4547617400050386</v>
      </c>
      <c r="K146" s="96">
        <v>1.4790805345690565</v>
      </c>
      <c r="L146" s="96">
        <v>1.4668744717281605</v>
      </c>
      <c r="M146" s="96">
        <v>1.4780655965029017</v>
      </c>
      <c r="N146" s="96">
        <v>1.50058875863491</v>
      </c>
      <c r="O146" s="96">
        <v>1.4958100342383727</v>
      </c>
      <c r="P146" s="96">
        <v>1.479047766290378</v>
      </c>
      <c r="Q146" s="96">
        <v>1.5159969831179931</v>
      </c>
      <c r="R146" s="96">
        <v>1.5431094964867742</v>
      </c>
      <c r="S146" s="96">
        <v>1.5342990139754817</v>
      </c>
      <c r="T146" s="96">
        <v>1.5617694130701583</v>
      </c>
      <c r="U146" s="96">
        <v>1.5865514109510839</v>
      </c>
      <c r="V146" s="96">
        <v>1.5841344270595867</v>
      </c>
      <c r="W146" s="96">
        <v>1.6014553997034344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1.4636606207044685</v>
      </c>
      <c r="P148" s="96">
        <v>1.447258623828128</v>
      </c>
      <c r="Q148" s="96">
        <v>1.4834136919173644</v>
      </c>
      <c r="R148" s="96">
        <v>1.5099434766078474</v>
      </c>
      <c r="S148" s="96">
        <v>1.5013223576114432</v>
      </c>
      <c r="T148" s="96">
        <v>1.5282023359974595</v>
      </c>
      <c r="U148" s="96">
        <v>1.5524516949203404</v>
      </c>
      <c r="V148" s="96">
        <v>1.5500866592126725</v>
      </c>
      <c r="W148" s="96">
        <v>1.5670353525566156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1.2217389797494604</v>
      </c>
      <c r="L149" s="96">
        <v>1.2116566195172376</v>
      </c>
      <c r="M149" s="96">
        <v>1.2209006282408903</v>
      </c>
      <c r="N149" s="96">
        <v>1.2395050412398816</v>
      </c>
      <c r="O149" s="96">
        <v>1.2355577552522186</v>
      </c>
      <c r="P149" s="96">
        <v>1.2217119127423401</v>
      </c>
      <c r="Q149" s="96">
        <v>1.2522324269499487</v>
      </c>
      <c r="R149" s="96">
        <v>1.2746277013433536</v>
      </c>
      <c r="S149" s="96">
        <v>1.2673501328385506</v>
      </c>
      <c r="T149" s="96">
        <v>1.2900410253077828</v>
      </c>
      <c r="U149" s="96">
        <v>1.3105112648245356</v>
      </c>
      <c r="V149" s="96">
        <v>1.3085148059673921</v>
      </c>
      <c r="W149" s="96">
        <v>1.3228221455284044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33.196468920369398</v>
      </c>
      <c r="C150" s="130">
        <f t="shared" si="203"/>
        <v>33.196014110376034</v>
      </c>
      <c r="D150" s="130">
        <f t="shared" si="203"/>
        <v>32.451675954923019</v>
      </c>
      <c r="E150" s="130">
        <f t="shared" si="203"/>
        <v>31.729730517049116</v>
      </c>
      <c r="F150" s="130">
        <f t="shared" si="203"/>
        <v>31.768461988649644</v>
      </c>
      <c r="G150" s="130">
        <f t="shared" si="203"/>
        <v>30.622494284710449</v>
      </c>
      <c r="H150" s="130">
        <f t="shared" si="203"/>
        <v>28.85275933418475</v>
      </c>
      <c r="I150" s="130">
        <f t="shared" si="203"/>
        <v>27.845350873884886</v>
      </c>
      <c r="J150" s="130">
        <f t="shared" si="203"/>
        <v>26.809160518583834</v>
      </c>
      <c r="K150" s="130">
        <f t="shared" si="203"/>
        <v>28.212299277228162</v>
      </c>
      <c r="L150" s="130">
        <f t="shared" ref="L150" si="204">IF(L13=0,0,L13/L40)</f>
        <v>27.262706586538393</v>
      </c>
      <c r="M150" s="130">
        <f t="shared" ref="M150:V150" si="205">IF(M13=0,0,M13/M40)</f>
        <v>27.671211047435772</v>
      </c>
      <c r="N150" s="130">
        <f t="shared" si="205"/>
        <v>27.210091603778508</v>
      </c>
      <c r="O150" s="130">
        <f t="shared" si="205"/>
        <v>27.2</v>
      </c>
      <c r="P150" s="130">
        <f t="shared" si="205"/>
        <v>27.580965653948688</v>
      </c>
      <c r="Q150" s="130">
        <f t="shared" si="205"/>
        <v>27.200000000000006</v>
      </c>
      <c r="R150" s="130">
        <f t="shared" si="205"/>
        <v>27.282674772036476</v>
      </c>
      <c r="S150" s="130">
        <f t="shared" si="205"/>
        <v>27.199999999999992</v>
      </c>
      <c r="T150" s="130">
        <f t="shared" si="205"/>
        <v>27.200000000000003</v>
      </c>
      <c r="U150" s="130">
        <f t="shared" si="205"/>
        <v>27.200000000000003</v>
      </c>
      <c r="V150" s="130">
        <f t="shared" si="205"/>
        <v>22.666666666666664</v>
      </c>
      <c r="W150" s="130">
        <f t="shared" ref="W150" si="206">IF(W13=0,0,W13/W40)</f>
        <v>25.039701126715329</v>
      </c>
      <c r="DA150" s="176" t="s">
        <v>560</v>
      </c>
    </row>
    <row r="151" spans="1:105" ht="11.45" customHeight="1" x14ac:dyDescent="0.25">
      <c r="A151" s="111" t="s">
        <v>110</v>
      </c>
      <c r="B151" s="97">
        <v>12.767872661680538</v>
      </c>
      <c r="C151" s="97">
        <v>12.767697734760016</v>
      </c>
      <c r="D151" s="97">
        <v>12.481413828816546</v>
      </c>
      <c r="E151" s="97">
        <v>12.203742506557353</v>
      </c>
      <c r="F151" s="97">
        <v>12.21863922640371</v>
      </c>
      <c r="G151" s="97">
        <v>11.777882417196327</v>
      </c>
      <c r="H151" s="97">
        <v>11.097215128532596</v>
      </c>
      <c r="I151" s="97">
        <v>10.709750336109575</v>
      </c>
      <c r="J151" s="97">
        <v>10.311215584070705</v>
      </c>
      <c r="K151" s="97">
        <v>10.850884337395447</v>
      </c>
      <c r="L151" s="97">
        <v>10.485656379437843</v>
      </c>
      <c r="M151" s="97">
        <v>10.64277347978299</v>
      </c>
      <c r="N151" s="97">
        <v>10.465419847607119</v>
      </c>
      <c r="O151" s="97">
        <v>10.461538461538462</v>
      </c>
      <c r="P151" s="97">
        <v>10.60806371305719</v>
      </c>
      <c r="Q151" s="97">
        <v>10.461538461538463</v>
      </c>
      <c r="R151" s="97">
        <v>10.493336450783261</v>
      </c>
      <c r="S151" s="97">
        <v>10.46153846153846</v>
      </c>
      <c r="T151" s="97">
        <v>10.461538461538463</v>
      </c>
      <c r="U151" s="97">
        <v>10.461538461538462</v>
      </c>
      <c r="V151" s="97">
        <v>8.717948717948719</v>
      </c>
      <c r="W151" s="97">
        <v>9.6306542795058956</v>
      </c>
      <c r="DA151" s="175" t="s">
        <v>561</v>
      </c>
    </row>
    <row r="152" spans="1:105" ht="11.45" customHeight="1" x14ac:dyDescent="0.25">
      <c r="A152" s="111" t="s">
        <v>111</v>
      </c>
      <c r="B152" s="97">
        <v>33.616792605516856</v>
      </c>
      <c r="C152" s="97">
        <v>33.563938485814525</v>
      </c>
      <c r="D152" s="97">
        <v>32.772208450594107</v>
      </c>
      <c r="E152" s="97">
        <v>31.995604807519513</v>
      </c>
      <c r="F152" s="97">
        <v>31.993347951938748</v>
      </c>
      <c r="G152" s="97">
        <v>30.803730651430769</v>
      </c>
      <c r="H152" s="97">
        <v>28.99028177962191</v>
      </c>
      <c r="I152" s="97">
        <v>27.955935075758468</v>
      </c>
      <c r="J152" s="97">
        <v>26.895235152156484</v>
      </c>
      <c r="K152" s="97">
        <v>28.288032263254053</v>
      </c>
      <c r="L152" s="97">
        <v>27.322162022097331</v>
      </c>
      <c r="M152" s="97">
        <v>27.720397366581093</v>
      </c>
      <c r="N152" s="97">
        <v>27.247178972126878</v>
      </c>
      <c r="O152" s="97">
        <v>27.237031474984505</v>
      </c>
      <c r="P152" s="97">
        <v>27.617907480086814</v>
      </c>
      <c r="Q152" s="97">
        <v>27.230742158469226</v>
      </c>
      <c r="R152" s="97">
        <v>27.306861952154598</v>
      </c>
      <c r="S152" s="97">
        <v>27.227781662561565</v>
      </c>
      <c r="T152" s="97">
        <v>27.217623721943422</v>
      </c>
      <c r="U152" s="97">
        <v>27.221270179465712</v>
      </c>
      <c r="V152" s="97">
        <v>22.686232933763716</v>
      </c>
      <c r="W152" s="97">
        <v>25.059146059343643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33.563938485814525</v>
      </c>
      <c r="D153" s="97">
        <v>32.7722084505941</v>
      </c>
      <c r="E153" s="97">
        <v>31.995604807519513</v>
      </c>
      <c r="F153" s="97">
        <v>31.993347951938745</v>
      </c>
      <c r="G153" s="97">
        <v>30.803730651430772</v>
      </c>
      <c r="H153" s="97">
        <v>28.99028177962191</v>
      </c>
      <c r="I153" s="97">
        <v>27.955935075758468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26.895235152156484</v>
      </c>
      <c r="K155" s="97">
        <v>28.288032263254049</v>
      </c>
      <c r="L155" s="97">
        <v>27.322162022097331</v>
      </c>
      <c r="M155" s="97">
        <v>27.720397366581093</v>
      </c>
      <c r="N155" s="97">
        <v>27.247178972126878</v>
      </c>
      <c r="O155" s="97">
        <v>27.237031474984505</v>
      </c>
      <c r="P155" s="97">
        <v>27.617907480086821</v>
      </c>
      <c r="Q155" s="97">
        <v>27.230742158469223</v>
      </c>
      <c r="R155" s="97">
        <v>27.306861952154602</v>
      </c>
      <c r="S155" s="97">
        <v>27.227781662561569</v>
      </c>
      <c r="T155" s="97">
        <v>27.217623721943419</v>
      </c>
      <c r="U155" s="97">
        <v>27.221270179465712</v>
      </c>
      <c r="V155" s="97">
        <v>22.686232933763716</v>
      </c>
      <c r="W155" s="97">
        <v>25.059146059343643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1.9827742097627543</v>
      </c>
      <c r="C156" s="32">
        <f t="shared" si="207"/>
        <v>2.0385996698789586</v>
      </c>
      <c r="D156" s="32">
        <f t="shared" si="207"/>
        <v>2.1440927839173871</v>
      </c>
      <c r="E156" s="32">
        <f t="shared" si="207"/>
        <v>2.2097695770759964</v>
      </c>
      <c r="F156" s="32">
        <f t="shared" si="207"/>
        <v>2.2764626340608567</v>
      </c>
      <c r="G156" s="32">
        <f t="shared" si="207"/>
        <v>2.2434274201410895</v>
      </c>
      <c r="H156" s="32">
        <f t="shared" si="207"/>
        <v>2.1568460728487762</v>
      </c>
      <c r="I156" s="32">
        <f t="shared" si="207"/>
        <v>2.1474914180198326</v>
      </c>
      <c r="J156" s="32">
        <f t="shared" si="207"/>
        <v>2.0393866555711444</v>
      </c>
      <c r="K156" s="32">
        <f t="shared" si="207"/>
        <v>1.6355524910343406</v>
      </c>
      <c r="L156" s="32">
        <f t="shared" ref="L156" si="208">IF(L19=0,0,L19/L46)</f>
        <v>1.6801454756044587</v>
      </c>
      <c r="M156" s="32">
        <f t="shared" ref="M156:V156" si="209">IF(M19=0,0,M19/M46)</f>
        <v>1.6326243039132562</v>
      </c>
      <c r="N156" s="32">
        <f t="shared" si="209"/>
        <v>1.6604274505522991</v>
      </c>
      <c r="O156" s="32">
        <f t="shared" si="209"/>
        <v>1.6005934292096227</v>
      </c>
      <c r="P156" s="32">
        <f t="shared" si="209"/>
        <v>1.6827849618407478</v>
      </c>
      <c r="Q156" s="32">
        <f t="shared" si="209"/>
        <v>1.7652898642289212</v>
      </c>
      <c r="R156" s="32">
        <f t="shared" si="209"/>
        <v>1.9348162846769386</v>
      </c>
      <c r="S156" s="32">
        <f t="shared" si="209"/>
        <v>1.9426562967190786</v>
      </c>
      <c r="T156" s="32">
        <f t="shared" si="209"/>
        <v>1.95053702753534</v>
      </c>
      <c r="U156" s="32">
        <f t="shared" si="209"/>
        <v>2.0496503536291737</v>
      </c>
      <c r="V156" s="32">
        <f t="shared" si="209"/>
        <v>1.8550848983368085</v>
      </c>
      <c r="W156" s="32">
        <f t="shared" ref="W156" si="210">IF(W19=0,0,W19/W46)</f>
        <v>1.9561720705906716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0.43735554068274868</v>
      </c>
      <c r="C157" s="141">
        <f t="shared" si="211"/>
        <v>0.43810043150403361</v>
      </c>
      <c r="D157" s="141">
        <f t="shared" si="211"/>
        <v>0.43884197977953443</v>
      </c>
      <c r="E157" s="141">
        <f t="shared" si="211"/>
        <v>0.4395881351240527</v>
      </c>
      <c r="F157" s="141">
        <f t="shared" si="211"/>
        <v>0.44036946903885832</v>
      </c>
      <c r="G157" s="141">
        <f t="shared" si="211"/>
        <v>0.44117010895016417</v>
      </c>
      <c r="H157" s="141">
        <f t="shared" si="211"/>
        <v>0.44190319435657627</v>
      </c>
      <c r="I157" s="141">
        <f t="shared" si="211"/>
        <v>0.44265862004338025</v>
      </c>
      <c r="J157" s="141">
        <f t="shared" si="211"/>
        <v>0.44359124686032986</v>
      </c>
      <c r="K157" s="141">
        <f t="shared" si="211"/>
        <v>0.44481809569688474</v>
      </c>
      <c r="L157" s="141">
        <f t="shared" ref="L157" si="212">IF(L20=0,0,L20/L47)</f>
        <v>0.44686874559586576</v>
      </c>
      <c r="M157" s="141">
        <f t="shared" ref="M157:V157" si="213">IF(M20=0,0,M20/M47)</f>
        <v>0.44713053971308148</v>
      </c>
      <c r="N157" s="141">
        <f t="shared" si="213"/>
        <v>0.44918040884672361</v>
      </c>
      <c r="O157" s="141">
        <f t="shared" si="213"/>
        <v>0.44727108083692851</v>
      </c>
      <c r="P157" s="141">
        <f t="shared" si="213"/>
        <v>0.44695953149334472</v>
      </c>
      <c r="Q157" s="141">
        <f t="shared" si="213"/>
        <v>0.44899812996835797</v>
      </c>
      <c r="R157" s="141">
        <f t="shared" si="213"/>
        <v>0.449086425539927</v>
      </c>
      <c r="S157" s="141">
        <f t="shared" si="213"/>
        <v>0.45006976073698818</v>
      </c>
      <c r="T157" s="141">
        <f t="shared" si="213"/>
        <v>0.44908280955173113</v>
      </c>
      <c r="U157" s="141">
        <f t="shared" si="213"/>
        <v>0.45056999273376869</v>
      </c>
      <c r="V157" s="141">
        <f t="shared" si="213"/>
        <v>0.45241569025488876</v>
      </c>
      <c r="W157" s="141">
        <f t="shared" ref="W157" si="214">IF(W20=0,0,W20/W47)</f>
        <v>0.45049877302998376</v>
      </c>
      <c r="DA157" s="174" t="s">
        <v>567</v>
      </c>
    </row>
    <row r="158" spans="1:105" ht="11.45" customHeight="1" x14ac:dyDescent="0.25">
      <c r="A158" s="111" t="s">
        <v>110</v>
      </c>
      <c r="B158" s="96">
        <v>0.3507299102032802</v>
      </c>
      <c r="C158" s="96">
        <v>0.35118409751746144</v>
      </c>
      <c r="D158" s="96">
        <v>0.35167104321436116</v>
      </c>
      <c r="E158" s="96">
        <v>0.35215536889586568</v>
      </c>
      <c r="F158" s="96">
        <v>0.35267277179679535</v>
      </c>
      <c r="G158" s="96">
        <v>0.35317874636211583</v>
      </c>
      <c r="H158" s="96">
        <v>0.35366679920433913</v>
      </c>
      <c r="I158" s="96">
        <v>0.35420703030386264</v>
      </c>
      <c r="J158" s="96">
        <v>0.35493374790204923</v>
      </c>
      <c r="K158" s="96">
        <v>0.35580397471998426</v>
      </c>
      <c r="L158" s="96">
        <v>0.35671828053636973</v>
      </c>
      <c r="M158" s="96">
        <v>0.35700260412604601</v>
      </c>
      <c r="N158" s="96">
        <v>0.35790981162973268</v>
      </c>
      <c r="O158" s="96">
        <v>0.35709003443001724</v>
      </c>
      <c r="P158" s="96">
        <v>0.35755285227665451</v>
      </c>
      <c r="Q158" s="96">
        <v>0.35917714285714292</v>
      </c>
      <c r="R158" s="96">
        <v>0.35923896890366108</v>
      </c>
      <c r="S158" s="96">
        <v>0.3600322283928028</v>
      </c>
      <c r="T158" s="96">
        <v>0.35924448310262647</v>
      </c>
      <c r="U158" s="96">
        <v>0.36003552679507039</v>
      </c>
      <c r="V158" s="96">
        <v>0.36081800926648816</v>
      </c>
      <c r="W158" s="96">
        <v>0.36000910184110207</v>
      </c>
      <c r="DA158" s="171" t="s">
        <v>568</v>
      </c>
    </row>
    <row r="159" spans="1:105" ht="11.45" customHeight="1" x14ac:dyDescent="0.25">
      <c r="A159" s="111" t="s">
        <v>111</v>
      </c>
      <c r="B159" s="96">
        <v>0.43854730789246338</v>
      </c>
      <c r="C159" s="96">
        <v>0.43911521675372267</v>
      </c>
      <c r="D159" s="96">
        <v>0.43972408619500125</v>
      </c>
      <c r="E159" s="96">
        <v>0.44032967960915825</v>
      </c>
      <c r="F159" s="96">
        <v>0.44097663227186934</v>
      </c>
      <c r="G159" s="96">
        <v>0.44160929511877267</v>
      </c>
      <c r="H159" s="96">
        <v>0.44221954891760684</v>
      </c>
      <c r="I159" s="96">
        <v>0.44289504561020004</v>
      </c>
      <c r="J159" s="96">
        <v>0.44380372216446978</v>
      </c>
      <c r="K159" s="96">
        <v>0.44502017234812613</v>
      </c>
      <c r="L159" s="96">
        <v>0.44705251553987796</v>
      </c>
      <c r="M159" s="96">
        <v>0.44728876576303289</v>
      </c>
      <c r="N159" s="96">
        <v>0.44931869134515018</v>
      </c>
      <c r="O159" s="96">
        <v>0.44739830724060659</v>
      </c>
      <c r="P159" s="96">
        <v>0.447078610159927</v>
      </c>
      <c r="Q159" s="96">
        <v>0.44910959822392027</v>
      </c>
      <c r="R159" s="96">
        <v>0.44918690456555066</v>
      </c>
      <c r="S159" s="96">
        <v>0.45017878408110612</v>
      </c>
      <c r="T159" s="96">
        <v>0.44919379943548077</v>
      </c>
      <c r="U159" s="96">
        <v>0.4506937586541736</v>
      </c>
      <c r="V159" s="96">
        <v>0.45258207970049175</v>
      </c>
      <c r="W159" s="96">
        <v>0.45066969355682251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0.35786379523773015</v>
      </c>
      <c r="P160" s="96">
        <v>0.35830652014671865</v>
      </c>
      <c r="Q160" s="96">
        <v>0.35917714285714292</v>
      </c>
      <c r="R160" s="96">
        <v>0.35991921506490404</v>
      </c>
      <c r="S160" s="96">
        <v>0.36067781308091168</v>
      </c>
      <c r="T160" s="96">
        <v>0.35992448858355891</v>
      </c>
      <c r="U160" s="96">
        <v>0.36068096720077236</v>
      </c>
      <c r="V160" s="96">
        <v>0.36142918436008187</v>
      </c>
      <c r="W160" s="96">
        <v>0.3606556981198516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0.45587718760059587</v>
      </c>
      <c r="N162" s="96">
        <v>0.45582459990354712</v>
      </c>
      <c r="O162" s="96">
        <v>0.45577709127231192</v>
      </c>
      <c r="P162" s="96">
        <v>0.45575025834181776</v>
      </c>
      <c r="Q162" s="96">
        <v>0.45569759229534512</v>
      </c>
      <c r="R162" s="96">
        <v>0.45574238094904129</v>
      </c>
      <c r="S162" s="96">
        <v>0.45578807622301953</v>
      </c>
      <c r="T162" s="96">
        <v>0.45583345804043079</v>
      </c>
      <c r="U162" s="96">
        <v>0.4558790342161369</v>
      </c>
      <c r="V162" s="96">
        <v>0.45655433524876304</v>
      </c>
      <c r="W162" s="96">
        <v>0.45588055515754383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4.9641669783924804</v>
      </c>
      <c r="C163" s="130">
        <f t="shared" si="215"/>
        <v>5.2987268125703597</v>
      </c>
      <c r="D163" s="130">
        <f t="shared" si="215"/>
        <v>5.40577504869555</v>
      </c>
      <c r="E163" s="130">
        <f t="shared" si="215"/>
        <v>5.6484933487614706</v>
      </c>
      <c r="F163" s="130">
        <f t="shared" si="215"/>
        <v>5.7228268487252008</v>
      </c>
      <c r="G163" s="130">
        <f t="shared" si="215"/>
        <v>5.5592450997824141</v>
      </c>
      <c r="H163" s="130">
        <f t="shared" si="215"/>
        <v>5.5461817334068257</v>
      </c>
      <c r="I163" s="130">
        <f t="shared" si="215"/>
        <v>5.5339631175592237</v>
      </c>
      <c r="J163" s="130">
        <f t="shared" si="215"/>
        <v>5.4893615537543985</v>
      </c>
      <c r="K163" s="130">
        <f t="shared" si="215"/>
        <v>5.1682128210188889</v>
      </c>
      <c r="L163" s="130">
        <f t="shared" ref="L163" si="216">IF(L26=0,0,L26/L53)</f>
        <v>5.2471726927471183</v>
      </c>
      <c r="M163" s="130">
        <f t="shared" ref="M163:V163" si="217">IF(M26=0,0,M26/M53)</f>
        <v>5.1650057319281863</v>
      </c>
      <c r="N163" s="130">
        <f t="shared" si="217"/>
        <v>5.1554361617869784</v>
      </c>
      <c r="O163" s="130">
        <f t="shared" si="217"/>
        <v>5.0798416987813519</v>
      </c>
      <c r="P163" s="130">
        <f t="shared" si="217"/>
        <v>5.2561335159345894</v>
      </c>
      <c r="Q163" s="130">
        <f t="shared" si="217"/>
        <v>5.3500978703451496</v>
      </c>
      <c r="R163" s="130">
        <f t="shared" si="217"/>
        <v>5.4446794930407396</v>
      </c>
      <c r="S163" s="130">
        <f t="shared" si="217"/>
        <v>5.3877326240598054</v>
      </c>
      <c r="T163" s="130">
        <f t="shared" si="217"/>
        <v>5.3771926175756084</v>
      </c>
      <c r="U163" s="130">
        <f t="shared" si="217"/>
        <v>5.4246981861031465</v>
      </c>
      <c r="V163" s="130">
        <f t="shared" si="217"/>
        <v>5.2384360769864777</v>
      </c>
      <c r="W163" s="130">
        <f t="shared" ref="W163" si="218">IF(W26=0,0,W26/W53)</f>
        <v>5.316487605065376</v>
      </c>
      <c r="DA163" s="176" t="s">
        <v>573</v>
      </c>
    </row>
    <row r="164" spans="1:105" ht="11.45" customHeight="1" x14ac:dyDescent="0.25">
      <c r="A164" s="128" t="s">
        <v>27</v>
      </c>
      <c r="B164" s="97">
        <v>4.5458015267175576</v>
      </c>
      <c r="C164" s="97">
        <v>4.875467664350615</v>
      </c>
      <c r="D164" s="97">
        <v>5.0168302945301546</v>
      </c>
      <c r="E164" s="97">
        <v>5.2856510186005314</v>
      </c>
      <c r="F164" s="97">
        <v>5.3462783171521036</v>
      </c>
      <c r="G164" s="97">
        <v>5.1942793462109957</v>
      </c>
      <c r="H164" s="97">
        <v>5.1650485436893208</v>
      </c>
      <c r="I164" s="97">
        <v>5.1400071250445318</v>
      </c>
      <c r="J164" s="97">
        <v>5.1196449247394824</v>
      </c>
      <c r="K164" s="97">
        <v>4.7023875624652973</v>
      </c>
      <c r="L164" s="97">
        <v>4.7274295572167917</v>
      </c>
      <c r="M164" s="97">
        <v>4.5604395604395602</v>
      </c>
      <c r="N164" s="97">
        <v>4.605214152700186</v>
      </c>
      <c r="O164" s="97">
        <v>4.5412208936438008</v>
      </c>
      <c r="P164" s="97">
        <v>4.7496917385943282</v>
      </c>
      <c r="Q164" s="97">
        <v>4.7930821494749845</v>
      </c>
      <c r="R164" s="97">
        <v>5.0140464613722315</v>
      </c>
      <c r="S164" s="97">
        <v>4.9659211927582536</v>
      </c>
      <c r="T164" s="97">
        <v>4.9142707788813382</v>
      </c>
      <c r="U164" s="97">
        <v>4.9319526627218933</v>
      </c>
      <c r="V164" s="97">
        <v>5.0355753196220121</v>
      </c>
      <c r="W164" s="97">
        <v>5.1266900350525786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14.115262081857324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13.886790192476637</v>
      </c>
      <c r="W165" s="98">
        <v>14.040774681152573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17675.748826909181</v>
      </c>
      <c r="C167" s="54">
        <f t="shared" si="219"/>
        <v>17653.334174192834</v>
      </c>
      <c r="D167" s="54">
        <f t="shared" si="219"/>
        <v>17666.112586570449</v>
      </c>
      <c r="E167" s="54">
        <f t="shared" si="219"/>
        <v>17662.06321345333</v>
      </c>
      <c r="F167" s="54">
        <f t="shared" si="219"/>
        <v>17701.81293504142</v>
      </c>
      <c r="G167" s="54">
        <f t="shared" si="219"/>
        <v>17735.473677322556</v>
      </c>
      <c r="H167" s="54">
        <f t="shared" si="219"/>
        <v>17332.880772266504</v>
      </c>
      <c r="I167" s="54">
        <f t="shared" si="219"/>
        <v>17471.367134070664</v>
      </c>
      <c r="J167" s="54">
        <f t="shared" si="219"/>
        <v>17288.09791184236</v>
      </c>
      <c r="K167" s="54">
        <f t="shared" si="219"/>
        <v>16943.840524179363</v>
      </c>
      <c r="L167" s="54">
        <f t="shared" si="219"/>
        <v>17017.270990112142</v>
      </c>
      <c r="M167" s="54">
        <f>IF(M30=0,0,M30*1000000/M57)</f>
        <v>16523.234301114866</v>
      </c>
      <c r="N167" s="54">
        <f t="shared" ref="N167:V167" si="220">IF(N30=0,0,N30*1000000/N57)</f>
        <v>16097.710872417345</v>
      </c>
      <c r="O167" s="54">
        <f t="shared" si="220"/>
        <v>16364.364515121199</v>
      </c>
      <c r="P167" s="54">
        <f t="shared" si="220"/>
        <v>16008.369294067557</v>
      </c>
      <c r="Q167" s="54">
        <f t="shared" si="220"/>
        <v>16575.13771446687</v>
      </c>
      <c r="R167" s="54">
        <f t="shared" si="220"/>
        <v>16913.218444419443</v>
      </c>
      <c r="S167" s="54">
        <f t="shared" si="220"/>
        <v>17063.155518504893</v>
      </c>
      <c r="T167" s="54">
        <f t="shared" si="220"/>
        <v>16722.75613337347</v>
      </c>
      <c r="U167" s="54">
        <f t="shared" si="220"/>
        <v>16426.074614832734</v>
      </c>
      <c r="V167" s="54">
        <f t="shared" si="220"/>
        <v>14221.817495399999</v>
      </c>
      <c r="W167" s="54">
        <f t="shared" ref="W167:W191" si="221">IF(W30=0,0,W30*1000000/W57)</f>
        <v>14752.063568097114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16445.992598923465</v>
      </c>
      <c r="C168" s="28">
        <f t="shared" si="219"/>
        <v>16531.514191130656</v>
      </c>
      <c r="D168" s="28">
        <f t="shared" si="219"/>
        <v>16403.332207455587</v>
      </c>
      <c r="E168" s="28">
        <f t="shared" si="219"/>
        <v>16361.74445711672</v>
      </c>
      <c r="F168" s="28">
        <f t="shared" si="219"/>
        <v>16320.515394432383</v>
      </c>
      <c r="G168" s="28">
        <f t="shared" si="219"/>
        <v>16356.082228904197</v>
      </c>
      <c r="H168" s="28">
        <f t="shared" si="219"/>
        <v>16121.394056987032</v>
      </c>
      <c r="I168" s="28">
        <f t="shared" si="219"/>
        <v>16316.12619886605</v>
      </c>
      <c r="J168" s="28">
        <f t="shared" si="219"/>
        <v>16130.476660697786</v>
      </c>
      <c r="K168" s="28">
        <f t="shared" si="219"/>
        <v>16082.312258801916</v>
      </c>
      <c r="L168" s="28">
        <f t="shared" si="219"/>
        <v>16236.942567091337</v>
      </c>
      <c r="M168" s="28">
        <f t="shared" ref="M168:M192" si="222">IF(M31=0,0,M31*1000000/M58)</f>
        <v>15712.069806499801</v>
      </c>
      <c r="N168" s="28">
        <f t="shared" si="219"/>
        <v>15297.208368387221</v>
      </c>
      <c r="O168" s="28">
        <f t="shared" si="219"/>
        <v>15558.20407072795</v>
      </c>
      <c r="P168" s="28">
        <f t="shared" si="219"/>
        <v>15190.048932014723</v>
      </c>
      <c r="Q168" s="28">
        <f t="shared" si="219"/>
        <v>15960.623827880419</v>
      </c>
      <c r="R168" s="28">
        <f t="shared" si="219"/>
        <v>16282.74885862291</v>
      </c>
      <c r="S168" s="28">
        <f t="shared" si="219"/>
        <v>16510.038997262287</v>
      </c>
      <c r="T168" s="28">
        <f t="shared" si="219"/>
        <v>16102.297547657274</v>
      </c>
      <c r="U168" s="28">
        <f t="shared" si="219"/>
        <v>15771.271219424352</v>
      </c>
      <c r="V168" s="28">
        <f t="shared" si="219"/>
        <v>13438.041142830891</v>
      </c>
      <c r="W168" s="28">
        <f t="shared" si="221"/>
        <v>13942.87228626781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3540.6241267375694</v>
      </c>
      <c r="C169" s="137">
        <f t="shared" si="219"/>
        <v>3570.5642606317356</v>
      </c>
      <c r="D169" s="137">
        <f t="shared" si="219"/>
        <v>3550.3660444072616</v>
      </c>
      <c r="E169" s="137">
        <f t="shared" si="219"/>
        <v>3602.034026367282</v>
      </c>
      <c r="F169" s="137">
        <f t="shared" si="219"/>
        <v>3505.2924993565316</v>
      </c>
      <c r="G169" s="137">
        <f t="shared" si="219"/>
        <v>4366.1101643415395</v>
      </c>
      <c r="H169" s="137">
        <f t="shared" si="219"/>
        <v>4227.634110758092</v>
      </c>
      <c r="I169" s="137">
        <f t="shared" si="219"/>
        <v>4015.3506134283834</v>
      </c>
      <c r="J169" s="137">
        <f t="shared" si="219"/>
        <v>4039.5072028135005</v>
      </c>
      <c r="K169" s="137">
        <f t="shared" si="219"/>
        <v>3698.5495510066735</v>
      </c>
      <c r="L169" s="137">
        <f t="shared" si="219"/>
        <v>3357.1280478759463</v>
      </c>
      <c r="M169" s="137">
        <f t="shared" si="222"/>
        <v>3213.4355694057185</v>
      </c>
      <c r="N169" s="137">
        <f t="shared" si="219"/>
        <v>3019.4268785962513</v>
      </c>
      <c r="O169" s="137">
        <f t="shared" si="219"/>
        <v>2878.2825770457353</v>
      </c>
      <c r="P169" s="137">
        <f t="shared" si="219"/>
        <v>3324.3678922893132</v>
      </c>
      <c r="Q169" s="137">
        <f t="shared" si="219"/>
        <v>3133.9459574688431</v>
      </c>
      <c r="R169" s="137">
        <f t="shared" si="219"/>
        <v>3168.1426554837803</v>
      </c>
      <c r="S169" s="137">
        <f t="shared" si="219"/>
        <v>2878.8047122985477</v>
      </c>
      <c r="T169" s="137">
        <f t="shared" si="219"/>
        <v>2715.872264010583</v>
      </c>
      <c r="U169" s="137">
        <f t="shared" si="219"/>
        <v>2749.9677580489165</v>
      </c>
      <c r="V169" s="137">
        <f t="shared" si="219"/>
        <v>2358.5848752662591</v>
      </c>
      <c r="W169" s="137">
        <f t="shared" si="221"/>
        <v>2367.5811652828329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16689.082437854555</v>
      </c>
      <c r="C170" s="110">
        <f t="shared" si="219"/>
        <v>16778.580280499427</v>
      </c>
      <c r="D170" s="110">
        <f t="shared" si="219"/>
        <v>16635.707963389941</v>
      </c>
      <c r="E170" s="110">
        <f t="shared" si="219"/>
        <v>16593.203496281381</v>
      </c>
      <c r="F170" s="110">
        <f t="shared" si="219"/>
        <v>16539.103167272191</v>
      </c>
      <c r="G170" s="110">
        <f t="shared" si="219"/>
        <v>16538.52664983027</v>
      </c>
      <c r="H170" s="110">
        <f t="shared" si="219"/>
        <v>16277.388774531135</v>
      </c>
      <c r="I170" s="110">
        <f t="shared" si="219"/>
        <v>16488.573516127501</v>
      </c>
      <c r="J170" s="110">
        <f t="shared" si="219"/>
        <v>16294.595300165796</v>
      </c>
      <c r="K170" s="110">
        <f t="shared" si="219"/>
        <v>16254.312459707869</v>
      </c>
      <c r="L170" s="110">
        <f t="shared" si="219"/>
        <v>16413.721376347868</v>
      </c>
      <c r="M170" s="110">
        <f t="shared" si="222"/>
        <v>15870.020695798836</v>
      </c>
      <c r="N170" s="110">
        <f t="shared" si="219"/>
        <v>15443.30365404513</v>
      </c>
      <c r="O170" s="110">
        <f t="shared" si="219"/>
        <v>15721.379461859095</v>
      </c>
      <c r="P170" s="110">
        <f t="shared" si="219"/>
        <v>15332.402928353722</v>
      </c>
      <c r="Q170" s="110">
        <f t="shared" si="219"/>
        <v>16123.177992927045</v>
      </c>
      <c r="R170" s="110">
        <f t="shared" si="219"/>
        <v>16452.074920983385</v>
      </c>
      <c r="S170" s="110">
        <f t="shared" si="219"/>
        <v>16687.362323480491</v>
      </c>
      <c r="T170" s="110">
        <f t="shared" si="219"/>
        <v>16264.191865907733</v>
      </c>
      <c r="U170" s="110">
        <f t="shared" si="219"/>
        <v>15933.78861065389</v>
      </c>
      <c r="V170" s="110">
        <f t="shared" si="219"/>
        <v>13582.841667218941</v>
      </c>
      <c r="W170" s="110">
        <f t="shared" si="221"/>
        <v>14112.283918318561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16594.104336686229</v>
      </c>
      <c r="C171" s="84">
        <f t="shared" si="219"/>
        <v>16676.043573406969</v>
      </c>
      <c r="D171" s="84">
        <f t="shared" si="219"/>
        <v>16547.228449748207</v>
      </c>
      <c r="E171" s="84">
        <f t="shared" si="219"/>
        <v>16468.216179058349</v>
      </c>
      <c r="F171" s="84">
        <f t="shared" si="219"/>
        <v>16311.392615893084</v>
      </c>
      <c r="G171" s="84">
        <f t="shared" si="219"/>
        <v>16309.143479966628</v>
      </c>
      <c r="H171" s="84">
        <f t="shared" si="219"/>
        <v>16252.971815747818</v>
      </c>
      <c r="I171" s="84">
        <f t="shared" si="219"/>
        <v>16285.870935046916</v>
      </c>
      <c r="J171" s="84">
        <f t="shared" si="219"/>
        <v>16098.503956861263</v>
      </c>
      <c r="K171" s="84">
        <f t="shared" si="219"/>
        <v>15801.19533270765</v>
      </c>
      <c r="L171" s="84">
        <f t="shared" si="219"/>
        <v>15748.076104449592</v>
      </c>
      <c r="M171" s="84">
        <f t="shared" si="222"/>
        <v>14825.385827161963</v>
      </c>
      <c r="N171" s="84">
        <f t="shared" si="219"/>
        <v>14511.615639761902</v>
      </c>
      <c r="O171" s="84">
        <f t="shared" si="219"/>
        <v>14436.836217074231</v>
      </c>
      <c r="P171" s="84">
        <f t="shared" si="219"/>
        <v>14150.116923480537</v>
      </c>
      <c r="Q171" s="84">
        <f t="shared" si="219"/>
        <v>14276.626843238453</v>
      </c>
      <c r="R171" s="84">
        <f t="shared" si="219"/>
        <v>14318.695555260794</v>
      </c>
      <c r="S171" s="84">
        <f t="shared" si="219"/>
        <v>14630.927634992828</v>
      </c>
      <c r="T171" s="84">
        <f t="shared" si="219"/>
        <v>14412.035804331708</v>
      </c>
      <c r="U171" s="84">
        <f t="shared" si="219"/>
        <v>14359.230137277566</v>
      </c>
      <c r="V171" s="84">
        <f t="shared" si="219"/>
        <v>11731.997819366419</v>
      </c>
      <c r="W171" s="84">
        <f t="shared" si="221"/>
        <v>12319.151691093861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17317.748572488774</v>
      </c>
      <c r="C172" s="84">
        <f t="shared" si="219"/>
        <v>17469.228822508696</v>
      </c>
      <c r="D172" s="84">
        <f t="shared" si="219"/>
        <v>17214.02240737473</v>
      </c>
      <c r="E172" s="84">
        <f t="shared" si="219"/>
        <v>17389.927894167555</v>
      </c>
      <c r="F172" s="84">
        <f t="shared" si="219"/>
        <v>17931.415860575373</v>
      </c>
      <c r="G172" s="84">
        <f t="shared" si="219"/>
        <v>17703.639966511393</v>
      </c>
      <c r="H172" s="84">
        <f t="shared" si="219"/>
        <v>16389.110153251509</v>
      </c>
      <c r="I172" s="84">
        <f t="shared" si="219"/>
        <v>17413.337155563237</v>
      </c>
      <c r="J172" s="84">
        <f t="shared" si="219"/>
        <v>17020.268360686317</v>
      </c>
      <c r="K172" s="84">
        <f t="shared" si="219"/>
        <v>17718.41750882726</v>
      </c>
      <c r="L172" s="84">
        <f t="shared" si="219"/>
        <v>18206.33718209916</v>
      </c>
      <c r="M172" s="84">
        <f t="shared" si="222"/>
        <v>18178.380340370437</v>
      </c>
      <c r="N172" s="84">
        <f t="shared" si="219"/>
        <v>17219.495497670701</v>
      </c>
      <c r="O172" s="84">
        <f t="shared" si="219"/>
        <v>17847.751841167752</v>
      </c>
      <c r="P172" s="84">
        <f t="shared" si="219"/>
        <v>17015.112280138888</v>
      </c>
      <c r="Q172" s="84">
        <f t="shared" si="219"/>
        <v>18393.735641231382</v>
      </c>
      <c r="R172" s="84">
        <f t="shared" si="219"/>
        <v>18665.985310384414</v>
      </c>
      <c r="S172" s="84">
        <f t="shared" si="219"/>
        <v>18502.709059881152</v>
      </c>
      <c r="T172" s="84">
        <f t="shared" si="219"/>
        <v>17706.010338767956</v>
      </c>
      <c r="U172" s="84">
        <f t="shared" si="219"/>
        <v>17042.809262327548</v>
      </c>
      <c r="V172" s="84">
        <f t="shared" si="219"/>
        <v>14804.023627412093</v>
      </c>
      <c r="W172" s="84">
        <f t="shared" si="221"/>
        <v>15240.002095111498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16742.734533768689</v>
      </c>
      <c r="C173" s="84">
        <f t="shared" si="219"/>
        <v>16720.293222068725</v>
      </c>
      <c r="D173" s="84">
        <f t="shared" si="219"/>
        <v>16640.78822013197</v>
      </c>
      <c r="E173" s="84">
        <f t="shared" si="219"/>
        <v>16978.944340022164</v>
      </c>
      <c r="F173" s="84">
        <f t="shared" si="219"/>
        <v>17682.711442177879</v>
      </c>
      <c r="G173" s="84">
        <f t="shared" si="219"/>
        <v>17632.675692343433</v>
      </c>
      <c r="H173" s="84">
        <f t="shared" si="219"/>
        <v>16160.180963766494</v>
      </c>
      <c r="I173" s="84">
        <f t="shared" si="219"/>
        <v>16998.40017034363</v>
      </c>
      <c r="J173" s="84">
        <f t="shared" si="219"/>
        <v>16464.487490957144</v>
      </c>
      <c r="K173" s="84">
        <f t="shared" si="219"/>
        <v>16968.440842354634</v>
      </c>
      <c r="L173" s="84">
        <f t="shared" si="219"/>
        <v>17261.351005175075</v>
      </c>
      <c r="M173" s="84">
        <f t="shared" si="222"/>
        <v>17062.496789773504</v>
      </c>
      <c r="N173" s="84">
        <f t="shared" si="219"/>
        <v>16000.84855404082</v>
      </c>
      <c r="O173" s="84">
        <f t="shared" si="219"/>
        <v>16714.314754847022</v>
      </c>
      <c r="P173" s="84">
        <f t="shared" si="219"/>
        <v>16093.898224153225</v>
      </c>
      <c r="Q173" s="84">
        <f t="shared" si="219"/>
        <v>17571.86044635591</v>
      </c>
      <c r="R173" s="84">
        <f t="shared" si="219"/>
        <v>18012.066022787538</v>
      </c>
      <c r="S173" s="84">
        <f t="shared" si="219"/>
        <v>17934.705510191692</v>
      </c>
      <c r="T173" s="84">
        <f t="shared" si="219"/>
        <v>16992.538776723737</v>
      </c>
      <c r="U173" s="84">
        <f t="shared" si="219"/>
        <v>16194.120477864577</v>
      </c>
      <c r="V173" s="84">
        <f t="shared" si="219"/>
        <v>13927.545251126883</v>
      </c>
      <c r="W173" s="84">
        <f t="shared" si="221"/>
        <v>14195.753893376248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14617.992355514067</v>
      </c>
      <c r="P175" s="84">
        <f t="shared" si="219"/>
        <v>13525.265313288259</v>
      </c>
      <c r="Q175" s="84">
        <f t="shared" si="219"/>
        <v>14064.133782102797</v>
      </c>
      <c r="R175" s="84">
        <f t="shared" si="219"/>
        <v>14964.152346196737</v>
      </c>
      <c r="S175" s="84">
        <f t="shared" si="219"/>
        <v>14824.516706237244</v>
      </c>
      <c r="T175" s="84">
        <f t="shared" si="219"/>
        <v>14608.817186381639</v>
      </c>
      <c r="U175" s="84">
        <f t="shared" si="219"/>
        <v>14576.492141238023</v>
      </c>
      <c r="V175" s="84">
        <f t="shared" si="219"/>
        <v>11909.508544685745</v>
      </c>
      <c r="W175" s="84">
        <f t="shared" si="221"/>
        <v>12498.050734422613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17471.234085180906</v>
      </c>
      <c r="L176" s="84">
        <f t="shared" si="219"/>
        <v>17474.175951787405</v>
      </c>
      <c r="M176" s="84">
        <f t="shared" si="222"/>
        <v>17527.007779684784</v>
      </c>
      <c r="N176" s="84">
        <f t="shared" si="219"/>
        <v>17545.764312932672</v>
      </c>
      <c r="O176" s="84">
        <f t="shared" si="219"/>
        <v>17550.297317086559</v>
      </c>
      <c r="P176" s="84">
        <f t="shared" si="219"/>
        <v>17622.012449994658</v>
      </c>
      <c r="Q176" s="84">
        <f t="shared" si="219"/>
        <v>17656.469295727828</v>
      </c>
      <c r="R176" s="84">
        <f t="shared" si="219"/>
        <v>17597.953734599385</v>
      </c>
      <c r="S176" s="84">
        <f t="shared" si="219"/>
        <v>17588.675521957848</v>
      </c>
      <c r="T176" s="84">
        <f t="shared" si="219"/>
        <v>17575.423982539582</v>
      </c>
      <c r="U176" s="84">
        <f t="shared" si="219"/>
        <v>17572.198549679335</v>
      </c>
      <c r="V176" s="84">
        <f t="shared" si="219"/>
        <v>15101.035026323152</v>
      </c>
      <c r="W176" s="84">
        <f t="shared" si="221"/>
        <v>17438.076722099806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25434.369962752455</v>
      </c>
      <c r="C177" s="110">
        <f t="shared" si="219"/>
        <v>25950.440637449814</v>
      </c>
      <c r="D177" s="110">
        <f t="shared" si="219"/>
        <v>26343.874665732004</v>
      </c>
      <c r="E177" s="110">
        <f t="shared" si="219"/>
        <v>26931.556168181985</v>
      </c>
      <c r="F177" s="110">
        <f t="shared" si="219"/>
        <v>27508.657070869955</v>
      </c>
      <c r="G177" s="110">
        <f t="shared" si="219"/>
        <v>28101.39797530213</v>
      </c>
      <c r="H177" s="110">
        <f t="shared" si="219"/>
        <v>28747.327968401445</v>
      </c>
      <c r="I177" s="110">
        <f t="shared" si="219"/>
        <v>29402.076688561818</v>
      </c>
      <c r="J177" s="110">
        <f t="shared" si="219"/>
        <v>30073.609916556394</v>
      </c>
      <c r="K177" s="110">
        <f t="shared" si="219"/>
        <v>30646.858981316993</v>
      </c>
      <c r="L177" s="110">
        <f t="shared" si="219"/>
        <v>31209.482303600129</v>
      </c>
      <c r="M177" s="110">
        <f t="shared" si="222"/>
        <v>30590.592131203644</v>
      </c>
      <c r="N177" s="110">
        <f t="shared" si="219"/>
        <v>29995.919704091957</v>
      </c>
      <c r="O177" s="110">
        <f t="shared" si="219"/>
        <v>29440.724694761717</v>
      </c>
      <c r="P177" s="110">
        <f t="shared" si="219"/>
        <v>29281.435336830305</v>
      </c>
      <c r="Q177" s="110">
        <f t="shared" si="219"/>
        <v>28771.026748782053</v>
      </c>
      <c r="R177" s="110">
        <f t="shared" si="219"/>
        <v>28741.154887743513</v>
      </c>
      <c r="S177" s="110">
        <f t="shared" si="219"/>
        <v>30196.570472605603</v>
      </c>
      <c r="T177" s="110">
        <f t="shared" si="219"/>
        <v>30877.529797616189</v>
      </c>
      <c r="U177" s="110">
        <f t="shared" si="219"/>
        <v>30174.736355938727</v>
      </c>
      <c r="V177" s="110">
        <f t="shared" si="219"/>
        <v>27227.059611520428</v>
      </c>
      <c r="W177" s="110">
        <f t="shared" si="221"/>
        <v>25677.49071659951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25322.163518661026</v>
      </c>
      <c r="C178" s="102">
        <f t="shared" si="219"/>
        <v>25392.183714621529</v>
      </c>
      <c r="D178" s="102">
        <f t="shared" si="219"/>
        <v>25433.213931974005</v>
      </c>
      <c r="E178" s="102">
        <f t="shared" si="219"/>
        <v>25518.900563221152</v>
      </c>
      <c r="F178" s="102">
        <f t="shared" si="219"/>
        <v>25581.742644410249</v>
      </c>
      <c r="G178" s="102">
        <f t="shared" si="219"/>
        <v>25647.876677287055</v>
      </c>
      <c r="H178" s="102">
        <f t="shared" si="219"/>
        <v>25752.196713731963</v>
      </c>
      <c r="I178" s="102">
        <f t="shared" si="219"/>
        <v>26906.533794996441</v>
      </c>
      <c r="J178" s="102">
        <f t="shared" si="219"/>
        <v>28114.451314262042</v>
      </c>
      <c r="K178" s="102">
        <f t="shared" si="219"/>
        <v>28115.115279213431</v>
      </c>
      <c r="L178" s="102">
        <f t="shared" si="219"/>
        <v>28095.406578361213</v>
      </c>
      <c r="M178" s="102">
        <f t="shared" si="222"/>
        <v>28128.504244339041</v>
      </c>
      <c r="N178" s="102">
        <f t="shared" si="219"/>
        <v>27430.419980795417</v>
      </c>
      <c r="O178" s="102">
        <f t="shared" si="219"/>
        <v>27501.454580931535</v>
      </c>
      <c r="P178" s="102">
        <f t="shared" si="219"/>
        <v>27575.583419592713</v>
      </c>
      <c r="Q178" s="102">
        <f t="shared" si="219"/>
        <v>27324.168797953967</v>
      </c>
      <c r="R178" s="102">
        <f t="shared" si="219"/>
        <v>27840.269074595151</v>
      </c>
      <c r="S178" s="102">
        <f t="shared" si="219"/>
        <v>29908.847391989082</v>
      </c>
      <c r="T178" s="102">
        <f t="shared" si="219"/>
        <v>31229.787059169936</v>
      </c>
      <c r="U178" s="102">
        <f t="shared" si="219"/>
        <v>31093.540498174731</v>
      </c>
      <c r="V178" s="102">
        <f t="shared" si="219"/>
        <v>28470.52455428051</v>
      </c>
      <c r="W178" s="102">
        <f t="shared" si="221"/>
        <v>27307.067963964524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25436.689081089495</v>
      </c>
      <c r="C179" s="102">
        <f t="shared" si="219"/>
        <v>25961.971454931867</v>
      </c>
      <c r="D179" s="102">
        <f t="shared" si="219"/>
        <v>26360.268956420972</v>
      </c>
      <c r="E179" s="102">
        <f t="shared" si="219"/>
        <v>26953.088112385849</v>
      </c>
      <c r="F179" s="102">
        <f t="shared" si="219"/>
        <v>27533.720981904211</v>
      </c>
      <c r="G179" s="102">
        <f t="shared" si="219"/>
        <v>28128.47221104956</v>
      </c>
      <c r="H179" s="102">
        <f t="shared" si="219"/>
        <v>28774.400947812563</v>
      </c>
      <c r="I179" s="102">
        <f t="shared" si="219"/>
        <v>29420.80117417693</v>
      </c>
      <c r="J179" s="102">
        <f t="shared" si="219"/>
        <v>30083.515682813464</v>
      </c>
      <c r="K179" s="102">
        <f t="shared" si="219"/>
        <v>30657.895277240095</v>
      </c>
      <c r="L179" s="102">
        <f t="shared" si="219"/>
        <v>31220.752011455188</v>
      </c>
      <c r="M179" s="102">
        <f t="shared" si="222"/>
        <v>30597.263036533441</v>
      </c>
      <c r="N179" s="102">
        <f t="shared" si="219"/>
        <v>30001.012642351769</v>
      </c>
      <c r="O179" s="102">
        <f t="shared" si="219"/>
        <v>29444.161875759422</v>
      </c>
      <c r="P179" s="102">
        <f t="shared" si="219"/>
        <v>29284.230235756815</v>
      </c>
      <c r="Q179" s="102">
        <f t="shared" si="219"/>
        <v>28772.678117806645</v>
      </c>
      <c r="R179" s="102">
        <f t="shared" si="219"/>
        <v>28741.402698114263</v>
      </c>
      <c r="S179" s="102">
        <f t="shared" si="219"/>
        <v>30196.13715076858</v>
      </c>
      <c r="T179" s="102">
        <f t="shared" si="219"/>
        <v>30876.346304149178</v>
      </c>
      <c r="U179" s="102">
        <f t="shared" si="219"/>
        <v>30172.766621174123</v>
      </c>
      <c r="V179" s="102">
        <f t="shared" si="219"/>
        <v>27221.782285502228</v>
      </c>
      <c r="W179" s="102">
        <f t="shared" si="221"/>
        <v>25668.423333964809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15565.718189283811</v>
      </c>
      <c r="D180" s="102">
        <f t="shared" si="219"/>
        <v>15951.417951760899</v>
      </c>
      <c r="E180" s="102">
        <f t="shared" si="219"/>
        <v>16379.379712469847</v>
      </c>
      <c r="F180" s="102">
        <f t="shared" ref="B180:V192" si="223">IF(F43=0,0,F43*1000000/F70)</f>
        <v>16801.458353122103</v>
      </c>
      <c r="G180" s="102">
        <f t="shared" si="223"/>
        <v>17236.823047363643</v>
      </c>
      <c r="H180" s="102">
        <f t="shared" si="223"/>
        <v>17713.349553326228</v>
      </c>
      <c r="I180" s="102">
        <f t="shared" si="223"/>
        <v>18198.572358076122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40989.735413493996</v>
      </c>
      <c r="K182" s="102">
        <f t="shared" si="223"/>
        <v>41028.452376427857</v>
      </c>
      <c r="L182" s="102">
        <f t="shared" si="223"/>
        <v>41065.788407088236</v>
      </c>
      <c r="M182" s="102">
        <f t="shared" si="222"/>
        <v>41106.835545522692</v>
      </c>
      <c r="N182" s="102">
        <f t="shared" si="223"/>
        <v>41117.266661452471</v>
      </c>
      <c r="O182" s="102">
        <f t="shared" si="223"/>
        <v>41161.126738930063</v>
      </c>
      <c r="P182" s="102">
        <f t="shared" si="223"/>
        <v>41205.240695462518</v>
      </c>
      <c r="Q182" s="102">
        <f t="shared" si="223"/>
        <v>41226.130216178572</v>
      </c>
      <c r="R182" s="102">
        <f t="shared" si="223"/>
        <v>41223.98898396115</v>
      </c>
      <c r="S182" s="102">
        <f t="shared" si="223"/>
        <v>41122.294887983575</v>
      </c>
      <c r="T182" s="102">
        <f t="shared" si="223"/>
        <v>41076.468319985499</v>
      </c>
      <c r="U182" s="102">
        <f t="shared" si="223"/>
        <v>41029.208916095813</v>
      </c>
      <c r="V182" s="102">
        <f t="shared" si="223"/>
        <v>37984.908700744942</v>
      </c>
      <c r="W182" s="102">
        <f t="shared" si="221"/>
        <v>40699.455426865963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25179.796288644262</v>
      </c>
      <c r="C183" s="28">
        <f t="shared" si="223"/>
        <v>24264.726413239754</v>
      </c>
      <c r="D183" s="28">
        <f t="shared" si="223"/>
        <v>25008.661679348748</v>
      </c>
      <c r="E183" s="28">
        <f t="shared" si="223"/>
        <v>25085.764841944067</v>
      </c>
      <c r="F183" s="28">
        <f t="shared" si="223"/>
        <v>25368.379034833564</v>
      </c>
      <c r="G183" s="28">
        <f t="shared" si="223"/>
        <v>25155.898916315524</v>
      </c>
      <c r="H183" s="28">
        <f t="shared" si="223"/>
        <v>24074.51684435911</v>
      </c>
      <c r="I183" s="28">
        <f t="shared" si="223"/>
        <v>23430.773978851037</v>
      </c>
      <c r="J183" s="28">
        <f t="shared" si="223"/>
        <v>23930.356774749114</v>
      </c>
      <c r="K183" s="28">
        <f t="shared" si="223"/>
        <v>22038.251544765695</v>
      </c>
      <c r="L183" s="28">
        <f t="shared" si="223"/>
        <v>21713.413576044491</v>
      </c>
      <c r="M183" s="28">
        <f t="shared" si="222"/>
        <v>21576.367861166498</v>
      </c>
      <c r="N183" s="28">
        <f t="shared" si="223"/>
        <v>21194.244843094537</v>
      </c>
      <c r="O183" s="28">
        <f t="shared" si="223"/>
        <v>21583.082170473645</v>
      </c>
      <c r="P183" s="28">
        <f t="shared" si="223"/>
        <v>21439.199279202792</v>
      </c>
      <c r="Q183" s="28">
        <f t="shared" si="223"/>
        <v>20768.201784122957</v>
      </c>
      <c r="R183" s="28">
        <f t="shared" si="223"/>
        <v>21341.2926079465</v>
      </c>
      <c r="S183" s="28">
        <f t="shared" si="223"/>
        <v>20969.349019677786</v>
      </c>
      <c r="T183" s="28">
        <f t="shared" si="223"/>
        <v>21164.034695051036</v>
      </c>
      <c r="U183" s="28">
        <f t="shared" si="223"/>
        <v>21243.310076533762</v>
      </c>
      <c r="V183" s="28">
        <f t="shared" si="223"/>
        <v>20116.354047256144</v>
      </c>
      <c r="W183" s="28">
        <f t="shared" si="221"/>
        <v>20798.367797607214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23501.0591459026</v>
      </c>
      <c r="C184" s="137">
        <f t="shared" si="223"/>
        <v>23387.648785721783</v>
      </c>
      <c r="D184" s="137">
        <f t="shared" si="223"/>
        <v>23254.686930680324</v>
      </c>
      <c r="E184" s="137">
        <f t="shared" si="223"/>
        <v>23125.186506650167</v>
      </c>
      <c r="F184" s="137">
        <f t="shared" si="223"/>
        <v>22984.510820356525</v>
      </c>
      <c r="G184" s="137">
        <f t="shared" si="223"/>
        <v>22855.607819952271</v>
      </c>
      <c r="H184" s="137">
        <f t="shared" si="223"/>
        <v>22723.979560321539</v>
      </c>
      <c r="I184" s="137">
        <f t="shared" si="223"/>
        <v>22567.796430904054</v>
      </c>
      <c r="J184" s="137">
        <f t="shared" si="223"/>
        <v>22342.687265761477</v>
      </c>
      <c r="K184" s="137">
        <f t="shared" si="223"/>
        <v>22041.366304063125</v>
      </c>
      <c r="L184" s="137">
        <f t="shared" si="223"/>
        <v>21549.693998490951</v>
      </c>
      <c r="M184" s="137">
        <f t="shared" si="222"/>
        <v>21496.412553947648</v>
      </c>
      <c r="N184" s="137">
        <f t="shared" si="223"/>
        <v>21018.478835502363</v>
      </c>
      <c r="O184" s="137">
        <f t="shared" si="223"/>
        <v>21474.394686807438</v>
      </c>
      <c r="P184" s="137">
        <f t="shared" si="223"/>
        <v>21551.642880617575</v>
      </c>
      <c r="Q184" s="137">
        <f t="shared" si="223"/>
        <v>21070.550641623668</v>
      </c>
      <c r="R184" s="137">
        <f t="shared" si="223"/>
        <v>21054.321886211645</v>
      </c>
      <c r="S184" s="137">
        <f t="shared" si="223"/>
        <v>20820.04450859427</v>
      </c>
      <c r="T184" s="137">
        <f t="shared" si="223"/>
        <v>21048.252608277799</v>
      </c>
      <c r="U184" s="137">
        <f t="shared" si="223"/>
        <v>20693.506646548871</v>
      </c>
      <c r="V184" s="137">
        <f t="shared" si="223"/>
        <v>20243.216931510375</v>
      </c>
      <c r="W184" s="137">
        <f t="shared" si="221"/>
        <v>20652.727077098469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13107.96150512585</v>
      </c>
      <c r="C185" s="84">
        <f t="shared" si="223"/>
        <v>13023.417664742057</v>
      </c>
      <c r="D185" s="84">
        <f t="shared" si="223"/>
        <v>12933.50182729301</v>
      </c>
      <c r="E185" s="84">
        <f t="shared" si="223"/>
        <v>12844.807727211948</v>
      </c>
      <c r="F185" s="84">
        <f t="shared" si="223"/>
        <v>12750.861305719933</v>
      </c>
      <c r="G185" s="84">
        <f t="shared" si="223"/>
        <v>12659.786283667856</v>
      </c>
      <c r="H185" s="84">
        <f t="shared" si="223"/>
        <v>12572.675825391818</v>
      </c>
      <c r="I185" s="84">
        <f t="shared" si="223"/>
        <v>12477.089587471588</v>
      </c>
      <c r="J185" s="84">
        <f t="shared" si="223"/>
        <v>12349.878997171938</v>
      </c>
      <c r="K185" s="84">
        <f t="shared" si="223"/>
        <v>12199.589033998767</v>
      </c>
      <c r="L185" s="84">
        <f t="shared" si="223"/>
        <v>12044.044397257032</v>
      </c>
      <c r="M185" s="84">
        <f t="shared" si="222"/>
        <v>11996.160212135184</v>
      </c>
      <c r="N185" s="84">
        <f t="shared" si="223"/>
        <v>11844.893402165864</v>
      </c>
      <c r="O185" s="84">
        <f t="shared" si="223"/>
        <v>11981.481638579546</v>
      </c>
      <c r="P185" s="84">
        <f t="shared" si="223"/>
        <v>11904.137736898905</v>
      </c>
      <c r="Q185" s="84">
        <f t="shared" si="223"/>
        <v>11637.393518706507</v>
      </c>
      <c r="R185" s="84">
        <f t="shared" si="223"/>
        <v>11627.382822707697</v>
      </c>
      <c r="S185" s="84">
        <f t="shared" si="223"/>
        <v>11499.852895558255</v>
      </c>
      <c r="T185" s="84">
        <f t="shared" si="223"/>
        <v>11626.490481459654</v>
      </c>
      <c r="U185" s="84">
        <f t="shared" si="223"/>
        <v>11499.326135793563</v>
      </c>
      <c r="V185" s="84">
        <f t="shared" si="223"/>
        <v>11375.176583872761</v>
      </c>
      <c r="W185" s="84">
        <f t="shared" si="221"/>
        <v>11503.547053737044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23760.241677409846</v>
      </c>
      <c r="C186" s="84">
        <f t="shared" si="223"/>
        <v>23606.992670760737</v>
      </c>
      <c r="D186" s="84">
        <f t="shared" si="223"/>
        <v>23444.006074593166</v>
      </c>
      <c r="E186" s="84">
        <f t="shared" si="223"/>
        <v>23283.234069543993</v>
      </c>
      <c r="F186" s="84">
        <f t="shared" si="223"/>
        <v>23112.941405920807</v>
      </c>
      <c r="G186" s="84">
        <f t="shared" si="223"/>
        <v>22947.853605358792</v>
      </c>
      <c r="H186" s="84">
        <f t="shared" si="223"/>
        <v>22789.952200135776</v>
      </c>
      <c r="I186" s="84">
        <f t="shared" si="223"/>
        <v>22616.687111347492</v>
      </c>
      <c r="J186" s="84">
        <f t="shared" si="223"/>
        <v>22386.097910405475</v>
      </c>
      <c r="K186" s="84">
        <f t="shared" si="223"/>
        <v>22081.807144521201</v>
      </c>
      <c r="L186" s="84">
        <f t="shared" si="223"/>
        <v>21584.42012560763</v>
      </c>
      <c r="M186" s="84">
        <f t="shared" si="222"/>
        <v>21527.47771440287</v>
      </c>
      <c r="N186" s="84">
        <f t="shared" si="223"/>
        <v>21045.569089984423</v>
      </c>
      <c r="O186" s="84">
        <f t="shared" si="223"/>
        <v>21501.136563608768</v>
      </c>
      <c r="P186" s="84">
        <f t="shared" si="223"/>
        <v>21578.121775783864</v>
      </c>
      <c r="Q186" s="84">
        <f t="shared" si="223"/>
        <v>21094.605930255577</v>
      </c>
      <c r="R186" s="84">
        <f t="shared" si="223"/>
        <v>21076.459969405922</v>
      </c>
      <c r="S186" s="84">
        <f t="shared" si="223"/>
        <v>20845.291920202519</v>
      </c>
      <c r="T186" s="84">
        <f t="shared" si="223"/>
        <v>21074.84246055804</v>
      </c>
      <c r="U186" s="84">
        <f t="shared" si="223"/>
        <v>20726.471863394272</v>
      </c>
      <c r="V186" s="84">
        <f t="shared" si="223"/>
        <v>20297.676740047071</v>
      </c>
      <c r="W186" s="84">
        <f t="shared" si="221"/>
        <v>20732.006269654932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14546.263276333297</v>
      </c>
      <c r="P187" s="84">
        <f t="shared" si="223"/>
        <v>14456.617989189244</v>
      </c>
      <c r="Q187" s="84">
        <f t="shared" si="223"/>
        <v>14282.255682048895</v>
      </c>
      <c r="R187" s="84">
        <f t="shared" si="223"/>
        <v>14135.627615378029</v>
      </c>
      <c r="S187" s="84">
        <f t="shared" si="223"/>
        <v>13987.597352391687</v>
      </c>
      <c r="T187" s="84">
        <f t="shared" si="223"/>
        <v>14134.592088289541</v>
      </c>
      <c r="U187" s="84">
        <f t="shared" si="223"/>
        <v>13986.985762219123</v>
      </c>
      <c r="V187" s="84">
        <f t="shared" si="223"/>
        <v>13842.807275027075</v>
      </c>
      <c r="W187" s="84">
        <f t="shared" si="221"/>
        <v>13991.886389149071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14548.744109431063</v>
      </c>
      <c r="N189" s="84">
        <f t="shared" si="223"/>
        <v>14557.138363506567</v>
      </c>
      <c r="O189" s="84">
        <f t="shared" si="223"/>
        <v>14564.726874694144</v>
      </c>
      <c r="P189" s="84">
        <f t="shared" si="223"/>
        <v>14569.014972384954</v>
      </c>
      <c r="Q189" s="84">
        <f t="shared" si="223"/>
        <v>14577.435795850593</v>
      </c>
      <c r="R189" s="84">
        <f t="shared" si="223"/>
        <v>14570.27412476543</v>
      </c>
      <c r="S189" s="84">
        <f t="shared" si="223"/>
        <v>14562.971836515837</v>
      </c>
      <c r="T189" s="84">
        <f t="shared" si="223"/>
        <v>14555.723986058123</v>
      </c>
      <c r="U189" s="84">
        <f t="shared" si="223"/>
        <v>14548.449451009532</v>
      </c>
      <c r="V189" s="84">
        <f t="shared" si="223"/>
        <v>14441.172380558744</v>
      </c>
      <c r="W189" s="84">
        <f t="shared" si="221"/>
        <v>14548.206764726034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29204.329795644575</v>
      </c>
      <c r="C190" s="110">
        <f t="shared" si="223"/>
        <v>26271.585198587414</v>
      </c>
      <c r="D190" s="110">
        <f t="shared" si="223"/>
        <v>29224.833194137416</v>
      </c>
      <c r="E190" s="110">
        <f t="shared" si="223"/>
        <v>30031.835812087858</v>
      </c>
      <c r="F190" s="110">
        <f t="shared" si="223"/>
        <v>31500.85364924476</v>
      </c>
      <c r="G190" s="110">
        <f t="shared" si="223"/>
        <v>30872.464168533279</v>
      </c>
      <c r="H190" s="110">
        <f t="shared" si="223"/>
        <v>27278.64521648442</v>
      </c>
      <c r="I190" s="110">
        <f t="shared" si="223"/>
        <v>25356.839810500813</v>
      </c>
      <c r="J190" s="110">
        <f t="shared" si="223"/>
        <v>28273.958982538727</v>
      </c>
      <c r="K190" s="110">
        <f t="shared" si="223"/>
        <v>22029.015882193613</v>
      </c>
      <c r="L190" s="110">
        <f t="shared" si="223"/>
        <v>22201.259874528987</v>
      </c>
      <c r="M190" s="110">
        <f t="shared" si="222"/>
        <v>21818.174397185383</v>
      </c>
      <c r="N190" s="110">
        <f t="shared" si="223"/>
        <v>21718.2974879514</v>
      </c>
      <c r="O190" s="110">
        <f t="shared" si="223"/>
        <v>21917.730685102208</v>
      </c>
      <c r="P190" s="110">
        <f t="shared" si="223"/>
        <v>21120.575369078695</v>
      </c>
      <c r="Q190" s="110">
        <f t="shared" si="223"/>
        <v>19987.120166820823</v>
      </c>
      <c r="R190" s="110">
        <f t="shared" si="223"/>
        <v>22051.330404244422</v>
      </c>
      <c r="S190" s="110">
        <f t="shared" si="223"/>
        <v>21322.275425794967</v>
      </c>
      <c r="T190" s="110">
        <f t="shared" si="223"/>
        <v>21433.10688723599</v>
      </c>
      <c r="U190" s="110">
        <f t="shared" si="223"/>
        <v>22505.336683558908</v>
      </c>
      <c r="V190" s="110">
        <f t="shared" si="223"/>
        <v>19816.796465798969</v>
      </c>
      <c r="W190" s="110">
        <f t="shared" si="221"/>
        <v>21130.930348381382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28365.942309179492</v>
      </c>
      <c r="C191" s="102">
        <f t="shared" si="223"/>
        <v>25439.860767410872</v>
      </c>
      <c r="D191" s="102">
        <f t="shared" si="223"/>
        <v>28413.166493982626</v>
      </c>
      <c r="E191" s="102">
        <f t="shared" si="223"/>
        <v>29234.693216981497</v>
      </c>
      <c r="F191" s="102">
        <f t="shared" si="223"/>
        <v>30623.242446390745</v>
      </c>
      <c r="G191" s="102">
        <f t="shared" si="223"/>
        <v>30044.978180560051</v>
      </c>
      <c r="H191" s="102">
        <f t="shared" si="223"/>
        <v>26476.578411405295</v>
      </c>
      <c r="I191" s="102">
        <f t="shared" si="223"/>
        <v>24565.487546601787</v>
      </c>
      <c r="J191" s="102">
        <f t="shared" si="223"/>
        <v>27469.440115348323</v>
      </c>
      <c r="K191" s="102">
        <f t="shared" si="223"/>
        <v>21175.778953556732</v>
      </c>
      <c r="L191" s="102">
        <f t="shared" si="223"/>
        <v>21286.231884057972</v>
      </c>
      <c r="M191" s="102">
        <f t="shared" si="222"/>
        <v>20777.046310742418</v>
      </c>
      <c r="N191" s="102">
        <f t="shared" si="223"/>
        <v>20765.928924064501</v>
      </c>
      <c r="O191" s="102">
        <f t="shared" si="223"/>
        <v>20988.25767081853</v>
      </c>
      <c r="P191" s="102">
        <f t="shared" si="223"/>
        <v>20252.722005793628</v>
      </c>
      <c r="Q191" s="102">
        <f t="shared" si="223"/>
        <v>19049.524056054313</v>
      </c>
      <c r="R191" s="102">
        <f t="shared" si="223"/>
        <v>21252.655146678913</v>
      </c>
      <c r="S191" s="102">
        <f t="shared" si="223"/>
        <v>20571.804140650675</v>
      </c>
      <c r="T191" s="102">
        <f t="shared" si="223"/>
        <v>20620.001293465841</v>
      </c>
      <c r="U191" s="102">
        <f t="shared" si="223"/>
        <v>21603.425868717644</v>
      </c>
      <c r="V191" s="102">
        <f t="shared" si="223"/>
        <v>19466.536817616186</v>
      </c>
      <c r="W191" s="102">
        <f t="shared" si="221"/>
        <v>20791.038094345713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85029.193788847231</v>
      </c>
      <c r="C192" s="86">
        <f t="shared" si="223"/>
        <v>85032.39693279464</v>
      </c>
      <c r="D192" s="86">
        <f t="shared" si="223"/>
        <v>84976.559946922833</v>
      </c>
      <c r="E192" s="86">
        <f t="shared" si="223"/>
        <v>85004.070292650562</v>
      </c>
      <c r="F192" s="86">
        <f t="shared" si="223"/>
        <v>85007.960241378387</v>
      </c>
      <c r="G192" s="86">
        <f t="shared" si="223"/>
        <v>85030.182967958346</v>
      </c>
      <c r="H192" s="86">
        <f t="shared" si="223"/>
        <v>84978.395619424045</v>
      </c>
      <c r="I192" s="86">
        <f t="shared" si="223"/>
        <v>85003.71170145442</v>
      </c>
      <c r="J192" s="86">
        <f t="shared" si="223"/>
        <v>85031.350987026672</v>
      </c>
      <c r="K192" s="86">
        <f t="shared" si="223"/>
        <v>84967.26460775033</v>
      </c>
      <c r="L192" s="86">
        <f t="shared" si="223"/>
        <v>84967.109336762369</v>
      </c>
      <c r="M192" s="86">
        <f t="shared" si="222"/>
        <v>85004.790987565837</v>
      </c>
      <c r="N192" s="86">
        <f t="shared" si="223"/>
        <v>84974.976270298866</v>
      </c>
      <c r="O192" s="86">
        <f t="shared" si="223"/>
        <v>84972.8135152123</v>
      </c>
      <c r="P192" s="86">
        <f t="shared" si="223"/>
        <v>85003.516691481927</v>
      </c>
      <c r="Q192" s="86">
        <f t="shared" si="223"/>
        <v>84983.332122722015</v>
      </c>
      <c r="R192" s="86">
        <f t="shared" si="223"/>
        <v>85002.119144215278</v>
      </c>
      <c r="S192" s="86">
        <f t="shared" si="223"/>
        <v>84993.765779719222</v>
      </c>
      <c r="T192" s="86">
        <f t="shared" si="223"/>
        <v>84984.12487917523</v>
      </c>
      <c r="U192" s="86">
        <f t="shared" si="223"/>
        <v>84989.451689026842</v>
      </c>
      <c r="V192" s="86">
        <f t="shared" ref="V192:W192" si="224">IF(V55=0,0,V55*1000000/V82)</f>
        <v>85077.371842435823</v>
      </c>
      <c r="W192" s="86">
        <f t="shared" si="224"/>
        <v>85019.3665369925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30644.247265373331</v>
      </c>
      <c r="C195" s="28">
        <f t="shared" si="225"/>
        <v>30357.812612388352</v>
      </c>
      <c r="D195" s="28">
        <f t="shared" si="225"/>
        <v>29888.28320343958</v>
      </c>
      <c r="E195" s="28">
        <f t="shared" si="225"/>
        <v>30219.714594301608</v>
      </c>
      <c r="F195" s="28">
        <f t="shared" si="225"/>
        <v>31117.096710725735</v>
      </c>
      <c r="G195" s="28">
        <f t="shared" si="225"/>
        <v>30759.081427323606</v>
      </c>
      <c r="H195" s="28">
        <f t="shared" si="225"/>
        <v>28149.772218911035</v>
      </c>
      <c r="I195" s="28">
        <f t="shared" si="225"/>
        <v>29228.781344021612</v>
      </c>
      <c r="J195" s="28">
        <f t="shared" si="225"/>
        <v>28105.916516993926</v>
      </c>
      <c r="K195" s="28">
        <f t="shared" si="225"/>
        <v>28680.720999651265</v>
      </c>
      <c r="L195" s="28">
        <f t="shared" si="225"/>
        <v>28552.67596091966</v>
      </c>
      <c r="M195" s="28">
        <f>IF(M4=0,0,M4*1000000/M58)</f>
        <v>27857.706384492281</v>
      </c>
      <c r="N195" s="28">
        <f t="shared" ref="N195:V195" si="226">IF(N4=0,0,N4*1000000/N58)</f>
        <v>27470.622205947297</v>
      </c>
      <c r="O195" s="28">
        <f t="shared" si="226"/>
        <v>27750.514694014328</v>
      </c>
      <c r="P195" s="28">
        <f t="shared" si="226"/>
        <v>26981.186164915533</v>
      </c>
      <c r="Q195" s="28">
        <f t="shared" si="226"/>
        <v>28725.834076469786</v>
      </c>
      <c r="R195" s="28">
        <f t="shared" si="226"/>
        <v>29803.283002724831</v>
      </c>
      <c r="S195" s="28">
        <f t="shared" si="226"/>
        <v>30304.445003140692</v>
      </c>
      <c r="T195" s="28">
        <f t="shared" si="226"/>
        <v>30319.278926484389</v>
      </c>
      <c r="U195" s="28">
        <f t="shared" si="226"/>
        <v>30109.405868117981</v>
      </c>
      <c r="V195" s="28">
        <f t="shared" si="226"/>
        <v>24834.335775052634</v>
      </c>
      <c r="W195" s="28">
        <f t="shared" ref="W195" si="227">IF(W4=0,0,W4*1000000/W58)</f>
        <v>26202.38658475543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3911.4413744836006</v>
      </c>
      <c r="C196" s="137">
        <f t="shared" si="228"/>
        <v>3944.4415468299212</v>
      </c>
      <c r="D196" s="137">
        <f t="shared" si="228"/>
        <v>3921.4468342174796</v>
      </c>
      <c r="E196" s="137">
        <f t="shared" si="228"/>
        <v>3980.1859582960419</v>
      </c>
      <c r="F196" s="137">
        <f t="shared" si="228"/>
        <v>3873.8069302648864</v>
      </c>
      <c r="G196" s="137">
        <f t="shared" si="228"/>
        <v>4820.7538232524766</v>
      </c>
      <c r="H196" s="137">
        <f t="shared" si="228"/>
        <v>4669.1603140378456</v>
      </c>
      <c r="I196" s="137">
        <f t="shared" si="228"/>
        <v>4441.8243305100596</v>
      </c>
      <c r="J196" s="137">
        <f t="shared" si="228"/>
        <v>4470.898299643698</v>
      </c>
      <c r="K196" s="137">
        <f t="shared" si="228"/>
        <v>4095.4932036595592</v>
      </c>
      <c r="L196" s="137">
        <f t="shared" si="228"/>
        <v>3711.0424199513423</v>
      </c>
      <c r="M196" s="137">
        <f>IF(M5=0,0,M5*1000000/M59)</f>
        <v>3549.089889988129</v>
      </c>
      <c r="N196" s="137">
        <f t="shared" ref="N196:V196" si="229">IF(N5=0,0,N5*1000000/N59)</f>
        <v>3314.2345177231718</v>
      </c>
      <c r="O196" s="137">
        <f t="shared" si="229"/>
        <v>3157.6840485410521</v>
      </c>
      <c r="P196" s="137">
        <f t="shared" si="229"/>
        <v>3654.9906909030465</v>
      </c>
      <c r="Q196" s="137">
        <f t="shared" si="229"/>
        <v>3451.5856380717846</v>
      </c>
      <c r="R196" s="137">
        <f t="shared" si="229"/>
        <v>3493.3499627687333</v>
      </c>
      <c r="S196" s="137">
        <f t="shared" si="229"/>
        <v>3170.4319579601665</v>
      </c>
      <c r="T196" s="137">
        <f t="shared" si="229"/>
        <v>2987.5512191558405</v>
      </c>
      <c r="U196" s="137">
        <f t="shared" si="229"/>
        <v>3027.9548884418391</v>
      </c>
      <c r="V196" s="137">
        <f t="shared" si="229"/>
        <v>2594.1601534029119</v>
      </c>
      <c r="W196" s="137">
        <f t="shared" ref="W196" si="230">IF(W5=0,0,W5*1000000/W59)</f>
        <v>2604.2677428249535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26186.440677966108</v>
      </c>
      <c r="C197" s="110">
        <f t="shared" si="231"/>
        <v>25967.948717948719</v>
      </c>
      <c r="D197" s="110">
        <f t="shared" si="231"/>
        <v>25706.122448979593</v>
      </c>
      <c r="E197" s="110">
        <f t="shared" si="231"/>
        <v>26076.697127937336</v>
      </c>
      <c r="F197" s="110">
        <f t="shared" si="231"/>
        <v>26927.984838913457</v>
      </c>
      <c r="G197" s="110">
        <f t="shared" si="231"/>
        <v>26702.16606498195</v>
      </c>
      <c r="H197" s="110">
        <f t="shared" si="231"/>
        <v>24462.765957446809</v>
      </c>
      <c r="I197" s="110">
        <f t="shared" si="231"/>
        <v>25469.729155602763</v>
      </c>
      <c r="J197" s="110">
        <f t="shared" si="231"/>
        <v>24437.890527368159</v>
      </c>
      <c r="K197" s="110">
        <f t="shared" si="231"/>
        <v>24784.986764904319</v>
      </c>
      <c r="L197" s="110">
        <f t="shared" si="231"/>
        <v>24821.514302086074</v>
      </c>
      <c r="M197" s="110">
        <f>IF(M6=0,0,M6*1000000/M60)</f>
        <v>24182.403717782778</v>
      </c>
      <c r="N197" s="110">
        <f t="shared" ref="N197:V197" si="232">IF(N6=0,0,N6*1000000/N60)</f>
        <v>23890.770989119126</v>
      </c>
      <c r="O197" s="110">
        <f t="shared" si="232"/>
        <v>24243.502217647321</v>
      </c>
      <c r="P197" s="110">
        <f t="shared" si="232"/>
        <v>23378.717838191358</v>
      </c>
      <c r="Q197" s="110">
        <f t="shared" si="232"/>
        <v>25198.648655208064</v>
      </c>
      <c r="R197" s="110">
        <f t="shared" si="232"/>
        <v>26172.528914929233</v>
      </c>
      <c r="S197" s="110">
        <f t="shared" si="232"/>
        <v>26395.261400791464</v>
      </c>
      <c r="T197" s="110">
        <f t="shared" si="232"/>
        <v>26186.512767504297</v>
      </c>
      <c r="U197" s="110">
        <f t="shared" si="232"/>
        <v>26061.623507246648</v>
      </c>
      <c r="V197" s="110">
        <f t="shared" si="232"/>
        <v>22182.522785918514</v>
      </c>
      <c r="W197" s="110">
        <f t="shared" ref="W197:W209" si="233">IF(W6=0,0,W6*1000000/W60)</f>
        <v>23299.168333133199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25818.893301187949</v>
      </c>
      <c r="C198" s="84">
        <f t="shared" si="231"/>
        <v>25594.657811743193</v>
      </c>
      <c r="D198" s="84">
        <f t="shared" si="231"/>
        <v>25352.535045360877</v>
      </c>
      <c r="E198" s="84">
        <f t="shared" si="231"/>
        <v>25653.416399237241</v>
      </c>
      <c r="F198" s="84">
        <f t="shared" si="231"/>
        <v>26307.874132368168</v>
      </c>
      <c r="G198" s="84">
        <f t="shared" si="231"/>
        <v>26046.355092522164</v>
      </c>
      <c r="H198" s="84">
        <f t="shared" si="231"/>
        <v>24153.437656182225</v>
      </c>
      <c r="I198" s="84">
        <f t="shared" si="231"/>
        <v>24862.511049743651</v>
      </c>
      <c r="J198" s="84">
        <f t="shared" si="231"/>
        <v>23813.666389711514</v>
      </c>
      <c r="K198" s="84">
        <f t="shared" si="231"/>
        <v>23712.842259143315</v>
      </c>
      <c r="L198" s="84">
        <f t="shared" si="231"/>
        <v>23376.708535756057</v>
      </c>
      <c r="M198" s="84">
        <f t="shared" ref="M198:M219" si="234">IF(M7=0,0,M7*1000000/M61)</f>
        <v>22100.052299379491</v>
      </c>
      <c r="N198" s="84">
        <f t="shared" si="231"/>
        <v>21926.954470075329</v>
      </c>
      <c r="O198" s="84">
        <f t="shared" si="231"/>
        <v>21684.968795828903</v>
      </c>
      <c r="P198" s="84">
        <f t="shared" si="231"/>
        <v>20978.661183607179</v>
      </c>
      <c r="Q198" s="84">
        <f t="shared" si="231"/>
        <v>21625.563573178839</v>
      </c>
      <c r="R198" s="84">
        <f t="shared" si="231"/>
        <v>22017.886845033798</v>
      </c>
      <c r="S198" s="84">
        <f t="shared" si="231"/>
        <v>22327.115151742073</v>
      </c>
      <c r="T198" s="84">
        <f t="shared" si="231"/>
        <v>22359.849875729389</v>
      </c>
      <c r="U198" s="84">
        <f t="shared" si="231"/>
        <v>22620.117169824181</v>
      </c>
      <c r="V198" s="84">
        <f t="shared" si="231"/>
        <v>18428.853200322854</v>
      </c>
      <c r="W198" s="84">
        <f t="shared" si="233"/>
        <v>19585.909570070929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28627.684520476269</v>
      </c>
      <c r="C199" s="84">
        <f t="shared" si="231"/>
        <v>28486.626808461657</v>
      </c>
      <c r="D199" s="84">
        <f t="shared" si="231"/>
        <v>28021.377383122915</v>
      </c>
      <c r="E199" s="84">
        <f t="shared" si="231"/>
        <v>28781.102001043684</v>
      </c>
      <c r="F199" s="84">
        <f t="shared" si="231"/>
        <v>30727.008668252114</v>
      </c>
      <c r="G199" s="84">
        <f t="shared" si="231"/>
        <v>30039.268910251139</v>
      </c>
      <c r="H199" s="84">
        <f t="shared" si="231"/>
        <v>25876.916767341641</v>
      </c>
      <c r="I199" s="84">
        <f t="shared" si="231"/>
        <v>28244.05155299239</v>
      </c>
      <c r="J199" s="84">
        <f t="shared" si="231"/>
        <v>26749.651981217346</v>
      </c>
      <c r="K199" s="84">
        <f t="shared" si="231"/>
        <v>28250.724355270424</v>
      </c>
      <c r="L199" s="84">
        <f t="shared" si="231"/>
        <v>28713.717611885266</v>
      </c>
      <c r="M199" s="84">
        <f t="shared" si="234"/>
        <v>28790.782511676778</v>
      </c>
      <c r="N199" s="84">
        <f t="shared" si="231"/>
        <v>27643.559078756894</v>
      </c>
      <c r="O199" s="84">
        <f t="shared" si="231"/>
        <v>28482.70796416236</v>
      </c>
      <c r="P199" s="84">
        <f t="shared" si="231"/>
        <v>26801.774318547101</v>
      </c>
      <c r="Q199" s="84">
        <f t="shared" si="231"/>
        <v>29602.115758565789</v>
      </c>
      <c r="R199" s="84">
        <f t="shared" si="231"/>
        <v>30495.382580584843</v>
      </c>
      <c r="S199" s="84">
        <f t="shared" si="231"/>
        <v>29999.019211879735</v>
      </c>
      <c r="T199" s="84">
        <f t="shared" si="231"/>
        <v>29186.045196096355</v>
      </c>
      <c r="U199" s="84">
        <f t="shared" si="231"/>
        <v>28524.357040130031</v>
      </c>
      <c r="V199" s="84">
        <f t="shared" si="231"/>
        <v>24706.833741021739</v>
      </c>
      <c r="W199" s="84">
        <f t="shared" si="233"/>
        <v>25742.988044639165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25482.506153314651</v>
      </c>
      <c r="C200" s="84">
        <f t="shared" si="231"/>
        <v>25101.406578543811</v>
      </c>
      <c r="D200" s="84">
        <f t="shared" si="231"/>
        <v>24942.553473430191</v>
      </c>
      <c r="E200" s="84">
        <f t="shared" si="231"/>
        <v>25882.412972871978</v>
      </c>
      <c r="F200" s="84">
        <f t="shared" si="231"/>
        <v>27926.241670167259</v>
      </c>
      <c r="G200" s="84">
        <f t="shared" si="231"/>
        <v>27614.655473340146</v>
      </c>
      <c r="H200" s="84">
        <f t="shared" si="231"/>
        <v>23558.019551895493</v>
      </c>
      <c r="I200" s="84">
        <f t="shared" si="231"/>
        <v>25469.535527371601</v>
      </c>
      <c r="J200" s="84">
        <f t="shared" si="231"/>
        <v>23951.906470636008</v>
      </c>
      <c r="K200" s="84">
        <f t="shared" si="231"/>
        <v>25097.690551913303</v>
      </c>
      <c r="L200" s="84">
        <f t="shared" si="231"/>
        <v>25320.23513703054</v>
      </c>
      <c r="M200" s="84">
        <f t="shared" si="234"/>
        <v>25219.489495405422</v>
      </c>
      <c r="N200" s="84">
        <f t="shared" si="231"/>
        <v>24010.693468813311</v>
      </c>
      <c r="O200" s="84">
        <f t="shared" si="231"/>
        <v>25001.439725718661</v>
      </c>
      <c r="P200" s="84">
        <f t="shared" si="231"/>
        <v>23803.644219338505</v>
      </c>
      <c r="Q200" s="84">
        <f t="shared" si="231"/>
        <v>26638.887424445951</v>
      </c>
      <c r="R200" s="84">
        <f t="shared" si="231"/>
        <v>27794.59013111021</v>
      </c>
      <c r="S200" s="84">
        <f t="shared" si="231"/>
        <v>27517.200980227753</v>
      </c>
      <c r="T200" s="84">
        <f t="shared" si="231"/>
        <v>26538.427311895735</v>
      </c>
      <c r="U200" s="84">
        <f t="shared" si="231"/>
        <v>25692.804693267884</v>
      </c>
      <c r="V200" s="84">
        <f t="shared" si="231"/>
        <v>22063.103916740354</v>
      </c>
      <c r="W200" s="84">
        <f t="shared" si="233"/>
        <v>22733.86672540845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0</v>
      </c>
      <c r="R201" s="84">
        <f t="shared" si="231"/>
        <v>0</v>
      </c>
      <c r="S201" s="84">
        <f t="shared" si="231"/>
        <v>0</v>
      </c>
      <c r="T201" s="84">
        <f t="shared" si="231"/>
        <v>0</v>
      </c>
      <c r="U201" s="84">
        <f t="shared" si="231"/>
        <v>0</v>
      </c>
      <c r="V201" s="84">
        <f t="shared" si="231"/>
        <v>0</v>
      </c>
      <c r="W201" s="84">
        <f t="shared" si="233"/>
        <v>0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0</v>
      </c>
      <c r="O202" s="84">
        <f t="shared" si="231"/>
        <v>21395.779764524894</v>
      </c>
      <c r="P202" s="84">
        <f t="shared" si="231"/>
        <v>19574.556864219878</v>
      </c>
      <c r="Q202" s="84">
        <f t="shared" si="231"/>
        <v>20862.928617328838</v>
      </c>
      <c r="R202" s="84">
        <f t="shared" si="231"/>
        <v>22595.024218105773</v>
      </c>
      <c r="S202" s="84">
        <f t="shared" si="231"/>
        <v>22256.378371858329</v>
      </c>
      <c r="T202" s="84">
        <f t="shared" si="231"/>
        <v>22325.228550388252</v>
      </c>
      <c r="U202" s="84">
        <f t="shared" si="231"/>
        <v>22629.299930657991</v>
      </c>
      <c r="V202" s="84">
        <f t="shared" si="231"/>
        <v>18460.770312896704</v>
      </c>
      <c r="W202" s="84">
        <f t="shared" si="233"/>
        <v>19584.887338886405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21345.287706192918</v>
      </c>
      <c r="L203" s="84">
        <f t="shared" si="231"/>
        <v>21172.700962592135</v>
      </c>
      <c r="M203" s="84">
        <f t="shared" si="234"/>
        <v>21398.734809400128</v>
      </c>
      <c r="N203" s="84">
        <f t="shared" si="231"/>
        <v>21748.063318286851</v>
      </c>
      <c r="O203" s="84">
        <f t="shared" si="231"/>
        <v>21684.405957108509</v>
      </c>
      <c r="P203" s="84">
        <f t="shared" si="231"/>
        <v>21529.022536652301</v>
      </c>
      <c r="Q203" s="84">
        <f t="shared" si="231"/>
        <v>22110.003397556509</v>
      </c>
      <c r="R203" s="84">
        <f t="shared" si="231"/>
        <v>22430.839317079102</v>
      </c>
      <c r="S203" s="84">
        <f t="shared" si="231"/>
        <v>22291.01025920744</v>
      </c>
      <c r="T203" s="84">
        <f t="shared" si="231"/>
        <v>22673.017974654358</v>
      </c>
      <c r="U203" s="84">
        <f t="shared" si="231"/>
        <v>23028.564147088135</v>
      </c>
      <c r="V203" s="84">
        <f t="shared" si="231"/>
        <v>19759.927917376033</v>
      </c>
      <c r="W203" s="84">
        <f t="shared" si="233"/>
        <v>23067.47406341699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844331.27197768888</v>
      </c>
      <c r="C204" s="110">
        <f t="shared" si="231"/>
        <v>861451.19357125962</v>
      </c>
      <c r="D204" s="110">
        <f t="shared" si="231"/>
        <v>854902.88404944108</v>
      </c>
      <c r="E204" s="110">
        <f t="shared" si="231"/>
        <v>854531.01962118631</v>
      </c>
      <c r="F204" s="110">
        <f t="shared" si="231"/>
        <v>873907.72651473037</v>
      </c>
      <c r="G204" s="110">
        <f t="shared" si="231"/>
        <v>860534.89889106329</v>
      </c>
      <c r="H204" s="110">
        <f t="shared" si="231"/>
        <v>829439.73537316511</v>
      </c>
      <c r="I204" s="110">
        <f t="shared" si="231"/>
        <v>818711.14181387529</v>
      </c>
      <c r="J204" s="110">
        <f t="shared" si="231"/>
        <v>806248.23562623502</v>
      </c>
      <c r="K204" s="110">
        <f t="shared" si="231"/>
        <v>864618.35748792288</v>
      </c>
      <c r="L204" s="110">
        <f t="shared" si="231"/>
        <v>850854.95876081265</v>
      </c>
      <c r="M204" s="110">
        <f t="shared" si="234"/>
        <v>846478.73092856398</v>
      </c>
      <c r="N204" s="110">
        <f t="shared" si="231"/>
        <v>816191.72288792673</v>
      </c>
      <c r="O204" s="110">
        <f t="shared" si="231"/>
        <v>800787.71169751859</v>
      </c>
      <c r="P204" s="110">
        <f t="shared" si="231"/>
        <v>807610.26232343609</v>
      </c>
      <c r="Q204" s="110">
        <f t="shared" si="231"/>
        <v>782571.92756687198</v>
      </c>
      <c r="R204" s="110">
        <f t="shared" si="231"/>
        <v>784135.58137503278</v>
      </c>
      <c r="S204" s="110">
        <f t="shared" si="231"/>
        <v>821346.71685487207</v>
      </c>
      <c r="T204" s="110">
        <f t="shared" si="231"/>
        <v>839868.8104951604</v>
      </c>
      <c r="U204" s="110">
        <f t="shared" si="231"/>
        <v>820752.82888153347</v>
      </c>
      <c r="V204" s="110">
        <f t="shared" si="231"/>
        <v>617146.68452779634</v>
      </c>
      <c r="W204" s="110">
        <f t="shared" si="233"/>
        <v>642956.6932276591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323310.15932451637</v>
      </c>
      <c r="C205" s="102">
        <f t="shared" si="231"/>
        <v>324199.72649378347</v>
      </c>
      <c r="D205" s="102">
        <f t="shared" si="231"/>
        <v>317442.46808179002</v>
      </c>
      <c r="E205" s="102">
        <f t="shared" si="231"/>
        <v>311426.09152399236</v>
      </c>
      <c r="F205" s="102">
        <f t="shared" si="231"/>
        <v>312574.08415475563</v>
      </c>
      <c r="G205" s="102">
        <f t="shared" si="231"/>
        <v>302077.67575583892</v>
      </c>
      <c r="H205" s="102">
        <f t="shared" si="231"/>
        <v>285777.66696457373</v>
      </c>
      <c r="I205" s="102">
        <f t="shared" si="231"/>
        <v>288162.25935450674</v>
      </c>
      <c r="J205" s="102">
        <f t="shared" si="231"/>
        <v>289894.16852921591</v>
      </c>
      <c r="K205" s="102">
        <f t="shared" si="231"/>
        <v>305073.86402728443</v>
      </c>
      <c r="L205" s="102">
        <f t="shared" si="231"/>
        <v>294598.77922129317</v>
      </c>
      <c r="M205" s="102">
        <f t="shared" si="234"/>
        <v>299365.29899761477</v>
      </c>
      <c r="N205" s="102">
        <f t="shared" si="231"/>
        <v>287070.86169521528</v>
      </c>
      <c r="O205" s="102">
        <f t="shared" si="231"/>
        <v>287707.52484666841</v>
      </c>
      <c r="P205" s="102">
        <f t="shared" si="231"/>
        <v>292523.54583976296</v>
      </c>
      <c r="Q205" s="102">
        <f t="shared" si="231"/>
        <v>285852.84280936467</v>
      </c>
      <c r="R205" s="102">
        <f t="shared" si="231"/>
        <v>292137.31028006325</v>
      </c>
      <c r="S205" s="102">
        <f t="shared" si="231"/>
        <v>312892.55733157799</v>
      </c>
      <c r="T205" s="102">
        <f t="shared" si="231"/>
        <v>326711.61846516246</v>
      </c>
      <c r="U205" s="102">
        <f t="shared" si="231"/>
        <v>325286.26982705871</v>
      </c>
      <c r="V205" s="102">
        <f t="shared" si="231"/>
        <v>248204.57303731731</v>
      </c>
      <c r="W205" s="102">
        <f t="shared" si="233"/>
        <v>262984.93094791326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855099.90141000063</v>
      </c>
      <c r="C206" s="102">
        <f t="shared" si="231"/>
        <v>871386.01288380579</v>
      </c>
      <c r="D206" s="102">
        <f t="shared" si="231"/>
        <v>863884.22905355284</v>
      </c>
      <c r="E206" s="102">
        <f t="shared" si="231"/>
        <v>862380.35558614985</v>
      </c>
      <c r="F206" s="102">
        <f t="shared" si="231"/>
        <v>880895.91578565794</v>
      </c>
      <c r="G206" s="102">
        <f t="shared" si="231"/>
        <v>866461.88162542589</v>
      </c>
      <c r="H206" s="102">
        <f t="shared" si="231"/>
        <v>834177.99151690595</v>
      </c>
      <c r="I206" s="102">
        <f t="shared" si="231"/>
        <v>822486.00750208879</v>
      </c>
      <c r="J206" s="102">
        <f t="shared" si="231"/>
        <v>809103.22849285556</v>
      </c>
      <c r="K206" s="102">
        <f t="shared" si="231"/>
        <v>867251.53072603187</v>
      </c>
      <c r="L206" s="102">
        <f t="shared" si="231"/>
        <v>853018.44490869972</v>
      </c>
      <c r="M206" s="102">
        <f t="shared" si="234"/>
        <v>848168.28970251069</v>
      </c>
      <c r="N206" s="102">
        <f t="shared" si="231"/>
        <v>817442.96081119985</v>
      </c>
      <c r="O206" s="102">
        <f t="shared" si="231"/>
        <v>801971.56376459822</v>
      </c>
      <c r="P206" s="102">
        <f t="shared" si="231"/>
        <v>808769.16127669264</v>
      </c>
      <c r="Q206" s="102">
        <f t="shared" si="231"/>
        <v>783501.37903462246</v>
      </c>
      <c r="R206" s="102">
        <f t="shared" si="231"/>
        <v>784837.51578868984</v>
      </c>
      <c r="S206" s="102">
        <f t="shared" si="231"/>
        <v>822173.8293938908</v>
      </c>
      <c r="T206" s="102">
        <f t="shared" si="231"/>
        <v>840380.77561475092</v>
      </c>
      <c r="U206" s="102">
        <f t="shared" si="231"/>
        <v>821341.03225694562</v>
      </c>
      <c r="V206" s="102">
        <f t="shared" si="231"/>
        <v>617559.69380110619</v>
      </c>
      <c r="W206" s="102">
        <f t="shared" si="233"/>
        <v>643228.76943888864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522446.80779264605</v>
      </c>
      <c r="D207" s="102">
        <f t="shared" si="231"/>
        <v>522763.19419765694</v>
      </c>
      <c r="E207" s="102">
        <f t="shared" si="231"/>
        <v>524068.16027248779</v>
      </c>
      <c r="F207" s="102">
        <f t="shared" si="231"/>
        <v>537534.90319144318</v>
      </c>
      <c r="G207" s="102">
        <f t="shared" si="231"/>
        <v>530958.45443736378</v>
      </c>
      <c r="H207" s="102">
        <f t="shared" si="231"/>
        <v>513514.99481186725</v>
      </c>
      <c r="I207" s="102">
        <f t="shared" si="231"/>
        <v>508758.10731386882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0</v>
      </c>
      <c r="S208" s="102">
        <f t="shared" si="231"/>
        <v>0</v>
      </c>
      <c r="T208" s="102">
        <f t="shared" si="231"/>
        <v>0</v>
      </c>
      <c r="U208" s="102">
        <f t="shared" si="231"/>
        <v>0</v>
      </c>
      <c r="V208" s="102">
        <f t="shared" si="231"/>
        <v>0</v>
      </c>
      <c r="W208" s="102">
        <f t="shared" si="233"/>
        <v>0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1102428.5727705972</v>
      </c>
      <c r="K209" s="102">
        <f t="shared" si="231"/>
        <v>1160614.1845357735</v>
      </c>
      <c r="L209" s="102">
        <f t="shared" si="231"/>
        <v>1122006.124423631</v>
      </c>
      <c r="M209" s="102">
        <f t="shared" si="234"/>
        <v>1139497.8158045893</v>
      </c>
      <c r="N209" s="102">
        <f t="shared" si="231"/>
        <v>1120329.5235692612</v>
      </c>
      <c r="O209" s="102">
        <f t="shared" si="231"/>
        <v>1121106.9045340645</v>
      </c>
      <c r="P209" s="102">
        <f t="shared" si="231"/>
        <v>1138002.5252219921</v>
      </c>
      <c r="Q209" s="102">
        <f t="shared" si="231"/>
        <v>1122618.122108236</v>
      </c>
      <c r="R209" s="102">
        <f t="shared" si="231"/>
        <v>1125697.7763021691</v>
      </c>
      <c r="S209" s="102">
        <f t="shared" si="231"/>
        <v>1119668.8666734884</v>
      </c>
      <c r="T209" s="102">
        <f t="shared" si="231"/>
        <v>1118003.8585596948</v>
      </c>
      <c r="U209" s="102">
        <f t="shared" si="231"/>
        <v>1116867.1811547878</v>
      </c>
      <c r="V209" s="102">
        <f t="shared" si="231"/>
        <v>861734.48675284768</v>
      </c>
      <c r="W209" s="102">
        <f t="shared" si="233"/>
        <v>1019893.5980775804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49925.850688203762</v>
      </c>
      <c r="C210" s="28">
        <f t="shared" si="231"/>
        <v>49466.063255733803</v>
      </c>
      <c r="D210" s="28">
        <f t="shared" si="231"/>
        <v>53620.891042122938</v>
      </c>
      <c r="E210" s="28">
        <f t="shared" si="231"/>
        <v>55433.759965410645</v>
      </c>
      <c r="F210" s="28">
        <f t="shared" ref="B210:V219" si="235">IF(F19=0,0,F19*1000000/F73)</f>
        <v>57750.16695949142</v>
      </c>
      <c r="G210" s="28">
        <f t="shared" si="235"/>
        <v>56435.433407159762</v>
      </c>
      <c r="H210" s="28">
        <f t="shared" si="235"/>
        <v>51925.027111487667</v>
      </c>
      <c r="I210" s="28">
        <f t="shared" si="235"/>
        <v>50317.386037145006</v>
      </c>
      <c r="J210" s="28">
        <f t="shared" si="235"/>
        <v>48803.250269479868</v>
      </c>
      <c r="K210" s="28">
        <f t="shared" si="235"/>
        <v>36044.717212082942</v>
      </c>
      <c r="L210" s="28">
        <f t="shared" si="235"/>
        <v>36481.693579719584</v>
      </c>
      <c r="M210" s="28">
        <f t="shared" si="234"/>
        <v>35226.102560313309</v>
      </c>
      <c r="N210" s="28">
        <f t="shared" si="235"/>
        <v>35191.505931200678</v>
      </c>
      <c r="O210" s="28">
        <f t="shared" si="235"/>
        <v>34545.739504151476</v>
      </c>
      <c r="P210" s="28">
        <f t="shared" si="235"/>
        <v>36077.562140949456</v>
      </c>
      <c r="Q210" s="28">
        <f t="shared" si="235"/>
        <v>36661.896107773253</v>
      </c>
      <c r="R210" s="28">
        <f t="shared" si="235"/>
        <v>41291.480473910458</v>
      </c>
      <c r="S210" s="28">
        <f t="shared" si="235"/>
        <v>40736.237911177093</v>
      </c>
      <c r="T210" s="28">
        <f t="shared" si="235"/>
        <v>41281.233324739653</v>
      </c>
      <c r="U210" s="28">
        <f t="shared" si="235"/>
        <v>43541.358010621618</v>
      </c>
      <c r="V210" s="28">
        <f t="shared" si="235"/>
        <v>37317.544602661408</v>
      </c>
      <c r="W210" s="28">
        <f t="shared" ref="W210" si="236">IF(W19=0,0,W19*1000000/W73)</f>
        <v>40685.186199551645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10278.318429373488</v>
      </c>
      <c r="C211" s="137">
        <f t="shared" si="235"/>
        <v>10246.139024889502</v>
      </c>
      <c r="D211" s="137">
        <f t="shared" si="235"/>
        <v>10205.132851813018</v>
      </c>
      <c r="E211" s="137">
        <f t="shared" si="235"/>
        <v>10165.557610854254</v>
      </c>
      <c r="F211" s="137">
        <f t="shared" si="235"/>
        <v>10121.676826078297</v>
      </c>
      <c r="G211" s="137">
        <f t="shared" si="235"/>
        <v>10083.210992050566</v>
      </c>
      <c r="H211" s="137">
        <f t="shared" si="235"/>
        <v>10041.799156199637</v>
      </c>
      <c r="I211" s="137">
        <f t="shared" si="235"/>
        <v>9989.8296255239093</v>
      </c>
      <c r="J211" s="137">
        <f t="shared" si="235"/>
        <v>9911.0205024295483</v>
      </c>
      <c r="K211" s="137">
        <f t="shared" si="235"/>
        <v>9804.3985859308432</v>
      </c>
      <c r="L211" s="137">
        <f t="shared" si="235"/>
        <v>9629.8847250804065</v>
      </c>
      <c r="M211" s="137">
        <f t="shared" si="234"/>
        <v>9611.7025471416728</v>
      </c>
      <c r="N211" s="137">
        <f t="shared" si="235"/>
        <v>9441.0889166671604</v>
      </c>
      <c r="O211" s="137">
        <f t="shared" si="235"/>
        <v>9604.8757218871579</v>
      </c>
      <c r="P211" s="137">
        <f t="shared" si="235"/>
        <v>9632.7122048327092</v>
      </c>
      <c r="Q211" s="137">
        <f t="shared" si="235"/>
        <v>9460.6378354926128</v>
      </c>
      <c r="R211" s="137">
        <f t="shared" si="235"/>
        <v>9455.210158045842</v>
      </c>
      <c r="S211" s="137">
        <f t="shared" si="235"/>
        <v>9370.4724505164668</v>
      </c>
      <c r="T211" s="137">
        <f t="shared" si="235"/>
        <v>9452.4084174799464</v>
      </c>
      <c r="U211" s="137">
        <f t="shared" si="235"/>
        <v>9323.8731393717189</v>
      </c>
      <c r="V211" s="137">
        <f t="shared" si="235"/>
        <v>9158.3489610487195</v>
      </c>
      <c r="W211" s="137">
        <f t="shared" ref="W211" si="237">IF(W20=0,0,W20*1000000/W74)</f>
        <v>9304.028207955982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4597.3541616408429</v>
      </c>
      <c r="C212" s="84">
        <f t="shared" si="235"/>
        <v>4573.6171791854049</v>
      </c>
      <c r="D212" s="84">
        <f t="shared" si="235"/>
        <v>4548.3380800189789</v>
      </c>
      <c r="E212" s="84">
        <f t="shared" si="235"/>
        <v>4523.3680035727903</v>
      </c>
      <c r="F212" s="84">
        <f t="shared" si="235"/>
        <v>4496.8815994847537</v>
      </c>
      <c r="G212" s="84">
        <f t="shared" si="235"/>
        <v>4471.1674488781218</v>
      </c>
      <c r="H212" s="84">
        <f t="shared" si="235"/>
        <v>4446.5380166000978</v>
      </c>
      <c r="I212" s="84">
        <f t="shared" si="235"/>
        <v>4419.4728496135576</v>
      </c>
      <c r="J212" s="84">
        <f t="shared" si="235"/>
        <v>4383.3888386030367</v>
      </c>
      <c r="K212" s="84">
        <f t="shared" si="235"/>
        <v>4340.6622682470952</v>
      </c>
      <c r="L212" s="84">
        <f t="shared" si="235"/>
        <v>4296.3308080932256</v>
      </c>
      <c r="M212" s="84">
        <f t="shared" si="234"/>
        <v>4282.6604352455206</v>
      </c>
      <c r="N212" s="84">
        <f t="shared" si="235"/>
        <v>4239.4035663434488</v>
      </c>
      <c r="O212" s="84">
        <f t="shared" si="235"/>
        <v>4278.4676908429901</v>
      </c>
      <c r="P212" s="84">
        <f t="shared" si="235"/>
        <v>4256.3584017223629</v>
      </c>
      <c r="Q212" s="84">
        <f t="shared" si="235"/>
        <v>4179.8857543532358</v>
      </c>
      <c r="R212" s="84">
        <f t="shared" si="235"/>
        <v>4177.0090162776532</v>
      </c>
      <c r="S212" s="84">
        <f t="shared" si="235"/>
        <v>4140.3176641772643</v>
      </c>
      <c r="T212" s="84">
        <f t="shared" si="235"/>
        <v>4176.7525633095802</v>
      </c>
      <c r="U212" s="84">
        <f t="shared" si="235"/>
        <v>4140.1659430887566</v>
      </c>
      <c r="V212" s="84">
        <f t="shared" si="235"/>
        <v>4104.3685700477408</v>
      </c>
      <c r="W212" s="84">
        <f t="shared" ref="W212" si="238">IF(W21=0,0,W21*1000000/W75)</f>
        <v>4141.3816428027294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10419.990022502396</v>
      </c>
      <c r="C213" s="84">
        <f t="shared" si="235"/>
        <v>10366.189703524644</v>
      </c>
      <c r="D213" s="84">
        <f t="shared" si="235"/>
        <v>10308.894147900537</v>
      </c>
      <c r="E213" s="84">
        <f t="shared" si="235"/>
        <v>10252.298998107344</v>
      </c>
      <c r="F213" s="84">
        <f t="shared" si="235"/>
        <v>10192.267063080004</v>
      </c>
      <c r="G213" s="84">
        <f t="shared" si="235"/>
        <v>10133.985455151284</v>
      </c>
      <c r="H213" s="84">
        <f t="shared" si="235"/>
        <v>10078.162381797863</v>
      </c>
      <c r="I213" s="84">
        <f t="shared" si="235"/>
        <v>10016.818669731871</v>
      </c>
      <c r="J213" s="84">
        <f t="shared" si="235"/>
        <v>9935.033577376209</v>
      </c>
      <c r="K213" s="84">
        <f t="shared" si="235"/>
        <v>9826.8496212129085</v>
      </c>
      <c r="L213" s="84">
        <f t="shared" si="235"/>
        <v>9649.369313622461</v>
      </c>
      <c r="M213" s="84">
        <f t="shared" si="234"/>
        <v>9628.9989368664574</v>
      </c>
      <c r="N213" s="84">
        <f t="shared" si="235"/>
        <v>9456.1675621257436</v>
      </c>
      <c r="O213" s="84">
        <f t="shared" si="235"/>
        <v>9619.5721023076767</v>
      </c>
      <c r="P213" s="84">
        <f t="shared" si="235"/>
        <v>9647.1166933791046</v>
      </c>
      <c r="Q213" s="84">
        <f t="shared" si="235"/>
        <v>9473.7899940290081</v>
      </c>
      <c r="R213" s="84">
        <f t="shared" si="235"/>
        <v>9467.2698128571865</v>
      </c>
      <c r="S213" s="84">
        <f t="shared" si="235"/>
        <v>9384.108170452475</v>
      </c>
      <c r="T213" s="84">
        <f t="shared" si="235"/>
        <v>9466.6885573622603</v>
      </c>
      <c r="U213" s="84">
        <f t="shared" si="235"/>
        <v>9341.2915077531361</v>
      </c>
      <c r="V213" s="84">
        <f t="shared" si="235"/>
        <v>9186.3647520988015</v>
      </c>
      <c r="W213" s="84">
        <f t="shared" ref="W213" si="239">IF(W22=0,0,W22*1000000/W76)</f>
        <v>9343.2869123635119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5205.5809825958522</v>
      </c>
      <c r="P214" s="84">
        <f t="shared" si="235"/>
        <v>5179.9004847968517</v>
      </c>
      <c r="Q214" s="84">
        <f t="shared" si="235"/>
        <v>5129.8597894335171</v>
      </c>
      <c r="R214" s="84">
        <f t="shared" si="235"/>
        <v>5087.6839957766415</v>
      </c>
      <c r="S214" s="84">
        <f t="shared" si="235"/>
        <v>5045.0160233169836</v>
      </c>
      <c r="T214" s="84">
        <f t="shared" si="235"/>
        <v>5087.3858287148314</v>
      </c>
      <c r="U214" s="84">
        <f t="shared" si="235"/>
        <v>5044.8395529406253</v>
      </c>
      <c r="V214" s="84">
        <f t="shared" si="235"/>
        <v>5003.1945426668426</v>
      </c>
      <c r="W214" s="84">
        <f t="shared" ref="W214" si="240">IF(W23=0,0,W23*1000000/W77)</f>
        <v>5046.2535536922078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6632.440547728168</v>
      </c>
      <c r="N216" s="84">
        <f t="shared" si="235"/>
        <v>6635.5017702859577</v>
      </c>
      <c r="O216" s="84">
        <f t="shared" si="235"/>
        <v>6638.2688501237681</v>
      </c>
      <c r="P216" s="84">
        <f t="shared" si="235"/>
        <v>6639.8323374502534</v>
      </c>
      <c r="Q216" s="84">
        <f t="shared" si="235"/>
        <v>6642.9023940090938</v>
      </c>
      <c r="R216" s="84">
        <f t="shared" si="235"/>
        <v>6640.2914207008052</v>
      </c>
      <c r="S216" s="84">
        <f t="shared" si="235"/>
        <v>6637.6289174555668</v>
      </c>
      <c r="T216" s="84">
        <f t="shared" si="235"/>
        <v>6634.9859988469179</v>
      </c>
      <c r="U216" s="84">
        <f t="shared" si="235"/>
        <v>6632.3330850685124</v>
      </c>
      <c r="V216" s="84">
        <f t="shared" si="235"/>
        <v>6593.1798564187948</v>
      </c>
      <c r="W216" s="84">
        <f t="shared" ref="W216" si="242">IF(W25=0,0,W25*1000000/W79)</f>
        <v>6632.2445764500389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144975.16959762239</v>
      </c>
      <c r="C217" s="110">
        <f t="shared" si="235"/>
        <v>139205.95290048173</v>
      </c>
      <c r="D217" s="110">
        <f t="shared" si="235"/>
        <v>157982.87408315754</v>
      </c>
      <c r="E217" s="110">
        <f t="shared" si="235"/>
        <v>169634.6248356748</v>
      </c>
      <c r="F217" s="110">
        <f t="shared" si="235"/>
        <v>180273.93102166115</v>
      </c>
      <c r="G217" s="110">
        <f t="shared" si="235"/>
        <v>171627.59514712679</v>
      </c>
      <c r="H217" s="110">
        <f t="shared" si="235"/>
        <v>151292.32381175138</v>
      </c>
      <c r="I217" s="110">
        <f t="shared" si="235"/>
        <v>140323.8162891689</v>
      </c>
      <c r="J217" s="110">
        <f t="shared" si="235"/>
        <v>155205.98341117692</v>
      </c>
      <c r="K217" s="110">
        <f t="shared" si="235"/>
        <v>113850.64231678177</v>
      </c>
      <c r="L217" s="110">
        <f t="shared" si="235"/>
        <v>116493.84455821081</v>
      </c>
      <c r="M217" s="110">
        <f t="shared" si="234"/>
        <v>112690.9958216713</v>
      </c>
      <c r="N217" s="110">
        <f t="shared" si="235"/>
        <v>111967.29624183195</v>
      </c>
      <c r="O217" s="110">
        <f t="shared" si="235"/>
        <v>111338.60227684175</v>
      </c>
      <c r="P217" s="110">
        <f t="shared" si="235"/>
        <v>111012.5640732371</v>
      </c>
      <c r="Q217" s="110">
        <f t="shared" si="235"/>
        <v>106933.04903884066</v>
      </c>
      <c r="R217" s="110">
        <f t="shared" si="235"/>
        <v>120062.42644625535</v>
      </c>
      <c r="S217" s="110">
        <f t="shared" si="235"/>
        <v>114878.71893074422</v>
      </c>
      <c r="T217" s="110">
        <f t="shared" si="235"/>
        <v>115249.94412575431</v>
      </c>
      <c r="U217" s="110">
        <f t="shared" si="235"/>
        <v>122084.65908494261</v>
      </c>
      <c r="V217" s="110">
        <f t="shared" si="235"/>
        <v>103809.02153673946</v>
      </c>
      <c r="W217" s="110">
        <f t="shared" ref="W217" si="243">IF(W26=0,0,W26*1000000/W80)</f>
        <v>112342.32928066941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128945.94385585029</v>
      </c>
      <c r="C218" s="163">
        <f t="shared" si="235"/>
        <v>124031.21855709353</v>
      </c>
      <c r="D218" s="163">
        <f t="shared" si="235"/>
        <v>142544.03443054116</v>
      </c>
      <c r="E218" s="163">
        <f t="shared" si="235"/>
        <v>154524.38598081231</v>
      </c>
      <c r="F218" s="163">
        <f t="shared" si="235"/>
        <v>163720.37709203077</v>
      </c>
      <c r="G218" s="163">
        <f t="shared" si="235"/>
        <v>156062.00962064308</v>
      </c>
      <c r="H218" s="163">
        <f t="shared" si="235"/>
        <v>136752.81276570505</v>
      </c>
      <c r="I218" s="163">
        <f t="shared" si="235"/>
        <v>126266.78101972591</v>
      </c>
      <c r="J218" s="163">
        <f t="shared" si="235"/>
        <v>140633.77967197818</v>
      </c>
      <c r="K218" s="163">
        <f t="shared" si="235"/>
        <v>99576.719576719581</v>
      </c>
      <c r="L218" s="163">
        <f t="shared" si="235"/>
        <v>100629.16177046612</v>
      </c>
      <c r="M218" s="163">
        <f t="shared" si="234"/>
        <v>94752.46394459455</v>
      </c>
      <c r="N218" s="163">
        <f t="shared" si="235"/>
        <v>95631.549775067993</v>
      </c>
      <c r="O218" s="163">
        <f t="shared" si="235"/>
        <v>95312.31425590087</v>
      </c>
      <c r="P218" s="163">
        <f t="shared" si="235"/>
        <v>96194.186394965538</v>
      </c>
      <c r="Q218" s="163">
        <f t="shared" si="235"/>
        <v>91305.933709068238</v>
      </c>
      <c r="R218" s="163">
        <f t="shared" si="235"/>
        <v>106561.80033296974</v>
      </c>
      <c r="S218" s="163">
        <f t="shared" si="235"/>
        <v>102157.95815532916</v>
      </c>
      <c r="T218" s="163">
        <f t="shared" si="235"/>
        <v>101332.26981697459</v>
      </c>
      <c r="U218" s="163">
        <f t="shared" si="235"/>
        <v>106547.07373713702</v>
      </c>
      <c r="V218" s="163">
        <f t="shared" si="235"/>
        <v>98025.212357301309</v>
      </c>
      <c r="W218" s="163">
        <f t="shared" ref="W218" si="244">IF(W27=0,0,W27*1000000/W81)</f>
        <v>106589.20781668072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1212297.0957915222</v>
      </c>
      <c r="C219" s="86">
        <f t="shared" si="235"/>
        <v>1211291.4591625642</v>
      </c>
      <c r="D219" s="86">
        <f t="shared" si="235"/>
        <v>1218445.2159885087</v>
      </c>
      <c r="E219" s="86">
        <f t="shared" si="235"/>
        <v>1211660.9805794384</v>
      </c>
      <c r="F219" s="86">
        <f t="shared" si="235"/>
        <v>1189528.110675402</v>
      </c>
      <c r="G219" s="86">
        <f t="shared" si="235"/>
        <v>1190371.8592723373</v>
      </c>
      <c r="H219" s="86">
        <f t="shared" si="235"/>
        <v>1197247.7891484525</v>
      </c>
      <c r="I219" s="86">
        <f t="shared" si="235"/>
        <v>1199849.6685966714</v>
      </c>
      <c r="J219" s="86">
        <f t="shared" si="235"/>
        <v>1183249.3441385089</v>
      </c>
      <c r="K219" s="86">
        <f t="shared" si="235"/>
        <v>1166753.6163343792</v>
      </c>
      <c r="L219" s="86">
        <f t="shared" si="235"/>
        <v>1204723.168678774</v>
      </c>
      <c r="M219" s="86">
        <f t="shared" si="234"/>
        <v>1201390.0239918798</v>
      </c>
      <c r="N219" s="86">
        <f t="shared" si="235"/>
        <v>1196993.7304413868</v>
      </c>
      <c r="O219" s="86">
        <f t="shared" si="235"/>
        <v>1198555.6630092899</v>
      </c>
      <c r="P219" s="86">
        <f t="shared" si="235"/>
        <v>1201797.7033171821</v>
      </c>
      <c r="Q219" s="86">
        <f t="shared" si="235"/>
        <v>1190238.8441139059</v>
      </c>
      <c r="R219" s="86">
        <f t="shared" si="235"/>
        <v>1184168.3371581202</v>
      </c>
      <c r="S219" s="86">
        <f t="shared" si="235"/>
        <v>1194133.5992166547</v>
      </c>
      <c r="T219" s="86">
        <f t="shared" si="235"/>
        <v>1203032.8559393429</v>
      </c>
      <c r="U219" s="86">
        <f t="shared" si="235"/>
        <v>1198523.9852398525</v>
      </c>
      <c r="V219" s="86">
        <f t="shared" si="235"/>
        <v>1181451.6129032257</v>
      </c>
      <c r="W219" s="86">
        <f t="shared" ref="W219" si="245">IF(W28=0,0,W28*1000000/W82)</f>
        <v>1193737.7690802349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2.8744484294669467E-3</v>
      </c>
      <c r="C223" s="154">
        <f t="shared" si="250"/>
        <v>2.9587071402641142E-3</v>
      </c>
      <c r="D223" s="154">
        <f t="shared" si="250"/>
        <v>2.8770051543507164E-3</v>
      </c>
      <c r="E223" s="154">
        <f t="shared" si="250"/>
        <v>2.9330143623317283E-3</v>
      </c>
      <c r="F223" s="154">
        <f t="shared" si="250"/>
        <v>2.6671306136351481E-3</v>
      </c>
      <c r="G223" s="154">
        <f t="shared" si="250"/>
        <v>3.1519875844729403E-3</v>
      </c>
      <c r="H223" s="154">
        <f t="shared" si="250"/>
        <v>3.0101246321127201E-3</v>
      </c>
      <c r="I223" s="154">
        <f t="shared" si="250"/>
        <v>2.926910265272416E-3</v>
      </c>
      <c r="J223" s="154">
        <f t="shared" si="250"/>
        <v>3.0572084800119057E-3</v>
      </c>
      <c r="K223" s="154">
        <f t="shared" si="250"/>
        <v>2.7943478087165217E-3</v>
      </c>
      <c r="L223" s="154">
        <f t="shared" ref="L223" si="251">IF(L5=0,0,L5/L$4)</f>
        <v>2.4973461092428731E-3</v>
      </c>
      <c r="M223" s="154">
        <f t="shared" ref="M223:V223" si="252">IF(M5=0,0,M5/M$4)</f>
        <v>2.3199164155703086E-3</v>
      </c>
      <c r="N223" s="154">
        <f t="shared" si="252"/>
        <v>2.1217744564296028E-3</v>
      </c>
      <c r="O223" s="154">
        <f t="shared" si="252"/>
        <v>2.054249546661537E-3</v>
      </c>
      <c r="P223" s="154">
        <f t="shared" si="252"/>
        <v>2.3988593239864034E-3</v>
      </c>
      <c r="Q223" s="154">
        <f t="shared" si="252"/>
        <v>2.1074976425059177E-3</v>
      </c>
      <c r="R223" s="154">
        <f t="shared" si="252"/>
        <v>2.0708267147426488E-3</v>
      </c>
      <c r="S223" s="154">
        <f t="shared" si="252"/>
        <v>1.9011274895268456E-3</v>
      </c>
      <c r="T223" s="154">
        <f t="shared" si="252"/>
        <v>1.7717528710092362E-3</v>
      </c>
      <c r="U223" s="154">
        <f t="shared" si="252"/>
        <v>1.8509223574684926E-3</v>
      </c>
      <c r="V223" s="154">
        <f t="shared" si="252"/>
        <v>1.9933258338384512E-3</v>
      </c>
      <c r="W223" s="154">
        <f t="shared" ref="W223" si="253">IF(W5=0,0,W5/W$4)</f>
        <v>1.9565515670027542E-3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0.83010644601919137</v>
      </c>
      <c r="C224" s="156">
        <f t="shared" si="254"/>
        <v>0.83090952616479408</v>
      </c>
      <c r="D224" s="156">
        <f t="shared" si="254"/>
        <v>0.83638066985481574</v>
      </c>
      <c r="E224" s="156">
        <f t="shared" si="254"/>
        <v>0.83885964595856766</v>
      </c>
      <c r="F224" s="156">
        <f t="shared" si="254"/>
        <v>0.84205111380041464</v>
      </c>
      <c r="G224" s="156">
        <f t="shared" si="254"/>
        <v>0.84596605250656243</v>
      </c>
      <c r="H224" s="156">
        <f t="shared" si="254"/>
        <v>0.84888296308677635</v>
      </c>
      <c r="I224" s="156">
        <f t="shared" si="254"/>
        <v>0.85003469611207205</v>
      </c>
      <c r="J224" s="156">
        <f t="shared" si="254"/>
        <v>0.84827588401262144</v>
      </c>
      <c r="K224" s="156">
        <f t="shared" si="254"/>
        <v>0.84283291506815328</v>
      </c>
      <c r="L224" s="156">
        <f t="shared" ref="L224" si="255">IF(L6=0,0,L6/L$4)</f>
        <v>0.84826634776991727</v>
      </c>
      <c r="M224" s="156">
        <f t="shared" ref="M224:V224" si="256">IF(M6=0,0,M6/M$4)</f>
        <v>0.84798500798190157</v>
      </c>
      <c r="N224" s="156">
        <f t="shared" si="256"/>
        <v>0.85006278564697091</v>
      </c>
      <c r="O224" s="156">
        <f t="shared" si="256"/>
        <v>0.85347806930944892</v>
      </c>
      <c r="P224" s="156">
        <f t="shared" si="256"/>
        <v>0.84677198402181741</v>
      </c>
      <c r="Q224" s="156">
        <f t="shared" si="256"/>
        <v>0.85729900030178141</v>
      </c>
      <c r="R224" s="156">
        <f t="shared" si="256"/>
        <v>0.85799037889679208</v>
      </c>
      <c r="S224" s="156">
        <f t="shared" si="256"/>
        <v>0.85042964677082555</v>
      </c>
      <c r="T224" s="156">
        <f t="shared" si="256"/>
        <v>0.84333248052743415</v>
      </c>
      <c r="U224" s="156">
        <f t="shared" si="256"/>
        <v>0.84476276792585936</v>
      </c>
      <c r="V224" s="156">
        <f t="shared" si="256"/>
        <v>0.87163272898149158</v>
      </c>
      <c r="W224" s="156">
        <f t="shared" ref="W224" si="257">IF(W6=0,0,W6/W$4)</f>
        <v>0.86694520424201904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0.71024587623046587</v>
      </c>
      <c r="C225" s="103">
        <f t="shared" si="258"/>
        <v>0.71243434920029536</v>
      </c>
      <c r="D225" s="103">
        <f t="shared" si="258"/>
        <v>0.71492138015847273</v>
      </c>
      <c r="E225" s="103">
        <f t="shared" si="258"/>
        <v>0.7131307477219051</v>
      </c>
      <c r="F225" s="103">
        <f t="shared" si="258"/>
        <v>0.70696475649664581</v>
      </c>
      <c r="G225" s="103">
        <f t="shared" si="258"/>
        <v>0.68943344606703338</v>
      </c>
      <c r="H225" s="103">
        <f t="shared" si="258"/>
        <v>0.68729953032201407</v>
      </c>
      <c r="I225" s="103">
        <f t="shared" si="258"/>
        <v>0.68044159813655503</v>
      </c>
      <c r="J225" s="103">
        <f t="shared" si="258"/>
        <v>0.65058418836077925</v>
      </c>
      <c r="K225" s="103">
        <f t="shared" si="258"/>
        <v>0.61571847049695116</v>
      </c>
      <c r="L225" s="103">
        <f t="shared" ref="L225" si="259">IF(L7=0,0,L7/L$4)</f>
        <v>0.58250023944793461</v>
      </c>
      <c r="M225" s="103">
        <f t="shared" ref="M225:V225" si="260">IF(M7=0,0,M7/M$4)</f>
        <v>0.53341691228080457</v>
      </c>
      <c r="N225" s="103">
        <f t="shared" si="260"/>
        <v>0.51163074153241406</v>
      </c>
      <c r="O225" s="103">
        <f t="shared" si="260"/>
        <v>0.47575162533153487</v>
      </c>
      <c r="P225" s="103">
        <f t="shared" si="260"/>
        <v>0.44606292590447649</v>
      </c>
      <c r="Q225" s="103">
        <f t="shared" si="260"/>
        <v>0.40548503816875914</v>
      </c>
      <c r="R225" s="103">
        <f t="shared" si="260"/>
        <v>0.3672336287897553</v>
      </c>
      <c r="S225" s="103">
        <f t="shared" si="260"/>
        <v>0.33680304859004528</v>
      </c>
      <c r="T225" s="103">
        <f t="shared" si="260"/>
        <v>0.31452630904359441</v>
      </c>
      <c r="U225" s="103">
        <f t="shared" si="260"/>
        <v>0.30243818476678269</v>
      </c>
      <c r="V225" s="103">
        <f t="shared" si="260"/>
        <v>0.28638040955607413</v>
      </c>
      <c r="W225" s="103">
        <f t="shared" ref="W225" si="261">IF(W7=0,0,W7/W$4)</f>
        <v>0.28075111901277849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0.11888261358814331</v>
      </c>
      <c r="C226" s="103">
        <f t="shared" si="262"/>
        <v>0.11778812426383925</v>
      </c>
      <c r="D226" s="103">
        <f t="shared" si="262"/>
        <v>0.12088845346399983</v>
      </c>
      <c r="E226" s="103">
        <f t="shared" si="262"/>
        <v>0.12526150635107292</v>
      </c>
      <c r="F226" s="103">
        <f t="shared" si="262"/>
        <v>0.13465717107864758</v>
      </c>
      <c r="G226" s="103">
        <f t="shared" si="262"/>
        <v>0.15614254478284809</v>
      </c>
      <c r="H226" s="103">
        <f t="shared" si="262"/>
        <v>0.16127948401486605</v>
      </c>
      <c r="I226" s="103">
        <f t="shared" si="262"/>
        <v>0.16918456077334912</v>
      </c>
      <c r="J226" s="103">
        <f t="shared" si="262"/>
        <v>0.19739869805799926</v>
      </c>
      <c r="K226" s="103">
        <f t="shared" si="262"/>
        <v>0.2269067571637432</v>
      </c>
      <c r="L226" s="103">
        <f t="shared" ref="L226" si="263">IF(L8=0,0,L8/L$4)</f>
        <v>0.26557497219763393</v>
      </c>
      <c r="M226" s="103">
        <f t="shared" ref="M226:V226" si="264">IF(M8=0,0,M8/M$4)</f>
        <v>0.31413523697820167</v>
      </c>
      <c r="N226" s="103">
        <f t="shared" si="264"/>
        <v>0.33774213314895418</v>
      </c>
      <c r="O226" s="103">
        <f t="shared" si="264"/>
        <v>0.37711962597002352</v>
      </c>
      <c r="P226" s="103">
        <f t="shared" si="264"/>
        <v>0.39960990894376608</v>
      </c>
      <c r="Q226" s="103">
        <f t="shared" si="264"/>
        <v>0.45045140750778767</v>
      </c>
      <c r="R226" s="103">
        <f t="shared" si="264"/>
        <v>0.48922061027758112</v>
      </c>
      <c r="S226" s="103">
        <f t="shared" si="264"/>
        <v>0.51197538026613965</v>
      </c>
      <c r="T226" s="103">
        <f t="shared" si="264"/>
        <v>0.52641562646270634</v>
      </c>
      <c r="U226" s="103">
        <f t="shared" si="264"/>
        <v>0.53840300656874074</v>
      </c>
      <c r="V226" s="103">
        <f t="shared" si="264"/>
        <v>0.57906907373071681</v>
      </c>
      <c r="W226" s="103">
        <f t="shared" ref="W226" si="265">IF(W8=0,0,W8/W$4)</f>
        <v>0.5726901457557394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9.7795620058207101E-4</v>
      </c>
      <c r="C227" s="103">
        <f t="shared" si="266"/>
        <v>6.8705270065946595E-4</v>
      </c>
      <c r="D227" s="103">
        <f t="shared" si="266"/>
        <v>5.7083623234320438E-4</v>
      </c>
      <c r="E227" s="103">
        <f t="shared" si="266"/>
        <v>4.6739188558955855E-4</v>
      </c>
      <c r="F227" s="103">
        <f t="shared" si="266"/>
        <v>4.2918622512119991E-4</v>
      </c>
      <c r="G227" s="103">
        <f t="shared" si="266"/>
        <v>3.9006165668094669E-4</v>
      </c>
      <c r="H227" s="103">
        <f t="shared" si="266"/>
        <v>3.0394874989621247E-4</v>
      </c>
      <c r="I227" s="103">
        <f t="shared" si="266"/>
        <v>4.0853720216793489E-4</v>
      </c>
      <c r="J227" s="103">
        <f t="shared" si="266"/>
        <v>2.9299759384291243E-4</v>
      </c>
      <c r="K227" s="103">
        <f t="shared" si="266"/>
        <v>2.0695096670981464E-4</v>
      </c>
      <c r="L227" s="103">
        <f t="shared" ref="L227" si="267">IF(L9=0,0,L9/L$4)</f>
        <v>1.8403912014471258E-4</v>
      </c>
      <c r="M227" s="103">
        <f t="shared" ref="M227:V227" si="268">IF(M9=0,0,M9/M$4)</f>
        <v>2.0458794374869096E-4</v>
      </c>
      <c r="N227" s="103">
        <f t="shared" si="268"/>
        <v>3.8532040456440501E-4</v>
      </c>
      <c r="O227" s="103">
        <f t="shared" si="268"/>
        <v>5.0940012366355869E-4</v>
      </c>
      <c r="P227" s="103">
        <f t="shared" si="268"/>
        <v>8.7014654225751854E-4</v>
      </c>
      <c r="Q227" s="103">
        <f t="shared" si="268"/>
        <v>9.4361619602198184E-4</v>
      </c>
      <c r="R227" s="103">
        <f t="shared" si="268"/>
        <v>8.9091991836146023E-4</v>
      </c>
      <c r="S227" s="103">
        <f t="shared" si="268"/>
        <v>7.5150866405642716E-4</v>
      </c>
      <c r="T227" s="103">
        <f t="shared" si="268"/>
        <v>6.3544364709572051E-4</v>
      </c>
      <c r="U227" s="103">
        <f t="shared" si="268"/>
        <v>5.5478388278019019E-4</v>
      </c>
      <c r="V227" s="103">
        <f t="shared" si="268"/>
        <v>5.7154499183328272E-4</v>
      </c>
      <c r="W227" s="103">
        <f t="shared" ref="W227" si="269">IF(W9=0,0,W9/W$4)</f>
        <v>5.3506666990462803E-4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0</v>
      </c>
      <c r="R228" s="103">
        <f t="shared" si="272"/>
        <v>0</v>
      </c>
      <c r="S228" s="103">
        <f t="shared" si="272"/>
        <v>0</v>
      </c>
      <c r="T228" s="103">
        <f t="shared" si="272"/>
        <v>0</v>
      </c>
      <c r="U228" s="103">
        <f t="shared" si="272"/>
        <v>0</v>
      </c>
      <c r="V228" s="103">
        <f t="shared" si="272"/>
        <v>0</v>
      </c>
      <c r="W228" s="103">
        <f t="shared" ref="W228" si="273">IF(W10=0,0,W10/W$4)</f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0</v>
      </c>
      <c r="O229" s="103">
        <f t="shared" si="276"/>
        <v>2.6604602132013403E-6</v>
      </c>
      <c r="P229" s="103">
        <f t="shared" si="276"/>
        <v>1.264597617237246E-5</v>
      </c>
      <c r="Q229" s="103">
        <f t="shared" si="276"/>
        <v>4.6511575203857651E-5</v>
      </c>
      <c r="R229" s="103">
        <f t="shared" si="276"/>
        <v>1.4654176765553897E-4</v>
      </c>
      <c r="S229" s="103">
        <f t="shared" si="276"/>
        <v>2.4735051915373641E-4</v>
      </c>
      <c r="T229" s="103">
        <f t="shared" si="276"/>
        <v>5.3719654930896104E-4</v>
      </c>
      <c r="U229" s="103">
        <f t="shared" si="276"/>
        <v>9.5936281781689283E-4</v>
      </c>
      <c r="V229" s="103">
        <f t="shared" si="276"/>
        <v>1.7910547489495571E-3</v>
      </c>
      <c r="W229" s="103">
        <f t="shared" ref="W229" si="277">IF(W11=0,0,W11/W$4)</f>
        <v>5.5434127004105839E-3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7.3644074912517883E-7</v>
      </c>
      <c r="L230" s="103">
        <f t="shared" ref="L230" si="279">IF(L12=0,0,L12/L$4)</f>
        <v>7.0970042040511663E-6</v>
      </c>
      <c r="M230" s="103">
        <f t="shared" ref="M230:V230" si="280">IF(M12=0,0,M12/M$4)</f>
        <v>2.2827077914673501E-4</v>
      </c>
      <c r="N230" s="103">
        <f t="shared" si="280"/>
        <v>3.045905610382948E-4</v>
      </c>
      <c r="O230" s="103">
        <f t="shared" si="280"/>
        <v>9.4757424013762497E-5</v>
      </c>
      <c r="P230" s="103">
        <f t="shared" si="280"/>
        <v>2.1635665514512794E-4</v>
      </c>
      <c r="Q230" s="103">
        <f t="shared" si="280"/>
        <v>3.7242685400872737E-4</v>
      </c>
      <c r="R230" s="103">
        <f t="shared" si="280"/>
        <v>4.9867814343859175E-4</v>
      </c>
      <c r="S230" s="103">
        <f t="shared" si="280"/>
        <v>6.5235873143057465E-4</v>
      </c>
      <c r="T230" s="103">
        <f t="shared" si="280"/>
        <v>1.2179048247287802E-3</v>
      </c>
      <c r="U230" s="103">
        <f t="shared" si="280"/>
        <v>2.4074298897388551E-3</v>
      </c>
      <c r="V230" s="103">
        <f t="shared" si="280"/>
        <v>3.820645953917819E-3</v>
      </c>
      <c r="W230" s="103">
        <f t="shared" ref="W230" si="281">IF(W12=0,0,W12/W$4)</f>
        <v>7.4254601031859373E-3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0.16701910555134167</v>
      </c>
      <c r="C231" s="156">
        <f t="shared" si="282"/>
        <v>0.16613176669494178</v>
      </c>
      <c r="D231" s="156">
        <f t="shared" si="282"/>
        <v>0.16074232499083346</v>
      </c>
      <c r="E231" s="156">
        <f t="shared" si="282"/>
        <v>0.15820733967910067</v>
      </c>
      <c r="F231" s="156">
        <f t="shared" si="282"/>
        <v>0.1552817555859502</v>
      </c>
      <c r="G231" s="156">
        <f t="shared" si="282"/>
        <v>0.15088195990896466</v>
      </c>
      <c r="H231" s="156">
        <f t="shared" si="282"/>
        <v>0.14810691228111095</v>
      </c>
      <c r="I231" s="156">
        <f t="shared" si="282"/>
        <v>0.14703839362265553</v>
      </c>
      <c r="J231" s="156">
        <f t="shared" si="282"/>
        <v>0.14866690750736664</v>
      </c>
      <c r="K231" s="156">
        <f t="shared" si="282"/>
        <v>0.15437273712313013</v>
      </c>
      <c r="L231" s="156">
        <f t="shared" ref="L231" si="283">IF(L13=0,0,L13/L$4)</f>
        <v>0.14923630612083988</v>
      </c>
      <c r="M231" s="156">
        <f t="shared" ref="M231:V231" si="284">IF(M13=0,0,M13/M$4)</f>
        <v>0.14969507560252815</v>
      </c>
      <c r="N231" s="156">
        <f t="shared" si="284"/>
        <v>0.14781543989659948</v>
      </c>
      <c r="O231" s="156">
        <f t="shared" si="284"/>
        <v>0.1444676811438895</v>
      </c>
      <c r="P231" s="156">
        <f t="shared" si="284"/>
        <v>0.15082915665419611</v>
      </c>
      <c r="Q231" s="156">
        <f t="shared" si="284"/>
        <v>0.1405935020557128</v>
      </c>
      <c r="R231" s="156">
        <f t="shared" si="284"/>
        <v>0.13993879438846532</v>
      </c>
      <c r="S231" s="156">
        <f t="shared" si="284"/>
        <v>0.14766922573964758</v>
      </c>
      <c r="T231" s="156">
        <f t="shared" si="284"/>
        <v>0.15489576660155666</v>
      </c>
      <c r="U231" s="156">
        <f t="shared" si="284"/>
        <v>0.15338630971667203</v>
      </c>
      <c r="V231" s="156">
        <f t="shared" si="284"/>
        <v>0.12637394518467004</v>
      </c>
      <c r="W231" s="156">
        <f t="shared" ref="W231" si="285">IF(W13=0,0,W13/W$4)</f>
        <v>0.13109824419097818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1.2950695938001343E-3</v>
      </c>
      <c r="C232" s="103">
        <f t="shared" si="286"/>
        <v>1.1304544307832616E-3</v>
      </c>
      <c r="D232" s="103">
        <f t="shared" si="286"/>
        <v>9.7662965568834749E-4</v>
      </c>
      <c r="E232" s="103">
        <f t="shared" si="286"/>
        <v>8.1741567753687995E-4</v>
      </c>
      <c r="F232" s="103">
        <f t="shared" si="286"/>
        <v>6.79202597598757E-4</v>
      </c>
      <c r="G232" s="103">
        <f t="shared" si="286"/>
        <v>5.5279650409685533E-4</v>
      </c>
      <c r="H232" s="103">
        <f t="shared" si="286"/>
        <v>4.3781515102204397E-4</v>
      </c>
      <c r="I232" s="103">
        <f t="shared" si="286"/>
        <v>3.6262476084733395E-4</v>
      </c>
      <c r="J232" s="103">
        <f t="shared" si="286"/>
        <v>2.9677433506533803E-4</v>
      </c>
      <c r="K232" s="103">
        <f t="shared" si="286"/>
        <v>2.5787360130033682E-4</v>
      </c>
      <c r="L232" s="103">
        <f t="shared" ref="L232" si="287">IF(L14=0,0,L14/L$4)</f>
        <v>2.0269393209157964E-4</v>
      </c>
      <c r="M232" s="103">
        <f t="shared" ref="M232:V232" si="288">IF(M14=0,0,M14/M$4)</f>
        <v>1.6582539665928946E-4</v>
      </c>
      <c r="N232" s="103">
        <f t="shared" si="288"/>
        <v>1.2564204215250921E-4</v>
      </c>
      <c r="O232" s="103">
        <f t="shared" si="288"/>
        <v>1.2265720724644744E-4</v>
      </c>
      <c r="P232" s="103">
        <f t="shared" si="288"/>
        <v>1.2598823449602094E-4</v>
      </c>
      <c r="Q232" s="103">
        <f t="shared" si="288"/>
        <v>9.9131988477981674E-5</v>
      </c>
      <c r="R232" s="103">
        <f t="shared" si="288"/>
        <v>7.7426785978183837E-5</v>
      </c>
      <c r="S232" s="103">
        <f t="shared" si="288"/>
        <v>9.411072527467092E-5</v>
      </c>
      <c r="T232" s="103">
        <f t="shared" si="288"/>
        <v>6.2660127037998718E-5</v>
      </c>
      <c r="U232" s="103">
        <f t="shared" si="288"/>
        <v>7.4871639451191727E-5</v>
      </c>
      <c r="V232" s="103">
        <f t="shared" si="288"/>
        <v>6.8084634485787647E-5</v>
      </c>
      <c r="W232" s="103">
        <f t="shared" ref="W232" si="289">IF(W14=0,0,W14/W$4)</f>
        <v>6.3548674510286257E-5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0.16572403595754151</v>
      </c>
      <c r="C233" s="103">
        <f t="shared" si="290"/>
        <v>0.16498940557364292</v>
      </c>
      <c r="D233" s="103">
        <f t="shared" si="290"/>
        <v>0.15975412475637571</v>
      </c>
      <c r="E233" s="103">
        <f t="shared" si="290"/>
        <v>0.15737891961774458</v>
      </c>
      <c r="F233" s="103">
        <f t="shared" si="290"/>
        <v>0.15459193455721768</v>
      </c>
      <c r="G233" s="103">
        <f t="shared" si="290"/>
        <v>0.15031904211264074</v>
      </c>
      <c r="H233" s="103">
        <f t="shared" si="290"/>
        <v>0.14765961867541647</v>
      </c>
      <c r="I233" s="103">
        <f t="shared" si="290"/>
        <v>0.14666675162761802</v>
      </c>
      <c r="J233" s="103">
        <f t="shared" si="290"/>
        <v>0.14835100447871333</v>
      </c>
      <c r="K233" s="103">
        <f t="shared" si="290"/>
        <v>0.15409484215713165</v>
      </c>
      <c r="L233" s="103">
        <f t="shared" ref="L233" si="291">IF(L15=0,0,L15/L$4)</f>
        <v>0.14901381787611187</v>
      </c>
      <c r="M233" s="103">
        <f t="shared" ref="M233:V233" si="292">IF(M15=0,0,M15/M$4)</f>
        <v>0.14950888909866802</v>
      </c>
      <c r="N233" s="103">
        <f t="shared" si="292"/>
        <v>0.14766936728775781</v>
      </c>
      <c r="O233" s="103">
        <f t="shared" si="292"/>
        <v>0.14432510905925611</v>
      </c>
      <c r="P233" s="103">
        <f t="shared" si="292"/>
        <v>0.15068274628459283</v>
      </c>
      <c r="Q233" s="103">
        <f t="shared" si="292"/>
        <v>0.14047583116321555</v>
      </c>
      <c r="R233" s="103">
        <f t="shared" si="292"/>
        <v>0.13984381760363893</v>
      </c>
      <c r="S233" s="103">
        <f t="shared" si="292"/>
        <v>0.14755827651076506</v>
      </c>
      <c r="T233" s="103">
        <f t="shared" si="292"/>
        <v>0.15481661244976105</v>
      </c>
      <c r="U233" s="103">
        <f t="shared" si="292"/>
        <v>0.15329537113775496</v>
      </c>
      <c r="V233" s="103">
        <f t="shared" si="292"/>
        <v>0.12624676526757483</v>
      </c>
      <c r="W233" s="103">
        <f t="shared" ref="W233" si="293">IF(W15=0,0,W15/W$4)</f>
        <v>0.13093611513611569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1.1906690515628427E-5</v>
      </c>
      <c r="D234" s="103">
        <f t="shared" si="294"/>
        <v>1.1570578769410379E-5</v>
      </c>
      <c r="E234" s="103">
        <f t="shared" si="294"/>
        <v>1.100438381918014E-5</v>
      </c>
      <c r="F234" s="103">
        <f t="shared" si="294"/>
        <v>1.0618431133763876E-5</v>
      </c>
      <c r="G234" s="103">
        <f t="shared" si="294"/>
        <v>1.0121292227075016E-5</v>
      </c>
      <c r="H234" s="103">
        <f t="shared" si="294"/>
        <v>9.4784546724372357E-6</v>
      </c>
      <c r="I234" s="103">
        <f t="shared" si="294"/>
        <v>9.0172341902041811E-6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0</v>
      </c>
      <c r="S235" s="103">
        <f t="shared" si="300"/>
        <v>0</v>
      </c>
      <c r="T235" s="103">
        <f t="shared" si="300"/>
        <v>0</v>
      </c>
      <c r="U235" s="103">
        <f t="shared" si="300"/>
        <v>0</v>
      </c>
      <c r="V235" s="103">
        <f t="shared" si="300"/>
        <v>0</v>
      </c>
      <c r="W235" s="103">
        <f t="shared" ref="W235" si="301">IF(W17=0,0,W17/W$4)</f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1.9128693587951047E-5</v>
      </c>
      <c r="K236" s="103">
        <f t="shared" si="302"/>
        <v>2.0021364698140191E-5</v>
      </c>
      <c r="L236" s="103">
        <f t="shared" ref="L236" si="303">IF(L18=0,0,L18/L$4)</f>
        <v>1.9794312636412683E-5</v>
      </c>
      <c r="M236" s="103">
        <f t="shared" ref="M236:V236" si="304">IF(M18=0,0,M18/M$4)</f>
        <v>2.0361107200843167E-5</v>
      </c>
      <c r="N236" s="103">
        <f t="shared" si="304"/>
        <v>2.0430566689145532E-5</v>
      </c>
      <c r="O236" s="103">
        <f t="shared" si="304"/>
        <v>1.9914877386931954E-5</v>
      </c>
      <c r="P236" s="103">
        <f t="shared" si="304"/>
        <v>2.042213510726949E-5</v>
      </c>
      <c r="Q236" s="103">
        <f t="shared" si="304"/>
        <v>1.8538904019263847E-5</v>
      </c>
      <c r="R236" s="103">
        <f t="shared" si="304"/>
        <v>1.7549998848206536E-5</v>
      </c>
      <c r="S236" s="103">
        <f t="shared" si="304"/>
        <v>1.6838503607876691E-5</v>
      </c>
      <c r="T236" s="103">
        <f t="shared" si="304"/>
        <v>1.6494024757610318E-5</v>
      </c>
      <c r="U236" s="103">
        <f t="shared" si="304"/>
        <v>1.6066939465879604E-5</v>
      </c>
      <c r="V236" s="103">
        <f t="shared" si="304"/>
        <v>5.9095282609422703E-5</v>
      </c>
      <c r="W236" s="103">
        <f t="shared" ref="W236" si="305">IF(W18=0,0,W18/W$4)</f>
        <v>9.8580380352201538E-5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0.14527408899336608</v>
      </c>
      <c r="C238" s="154">
        <f t="shared" si="310"/>
        <v>0.14413983788488274</v>
      </c>
      <c r="D238" s="154">
        <f t="shared" si="310"/>
        <v>0.1344057766937152</v>
      </c>
      <c r="E238" s="154">
        <f t="shared" si="310"/>
        <v>0.13132572528833117</v>
      </c>
      <c r="F238" s="154">
        <f t="shared" si="310"/>
        <v>0.12620653571202128</v>
      </c>
      <c r="G238" s="154">
        <f t="shared" si="310"/>
        <v>0.12740253038319349</v>
      </c>
      <c r="H238" s="154">
        <f t="shared" si="310"/>
        <v>0.13604676027857224</v>
      </c>
      <c r="I238" s="154">
        <f t="shared" si="310"/>
        <v>0.13710581277042891</v>
      </c>
      <c r="J238" s="154">
        <f t="shared" si="310"/>
        <v>0.14872084800111357</v>
      </c>
      <c r="K238" s="154">
        <f t="shared" si="310"/>
        <v>0.20340686244637746</v>
      </c>
      <c r="L238" s="154">
        <f t="shared" ref="L238" si="311">IF(L20=0,0,L20/L$19)</f>
        <v>0.19763815001768201</v>
      </c>
      <c r="M238" s="154">
        <f t="shared" ref="M238:V238" si="312">IF(M20=0,0,M20/M$19)</f>
        <v>0.20505446083486856</v>
      </c>
      <c r="N238" s="154">
        <f t="shared" si="312"/>
        <v>0.20089708703248083</v>
      </c>
      <c r="O238" s="154">
        <f t="shared" si="312"/>
        <v>0.20987135227095635</v>
      </c>
      <c r="P238" s="154">
        <f t="shared" si="312"/>
        <v>0.19735333612610523</v>
      </c>
      <c r="Q238" s="154">
        <f t="shared" si="312"/>
        <v>0.18603765845253903</v>
      </c>
      <c r="R238" s="154">
        <f t="shared" si="312"/>
        <v>0.16307723167031604</v>
      </c>
      <c r="S238" s="154">
        <f t="shared" si="312"/>
        <v>0.16164462915818995</v>
      </c>
      <c r="T238" s="154">
        <f t="shared" si="312"/>
        <v>0.16008930228818791</v>
      </c>
      <c r="U238" s="154">
        <f t="shared" si="312"/>
        <v>0.14915761884637208</v>
      </c>
      <c r="V238" s="154">
        <f t="shared" si="312"/>
        <v>0.17240362862874734</v>
      </c>
      <c r="W238" s="154">
        <f t="shared" ref="W238" si="313">IF(W20=0,0,W20/W$19)</f>
        <v>0.15903602429592675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1.5810194057130494E-3</v>
      </c>
      <c r="C239" s="103">
        <f t="shared" si="314"/>
        <v>1.3334499975186187E-3</v>
      </c>
      <c r="D239" s="103">
        <f t="shared" si="314"/>
        <v>1.0790038406024935E-3</v>
      </c>
      <c r="E239" s="103">
        <f t="shared" si="314"/>
        <v>8.8477592347994787E-4</v>
      </c>
      <c r="F239" s="103">
        <f t="shared" si="314"/>
        <v>6.9496406640585982E-4</v>
      </c>
      <c r="G239" s="103">
        <f t="shared" si="314"/>
        <v>5.0653897721714255E-4</v>
      </c>
      <c r="H239" s="103">
        <f t="shared" si="314"/>
        <v>3.8898011842809007E-4</v>
      </c>
      <c r="I239" s="103">
        <f t="shared" si="314"/>
        <v>2.9246481205331487E-4</v>
      </c>
      <c r="J239" s="103">
        <f t="shared" si="314"/>
        <v>2.8450479178591601E-4</v>
      </c>
      <c r="K239" s="103">
        <f t="shared" si="314"/>
        <v>3.6852450892211025E-4</v>
      </c>
      <c r="L239" s="103">
        <f t="shared" ref="L239" si="315">IF(L21=0,0,L21/L$19)</f>
        <v>3.209506629961053E-4</v>
      </c>
      <c r="M239" s="103">
        <f t="shared" ref="M239:V239" si="316">IF(M21=0,0,M21/M$19)</f>
        <v>2.8840021225456979E-4</v>
      </c>
      <c r="N239" s="103">
        <f t="shared" si="316"/>
        <v>2.4474943519669931E-4</v>
      </c>
      <c r="O239" s="103">
        <f t="shared" si="316"/>
        <v>2.387122299424051E-4</v>
      </c>
      <c r="P239" s="103">
        <f t="shared" si="316"/>
        <v>2.1230041393007306E-4</v>
      </c>
      <c r="Q239" s="103">
        <f t="shared" si="316"/>
        <v>1.8562733360495353E-4</v>
      </c>
      <c r="R239" s="103">
        <f t="shared" si="316"/>
        <v>1.4690450201994588E-4</v>
      </c>
      <c r="S239" s="103">
        <f t="shared" si="316"/>
        <v>1.5832717240162294E-4</v>
      </c>
      <c r="T239" s="103">
        <f t="shared" si="316"/>
        <v>1.610051973710054E-4</v>
      </c>
      <c r="U239" s="103">
        <f t="shared" si="316"/>
        <v>1.6816264410896099E-4</v>
      </c>
      <c r="V239" s="103">
        <f t="shared" si="316"/>
        <v>2.6483814645691852E-4</v>
      </c>
      <c r="W239" s="103">
        <f t="shared" ref="W239" si="317">IF(W21=0,0,W21/W$19)</f>
        <v>2.7417688667388638E-4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0.14369306958765302</v>
      </c>
      <c r="C240" s="103">
        <f t="shared" si="318"/>
        <v>0.14280638788736411</v>
      </c>
      <c r="D240" s="103">
        <f t="shared" si="318"/>
        <v>0.1333267728531127</v>
      </c>
      <c r="E240" s="103">
        <f t="shared" si="318"/>
        <v>0.13044094936485123</v>
      </c>
      <c r="F240" s="103">
        <f t="shared" si="318"/>
        <v>0.12551157164561544</v>
      </c>
      <c r="G240" s="103">
        <f t="shared" si="318"/>
        <v>0.12689599140597635</v>
      </c>
      <c r="H240" s="103">
        <f t="shared" si="318"/>
        <v>0.13565778016014415</v>
      </c>
      <c r="I240" s="103">
        <f t="shared" si="318"/>
        <v>0.1368133479583756</v>
      </c>
      <c r="J240" s="103">
        <f t="shared" si="318"/>
        <v>0.14843634320932764</v>
      </c>
      <c r="K240" s="103">
        <f t="shared" si="318"/>
        <v>0.20303833793745535</v>
      </c>
      <c r="L240" s="103">
        <f t="shared" ref="L240" si="319">IF(L22=0,0,L22/L$19)</f>
        <v>0.19731719935468592</v>
      </c>
      <c r="M240" s="103">
        <f t="shared" ref="M240:V240" si="320">IF(M22=0,0,M22/M$19)</f>
        <v>0.20474621006174931</v>
      </c>
      <c r="N240" s="103">
        <f t="shared" si="320"/>
        <v>0.20060603109271558</v>
      </c>
      <c r="O240" s="103">
        <f t="shared" si="320"/>
        <v>0.2095820088732715</v>
      </c>
      <c r="P240" s="103">
        <f t="shared" si="320"/>
        <v>0.19708478139403413</v>
      </c>
      <c r="Q240" s="103">
        <f t="shared" si="320"/>
        <v>0.18579860753908869</v>
      </c>
      <c r="R240" s="103">
        <f t="shared" si="320"/>
        <v>0.16288043685113912</v>
      </c>
      <c r="S240" s="103">
        <f t="shared" si="320"/>
        <v>0.16140459527441856</v>
      </c>
      <c r="T240" s="103">
        <f t="shared" si="320"/>
        <v>0.15984141224063325</v>
      </c>
      <c r="U240" s="103">
        <f t="shared" si="320"/>
        <v>0.14882646281835718</v>
      </c>
      <c r="V240" s="103">
        <f t="shared" si="320"/>
        <v>0.17163357118339789</v>
      </c>
      <c r="W240" s="103">
        <f t="shared" ref="W240" si="321">IF(W22=0,0,W22/W$19)</f>
        <v>0.15796438133247442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9.6172006525414534E-7</v>
      </c>
      <c r="P241" s="103">
        <f t="shared" si="324"/>
        <v>1.8454659279262205E-6</v>
      </c>
      <c r="Q241" s="103">
        <f t="shared" si="324"/>
        <v>1.8116529937949557E-6</v>
      </c>
      <c r="R241" s="103">
        <f t="shared" si="324"/>
        <v>1.6083842132321564E-6</v>
      </c>
      <c r="S241" s="103">
        <f t="shared" si="324"/>
        <v>1.9930077377511563E-6</v>
      </c>
      <c r="T241" s="103">
        <f t="shared" si="324"/>
        <v>1.9729198360536796E-6</v>
      </c>
      <c r="U241" s="103">
        <f t="shared" si="324"/>
        <v>1.8460189651479467E-6</v>
      </c>
      <c r="V241" s="103">
        <f t="shared" si="324"/>
        <v>1.7172112592122482E-6</v>
      </c>
      <c r="W241" s="103">
        <f t="shared" ref="W241" si="325">IF(W23=0,0,W23/W$19)</f>
        <v>1.5647925703996339E-6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1.9850560864650534E-5</v>
      </c>
      <c r="N243" s="103">
        <f t="shared" si="332"/>
        <v>4.6306504568550868E-5</v>
      </c>
      <c r="O243" s="103">
        <f t="shared" si="332"/>
        <v>4.9669447677201795E-5</v>
      </c>
      <c r="P243" s="103">
        <f t="shared" si="332"/>
        <v>5.4408852213097628E-5</v>
      </c>
      <c r="Q243" s="103">
        <f t="shared" si="332"/>
        <v>5.1611926851574017E-5</v>
      </c>
      <c r="R243" s="103">
        <f t="shared" si="332"/>
        <v>4.8281932943787837E-5</v>
      </c>
      <c r="S243" s="103">
        <f t="shared" si="332"/>
        <v>7.9713703632007125E-5</v>
      </c>
      <c r="T243" s="103">
        <f t="shared" si="332"/>
        <v>8.4911930347579385E-5</v>
      </c>
      <c r="U243" s="103">
        <f t="shared" si="332"/>
        <v>1.6114736494078977E-4</v>
      </c>
      <c r="V243" s="103">
        <f t="shared" si="332"/>
        <v>5.0350208763333393E-4</v>
      </c>
      <c r="W243" s="103">
        <f t="shared" ref="W243" si="333">IF(W25=0,0,W25/W$19)</f>
        <v>7.9590128420803429E-4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0.85472591100663398</v>
      </c>
      <c r="C244" s="156">
        <f t="shared" si="334"/>
        <v>0.85586016211511728</v>
      </c>
      <c r="D244" s="156">
        <f t="shared" si="334"/>
        <v>0.86559422330628477</v>
      </c>
      <c r="E244" s="156">
        <f t="shared" si="334"/>
        <v>0.8686742747116688</v>
      </c>
      <c r="F244" s="156">
        <f t="shared" si="334"/>
        <v>0.87379346428797866</v>
      </c>
      <c r="G244" s="156">
        <f t="shared" si="334"/>
        <v>0.8725974696168064</v>
      </c>
      <c r="H244" s="156">
        <f t="shared" si="334"/>
        <v>0.86395323972142779</v>
      </c>
      <c r="I244" s="156">
        <f t="shared" si="334"/>
        <v>0.86289418722957101</v>
      </c>
      <c r="J244" s="156">
        <f t="shared" si="334"/>
        <v>0.85127915199888649</v>
      </c>
      <c r="K244" s="156">
        <f t="shared" si="334"/>
        <v>0.79659313755362249</v>
      </c>
      <c r="L244" s="156">
        <f t="shared" ref="L244" si="335">IF(L26=0,0,L26/L$19)</f>
        <v>0.80236184998231797</v>
      </c>
      <c r="M244" s="156">
        <f t="shared" ref="M244:V244" si="336">IF(M26=0,0,M26/M$19)</f>
        <v>0.79494553916513144</v>
      </c>
      <c r="N244" s="156">
        <f t="shared" si="336"/>
        <v>0.79910291296751912</v>
      </c>
      <c r="O244" s="156">
        <f t="shared" si="336"/>
        <v>0.79012864772904368</v>
      </c>
      <c r="P244" s="156">
        <f t="shared" si="336"/>
        <v>0.80264666387389472</v>
      </c>
      <c r="Q244" s="156">
        <f t="shared" si="336"/>
        <v>0.81396234154746094</v>
      </c>
      <c r="R244" s="156">
        <f t="shared" si="336"/>
        <v>0.83692276832968393</v>
      </c>
      <c r="S244" s="156">
        <f t="shared" si="336"/>
        <v>0.83835537084181</v>
      </c>
      <c r="T244" s="156">
        <f t="shared" si="336"/>
        <v>0.83991069771181215</v>
      </c>
      <c r="U244" s="156">
        <f t="shared" si="336"/>
        <v>0.85084238115362787</v>
      </c>
      <c r="V244" s="156">
        <f t="shared" si="336"/>
        <v>0.82759637137125275</v>
      </c>
      <c r="W244" s="156">
        <f t="shared" ref="W244" si="337">IF(W26=0,0,W26/W$19)</f>
        <v>0.84096397570407322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0.74897463780691886</v>
      </c>
      <c r="C245" s="103">
        <f t="shared" si="338"/>
        <v>0.75192051234046309</v>
      </c>
      <c r="D245" s="103">
        <f t="shared" si="338"/>
        <v>0.76979706680210069</v>
      </c>
      <c r="E245" s="103">
        <f t="shared" si="338"/>
        <v>0.77998649088655925</v>
      </c>
      <c r="F245" s="103">
        <f t="shared" si="338"/>
        <v>0.78075214673101156</v>
      </c>
      <c r="G245" s="103">
        <f t="shared" si="338"/>
        <v>0.78151720468995656</v>
      </c>
      <c r="H245" s="103">
        <f t="shared" si="338"/>
        <v>0.77021893251726969</v>
      </c>
      <c r="I245" s="103">
        <f t="shared" si="338"/>
        <v>0.76628661996613168</v>
      </c>
      <c r="J245" s="103">
        <f t="shared" si="338"/>
        <v>0.76057214421749553</v>
      </c>
      <c r="K245" s="103">
        <f t="shared" si="338"/>
        <v>0.68740205836928014</v>
      </c>
      <c r="L245" s="103">
        <f t="shared" ref="L245" si="339">IF(L27=0,0,L27/L$19)</f>
        <v>0.68313340060887351</v>
      </c>
      <c r="M245" s="103">
        <f t="shared" ref="M245:V245" si="340">IF(M27=0,0,M27/M$19)</f>
        <v>0.65756865192899372</v>
      </c>
      <c r="N245" s="103">
        <f t="shared" si="340"/>
        <v>0.67239252415215789</v>
      </c>
      <c r="O245" s="103">
        <f t="shared" si="340"/>
        <v>0.66657036112550061</v>
      </c>
      <c r="P245" s="103">
        <f t="shared" si="340"/>
        <v>0.68618449092179779</v>
      </c>
      <c r="Q245" s="103">
        <f t="shared" si="340"/>
        <v>0.68512726511582234</v>
      </c>
      <c r="R245" s="103">
        <f t="shared" si="340"/>
        <v>0.73350732353852466</v>
      </c>
      <c r="S245" s="103">
        <f t="shared" si="340"/>
        <v>0.7368377058214729</v>
      </c>
      <c r="T245" s="103">
        <f t="shared" si="340"/>
        <v>0.72915324306849627</v>
      </c>
      <c r="U245" s="103">
        <f t="shared" si="340"/>
        <v>0.73199083917930385</v>
      </c>
      <c r="V245" s="103">
        <f t="shared" si="340"/>
        <v>0.77731420718011179</v>
      </c>
      <c r="W245" s="103">
        <f t="shared" ref="W245" si="341">IF(W27=0,0,W27/W$19)</f>
        <v>0.79367525656879623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0.10575127319971508</v>
      </c>
      <c r="C246" s="105">
        <f t="shared" si="342"/>
        <v>0.10393964977465416</v>
      </c>
      <c r="D246" s="105">
        <f t="shared" si="342"/>
        <v>9.5797156504184022E-2</v>
      </c>
      <c r="E246" s="105">
        <f t="shared" si="342"/>
        <v>8.8687783825109542E-2</v>
      </c>
      <c r="F246" s="105">
        <f t="shared" si="342"/>
        <v>9.3041317556967068E-2</v>
      </c>
      <c r="G246" s="105">
        <f t="shared" si="342"/>
        <v>9.1080264926849855E-2</v>
      </c>
      <c r="H246" s="105">
        <f t="shared" si="342"/>
        <v>9.3734307204158068E-2</v>
      </c>
      <c r="I246" s="105">
        <f t="shared" si="342"/>
        <v>9.6607567263439331E-2</v>
      </c>
      <c r="J246" s="105">
        <f t="shared" si="342"/>
        <v>9.0707007781390958E-2</v>
      </c>
      <c r="K246" s="105">
        <f t="shared" si="342"/>
        <v>0.1091910791843424</v>
      </c>
      <c r="L246" s="105">
        <f t="shared" ref="L246" si="343">IF(L28=0,0,L28/L$19)</f>
        <v>0.11922844937344453</v>
      </c>
      <c r="M246" s="105">
        <f t="shared" ref="M246:V246" si="344">IF(M28=0,0,M28/M$19)</f>
        <v>0.13737688723613775</v>
      </c>
      <c r="N246" s="105">
        <f t="shared" si="344"/>
        <v>0.1267103888153612</v>
      </c>
      <c r="O246" s="105">
        <f t="shared" si="344"/>
        <v>0.12355828660354296</v>
      </c>
      <c r="P246" s="105">
        <f t="shared" si="344"/>
        <v>0.11646217295209695</v>
      </c>
      <c r="Q246" s="105">
        <f t="shared" si="344"/>
        <v>0.12883507643163858</v>
      </c>
      <c r="R246" s="105">
        <f t="shared" si="344"/>
        <v>0.1034154447911593</v>
      </c>
      <c r="S246" s="105">
        <f t="shared" si="344"/>
        <v>0.10151766502033717</v>
      </c>
      <c r="T246" s="105">
        <f t="shared" si="344"/>
        <v>0.11075745464331589</v>
      </c>
      <c r="U246" s="105">
        <f t="shared" si="344"/>
        <v>0.11885154197432408</v>
      </c>
      <c r="V246" s="105">
        <f t="shared" si="344"/>
        <v>5.0282164191140913E-2</v>
      </c>
      <c r="W246" s="105">
        <f t="shared" ref="W246" si="345">IF(W28=0,0,W28/W$19)</f>
        <v>4.7288719135276977E-2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4.8482654259050509E-3</v>
      </c>
      <c r="C250" s="154">
        <f t="shared" si="350"/>
        <v>4.9182562270823028E-3</v>
      </c>
      <c r="D250" s="154">
        <f t="shared" si="350"/>
        <v>4.7460939302009118E-3</v>
      </c>
      <c r="E250" s="154">
        <f t="shared" si="350"/>
        <v>4.9025201844786776E-3</v>
      </c>
      <c r="F250" s="154">
        <f t="shared" si="350"/>
        <v>4.6014613260095105E-3</v>
      </c>
      <c r="G250" s="154">
        <f t="shared" si="350"/>
        <v>5.3685661633148017E-3</v>
      </c>
      <c r="H250" s="154">
        <f t="shared" si="350"/>
        <v>4.7589964060576421E-3</v>
      </c>
      <c r="I250" s="154">
        <f t="shared" si="350"/>
        <v>4.7398560783546064E-3</v>
      </c>
      <c r="J250" s="154">
        <f t="shared" si="350"/>
        <v>4.8129261982396195E-3</v>
      </c>
      <c r="K250" s="154">
        <f t="shared" si="350"/>
        <v>4.5003601214068092E-3</v>
      </c>
      <c r="L250" s="154">
        <f t="shared" ref="L250" si="351">IF(L32=0,0,L32/L$31)</f>
        <v>3.9727687464427806E-3</v>
      </c>
      <c r="M250" s="154">
        <f t="shared" ref="M250:V250" si="352">IF(M32=0,0,M32/M$31)</f>
        <v>3.72423341238476E-3</v>
      </c>
      <c r="N250" s="154">
        <f t="shared" si="352"/>
        <v>3.4713372703391145E-3</v>
      </c>
      <c r="O250" s="154">
        <f t="shared" si="352"/>
        <v>3.3398697800511292E-3</v>
      </c>
      <c r="P250" s="154">
        <f t="shared" si="352"/>
        <v>3.8755152487395896E-3</v>
      </c>
      <c r="Q250" s="154">
        <f t="shared" si="352"/>
        <v>3.4439967507572259E-3</v>
      </c>
      <c r="R250" s="154">
        <f t="shared" si="352"/>
        <v>3.4375005375436606E-3</v>
      </c>
      <c r="S250" s="154">
        <f t="shared" si="352"/>
        <v>3.1685695559658554E-3</v>
      </c>
      <c r="T250" s="154">
        <f t="shared" si="352"/>
        <v>3.0326908871059878E-3</v>
      </c>
      <c r="U250" s="154">
        <f t="shared" si="352"/>
        <v>3.209237721265858E-3</v>
      </c>
      <c r="V250" s="154">
        <f t="shared" si="352"/>
        <v>3.349265706249771E-3</v>
      </c>
      <c r="W250" s="154">
        <f t="shared" ref="W250" si="353">IF(W32=0,0,W32/W$31)</f>
        <v>3.3427134120079674E-3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0.98577691041808868</v>
      </c>
      <c r="C251" s="156">
        <f t="shared" si="354"/>
        <v>0.98589155177405075</v>
      </c>
      <c r="D251" s="156">
        <f t="shared" si="354"/>
        <v>0.9862285986409568</v>
      </c>
      <c r="E251" s="156">
        <f t="shared" si="354"/>
        <v>0.98588829906377884</v>
      </c>
      <c r="F251" s="156">
        <f t="shared" si="354"/>
        <v>0.98607910669430587</v>
      </c>
      <c r="G251" s="156">
        <f t="shared" si="354"/>
        <v>0.98536546508991085</v>
      </c>
      <c r="H251" s="156">
        <f t="shared" si="354"/>
        <v>0.98627786181706933</v>
      </c>
      <c r="I251" s="156">
        <f t="shared" si="354"/>
        <v>0.98580056712427944</v>
      </c>
      <c r="J251" s="156">
        <f t="shared" si="354"/>
        <v>0.98552474875494622</v>
      </c>
      <c r="K251" s="156">
        <f t="shared" si="354"/>
        <v>0.98574135040911037</v>
      </c>
      <c r="L251" s="156">
        <f t="shared" ref="L251" si="355">IF(L33=0,0,L33/L$31)</f>
        <v>0.98640118191132198</v>
      </c>
      <c r="M251" s="156">
        <f t="shared" ref="M251:V251" si="356">IF(M33=0,0,M33/M$31)</f>
        <v>0.98668416117810775</v>
      </c>
      <c r="N251" s="156">
        <f t="shared" si="356"/>
        <v>0.98677323962172436</v>
      </c>
      <c r="O251" s="156">
        <f t="shared" si="356"/>
        <v>0.98718656658317194</v>
      </c>
      <c r="P251" s="156">
        <f t="shared" si="356"/>
        <v>0.98641094099382787</v>
      </c>
      <c r="Q251" s="156">
        <f t="shared" si="356"/>
        <v>0.98725308658420863</v>
      </c>
      <c r="R251" s="156">
        <f t="shared" si="356"/>
        <v>0.98717418637418786</v>
      </c>
      <c r="S251" s="156">
        <f t="shared" si="356"/>
        <v>0.98686638394836246</v>
      </c>
      <c r="T251" s="156">
        <f t="shared" si="356"/>
        <v>0.98624467059650167</v>
      </c>
      <c r="U251" s="156">
        <f t="shared" si="356"/>
        <v>0.98602479190240988</v>
      </c>
      <c r="V251" s="156">
        <f t="shared" si="356"/>
        <v>0.98634719413824357</v>
      </c>
      <c r="W251" s="156">
        <f t="shared" ref="W251" si="357">IF(W33=0,0,W33/W$31)</f>
        <v>0.98681816483214901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0.85057728783025277</v>
      </c>
      <c r="C252" s="103">
        <f t="shared" si="358"/>
        <v>0.85240577930907702</v>
      </c>
      <c r="D252" s="103">
        <f t="shared" si="358"/>
        <v>0.85021946854661234</v>
      </c>
      <c r="E252" s="103">
        <f t="shared" si="358"/>
        <v>0.8455343661567134</v>
      </c>
      <c r="F252" s="103">
        <f t="shared" si="358"/>
        <v>0.83573434498576782</v>
      </c>
      <c r="G252" s="103">
        <f t="shared" si="358"/>
        <v>0.81184032832561448</v>
      </c>
      <c r="H252" s="103">
        <f t="shared" si="358"/>
        <v>0.80755511074273945</v>
      </c>
      <c r="I252" s="103">
        <f t="shared" si="358"/>
        <v>0.79845511634820321</v>
      </c>
      <c r="J252" s="103">
        <f t="shared" si="358"/>
        <v>0.76632555492267485</v>
      </c>
      <c r="K252" s="103">
        <f t="shared" si="358"/>
        <v>0.73169499761330581</v>
      </c>
      <c r="L252" s="103">
        <f t="shared" ref="L252" si="359">IF(L34=0,0,L34/L$31)</f>
        <v>0.69005357981427351</v>
      </c>
      <c r="M252" s="103">
        <f t="shared" ref="M252:V252" si="360">IF(M34=0,0,M34/M$31)</f>
        <v>0.63444129220393575</v>
      </c>
      <c r="N252" s="103">
        <f t="shared" si="360"/>
        <v>0.60806554751539388</v>
      </c>
      <c r="O252" s="103">
        <f t="shared" si="360"/>
        <v>0.56494359269053662</v>
      </c>
      <c r="P252" s="103">
        <f t="shared" si="360"/>
        <v>0.53441698670887516</v>
      </c>
      <c r="Q252" s="103">
        <f t="shared" si="360"/>
        <v>0.48178779473256556</v>
      </c>
      <c r="R252" s="103">
        <f t="shared" si="360"/>
        <v>0.43712600734324081</v>
      </c>
      <c r="S252" s="103">
        <f t="shared" si="360"/>
        <v>0.40511049983290165</v>
      </c>
      <c r="T252" s="103">
        <f t="shared" si="360"/>
        <v>0.38171958977562331</v>
      </c>
      <c r="U252" s="103">
        <f t="shared" si="360"/>
        <v>0.36652906090252668</v>
      </c>
      <c r="V252" s="103">
        <f t="shared" si="360"/>
        <v>0.33692524370830723</v>
      </c>
      <c r="W252" s="103">
        <f t="shared" ref="W252" si="361">IF(W34=0,0,W34/W$31)</f>
        <v>0.33185407456628729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0.13400235141589911</v>
      </c>
      <c r="C253" s="103">
        <f t="shared" si="362"/>
        <v>0.13264535760312218</v>
      </c>
      <c r="D253" s="103">
        <f t="shared" si="362"/>
        <v>0.13531520370786213</v>
      </c>
      <c r="E253" s="103">
        <f t="shared" si="362"/>
        <v>0.13978763123555357</v>
      </c>
      <c r="F253" s="103">
        <f t="shared" si="362"/>
        <v>0.14982662144373116</v>
      </c>
      <c r="G253" s="103">
        <f t="shared" si="362"/>
        <v>0.17305674858299969</v>
      </c>
      <c r="H253" s="103">
        <f t="shared" si="362"/>
        <v>0.17835868509733693</v>
      </c>
      <c r="I253" s="103">
        <f t="shared" si="362"/>
        <v>0.18685700957900128</v>
      </c>
      <c r="J253" s="103">
        <f t="shared" si="362"/>
        <v>0.21884826202416413</v>
      </c>
      <c r="K253" s="103">
        <f t="shared" si="362"/>
        <v>0.25379575100562307</v>
      </c>
      <c r="L253" s="103">
        <f t="shared" ref="L253" si="363">IF(L35=0,0,L35/L$31)</f>
        <v>0.29611667451817364</v>
      </c>
      <c r="M253" s="103">
        <f t="shared" ref="M253:V253" si="364">IF(M35=0,0,M35/M$31)</f>
        <v>0.35166595676655182</v>
      </c>
      <c r="N253" s="103">
        <f t="shared" si="364"/>
        <v>0.37780527889041193</v>
      </c>
      <c r="O253" s="103">
        <f t="shared" si="364"/>
        <v>0.42149551231630011</v>
      </c>
      <c r="P253" s="103">
        <f t="shared" si="364"/>
        <v>0.45061888399942313</v>
      </c>
      <c r="Q253" s="103">
        <f t="shared" si="364"/>
        <v>0.50375332046051358</v>
      </c>
      <c r="R253" s="103">
        <f t="shared" si="364"/>
        <v>0.54809767631173223</v>
      </c>
      <c r="S253" s="103">
        <f t="shared" si="364"/>
        <v>0.57960960893365876</v>
      </c>
      <c r="T253" s="103">
        <f t="shared" si="364"/>
        <v>0.60131945664435404</v>
      </c>
      <c r="U253" s="103">
        <f t="shared" si="364"/>
        <v>0.61414126838162253</v>
      </c>
      <c r="V253" s="103">
        <f t="shared" si="364"/>
        <v>0.64122379540756003</v>
      </c>
      <c r="W253" s="103">
        <f t="shared" ref="W253" si="365">IF(W35=0,0,W35/W$31)</f>
        <v>0.63713928308328049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1.1972711719368599E-3</v>
      </c>
      <c r="C254" s="103">
        <f t="shared" si="366"/>
        <v>8.404148618516475E-4</v>
      </c>
      <c r="D254" s="103">
        <f t="shared" si="366"/>
        <v>6.9392638648230513E-4</v>
      </c>
      <c r="E254" s="103">
        <f t="shared" si="366"/>
        <v>5.6630167151188935E-4</v>
      </c>
      <c r="F254" s="103">
        <f t="shared" si="366"/>
        <v>5.1814026480700634E-4</v>
      </c>
      <c r="G254" s="103">
        <f t="shared" si="366"/>
        <v>4.68388181296741E-4</v>
      </c>
      <c r="H254" s="103">
        <f t="shared" si="366"/>
        <v>3.6406597699296917E-4</v>
      </c>
      <c r="I254" s="103">
        <f t="shared" si="366"/>
        <v>4.8844119707497618E-4</v>
      </c>
      <c r="J254" s="103">
        <f t="shared" si="366"/>
        <v>3.5093180810727995E-4</v>
      </c>
      <c r="K254" s="103">
        <f t="shared" si="366"/>
        <v>2.4952680876807836E-4</v>
      </c>
      <c r="L254" s="103">
        <f t="shared" ref="L254" si="367">IF(L36=0,0,L36/L$31)</f>
        <v>2.2062755893808111E-4</v>
      </c>
      <c r="M254" s="103">
        <f t="shared" ref="M254:V254" si="368">IF(M36=0,0,M36/M$31)</f>
        <v>2.4541340756882346E-4</v>
      </c>
      <c r="N254" s="103">
        <f t="shared" si="368"/>
        <v>4.6112283876953197E-4</v>
      </c>
      <c r="O254" s="103">
        <f t="shared" si="368"/>
        <v>6.0742712633114282E-4</v>
      </c>
      <c r="P254" s="103">
        <f t="shared" si="368"/>
        <v>1.0449898315437575E-3</v>
      </c>
      <c r="Q254" s="103">
        <f t="shared" si="368"/>
        <v>1.1202625942636202E-3</v>
      </c>
      <c r="R254" s="103">
        <f t="shared" si="368"/>
        <v>1.0567647222721483E-3</v>
      </c>
      <c r="S254" s="103">
        <f t="shared" si="368"/>
        <v>8.9904663855998096E-4</v>
      </c>
      <c r="T254" s="103">
        <f t="shared" si="368"/>
        <v>7.6611003319598196E-4</v>
      </c>
      <c r="U254" s="103">
        <f t="shared" si="368"/>
        <v>6.6758285057222106E-4</v>
      </c>
      <c r="V254" s="103">
        <f t="shared" si="368"/>
        <v>6.6676834527466605E-4</v>
      </c>
      <c r="W254" s="103">
        <f t="shared" ref="W254" si="369">IF(W36=0,0,W36/W$31)</f>
        <v>6.2788723129668237E-4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0</v>
      </c>
      <c r="R255" s="103">
        <f t="shared" si="372"/>
        <v>0</v>
      </c>
      <c r="S255" s="103">
        <f t="shared" si="372"/>
        <v>0</v>
      </c>
      <c r="T255" s="103">
        <f t="shared" si="372"/>
        <v>0</v>
      </c>
      <c r="U255" s="103">
        <f t="shared" si="372"/>
        <v>0</v>
      </c>
      <c r="V255" s="103">
        <f t="shared" si="372"/>
        <v>0</v>
      </c>
      <c r="W255" s="103">
        <f t="shared" ref="W255" si="373">IF(W37=0,0,W37/W$31)</f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0</v>
      </c>
      <c r="O256" s="103">
        <f t="shared" si="376"/>
        <v>3.2421115911477188E-6</v>
      </c>
      <c r="P256" s="103">
        <f t="shared" si="376"/>
        <v>1.5520584718153044E-5</v>
      </c>
      <c r="Q256" s="103">
        <f t="shared" si="376"/>
        <v>5.643149429075726E-5</v>
      </c>
      <c r="R256" s="103">
        <f t="shared" si="376"/>
        <v>1.7763850847380745E-4</v>
      </c>
      <c r="S256" s="103">
        <f t="shared" si="376"/>
        <v>3.0241066955497963E-4</v>
      </c>
      <c r="T256" s="103">
        <f t="shared" si="376"/>
        <v>6.6188627561580024E-4</v>
      </c>
      <c r="U256" s="103">
        <f t="shared" si="376"/>
        <v>1.179777942277968E-3</v>
      </c>
      <c r="V256" s="103">
        <f t="shared" si="376"/>
        <v>2.1353519471031222E-3</v>
      </c>
      <c r="W256" s="103">
        <f t="shared" ref="W256" si="377">IF(W38=0,0,W38/W$31)</f>
        <v>6.647938890827927E-3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1.0749814134633951E-6</v>
      </c>
      <c r="L257" s="103">
        <f t="shared" ref="L257" si="379">IF(L39=0,0,L39/L$31)</f>
        <v>1.0300019936745846E-5</v>
      </c>
      <c r="M257" s="103">
        <f t="shared" ref="M257:V257" si="380">IF(M39=0,0,M39/M$31)</f>
        <v>3.3149880005139032E-4</v>
      </c>
      <c r="N257" s="103">
        <f t="shared" si="380"/>
        <v>4.4129037714887837E-4</v>
      </c>
      <c r="O257" s="103">
        <f t="shared" si="380"/>
        <v>1.3679233841315259E-4</v>
      </c>
      <c r="P257" s="103">
        <f t="shared" si="380"/>
        <v>3.1455986926768643E-4</v>
      </c>
      <c r="Q257" s="103">
        <f t="shared" si="380"/>
        <v>5.352773025751647E-4</v>
      </c>
      <c r="R257" s="103">
        <f t="shared" si="380"/>
        <v>7.1609948846899322E-4</v>
      </c>
      <c r="S257" s="103">
        <f t="shared" si="380"/>
        <v>9.4481787368700591E-4</v>
      </c>
      <c r="T257" s="103">
        <f t="shared" si="380"/>
        <v>1.7776278677129487E-3</v>
      </c>
      <c r="U257" s="103">
        <f t="shared" si="380"/>
        <v>3.507101825410453E-3</v>
      </c>
      <c r="V257" s="103">
        <f t="shared" si="380"/>
        <v>5.3960347299986363E-3</v>
      </c>
      <c r="W257" s="103">
        <f t="shared" ref="W257" si="381">IF(W39=0,0,W39/W$31)</f>
        <v>1.0548981060456583E-2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9.3748241560062326E-3</v>
      </c>
      <c r="C258" s="156">
        <f t="shared" si="382"/>
        <v>9.1901919988668316E-3</v>
      </c>
      <c r="D258" s="156">
        <f t="shared" si="382"/>
        <v>9.025307428842293E-3</v>
      </c>
      <c r="E258" s="156">
        <f t="shared" si="382"/>
        <v>9.2091807517425336E-3</v>
      </c>
      <c r="F258" s="156">
        <f t="shared" si="382"/>
        <v>9.3194319796846212E-3</v>
      </c>
      <c r="G258" s="156">
        <f t="shared" si="382"/>
        <v>9.2659687467742304E-3</v>
      </c>
      <c r="H258" s="156">
        <f t="shared" si="382"/>
        <v>8.9631417768730078E-3</v>
      </c>
      <c r="I258" s="156">
        <f t="shared" si="382"/>
        <v>9.4595767973658876E-3</v>
      </c>
      <c r="J258" s="156">
        <f t="shared" si="382"/>
        <v>9.6623250468140659E-3</v>
      </c>
      <c r="K258" s="156">
        <f t="shared" si="382"/>
        <v>9.7582894694827321E-3</v>
      </c>
      <c r="L258" s="156">
        <f t="shared" ref="L258" si="383">IF(L40=0,0,L40/L$31)</f>
        <v>9.6260493422352256E-3</v>
      </c>
      <c r="M258" s="156">
        <f t="shared" ref="M258:V258" si="384">IF(M40=0,0,M40/M$31)</f>
        <v>9.5916054095075021E-3</v>
      </c>
      <c r="N258" s="156">
        <f t="shared" si="384"/>
        <v>9.7554231079366154E-3</v>
      </c>
      <c r="O258" s="156">
        <f t="shared" si="384"/>
        <v>9.4735636367769254E-3</v>
      </c>
      <c r="P258" s="156">
        <f t="shared" si="384"/>
        <v>9.7135437574326355E-3</v>
      </c>
      <c r="Q258" s="156">
        <f t="shared" si="384"/>
        <v>9.3029166650340691E-3</v>
      </c>
      <c r="R258" s="156">
        <f t="shared" si="384"/>
        <v>9.3883130882683932E-3</v>
      </c>
      <c r="S258" s="156">
        <f t="shared" si="384"/>
        <v>9.9650464956716357E-3</v>
      </c>
      <c r="T258" s="156">
        <f t="shared" si="384"/>
        <v>1.0722638516392347E-2</v>
      </c>
      <c r="U258" s="156">
        <f t="shared" si="384"/>
        <v>1.0765970376324308E-2</v>
      </c>
      <c r="V258" s="156">
        <f t="shared" si="384"/>
        <v>1.0303540155506644E-2</v>
      </c>
      <c r="W258" s="156">
        <f t="shared" ref="W258" si="385">IF(W40=0,0,W40/W$31)</f>
        <v>9.8391217558429257E-3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1.8900070830896499E-4</v>
      </c>
      <c r="C259" s="103">
        <f t="shared" si="386"/>
        <v>1.6259167663133586E-4</v>
      </c>
      <c r="D259" s="103">
        <f t="shared" si="386"/>
        <v>1.4257225349177574E-4</v>
      </c>
      <c r="E259" s="103">
        <f t="shared" si="386"/>
        <v>1.2371167305787808E-4</v>
      </c>
      <c r="F259" s="103">
        <f t="shared" si="386"/>
        <v>1.0598433924603653E-4</v>
      </c>
      <c r="G259" s="103">
        <f t="shared" si="386"/>
        <v>8.8265736651239407E-5</v>
      </c>
      <c r="H259" s="103">
        <f t="shared" si="386"/>
        <v>6.8888871873758786E-5</v>
      </c>
      <c r="I259" s="103">
        <f t="shared" si="386"/>
        <v>6.0655719858642924E-5</v>
      </c>
      <c r="J259" s="103">
        <f t="shared" si="386"/>
        <v>5.0149548150851394E-5</v>
      </c>
      <c r="K259" s="103">
        <f t="shared" si="386"/>
        <v>4.2382183323282053E-5</v>
      </c>
      <c r="L259" s="103">
        <f t="shared" ref="L259" si="387">IF(L41=0,0,L41/L$31)</f>
        <v>3.3992858643083029E-5</v>
      </c>
      <c r="M259" s="103">
        <f t="shared" ref="M259:V259" si="388">IF(M41=0,0,M41/M$31)</f>
        <v>2.7625375047211478E-5</v>
      </c>
      <c r="N259" s="103">
        <f t="shared" si="388"/>
        <v>2.1559299446126012E-5</v>
      </c>
      <c r="O259" s="103">
        <f t="shared" si="388"/>
        <v>2.091265124358945E-5</v>
      </c>
      <c r="P259" s="103">
        <f t="shared" si="388"/>
        <v>2.1095787215145945E-5</v>
      </c>
      <c r="Q259" s="103">
        <f t="shared" si="388"/>
        <v>1.7054580736876959E-5</v>
      </c>
      <c r="R259" s="103">
        <f t="shared" si="388"/>
        <v>1.3505604143090888E-5</v>
      </c>
      <c r="S259" s="103">
        <f t="shared" si="388"/>
        <v>1.6512080603496869E-5</v>
      </c>
      <c r="T259" s="103">
        <f t="shared" si="388"/>
        <v>1.1277860954746188E-5</v>
      </c>
      <c r="U259" s="103">
        <f t="shared" si="388"/>
        <v>1.3663352485648545E-5</v>
      </c>
      <c r="V259" s="103">
        <f t="shared" si="388"/>
        <v>1.4432826223535897E-5</v>
      </c>
      <c r="W259" s="103">
        <f t="shared" ref="W259" si="389">IF(W41=0,0,W41/W$31)</f>
        <v>1.2400503068885757E-5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9.1858234476972674E-3</v>
      </c>
      <c r="C260" s="103">
        <f t="shared" si="390"/>
        <v>9.026948879882337E-3</v>
      </c>
      <c r="D260" s="103">
        <f t="shared" si="390"/>
        <v>8.8820918683701379E-3</v>
      </c>
      <c r="E260" s="103">
        <f t="shared" si="390"/>
        <v>9.0848338411397261E-3</v>
      </c>
      <c r="F260" s="103">
        <f t="shared" si="390"/>
        <v>9.212814841319918E-3</v>
      </c>
      <c r="G260" s="103">
        <f t="shared" si="390"/>
        <v>9.1770850979891443E-3</v>
      </c>
      <c r="H260" s="103">
        <f t="shared" si="390"/>
        <v>8.8936820084837033E-3</v>
      </c>
      <c r="I260" s="103">
        <f t="shared" si="390"/>
        <v>9.3983432569636829E-3</v>
      </c>
      <c r="J260" s="103">
        <f t="shared" si="390"/>
        <v>9.6109362441320206E-3</v>
      </c>
      <c r="K260" s="103">
        <f t="shared" si="390"/>
        <v>9.7146450735557822E-3</v>
      </c>
      <c r="L260" s="103">
        <f t="shared" ref="L260" si="391">IF(L42=0,0,L42/L$31)</f>
        <v>9.5907824880009859E-3</v>
      </c>
      <c r="M260" s="103">
        <f t="shared" ref="M260:V260" si="392">IF(M42=0,0,M42/M$31)</f>
        <v>9.5626777258987199E-3</v>
      </c>
      <c r="N260" s="103">
        <f t="shared" si="392"/>
        <v>9.7325172811299574E-3</v>
      </c>
      <c r="O260" s="103">
        <f t="shared" si="392"/>
        <v>9.4513468298359354E-3</v>
      </c>
      <c r="P260" s="103">
        <f t="shared" si="392"/>
        <v>9.6911345241629462E-3</v>
      </c>
      <c r="Q260" s="103">
        <f t="shared" si="392"/>
        <v>9.2846367703872147E-3</v>
      </c>
      <c r="R260" s="103">
        <f t="shared" si="392"/>
        <v>9.3736311202489223E-3</v>
      </c>
      <c r="S260" s="103">
        <f t="shared" si="392"/>
        <v>9.9473992749557639E-3</v>
      </c>
      <c r="T260" s="103">
        <f t="shared" si="392"/>
        <v>1.0710219598128469E-2</v>
      </c>
      <c r="U260" s="103">
        <f t="shared" si="392"/>
        <v>1.075118018902296E-2</v>
      </c>
      <c r="V260" s="103">
        <f t="shared" si="392"/>
        <v>1.0284293319048158E-2</v>
      </c>
      <c r="W260" s="103">
        <f t="shared" ref="W260" si="393">IF(W42=0,0,W42/W$31)</f>
        <v>9.8193283869769665E-3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6.5144235315875211E-7</v>
      </c>
      <c r="D261" s="103">
        <f t="shared" si="394"/>
        <v>6.4330698037901258E-7</v>
      </c>
      <c r="E261" s="103">
        <f t="shared" si="394"/>
        <v>6.3523754492787949E-7</v>
      </c>
      <c r="F261" s="103">
        <f t="shared" si="394"/>
        <v>6.3279911866596142E-7</v>
      </c>
      <c r="G261" s="103">
        <f t="shared" si="394"/>
        <v>6.1791213384583314E-7</v>
      </c>
      <c r="H261" s="103">
        <f t="shared" si="394"/>
        <v>5.7089651554489616E-7</v>
      </c>
      <c r="I261" s="103">
        <f t="shared" si="394"/>
        <v>5.7782054356216876E-7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0</v>
      </c>
      <c r="S262" s="103">
        <f t="shared" si="400"/>
        <v>0</v>
      </c>
      <c r="T262" s="103">
        <f t="shared" si="400"/>
        <v>0</v>
      </c>
      <c r="U262" s="103">
        <f t="shared" si="400"/>
        <v>0</v>
      </c>
      <c r="V262" s="103">
        <f t="shared" si="400"/>
        <v>0</v>
      </c>
      <c r="W262" s="103">
        <f t="shared" ref="W262" si="401">IF(W44=0,0,W44/W$31)</f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1.2392545311933773E-6</v>
      </c>
      <c r="K263" s="103">
        <f t="shared" si="402"/>
        <v>1.2622126036659797E-6</v>
      </c>
      <c r="L263" s="103">
        <f t="shared" ref="L263" si="403">IF(L45=0,0,L45/L$31)</f>
        <v>1.2739955911548842E-6</v>
      </c>
      <c r="M263" s="103">
        <f t="shared" ref="M263:V263" si="404">IF(M45=0,0,M45/M$31)</f>
        <v>1.3023085615708293E-6</v>
      </c>
      <c r="N263" s="103">
        <f t="shared" si="404"/>
        <v>1.3465273605318104E-6</v>
      </c>
      <c r="O263" s="103">
        <f t="shared" si="404"/>
        <v>1.304155697400315E-6</v>
      </c>
      <c r="P263" s="103">
        <f t="shared" si="404"/>
        <v>1.3134460545428484E-6</v>
      </c>
      <c r="Q263" s="103">
        <f t="shared" si="404"/>
        <v>1.2253139099774833E-6</v>
      </c>
      <c r="R263" s="103">
        <f t="shared" si="404"/>
        <v>1.1763638763791931E-6</v>
      </c>
      <c r="S263" s="103">
        <f t="shared" si="404"/>
        <v>1.1351401123752807E-6</v>
      </c>
      <c r="T263" s="103">
        <f t="shared" si="404"/>
        <v>1.1410573091327631E-6</v>
      </c>
      <c r="U263" s="103">
        <f t="shared" si="404"/>
        <v>1.1268348157007876E-6</v>
      </c>
      <c r="V263" s="103">
        <f t="shared" si="404"/>
        <v>4.8140102349493135E-6</v>
      </c>
      <c r="W263" s="103">
        <f t="shared" ref="W263" si="405">IF(W45=0,0,W45/W$31)</f>
        <v>7.3928657970726707E-6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0.65860767775609275</v>
      </c>
      <c r="C265" s="154">
        <f t="shared" si="410"/>
        <v>0.67072160810191561</v>
      </c>
      <c r="D265" s="154">
        <f t="shared" si="410"/>
        <v>0.6566793269654414</v>
      </c>
      <c r="E265" s="154">
        <f t="shared" si="410"/>
        <v>0.6601624776512659</v>
      </c>
      <c r="F265" s="154">
        <f t="shared" si="410"/>
        <v>0.65241685203506172</v>
      </c>
      <c r="G265" s="154">
        <f t="shared" si="410"/>
        <v>0.64786422347870676</v>
      </c>
      <c r="H265" s="154">
        <f t="shared" si="410"/>
        <v>0.66401855514505326</v>
      </c>
      <c r="I265" s="154">
        <f t="shared" si="410"/>
        <v>0.66514813663015493</v>
      </c>
      <c r="J265" s="154">
        <f t="shared" si="410"/>
        <v>0.68373601815951301</v>
      </c>
      <c r="K265" s="154">
        <f t="shared" si="410"/>
        <v>0.74790707434338322</v>
      </c>
      <c r="L265" s="154">
        <f t="shared" ref="L265" si="411">IF(L47=0,0,L47/L$46)</f>
        <v>0.74308361645714471</v>
      </c>
      <c r="M265" s="154">
        <f t="shared" ref="M265:V265" si="412">IF(M47=0,0,M47/M$46)</f>
        <v>0.74872294923012372</v>
      </c>
      <c r="N265" s="154">
        <f t="shared" si="412"/>
        <v>0.74263042526984568</v>
      </c>
      <c r="O265" s="154">
        <f t="shared" si="412"/>
        <v>0.75104052512329555</v>
      </c>
      <c r="P265" s="154">
        <f t="shared" si="412"/>
        <v>0.74302750652283001</v>
      </c>
      <c r="Q265" s="154">
        <f t="shared" si="412"/>
        <v>0.73142931097350661</v>
      </c>
      <c r="R265" s="154">
        <f t="shared" si="412"/>
        <v>0.70259189668539401</v>
      </c>
      <c r="S265" s="154">
        <f t="shared" si="412"/>
        <v>0.69771396361037707</v>
      </c>
      <c r="T265" s="154">
        <f t="shared" si="412"/>
        <v>0.69532857901441991</v>
      </c>
      <c r="U265" s="154">
        <f t="shared" si="412"/>
        <v>0.67852047660793813</v>
      </c>
      <c r="V265" s="154">
        <f t="shared" si="412"/>
        <v>0.70692368716803278</v>
      </c>
      <c r="W265" s="154">
        <f t="shared" ref="W265" si="413">IF(W47=0,0,W47/W$46)</f>
        <v>0.69057197837199302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8.9379445880887753E-3</v>
      </c>
      <c r="C266" s="103">
        <f t="shared" si="414"/>
        <v>7.7405860457744448E-3</v>
      </c>
      <c r="D266" s="103">
        <f t="shared" si="414"/>
        <v>6.5785466079581884E-3</v>
      </c>
      <c r="E266" s="103">
        <f t="shared" si="414"/>
        <v>5.5519554461583628E-3</v>
      </c>
      <c r="F266" s="103">
        <f t="shared" si="414"/>
        <v>4.4859140135135988E-3</v>
      </c>
      <c r="G266" s="103">
        <f t="shared" si="414"/>
        <v>3.2175872488488335E-3</v>
      </c>
      <c r="H266" s="103">
        <f t="shared" si="414"/>
        <v>2.3722052585522556E-3</v>
      </c>
      <c r="I266" s="103">
        <f t="shared" si="414"/>
        <v>1.77315981960742E-3</v>
      </c>
      <c r="J266" s="103">
        <f t="shared" si="414"/>
        <v>1.6347143072299947E-3</v>
      </c>
      <c r="K266" s="103">
        <f t="shared" si="414"/>
        <v>1.6940259845301571E-3</v>
      </c>
      <c r="L266" s="103">
        <f t="shared" ref="L266" si="415">IF(L48=0,0,L48/L$46)</f>
        <v>1.5116797589244332E-3</v>
      </c>
      <c r="M266" s="103">
        <f t="shared" ref="M266:V266" si="416">IF(M48=0,0,M48/M$46)</f>
        <v>1.3188956896636834E-3</v>
      </c>
      <c r="N266" s="103">
        <f t="shared" si="416"/>
        <v>1.1354499583492576E-3</v>
      </c>
      <c r="O266" s="103">
        <f t="shared" si="416"/>
        <v>1.0699856895409125E-3</v>
      </c>
      <c r="P266" s="103">
        <f t="shared" si="416"/>
        <v>9.9916960997326379E-4</v>
      </c>
      <c r="Q266" s="103">
        <f t="shared" si="416"/>
        <v>9.123243420503434E-4</v>
      </c>
      <c r="R266" s="103">
        <f t="shared" si="416"/>
        <v>7.9120932695019442E-4</v>
      </c>
      <c r="S266" s="103">
        <f t="shared" si="416"/>
        <v>8.5429929365148051E-4</v>
      </c>
      <c r="T266" s="103">
        <f t="shared" si="416"/>
        <v>8.7418628223740044E-4</v>
      </c>
      <c r="U266" s="103">
        <f t="shared" si="416"/>
        <v>9.5733503311003806E-4</v>
      </c>
      <c r="V266" s="103">
        <f t="shared" si="416"/>
        <v>1.3616206325025358E-3</v>
      </c>
      <c r="W266" s="103">
        <f t="shared" ref="W266" si="417">IF(W48=0,0,W48/W$46)</f>
        <v>1.4897878008364475E-3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0.64966973316800392</v>
      </c>
      <c r="C267" s="103">
        <f t="shared" si="418"/>
        <v>0.66298102205614118</v>
      </c>
      <c r="D267" s="103">
        <f t="shared" si="418"/>
        <v>0.65010078035748331</v>
      </c>
      <c r="E267" s="103">
        <f t="shared" si="418"/>
        <v>0.65461052220510763</v>
      </c>
      <c r="F267" s="103">
        <f t="shared" si="418"/>
        <v>0.64793093802154811</v>
      </c>
      <c r="G267" s="103">
        <f t="shared" si="418"/>
        <v>0.64464663622985796</v>
      </c>
      <c r="H267" s="103">
        <f t="shared" si="418"/>
        <v>0.66164634988650106</v>
      </c>
      <c r="I267" s="103">
        <f t="shared" si="418"/>
        <v>0.66337497681054747</v>
      </c>
      <c r="J267" s="103">
        <f t="shared" si="418"/>
        <v>0.68210130385228307</v>
      </c>
      <c r="K267" s="103">
        <f t="shared" si="418"/>
        <v>0.74621304835885305</v>
      </c>
      <c r="L267" s="103">
        <f t="shared" ref="L267" si="419">IF(L49=0,0,L49/L$46)</f>
        <v>0.7415719366982203</v>
      </c>
      <c r="M267" s="103">
        <f t="shared" ref="M267:V267" si="420">IF(M49=0,0,M49/M$46)</f>
        <v>0.74733296310427366</v>
      </c>
      <c r="N267" s="103">
        <f t="shared" si="420"/>
        <v>0.74132629509691161</v>
      </c>
      <c r="O267" s="103">
        <f t="shared" si="420"/>
        <v>0.74979180934340539</v>
      </c>
      <c r="P267" s="103">
        <f t="shared" si="420"/>
        <v>0.74181877370271621</v>
      </c>
      <c r="Q267" s="103">
        <f t="shared" si="420"/>
        <v>0.73030814744037087</v>
      </c>
      <c r="R267" s="103">
        <f t="shared" si="420"/>
        <v>0.70158706425264494</v>
      </c>
      <c r="S267" s="103">
        <f t="shared" si="420"/>
        <v>0.6965091746143961</v>
      </c>
      <c r="T267" s="103">
        <f t="shared" si="420"/>
        <v>0.69408035796735712</v>
      </c>
      <c r="U267" s="103">
        <f t="shared" si="420"/>
        <v>0.67682812616690768</v>
      </c>
      <c r="V267" s="103">
        <f t="shared" si="420"/>
        <v>0.70350740833716452</v>
      </c>
      <c r="W267" s="103">
        <f t="shared" ref="W267" si="421">IF(W49=0,0,W49/W$46)</f>
        <v>0.68565851071980299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4.3014209251378923E-6</v>
      </c>
      <c r="P268" s="103">
        <f t="shared" si="424"/>
        <v>8.6672224380178225E-6</v>
      </c>
      <c r="Q268" s="103">
        <f t="shared" si="424"/>
        <v>8.9039426117329724E-6</v>
      </c>
      <c r="R268" s="103">
        <f t="shared" si="424"/>
        <v>8.6461845812197307E-6</v>
      </c>
      <c r="S268" s="103">
        <f t="shared" si="424"/>
        <v>1.0734591623698173E-5</v>
      </c>
      <c r="T268" s="103">
        <f t="shared" si="424"/>
        <v>1.0691834856044413E-5</v>
      </c>
      <c r="U268" s="103">
        <f t="shared" si="424"/>
        <v>1.0490416098433783E-5</v>
      </c>
      <c r="V268" s="103">
        <f t="shared" si="424"/>
        <v>8.8138224915586188E-6</v>
      </c>
      <c r="W268" s="103">
        <f t="shared" ref="W268" si="425">IF(W50=0,0,W50/W$46)</f>
        <v>8.4873288802616694E-6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7.1090436186360819E-5</v>
      </c>
      <c r="N270" s="103">
        <f t="shared" si="432"/>
        <v>1.6868021458477011E-4</v>
      </c>
      <c r="O270" s="103">
        <f t="shared" si="432"/>
        <v>1.7442866942406579E-4</v>
      </c>
      <c r="P270" s="103">
        <f t="shared" si="432"/>
        <v>2.0089598770242837E-4</v>
      </c>
      <c r="Q270" s="103">
        <f t="shared" si="432"/>
        <v>1.9993524847363735E-4</v>
      </c>
      <c r="R270" s="103">
        <f t="shared" si="432"/>
        <v>2.0497692121761662E-4</v>
      </c>
      <c r="S270" s="103">
        <f t="shared" si="432"/>
        <v>3.3975511070575946E-4</v>
      </c>
      <c r="T270" s="103">
        <f t="shared" si="432"/>
        <v>3.6334292996931586E-4</v>
      </c>
      <c r="U270" s="103">
        <f t="shared" si="432"/>
        <v>7.2452499182206885E-4</v>
      </c>
      <c r="V270" s="103">
        <f t="shared" si="432"/>
        <v>2.045844375874174E-3</v>
      </c>
      <c r="W270" s="103">
        <f t="shared" ref="W270" si="433">IF(W52=0,0,W52/W$46)</f>
        <v>3.4151925224732661E-3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0.3413923222439072</v>
      </c>
      <c r="C271" s="156">
        <f t="shared" si="434"/>
        <v>0.32927839189808433</v>
      </c>
      <c r="D271" s="156">
        <f t="shared" si="434"/>
        <v>0.34332067303455865</v>
      </c>
      <c r="E271" s="156">
        <f t="shared" si="434"/>
        <v>0.33983752234873416</v>
      </c>
      <c r="F271" s="156">
        <f t="shared" si="434"/>
        <v>0.34758314796493828</v>
      </c>
      <c r="G271" s="156">
        <f t="shared" si="434"/>
        <v>0.35213577652129324</v>
      </c>
      <c r="H271" s="156">
        <f t="shared" si="434"/>
        <v>0.33598144485494685</v>
      </c>
      <c r="I271" s="156">
        <f t="shared" si="434"/>
        <v>0.33485186336984496</v>
      </c>
      <c r="J271" s="156">
        <f t="shared" si="434"/>
        <v>0.31626398184048704</v>
      </c>
      <c r="K271" s="156">
        <f t="shared" si="434"/>
        <v>0.25209292565661673</v>
      </c>
      <c r="L271" s="156">
        <f t="shared" ref="L271" si="435">IF(L53=0,0,L53/L$46)</f>
        <v>0.25691638354285518</v>
      </c>
      <c r="M271" s="156">
        <f t="shared" ref="M271:V271" si="436">IF(M53=0,0,M53/M$46)</f>
        <v>0.25127705076987628</v>
      </c>
      <c r="N271" s="156">
        <f t="shared" si="436"/>
        <v>0.25736957473015432</v>
      </c>
      <c r="O271" s="156">
        <f t="shared" si="436"/>
        <v>0.2489594748767045</v>
      </c>
      <c r="P271" s="156">
        <f t="shared" si="436"/>
        <v>0.25697249347716988</v>
      </c>
      <c r="Q271" s="156">
        <f t="shared" si="436"/>
        <v>0.2685706890264935</v>
      </c>
      <c r="R271" s="156">
        <f t="shared" si="436"/>
        <v>0.29740810331460604</v>
      </c>
      <c r="S271" s="156">
        <f t="shared" si="436"/>
        <v>0.30228603638962287</v>
      </c>
      <c r="T271" s="156">
        <f t="shared" si="436"/>
        <v>0.30467142098558009</v>
      </c>
      <c r="U271" s="156">
        <f t="shared" si="436"/>
        <v>0.32147952339206176</v>
      </c>
      <c r="V271" s="156">
        <f t="shared" si="436"/>
        <v>0.29307631283196717</v>
      </c>
      <c r="W271" s="156">
        <f t="shared" ref="W271" si="437">IF(W53=0,0,W53/W$46)</f>
        <v>0.30942802162800692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0.32668553320722854</v>
      </c>
      <c r="C272" s="104">
        <f t="shared" si="438"/>
        <v>0.3144036662248389</v>
      </c>
      <c r="D272" s="104">
        <f t="shared" si="438"/>
        <v>0.328995847798701</v>
      </c>
      <c r="E272" s="104">
        <f t="shared" si="438"/>
        <v>0.32608857679516901</v>
      </c>
      <c r="F272" s="104">
        <f t="shared" si="438"/>
        <v>0.33244679439784963</v>
      </c>
      <c r="G272" s="104">
        <f t="shared" si="438"/>
        <v>0.33754001459170763</v>
      </c>
      <c r="H272" s="104">
        <f t="shared" si="438"/>
        <v>0.32163176508057501</v>
      </c>
      <c r="I272" s="104">
        <f t="shared" si="438"/>
        <v>0.32015401926246079</v>
      </c>
      <c r="J272" s="104">
        <f t="shared" si="438"/>
        <v>0.30297036304626562</v>
      </c>
      <c r="K272" s="104">
        <f t="shared" si="438"/>
        <v>0.23908751330538724</v>
      </c>
      <c r="L272" s="104">
        <f t="shared" ref="L272" si="439">IF(L54=0,0,L54/L$46)</f>
        <v>0.24278806873285633</v>
      </c>
      <c r="M272" s="104">
        <f t="shared" ref="M272:V272" si="440">IF(M54=0,0,M54/M$46)</f>
        <v>0.23540769445638166</v>
      </c>
      <c r="N272" s="104">
        <f t="shared" si="440"/>
        <v>0.24243367792001089</v>
      </c>
      <c r="O272" s="104">
        <f t="shared" si="440"/>
        <v>0.23493861345011388</v>
      </c>
      <c r="P272" s="104">
        <f t="shared" si="440"/>
        <v>0.24311071242557822</v>
      </c>
      <c r="Q272" s="104">
        <f t="shared" si="440"/>
        <v>0.25233204420423305</v>
      </c>
      <c r="R272" s="104">
        <f t="shared" si="440"/>
        <v>0.28304522613532579</v>
      </c>
      <c r="S272" s="104">
        <f t="shared" si="440"/>
        <v>0.28824911900767808</v>
      </c>
      <c r="T272" s="104">
        <f t="shared" si="440"/>
        <v>0.289410263159396</v>
      </c>
      <c r="U272" s="104">
        <f t="shared" si="440"/>
        <v>0.30420512624084306</v>
      </c>
      <c r="V272" s="104">
        <f t="shared" si="440"/>
        <v>0.28635930464261528</v>
      </c>
      <c r="W272" s="104">
        <f t="shared" ref="W272" si="441">IF(W54=0,0,W54/W$46)</f>
        <v>0.30283971907867485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1.4706789036678682E-2</v>
      </c>
      <c r="C273" s="105">
        <f t="shared" si="442"/>
        <v>1.4874725673245427E-2</v>
      </c>
      <c r="D273" s="105">
        <f t="shared" si="442"/>
        <v>1.4324825235857642E-2</v>
      </c>
      <c r="E273" s="105">
        <f t="shared" si="442"/>
        <v>1.3748945553565173E-2</v>
      </c>
      <c r="F273" s="105">
        <f t="shared" si="442"/>
        <v>1.5136353567088607E-2</v>
      </c>
      <c r="G273" s="105">
        <f t="shared" si="442"/>
        <v>1.4595761929585577E-2</v>
      </c>
      <c r="H273" s="105">
        <f t="shared" si="442"/>
        <v>1.4349679774371847E-2</v>
      </c>
      <c r="I273" s="105">
        <f t="shared" si="442"/>
        <v>1.4697844107384157E-2</v>
      </c>
      <c r="J273" s="105">
        <f t="shared" si="442"/>
        <v>1.3293618794221409E-2</v>
      </c>
      <c r="K273" s="105">
        <f t="shared" si="442"/>
        <v>1.30054123512295E-2</v>
      </c>
      <c r="L273" s="105">
        <f t="shared" ref="L273" si="443">IF(L55=0,0,L55/L$46)</f>
        <v>1.4128314809998852E-2</v>
      </c>
      <c r="M273" s="105">
        <f t="shared" ref="M273:V273" si="444">IF(M55=0,0,M55/M$46)</f>
        <v>1.5869356313494627E-2</v>
      </c>
      <c r="N273" s="105">
        <f t="shared" si="444"/>
        <v>1.4935896810143434E-2</v>
      </c>
      <c r="O273" s="105">
        <f t="shared" si="444"/>
        <v>1.4020861426590616E-2</v>
      </c>
      <c r="P273" s="105">
        <f t="shared" si="444"/>
        <v>1.3861781051591691E-2</v>
      </c>
      <c r="Q273" s="105">
        <f t="shared" si="444"/>
        <v>1.6238644822260413E-2</v>
      </c>
      <c r="R273" s="105">
        <f t="shared" si="444"/>
        <v>1.4362877179280245E-2</v>
      </c>
      <c r="S273" s="105">
        <f t="shared" si="444"/>
        <v>1.4036917381944796E-2</v>
      </c>
      <c r="T273" s="105">
        <f t="shared" si="444"/>
        <v>1.526115782618411E-2</v>
      </c>
      <c r="U273" s="105">
        <f t="shared" si="444"/>
        <v>1.7274397151218736E-2</v>
      </c>
      <c r="V273" s="105">
        <f t="shared" si="444"/>
        <v>6.7170081893519083E-3</v>
      </c>
      <c r="W273" s="105">
        <f t="shared" ref="W273" si="445">IF(W55=0,0,W55/W$46)</f>
        <v>6.5883025493321265E-3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3383.7805674978495</v>
      </c>
      <c r="C4" s="145">
        <f t="shared" si="0"/>
        <v>3536.998452278589</v>
      </c>
      <c r="D4" s="145">
        <f t="shared" si="0"/>
        <v>3606.1160791057609</v>
      </c>
      <c r="E4" s="145">
        <f t="shared" si="0"/>
        <v>3664.8339638865</v>
      </c>
      <c r="F4" s="145">
        <f t="shared" si="0"/>
        <v>3882.2401547721411</v>
      </c>
      <c r="G4" s="145">
        <f t="shared" si="0"/>
        <v>4112.0191745485818</v>
      </c>
      <c r="H4" s="145">
        <f t="shared" si="0"/>
        <v>4465.8077386070499</v>
      </c>
      <c r="I4" s="145">
        <f t="shared" si="0"/>
        <v>4611.718830610489</v>
      </c>
      <c r="J4" s="145">
        <f t="shared" si="0"/>
        <v>4374.8640278751327</v>
      </c>
      <c r="K4" s="145">
        <f t="shared" si="0"/>
        <v>3998.3817245686314</v>
      </c>
      <c r="L4" s="145">
        <f t="shared" ref="L4" si="1">L5+L9+L10+L15</f>
        <v>3749.5279566850431</v>
      </c>
      <c r="M4" s="145">
        <f t="shared" ref="M4:V4" si="2">M5+M9+M10+M15</f>
        <v>3575.0410997403701</v>
      </c>
      <c r="N4" s="145">
        <f t="shared" si="2"/>
        <v>3493.0303229865531</v>
      </c>
      <c r="O4" s="145">
        <f t="shared" si="2"/>
        <v>3555.7657533913252</v>
      </c>
      <c r="P4" s="145">
        <f t="shared" si="2"/>
        <v>3700.8127060342658</v>
      </c>
      <c r="Q4" s="145">
        <f t="shared" si="2"/>
        <v>3763.1582306635687</v>
      </c>
      <c r="R4" s="145">
        <f t="shared" si="2"/>
        <v>3946.5930839198677</v>
      </c>
      <c r="S4" s="145">
        <f t="shared" si="2"/>
        <v>3908.6101860285412</v>
      </c>
      <c r="T4" s="145">
        <f t="shared" si="2"/>
        <v>3942.711031516711</v>
      </c>
      <c r="U4" s="145">
        <f t="shared" si="2"/>
        <v>3967.5558990102627</v>
      </c>
      <c r="V4" s="145">
        <f t="shared" si="2"/>
        <v>3321.7828206424629</v>
      </c>
      <c r="W4" s="145">
        <f t="shared" ref="W4" si="3">W5+W9+W10+W15</f>
        <v>3536.9411878639785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3383.7805674978495</v>
      </c>
      <c r="C5" s="97">
        <f t="shared" si="4"/>
        <v>3536.998452278589</v>
      </c>
      <c r="D5" s="97">
        <f t="shared" si="4"/>
        <v>3606.1160791057609</v>
      </c>
      <c r="E5" s="97">
        <f t="shared" si="4"/>
        <v>3664.8339638865</v>
      </c>
      <c r="F5" s="97">
        <f t="shared" si="4"/>
        <v>3882.2401547721411</v>
      </c>
      <c r="G5" s="97">
        <f t="shared" si="4"/>
        <v>4110.9313843508171</v>
      </c>
      <c r="H5" s="97">
        <f t="shared" si="4"/>
        <v>4463.133877901977</v>
      </c>
      <c r="I5" s="97">
        <f t="shared" si="4"/>
        <v>4590.1536543422171</v>
      </c>
      <c r="J5" s="97">
        <f t="shared" si="4"/>
        <v>4318.9957867583835</v>
      </c>
      <c r="K5" s="97">
        <f t="shared" si="4"/>
        <v>3920.9071367153911</v>
      </c>
      <c r="L5" s="97">
        <f t="shared" ref="L5" si="5">SUM(L6:L8)</f>
        <v>3656.8566638005163</v>
      </c>
      <c r="M5" s="97">
        <f t="shared" ref="M5:V5" si="6">SUM(M6:M8)</f>
        <v>3482.8854686156496</v>
      </c>
      <c r="N5" s="97">
        <f t="shared" si="6"/>
        <v>3407.8762682717106</v>
      </c>
      <c r="O5" s="97">
        <f t="shared" si="6"/>
        <v>3454.232416165089</v>
      </c>
      <c r="P5" s="97">
        <f t="shared" si="6"/>
        <v>3586.2246775580388</v>
      </c>
      <c r="Q5" s="97">
        <f t="shared" si="6"/>
        <v>3640.386586414445</v>
      </c>
      <c r="R5" s="97">
        <f t="shared" si="6"/>
        <v>3833.6184006878766</v>
      </c>
      <c r="S5" s="97">
        <f t="shared" si="6"/>
        <v>3747.2745485812552</v>
      </c>
      <c r="T5" s="97">
        <f t="shared" si="6"/>
        <v>3787.1975064488388</v>
      </c>
      <c r="U5" s="97">
        <f t="shared" si="6"/>
        <v>3776.8223559759235</v>
      </c>
      <c r="V5" s="97">
        <f t="shared" si="6"/>
        <v>3143.3508168529656</v>
      </c>
      <c r="W5" s="97">
        <f t="shared" ref="W5" si="7">SUM(W6:W8)</f>
        <v>3349.0039552880476</v>
      </c>
      <c r="DA5" s="175"/>
    </row>
    <row r="6" spans="1:105" ht="11.45" customHeight="1" x14ac:dyDescent="0.25">
      <c r="A6" s="128" t="s">
        <v>52</v>
      </c>
      <c r="B6" s="97">
        <v>2.1804815133276012</v>
      </c>
      <c r="C6" s="97">
        <v>1.567841788478074</v>
      </c>
      <c r="D6" s="97">
        <v>1.375236457437661</v>
      </c>
      <c r="E6" s="97">
        <v>1.193895098882201</v>
      </c>
      <c r="F6" s="97">
        <v>1.065520206362855</v>
      </c>
      <c r="G6" s="97">
        <v>1.018142734307824</v>
      </c>
      <c r="H6" s="97">
        <v>0.87179707652622518</v>
      </c>
      <c r="I6" s="97">
        <v>1.168013757523646</v>
      </c>
      <c r="J6" s="97">
        <v>0.89991401547721395</v>
      </c>
      <c r="K6" s="97">
        <v>0.5868443680137575</v>
      </c>
      <c r="L6" s="97">
        <v>0.51470335339638862</v>
      </c>
      <c r="M6" s="97">
        <v>0.54961306964746348</v>
      </c>
      <c r="N6" s="97">
        <v>1.0001719690455719</v>
      </c>
      <c r="O6" s="97">
        <v>1.3030954428202921</v>
      </c>
      <c r="P6" s="97">
        <v>2.1084264832330182</v>
      </c>
      <c r="Q6" s="97">
        <v>2.529664660361135</v>
      </c>
      <c r="R6" s="97">
        <v>2.5488392089423901</v>
      </c>
      <c r="S6" s="97">
        <v>2.2537403267411862</v>
      </c>
      <c r="T6" s="97">
        <v>1.8516766981943249</v>
      </c>
      <c r="U6" s="97">
        <v>1.628632846087704</v>
      </c>
      <c r="V6" s="97">
        <v>1.149957007738607</v>
      </c>
      <c r="W6" s="97">
        <v>1.1645743766122101</v>
      </c>
      <c r="DA6" s="175" t="s">
        <v>629</v>
      </c>
    </row>
    <row r="7" spans="1:105" ht="11.45" customHeight="1" x14ac:dyDescent="0.25">
      <c r="A7" s="128" t="s">
        <v>53</v>
      </c>
      <c r="B7" s="97">
        <v>1590.030008598452</v>
      </c>
      <c r="C7" s="97">
        <v>1651.7994840928629</v>
      </c>
      <c r="D7" s="97">
        <v>1688.009114359415</v>
      </c>
      <c r="E7" s="97">
        <v>1685.8791057609631</v>
      </c>
      <c r="F7" s="97">
        <v>1732.7386930352541</v>
      </c>
      <c r="G7" s="97">
        <v>1821.1328460877039</v>
      </c>
      <c r="H7" s="97">
        <v>1992.596216680997</v>
      </c>
      <c r="I7" s="97">
        <v>1937.216766981943</v>
      </c>
      <c r="J7" s="97">
        <v>1814.7429062768699</v>
      </c>
      <c r="K7" s="97">
        <v>1646.4744625967321</v>
      </c>
      <c r="L7" s="97">
        <v>1525.065606190886</v>
      </c>
      <c r="M7" s="97">
        <v>1356.7972484952711</v>
      </c>
      <c r="N7" s="97">
        <v>1280.117970765262</v>
      </c>
      <c r="O7" s="97">
        <v>1184.268873602751</v>
      </c>
      <c r="P7" s="97">
        <v>1176.8139294926909</v>
      </c>
      <c r="Q7" s="97">
        <v>1018.130438521066</v>
      </c>
      <c r="R7" s="97">
        <v>1002.15554600172</v>
      </c>
      <c r="S7" s="97">
        <v>903.53645743766128</v>
      </c>
      <c r="T7" s="97">
        <v>823.57730008598446</v>
      </c>
      <c r="U7" s="97">
        <v>780.17747205503008</v>
      </c>
      <c r="V7" s="97">
        <v>577.66981943250209</v>
      </c>
      <c r="W7" s="97">
        <v>611.97239896818564</v>
      </c>
      <c r="DA7" s="175" t="s">
        <v>630</v>
      </c>
    </row>
    <row r="8" spans="1:105" ht="11.45" customHeight="1" x14ac:dyDescent="0.25">
      <c r="A8" s="128" t="s">
        <v>54</v>
      </c>
      <c r="B8" s="97">
        <v>1791.5700773860699</v>
      </c>
      <c r="C8" s="97">
        <v>1883.631126397248</v>
      </c>
      <c r="D8" s="97">
        <v>1916.731728288908</v>
      </c>
      <c r="E8" s="97">
        <v>1977.760963026655</v>
      </c>
      <c r="F8" s="97">
        <v>2148.4359415305239</v>
      </c>
      <c r="G8" s="97">
        <v>2288.780395528805</v>
      </c>
      <c r="H8" s="97">
        <v>2469.6658641444542</v>
      </c>
      <c r="I8" s="97">
        <v>2651.7688736027508</v>
      </c>
      <c r="J8" s="97">
        <v>2503.3529664660359</v>
      </c>
      <c r="K8" s="97">
        <v>2273.845829750645</v>
      </c>
      <c r="L8" s="97">
        <v>2131.2763542562338</v>
      </c>
      <c r="M8" s="97">
        <v>2125.5386070507311</v>
      </c>
      <c r="N8" s="97">
        <v>2126.758125537403</v>
      </c>
      <c r="O8" s="97">
        <v>2268.6604471195178</v>
      </c>
      <c r="P8" s="97">
        <v>2407.3023215821149</v>
      </c>
      <c r="Q8" s="97">
        <v>2619.7264832330179</v>
      </c>
      <c r="R8" s="97">
        <v>2828.914015477214</v>
      </c>
      <c r="S8" s="97">
        <v>2841.4843508168528</v>
      </c>
      <c r="T8" s="97">
        <v>2961.76852966466</v>
      </c>
      <c r="U8" s="97">
        <v>2995.016251074806</v>
      </c>
      <c r="V8" s="97">
        <v>2564.5310404127249</v>
      </c>
      <c r="W8" s="97">
        <v>2735.8669819432498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1.0877901977644024</v>
      </c>
      <c r="H10" s="97">
        <f t="shared" si="8"/>
        <v>2.6738607050730869</v>
      </c>
      <c r="I10" s="97">
        <f t="shared" si="8"/>
        <v>21.56517626827171</v>
      </c>
      <c r="J10" s="97">
        <f t="shared" si="8"/>
        <v>55.853654342218391</v>
      </c>
      <c r="K10" s="97">
        <f t="shared" si="8"/>
        <v>77.459501289767829</v>
      </c>
      <c r="L10" s="97">
        <f t="shared" si="8"/>
        <v>92.652106620808254</v>
      </c>
      <c r="M10" s="97">
        <f t="shared" si="8"/>
        <v>91.988134135855546</v>
      </c>
      <c r="N10" s="97">
        <f t="shared" si="8"/>
        <v>84.948151332760091</v>
      </c>
      <c r="O10" s="97">
        <f t="shared" si="8"/>
        <v>101.44256233877901</v>
      </c>
      <c r="P10" s="97">
        <f t="shared" si="8"/>
        <v>114.4133276010318</v>
      </c>
      <c r="Q10" s="97">
        <f t="shared" si="8"/>
        <v>122.46629406706792</v>
      </c>
      <c r="R10" s="97">
        <f t="shared" si="8"/>
        <v>112.53611349957006</v>
      </c>
      <c r="S10" s="97">
        <f t="shared" si="8"/>
        <v>160.7140154772141</v>
      </c>
      <c r="T10" s="97">
        <f t="shared" si="8"/>
        <v>154.30997420464314</v>
      </c>
      <c r="U10" s="97">
        <f t="shared" si="8"/>
        <v>188.17420464316422</v>
      </c>
      <c r="V10" s="97">
        <f t="shared" si="8"/>
        <v>174.57540842648322</v>
      </c>
      <c r="W10" s="97">
        <f t="shared" si="8"/>
        <v>178.42416165090279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8.856405846947548E-3</v>
      </c>
      <c r="H12" s="97">
        <v>0.64496990541702492</v>
      </c>
      <c r="I12" s="97">
        <v>3.5109200343938092</v>
      </c>
      <c r="J12" s="97">
        <v>18.118572656921749</v>
      </c>
      <c r="K12" s="97">
        <v>22.810576096302661</v>
      </c>
      <c r="L12" s="97">
        <v>30.1609630266552</v>
      </c>
      <c r="M12" s="97">
        <v>23.642304385210661</v>
      </c>
      <c r="N12" s="97">
        <v>28.643766122098022</v>
      </c>
      <c r="O12" s="97">
        <v>27.708942390369732</v>
      </c>
      <c r="P12" s="97">
        <v>24.80051590713671</v>
      </c>
      <c r="Q12" s="97">
        <v>24.139724849527081</v>
      </c>
      <c r="R12" s="97">
        <v>26.766466036113499</v>
      </c>
      <c r="S12" s="97">
        <v>29.609630266552021</v>
      </c>
      <c r="T12" s="97">
        <v>27.276612209802231</v>
      </c>
      <c r="U12" s="97">
        <v>26.19432502149613</v>
      </c>
      <c r="V12" s="97">
        <v>19.438865004299231</v>
      </c>
      <c r="W12" s="97">
        <v>20.327515047291481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1.0789337919174549</v>
      </c>
      <c r="H13" s="97">
        <v>2.0288907996560619</v>
      </c>
      <c r="I13" s="97">
        <v>18.054256233877901</v>
      </c>
      <c r="J13" s="97">
        <v>37.735081685296642</v>
      </c>
      <c r="K13" s="97">
        <v>54.648925193465168</v>
      </c>
      <c r="L13" s="97">
        <v>62.491143594153051</v>
      </c>
      <c r="M13" s="97">
        <v>68.345829750644882</v>
      </c>
      <c r="N13" s="97">
        <v>56.304385210662076</v>
      </c>
      <c r="O13" s="97">
        <v>73.733619948409284</v>
      </c>
      <c r="P13" s="97">
        <v>89.612811693895082</v>
      </c>
      <c r="Q13" s="97">
        <v>98.326569217540836</v>
      </c>
      <c r="R13" s="97">
        <v>85.769647463456565</v>
      </c>
      <c r="S13" s="97">
        <v>131.10438521066209</v>
      </c>
      <c r="T13" s="97">
        <v>127.0333619948409</v>
      </c>
      <c r="U13" s="97">
        <v>161.97987962166809</v>
      </c>
      <c r="V13" s="97">
        <v>155.13654342218399</v>
      </c>
      <c r="W13" s="97">
        <v>158.0966466036113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1.4586774530340836E-2</v>
      </c>
      <c r="K15" s="98">
        <v>1.5086563472356039E-2</v>
      </c>
      <c r="L15" s="98">
        <v>1.9186263718294034E-2</v>
      </c>
      <c r="M15" s="98">
        <v>0.16749698886512959</v>
      </c>
      <c r="N15" s="98">
        <v>0.20590338208261985</v>
      </c>
      <c r="O15" s="98">
        <v>9.0774887456847836E-2</v>
      </c>
      <c r="P15" s="98">
        <v>0.17470087519536476</v>
      </c>
      <c r="Q15" s="98">
        <v>0.30535018205573972</v>
      </c>
      <c r="R15" s="98">
        <v>0.43856973242080421</v>
      </c>
      <c r="S15" s="98">
        <v>0.62162197007186271</v>
      </c>
      <c r="T15" s="98">
        <v>1.2035508632288852</v>
      </c>
      <c r="U15" s="98">
        <v>2.5593383911749736</v>
      </c>
      <c r="V15" s="98">
        <v>3.8565953630141827</v>
      </c>
      <c r="W15" s="98">
        <v>9.5130709250277192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3383.7805674978495</v>
      </c>
      <c r="C17" s="79">
        <f t="shared" si="9"/>
        <v>3536.9984522785894</v>
      </c>
      <c r="D17" s="79">
        <f t="shared" si="9"/>
        <v>3606.1160791057609</v>
      </c>
      <c r="E17" s="79">
        <f t="shared" si="9"/>
        <v>3664.8339638865009</v>
      </c>
      <c r="F17" s="79">
        <f t="shared" si="9"/>
        <v>3882.2401547721402</v>
      </c>
      <c r="G17" s="79">
        <f t="shared" si="9"/>
        <v>4112.0191745485808</v>
      </c>
      <c r="H17" s="79">
        <f t="shared" si="9"/>
        <v>4465.8077386070509</v>
      </c>
      <c r="I17" s="79">
        <f t="shared" si="9"/>
        <v>4611.718830610489</v>
      </c>
      <c r="J17" s="79">
        <f t="shared" si="9"/>
        <v>4374.8640278751318</v>
      </c>
      <c r="K17" s="79">
        <f t="shared" si="9"/>
        <v>3998.3817245686309</v>
      </c>
      <c r="L17" s="79">
        <f t="shared" ref="L17" si="10">L18+L42</f>
        <v>3749.5279566850431</v>
      </c>
      <c r="M17" s="79">
        <f t="shared" ref="M17:V17" si="11">M18+M42</f>
        <v>3575.0410997403706</v>
      </c>
      <c r="N17" s="79">
        <f t="shared" si="11"/>
        <v>3493.0303229865531</v>
      </c>
      <c r="O17" s="79">
        <f t="shared" si="11"/>
        <v>3555.7657533913252</v>
      </c>
      <c r="P17" s="79">
        <f t="shared" si="11"/>
        <v>3700.8127060342658</v>
      </c>
      <c r="Q17" s="79">
        <f t="shared" si="11"/>
        <v>3763.1582306635682</v>
      </c>
      <c r="R17" s="79">
        <f t="shared" si="11"/>
        <v>3946.5930839198672</v>
      </c>
      <c r="S17" s="79">
        <f t="shared" si="11"/>
        <v>3908.6101860285416</v>
      </c>
      <c r="T17" s="79">
        <f t="shared" si="11"/>
        <v>3942.711031516711</v>
      </c>
      <c r="U17" s="79">
        <f t="shared" si="11"/>
        <v>3967.5558990102622</v>
      </c>
      <c r="V17" s="79">
        <f t="shared" si="11"/>
        <v>3321.7828206424629</v>
      </c>
      <c r="W17" s="79">
        <f t="shared" ref="W17" si="12">W18+W42</f>
        <v>3536.9411878639785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2097.0691269714962</v>
      </c>
      <c r="C18" s="32">
        <f t="shared" si="13"/>
        <v>2177.4496336054131</v>
      </c>
      <c r="D18" s="32">
        <f t="shared" si="13"/>
        <v>2193.1048905752468</v>
      </c>
      <c r="E18" s="32">
        <f t="shared" si="13"/>
        <v>2207.1949131618126</v>
      </c>
      <c r="F18" s="32">
        <f t="shared" si="13"/>
        <v>2295.8150149367893</v>
      </c>
      <c r="G18" s="32">
        <f t="shared" si="13"/>
        <v>2456.5129875480125</v>
      </c>
      <c r="H18" s="32">
        <f t="shared" si="13"/>
        <v>2733.2222877569984</v>
      </c>
      <c r="I18" s="32">
        <f t="shared" si="13"/>
        <v>2743.6887601984836</v>
      </c>
      <c r="J18" s="32">
        <f t="shared" si="13"/>
        <v>2724.0435468535493</v>
      </c>
      <c r="K18" s="32">
        <f t="shared" si="13"/>
        <v>2672.0431628254419</v>
      </c>
      <c r="L18" s="32">
        <f t="shared" ref="L18" si="14">L19+L21+L33</f>
        <v>2564.046525579532</v>
      </c>
      <c r="M18" s="32">
        <f t="shared" ref="M18:V18" si="15">M19+M21+M33</f>
        <v>2465.5386275309197</v>
      </c>
      <c r="N18" s="32">
        <f t="shared" si="15"/>
        <v>2422.9340417039693</v>
      </c>
      <c r="O18" s="32">
        <f t="shared" si="15"/>
        <v>2475.2223333423162</v>
      </c>
      <c r="P18" s="32">
        <f t="shared" si="15"/>
        <v>2585.0122723021195</v>
      </c>
      <c r="Q18" s="32">
        <f t="shared" si="15"/>
        <v>2654.601009740551</v>
      </c>
      <c r="R18" s="32">
        <f t="shared" si="15"/>
        <v>2786.2656074868278</v>
      </c>
      <c r="S18" s="32">
        <f t="shared" si="15"/>
        <v>2775.3229321914314</v>
      </c>
      <c r="T18" s="32">
        <f t="shared" si="15"/>
        <v>2776.0643052144615</v>
      </c>
      <c r="U18" s="32">
        <f t="shared" si="15"/>
        <v>2767.9387810495473</v>
      </c>
      <c r="V18" s="32">
        <f t="shared" si="15"/>
        <v>2273.966215686763</v>
      </c>
      <c r="W18" s="32">
        <f t="shared" ref="W18" si="16">W19+W21+W33</f>
        <v>2388.1847187868807</v>
      </c>
      <c r="DA18" s="173" t="s">
        <v>390</v>
      </c>
    </row>
    <row r="19" spans="1:105" ht="11.45" customHeight="1" x14ac:dyDescent="0.25">
      <c r="A19" s="107" t="s">
        <v>181</v>
      </c>
      <c r="B19" s="129">
        <v>4.3913926231090299</v>
      </c>
      <c r="C19" s="129">
        <v>4.6886837022671655</v>
      </c>
      <c r="D19" s="129">
        <v>4.6048946825741508</v>
      </c>
      <c r="E19" s="129">
        <v>4.9189578298332446</v>
      </c>
      <c r="F19" s="129">
        <v>4.7198967042099573</v>
      </c>
      <c r="G19" s="129">
        <v>5.7451139208879107</v>
      </c>
      <c r="H19" s="129">
        <v>5.6288429652337122</v>
      </c>
      <c r="I19" s="129">
        <v>5.6879547014120915</v>
      </c>
      <c r="J19" s="129">
        <v>6.0509304921566427</v>
      </c>
      <c r="K19" s="129">
        <v>5.5360981542613521</v>
      </c>
      <c r="L19" s="129">
        <v>4.8074636518270735</v>
      </c>
      <c r="M19" s="129">
        <v>4.3773299763245079</v>
      </c>
      <c r="N19" s="129">
        <v>3.9412964325877158</v>
      </c>
      <c r="O19" s="129">
        <v>3.8640570891794432</v>
      </c>
      <c r="P19" s="129">
        <v>4.4358795994203568</v>
      </c>
      <c r="Q19" s="129">
        <v>4.1839506457997304</v>
      </c>
      <c r="R19" s="129">
        <v>4.3153939886426924</v>
      </c>
      <c r="S19" s="129">
        <v>4.0590089504167164</v>
      </c>
      <c r="T19" s="129">
        <v>3.8354369095328842</v>
      </c>
      <c r="U19" s="129">
        <v>4.0682569223060225</v>
      </c>
      <c r="V19" s="129">
        <v>3.6602327229158282</v>
      </c>
      <c r="W19" s="129">
        <v>3.5287351662288566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2.7939100208766772E-5</v>
      </c>
      <c r="H20" s="97">
        <v>1.8213723152648098E-3</v>
      </c>
      <c r="I20" s="97">
        <v>1.0289931065297398E-2</v>
      </c>
      <c r="J20" s="97">
        <v>5.9815880809443167E-2</v>
      </c>
      <c r="K20" s="97">
        <v>7.5650104863607556E-2</v>
      </c>
      <c r="L20" s="97">
        <v>9.3232546514232822E-2</v>
      </c>
      <c r="M20" s="97">
        <v>7.4968996272835098E-2</v>
      </c>
      <c r="N20" s="97">
        <v>8.6259836340721277E-2</v>
      </c>
      <c r="O20" s="97">
        <v>8.8342322659955924E-2</v>
      </c>
      <c r="P20" s="97">
        <v>9.1553578594806367E-2</v>
      </c>
      <c r="Q20" s="97">
        <v>9.6903299089926023E-2</v>
      </c>
      <c r="R20" s="97">
        <v>0.11226103171870498</v>
      </c>
      <c r="S20" s="97">
        <v>0.12879629015661756</v>
      </c>
      <c r="T20" s="97">
        <v>0.12295615466374209</v>
      </c>
      <c r="U20" s="97">
        <v>0.13215398217073587</v>
      </c>
      <c r="V20" s="97">
        <v>0.11915882592159828</v>
      </c>
      <c r="W20" s="97">
        <v>0.11344366114790885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1963.4386917014351</v>
      </c>
      <c r="C21" s="130">
        <f t="shared" si="17"/>
        <v>2045.2644820008079</v>
      </c>
      <c r="D21" s="130">
        <f t="shared" si="17"/>
        <v>2060.5270770696579</v>
      </c>
      <c r="E21" s="130">
        <f t="shared" si="17"/>
        <v>2068.7179050233112</v>
      </c>
      <c r="F21" s="130">
        <f t="shared" si="17"/>
        <v>2153.5505778484976</v>
      </c>
      <c r="G21" s="130">
        <f t="shared" si="17"/>
        <v>2308.42533214901</v>
      </c>
      <c r="H21" s="130">
        <f t="shared" si="17"/>
        <v>2575.7488850871541</v>
      </c>
      <c r="I21" s="130">
        <f t="shared" si="17"/>
        <v>2576.1321368202957</v>
      </c>
      <c r="J21" s="130">
        <f t="shared" si="17"/>
        <v>2544.8324140271852</v>
      </c>
      <c r="K21" s="130">
        <f t="shared" si="17"/>
        <v>2495.0946029603865</v>
      </c>
      <c r="L21" s="130">
        <f t="shared" ref="L21" si="18">L22+L24+L26+L27+L29+L32</f>
        <v>2391.9687088266369</v>
      </c>
      <c r="M21" s="130">
        <f t="shared" ref="M21:V21" si="19">M22+M24+M26+M27+M29+M32</f>
        <v>2298.2552020604503</v>
      </c>
      <c r="N21" s="130">
        <f t="shared" si="19"/>
        <v>2258.7371785048031</v>
      </c>
      <c r="O21" s="130">
        <f t="shared" si="19"/>
        <v>2310.6675126571545</v>
      </c>
      <c r="P21" s="130">
        <f t="shared" si="19"/>
        <v>2416.386416490262</v>
      </c>
      <c r="Q21" s="130">
        <f t="shared" si="19"/>
        <v>2480.7835829311621</v>
      </c>
      <c r="R21" s="130">
        <f t="shared" si="19"/>
        <v>2602.4970261382773</v>
      </c>
      <c r="S21" s="130">
        <f t="shared" si="19"/>
        <v>2573.2281302653842</v>
      </c>
      <c r="T21" s="130">
        <f t="shared" si="19"/>
        <v>2559.1551296073644</v>
      </c>
      <c r="U21" s="130">
        <f t="shared" si="19"/>
        <v>2546.5703170502138</v>
      </c>
      <c r="V21" s="130">
        <f t="shared" si="19"/>
        <v>2089.3371986154407</v>
      </c>
      <c r="W21" s="130">
        <f t="shared" ref="W21" si="20">W22+W24+W26+W27+W29+W32</f>
        <v>2203.3958599261177</v>
      </c>
      <c r="DA21" s="176" t="s">
        <v>392</v>
      </c>
    </row>
    <row r="22" spans="1:105" ht="11.45" customHeight="1" x14ac:dyDescent="0.25">
      <c r="A22" s="111" t="s">
        <v>110</v>
      </c>
      <c r="B22" s="96">
        <v>1580.1682294160444</v>
      </c>
      <c r="C22" s="96">
        <v>1642.1447291612585</v>
      </c>
      <c r="D22" s="96">
        <v>1678.8393636301817</v>
      </c>
      <c r="E22" s="96">
        <v>1676.8830279443607</v>
      </c>
      <c r="F22" s="96">
        <v>1724.5061045908378</v>
      </c>
      <c r="G22" s="96">
        <v>1812.6827438148871</v>
      </c>
      <c r="H22" s="96">
        <v>1985.5212443013643</v>
      </c>
      <c r="I22" s="96">
        <v>1933.3854961388174</v>
      </c>
      <c r="J22" s="96">
        <v>1825.3454785119379</v>
      </c>
      <c r="K22" s="96">
        <v>1662.4416625758024</v>
      </c>
      <c r="L22" s="96">
        <v>1549.3270097324887</v>
      </c>
      <c r="M22" s="96">
        <v>1375.1502782549983</v>
      </c>
      <c r="N22" s="96">
        <v>1304.0836701133978</v>
      </c>
      <c r="O22" s="96">
        <v>1207.398939592957</v>
      </c>
      <c r="P22" s="96">
        <v>1196.5057268573066</v>
      </c>
      <c r="Q22" s="96">
        <v>1037.4740384967927</v>
      </c>
      <c r="R22" s="96">
        <v>1023.9808136498484</v>
      </c>
      <c r="S22" s="96">
        <v>928.31423633558791</v>
      </c>
      <c r="T22" s="96">
        <v>846.02301619743878</v>
      </c>
      <c r="U22" s="96">
        <v>800.88169132435758</v>
      </c>
      <c r="V22" s="96">
        <v>591.6129037478903</v>
      </c>
      <c r="W22" s="96">
        <v>624.50383274316732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8.8152690309610555E-3</v>
      </c>
      <c r="H23" s="96">
        <v>0.64247189841269425</v>
      </c>
      <c r="I23" s="96">
        <v>3.4976374676428517</v>
      </c>
      <c r="J23" s="96">
        <v>18.044273970797349</v>
      </c>
      <c r="K23" s="96">
        <v>22.717062197801553</v>
      </c>
      <c r="L23" s="96">
        <v>30.046551146724585</v>
      </c>
      <c r="M23" s="96">
        <v>23.551716832563589</v>
      </c>
      <c r="N23" s="96">
        <v>28.541381213676399</v>
      </c>
      <c r="O23" s="96">
        <v>27.604257452485125</v>
      </c>
      <c r="P23" s="96">
        <v>24.695075384210309</v>
      </c>
      <c r="Q23" s="96">
        <v>24.028643156059911</v>
      </c>
      <c r="R23" s="96">
        <v>26.637925274731828</v>
      </c>
      <c r="S23" s="96">
        <v>29.4563109370139</v>
      </c>
      <c r="T23" s="96">
        <v>27.1217436975979</v>
      </c>
      <c r="U23" s="96">
        <v>26.015983448792237</v>
      </c>
      <c r="V23" s="96">
        <v>19.259949939605871</v>
      </c>
      <c r="W23" s="96">
        <v>20.076882466359478</v>
      </c>
      <c r="DA23" s="171" t="s">
        <v>641</v>
      </c>
    </row>
    <row r="24" spans="1:105" ht="11.45" customHeight="1" x14ac:dyDescent="0.25">
      <c r="A24" s="111" t="s">
        <v>111</v>
      </c>
      <c r="B24" s="96">
        <v>381.08998077206309</v>
      </c>
      <c r="C24" s="96">
        <v>401.55867118322936</v>
      </c>
      <c r="D24" s="96">
        <v>380.31940462213515</v>
      </c>
      <c r="E24" s="96">
        <v>390.64809548232842</v>
      </c>
      <c r="F24" s="96">
        <v>427.98624986070456</v>
      </c>
      <c r="G24" s="96">
        <v>494.73193148645197</v>
      </c>
      <c r="H24" s="96">
        <v>589.3635365495478</v>
      </c>
      <c r="I24" s="96">
        <v>641.58653049465602</v>
      </c>
      <c r="J24" s="96">
        <v>718.58702149977012</v>
      </c>
      <c r="K24" s="96">
        <v>832.06561000560487</v>
      </c>
      <c r="L24" s="96">
        <v>842.12242331609264</v>
      </c>
      <c r="M24" s="96">
        <v>922.4105486435185</v>
      </c>
      <c r="N24" s="96">
        <v>953.48049098095373</v>
      </c>
      <c r="O24" s="96">
        <v>1101.9081494064485</v>
      </c>
      <c r="P24" s="96">
        <v>1217.6301847164289</v>
      </c>
      <c r="Q24" s="96">
        <v>1440.481512505462</v>
      </c>
      <c r="R24" s="96">
        <v>1575.4471277108128</v>
      </c>
      <c r="S24" s="96">
        <v>1641.8887707746528</v>
      </c>
      <c r="T24" s="96">
        <v>1709.6907631209162</v>
      </c>
      <c r="U24" s="96">
        <v>1740.8504778157853</v>
      </c>
      <c r="V24" s="96">
        <v>1491.9736762140171</v>
      </c>
      <c r="W24" s="96">
        <v>1565.5144683955984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0.23310733195984956</v>
      </c>
      <c r="H25" s="96">
        <v>0.48377909714226636</v>
      </c>
      <c r="I25" s="96">
        <v>4.3386273376334277</v>
      </c>
      <c r="J25" s="96">
        <v>10.670995825593279</v>
      </c>
      <c r="K25" s="96">
        <v>19.528277304770089</v>
      </c>
      <c r="L25" s="96">
        <v>23.988500755375433</v>
      </c>
      <c r="M25" s="96">
        <v>28.735749823588574</v>
      </c>
      <c r="N25" s="96">
        <v>24.591660839178925</v>
      </c>
      <c r="O25" s="96">
        <v>34.685742185170056</v>
      </c>
      <c r="P25" s="96">
        <v>43.700029288794568</v>
      </c>
      <c r="Q25" s="96">
        <v>52.109948706945858</v>
      </c>
      <c r="R25" s="96">
        <v>46.360277946849749</v>
      </c>
      <c r="S25" s="96">
        <v>72.414597844559708</v>
      </c>
      <c r="T25" s="96">
        <v>70.314566368673141</v>
      </c>
      <c r="U25" s="96">
        <v>89.319954527063445</v>
      </c>
      <c r="V25" s="96">
        <v>85.105856458515476</v>
      </c>
      <c r="W25" s="96">
        <v>85.523738177406614</v>
      </c>
      <c r="DA25" s="171" t="s">
        <v>643</v>
      </c>
    </row>
    <row r="26" spans="1:105" ht="11.45" customHeight="1" x14ac:dyDescent="0.25">
      <c r="A26" s="111" t="s">
        <v>112</v>
      </c>
      <c r="B26" s="96">
        <v>2.1804815133276012</v>
      </c>
      <c r="C26" s="96">
        <v>1.5610816563200247</v>
      </c>
      <c r="D26" s="96">
        <v>1.3683088173409503</v>
      </c>
      <c r="E26" s="96">
        <v>1.1867815966218687</v>
      </c>
      <c r="F26" s="96">
        <v>1.0582233969555475</v>
      </c>
      <c r="G26" s="96">
        <v>1.0106568476710411</v>
      </c>
      <c r="H26" s="96">
        <v>0.86410423624182087</v>
      </c>
      <c r="I26" s="96">
        <v>1.1601101868221597</v>
      </c>
      <c r="J26" s="96">
        <v>0.89991401547721395</v>
      </c>
      <c r="K26" s="96">
        <v>0.5868443680137575</v>
      </c>
      <c r="L26" s="96">
        <v>0.51470335339638862</v>
      </c>
      <c r="M26" s="96">
        <v>0.54961306964746348</v>
      </c>
      <c r="N26" s="96">
        <v>1.0001719690455719</v>
      </c>
      <c r="O26" s="96">
        <v>1.3006432138685267</v>
      </c>
      <c r="P26" s="96">
        <v>2.1035100944236933</v>
      </c>
      <c r="Q26" s="96">
        <v>2.5248075684700959</v>
      </c>
      <c r="R26" s="96">
        <v>2.5440319821433564</v>
      </c>
      <c r="S26" s="96">
        <v>2.2480560840227204</v>
      </c>
      <c r="T26" s="96">
        <v>1.845932720144899</v>
      </c>
      <c r="U26" s="96">
        <v>1.6229488519056305</v>
      </c>
      <c r="V26" s="96">
        <v>1.1454961226091089</v>
      </c>
      <c r="W26" s="96">
        <v>1.1600654503021848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4.2032756122683387E-3</v>
      </c>
      <c r="P29" s="96">
        <v>1.4949690947505149E-2</v>
      </c>
      <c r="Q29" s="96">
        <v>5.7260027823226839E-2</v>
      </c>
      <c r="R29" s="96">
        <v>0.19531500038647095</v>
      </c>
      <c r="S29" s="96">
        <v>0.33568800664051257</v>
      </c>
      <c r="T29" s="96">
        <v>0.74132636111282291</v>
      </c>
      <c r="U29" s="96">
        <v>1.3928572039668015</v>
      </c>
      <c r="V29" s="96">
        <v>2.0336740603307777</v>
      </c>
      <c r="W29" s="96">
        <v>6.9695512480719364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6.9765619527620753E-5</v>
      </c>
      <c r="P30" s="96">
        <v>1.8726832951233331E-4</v>
      </c>
      <c r="Q30" s="96">
        <v>7.9336858358452903E-4</v>
      </c>
      <c r="R30" s="96">
        <v>3.2256824014908966E-3</v>
      </c>
      <c r="S30" s="96">
        <v>6.6150024126156092E-3</v>
      </c>
      <c r="T30" s="96">
        <v>1.4514341473124144E-2</v>
      </c>
      <c r="U30" s="96">
        <v>2.6677856659990402E-2</v>
      </c>
      <c r="V30" s="96">
        <v>3.6065121172393445E-2</v>
      </c>
      <c r="W30" s="96">
        <v>0.11076859061697869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1.1517559261225488E-3</v>
      </c>
      <c r="P31" s="96">
        <v>5.8763180083897778E-3</v>
      </c>
      <c r="Q31" s="96">
        <v>2.3005105350821644E-2</v>
      </c>
      <c r="R31" s="96">
        <v>7.1317472201051946E-2</v>
      </c>
      <c r="S31" s="96">
        <v>0.12721652064363614</v>
      </c>
      <c r="T31" s="96">
        <v>0.2885727665015877</v>
      </c>
      <c r="U31" s="96">
        <v>0.57160026379321105</v>
      </c>
      <c r="V31" s="96">
        <v>0.92585233038209513</v>
      </c>
      <c r="W31" s="96">
        <v>3.5240258033834331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4.8601096557503691E-4</v>
      </c>
      <c r="L32" s="96">
        <v>4.5724246592675254E-3</v>
      </c>
      <c r="M32" s="96">
        <v>0.14476209228583264</v>
      </c>
      <c r="N32" s="96">
        <v>0.17284544140625144</v>
      </c>
      <c r="O32" s="96">
        <v>5.5577168268072047E-2</v>
      </c>
      <c r="P32" s="96">
        <v>0.13204513115518682</v>
      </c>
      <c r="Q32" s="96">
        <v>0.24596433261411405</v>
      </c>
      <c r="R32" s="96">
        <v>0.3297377950867692</v>
      </c>
      <c r="S32" s="96">
        <v>0.4413790644801287</v>
      </c>
      <c r="T32" s="96">
        <v>0.85409120775129155</v>
      </c>
      <c r="U32" s="96">
        <v>1.8223418541983878</v>
      </c>
      <c r="V32" s="96">
        <v>2.5714484705934506</v>
      </c>
      <c r="W32" s="96">
        <v>5.2479420889774975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129.2390426469521</v>
      </c>
      <c r="C33" s="130">
        <f t="shared" si="21"/>
        <v>127.49646790233761</v>
      </c>
      <c r="D33" s="130">
        <f t="shared" si="21"/>
        <v>127.97291882301469</v>
      </c>
      <c r="E33" s="130">
        <f t="shared" si="21"/>
        <v>133.55805030866793</v>
      </c>
      <c r="F33" s="130">
        <f t="shared" si="21"/>
        <v>137.54454038408176</v>
      </c>
      <c r="G33" s="130">
        <f t="shared" si="21"/>
        <v>142.34254147811473</v>
      </c>
      <c r="H33" s="130">
        <f t="shared" si="21"/>
        <v>151.84455970461048</v>
      </c>
      <c r="I33" s="130">
        <f t="shared" si="21"/>
        <v>161.86866867677534</v>
      </c>
      <c r="J33" s="130">
        <f t="shared" si="21"/>
        <v>173.16020233420758</v>
      </c>
      <c r="K33" s="130">
        <f t="shared" si="21"/>
        <v>171.41246171079419</v>
      </c>
      <c r="L33" s="130">
        <f t="shared" ref="L33" si="22">L34+L36+L38+L39+L41</f>
        <v>167.27035310106783</v>
      </c>
      <c r="M33" s="130">
        <f t="shared" ref="M33:V33" si="23">M34+M36+M38+M39+M41</f>
        <v>162.90609549414495</v>
      </c>
      <c r="N33" s="130">
        <f t="shared" si="23"/>
        <v>160.25556676657845</v>
      </c>
      <c r="O33" s="130">
        <f t="shared" si="23"/>
        <v>160.69076359598242</v>
      </c>
      <c r="P33" s="130">
        <f t="shared" si="23"/>
        <v>164.18997621243716</v>
      </c>
      <c r="Q33" s="130">
        <f t="shared" si="23"/>
        <v>169.63347616358956</v>
      </c>
      <c r="R33" s="130">
        <f t="shared" si="23"/>
        <v>179.45318735990756</v>
      </c>
      <c r="S33" s="130">
        <f t="shared" si="23"/>
        <v>198.03579297563039</v>
      </c>
      <c r="T33" s="130">
        <f t="shared" si="23"/>
        <v>213.07373869756435</v>
      </c>
      <c r="U33" s="130">
        <f t="shared" si="23"/>
        <v>217.30020707702772</v>
      </c>
      <c r="V33" s="130">
        <f t="shared" si="23"/>
        <v>180.96878434840676</v>
      </c>
      <c r="W33" s="130">
        <f t="shared" ref="W33" si="24">W34+W36+W38+W39+W41</f>
        <v>181.26012369453431</v>
      </c>
      <c r="DA33" s="176" t="s">
        <v>393</v>
      </c>
    </row>
    <row r="34" spans="1:105" ht="11.45" customHeight="1" x14ac:dyDescent="0.25">
      <c r="A34" s="111" t="s">
        <v>110</v>
      </c>
      <c r="B34" s="97">
        <v>0.78929631889382701</v>
      </c>
      <c r="C34" s="97">
        <v>0.72385491601110696</v>
      </c>
      <c r="D34" s="97">
        <v>0.65856644271345377</v>
      </c>
      <c r="E34" s="97">
        <v>0.59410332100937024</v>
      </c>
      <c r="F34" s="97">
        <v>0.52394573684021173</v>
      </c>
      <c r="G34" s="97">
        <v>0.4582818217200153</v>
      </c>
      <c r="H34" s="97">
        <v>0.3976616968956847</v>
      </c>
      <c r="I34" s="97">
        <v>0.35364676495179398</v>
      </c>
      <c r="J34" s="97">
        <v>0.30656982126683213</v>
      </c>
      <c r="K34" s="97">
        <v>0.25412081331563513</v>
      </c>
      <c r="L34" s="97">
        <v>0.20153294531018021</v>
      </c>
      <c r="M34" s="97">
        <v>0.1598061748052447</v>
      </c>
      <c r="N34" s="97">
        <v>0.12005089128022056</v>
      </c>
      <c r="O34" s="97">
        <v>0.12036177850192717</v>
      </c>
      <c r="P34" s="97">
        <v>0.12068620784559281</v>
      </c>
      <c r="Q34" s="97">
        <v>0.1043162316081709</v>
      </c>
      <c r="R34" s="97">
        <v>8.5557683115754998E-2</v>
      </c>
      <c r="S34" s="97">
        <v>0.10547682682738953</v>
      </c>
      <c r="T34" s="97">
        <v>7.1975083587745903E-2</v>
      </c>
      <c r="U34" s="97">
        <v>8.6649334113702986E-2</v>
      </c>
      <c r="V34" s="97">
        <v>7.9339694192787538E-2</v>
      </c>
      <c r="W34" s="97">
        <v>7.1662016527617625E-2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2.228673254735536E-6</v>
      </c>
      <c r="H35" s="97">
        <v>1.2867475785708891E-4</v>
      </c>
      <c r="I35" s="97">
        <v>6.3977317398747444E-4</v>
      </c>
      <c r="J35" s="97">
        <v>3.0305659455911677E-3</v>
      </c>
      <c r="K35" s="97">
        <v>3.4725298648390773E-3</v>
      </c>
      <c r="L35" s="97">
        <v>3.9083872616781628E-3</v>
      </c>
      <c r="M35" s="97">
        <v>2.7369443446459206E-3</v>
      </c>
      <c r="N35" s="97">
        <v>2.6274527713183067E-3</v>
      </c>
      <c r="O35" s="97">
        <v>2.7517810495396662E-3</v>
      </c>
      <c r="P35" s="97">
        <v>2.4908823532416072E-3</v>
      </c>
      <c r="Q35" s="97">
        <v>2.4160387746467783E-3</v>
      </c>
      <c r="R35" s="97">
        <v>2.2257049537805114E-3</v>
      </c>
      <c r="S35" s="97">
        <v>3.3468819997218941E-3</v>
      </c>
      <c r="T35" s="97">
        <v>2.3073719417870597E-3</v>
      </c>
      <c r="U35" s="97">
        <v>2.8147323962709812E-3</v>
      </c>
      <c r="V35" s="97">
        <v>2.5829026525559045E-3</v>
      </c>
      <c r="W35" s="97">
        <v>2.3038287480278566E-3</v>
      </c>
      <c r="DA35" s="175" t="s">
        <v>652</v>
      </c>
    </row>
    <row r="36" spans="1:105" ht="11.45" customHeight="1" x14ac:dyDescent="0.25">
      <c r="A36" s="111" t="s">
        <v>111</v>
      </c>
      <c r="B36" s="97">
        <v>128.44974632805827</v>
      </c>
      <c r="C36" s="97">
        <v>126.76585285416846</v>
      </c>
      <c r="D36" s="97">
        <v>127.30742474020454</v>
      </c>
      <c r="E36" s="97">
        <v>132.95683348539825</v>
      </c>
      <c r="F36" s="97">
        <v>137.01329783783424</v>
      </c>
      <c r="G36" s="97">
        <v>141.87677376975793</v>
      </c>
      <c r="H36" s="97">
        <v>151.4392051674304</v>
      </c>
      <c r="I36" s="97">
        <v>161.50711834112207</v>
      </c>
      <c r="J36" s="97">
        <v>172.83904573841042</v>
      </c>
      <c r="K36" s="97">
        <v>171.14374034497177</v>
      </c>
      <c r="L36" s="97">
        <v>167.05420631669861</v>
      </c>
      <c r="M36" s="97">
        <v>162.73166087307845</v>
      </c>
      <c r="N36" s="97">
        <v>160.12088371697752</v>
      </c>
      <c r="O36" s="97">
        <v>160.55575405093361</v>
      </c>
      <c r="P36" s="97">
        <v>164.05462653947208</v>
      </c>
      <c r="Q36" s="97">
        <v>169.51448903303179</v>
      </c>
      <c r="R36" s="97">
        <v>179.35295953982984</v>
      </c>
      <c r="S36" s="97">
        <v>197.91568220111708</v>
      </c>
      <c r="T36" s="97">
        <v>212.98714597432019</v>
      </c>
      <c r="U36" s="97">
        <v>217.19904282885452</v>
      </c>
      <c r="V36" s="97">
        <v>180.83519497440585</v>
      </c>
      <c r="W36" s="97">
        <v>181.10055263057049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6.6849366486555775E-2</v>
      </c>
      <c r="H37" s="97">
        <v>0.12430888136847378</v>
      </c>
      <c r="I37" s="97">
        <v>1.0921663182625463</v>
      </c>
      <c r="J37" s="97">
        <v>2.5666546714477407</v>
      </c>
      <c r="K37" s="97">
        <v>4.0166813533005703</v>
      </c>
      <c r="L37" s="97">
        <v>4.7586667252447565</v>
      </c>
      <c r="M37" s="97">
        <v>5.0695607309593376</v>
      </c>
      <c r="N37" s="97">
        <v>4.1297525254936502</v>
      </c>
      <c r="O37" s="97">
        <v>5.053956170807921</v>
      </c>
      <c r="P37" s="97">
        <v>5.8878238029281471</v>
      </c>
      <c r="Q37" s="97">
        <v>6.1322490097296036</v>
      </c>
      <c r="R37" s="97">
        <v>5.2777734705311401</v>
      </c>
      <c r="S37" s="97">
        <v>8.7289619058443684</v>
      </c>
      <c r="T37" s="97">
        <v>8.7595365982722129</v>
      </c>
      <c r="U37" s="97">
        <v>11.144098172713887</v>
      </c>
      <c r="V37" s="97">
        <v>10.315285310658385</v>
      </c>
      <c r="W37" s="97">
        <v>9.8934864925481527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6.7601321580492268E-3</v>
      </c>
      <c r="D38" s="97">
        <v>6.9276400967107632E-3</v>
      </c>
      <c r="E38" s="97">
        <v>7.1135022603323337E-3</v>
      </c>
      <c r="F38" s="97">
        <v>7.2968094073076264E-3</v>
      </c>
      <c r="G38" s="97">
        <v>7.485886636782825E-3</v>
      </c>
      <c r="H38" s="97">
        <v>7.6928402844043189E-3</v>
      </c>
      <c r="I38" s="97">
        <v>7.9035707014863173E-3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1.4586774530340836E-2</v>
      </c>
      <c r="K41" s="97">
        <v>1.4600552506781002E-2</v>
      </c>
      <c r="L41" s="97">
        <v>1.4613839059026508E-2</v>
      </c>
      <c r="M41" s="97">
        <v>1.4628446261230159E-2</v>
      </c>
      <c r="N41" s="97">
        <v>1.4632158320716092E-2</v>
      </c>
      <c r="O41" s="97">
        <v>1.4647766546887719E-2</v>
      </c>
      <c r="P41" s="97">
        <v>1.4663465119495931E-2</v>
      </c>
      <c r="Q41" s="97">
        <v>1.4670898949591641E-2</v>
      </c>
      <c r="R41" s="97">
        <v>1.4670136961956015E-2</v>
      </c>
      <c r="S41" s="97">
        <v>1.4633947685930499E-2</v>
      </c>
      <c r="T41" s="97">
        <v>1.4617639656416669E-2</v>
      </c>
      <c r="U41" s="97">
        <v>1.4514914059502124E-2</v>
      </c>
      <c r="V41" s="97">
        <v>5.4249679808123244E-2</v>
      </c>
      <c r="W41" s="97">
        <v>8.7909047436192919E-2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1286.7114405263533</v>
      </c>
      <c r="C42" s="32">
        <f t="shared" si="25"/>
        <v>1359.5488186731764</v>
      </c>
      <c r="D42" s="32">
        <f t="shared" si="25"/>
        <v>1413.0111885305139</v>
      </c>
      <c r="E42" s="32">
        <f t="shared" si="25"/>
        <v>1457.6390507246881</v>
      </c>
      <c r="F42" s="32">
        <f t="shared" si="25"/>
        <v>1586.425139835351</v>
      </c>
      <c r="G42" s="32">
        <f t="shared" si="25"/>
        <v>1655.5061870005686</v>
      </c>
      <c r="H42" s="32">
        <f t="shared" si="25"/>
        <v>1732.5854508500524</v>
      </c>
      <c r="I42" s="32">
        <f t="shared" si="25"/>
        <v>1868.0300704120059</v>
      </c>
      <c r="J42" s="32">
        <f t="shared" si="25"/>
        <v>1650.8204810215821</v>
      </c>
      <c r="K42" s="32">
        <f t="shared" si="25"/>
        <v>1326.3385617431891</v>
      </c>
      <c r="L42" s="32">
        <f t="shared" ref="L42" si="26">L43+L52</f>
        <v>1185.4814311055109</v>
      </c>
      <c r="M42" s="32">
        <f t="shared" ref="M42:V42" si="27">M43+M52</f>
        <v>1109.5024722094511</v>
      </c>
      <c r="N42" s="32">
        <f t="shared" si="27"/>
        <v>1070.096281282584</v>
      </c>
      <c r="O42" s="32">
        <f t="shared" si="27"/>
        <v>1080.5434200490088</v>
      </c>
      <c r="P42" s="32">
        <f t="shared" si="27"/>
        <v>1115.8004337321465</v>
      </c>
      <c r="Q42" s="32">
        <f t="shared" si="27"/>
        <v>1108.5572209230172</v>
      </c>
      <c r="R42" s="32">
        <f t="shared" si="27"/>
        <v>1160.3274764330392</v>
      </c>
      <c r="S42" s="32">
        <f t="shared" si="27"/>
        <v>1133.28725383711</v>
      </c>
      <c r="T42" s="32">
        <f t="shared" si="27"/>
        <v>1166.6467263022496</v>
      </c>
      <c r="U42" s="32">
        <f t="shared" si="27"/>
        <v>1199.6171179607149</v>
      </c>
      <c r="V42" s="32">
        <f t="shared" si="27"/>
        <v>1047.8166049556996</v>
      </c>
      <c r="W42" s="32">
        <f t="shared" ref="W42" si="28">W43+W52</f>
        <v>1148.7564690770976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415.3900217461852</v>
      </c>
      <c r="C43" s="141">
        <f t="shared" si="29"/>
        <v>428.21715224970717</v>
      </c>
      <c r="D43" s="141">
        <f t="shared" si="29"/>
        <v>450.41733551544343</v>
      </c>
      <c r="E43" s="141">
        <f t="shared" si="29"/>
        <v>475.92716525402665</v>
      </c>
      <c r="F43" s="141">
        <f t="shared" si="29"/>
        <v>508.60128168017326</v>
      </c>
      <c r="G43" s="141">
        <f t="shared" si="29"/>
        <v>538.85207948573657</v>
      </c>
      <c r="H43" s="141">
        <f t="shared" si="29"/>
        <v>578.73606550235297</v>
      </c>
      <c r="I43" s="141">
        <f t="shared" si="29"/>
        <v>614.96311433053393</v>
      </c>
      <c r="J43" s="141">
        <f t="shared" si="29"/>
        <v>601.19524902890078</v>
      </c>
      <c r="K43" s="141">
        <f t="shared" si="29"/>
        <v>572.78779758674943</v>
      </c>
      <c r="L43" s="141">
        <f t="shared" ref="L43" si="30">L44+L46+L48+L49+L51</f>
        <v>534.32829806312395</v>
      </c>
      <c r="M43" s="141">
        <f t="shared" ref="M43:V43" si="31">M44+M46+M48+M49+M51</f>
        <v>517.52342941774066</v>
      </c>
      <c r="N43" s="141">
        <f t="shared" si="31"/>
        <v>487.11000406303418</v>
      </c>
      <c r="O43" s="141">
        <f t="shared" si="31"/>
        <v>496.78967885077378</v>
      </c>
      <c r="P43" s="141">
        <f t="shared" si="31"/>
        <v>485.50975511014985</v>
      </c>
      <c r="Q43" s="141">
        <f t="shared" si="31"/>
        <v>468.22772227291534</v>
      </c>
      <c r="R43" s="141">
        <f t="shared" si="31"/>
        <v>451.12903672238656</v>
      </c>
      <c r="S43" s="141">
        <f t="shared" si="31"/>
        <v>439.50407565346859</v>
      </c>
      <c r="T43" s="141">
        <f t="shared" si="31"/>
        <v>440.29445891918544</v>
      </c>
      <c r="U43" s="141">
        <f t="shared" si="31"/>
        <v>426.79372002302387</v>
      </c>
      <c r="V43" s="141">
        <f t="shared" si="31"/>
        <v>416.00132731306184</v>
      </c>
      <c r="W43" s="141">
        <f t="shared" ref="W43" si="32">W44+W46+W48+W49+W51</f>
        <v>429.85268903143628</v>
      </c>
      <c r="DA43" s="174" t="s">
        <v>399</v>
      </c>
    </row>
    <row r="44" spans="1:105" ht="11.45" customHeight="1" x14ac:dyDescent="0.25">
      <c r="A44" s="111" t="s">
        <v>110</v>
      </c>
      <c r="B44" s="96">
        <v>4.6810902404046892</v>
      </c>
      <c r="C44" s="96">
        <v>4.2422163133262032</v>
      </c>
      <c r="D44" s="96">
        <v>3.9062896039456358</v>
      </c>
      <c r="E44" s="96">
        <v>3.4830166657596253</v>
      </c>
      <c r="F44" s="96">
        <v>2.9887460033660118</v>
      </c>
      <c r="G44" s="96">
        <v>2.2555629360560041</v>
      </c>
      <c r="H44" s="96">
        <v>1.6934376229202135</v>
      </c>
      <c r="I44" s="96">
        <v>1.3005894111552871</v>
      </c>
      <c r="J44" s="96">
        <v>1.1585001084301083</v>
      </c>
      <c r="K44" s="96">
        <v>1.0531571496555163</v>
      </c>
      <c r="L44" s="96">
        <v>0.89056288791515925</v>
      </c>
      <c r="M44" s="96">
        <v>0.75213847435396164</v>
      </c>
      <c r="N44" s="96">
        <v>0.61671945009448481</v>
      </c>
      <c r="O44" s="96">
        <v>0.59140601279618921</v>
      </c>
      <c r="P44" s="96">
        <v>0.54307936231588849</v>
      </c>
      <c r="Q44" s="96">
        <v>0.47360307391994277</v>
      </c>
      <c r="R44" s="96">
        <v>0.41624918804127264</v>
      </c>
      <c r="S44" s="96">
        <v>0.45889410538441211</v>
      </c>
      <c r="T44" s="96">
        <v>0.47073051061607396</v>
      </c>
      <c r="U44" s="96">
        <v>0.51394255557542268</v>
      </c>
      <c r="V44" s="96">
        <v>0.64838654185380351</v>
      </c>
      <c r="W44" s="96">
        <v>0.75015864486479189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1.0969042522991323E-5</v>
      </c>
      <c r="H45" s="96">
        <v>5.4795993120882174E-4</v>
      </c>
      <c r="I45" s="96">
        <v>2.3528625116724612E-3</v>
      </c>
      <c r="J45" s="96">
        <v>1.1452239369367463E-2</v>
      </c>
      <c r="K45" s="96">
        <v>1.4391263772657573E-2</v>
      </c>
      <c r="L45" s="96">
        <v>1.7270946154703492E-2</v>
      </c>
      <c r="M45" s="96">
        <v>1.288161202958802E-2</v>
      </c>
      <c r="N45" s="96">
        <v>1.3497619309583849E-2</v>
      </c>
      <c r="O45" s="96">
        <v>1.3521068555582281E-2</v>
      </c>
      <c r="P45" s="96">
        <v>1.1208793648840721E-2</v>
      </c>
      <c r="Q45" s="96">
        <v>1.0968987019014016E-2</v>
      </c>
      <c r="R45" s="96">
        <v>1.0828342307693646E-2</v>
      </c>
      <c r="S45" s="96">
        <v>1.4561154969166627E-2</v>
      </c>
      <c r="T45" s="96">
        <v>1.5090644125678333E-2</v>
      </c>
      <c r="U45" s="96">
        <v>1.6695001476897328E-2</v>
      </c>
      <c r="V45" s="96">
        <v>2.1108214946812604E-2</v>
      </c>
      <c r="W45" s="96">
        <v>2.4116500419090029E-2</v>
      </c>
      <c r="DA45" s="171" t="s">
        <v>660</v>
      </c>
    </row>
    <row r="46" spans="1:105" ht="11.45" customHeight="1" x14ac:dyDescent="0.25">
      <c r="A46" s="111" t="s">
        <v>111</v>
      </c>
      <c r="B46" s="96">
        <v>410.70893150578053</v>
      </c>
      <c r="C46" s="96">
        <v>423.97493593638097</v>
      </c>
      <c r="D46" s="96">
        <v>446.51104591149777</v>
      </c>
      <c r="E46" s="96">
        <v>472.44414858826701</v>
      </c>
      <c r="F46" s="96">
        <v>505.61253567680723</v>
      </c>
      <c r="G46" s="96">
        <v>536.59651654968059</v>
      </c>
      <c r="H46" s="96">
        <v>577.04262787943276</v>
      </c>
      <c r="I46" s="96">
        <v>613.6625249193786</v>
      </c>
      <c r="J46" s="96">
        <v>600.0367489204707</v>
      </c>
      <c r="K46" s="96">
        <v>571.73464043709396</v>
      </c>
      <c r="L46" s="96">
        <v>533.43773517520879</v>
      </c>
      <c r="M46" s="96">
        <v>516.76318449306859</v>
      </c>
      <c r="N46" s="96">
        <v>486.47485883058403</v>
      </c>
      <c r="O46" s="96">
        <v>496.17642241231005</v>
      </c>
      <c r="P46" s="96">
        <v>484.93964339811237</v>
      </c>
      <c r="Q46" s="96">
        <v>467.72755226196313</v>
      </c>
      <c r="R46" s="96">
        <v>450.68513597937527</v>
      </c>
      <c r="S46" s="96">
        <v>439.00110486810354</v>
      </c>
      <c r="T46" s="96">
        <v>439.77171518120031</v>
      </c>
      <c r="U46" s="96">
        <v>426.12321211414252</v>
      </c>
      <c r="V46" s="96">
        <v>415.043435003848</v>
      </c>
      <c r="W46" s="96">
        <v>428.44482747503088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0.25283304826519104</v>
      </c>
      <c r="H47" s="96">
        <v>0.47366547846253398</v>
      </c>
      <c r="I47" s="96">
        <v>4.1497956708094375</v>
      </c>
      <c r="J47" s="96">
        <v>8.9105278155026522</v>
      </c>
      <c r="K47" s="96">
        <v>13.41840411253553</v>
      </c>
      <c r="L47" s="96">
        <v>15.195381525178925</v>
      </c>
      <c r="M47" s="96">
        <v>16.09866410295427</v>
      </c>
      <c r="N47" s="96">
        <v>12.546900380563891</v>
      </c>
      <c r="O47" s="96">
        <v>15.618586245526778</v>
      </c>
      <c r="P47" s="96">
        <v>17.404197830994498</v>
      </c>
      <c r="Q47" s="96">
        <v>16.920216292677907</v>
      </c>
      <c r="R47" s="96">
        <v>13.262195730349429</v>
      </c>
      <c r="S47" s="96">
        <v>19.361901383455073</v>
      </c>
      <c r="T47" s="96">
        <v>18.086520744679703</v>
      </c>
      <c r="U47" s="96">
        <v>21.863627240816385</v>
      </c>
      <c r="V47" s="96">
        <v>23.6751006848326</v>
      </c>
      <c r="W47" s="96">
        <v>23.405854106216641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2.4522289517655321E-3</v>
      </c>
      <c r="P48" s="96">
        <v>4.9163888093246635E-3</v>
      </c>
      <c r="Q48" s="96">
        <v>4.857091891038944E-3</v>
      </c>
      <c r="R48" s="96">
        <v>4.8072267990338395E-3</v>
      </c>
      <c r="S48" s="96">
        <v>5.6842427184659464E-3</v>
      </c>
      <c r="T48" s="96">
        <v>5.7439780494259358E-3</v>
      </c>
      <c r="U48" s="96">
        <v>5.6839941820734903E-3</v>
      </c>
      <c r="V48" s="96">
        <v>4.4608851294979908E-3</v>
      </c>
      <c r="W48" s="96">
        <v>4.5089263100253872E-3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8.1064503180668032E-3</v>
      </c>
      <c r="N51" s="96">
        <v>1.8425782355652322E-2</v>
      </c>
      <c r="O51" s="96">
        <v>1.9398196715765516E-2</v>
      </c>
      <c r="P51" s="96">
        <v>2.2115960912292242E-2</v>
      </c>
      <c r="Q51" s="96">
        <v>2.1709845141212391E-2</v>
      </c>
      <c r="R51" s="96">
        <v>2.284432817102704E-2</v>
      </c>
      <c r="S51" s="96">
        <v>3.8392437262167359E-2</v>
      </c>
      <c r="T51" s="96">
        <v>4.6269249319589319E-2</v>
      </c>
      <c r="U51" s="96">
        <v>0.15088135912387296</v>
      </c>
      <c r="V51" s="96">
        <v>0.30504488223051385</v>
      </c>
      <c r="W51" s="96">
        <v>0.6531939852305968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871.32141878016807</v>
      </c>
      <c r="C52" s="130">
        <f t="shared" si="33"/>
        <v>931.33166642346919</v>
      </c>
      <c r="D52" s="130">
        <f t="shared" si="33"/>
        <v>962.59385301507041</v>
      </c>
      <c r="E52" s="130">
        <f t="shared" si="33"/>
        <v>981.7118854706614</v>
      </c>
      <c r="F52" s="130">
        <f t="shared" si="33"/>
        <v>1077.8238581551777</v>
      </c>
      <c r="G52" s="130">
        <f t="shared" si="33"/>
        <v>1116.654107514832</v>
      </c>
      <c r="H52" s="130">
        <f t="shared" si="33"/>
        <v>1153.8493853476994</v>
      </c>
      <c r="I52" s="130">
        <f t="shared" si="33"/>
        <v>1253.066956081472</v>
      </c>
      <c r="J52" s="130">
        <f t="shared" si="33"/>
        <v>1049.6252319926814</v>
      </c>
      <c r="K52" s="130">
        <f t="shared" si="33"/>
        <v>753.55076415643964</v>
      </c>
      <c r="L52" s="130">
        <f t="shared" ref="L52" si="34">L53+L55</f>
        <v>651.15313304238691</v>
      </c>
      <c r="M52" s="130">
        <f t="shared" ref="M52:V52" si="35">M53+M55</f>
        <v>591.97904279171041</v>
      </c>
      <c r="N52" s="130">
        <f t="shared" si="35"/>
        <v>582.98627721954983</v>
      </c>
      <c r="O52" s="130">
        <f t="shared" si="35"/>
        <v>583.75374119823493</v>
      </c>
      <c r="P52" s="130">
        <f t="shared" si="35"/>
        <v>630.29067862199668</v>
      </c>
      <c r="Q52" s="130">
        <f t="shared" si="35"/>
        <v>640.32949865010198</v>
      </c>
      <c r="R52" s="130">
        <f t="shared" si="35"/>
        <v>709.19843971065268</v>
      </c>
      <c r="S52" s="130">
        <f t="shared" si="35"/>
        <v>693.78317818364144</v>
      </c>
      <c r="T52" s="130">
        <f t="shared" si="35"/>
        <v>726.35226738306426</v>
      </c>
      <c r="U52" s="130">
        <f t="shared" si="35"/>
        <v>772.8233979376912</v>
      </c>
      <c r="V52" s="130">
        <f t="shared" si="35"/>
        <v>631.81527764263785</v>
      </c>
      <c r="W52" s="130">
        <f t="shared" ref="W52" si="36">W53+W55</f>
        <v>718.90378004566128</v>
      </c>
      <c r="DA52" s="176" t="s">
        <v>400</v>
      </c>
    </row>
    <row r="53" spans="1:105" ht="11.45" customHeight="1" x14ac:dyDescent="0.25">
      <c r="A53" s="128" t="s">
        <v>27</v>
      </c>
      <c r="B53" s="97">
        <v>815.75688162480185</v>
      </c>
      <c r="C53" s="97">
        <v>869.22958649332816</v>
      </c>
      <c r="D53" s="97">
        <v>903.72986316873414</v>
      </c>
      <c r="E53" s="97">
        <v>923.68959484389325</v>
      </c>
      <c r="F53" s="97">
        <v>1010.262094628607</v>
      </c>
      <c r="G53" s="97">
        <v>1050.3094368775639</v>
      </c>
      <c r="H53" s="97">
        <v>1083.1999180543964</v>
      </c>
      <c r="I53" s="97">
        <v>1174.391001617405</v>
      </c>
      <c r="J53" s="97">
        <v>986.59050323236181</v>
      </c>
      <c r="K53" s="97">
        <v>698.56995475148176</v>
      </c>
      <c r="L53" s="97">
        <v>601.34629434977739</v>
      </c>
      <c r="M53" s="97">
        <v>540.68511734235403</v>
      </c>
      <c r="N53" s="97">
        <v>536.55570318129458</v>
      </c>
      <c r="O53" s="97">
        <v>538.65791801949069</v>
      </c>
      <c r="P53" s="97">
        <v>583.26342647188869</v>
      </c>
      <c r="Q53" s="97">
        <v>587.08281158732927</v>
      </c>
      <c r="R53" s="97">
        <v>661.4082589255263</v>
      </c>
      <c r="S53" s="97">
        <v>648.75902281021433</v>
      </c>
      <c r="T53" s="97">
        <v>675.61369060141431</v>
      </c>
      <c r="U53" s="97">
        <v>715.18844156141472</v>
      </c>
      <c r="V53" s="97">
        <v>610.97388475031164</v>
      </c>
      <c r="W53" s="97">
        <v>696.61010525015149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0.49488382491738481</v>
      </c>
      <c r="H54" s="97">
        <v>0.88914472288001367</v>
      </c>
      <c r="I54" s="97">
        <v>7.9416332209462057</v>
      </c>
      <c r="J54" s="97">
        <v>14.650839531709897</v>
      </c>
      <c r="K54" s="97">
        <v>16.39518281866707</v>
      </c>
      <c r="L54" s="97">
        <v>17.129808727153733</v>
      </c>
      <c r="M54" s="97">
        <v>16.843901328032246</v>
      </c>
      <c r="N54" s="97">
        <v>13.838558836569977</v>
      </c>
      <c r="O54" s="97">
        <v>16.955814039934886</v>
      </c>
      <c r="P54" s="97">
        <v>20.932980423641684</v>
      </c>
      <c r="Q54" s="97">
        <v>21.237936712797122</v>
      </c>
      <c r="R54" s="97">
        <v>19.463090941480235</v>
      </c>
      <c r="S54" s="97">
        <v>28.613158559252422</v>
      </c>
      <c r="T54" s="97">
        <v>27.786009442233606</v>
      </c>
      <c r="U54" s="97">
        <v>36.695052155597438</v>
      </c>
      <c r="V54" s="97">
        <v>34.851456540043387</v>
      </c>
      <c r="W54" s="97">
        <v>38.055668890882998</v>
      </c>
      <c r="DA54" s="175" t="s">
        <v>668</v>
      </c>
    </row>
    <row r="55" spans="1:105" ht="11.45" customHeight="1" x14ac:dyDescent="0.25">
      <c r="A55" s="128" t="s">
        <v>116</v>
      </c>
      <c r="B55" s="97">
        <v>55.564537155366274</v>
      </c>
      <c r="C55" s="97">
        <v>62.102079930140995</v>
      </c>
      <c r="D55" s="97">
        <v>58.863989846336231</v>
      </c>
      <c r="E55" s="97">
        <v>58.022290626768125</v>
      </c>
      <c r="F55" s="97">
        <v>67.561763526570758</v>
      </c>
      <c r="G55" s="97">
        <v>66.344670637268095</v>
      </c>
      <c r="H55" s="97">
        <v>70.649467293302934</v>
      </c>
      <c r="I55" s="97">
        <v>78.675954464067004</v>
      </c>
      <c r="J55" s="97">
        <v>63.034728760319673</v>
      </c>
      <c r="K55" s="97">
        <v>54.980809404957888</v>
      </c>
      <c r="L55" s="97">
        <v>49.806838692609468</v>
      </c>
      <c r="M55" s="97">
        <v>51.293925449356379</v>
      </c>
      <c r="N55" s="97">
        <v>46.430574038255301</v>
      </c>
      <c r="O55" s="97">
        <v>45.095823178744261</v>
      </c>
      <c r="P55" s="97">
        <v>47.027252150107991</v>
      </c>
      <c r="Q55" s="97">
        <v>53.246687062772658</v>
      </c>
      <c r="R55" s="97">
        <v>47.790180785126388</v>
      </c>
      <c r="S55" s="97">
        <v>45.024155373427163</v>
      </c>
      <c r="T55" s="97">
        <v>50.738576781649911</v>
      </c>
      <c r="U55" s="97">
        <v>57.634956376276534</v>
      </c>
      <c r="V55" s="97">
        <v>20.841392892326173</v>
      </c>
      <c r="W55" s="97">
        <v>22.293674795509805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3.1260220288473639E-2</v>
      </c>
      <c r="H56" s="98">
        <v>5.7992619802773877E-2</v>
      </c>
      <c r="I56" s="98">
        <v>0.53203368622628378</v>
      </c>
      <c r="J56" s="98">
        <v>0.93606384104307239</v>
      </c>
      <c r="K56" s="98">
        <v>1.2903796041919062</v>
      </c>
      <c r="L56" s="98">
        <v>1.4187858612002033</v>
      </c>
      <c r="M56" s="98">
        <v>1.5979537651104507</v>
      </c>
      <c r="N56" s="98">
        <v>1.197512628855633</v>
      </c>
      <c r="O56" s="98">
        <v>1.4195213069696411</v>
      </c>
      <c r="P56" s="98">
        <v>1.6877803475361872</v>
      </c>
      <c r="Q56" s="98">
        <v>1.9262184953903452</v>
      </c>
      <c r="R56" s="98">
        <v>1.4063093742460036</v>
      </c>
      <c r="S56" s="98">
        <v>1.9857655175505093</v>
      </c>
      <c r="T56" s="98">
        <v>2.086728840982234</v>
      </c>
      <c r="U56" s="98">
        <v>2.9571475254769428</v>
      </c>
      <c r="V56" s="98">
        <v>1.1888444281341339</v>
      </c>
      <c r="W56" s="98">
        <v>1.2178989365568935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12.089901394636303</v>
      </c>
      <c r="C60" s="79">
        <f>IF(C17=0,0,C17/TrRoad_act!C30*100)</f>
        <v>11.851152420040082</v>
      </c>
      <c r="D60" s="79">
        <f>IF(D17=0,0,D17/TrRoad_act!D30*100)</f>
        <v>11.522032995690894</v>
      </c>
      <c r="E60" s="79">
        <f>IF(E17=0,0,E17/TrRoad_act!E30*100)</f>
        <v>11.204307480547996</v>
      </c>
      <c r="F60" s="79">
        <f>IF(F17=0,0,F17/TrRoad_act!F30*100)</f>
        <v>11.422791330704372</v>
      </c>
      <c r="G60" s="79">
        <f>IF(G17=0,0,G17/TrRoad_act!G30*100)</f>
        <v>11.463475133617804</v>
      </c>
      <c r="H60" s="79">
        <f>IF(H17=0,0,H17/TrRoad_act!H30*100)</f>
        <v>11.347917827785549</v>
      </c>
      <c r="I60" s="79">
        <f>IF(I17=0,0,I17/TrRoad_act!I30*100)</f>
        <v>11.454028953394827</v>
      </c>
      <c r="J60" s="79">
        <f>IF(J17=0,0,J17/TrRoad_act!J30*100)</f>
        <v>10.509397459866687</v>
      </c>
      <c r="K60" s="79">
        <f>IF(K17=0,0,K17/TrRoad_act!K30*100)</f>
        <v>9.9864696195811167</v>
      </c>
      <c r="L60" s="79">
        <f>IF(L17=0,0,L17/TrRoad_act!L30*100)</f>
        <v>9.5174187384842472</v>
      </c>
      <c r="M60" s="79">
        <f>IF(M17=0,0,M17/TrRoad_act!M30*100)</f>
        <v>9.2803417557373056</v>
      </c>
      <c r="N60" s="79">
        <f>IF(N17=0,0,N17/TrRoad_act!N30*100)</f>
        <v>9.3946903554061656</v>
      </c>
      <c r="O60" s="79">
        <f>IF(O17=0,0,O17/TrRoad_act!O30*100)</f>
        <v>9.2779320372013832</v>
      </c>
      <c r="P60" s="79">
        <f>IF(P17=0,0,P17/TrRoad_act!P30*100)</f>
        <v>9.7277903814552555</v>
      </c>
      <c r="Q60" s="79">
        <f>IF(Q17=0,0,Q17/TrRoad_act!Q30*100)</f>
        <v>9.393450527834645</v>
      </c>
      <c r="R60" s="79">
        <f>IF(R17=0,0,R17/TrRoad_act!R30*100)</f>
        <v>9.4908445225732567</v>
      </c>
      <c r="S60" s="79">
        <f>IF(S17=0,0,S17/TrRoad_act!S30*100)</f>
        <v>9.1446970700553152</v>
      </c>
      <c r="T60" s="79">
        <f>IF(T17=0,0,T17/TrRoad_act!T30*100)</f>
        <v>9.2533230451526887</v>
      </c>
      <c r="U60" s="79">
        <f>IF(U17=0,0,U17/TrRoad_act!U30*100)</f>
        <v>9.2102576387296082</v>
      </c>
      <c r="V60" s="79">
        <f>IF(V17=0,0,V17/TrRoad_act!V30*100)</f>
        <v>8.7775019089263076</v>
      </c>
      <c r="W60" s="79">
        <f>IF(W17=0,0,W17/TrRoad_act!W30*100)</f>
        <v>8.925887963229183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9.3725744375036886</v>
      </c>
      <c r="C61" s="32">
        <f>IF(C18=0,0,C18/TrRoad_act!C31*100)</f>
        <v>9.1128651820069884</v>
      </c>
      <c r="D61" s="32">
        <f>IF(D18=0,0,D18/TrRoad_act!D31*100)</f>
        <v>8.8446035899564812</v>
      </c>
      <c r="E61" s="32">
        <f>IF(E18=0,0,E18/TrRoad_act!E31*100)</f>
        <v>8.5601109591884086</v>
      </c>
      <c r="F61" s="32">
        <f>IF(F18=0,0,F18/TrRoad_act!F31*100)</f>
        <v>8.6468072445754043</v>
      </c>
      <c r="G61" s="32">
        <f>IF(G18=0,0,G18/TrRoad_act!G31*100)</f>
        <v>8.8062004105098559</v>
      </c>
      <c r="H61" s="32">
        <f>IF(H18=0,0,H18/TrRoad_act!H31*100)</f>
        <v>8.8091022852146494</v>
      </c>
      <c r="I61" s="32">
        <f>IF(I18=0,0,I18/TrRoad_act!I31*100)</f>
        <v>8.7114510940181145</v>
      </c>
      <c r="J61" s="32">
        <f>IF(J18=0,0,J18/TrRoad_act!J31*100)</f>
        <v>8.235679675782972</v>
      </c>
      <c r="K61" s="32">
        <f>IF(K18=0,0,K18/TrRoad_act!K31*100)</f>
        <v>8.2203601703375391</v>
      </c>
      <c r="L61" s="32">
        <f>IF(L18=0,0,L18/TrRoad_act!L31*100)</f>
        <v>7.9545141973713758</v>
      </c>
      <c r="M61" s="32">
        <f>IF(M18=0,0,M18/TrRoad_act!M31*100)</f>
        <v>7.8110903476413069</v>
      </c>
      <c r="N61" s="32">
        <f>IF(N18=0,0,N18/TrRoad_act!N31*100)</f>
        <v>7.9347370212645059</v>
      </c>
      <c r="O61" s="32">
        <f>IF(O18=0,0,O18/TrRoad_act!O31*100)</f>
        <v>7.8425338762842483</v>
      </c>
      <c r="P61" s="32">
        <f>IF(P18=0,0,P18/TrRoad_act!P31*100)</f>
        <v>8.2399085958353506</v>
      </c>
      <c r="Q61" s="32">
        <f>IF(Q18=0,0,Q18/TrRoad_act!Q31*100)</f>
        <v>7.8899463171027611</v>
      </c>
      <c r="R61" s="32">
        <f>IF(R18=0,0,R18/TrRoad_act!R31*100)</f>
        <v>7.9508613587114505</v>
      </c>
      <c r="S61" s="32">
        <f>IF(S18=0,0,S18/TrRoad_act!S31*100)</f>
        <v>7.6610033406624245</v>
      </c>
      <c r="T61" s="32">
        <f>IF(T18=0,0,T18/TrRoad_act!T31*100)</f>
        <v>7.7115891303301929</v>
      </c>
      <c r="U61" s="32">
        <f>IF(U18=0,0,U18/TrRoad_act!U31*100)</f>
        <v>7.6019252347598583</v>
      </c>
      <c r="V61" s="32">
        <f>IF(V18=0,0,V18/TrRoad_act!V31*100)</f>
        <v>7.2047669789649573</v>
      </c>
      <c r="W61" s="32">
        <f>IF(W18=0,0,W18/TrRoad_act!W31*100)</f>
        <v>7.2300431457192671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4.0482006636095758</v>
      </c>
      <c r="C62" s="141">
        <f>IF(C19=0,0,C19/TrRoad_act!C32*100)</f>
        <v>3.9897585390890287</v>
      </c>
      <c r="D62" s="141">
        <f>IF(D19=0,0,D19/TrRoad_act!D32*100)</f>
        <v>3.9129323757286394</v>
      </c>
      <c r="E62" s="141">
        <f>IF(E19=0,0,E19/TrRoad_act!E32*100)</f>
        <v>3.8912794146831318</v>
      </c>
      <c r="F62" s="141">
        <f>IF(F19=0,0,F19/TrRoad_act!F32*100)</f>
        <v>3.8632748223978957</v>
      </c>
      <c r="G62" s="141">
        <f>IF(G19=0,0,G19/TrRoad_act!G32*100)</f>
        <v>3.8362759155026538</v>
      </c>
      <c r="H62" s="141">
        <f>IF(H19=0,0,H19/TrRoad_act!H32*100)</f>
        <v>3.8120663867691174</v>
      </c>
      <c r="I62" s="141">
        <f>IF(I19=0,0,I19/TrRoad_act!I32*100)</f>
        <v>3.8101899998206417</v>
      </c>
      <c r="J62" s="141">
        <f>IF(J19=0,0,J19/TrRoad_act!J32*100)</f>
        <v>3.8010043137889018</v>
      </c>
      <c r="K62" s="141">
        <f>IF(K19=0,0,K19/TrRoad_act!K32*100)</f>
        <v>3.7844597526990342</v>
      </c>
      <c r="L62" s="141">
        <f>IF(L19=0,0,L19/TrRoad_act!L32*100)</f>
        <v>3.7541401664554481</v>
      </c>
      <c r="M62" s="141">
        <f>IF(M19=0,0,M19/TrRoad_act!M32*100)</f>
        <v>3.7236790751514905</v>
      </c>
      <c r="N62" s="141">
        <f>IF(N19=0,0,N19/TrRoad_act!N32*100)</f>
        <v>3.7182041816865241</v>
      </c>
      <c r="O62" s="141">
        <f>IF(O19=0,0,O19/TrRoad_act!O32*100)</f>
        <v>3.6656938293718531</v>
      </c>
      <c r="P62" s="141">
        <f>IF(P19=0,0,P19/TrRoad_act!P32*100)</f>
        <v>3.6484641627141388</v>
      </c>
      <c r="Q62" s="141">
        <f>IF(Q19=0,0,Q19/TrRoad_act!Q32*100)</f>
        <v>3.6107599186609414</v>
      </c>
      <c r="R62" s="141">
        <f>IF(R19=0,0,R19/TrRoad_act!R32*100)</f>
        <v>3.5823609641679388</v>
      </c>
      <c r="S62" s="141">
        <f>IF(S19=0,0,S19/TrRoad_act!S32*100)</f>
        <v>3.5361354437416517</v>
      </c>
      <c r="T62" s="141">
        <f>IF(T19=0,0,T19/TrRoad_act!T32*100)</f>
        <v>3.5131853054171978</v>
      </c>
      <c r="U62" s="141">
        <f>IF(U19=0,0,U19/TrRoad_act!U32*100)</f>
        <v>3.4815577011428123</v>
      </c>
      <c r="V62" s="141">
        <f>IF(V19=0,0,V19/TrRoad_act!V32*100)</f>
        <v>3.4625418225545679</v>
      </c>
      <c r="W62" s="141">
        <f>IF(W19=0,0,W19/TrRoad_act!W32*100)</f>
        <v>3.1958978935567344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8.9019439422354836</v>
      </c>
      <c r="C63" s="130">
        <f>IF(C21=0,0,C21/TrRoad_act!C33*100)</f>
        <v>8.6821474742963076</v>
      </c>
      <c r="D63" s="130">
        <f>IF(D21=0,0,D21/TrRoad_act!D33*100)</f>
        <v>8.4259660191927939</v>
      </c>
      <c r="E63" s="130">
        <f>IF(E21=0,0,E21/TrRoad_act!E33*100)</f>
        <v>8.1378984980918752</v>
      </c>
      <c r="F63" s="130">
        <f>IF(F21=0,0,F21/TrRoad_act!F33*100)</f>
        <v>8.2254980712931811</v>
      </c>
      <c r="G63" s="130">
        <f>IF(G21=0,0,G21/TrRoad_act!G33*100)</f>
        <v>8.3982344532760251</v>
      </c>
      <c r="H63" s="130">
        <f>IF(H21=0,0,H21/TrRoad_act!H33*100)</f>
        <v>8.4170699193412819</v>
      </c>
      <c r="I63" s="130">
        <f>IF(I21=0,0,I21/TrRoad_act!I33*100)</f>
        <v>8.2972605968759545</v>
      </c>
      <c r="J63" s="130">
        <f>IF(J21=0,0,J21/TrRoad_act!J33*100)</f>
        <v>7.806871904667875</v>
      </c>
      <c r="K63" s="130">
        <f>IF(K21=0,0,K21/TrRoad_act!K33*100)</f>
        <v>7.7870223094383269</v>
      </c>
      <c r="L63" s="130">
        <f>IF(L21=0,0,L21/TrRoad_act!L33*100)</f>
        <v>7.5229758906655038</v>
      </c>
      <c r="M63" s="130">
        <f>IF(M21=0,0,M21/TrRoad_act!M33*100)</f>
        <v>7.3793811959765989</v>
      </c>
      <c r="N63" s="130">
        <f>IF(N21=0,0,N21/TrRoad_act!N33*100)</f>
        <v>7.4961675130011427</v>
      </c>
      <c r="O63" s="130">
        <f>IF(O21=0,0,O21/TrRoad_act!O33*100)</f>
        <v>7.4161825216812503</v>
      </c>
      <c r="P63" s="130">
        <f>IF(P21=0,0,P21/TrRoad_act!P33*100)</f>
        <v>7.8085121418772658</v>
      </c>
      <c r="Q63" s="130">
        <f>IF(Q21=0,0,Q21/TrRoad_act!Q33*100)</f>
        <v>7.4685307260070264</v>
      </c>
      <c r="R63" s="130">
        <f>IF(R21=0,0,R21/TrRoad_act!R33*100)</f>
        <v>7.5229490034374829</v>
      </c>
      <c r="S63" s="130">
        <f>IF(S21=0,0,S21/TrRoad_act!S33*100)</f>
        <v>7.197672172492295</v>
      </c>
      <c r="T63" s="130">
        <f>IF(T21=0,0,T21/TrRoad_act!T33*100)</f>
        <v>7.2081912949270608</v>
      </c>
      <c r="U63" s="130">
        <f>IF(U21=0,0,U21/TrRoad_act!U33*100)</f>
        <v>7.0930815236599427</v>
      </c>
      <c r="V63" s="130">
        <f>IF(V21=0,0,V21/TrRoad_act!V33*100)</f>
        <v>6.7114236523512796</v>
      </c>
      <c r="W63" s="130">
        <f>IF(W21=0,0,W21/TrRoad_act!W33*100)</f>
        <v>6.7597147197195921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8.3030125700544932</v>
      </c>
      <c r="C64" s="96">
        <f>IF(C22=0,0,C22/TrRoad_act!C34*100)</f>
        <v>8.0625398129954728</v>
      </c>
      <c r="D64" s="96">
        <f>IF(D22=0,0,D22/TrRoad_act!D34*100)</f>
        <v>7.9633731718256007</v>
      </c>
      <c r="E64" s="96">
        <f>IF(E22=0,0,E22/TrRoad_act!E34*100)</f>
        <v>7.6914852743190707</v>
      </c>
      <c r="F64" s="96">
        <f>IF(F22=0,0,F22/TrRoad_act!F34*100)</f>
        <v>7.7716882610379425</v>
      </c>
      <c r="G64" s="96">
        <f>IF(G22=0,0,G22/TrRoad_act!G34*100)</f>
        <v>8.004250642136725</v>
      </c>
      <c r="H64" s="96">
        <f>IF(H22=0,0,H22/TrRoad_act!H34*100)</f>
        <v>7.9242664029708312</v>
      </c>
      <c r="I64" s="96">
        <f>IF(I22=0,0,I22/TrRoad_act!I34*100)</f>
        <v>7.6881811355717824</v>
      </c>
      <c r="J64" s="96">
        <f>IF(J22=0,0,J22/TrRoad_act!J34*100)</f>
        <v>7.2014038503106583</v>
      </c>
      <c r="K64" s="96">
        <f>IF(K22=0,0,K22/TrRoad_act!K34*100)</f>
        <v>6.9897831976115512</v>
      </c>
      <c r="L64" s="96">
        <f>IF(L22=0,0,L22/TrRoad_act!L34*100)</f>
        <v>6.9654317119688596</v>
      </c>
      <c r="M64" s="96">
        <f>IF(M22=0,0,M22/TrRoad_act!M34*100)</f>
        <v>6.8668659607022233</v>
      </c>
      <c r="N64" s="96">
        <f>IF(N22=0,0,N22/TrRoad_act!N34*100)</f>
        <v>7.0233773908753596</v>
      </c>
      <c r="O64" s="96">
        <f>IF(O22=0,0,O22/TrRoad_act!O34*100)</f>
        <v>6.771546904897666</v>
      </c>
      <c r="P64" s="96">
        <f>IF(P22=0,0,P22/TrRoad_act!P34*100)</f>
        <v>7.1366485908546347</v>
      </c>
      <c r="Q64" s="96">
        <f>IF(Q22=0,0,Q22/TrRoad_act!Q34*100)</f>
        <v>6.4002396679021603</v>
      </c>
      <c r="R64" s="96">
        <f>IF(R22=0,0,R22/TrRoad_act!R34*100)</f>
        <v>6.6846217789966094</v>
      </c>
      <c r="S64" s="96">
        <f>IF(S22=0,0,S22/TrRoad_act!S34*100)</f>
        <v>6.3254822099194845</v>
      </c>
      <c r="T64" s="96">
        <f>IF(T22=0,0,T22/TrRoad_act!T34*100)</f>
        <v>6.1567580991810065</v>
      </c>
      <c r="U64" s="96">
        <f>IF(U22=0,0,U22/TrRoad_act!U34*100)</f>
        <v>6.0010475067380842</v>
      </c>
      <c r="V64" s="96">
        <f>IF(V22=0,0,V22/TrRoad_act!V34*100)</f>
        <v>5.5633965617073979</v>
      </c>
      <c r="W64" s="96">
        <f>IF(W22=0,0,W22/TrRoad_act!W34*100)</f>
        <v>5.6971929422998171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12.710459856252697</v>
      </c>
      <c r="C65" s="96">
        <f>IF(C24=0,0,C24/TrRoad_act!C35*100)</f>
        <v>12.669625581557101</v>
      </c>
      <c r="D65" s="96">
        <f>IF(D24=0,0,D24/TrRoad_act!D35*100)</f>
        <v>11.334982613885733</v>
      </c>
      <c r="E65" s="96">
        <f>IF(E24=0,0,E24/TrRoad_act!E35*100)</f>
        <v>10.838162876726248</v>
      </c>
      <c r="F65" s="96">
        <f>IF(F24=0,0,F24/TrRoad_act!F35*100)</f>
        <v>10.758697974945559</v>
      </c>
      <c r="G65" s="96">
        <f>IF(G24=0,0,G24/TrRoad_act!G35*100)</f>
        <v>10.24827810766589</v>
      </c>
      <c r="H65" s="96">
        <f>IF(H24=0,0,H24/TrRoad_act!H35*100)</f>
        <v>10.64990417675641</v>
      </c>
      <c r="I65" s="96">
        <f>IF(I24=0,0,I24/TrRoad_act!I35*100)</f>
        <v>10.901882634433367</v>
      </c>
      <c r="J65" s="96">
        <f>IF(J24=0,0,J24/TrRoad_act!J35*100)</f>
        <v>9.9270833335484525</v>
      </c>
      <c r="K65" s="96">
        <f>IF(K24=0,0,K24/TrRoad_act!K35*100)</f>
        <v>10.086038062202952</v>
      </c>
      <c r="L65" s="96">
        <f>IF(L24=0,0,L24/TrRoad_act!L35*100)</f>
        <v>8.8226718827507042</v>
      </c>
      <c r="M65" s="96">
        <f>IF(M24=0,0,M24/TrRoad_act!M35*100)</f>
        <v>8.3098614488561484</v>
      </c>
      <c r="N65" s="96">
        <f>IF(N24=0,0,N24/TrRoad_act!N35*100)</f>
        <v>8.2648454256453778</v>
      </c>
      <c r="O65" s="96">
        <f>IF(O24=0,0,O24/TrRoad_act!O35*100)</f>
        <v>8.2831328785199307</v>
      </c>
      <c r="P65" s="96">
        <f>IF(P24=0,0,P24/TrRoad_act!P35*100)</f>
        <v>8.6132252097546189</v>
      </c>
      <c r="Q65" s="96">
        <f>IF(Q24=0,0,Q24/TrRoad_act!Q35*100)</f>
        <v>8.4989360236352152</v>
      </c>
      <c r="R65" s="96">
        <f>IF(R24=0,0,R24/TrRoad_act!R35*100)</f>
        <v>8.2023356703818529</v>
      </c>
      <c r="S65" s="96">
        <f>IF(S24=0,0,S24/TrRoad_act!S35*100)</f>
        <v>7.819523396546348</v>
      </c>
      <c r="T65" s="96">
        <f>IF(T24=0,0,T24/TrRoad_act!T35*100)</f>
        <v>7.8981734971563453</v>
      </c>
      <c r="U65" s="96">
        <f>IF(U24=0,0,U24/TrRoad_act!U35*100)</f>
        <v>7.7850302223554211</v>
      </c>
      <c r="V65" s="96">
        <f>IF(V24=0,0,V24/TrRoad_act!V35*100)</f>
        <v>7.3720362381806819</v>
      </c>
      <c r="W65" s="96">
        <f>IF(W24=0,0,W24/TrRoad_act!W35*100)</f>
        <v>7.4386765845645577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8.1396557000954388</v>
      </c>
      <c r="C66" s="96">
        <f>IF(C26=0,0,C26/TrRoad_act!C36*100)</f>
        <v>7.7738959548810938</v>
      </c>
      <c r="D66" s="96">
        <f>IF(D26=0,0,D26/TrRoad_act!D36*100)</f>
        <v>7.9522439287365536</v>
      </c>
      <c r="E66" s="96">
        <f>IF(E26=0,0,E26/TrRoad_act!E36*100)</f>
        <v>8.1275877527336409</v>
      </c>
      <c r="F66" s="96">
        <f>IF(F26=0,0,F26/TrRoad_act!F36*100)</f>
        <v>7.6921705096000963</v>
      </c>
      <c r="G66" s="96">
        <f>IF(G26=0,0,G26/TrRoad_act!G36*100)</f>
        <v>7.7351242651534982</v>
      </c>
      <c r="H66" s="96">
        <f>IF(H26=0,0,H26/TrRoad_act!H36*100)</f>
        <v>7.6496706742697267</v>
      </c>
      <c r="I66" s="96">
        <f>IF(I26=0,0,I26/TrRoad_act!I36*100)</f>
        <v>7.5412373891056745</v>
      </c>
      <c r="J66" s="96">
        <f>IF(J26=0,0,J26/TrRoad_act!J36*100)</f>
        <v>7.7528910724966442</v>
      </c>
      <c r="K66" s="96">
        <f>IF(K26=0,0,K26/TrRoad_act!K36*100)</f>
        <v>7.2352427325527113</v>
      </c>
      <c r="L66" s="96">
        <f>IF(L26=0,0,L26/TrRoad_act!L36*100)</f>
        <v>7.2374403579260642</v>
      </c>
      <c r="M66" s="96">
        <f>IF(M26=0,0,M26/TrRoad_act!M36*100)</f>
        <v>7.0951015546563685</v>
      </c>
      <c r="N66" s="96">
        <f>IF(N26=0,0,N26/TrRoad_act!N36*100)</f>
        <v>7.1031173871499487</v>
      </c>
      <c r="O66" s="96">
        <f>IF(O26=0,0,O26/TrRoad_act!O36*100)</f>
        <v>6.7843178252535052</v>
      </c>
      <c r="P66" s="96">
        <f>IF(P26=0,0,P26/TrRoad_act!P36*100)</f>
        <v>6.4164131602041206</v>
      </c>
      <c r="Q66" s="96">
        <f>IF(Q26=0,0,Q26/TrRoad_act!Q36*100)</f>
        <v>6.6985876030635492</v>
      </c>
      <c r="R66" s="96">
        <f>IF(R26=0,0,R26/TrRoad_act!R36*100)</f>
        <v>6.8696708059746214</v>
      </c>
      <c r="S66" s="96">
        <f>IF(S26=0,0,S26/TrRoad_act!S36*100)</f>
        <v>6.9023511154059527</v>
      </c>
      <c r="T66" s="96">
        <f>IF(T26=0,0,T26/TrRoad_act!T36*100)</f>
        <v>6.6932813142747367</v>
      </c>
      <c r="U66" s="96">
        <f>IF(U26=0,0,U26/TrRoad_act!U36*100)</f>
        <v>6.6767755167739491</v>
      </c>
      <c r="V66" s="96">
        <f>IF(V26=0,0,V26/TrRoad_act!V36*100)</f>
        <v>5.4432036226574265</v>
      </c>
      <c r="W66" s="96">
        <f>IF(W26=0,0,W26/TrRoad_act!W36*100)</f>
        <v>5.5933734306928153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4.1077319648703989</v>
      </c>
      <c r="P68" s="96">
        <f>IF(P29=0,0,P29/TrRoad_act!P38*100)</f>
        <v>3.0703219742259829</v>
      </c>
      <c r="Q68" s="96">
        <f>IF(Q29=0,0,Q29/TrRoad_act!Q38*100)</f>
        <v>3.0158156969885437</v>
      </c>
      <c r="R68" s="96">
        <f>IF(R29=0,0,R29/TrRoad_act!R38*100)</f>
        <v>3.1375463280872533</v>
      </c>
      <c r="S68" s="96">
        <f>IF(S29=0,0,S29/TrRoad_act!S38*100)</f>
        <v>3.0641557950402807</v>
      </c>
      <c r="T68" s="96">
        <f>IF(T29=0,0,T29/TrRoad_act!T38*100)</f>
        <v>3.1112895350496208</v>
      </c>
      <c r="U68" s="96">
        <f>IF(U29=0,0,U29/TrRoad_act!U38*100)</f>
        <v>3.2424511070301087</v>
      </c>
      <c r="V68" s="96">
        <f>IF(V29=0,0,V29/TrRoad_act!V38*100)</f>
        <v>3.0175037252260646</v>
      </c>
      <c r="W68" s="96">
        <f>IF(W29=0,0,W29/TrRoad_act!W38*100)</f>
        <v>3.1738819615656908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1.3908890557057765</v>
      </c>
      <c r="L69" s="96">
        <f>IF(L32=0,0,L32/TrRoad_act!L39*100)</f>
        <v>1.3771975863074495</v>
      </c>
      <c r="M69" s="96">
        <f>IF(M32=0,0,M32/TrRoad_act!M39*100)</f>
        <v>1.3834795402098958</v>
      </c>
      <c r="N69" s="96">
        <f>IF(N32=0,0,N32/TrRoad_act!N39*100)</f>
        <v>1.2826980032544728</v>
      </c>
      <c r="O69" s="96">
        <f>IF(O32=0,0,O32/TrRoad_act!O39*100)</f>
        <v>1.2872912872207669</v>
      </c>
      <c r="P69" s="96">
        <f>IF(P32=0,0,P32/TrRoad_act!P39*100)</f>
        <v>1.3380700855361451</v>
      </c>
      <c r="Q69" s="96">
        <f>IF(Q32=0,0,Q32/TrRoad_act!Q39*100)</f>
        <v>1.365740219768647</v>
      </c>
      <c r="R69" s="96">
        <f>IF(R32=0,0,R32/TrRoad_act!R39*100)</f>
        <v>1.3139747885675412</v>
      </c>
      <c r="S69" s="96">
        <f>IF(S32=0,0,S32/TrRoad_act!S39*100)</f>
        <v>1.2895427877241115</v>
      </c>
      <c r="T69" s="96">
        <f>IF(T32=0,0,T32/TrRoad_act!T39*100)</f>
        <v>1.3346818715015623</v>
      </c>
      <c r="U69" s="96">
        <f>IF(U32=0,0,U32/TrRoad_act!U39*100)</f>
        <v>1.4270808812766256</v>
      </c>
      <c r="V69" s="96">
        <f>IF(V32=0,0,V32/TrRoad_act!V39*100)</f>
        <v>1.509868138801481</v>
      </c>
      <c r="W69" s="96">
        <f>IF(W32=0,0,W32/TrRoad_act!W39*100)</f>
        <v>1.5060919776958537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61.613623944850652</v>
      </c>
      <c r="C70" s="130">
        <f>IF(C33=0,0,C33/TrRoad_act!C40*100)</f>
        <v>58.060449784749579</v>
      </c>
      <c r="D70" s="130">
        <f>IF(D33=0,0,D33/TrRoad_act!D40*100)</f>
        <v>57.18406714929143</v>
      </c>
      <c r="E70" s="130">
        <f>IF(E33=0,0,E33/TrRoad_act!E40*100)</f>
        <v>56.245499902799459</v>
      </c>
      <c r="F70" s="130">
        <f>IF(F33=0,0,F33/TrRoad_act!F40*100)</f>
        <v>55.586944114313894</v>
      </c>
      <c r="G70" s="130">
        <f>IF(G33=0,0,G33/TrRoad_act!G40*100)</f>
        <v>55.069785512491521</v>
      </c>
      <c r="H70" s="130">
        <f>IF(H33=0,0,H33/TrRoad_act!H40*100)</f>
        <v>54.600380575303767</v>
      </c>
      <c r="I70" s="130">
        <f>IF(I33=0,0,I33/TrRoad_act!I40*100)</f>
        <v>54.330880843700946</v>
      </c>
      <c r="J70" s="130">
        <f>IF(J33=0,0,J33/TrRoad_act!J40*100)</f>
        <v>54.181602005231397</v>
      </c>
      <c r="K70" s="130">
        <f>IF(K33=0,0,K33/TrRoad_act!K40*100)</f>
        <v>54.040091069543827</v>
      </c>
      <c r="L70" s="130">
        <f>IF(L33=0,0,L33/TrRoad_act!L40*100)</f>
        <v>53.908674073447671</v>
      </c>
      <c r="M70" s="130">
        <f>IF(M33=0,0,M33/TrRoad_act!M40*100)</f>
        <v>53.80787993377831</v>
      </c>
      <c r="N70" s="130">
        <f>IF(N33=0,0,N33/TrRoad_act!N40*100)</f>
        <v>53.796987906312211</v>
      </c>
      <c r="O70" s="130">
        <f>IF(O33=0,0,O33/TrRoad_act!O40*100)</f>
        <v>53.742730299659669</v>
      </c>
      <c r="P70" s="130">
        <f>IF(P33=0,0,P33/TrRoad_act!P40*100)</f>
        <v>53.880141046043704</v>
      </c>
      <c r="Q70" s="130">
        <f>IF(Q33=0,0,Q33/TrRoad_act!Q40*100)</f>
        <v>54.195998774309771</v>
      </c>
      <c r="R70" s="130">
        <f>IF(R33=0,0,R33/TrRoad_act!R40*100)</f>
        <v>54.545041750731784</v>
      </c>
      <c r="S70" s="130">
        <f>IF(S33=0,0,S33/TrRoad_act!S40*100)</f>
        <v>54.857560381061042</v>
      </c>
      <c r="T70" s="130">
        <f>IF(T33=0,0,T33/TrRoad_act!T40*100)</f>
        <v>55.200450439783509</v>
      </c>
      <c r="U70" s="130">
        <f>IF(U33=0,0,U33/TrRoad_act!U40*100)</f>
        <v>55.433726295160135</v>
      </c>
      <c r="V70" s="130">
        <f>IF(V33=0,0,V33/TrRoad_act!V40*100)</f>
        <v>55.648457671711796</v>
      </c>
      <c r="W70" s="130">
        <f>IF(W33=0,0,W33/TrRoad_act!W40*100)</f>
        <v>55.772345752164412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18.664776646569909</v>
      </c>
      <c r="C71" s="97">
        <f>IF(C34=0,0,C34/TrRoad_act!C41*100)</f>
        <v>18.632024467045934</v>
      </c>
      <c r="D71" s="97">
        <f>IF(D34=0,0,D34/TrRoad_act!D41*100)</f>
        <v>18.628743067028786</v>
      </c>
      <c r="E71" s="97">
        <f>IF(E34=0,0,E34/TrRoad_act!E41*100)</f>
        <v>18.624730937370099</v>
      </c>
      <c r="F71" s="97">
        <f>IF(F34=0,0,F34/TrRoad_act!F41*100)</f>
        <v>18.619306465521479</v>
      </c>
      <c r="G71" s="97">
        <f>IF(G34=0,0,G34/TrRoad_act!G41*100)</f>
        <v>18.612725865442332</v>
      </c>
      <c r="H71" s="97">
        <f>IF(H34=0,0,H34/TrRoad_act!H41*100)</f>
        <v>18.604645013918123</v>
      </c>
      <c r="I71" s="97">
        <f>IF(I34=0,0,I34/TrRoad_act!I41*100)</f>
        <v>18.512010463272595</v>
      </c>
      <c r="J71" s="97">
        <f>IF(J34=0,0,J34/TrRoad_act!J41*100)</f>
        <v>18.481949398399337</v>
      </c>
      <c r="K71" s="97">
        <f>IF(K34=0,0,K34/TrRoad_act!K41*100)</f>
        <v>18.446088503475455</v>
      </c>
      <c r="L71" s="97">
        <f>IF(L34=0,0,L34/TrRoad_act!L41*100)</f>
        <v>18.392726952703054</v>
      </c>
      <c r="M71" s="97">
        <f>IF(M34=0,0,M34/TrRoad_act!M41*100)</f>
        <v>18.326740206887635</v>
      </c>
      <c r="N71" s="97">
        <f>IF(N34=0,0,N34/TrRoad_act!N41*100)</f>
        <v>18.235668551598096</v>
      </c>
      <c r="O71" s="97">
        <f>IF(O34=0,0,O34/TrRoad_act!O41*100)</f>
        <v>18.235668551598092</v>
      </c>
      <c r="P71" s="97">
        <f>IF(P34=0,0,P34/TrRoad_act!P41*100)</f>
        <v>18.235668551598096</v>
      </c>
      <c r="Q71" s="97">
        <f>IF(Q34=0,0,Q34/TrRoad_act!Q41*100)</f>
        <v>18.179654931574905</v>
      </c>
      <c r="R71" s="97">
        <f>IF(R34=0,0,R34/TrRoad_act!R41*100)</f>
        <v>18.07742904954393</v>
      </c>
      <c r="S71" s="97">
        <f>IF(S34=0,0,S34/TrRoad_act!S41*100)</f>
        <v>17.633047747543912</v>
      </c>
      <c r="T71" s="97">
        <f>IF(T34=0,0,T34/TrRoad_act!T41*100)</f>
        <v>17.728410638456101</v>
      </c>
      <c r="U71" s="97">
        <f>IF(U34=0,0,U34/TrRoad_act!U41*100)</f>
        <v>17.417068932450281</v>
      </c>
      <c r="V71" s="97">
        <f>IF(V34=0,0,V34/TrRoad_act!V41*100)</f>
        <v>17.417068932450285</v>
      </c>
      <c r="W71" s="97">
        <f>IF(W34=0,0,W34/TrRoad_act!W41*100)</f>
        <v>17.495352393059466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62.497307656675474</v>
      </c>
      <c r="C72" s="97">
        <f>IF(C36=0,0,C36/TrRoad_act!C42*100)</f>
        <v>58.77168289433957</v>
      </c>
      <c r="D72" s="97">
        <f>IF(D36=0,0,D36/TrRoad_act!D42*100)</f>
        <v>57.803940018474833</v>
      </c>
      <c r="E72" s="97">
        <f>IF(E36=0,0,E36/TrRoad_act!E42*100)</f>
        <v>56.75869249173001</v>
      </c>
      <c r="F72" s="97">
        <f>IF(F36=0,0,F36/TrRoad_act!F42*100)</f>
        <v>56.013055336747911</v>
      </c>
      <c r="G72" s="97">
        <f>IF(G36=0,0,G36/TrRoad_act!G42*100)</f>
        <v>55.421215382800341</v>
      </c>
      <c r="H72" s="97">
        <f>IF(H36=0,0,H36/TrRoad_act!H42*100)</f>
        <v>54.879914176952717</v>
      </c>
      <c r="I72" s="97">
        <f>IF(I36=0,0,I36/TrRoad_act!I42*100)</f>
        <v>54.562721528885326</v>
      </c>
      <c r="J72" s="97">
        <f>IF(J36=0,0,J36/TrRoad_act!J42*100)</f>
        <v>54.370279318200417</v>
      </c>
      <c r="K72" s="97">
        <f>IF(K36=0,0,K36/TrRoad_act!K42*100)</f>
        <v>54.197775061246325</v>
      </c>
      <c r="L72" s="97">
        <f>IF(L36=0,0,L36/TrRoad_act!L42*100)</f>
        <v>54.036988010046564</v>
      </c>
      <c r="M72" s="97">
        <f>IF(M36=0,0,M36/TrRoad_act!M42*100)</f>
        <v>53.912862010931264</v>
      </c>
      <c r="N72" s="97">
        <f>IF(N36=0,0,N36/TrRoad_act!N42*100)</f>
        <v>53.878282206003711</v>
      </c>
      <c r="O72" s="97">
        <f>IF(O36=0,0,O36/TrRoad_act!O42*100)</f>
        <v>53.823800805677003</v>
      </c>
      <c r="P72" s="97">
        <f>IF(P36=0,0,P36/TrRoad_act!P42*100)</f>
        <v>53.960211757738271</v>
      </c>
      <c r="Q72" s="97">
        <f>IF(Q36=0,0,Q36/TrRoad_act!Q42*100)</f>
        <v>54.26461171523129</v>
      </c>
      <c r="R72" s="97">
        <f>IF(R36=0,0,R36/TrRoad_act!R42*100)</f>
        <v>54.599963838696809</v>
      </c>
      <c r="S72" s="97">
        <f>IF(S36=0,0,S36/TrRoad_act!S42*100)</f>
        <v>54.921549931835358</v>
      </c>
      <c r="T72" s="97">
        <f>IF(T36=0,0,T36/TrRoad_act!T42*100)</f>
        <v>55.241998159402804</v>
      </c>
      <c r="U72" s="97">
        <f>IF(U36=0,0,U36/TrRoad_act!U42*100)</f>
        <v>55.484142674394946</v>
      </c>
      <c r="V72" s="97">
        <f>IF(V36=0,0,V36/TrRoad_act!V42*100)</f>
        <v>55.711446555961444</v>
      </c>
      <c r="W72" s="97">
        <f>IF(W36=0,0,W36/TrRoad_act!W42*100)</f>
        <v>55.835571425586906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43.429619345821301</v>
      </c>
      <c r="D73" s="97">
        <f>IF(D38=0,0,D38/TrRoad_act!D43*100)</f>
        <v>43.429619345821301</v>
      </c>
      <c r="E73" s="97">
        <f>IF(E38=0,0,E38/TrRoad_act!E43*100)</f>
        <v>43.429619345821301</v>
      </c>
      <c r="F73" s="97">
        <f>IF(F38=0,0,F38/TrRoad_act!F43*100)</f>
        <v>43.429619345821308</v>
      </c>
      <c r="G73" s="97">
        <f>IF(G38=0,0,G38/TrRoad_act!G43*100)</f>
        <v>43.429619345821301</v>
      </c>
      <c r="H73" s="97">
        <f>IF(H38=0,0,H38/TrRoad_act!H43*100)</f>
        <v>43.429619345821301</v>
      </c>
      <c r="I73" s="97">
        <f>IF(I38=0,0,I38/TrRoad_act!I43*100)</f>
        <v>43.429619345821308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35.586408117039973</v>
      </c>
      <c r="K75" s="97">
        <f>IF(K41=0,0,K41/TrRoad_act!K45*100)</f>
        <v>35.586408117039973</v>
      </c>
      <c r="L75" s="97">
        <f>IF(L41=0,0,L41/TrRoad_act!L45*100)</f>
        <v>35.586408117039966</v>
      </c>
      <c r="M75" s="97">
        <f>IF(M41=0,0,M41/TrRoad_act!M45*100)</f>
        <v>35.586408117039966</v>
      </c>
      <c r="N75" s="97">
        <f>IF(N41=0,0,N41/TrRoad_act!N45*100)</f>
        <v>35.586408117039973</v>
      </c>
      <c r="O75" s="97">
        <f>IF(O41=0,0,O41/TrRoad_act!O45*100)</f>
        <v>35.586408117039973</v>
      </c>
      <c r="P75" s="97">
        <f>IF(P41=0,0,P41/TrRoad_act!P45*100)</f>
        <v>35.586408117039966</v>
      </c>
      <c r="Q75" s="97">
        <f>IF(Q41=0,0,Q41/TrRoad_act!Q45*100)</f>
        <v>35.586408117039973</v>
      </c>
      <c r="R75" s="97">
        <f>IF(R41=0,0,R41/TrRoad_act!R45*100)</f>
        <v>35.586408117039966</v>
      </c>
      <c r="S75" s="97">
        <f>IF(S41=0,0,S41/TrRoad_act!S45*100)</f>
        <v>35.586408117039973</v>
      </c>
      <c r="T75" s="97">
        <f>IF(T41=0,0,T41/TrRoad_act!T45*100)</f>
        <v>35.586408117039966</v>
      </c>
      <c r="U75" s="97">
        <f>IF(U41=0,0,U41/TrRoad_act!U45*100)</f>
        <v>35.377026374515111</v>
      </c>
      <c r="V75" s="97">
        <f>IF(V41=0,0,V41/TrRoad_act!V45*100)</f>
        <v>35.704758589468014</v>
      </c>
      <c r="W75" s="97">
        <f>IF(W41=0,0,W41/TrRoad_act!W45*100)</f>
        <v>35.999272600489398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22.919848038832761</v>
      </c>
      <c r="C76" s="32">
        <f>IF(C42=0,0,C42/TrRoad_act!C46*100)</f>
        <v>22.845918386023268</v>
      </c>
      <c r="D76" s="32">
        <f>IF(D42=0,0,D42/TrRoad_act!D46*100)</f>
        <v>21.733277883106432</v>
      </c>
      <c r="E76" s="32">
        <f>IF(E42=0,0,E42/TrRoad_act!E46*100)</f>
        <v>21.050462512483382</v>
      </c>
      <c r="F76" s="32">
        <f>IF(F42=0,0,F42/TrRoad_act!F46*100)</f>
        <v>21.335030432460471</v>
      </c>
      <c r="G76" s="32">
        <f>IF(G42=0,0,G42/TrRoad_act!G46*100)</f>
        <v>20.757785383240499</v>
      </c>
      <c r="H76" s="32">
        <f>IF(H42=0,0,H42/TrRoad_act!H46*100)</f>
        <v>20.808607793496122</v>
      </c>
      <c r="I76" s="32">
        <f>IF(I42=0,0,I42/TrRoad_act!I46*100)</f>
        <v>21.305925726595703</v>
      </c>
      <c r="J76" s="32">
        <f>IF(J42=0,0,J42/TrRoad_act!J46*100)</f>
        <v>19.303345444203764</v>
      </c>
      <c r="K76" s="32">
        <f>IF(K42=0,0,K42/TrRoad_act!K46*100)</f>
        <v>17.607495198679786</v>
      </c>
      <c r="L76" s="32">
        <f>IF(L42=0,0,L42/TrRoad_act!L46*100)</f>
        <v>16.550934282735462</v>
      </c>
      <c r="M76" s="32">
        <f>IF(M42=0,0,M42/TrRoad_act!M46*100)</f>
        <v>15.945385773900034</v>
      </c>
      <c r="N76" s="32">
        <f>IF(N42=0,0,N42/TrRoad_act!N46*100)</f>
        <v>16.103499515820193</v>
      </c>
      <c r="O76" s="32">
        <f>IF(O42=0,0,O42/TrRoad_act!O46*100)</f>
        <v>15.976171987347898</v>
      </c>
      <c r="P76" s="32">
        <f>IF(P42=0,0,P42/TrRoad_act!P46*100)</f>
        <v>16.723985102921784</v>
      </c>
      <c r="Q76" s="32">
        <f>IF(Q42=0,0,Q42/TrRoad_act!Q46*100)</f>
        <v>17.27761023303697</v>
      </c>
      <c r="R76" s="32">
        <f>IF(R42=0,0,R42/TrRoad_act!R46*100)</f>
        <v>17.743120094976852</v>
      </c>
      <c r="S76" s="32">
        <f>IF(S42=0,0,S42/TrRoad_act!S46*100)</f>
        <v>17.394518237549402</v>
      </c>
      <c r="T76" s="32">
        <f>IF(T42=0,0,T42/TrRoad_act!T46*100)</f>
        <v>17.649740516109873</v>
      </c>
      <c r="U76" s="32">
        <f>IF(U42=0,0,U42/TrRoad_act!U46*100)</f>
        <v>17.994560000488935</v>
      </c>
      <c r="V76" s="32">
        <f>IF(V42=0,0,V42/TrRoad_act!V46*100)</f>
        <v>16.678823479049473</v>
      </c>
      <c r="W76" s="32">
        <f>IF(W42=0,0,W42/TrRoad_act!W46*100)</f>
        <v>17.420585197051508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11.234657633575225</v>
      </c>
      <c r="C77" s="141">
        <f>IF(C43=0,0,C43/TrRoad_act!C47*100)</f>
        <v>10.72841526104466</v>
      </c>
      <c r="D77" s="141">
        <f>IF(D43=0,0,D43/TrRoad_act!D47*100)</f>
        <v>10.549730975430567</v>
      </c>
      <c r="E77" s="141">
        <f>IF(E43=0,0,E43/TrRoad_act!E47*100)</f>
        <v>10.411212382147493</v>
      </c>
      <c r="F77" s="141">
        <f>IF(F43=0,0,F43/TrRoad_act!F47*100)</f>
        <v>10.483974672237011</v>
      </c>
      <c r="G77" s="141">
        <f>IF(G43=0,0,G43/TrRoad_act!G47*100)</f>
        <v>10.428834477929302</v>
      </c>
      <c r="H77" s="141">
        <f>IF(H43=0,0,H43/TrRoad_act!H47*100)</f>
        <v>10.467637961648009</v>
      </c>
      <c r="I77" s="141">
        <f>IF(I43=0,0,I43/TrRoad_act!I47*100)</f>
        <v>10.545015791185019</v>
      </c>
      <c r="J77" s="141">
        <f>IF(J43=0,0,J43/TrRoad_act!J47*100)</f>
        <v>10.2815789750242</v>
      </c>
      <c r="K77" s="141">
        <f>IF(K43=0,0,K43/TrRoad_act!K47*100)</f>
        <v>10.1669174759596</v>
      </c>
      <c r="L77" s="141">
        <f>IF(L43=0,0,L43/TrRoad_act!L47*100)</f>
        <v>10.039180148140812</v>
      </c>
      <c r="M77" s="141">
        <f>IF(M43=0,0,M43/TrRoad_act!M47*100)</f>
        <v>9.9338049318678614</v>
      </c>
      <c r="N77" s="141">
        <f>IF(N43=0,0,N43/TrRoad_act!N47*100)</f>
        <v>9.8707856403517251</v>
      </c>
      <c r="O77" s="141">
        <f>IF(O43=0,0,O43/TrRoad_act!O47*100)</f>
        <v>9.7800189668609594</v>
      </c>
      <c r="P77" s="141">
        <f>IF(P43=0,0,P43/TrRoad_act!P47*100)</f>
        <v>9.7936891416624725</v>
      </c>
      <c r="Q77" s="141">
        <f>IF(Q43=0,0,Q43/TrRoad_act!Q47*100)</f>
        <v>9.9772377333255342</v>
      </c>
      <c r="R77" s="141">
        <f>IF(R43=0,0,R43/TrRoad_act!R47*100)</f>
        <v>9.8185433129765638</v>
      </c>
      <c r="S77" s="141">
        <f>IF(S43=0,0,S43/TrRoad_act!S47*100)</f>
        <v>9.6684730873569151</v>
      </c>
      <c r="T77" s="141">
        <f>IF(T43=0,0,T43/TrRoad_act!T47*100)</f>
        <v>9.5797041761503774</v>
      </c>
      <c r="U77" s="141">
        <f>IF(U43=0,0,U43/TrRoad_act!U47*100)</f>
        <v>9.4352549452479018</v>
      </c>
      <c r="V77" s="141">
        <f>IF(V43=0,0,V43/TrRoad_act!V47*100)</f>
        <v>9.3670387781153206</v>
      </c>
      <c r="W77" s="141">
        <f>IF(W43=0,0,W43/TrRoad_act!W47*100)</f>
        <v>9.4394233847488991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9.3291038368586001</v>
      </c>
      <c r="C78" s="96">
        <f>IF(C44=0,0,C44/TrRoad_act!C48*100)</f>
        <v>9.2094306350789044</v>
      </c>
      <c r="D78" s="96">
        <f>IF(D44=0,0,D44/TrRoad_act!D48*100)</f>
        <v>9.1330138052744072</v>
      </c>
      <c r="E78" s="96">
        <f>IF(E44=0,0,E44/TrRoad_act!E48*100)</f>
        <v>9.0598546022912725</v>
      </c>
      <c r="F78" s="96">
        <f>IF(F44=0,0,F44/TrRoad_act!F48*100)</f>
        <v>8.9600771034368911</v>
      </c>
      <c r="G78" s="96">
        <f>IF(G44=0,0,G44/TrRoad_act!G48*100)</f>
        <v>8.7897156685240319</v>
      </c>
      <c r="H78" s="96">
        <f>IF(H44=0,0,H44/TrRoad_act!H48*100)</f>
        <v>8.5736411343234362</v>
      </c>
      <c r="I78" s="96">
        <f>IF(I44=0,0,I44/TrRoad_act!I48*100)</f>
        <v>8.3658269753626779</v>
      </c>
      <c r="J78" s="96">
        <f>IF(J44=0,0,J44/TrRoad_act!J48*100)</f>
        <v>8.2868017574391093</v>
      </c>
      <c r="K78" s="96">
        <f>IF(K44=0,0,K44/TrRoad_act!K48*100)</f>
        <v>8.253084562785757</v>
      </c>
      <c r="L78" s="96">
        <f>IF(L44=0,0,L44/TrRoad_act!L48*100)</f>
        <v>8.2249364961513773</v>
      </c>
      <c r="M78" s="96">
        <f>IF(M44=0,0,M44/TrRoad_act!M48*100)</f>
        <v>8.1958520959109187</v>
      </c>
      <c r="N78" s="96">
        <f>IF(N44=0,0,N44/TrRoad_act!N48*100)</f>
        <v>8.1736691851961076</v>
      </c>
      <c r="O78" s="96">
        <f>IF(O44=0,0,O44/TrRoad_act!O48*100)</f>
        <v>8.1721865237056139</v>
      </c>
      <c r="P78" s="96">
        <f>IF(P44=0,0,P44/TrRoad_act!P48*100)</f>
        <v>8.1466175627158091</v>
      </c>
      <c r="Q78" s="96">
        <f>IF(Q44=0,0,Q44/TrRoad_act!Q48*100)</f>
        <v>8.0907877308126963</v>
      </c>
      <c r="R78" s="96">
        <f>IF(R44=0,0,R44/TrRoad_act!R48*100)</f>
        <v>8.0447289649209797</v>
      </c>
      <c r="S78" s="96">
        <f>IF(S44=0,0,S44/TrRoad_act!S48*100)</f>
        <v>8.2446995237317413</v>
      </c>
      <c r="T78" s="96">
        <f>IF(T44=0,0,T44/TrRoad_act!T48*100)</f>
        <v>8.1464297936661154</v>
      </c>
      <c r="U78" s="96">
        <f>IF(U44=0,0,U44/TrRoad_act!U48*100)</f>
        <v>8.0528425033186934</v>
      </c>
      <c r="V78" s="96">
        <f>IF(V44=0,0,V44/TrRoad_act!V48*100)</f>
        <v>7.5798044955592045</v>
      </c>
      <c r="W78" s="96">
        <f>IF(W44=0,0,W44/TrRoad_act!W48*100)</f>
        <v>7.6359570072820517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11.260873622061593</v>
      </c>
      <c r="C79" s="96">
        <f>IF(C46=0,0,C46/TrRoad_act!C49*100)</f>
        <v>10.746150054060349</v>
      </c>
      <c r="D79" s="96">
        <f>IF(D46=0,0,D46/TrRoad_act!D49*100)</f>
        <v>10.564067121787815</v>
      </c>
      <c r="E79" s="96">
        <f>IF(E46=0,0,E46/TrRoad_act!E49*100)</f>
        <v>10.422673667799161</v>
      </c>
      <c r="F79" s="96">
        <f>IF(F46=0,0,F46/TrRoad_act!F49*100)</f>
        <v>10.494525292770602</v>
      </c>
      <c r="G79" s="96">
        <f>IF(G46=0,0,G46/TrRoad_act!G49*100)</f>
        <v>10.437015716276152</v>
      </c>
      <c r="H79" s="96">
        <f>IF(H46=0,0,H46/TrRoad_act!H49*100)</f>
        <v>10.474428521641622</v>
      </c>
      <c r="I79" s="96">
        <f>IF(I46=0,0,I46/TrRoad_act!I49*100)</f>
        <v>10.550840626583744</v>
      </c>
      <c r="J79" s="96">
        <f>IF(J46=0,0,J46/TrRoad_act!J49*100)</f>
        <v>10.286359629802172</v>
      </c>
      <c r="K79" s="96">
        <f>IF(K46=0,0,K46/TrRoad_act!K49*100)</f>
        <v>10.171262190504725</v>
      </c>
      <c r="L79" s="96">
        <f>IF(L46=0,0,L46/TrRoad_act!L49*100)</f>
        <v>10.042878448023465</v>
      </c>
      <c r="M79" s="96">
        <f>IF(M46=0,0,M46/TrRoad_act!M49*100)</f>
        <v>9.9376611433183903</v>
      </c>
      <c r="N79" s="96">
        <f>IF(N46=0,0,N46/TrRoad_act!N49*100)</f>
        <v>9.8752569696498895</v>
      </c>
      <c r="O79" s="96">
        <f>IF(O46=0,0,O46/TrRoad_act!O49*100)</f>
        <v>9.7842138326503214</v>
      </c>
      <c r="P79" s="96">
        <f>IF(P46=0,0,P46/TrRoad_act!P49*100)</f>
        <v>9.7981281382766063</v>
      </c>
      <c r="Q79" s="96">
        <f>IF(Q46=0,0,Q46/TrRoad_act!Q49*100)</f>
        <v>9.9818804706909425</v>
      </c>
      <c r="R79" s="96">
        <f>IF(R46=0,0,R46/TrRoad_act!R49*100)</f>
        <v>9.8229306416960025</v>
      </c>
      <c r="S79" s="96">
        <f>IF(S46=0,0,S46/TrRoad_act!S49*100)</f>
        <v>9.6741133691482926</v>
      </c>
      <c r="T79" s="96">
        <f>IF(T46=0,0,T46/TrRoad_act!T49*100)</f>
        <v>9.5855380878145482</v>
      </c>
      <c r="U79" s="96">
        <f>IF(U46=0,0,U46/TrRoad_act!U49*100)</f>
        <v>9.4439868071780992</v>
      </c>
      <c r="V79" s="96">
        <f>IF(V46=0,0,V46/TrRoad_act!V49*100)</f>
        <v>9.3908522873672826</v>
      </c>
      <c r="W79" s="96">
        <f>IF(W46=0,0,W46/TrRoad_act!W49*100)</f>
        <v>9.4759291035371334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8.4290683634033261</v>
      </c>
      <c r="P80" s="96">
        <f>IF(P48=0,0,P48/TrRoad_act!P50*100)</f>
        <v>8.5019691552359831</v>
      </c>
      <c r="Q80" s="96">
        <f>IF(Q48=0,0,Q48/TrRoad_act!Q50*100)</f>
        <v>8.5019691552359866</v>
      </c>
      <c r="R80" s="96">
        <f>IF(R48=0,0,R48/TrRoad_act!R50*100)</f>
        <v>8.5019691552359831</v>
      </c>
      <c r="S80" s="96">
        <f>IF(S48=0,0,S48/TrRoad_act!S50*100)</f>
        <v>8.1275469621578988</v>
      </c>
      <c r="T80" s="96">
        <f>IF(T48=0,0,T48/TrRoad_act!T50*100)</f>
        <v>8.1275469621578988</v>
      </c>
      <c r="U80" s="96">
        <f>IF(U48=0,0,U48/TrRoad_act!U50*100)</f>
        <v>8.1275469621578988</v>
      </c>
      <c r="V80" s="96">
        <f>IF(V48=0,0,V48/TrRoad_act!V50*100)</f>
        <v>8.056323115806121</v>
      </c>
      <c r="W80" s="96">
        <f>IF(W48=0,0,W48/TrRoad_act!W50*100)</f>
        <v>8.056323115806121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1.6388013120689202</v>
      </c>
      <c r="N82" s="96">
        <f>IF(N51=0,0,N51/TrRoad_act!N52*100)</f>
        <v>1.6438387049244834</v>
      </c>
      <c r="O82" s="96">
        <f>IF(O51=0,0,O51/TrRoad_act!O52*100)</f>
        <v>1.6442732646588563</v>
      </c>
      <c r="P82" s="96">
        <f>IF(P51=0,0,P51/TrRoad_act!P52*100)</f>
        <v>1.6500146367965831</v>
      </c>
      <c r="Q82" s="96">
        <f>IF(Q51=0,0,Q51/TrRoad_act!Q52*100)</f>
        <v>1.6923606397622981</v>
      </c>
      <c r="R82" s="96">
        <f>IF(R51=0,0,R51/TrRoad_act!R52*100)</f>
        <v>1.7042089447062165</v>
      </c>
      <c r="S82" s="96">
        <f>IF(S51=0,0,S51/TrRoad_act!S52*100)</f>
        <v>1.734411265287704</v>
      </c>
      <c r="T82" s="96">
        <f>IF(T51=0,0,T51/TrRoad_act!T52*100)</f>
        <v>1.9265252151977437</v>
      </c>
      <c r="U82" s="96">
        <f>IF(U51=0,0,U51/TrRoad_act!U52*100)</f>
        <v>3.1237825488019335</v>
      </c>
      <c r="V82" s="96">
        <f>IF(V51=0,0,V51/TrRoad_act!V52*100)</f>
        <v>2.3734018932381815</v>
      </c>
      <c r="W82" s="96">
        <f>IF(W51=0,0,W51/TrRoad_act!W52*100)</f>
        <v>2.9004257748284861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45.462698640628304</v>
      </c>
      <c r="C83" s="130">
        <f>IF(C52=0,0,C52/TrRoad_act!C53*100)</f>
        <v>47.528592324376298</v>
      </c>
      <c r="D83" s="130">
        <f>IF(D52=0,0,D52/TrRoad_act!D53*100)</f>
        <v>43.12436974922246</v>
      </c>
      <c r="E83" s="130">
        <f>IF(E52=0,0,E52/TrRoad_act!E53*100)</f>
        <v>41.718085316025906</v>
      </c>
      <c r="F83" s="130">
        <f>IF(F52=0,0,F52/TrRoad_act!F53*100)</f>
        <v>41.702564594548313</v>
      </c>
      <c r="G83" s="130">
        <f>IF(G52=0,0,G52/TrRoad_act!G53*100)</f>
        <v>39.761130694319618</v>
      </c>
      <c r="H83" s="130">
        <f>IF(H52=0,0,H52/TrRoad_act!H53*100)</f>
        <v>41.24603358499148</v>
      </c>
      <c r="I83" s="130">
        <f>IF(I52=0,0,I52/TrRoad_act!I53*100)</f>
        <v>42.681345650951172</v>
      </c>
      <c r="J83" s="130">
        <f>IF(J52=0,0,J52/TrRoad_act!J53*100)</f>
        <v>38.807642602876214</v>
      </c>
      <c r="K83" s="130">
        <f>IF(K52=0,0,K52/TrRoad_act!K53*100)</f>
        <v>39.682135736606924</v>
      </c>
      <c r="L83" s="130">
        <f>IF(L52=0,0,L52/TrRoad_act!L53*100)</f>
        <v>35.384991282479973</v>
      </c>
      <c r="M83" s="130">
        <f>IF(M52=0,0,M52/TrRoad_act!M53*100)</f>
        <v>33.857919066499591</v>
      </c>
      <c r="N83" s="130">
        <f>IF(N52=0,0,N52/TrRoad_act!N53*100)</f>
        <v>34.087765763209362</v>
      </c>
      <c r="O83" s="130">
        <f>IF(O52=0,0,O52/TrRoad_act!O53*100)</f>
        <v>34.668218235258117</v>
      </c>
      <c r="P83" s="130">
        <f>IF(P52=0,0,P52/TrRoad_act!P53*100)</f>
        <v>36.762707761061968</v>
      </c>
      <c r="Q83" s="130">
        <f>IF(Q52=0,0,Q52/TrRoad_act!Q53*100)</f>
        <v>37.159550614055725</v>
      </c>
      <c r="R83" s="130">
        <f>IF(R52=0,0,R52/TrRoad_act!R53*100)</f>
        <v>36.464006881995267</v>
      </c>
      <c r="S83" s="130">
        <f>IF(S52=0,0,S52/TrRoad_act!S53*100)</f>
        <v>35.22719634983082</v>
      </c>
      <c r="T83" s="130">
        <f>IF(T52=0,0,T52/TrRoad_act!T53*100)</f>
        <v>36.067375103255308</v>
      </c>
      <c r="U83" s="130">
        <f>IF(U52=0,0,U52/TrRoad_act!U53*100)</f>
        <v>36.05998352804631</v>
      </c>
      <c r="V83" s="130">
        <f>IF(V52=0,0,V52/TrRoad_act!V53*100)</f>
        <v>34.315437474281211</v>
      </c>
      <c r="W83" s="130">
        <f>IF(W52=0,0,W52/TrRoad_act!W53*100)</f>
        <v>35.232697601838161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44.479655486630413</v>
      </c>
      <c r="C84" s="97">
        <f>IF(C53=0,0,C53/TrRoad_act!C54*100)</f>
        <v>46.458021725992957</v>
      </c>
      <c r="D84" s="97">
        <f>IF(D53=0,0,D53/TrRoad_act!D54*100)</f>
        <v>42.250110480071726</v>
      </c>
      <c r="E84" s="97">
        <f>IF(E53=0,0,E53/TrRoad_act!E54*100)</f>
        <v>40.907422269437255</v>
      </c>
      <c r="F84" s="97">
        <f>IF(F53=0,0,F53/TrRoad_act!F54*100)</f>
        <v>40.868207711513229</v>
      </c>
      <c r="G84" s="97">
        <f>IF(G53=0,0,G53/TrRoad_act!G54*100)</f>
        <v>39.015952335719312</v>
      </c>
      <c r="H84" s="97">
        <f>IF(H53=0,0,H53/TrRoad_act!H54*100)</f>
        <v>40.448092533771337</v>
      </c>
      <c r="I84" s="97">
        <f>IF(I53=0,0,I53/TrRoad_act!I54*100)</f>
        <v>41.8379409197508</v>
      </c>
      <c r="J84" s="97">
        <f>IF(J53=0,0,J53/TrRoad_act!J54*100)</f>
        <v>38.077595647717558</v>
      </c>
      <c r="K84" s="97">
        <f>IF(K53=0,0,K53/TrRoad_act!K54*100)</f>
        <v>38.787893101137243</v>
      </c>
      <c r="L84" s="97">
        <f>IF(L53=0,0,L53/TrRoad_act!L54*100)</f>
        <v>34.580005425519111</v>
      </c>
      <c r="M84" s="97">
        <f>IF(M53=0,0,M53/TrRoad_act!M54*100)</f>
        <v>33.008859422610136</v>
      </c>
      <c r="N84" s="97">
        <f>IF(N53=0,0,N53/TrRoad_act!N54*100)</f>
        <v>33.305754387417416</v>
      </c>
      <c r="O84" s="97">
        <f>IF(O53=0,0,O53/TrRoad_act!O54*100)</f>
        <v>33.899176716141646</v>
      </c>
      <c r="P84" s="97">
        <f>IF(P53=0,0,P53/TrRoad_act!P54*100)</f>
        <v>35.959520744259478</v>
      </c>
      <c r="Q84" s="97">
        <f>IF(Q53=0,0,Q53/TrRoad_act!Q54*100)</f>
        <v>36.262063717562029</v>
      </c>
      <c r="R84" s="97">
        <f>IF(R53=0,0,R53/TrRoad_act!R54*100)</f>
        <v>35.732482924123516</v>
      </c>
      <c r="S84" s="97">
        <f>IF(S53=0,0,S53/TrRoad_act!S54*100)</f>
        <v>34.545208882333036</v>
      </c>
      <c r="T84" s="97">
        <f>IF(T53=0,0,T53/TrRoad_act!T54*100)</f>
        <v>35.316972849002312</v>
      </c>
      <c r="U84" s="97">
        <f>IF(U53=0,0,U53/TrRoad_act!U54*100)</f>
        <v>35.265702246618083</v>
      </c>
      <c r="V84" s="97">
        <f>IF(V53=0,0,V53/TrRoad_act!V54*100)</f>
        <v>33.961861297960624</v>
      </c>
      <c r="W84" s="97">
        <f>IF(W53=0,0,W53/TrRoad_act!W54*100)</f>
        <v>34.882829506767727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67.299278748535031</v>
      </c>
      <c r="C85" s="98">
        <f>IF(C55=0,0,C55/TrRoad_act!C55*100)</f>
        <v>70.156997612526041</v>
      </c>
      <c r="D85" s="98">
        <f>IF(D55=0,0,D55/TrRoad_act!D55*100)</f>
        <v>63.203335091859536</v>
      </c>
      <c r="E85" s="98">
        <f>IF(E55=0,0,E55/TrRoad_act!E55*100)</f>
        <v>60.944865878407327</v>
      </c>
      <c r="F85" s="98">
        <f>IF(F55=0,0,F55/TrRoad_act!F55*100)</f>
        <v>60.027934038342821</v>
      </c>
      <c r="G85" s="98">
        <f>IF(G55=0,0,G55/TrRoad_act!G55*100)</f>
        <v>56.994044964147939</v>
      </c>
      <c r="H85" s="98">
        <f>IF(H55=0,0,H55/TrRoad_act!H55*100)</f>
        <v>59.13097546310523</v>
      </c>
      <c r="I85" s="98">
        <f>IF(I55=0,0,I55/TrRoad_act!I55*100)</f>
        <v>61.052707640232065</v>
      </c>
      <c r="J85" s="98">
        <f>IF(J55=0,0,J55/TrRoad_act!J55*100)</f>
        <v>55.44589547209393</v>
      </c>
      <c r="K85" s="98">
        <f>IF(K55=0,0,K55/TrRoad_act!K55*100)</f>
        <v>56.121618179152513</v>
      </c>
      <c r="L85" s="98">
        <f>IF(L55=0,0,L55/TrRoad_act!L55*100)</f>
        <v>49.218273184612578</v>
      </c>
      <c r="M85" s="98">
        <f>IF(M55=0,0,M55/TrRoad_act!M55*100)</f>
        <v>46.452958794355943</v>
      </c>
      <c r="N85" s="98">
        <f>IF(N55=0,0,N55/TrRoad_act!N55*100)</f>
        <v>46.781070786565927</v>
      </c>
      <c r="O85" s="98">
        <f>IF(O55=0,0,O55/TrRoad_act!O55*100)</f>
        <v>47.554555435919589</v>
      </c>
      <c r="P85" s="98">
        <f>IF(P55=0,0,P55/TrRoad_act!P55*100)</f>
        <v>50.84916368898962</v>
      </c>
      <c r="Q85" s="98">
        <f>IF(Q55=0,0,Q55/TrRoad_act!Q55*100)</f>
        <v>51.105585256572326</v>
      </c>
      <c r="R85" s="98">
        <f>IF(R55=0,0,R55/TrRoad_act!R55*100)</f>
        <v>50.879946076818513</v>
      </c>
      <c r="S85" s="98">
        <f>IF(S55=0,0,S55/TrRoad_act!S55*100)</f>
        <v>49.23185857954325</v>
      </c>
      <c r="T85" s="98">
        <f>IF(T55=0,0,T55/TrRoad_act!T55*100)</f>
        <v>50.297888695490691</v>
      </c>
      <c r="U85" s="98">
        <f>IF(U55=0,0,U55/TrRoad_act!U55*100)</f>
        <v>50.047414485691313</v>
      </c>
      <c r="V85" s="98">
        <f>IF(V55=0,0,V55/TrRoad_act!V55*100)</f>
        <v>49.389087101485906</v>
      </c>
      <c r="W85" s="98">
        <f>IF(W55=0,0,W55/TrRoad_act!W55*100)</f>
        <v>51.314830265351375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50.300236940790477</v>
      </c>
      <c r="C88" s="29">
        <f>IF(TrRoad_act!C4=0,0,C18/TrRoad_act!C4*1000)</f>
        <v>49.624609652123709</v>
      </c>
      <c r="D88" s="29">
        <f>IF(TrRoad_act!D4=0,0,D18/TrRoad_act!D4*1000)</f>
        <v>48.541085462083132</v>
      </c>
      <c r="E88" s="29">
        <f>IF(TrRoad_act!E4=0,0,E18/TrRoad_act!E4*1000)</f>
        <v>46.346681270515766</v>
      </c>
      <c r="F88" s="29">
        <f>IF(TrRoad_act!F4=0,0,F18/TrRoad_act!F4*1000)</f>
        <v>45.351387393136719</v>
      </c>
      <c r="G88" s="29">
        <f>IF(TrRoad_act!G4=0,0,G18/TrRoad_act!G4*1000)</f>
        <v>46.826800851914072</v>
      </c>
      <c r="H88" s="29">
        <f>IF(TrRoad_act!H4=0,0,H18/TrRoad_act!H4*1000)</f>
        <v>50.449789832702294</v>
      </c>
      <c r="I88" s="29">
        <f>IF(TrRoad_act!I4=0,0,I18/TrRoad_act!I4*1000)</f>
        <v>48.629169226147596</v>
      </c>
      <c r="J88" s="29">
        <f>IF(TrRoad_act!J4=0,0,J18/TrRoad_act!J4*1000)</f>
        <v>47.26600490500882</v>
      </c>
      <c r="K88" s="29">
        <f>IF(TrRoad_act!K4=0,0,K18/TrRoad_act!K4*1000)</f>
        <v>46.094517338247478</v>
      </c>
      <c r="L88" s="29">
        <f>IF(TrRoad_act!L4=0,0,L18/TrRoad_act!L4*1000)</f>
        <v>45.234635922955242</v>
      </c>
      <c r="M88" s="29">
        <f>IF(TrRoad_act!M4=0,0,M18/TrRoad_act!M4*1000)</f>
        <v>44.055456365688812</v>
      </c>
      <c r="N88" s="29">
        <f>IF(TrRoad_act!N4=0,0,N18/TrRoad_act!N4*1000)</f>
        <v>44.185138819448021</v>
      </c>
      <c r="O88" s="29">
        <f>IF(TrRoad_act!O4=0,0,O18/TrRoad_act!O4*1000)</f>
        <v>43.968821416182855</v>
      </c>
      <c r="P88" s="29">
        <f>IF(TrRoad_act!P4=0,0,P18/TrRoad_act!P4*1000)</f>
        <v>46.389589397972095</v>
      </c>
      <c r="Q88" s="29">
        <f>IF(TrRoad_act!Q4=0,0,Q18/TrRoad_act!Q4*1000)</f>
        <v>43.838053528478596</v>
      </c>
      <c r="R88" s="29">
        <f>IF(TrRoad_act!R4=0,0,R18/TrRoad_act!R4*1000)</f>
        <v>43.438797900819026</v>
      </c>
      <c r="S88" s="29">
        <f>IF(TrRoad_act!S4=0,0,S18/TrRoad_act!S4*1000)</f>
        <v>41.737594567194606</v>
      </c>
      <c r="T88" s="29">
        <f>IF(TrRoad_act!T4=0,0,T18/TrRoad_act!T4*1000)</f>
        <v>40.955559346560861</v>
      </c>
      <c r="U88" s="29">
        <f>IF(TrRoad_act!U4=0,0,U18/TrRoad_act!U4*1000)</f>
        <v>39.818794562842655</v>
      </c>
      <c r="V88" s="29">
        <f>IF(TrRoad_act!V4=0,0,V18/TrRoad_act!V4*1000)</f>
        <v>38.985522288499915</v>
      </c>
      <c r="W88" s="29">
        <f>IF(TrRoad_act!W4=0,0,W18/TrRoad_act!W4*1000)</f>
        <v>38.472666556114255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36.644181945187434</v>
      </c>
      <c r="C89" s="152">
        <f>IF(TrRoad_act!C5=0,0,C19/TrRoad_act!C5*1000)</f>
        <v>36.115858427844067</v>
      </c>
      <c r="D89" s="152">
        <f>IF(TrRoad_act!D5=0,0,D19/TrRoad_act!D5*1000)</f>
        <v>35.426572966967179</v>
      </c>
      <c r="E89" s="152">
        <f>IF(TrRoad_act!E5=0,0,E19/TrRoad_act!E5*1000)</f>
        <v>35.215743698045245</v>
      </c>
      <c r="F89" s="152">
        <f>IF(TrRoad_act!F5=0,0,F19/TrRoad_act!F5*1000)</f>
        <v>34.957623086750729</v>
      </c>
      <c r="G89" s="152">
        <f>IF(TrRoad_act!G5=0,0,G19/TrRoad_act!G5*1000)</f>
        <v>34.744780343490191</v>
      </c>
      <c r="H89" s="152">
        <f>IF(TrRoad_act!H5=0,0,H19/TrRoad_act!H5*1000)</f>
        <v>34.515888950581953</v>
      </c>
      <c r="I89" s="152">
        <f>IF(TrRoad_act!I5=0,0,I19/TrRoad_act!I5*1000)</f>
        <v>34.443615088446499</v>
      </c>
      <c r="J89" s="152">
        <f>IF(TrRoad_act!J5=0,0,J19/TrRoad_act!J5*1000)</f>
        <v>34.342504066127127</v>
      </c>
      <c r="K89" s="152">
        <f>IF(TrRoad_act!K5=0,0,K19/TrRoad_act!K5*1000)</f>
        <v>34.176621039538539</v>
      </c>
      <c r="L89" s="152">
        <f>IF(TrRoad_act!L5=0,0,L19/TrRoad_act!L5*1000)</f>
        <v>33.961156522243435</v>
      </c>
      <c r="M89" s="152">
        <f>IF(TrRoad_act!M5=0,0,M19/TrRoad_act!M5*1000)</f>
        <v>33.715130244795276</v>
      </c>
      <c r="N89" s="152">
        <f>IF(TrRoad_act!N5=0,0,N19/TrRoad_act!N5*1000)</f>
        <v>33.874626512567808</v>
      </c>
      <c r="O89" s="152">
        <f>IF(TrRoad_act!O5=0,0,O19/TrRoad_act!O5*1000)</f>
        <v>33.413421101265378</v>
      </c>
      <c r="P89" s="152">
        <f>IF(TrRoad_act!P5=0,0,P19/TrRoad_act!P5*1000)</f>
        <v>33.18431740163583</v>
      </c>
      <c r="Q89" s="152">
        <f>IF(TrRoad_act!Q5=0,0,Q19/TrRoad_act!Q5*1000)</f>
        <v>32.784718784493457</v>
      </c>
      <c r="R89" s="152">
        <f>IF(TrRoad_act!R5=0,0,R19/TrRoad_act!R5*1000)</f>
        <v>32.488673333275784</v>
      </c>
      <c r="S89" s="152">
        <f>IF(TrRoad_act!S5=0,0,S19/TrRoad_act!S5*1000)</f>
        <v>32.108695325286284</v>
      </c>
      <c r="T89" s="152">
        <f>IF(TrRoad_act!T5=0,0,T19/TrRoad_act!T5*1000)</f>
        <v>31.937067616226887</v>
      </c>
      <c r="U89" s="152">
        <f>IF(TrRoad_act!U5=0,0,U19/TrRoad_act!U5*1000)</f>
        <v>31.619267058686034</v>
      </c>
      <c r="V89" s="152">
        <f>IF(TrRoad_act!V5=0,0,V19/TrRoad_act!V5*1000)</f>
        <v>31.481089407457489</v>
      </c>
      <c r="W89" s="152">
        <f>IF(TrRoad_act!W5=0,0,W19/TrRoad_act!W5*1000)</f>
        <v>29.0544153142421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56.733665386657265</v>
      </c>
      <c r="C90" s="116">
        <f>IF(TrRoad_act!C6=0,0,C21/TrRoad_act!C6*1000)</f>
        <v>56.097657149148574</v>
      </c>
      <c r="D90" s="116">
        <f>IF(TrRoad_act!D6=0,0,D21/TrRoad_act!D6*1000)</f>
        <v>54.528609004701437</v>
      </c>
      <c r="E90" s="116">
        <f>IF(TrRoad_act!E6=0,0,E21/TrRoad_act!E6*1000)</f>
        <v>51.783324072223962</v>
      </c>
      <c r="F90" s="116">
        <f>IF(TrRoad_act!F6=0,0,F21/TrRoad_act!F6*1000)</f>
        <v>50.520810234088664</v>
      </c>
      <c r="G90" s="116">
        <f>IF(TrRoad_act!G6=0,0,G21/TrRoad_act!G6*1000)</f>
        <v>52.016163774510694</v>
      </c>
      <c r="H90" s="116">
        <f>IF(TrRoad_act!H6=0,0,H21/TrRoad_act!H6*1000)</f>
        <v>56.006716353275806</v>
      </c>
      <c r="I90" s="116">
        <f>IF(TrRoad_act!I6=0,0,I21/TrRoad_act!I6*1000)</f>
        <v>53.714741330086753</v>
      </c>
      <c r="J90" s="116">
        <f>IF(TrRoad_act!J6=0,0,J21/TrRoad_act!J6*1000)</f>
        <v>52.054336729405691</v>
      </c>
      <c r="K90" s="116">
        <f>IF(TrRoad_act!K6=0,0,K21/TrRoad_act!K6*1000)</f>
        <v>51.068291844946302</v>
      </c>
      <c r="L90" s="116">
        <f>IF(TrRoad_act!L6=0,0,L21/TrRoad_act!L6*1000)</f>
        <v>49.747178470891427</v>
      </c>
      <c r="M90" s="116">
        <f>IF(TrRoad_act!M6=0,0,M21/TrRoad_act!M6*1000)</f>
        <v>48.428160272677388</v>
      </c>
      <c r="N90" s="116">
        <f>IF(TrRoad_act!N6=0,0,N21/TrRoad_act!N6*1000)</f>
        <v>48.456197247711053</v>
      </c>
      <c r="O90" s="116">
        <f>IF(TrRoad_act!O6=0,0,O21/TrRoad_act!O6*1000)</f>
        <v>48.092317081518004</v>
      </c>
      <c r="P90" s="116">
        <f>IF(TrRoad_act!P6=0,0,P21/TrRoad_act!P6*1000)</f>
        <v>51.210359464035811</v>
      </c>
      <c r="Q90" s="116">
        <f>IF(TrRoad_act!Q6=0,0,Q21/TrRoad_act!Q6*1000)</f>
        <v>47.786868212144469</v>
      </c>
      <c r="R90" s="116">
        <f>IF(TrRoad_act!R6=0,0,R21/TrRoad_act!R6*1000)</f>
        <v>47.289324250470663</v>
      </c>
      <c r="S90" s="116">
        <f>IF(TrRoad_act!S6=0,0,S21/TrRoad_act!S6*1000)</f>
        <v>45.504441726957246</v>
      </c>
      <c r="T90" s="116">
        <f>IF(TrRoad_act!T6=0,0,T21/TrRoad_act!T6*1000)</f>
        <v>44.769384632359639</v>
      </c>
      <c r="U90" s="116">
        <f>IF(TrRoad_act!U6=0,0,U21/TrRoad_act!U6*1000)</f>
        <v>43.366316593709641</v>
      </c>
      <c r="V90" s="116">
        <f>IF(TrRoad_act!V6=0,0,V21/TrRoad_act!V6*1000)</f>
        <v>41.095508257241264</v>
      </c>
      <c r="W90" s="116">
        <f>IF(TrRoad_act!W6=0,0,W21/TrRoad_act!W6*1000)</f>
        <v>40.943527239923434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53.364431731844256</v>
      </c>
      <c r="C91" s="87">
        <f>IF(TrRoad_act!C7=0,0,C22/TrRoad_act!C7*1000)</f>
        <v>52.530987607950273</v>
      </c>
      <c r="D91" s="87">
        <f>IF(TrRoad_act!D7=0,0,D22/TrRoad_act!D7*1000)</f>
        <v>51.975770813067633</v>
      </c>
      <c r="E91" s="87">
        <f>IF(TrRoad_act!E7=0,0,E22/TrRoad_act!E7*1000)</f>
        <v>49.375506273424286</v>
      </c>
      <c r="F91" s="87">
        <f>IF(TrRoad_act!F7=0,0,F22/TrRoad_act!F7*1000)</f>
        <v>48.18597575626535</v>
      </c>
      <c r="G91" s="87">
        <f>IF(TrRoad_act!G7=0,0,G22/TrRoad_act!G7*1000)</f>
        <v>50.119286060759123</v>
      </c>
      <c r="H91" s="87">
        <f>IF(TrRoad_act!H7=0,0,H22/TrRoad_act!H7*1000)</f>
        <v>53.322794188262023</v>
      </c>
      <c r="I91" s="87">
        <f>IF(TrRoad_act!I7=0,0,I22/TrRoad_act!I7*1000)</f>
        <v>50.360450498613453</v>
      </c>
      <c r="J91" s="87">
        <f>IF(TrRoad_act!J7=0,0,J22/TrRoad_act!J7*1000)</f>
        <v>48.682897661348527</v>
      </c>
      <c r="K91" s="87">
        <f>IF(TrRoad_act!K7=0,0,K22/TrRoad_act!K7*1000)</f>
        <v>46.576841540853813</v>
      </c>
      <c r="L91" s="87">
        <f>IF(TrRoad_act!L7=0,0,L22/TrRoad_act!L7*1000)</f>
        <v>46.923692671554505</v>
      </c>
      <c r="M91" s="87">
        <f>IF(TrRoad_act!M7=0,0,M22/TrRoad_act!M7*1000)</f>
        <v>46.065020983535867</v>
      </c>
      <c r="N91" s="87">
        <f>IF(TrRoad_act!N7=0,0,N22/TrRoad_act!N7*1000)</f>
        <v>46.481855621341502</v>
      </c>
      <c r="O91" s="87">
        <f>IF(TrRoad_act!O7=0,0,O22/TrRoad_act!O7*1000)</f>
        <v>45.081786615735219</v>
      </c>
      <c r="P91" s="87">
        <f>IF(TrRoad_act!P7=0,0,P22/TrRoad_act!P7*1000)</f>
        <v>48.136728611306886</v>
      </c>
      <c r="Q91" s="87">
        <f>IF(TrRoad_act!Q7=0,0,Q22/TrRoad_act!Q7*1000)</f>
        <v>42.252694657751348</v>
      </c>
      <c r="R91" s="87">
        <f>IF(TrRoad_act!R7=0,0,R22/TrRoad_act!R7*1000)</f>
        <v>43.471503341433099</v>
      </c>
      <c r="S91" s="87">
        <f>IF(TrRoad_act!S7=0,0,S22/TrRoad_act!S7*1000)</f>
        <v>41.450797311154396</v>
      </c>
      <c r="T91" s="87">
        <f>IF(TrRoad_act!T7=0,0,T22/TrRoad_act!T7*1000)</f>
        <v>39.683369368378393</v>
      </c>
      <c r="U91" s="87">
        <f>IF(TrRoad_act!U7=0,0,U22/TrRoad_act!U7*1000)</f>
        <v>38.094595871033526</v>
      </c>
      <c r="V91" s="87">
        <f>IF(TrRoad_act!V7=0,0,V22/TrRoad_act!V7*1000)</f>
        <v>35.41715570726798</v>
      </c>
      <c r="W91" s="87">
        <f>IF(TrRoad_act!W7=0,0,W22/TrRoad_act!W7*1000)</f>
        <v>35.834222464127635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76.889399795451581</v>
      </c>
      <c r="C92" s="87">
        <f>IF(TrRoad_act!C8=0,0,C24/TrRoad_act!C8*1000)</f>
        <v>77.695611301365958</v>
      </c>
      <c r="D92" s="87">
        <f>IF(TrRoad_act!D8=0,0,D24/TrRoad_act!D8*1000)</f>
        <v>69.632781442125619</v>
      </c>
      <c r="E92" s="87">
        <f>IF(TrRoad_act!E8=0,0,E24/TrRoad_act!E8*1000)</f>
        <v>65.485633915156683</v>
      </c>
      <c r="F92" s="87">
        <f>IF(TrRoad_act!F8=0,0,F24/TrRoad_act!F8*1000)</f>
        <v>62.784727791093829</v>
      </c>
      <c r="G92" s="87">
        <f>IF(TrRoad_act!G8=0,0,G24/TrRoad_act!G8*1000)</f>
        <v>60.39821622718739</v>
      </c>
      <c r="H92" s="87">
        <f>IF(TrRoad_act!H8=0,0,H24/TrRoad_act!H8*1000)</f>
        <v>67.451023722701805</v>
      </c>
      <c r="I92" s="87">
        <f>IF(TrRoad_act!I8=0,0,I24/TrRoad_act!I8*1000)</f>
        <v>67.21350072159008</v>
      </c>
      <c r="J92" s="87">
        <f>IF(TrRoad_act!J8=0,0,J24/TrRoad_act!J8*1000)</f>
        <v>63.164045085345414</v>
      </c>
      <c r="K92" s="87">
        <f>IF(TrRoad_act!K8=0,0,K24/TrRoad_act!K8*1000)</f>
        <v>63.258071244001677</v>
      </c>
      <c r="L92" s="87">
        <f>IF(TrRoad_act!L8=0,0,L24/TrRoad_act!L8*1000)</f>
        <v>55.941394045714617</v>
      </c>
      <c r="M92" s="87">
        <f>IF(TrRoad_act!M8=0,0,M24/TrRoad_act!M8*1000)</f>
        <v>52.468119590644328</v>
      </c>
      <c r="N92" s="87">
        <f>IF(TrRoad_act!N8=0,0,N24/TrRoad_act!N8*1000)</f>
        <v>51.48268650588124</v>
      </c>
      <c r="O92" s="87">
        <f>IF(TrRoad_act!O8=0,0,O24/TrRoad_act!O8*1000)</f>
        <v>51.90352696423782</v>
      </c>
      <c r="P92" s="87">
        <f>IF(TrRoad_act!P8=0,0,P24/TrRoad_act!P8*1000)</f>
        <v>54.681079057023524</v>
      </c>
      <c r="Q92" s="87">
        <f>IF(TrRoad_act!Q8=0,0,Q24/TrRoad_act!Q8*1000)</f>
        <v>52.809462582163214</v>
      </c>
      <c r="R92" s="87">
        <f>IF(TrRoad_act!R8=0,0,R24/TrRoad_act!R8*1000)</f>
        <v>50.205855502749202</v>
      </c>
      <c r="S92" s="87">
        <f>IF(TrRoad_act!S8=0,0,S24/TrRoad_act!S8*1000)</f>
        <v>48.22903221313846</v>
      </c>
      <c r="T92" s="87">
        <f>IF(TrRoad_act!T8=0,0,T24/TrRoad_act!T8*1000)</f>
        <v>47.915070595702929</v>
      </c>
      <c r="U92" s="87">
        <f>IF(TrRoad_act!U8=0,0,U24/TrRoad_act!U8*1000)</f>
        <v>46.514207136868038</v>
      </c>
      <c r="V92" s="87">
        <f>IF(TrRoad_act!V8=0,0,V24/TrRoad_act!V8*1000)</f>
        <v>44.172312727778824</v>
      </c>
      <c r="W92" s="87">
        <f>IF(TrRoad_act!W8=0,0,W24/TrRoad_act!W8*1000)</f>
        <v>44.03740798738724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53.479863308204628</v>
      </c>
      <c r="C93" s="87">
        <f>IF(TrRoad_act!C9=0,0,C26/TrRoad_act!C9*1000)</f>
        <v>51.782683745926711</v>
      </c>
      <c r="D93" s="87">
        <f>IF(TrRoad_act!D9=0,0,D26/TrRoad_act!D9*1000)</f>
        <v>53.05455483292846</v>
      </c>
      <c r="E93" s="87">
        <f>IF(TrRoad_act!E9=0,0,E26/TrRoad_act!E9*1000)</f>
        <v>53.317231363609494</v>
      </c>
      <c r="F93" s="87">
        <f>IF(TrRoad_act!F9=0,0,F26/TrRoad_act!F9*1000)</f>
        <v>48.706314688450597</v>
      </c>
      <c r="G93" s="87">
        <f>IF(TrRoad_act!G9=0,0,G26/TrRoad_act!G9*1000)</f>
        <v>49.390780101929231</v>
      </c>
      <c r="H93" s="87">
        <f>IF(TrRoad_act!H9=0,0,H26/TrRoad_act!H9*1000)</f>
        <v>52.474726127591602</v>
      </c>
      <c r="I93" s="87">
        <f>IF(TrRoad_act!I9=0,0,I26/TrRoad_act!I9*1000)</f>
        <v>50.330313555115097</v>
      </c>
      <c r="J93" s="87">
        <f>IF(TrRoad_act!J9=0,0,J26/TrRoad_act!J9*1000)</f>
        <v>53.293201623997838</v>
      </c>
      <c r="K93" s="87">
        <f>IF(TrRoad_act!K9=0,0,K26/TrRoad_act!K9*1000)</f>
        <v>48.917165519055153</v>
      </c>
      <c r="L93" s="87">
        <f>IF(TrRoad_act!L9=0,0,L26/TrRoad_act!L9*1000)</f>
        <v>49.339193621656385</v>
      </c>
      <c r="M93" s="87">
        <f>IF(TrRoad_act!M9=0,0,M26/TrRoad_act!M9*1000)</f>
        <v>48.002616199466082</v>
      </c>
      <c r="N93" s="87">
        <f>IF(TrRoad_act!N9=0,0,N26/TrRoad_act!N9*1000)</f>
        <v>47.335536443786737</v>
      </c>
      <c r="O93" s="87">
        <f>IF(TrRoad_act!O9=0,0,O26/TrRoad_act!O9*1000)</f>
        <v>45.355477433388806</v>
      </c>
      <c r="P93" s="87">
        <f>IF(TrRoad_act!P9=0,0,P26/TrRoad_act!P9*1000)</f>
        <v>43.382055038676832</v>
      </c>
      <c r="Q93" s="87">
        <f>IF(TrRoad_act!Q9=0,0,Q26/TrRoad_act!Q9*1000)</f>
        <v>44.186021988555531</v>
      </c>
      <c r="R93" s="87">
        <f>IF(TrRoad_act!R9=0,0,R26/TrRoad_act!R9*1000)</f>
        <v>44.518362576440154</v>
      </c>
      <c r="S93" s="87">
        <f>IF(TrRoad_act!S9=0,0,S26/TrRoad_act!S9*1000)</f>
        <v>44.987000920514525</v>
      </c>
      <c r="T93" s="87">
        <f>IF(TrRoad_act!T9=0,0,T26/TrRoad_act!T9*1000)</f>
        <v>42.857039318736227</v>
      </c>
      <c r="U93" s="87">
        <f>IF(TrRoad_act!U9=0,0,U26/TrRoad_act!U9*1000)</f>
        <v>42.083574920345299</v>
      </c>
      <c r="V93" s="87">
        <f>IF(TrRoad_act!V9=0,0,V26/TrRoad_act!V9*1000)</f>
        <v>34.360743189963401</v>
      </c>
      <c r="W93" s="87">
        <f>IF(TrRoad_act!W9=0,0,W26/TrRoad_act!W9*1000)</f>
        <v>34.926813645441669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28.064784327485174</v>
      </c>
      <c r="P95" s="87">
        <f>IF(TrRoad_act!P11=0,0,P29/TrRoad_act!P11*1000)</f>
        <v>21.214742988400424</v>
      </c>
      <c r="Q95" s="87">
        <f>IF(TrRoad_act!Q11=0,0,Q29/TrRoad_act!Q11*1000)</f>
        <v>20.330240400373384</v>
      </c>
      <c r="R95" s="87">
        <f>IF(TrRoad_act!R11=0,0,R29/TrRoad_act!R11*1000)</f>
        <v>20.779230326792664</v>
      </c>
      <c r="S95" s="87">
        <f>IF(TrRoad_act!S11=0,0,S29/TrRoad_act!S11*1000)</f>
        <v>20.409712674333687</v>
      </c>
      <c r="T95" s="87">
        <f>IF(TrRoad_act!T11=0,0,T29/TrRoad_act!T11*1000)</f>
        <v>20.359146572164338</v>
      </c>
      <c r="U95" s="87">
        <f>IF(TrRoad_act!U11=0,0,U29/TrRoad_act!U11*1000)</f>
        <v>20.886003201513368</v>
      </c>
      <c r="V95" s="87">
        <f>IF(TrRoad_act!V11=0,0,V29/TrRoad_act!V11*1000)</f>
        <v>19.466677603423342</v>
      </c>
      <c r="W95" s="87">
        <f>IF(TrRoad_act!W11=0,0,W29/TrRoad_act!W11*1000)</f>
        <v>20.254054615854759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11.384502571825966</v>
      </c>
      <c r="L96" s="87">
        <f>IF(TrRoad_act!L12=0,0,L32/TrRoad_act!L12*1000)</f>
        <v>11.366236639355535</v>
      </c>
      <c r="M96" s="87">
        <f>IF(TrRoad_act!M12=0,0,M32/TrRoad_act!M12*1000)</f>
        <v>11.331630996072581</v>
      </c>
      <c r="N96" s="87">
        <f>IF(TrRoad_act!N12=0,0,N32/TrRoad_act!N12*1000)</f>
        <v>10.34846943398782</v>
      </c>
      <c r="O96" s="87">
        <f>IF(TrRoad_act!O12=0,0,O32/TrRoad_act!O12*1000)</f>
        <v>10.41870589819565</v>
      </c>
      <c r="P96" s="87">
        <f>IF(TrRoad_act!P12=0,0,P32/TrRoad_act!P12*1000)</f>
        <v>10.952419073434582</v>
      </c>
      <c r="Q96" s="87">
        <f>IF(TrRoad_act!Q12=0,0,Q32/TrRoad_act!Q12*1000)</f>
        <v>10.90644348745359</v>
      </c>
      <c r="R96" s="87">
        <f>IF(TrRoad_act!R12=0,0,R32/TrRoad_act!R12*1000)</f>
        <v>10.30869474421997</v>
      </c>
      <c r="S96" s="87">
        <f>IF(TrRoad_act!S12=0,0,S32/TrRoad_act!S12*1000)</f>
        <v>10.175110684178923</v>
      </c>
      <c r="T96" s="87">
        <f>IF(TrRoad_act!T12=0,0,T32/TrRoad_act!T12*1000)</f>
        <v>10.346042066244591</v>
      </c>
      <c r="U96" s="87">
        <f>IF(TrRoad_act!U12=0,0,U32/TrRoad_act!U12*1000)</f>
        <v>10.88949724875274</v>
      </c>
      <c r="V96" s="87">
        <f>IF(TrRoad_act!V12=0,0,V32/TrRoad_act!V12*1000)</f>
        <v>11.538792927033235</v>
      </c>
      <c r="W96" s="87">
        <f>IF(TrRoad_act!W12=0,0,W32/TrRoad_act!W12*1000)</f>
        <v>11.385445751622504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18.560294497781495</v>
      </c>
      <c r="C97" s="116">
        <f>IF(TrRoad_act!C13=0,0,C33/TrRoad_act!C13*1000)</f>
        <v>17.490187102493639</v>
      </c>
      <c r="D97" s="116">
        <f>IF(TrRoad_act!D13=0,0,D33/TrRoad_act!D13*1000)</f>
        <v>17.621298582151173</v>
      </c>
      <c r="E97" s="116">
        <f>IF(TrRoad_act!E13=0,0,E33/TrRoad_act!E13*1000)</f>
        <v>17.726434793569219</v>
      </c>
      <c r="F97" s="116">
        <f>IF(TrRoad_act!F13=0,0,F33/TrRoad_act!F13*1000)</f>
        <v>17.497524473855304</v>
      </c>
      <c r="G97" s="116">
        <f>IF(TrRoad_act!G13=0,0,G33/TrRoad_act!G13*1000)</f>
        <v>17.983442171785267</v>
      </c>
      <c r="H97" s="116">
        <f>IF(TrRoad_act!H13=0,0,H33/TrRoad_act!H13*1000)</f>
        <v>18.923798567374188</v>
      </c>
      <c r="I97" s="116">
        <f>IF(TrRoad_act!I13=0,0,I33/TrRoad_act!I13*1000)</f>
        <v>19.511652444162895</v>
      </c>
      <c r="J97" s="116">
        <f>IF(TrRoad_act!J13=0,0,J33/TrRoad_act!J13*1000)</f>
        <v>20.210107648717038</v>
      </c>
      <c r="K97" s="116">
        <f>IF(TrRoad_act!K13=0,0,K33/TrRoad_act!K13*1000)</f>
        <v>19.15479859990101</v>
      </c>
      <c r="L97" s="116">
        <f>IF(TrRoad_act!L13=0,0,L33/TrRoad_act!L13*1000)</f>
        <v>19.77377921092631</v>
      </c>
      <c r="M97" s="116">
        <f>IF(TrRoad_act!M13=0,0,M33/TrRoad_act!M13*1000)</f>
        <v>19.445437296379033</v>
      </c>
      <c r="N97" s="116">
        <f>IF(TrRoad_act!N13=0,0,N33/TrRoad_act!N13*1000)</f>
        <v>19.770969054305471</v>
      </c>
      <c r="O97" s="116">
        <f>IF(TrRoad_act!O13=0,0,O33/TrRoad_act!O13*1000)</f>
        <v>19.758356727816057</v>
      </c>
      <c r="P97" s="116">
        <f>IF(TrRoad_act!P13=0,0,P33/TrRoad_act!P13*1000)</f>
        <v>19.535262732300254</v>
      </c>
      <c r="Q97" s="116">
        <f>IF(TrRoad_act!Q13=0,0,Q33/TrRoad_act!Q13*1000)</f>
        <v>19.92499954937859</v>
      </c>
      <c r="R97" s="116">
        <f>IF(TrRoad_act!R13=0,0,R33/TrRoad_act!R13*1000)</f>
        <v>19.992556524053871</v>
      </c>
      <c r="S97" s="116">
        <f>IF(TrRoad_act!S13=0,0,S33/TrRoad_act!S13*1000)</f>
        <v>20.168220728331274</v>
      </c>
      <c r="T97" s="116">
        <f>IF(TrRoad_act!T13=0,0,T33/TrRoad_act!T13*1000)</f>
        <v>20.294283249920408</v>
      </c>
      <c r="U97" s="116">
        <f>IF(TrRoad_act!U13=0,0,U33/TrRoad_act!U13*1000)</f>
        <v>20.380046432044164</v>
      </c>
      <c r="V97" s="116">
        <f>IF(TrRoad_act!V13=0,0,V33/TrRoad_act!V13*1000)</f>
        <v>24.550790149284619</v>
      </c>
      <c r="W97" s="116">
        <f>IF(TrRoad_act!W13=0,0,W33/TrRoad_act!W13*1000)</f>
        <v>22.273566872832937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14.618548556320896</v>
      </c>
      <c r="C98" s="101">
        <f>IF(TrRoad_act!C14=0,0,C34/TrRoad_act!C14*1000)</f>
        <v>14.593096464306408</v>
      </c>
      <c r="D98" s="101">
        <f>IF(TrRoad_act!D14=0,0,D34/TrRoad_act!D14*1000)</f>
        <v>14.92518661949943</v>
      </c>
      <c r="E98" s="101">
        <f>IF(TrRoad_act!E14=0,0,E34/TrRoad_act!E14*1000)</f>
        <v>15.261491241201295</v>
      </c>
      <c r="F98" s="101">
        <f>IF(TrRoad_act!F14=0,0,F34/TrRoad_act!F14*1000)</f>
        <v>15.238445231516723</v>
      </c>
      <c r="G98" s="101">
        <f>IF(TrRoad_act!G14=0,0,G34/TrRoad_act!G14*1000)</f>
        <v>15.803117407817535</v>
      </c>
      <c r="H98" s="101">
        <f>IF(TrRoad_act!H14=0,0,H34/TrRoad_act!H14*1000)</f>
        <v>16.76514765049729</v>
      </c>
      <c r="I98" s="101">
        <f>IF(TrRoad_act!I14=0,0,I34/TrRoad_act!I14*1000)</f>
        <v>17.285193288639508</v>
      </c>
      <c r="J98" s="101">
        <f>IF(TrRoad_act!J14=0,0,J34/TrRoad_act!J14*1000)</f>
        <v>17.924122764876721</v>
      </c>
      <c r="K98" s="101">
        <f>IF(TrRoad_act!K14=0,0,K34/TrRoad_act!K14*1000)</f>
        <v>16.999617662409896</v>
      </c>
      <c r="L98" s="101">
        <f>IF(TrRoad_act!L14=0,0,L34/TrRoad_act!L14*1000)</f>
        <v>17.540844642564117</v>
      </c>
      <c r="M98" s="101">
        <f>IF(TrRoad_act!M14=0,0,M34/TrRoad_act!M14*1000)</f>
        <v>17.219891263965266</v>
      </c>
      <c r="N98" s="101">
        <f>IF(TrRoad_act!N14=0,0,N34/TrRoad_act!N14*1000)</f>
        <v>17.424688944292679</v>
      </c>
      <c r="O98" s="101">
        <f>IF(TrRoad_act!O14=0,0,O34/TrRoad_act!O14*1000)</f>
        <v>17.431153762557003</v>
      </c>
      <c r="P98" s="101">
        <f>IF(TrRoad_act!P14=0,0,P34/TrRoad_act!P14*1000)</f>
        <v>17.190383697594392</v>
      </c>
      <c r="Q98" s="101">
        <f>IF(TrRoad_act!Q14=0,0,Q34/TrRoad_act!Q14*1000)</f>
        <v>17.377611331652481</v>
      </c>
      <c r="R98" s="101">
        <f>IF(TrRoad_act!R14=0,0,R34/TrRoad_act!R14*1000)</f>
        <v>17.227532095565817</v>
      </c>
      <c r="S98" s="101">
        <f>IF(TrRoad_act!S14=0,0,S34/TrRoad_act!S14*1000)</f>
        <v>16.85511917044639</v>
      </c>
      <c r="T98" s="101">
        <f>IF(TrRoad_act!T14=0,0,T34/TrRoad_act!T14*1000)</f>
        <v>16.946274874994799</v>
      </c>
      <c r="U98" s="101">
        <f>IF(TrRoad_act!U14=0,0,U34/TrRoad_act!U14*1000)</f>
        <v>16.648668832489236</v>
      </c>
      <c r="V98" s="101">
        <f>IF(TrRoad_act!V14=0,0,V34/TrRoad_act!V14*1000)</f>
        <v>19.978402598987092</v>
      </c>
      <c r="W98" s="101">
        <f>IF(TrRoad_act!W14=0,0,W34/TrRoad_act!W14*1000)</f>
        <v>18.166317557769368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18.591097726086765</v>
      </c>
      <c r="C99" s="101">
        <f>IF(TrRoad_act!C15=0,0,C36/TrRoad_act!C15*1000)</f>
        <v>17.510365453440112</v>
      </c>
      <c r="D99" s="101">
        <f>IF(TrRoad_act!D15=0,0,D36/TrRoad_act!D15*1000)</f>
        <v>17.638097263300835</v>
      </c>
      <c r="E99" s="101">
        <f>IF(TrRoad_act!E15=0,0,E36/TrRoad_act!E15*1000)</f>
        <v>17.739527923657423</v>
      </c>
      <c r="F99" s="101">
        <f>IF(TrRoad_act!F15=0,0,F36/TrRoad_act!F15*1000)</f>
        <v>17.50771923616503</v>
      </c>
      <c r="G99" s="101">
        <f>IF(TrRoad_act!G15=0,0,G36/TrRoad_act!G15*1000)</f>
        <v>17.991721850166918</v>
      </c>
      <c r="H99" s="101">
        <f>IF(TrRoad_act!H15=0,0,H36/TrRoad_act!H15*1000)</f>
        <v>18.930452140527095</v>
      </c>
      <c r="I99" s="101">
        <f>IF(TrRoad_act!I15=0,0,I36/TrRoad_act!I15*1000)</f>
        <v>19.517401718463173</v>
      </c>
      <c r="J99" s="101">
        <f>IF(TrRoad_act!J15=0,0,J36/TrRoad_act!J15*1000)</f>
        <v>20.215580570538702</v>
      </c>
      <c r="K99" s="101">
        <f>IF(TrRoad_act!K15=0,0,K36/TrRoad_act!K15*1000)</f>
        <v>19.159259490681801</v>
      </c>
      <c r="L99" s="101">
        <f>IF(TrRoad_act!L15=0,0,L36/TrRoad_act!L15*1000)</f>
        <v>19.777713039818405</v>
      </c>
      <c r="M99" s="101">
        <f>IF(TrRoad_act!M15=0,0,M36/TrRoad_act!M15*1000)</f>
        <v>19.448805620631919</v>
      </c>
      <c r="N99" s="101">
        <f>IF(TrRoad_act!N15=0,0,N36/TrRoad_act!N15*1000)</f>
        <v>19.773893752861436</v>
      </c>
      <c r="O99" s="101">
        <f>IF(TrRoad_act!O15=0,0,O36/TrRoad_act!O15*1000)</f>
        <v>19.761258070693486</v>
      </c>
      <c r="P99" s="101">
        <f>IF(TrRoad_act!P15=0,0,P36/TrRoad_act!P15*1000)</f>
        <v>19.538124601454658</v>
      </c>
      <c r="Q99" s="101">
        <f>IF(TrRoad_act!Q15=0,0,Q36/TrRoad_act!Q15*1000)</f>
        <v>19.927702080038266</v>
      </c>
      <c r="R99" s="101">
        <f>IF(TrRoad_act!R15=0,0,R36/TrRoad_act!R15*1000)</f>
        <v>19.994960949509139</v>
      </c>
      <c r="S99" s="101">
        <f>IF(TrRoad_act!S15=0,0,S36/TrRoad_act!S15*1000)</f>
        <v>20.171143801756337</v>
      </c>
      <c r="T99" s="101">
        <f>IF(TrRoad_act!T15=0,0,T36/TrRoad_act!T15*1000)</f>
        <v>20.296407476184459</v>
      </c>
      <c r="U99" s="101">
        <f>IF(TrRoad_act!U15=0,0,U36/TrRoad_act!U15*1000)</f>
        <v>20.382642804173493</v>
      </c>
      <c r="V99" s="101">
        <f>IF(TrRoad_act!V15=0,0,V36/TrRoad_act!V15*1000)</f>
        <v>24.55738099781502</v>
      </c>
      <c r="W99" s="101">
        <f>IF(TrRoad_act!W15=0,0,W36/TrRoad_act!W15*1000)</f>
        <v>22.28151402021453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12.93936924719857</v>
      </c>
      <c r="D100" s="101">
        <f>IF(TrRoad_act!D16=0,0,D38/TrRoad_act!D16*1000)</f>
        <v>13.251966040461946</v>
      </c>
      <c r="E100" s="101">
        <f>IF(TrRoad_act!E16=0,0,E38/TrRoad_act!E16*1000)</f>
        <v>13.573620379138637</v>
      </c>
      <c r="F100" s="101">
        <f>IF(TrRoad_act!F16=0,0,F38/TrRoad_act!F16*1000)</f>
        <v>13.574577881334092</v>
      </c>
      <c r="G100" s="101">
        <f>IF(TrRoad_act!G16=0,0,G38/TrRoad_act!G16*1000)</f>
        <v>14.098818041640058</v>
      </c>
      <c r="H100" s="101">
        <f>IF(TrRoad_act!H16=0,0,H38/TrRoad_act!H16*1000)</f>
        <v>14.980751024072218</v>
      </c>
      <c r="I100" s="101">
        <f>IF(TrRoad_act!I16=0,0,I38/TrRoad_act!I16*1000)</f>
        <v>15.53502654378411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13.231491718036391</v>
      </c>
      <c r="K102" s="101">
        <f>IF(TrRoad_act!K18=0,0,K41/TrRoad_act!K18*1000)</f>
        <v>12.58002245821335</v>
      </c>
      <c r="L102" s="101">
        <f>IF(TrRoad_act!L18=0,0,L41/TrRoad_act!L18*1000)</f>
        <v>13.024740900174287</v>
      </c>
      <c r="M102" s="101">
        <f>IF(TrRoad_act!M18=0,0,M41/TrRoad_act!M18*1000)</f>
        <v>12.837625538493151</v>
      </c>
      <c r="N102" s="101">
        <f>IF(TrRoad_act!N18=0,0,N41/TrRoad_act!N18*1000)</f>
        <v>13.060584419929819</v>
      </c>
      <c r="O102" s="101">
        <f>IF(TrRoad_act!O18=0,0,O41/TrRoad_act!O18*1000)</f>
        <v>13.065450304202145</v>
      </c>
      <c r="P102" s="101">
        <f>IF(TrRoad_act!P18=0,0,P41/TrRoad_act!P18*1000)</f>
        <v>12.885265888698713</v>
      </c>
      <c r="Q102" s="101">
        <f>IF(TrRoad_act!Q18=0,0,Q41/TrRoad_act!Q18*1000)</f>
        <v>13.068467950651135</v>
      </c>
      <c r="R102" s="101">
        <f>IF(TrRoad_act!R18=0,0,R41/TrRoad_act!R18*1000)</f>
        <v>13.032038679285918</v>
      </c>
      <c r="S102" s="101">
        <f>IF(TrRoad_act!S18=0,0,S41/TrRoad_act!S18*1000)</f>
        <v>13.06988889439039</v>
      </c>
      <c r="T102" s="101">
        <f>IF(TrRoad_act!T18=0,0,T41/TrRoad_act!T18*1000)</f>
        <v>13.074766732243951</v>
      </c>
      <c r="U102" s="101">
        <f>IF(TrRoad_act!U18=0,0,U41/TrRoad_act!U18*1000)</f>
        <v>12.99609685414374</v>
      </c>
      <c r="V102" s="101">
        <f>IF(TrRoad_act!V18=0,0,V41/TrRoad_act!V18*1000)</f>
        <v>15.738513614716943</v>
      </c>
      <c r="W102" s="101">
        <f>IF(TrRoad_act!W18=0,0,W41/TrRoad_act!W18*1000)</f>
        <v>14.365722006343697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115.59484648317672</v>
      </c>
      <c r="C103" s="29">
        <f>IF(TrRoad_act!C19=0,0,C42/TrRoad_act!C19*1000)</f>
        <v>112.06672268018046</v>
      </c>
      <c r="D103" s="29">
        <f>IF(TrRoad_act!D19=0,0,D42/TrRoad_act!D19*1000)</f>
        <v>101.36351395856302</v>
      </c>
      <c r="E103" s="29">
        <f>IF(TrRoad_act!E19=0,0,E42/TrRoad_act!E19*1000)</f>
        <v>95.260893854542502</v>
      </c>
      <c r="F103" s="29">
        <f>IF(TrRoad_act!F19=0,0,F42/TrRoad_act!F19*1000)</f>
        <v>93.720099391229994</v>
      </c>
      <c r="G103" s="29">
        <f>IF(TrRoad_act!G19=0,0,G42/TrRoad_act!G19*1000)</f>
        <v>92.52710917625781</v>
      </c>
      <c r="H103" s="29">
        <f>IF(TrRoad_act!H19=0,0,H42/TrRoad_act!H19*1000)</f>
        <v>96.477018251061281</v>
      </c>
      <c r="I103" s="29">
        <f>IF(TrRoad_act!I19=0,0,I42/TrRoad_act!I19*1000)</f>
        <v>99.213089038751804</v>
      </c>
      <c r="J103" s="29">
        <f>IF(TrRoad_act!J19=0,0,J42/TrRoad_act!J19*1000)</f>
        <v>94.65270056304125</v>
      </c>
      <c r="K103" s="29">
        <f>IF(TrRoad_act!K19=0,0,K42/TrRoad_act!K19*1000)</f>
        <v>107.65472398592735</v>
      </c>
      <c r="L103" s="29">
        <f>IF(TrRoad_act!L19=0,0,L42/TrRoad_act!L19*1000)</f>
        <v>98.508935821649629</v>
      </c>
      <c r="M103" s="29">
        <f>IF(TrRoad_act!M19=0,0,M42/TrRoad_act!M19*1000)</f>
        <v>97.66720816099793</v>
      </c>
      <c r="N103" s="29">
        <f>IF(TrRoad_act!N19=0,0,N42/TrRoad_act!N19*1000)</f>
        <v>96.984059800166349</v>
      </c>
      <c r="O103" s="29">
        <f>IF(TrRoad_act!O19=0,0,O42/TrRoad_act!O19*1000)</f>
        <v>99.814054561232169</v>
      </c>
      <c r="P103" s="29">
        <f>IF(TrRoad_act!P19=0,0,P42/TrRoad_act!P19*1000)</f>
        <v>99.382782008153441</v>
      </c>
      <c r="Q103" s="29">
        <f>IF(TrRoad_act!Q19=0,0,Q42/TrRoad_act!Q19*1000)</f>
        <v>97.874069200435997</v>
      </c>
      <c r="R103" s="29">
        <f>IF(TrRoad_act!R19=0,0,R42/TrRoad_act!R19*1000)</f>
        <v>91.704417806982988</v>
      </c>
      <c r="S103" s="29">
        <f>IF(TrRoad_act!S19=0,0,S42/TrRoad_act!S19*1000)</f>
        <v>89.53986491036386</v>
      </c>
      <c r="T103" s="29">
        <f>IF(TrRoad_act!T19=0,0,T42/TrRoad_act!T19*1000)</f>
        <v>90.486569939211748</v>
      </c>
      <c r="U103" s="29">
        <f>IF(TrRoad_act!U19=0,0,U42/TrRoad_act!U19*1000)</f>
        <v>87.793315423907373</v>
      </c>
      <c r="V103" s="29">
        <f>IF(TrRoad_act!V19=0,0,V42/TrRoad_act!V19*1000)</f>
        <v>89.908680157997139</v>
      </c>
      <c r="W103" s="29">
        <f>IF(TrRoad_act!W19=0,0,W42/TrRoad_act!W19*1000)</f>
        <v>89.054462329539945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256.87699339619621</v>
      </c>
      <c r="C104" s="152">
        <f>IF(TrRoad_act!C20=0,0,C43/TrRoad_act!C20*1000)</f>
        <v>244.88483666206756</v>
      </c>
      <c r="D104" s="152">
        <f>IF(TrRoad_act!D20=0,0,D43/TrRoad_act!D20*1000)</f>
        <v>240.39931140431332</v>
      </c>
      <c r="E104" s="152">
        <f>IF(TrRoad_act!E20=0,0,E43/TrRoad_act!E20*1000)</f>
        <v>236.84015900951073</v>
      </c>
      <c r="F104" s="152">
        <f>IF(TrRoad_act!F20=0,0,F43/TrRoad_act!F20*1000)</f>
        <v>238.072241818197</v>
      </c>
      <c r="G104" s="152">
        <f>IF(TrRoad_act!G20=0,0,G43/TrRoad_act!G20*1000)</f>
        <v>236.39032351367607</v>
      </c>
      <c r="H104" s="152">
        <f>IF(TrRoad_act!H20=0,0,H43/TrRoad_act!H20*1000)</f>
        <v>236.87626827158806</v>
      </c>
      <c r="I104" s="152">
        <f>IF(TrRoad_act!I20=0,0,I43/TrRoad_act!I20*1000)</f>
        <v>238.22004844617317</v>
      </c>
      <c r="J104" s="152">
        <f>IF(TrRoad_act!J20=0,0,J43/TrRoad_act!J20*1000)</f>
        <v>231.78047465534146</v>
      </c>
      <c r="K104" s="152">
        <f>IF(TrRoad_act!K20=0,0,K43/TrRoad_act!K20*1000)</f>
        <v>228.56348638495382</v>
      </c>
      <c r="L104" s="152">
        <f>IF(TrRoad_act!L20=0,0,L43/TrRoad_act!L20*1000)</f>
        <v>224.65612659382396</v>
      </c>
      <c r="M104" s="152">
        <f>IF(TrRoad_act!M20=0,0,M43/TrRoad_act!M20*1000)</f>
        <v>222.16789169092027</v>
      </c>
      <c r="N104" s="152">
        <f>IF(TrRoad_act!N20=0,0,N43/TrRoad_act!N20*1000)</f>
        <v>219.75102755917371</v>
      </c>
      <c r="O104" s="152">
        <f>IF(TrRoad_act!O20=0,0,O43/TrRoad_act!O20*1000)</f>
        <v>218.65976553996518</v>
      </c>
      <c r="P104" s="152">
        <f>IF(TrRoad_act!P20=0,0,P43/TrRoad_act!P20*1000)</f>
        <v>219.11802862645303</v>
      </c>
      <c r="Q104" s="152">
        <f>IF(TrRoad_act!Q20=0,0,Q43/TrRoad_act!Q20*1000)</f>
        <v>222.21111998904439</v>
      </c>
      <c r="R104" s="152">
        <f>IF(TrRoad_act!R20=0,0,R43/TrRoad_act!R20*1000)</f>
        <v>218.63371401555816</v>
      </c>
      <c r="S104" s="152">
        <f>IF(TrRoad_act!S20=0,0,S43/TrRoad_act!S20*1000)</f>
        <v>214.82165501465406</v>
      </c>
      <c r="T104" s="152">
        <f>IF(TrRoad_act!T20=0,0,T43/TrRoad_act!T20*1000)</f>
        <v>213.31709814750465</v>
      </c>
      <c r="U104" s="152">
        <f>IF(TrRoad_act!U20=0,0,U43/TrRoad_act!U20*1000)</f>
        <v>209.40708652169329</v>
      </c>
      <c r="V104" s="152">
        <f>IF(TrRoad_act!V20=0,0,V43/TrRoad_act!V20*1000)</f>
        <v>207.04495842834226</v>
      </c>
      <c r="W104" s="152">
        <f>IF(TrRoad_act!W20=0,0,W43/TrRoad_act!W20*1000)</f>
        <v>209.53272128269796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265.9911106940246</v>
      </c>
      <c r="C105" s="87">
        <f>IF(TrRoad_act!C21=0,0,C44/TrRoad_act!C21*1000)</f>
        <v>262.23939808723816</v>
      </c>
      <c r="D105" s="87">
        <f>IF(TrRoad_act!D21=0,0,D44/TrRoad_act!D21*1000)</f>
        <v>259.7033216552714</v>
      </c>
      <c r="E105" s="87">
        <f>IF(TrRoad_act!E21=0,0,E44/TrRoad_act!E21*1000)</f>
        <v>257.26867747884097</v>
      </c>
      <c r="F105" s="87">
        <f>IF(TrRoad_act!F21=0,0,F44/TrRoad_act!F21*1000)</f>
        <v>254.06206035660583</v>
      </c>
      <c r="G105" s="87">
        <f>IF(TrRoad_act!G21=0,0,G44/TrRoad_act!G21*1000)</f>
        <v>248.8744229108253</v>
      </c>
      <c r="H105" s="87">
        <f>IF(TrRoad_act!H21=0,0,H44/TrRoad_act!H21*1000)</f>
        <v>242.42143038622683</v>
      </c>
      <c r="I105" s="87">
        <f>IF(TrRoad_act!I21=0,0,I44/TrRoad_act!I21*1000)</f>
        <v>236.18466771215435</v>
      </c>
      <c r="J105" s="87">
        <f>IF(TrRoad_act!J21=0,0,J44/TrRoad_act!J21*1000)</f>
        <v>233.47460776612348</v>
      </c>
      <c r="K105" s="87">
        <f>IF(TrRoad_act!K21=0,0,K44/TrRoad_act!K21*1000)</f>
        <v>231.95594060692801</v>
      </c>
      <c r="L105" s="87">
        <f>IF(TrRoad_act!L21=0,0,L44/TrRoad_act!L21*1000)</f>
        <v>230.57232962056713</v>
      </c>
      <c r="M105" s="87">
        <f>IF(TrRoad_act!M21=0,0,M44/TrRoad_act!M21*1000)</f>
        <v>229.57401434016518</v>
      </c>
      <c r="N105" s="87">
        <f>IF(TrRoad_act!N21=0,0,N44/TrRoad_act!N21*1000)</f>
        <v>228.37231390716912</v>
      </c>
      <c r="O105" s="87">
        <f>IF(TrRoad_act!O21=0,0,O44/TrRoad_act!O21*1000)</f>
        <v>228.85507115173232</v>
      </c>
      <c r="P105" s="87">
        <f>IF(TrRoad_act!P21=0,0,P44/TrRoad_act!P21*1000)</f>
        <v>227.84373025816083</v>
      </c>
      <c r="Q105" s="87">
        <f>IF(TrRoad_act!Q21=0,0,Q44/TrRoad_act!Q21*1000)</f>
        <v>225.25898130524084</v>
      </c>
      <c r="R105" s="87">
        <f>IF(TrRoad_act!R21=0,0,R44/TrRoad_act!R21*1000)</f>
        <v>223.93809306023186</v>
      </c>
      <c r="S105" s="87">
        <f>IF(TrRoad_act!S21=0,0,S44/TrRoad_act!S21*1000)</f>
        <v>228.9989304717632</v>
      </c>
      <c r="T105" s="87">
        <f>IF(TrRoad_act!T21=0,0,T44/TrRoad_act!T21*1000)</f>
        <v>226.76561998417387</v>
      </c>
      <c r="U105" s="87">
        <f>IF(TrRoad_act!U21=0,0,U44/TrRoad_act!U21*1000)</f>
        <v>223.66799673917495</v>
      </c>
      <c r="V105" s="87">
        <f>IF(TrRoad_act!V21=0,0,V44/TrRoad_act!V21*1000)</f>
        <v>210.07278741347454</v>
      </c>
      <c r="W105" s="87">
        <f>IF(TrRoad_act!W21=0,0,W44/TrRoad_act!W21*1000)</f>
        <v>212.10455425241855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256.776713011379</v>
      </c>
      <c r="C106" s="87">
        <f>IF(TrRoad_act!C22=0,0,C46/TrRoad_act!C22*1000)</f>
        <v>244.72278900977636</v>
      </c>
      <c r="D106" s="87">
        <f>IF(TrRoad_act!D22=0,0,D46/TrRoad_act!D22*1000)</f>
        <v>240.24308545843553</v>
      </c>
      <c r="E106" s="87">
        <f>IF(TrRoad_act!E22=0,0,E46/TrRoad_act!E22*1000)</f>
        <v>236.70159315743712</v>
      </c>
      <c r="F106" s="87">
        <f>IF(TrRoad_act!F22=0,0,F46/TrRoad_act!F22*1000)</f>
        <v>237.98370536560662</v>
      </c>
      <c r="G106" s="87">
        <f>IF(TrRoad_act!G22=0,0,G46/TrRoad_act!G22*1000)</f>
        <v>236.34048992263789</v>
      </c>
      <c r="H106" s="87">
        <f>IF(TrRoad_act!H22=0,0,H46/TrRoad_act!H22*1000)</f>
        <v>236.86036827813757</v>
      </c>
      <c r="I106" s="87">
        <f>IF(TrRoad_act!I22=0,0,I46/TrRoad_act!I22*1000)</f>
        <v>238.22439946347313</v>
      </c>
      <c r="J106" s="87">
        <f>IF(TrRoad_act!J22=0,0,J46/TrRoad_act!J22*1000)</f>
        <v>231.77722754632816</v>
      </c>
      <c r="K106" s="87">
        <f>IF(TrRoad_act!K22=0,0,K46/TrRoad_act!K22*1000)</f>
        <v>228.55732891470024</v>
      </c>
      <c r="L106" s="87">
        <f>IF(TrRoad_act!L22=0,0,L46/TrRoad_act!L22*1000)</f>
        <v>224.64650346269264</v>
      </c>
      <c r="M106" s="87">
        <f>IF(TrRoad_act!M22=0,0,M46/TrRoad_act!M22*1000)</f>
        <v>222.17551398514709</v>
      </c>
      <c r="N106" s="87">
        <f>IF(TrRoad_act!N22=0,0,N46/TrRoad_act!N22*1000)</f>
        <v>219.78291043459126</v>
      </c>
      <c r="O106" s="87">
        <f>IF(TrRoad_act!O22=0,0,O46/TrRoad_act!O22*1000)</f>
        <v>218.69134671062724</v>
      </c>
      <c r="P106" s="87">
        <f>IF(TrRoad_act!P22=0,0,P46/TrRoad_act!P22*1000)</f>
        <v>219.15895584384282</v>
      </c>
      <c r="Q106" s="87">
        <f>IF(TrRoad_act!Q22=0,0,Q46/TrRoad_act!Q22*1000)</f>
        <v>222.25934404800017</v>
      </c>
      <c r="R106" s="87">
        <f>IF(TrRoad_act!R22=0,0,R46/TrRoad_act!R22*1000)</f>
        <v>218.68248031844669</v>
      </c>
      <c r="S106" s="87">
        <f>IF(TrRoad_act!S22=0,0,S46/TrRoad_act!S22*1000)</f>
        <v>214.89491977936848</v>
      </c>
      <c r="T106" s="87">
        <f>IF(TrRoad_act!T22=0,0,T46/TrRoad_act!T22*1000)</f>
        <v>213.39426545649266</v>
      </c>
      <c r="U106" s="87">
        <f>IF(TrRoad_act!U22=0,0,U46/TrRoad_act!U22*1000)</f>
        <v>209.54332350594325</v>
      </c>
      <c r="V106" s="87">
        <f>IF(TrRoad_act!V22=0,0,V46/TrRoad_act!V22*1000)</f>
        <v>207.49500938220817</v>
      </c>
      <c r="W106" s="87">
        <f>IF(TrRoad_act!W22=0,0,W46/TrRoad_act!W22*1000)</f>
        <v>210.2632868154549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235.53844997938023</v>
      </c>
      <c r="P107" s="87">
        <f>IF(TrRoad_act!P23=0,0,P48/TrRoad_act!P23*1000)</f>
        <v>237.2820107140281</v>
      </c>
      <c r="Q107" s="87">
        <f>IF(TrRoad_act!Q23=0,0,Q48/TrRoad_act!Q23*1000)</f>
        <v>236.70685410562191</v>
      </c>
      <c r="R107" s="87">
        <f>IF(TrRoad_act!R23=0,0,R48/TrRoad_act!R23*1000)</f>
        <v>236.21881798399755</v>
      </c>
      <c r="S107" s="87">
        <f>IF(TrRoad_act!S23=0,0,S48/TrRoad_act!S23*1000)</f>
        <v>225.34091833185835</v>
      </c>
      <c r="T107" s="87">
        <f>IF(TrRoad_act!T23=0,0,T48/TrRoad_act!T23*1000)</f>
        <v>225.81255846588587</v>
      </c>
      <c r="U107" s="87">
        <f>IF(TrRoad_act!U23=0,0,U48/TrRoad_act!U23*1000)</f>
        <v>225.33894774751766</v>
      </c>
      <c r="V107" s="87">
        <f>IF(TrRoad_act!V23=0,0,V48/TrRoad_act!V23*1000)</f>
        <v>222.90184258556806</v>
      </c>
      <c r="W107" s="87">
        <f>IF(TrRoad_act!W23=0,0,W48/TrRoad_act!W23*1000)</f>
        <v>223.37989272885065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35.948307058187574</v>
      </c>
      <c r="N109" s="87">
        <f>IF(TrRoad_act!N25=0,0,N51/TrRoad_act!N25*1000)</f>
        <v>36.062966002105213</v>
      </c>
      <c r="O109" s="87">
        <f>IF(TrRoad_act!O25=0,0,O51/TrRoad_act!O25*1000)</f>
        <v>36.076259560760953</v>
      </c>
      <c r="P109" s="87">
        <f>IF(TrRoad_act!P25=0,0,P51/TrRoad_act!P25*1000)</f>
        <v>36.204359879025098</v>
      </c>
      <c r="Q109" s="87">
        <f>IF(TrRoad_act!Q25=0,0,Q51/TrRoad_act!Q25*1000)</f>
        <v>37.137800777877516</v>
      </c>
      <c r="R109" s="87">
        <f>IF(TrRoad_act!R25=0,0,R51/TrRoad_act!R25*1000)</f>
        <v>37.394129138425953</v>
      </c>
      <c r="S109" s="87">
        <f>IF(TrRoad_act!S25=0,0,S51/TrRoad_act!S25*1000)</f>
        <v>38.053019720486219</v>
      </c>
      <c r="T109" s="87">
        <f>IF(TrRoad_act!T25=0,0,T51/TrRoad_act!T25*1000)</f>
        <v>42.263795717840175</v>
      </c>
      <c r="U109" s="87">
        <f>IF(TrRoad_act!U25=0,0,U51/TrRoad_act!U25*1000)</f>
        <v>68.522180542325984</v>
      </c>
      <c r="V109" s="87">
        <f>IF(TrRoad_act!V25=0,0,V51/TrRoad_act!V25*1000)</f>
        <v>51.985091587072198</v>
      </c>
      <c r="W109" s="87">
        <f>IF(TrRoad_act!W25=0,0,W51/TrRoad_act!W25*1000)</f>
        <v>63.622493699608512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91.581727283779344</v>
      </c>
      <c r="C110" s="116">
        <f>IF(TrRoad_act!C26=0,0,C52/TrRoad_act!C26*1000)</f>
        <v>89.69813694041089</v>
      </c>
      <c r="D110" s="116">
        <f>IF(TrRoad_act!D26=0,0,D52/TrRoad_act!D26*1000)</f>
        <v>79.774628727158472</v>
      </c>
      <c r="E110" s="116">
        <f>IF(TrRoad_act!E26=0,0,E52/TrRoad_act!E26*1000)</f>
        <v>73.857014145503626</v>
      </c>
      <c r="F110" s="116">
        <f>IF(TrRoad_act!F26=0,0,F52/TrRoad_act!F26*1000)</f>
        <v>72.870568509053967</v>
      </c>
      <c r="G110" s="116">
        <f>IF(TrRoad_act!G26=0,0,G52/TrRoad_act!G26*1000)</f>
        <v>71.522535849113481</v>
      </c>
      <c r="H110" s="116">
        <f>IF(TrRoad_act!H26=0,0,H52/TrRoad_act!H26*1000)</f>
        <v>74.368341261791812</v>
      </c>
      <c r="I110" s="116">
        <f>IF(TrRoad_act!I26=0,0,I52/TrRoad_act!I26*1000)</f>
        <v>77.126183793172714</v>
      </c>
      <c r="J110" s="116">
        <f>IF(TrRoad_act!J26=0,0,J52/TrRoad_act!J26*1000)</f>
        <v>70.696095024628292</v>
      </c>
      <c r="K110" s="116">
        <f>IF(TrRoad_act!K26=0,0,K52/TrRoad_act!K26*1000)</f>
        <v>76.781156486477244</v>
      </c>
      <c r="L110" s="116">
        <f>IF(TrRoad_act!L26=0,0,L52/TrRoad_act!L26*1000)</f>
        <v>67.436300183888974</v>
      </c>
      <c r="M110" s="116">
        <f>IF(TrRoad_act!M26=0,0,M52/TrRoad_act!M26*1000)</f>
        <v>65.552529510668791</v>
      </c>
      <c r="N110" s="116">
        <f>IF(TrRoad_act!N26=0,0,N52/TrRoad_act!N26*1000)</f>
        <v>66.120042404702872</v>
      </c>
      <c r="O110" s="116">
        <f>IF(TrRoad_act!O26=0,0,O52/TrRoad_act!O26*1000)</f>
        <v>68.246650763890884</v>
      </c>
      <c r="P110" s="116">
        <f>IF(TrRoad_act!P26=0,0,P52/TrRoad_act!P26*1000)</f>
        <v>69.942492232382392</v>
      </c>
      <c r="Q110" s="116">
        <f>IF(TrRoad_act!Q26=0,0,Q52/TrRoad_act!Q26*1000)</f>
        <v>69.455833359658627</v>
      </c>
      <c r="R110" s="116">
        <f>IF(TrRoad_act!R26=0,0,R52/TrRoad_act!R26*1000)</f>
        <v>66.971815197942675</v>
      </c>
      <c r="S110" s="116">
        <f>IF(TrRoad_act!S26=0,0,S52/TrRoad_act!S26*1000)</f>
        <v>65.384084192519111</v>
      </c>
      <c r="T110" s="116">
        <f>IF(TrRoad_act!T26=0,0,T52/TrRoad_act!T26*1000)</f>
        <v>67.074731497189433</v>
      </c>
      <c r="U110" s="116">
        <f>IF(TrRoad_act!U26=0,0,U52/TrRoad_act!U26*1000)</f>
        <v>66.473713911722967</v>
      </c>
      <c r="V110" s="116">
        <f>IF(TrRoad_act!V26=0,0,V52/TrRoad_act!V26*1000)</f>
        <v>65.507027230962962</v>
      </c>
      <c r="W110" s="116">
        <f>IF(TrRoad_act!W26=0,0,W52/TrRoad_act!W26*1000)</f>
        <v>66.27062869152482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97.847772774955232</v>
      </c>
      <c r="C111" s="101">
        <f>IF(TrRoad_act!C27=0,0,C53/TrRoad_act!C27*1000)</f>
        <v>95.289364886354775</v>
      </c>
      <c r="D111" s="101">
        <f>IF(TrRoad_act!D27=0,0,D53/TrRoad_act!D27*1000)</f>
        <v>84.216742444202225</v>
      </c>
      <c r="E111" s="101">
        <f>IF(TrRoad_act!E27=0,0,E53/TrRoad_act!E27*1000)</f>
        <v>77.393346865847789</v>
      </c>
      <c r="F111" s="101">
        <f>IF(TrRoad_act!F27=0,0,F53/TrRoad_act!F27*1000)</f>
        <v>76.442349775166988</v>
      </c>
      <c r="G111" s="101">
        <f>IF(TrRoad_act!G27=0,0,G53/TrRoad_act!G27*1000)</f>
        <v>75.113311655407557</v>
      </c>
      <c r="H111" s="101">
        <f>IF(TrRoad_act!H27=0,0,H53/TrRoad_act!H27*1000)</f>
        <v>78.311156597339235</v>
      </c>
      <c r="I111" s="101">
        <f>IF(TrRoad_act!I27=0,0,I53/TrRoad_act!I27*1000)</f>
        <v>81.396659385736413</v>
      </c>
      <c r="J111" s="101">
        <f>IF(TrRoad_act!J27=0,0,J53/TrRoad_act!J27*1000)</f>
        <v>74.375461985100785</v>
      </c>
      <c r="K111" s="101">
        <f>IF(TrRoad_act!K27=0,0,K53/TrRoad_act!K27*1000)</f>
        <v>82.48553013950665</v>
      </c>
      <c r="L111" s="101">
        <f>IF(TrRoad_act!L27=0,0,L53/TrRoad_act!L27*1000)</f>
        <v>73.147584764600097</v>
      </c>
      <c r="M111" s="101">
        <f>IF(TrRoad_act!M27=0,0,M53/TrRoad_act!M27*1000)</f>
        <v>72.380872468855969</v>
      </c>
      <c r="N111" s="101">
        <f>IF(TrRoad_act!N27=0,0,N53/TrRoad_act!N27*1000)</f>
        <v>72.321836255734539</v>
      </c>
      <c r="O111" s="101">
        <f>IF(TrRoad_act!O27=0,0,O53/TrRoad_act!O27*1000)</f>
        <v>74.647715911791948</v>
      </c>
      <c r="P111" s="101">
        <f>IF(TrRoad_act!P27=0,0,P53/TrRoad_act!P27*1000)</f>
        <v>75.709167506735284</v>
      </c>
      <c r="Q111" s="101">
        <f>IF(TrRoad_act!Q27=0,0,Q53/TrRoad_act!Q27*1000)</f>
        <v>75.655001493212538</v>
      </c>
      <c r="R111" s="101">
        <f>IF(TrRoad_act!R27=0,0,R53/TrRoad_act!R27*1000)</f>
        <v>71.264762302071574</v>
      </c>
      <c r="S111" s="101">
        <f>IF(TrRoad_act!S27=0,0,S53/TrRoad_act!S27*1000)</f>
        <v>69.564553164294907</v>
      </c>
      <c r="T111" s="101">
        <f>IF(TrRoad_act!T27=0,0,T53/TrRoad_act!T27*1000)</f>
        <v>71.866151537220972</v>
      </c>
      <c r="U111" s="101">
        <f>IF(TrRoad_act!U27=0,0,U53/TrRoad_act!U27*1000)</f>
        <v>71.504543247491981</v>
      </c>
      <c r="V111" s="101">
        <f>IF(TrRoad_act!V27=0,0,V53/TrRoad_act!V27*1000)</f>
        <v>67.443855254477498</v>
      </c>
      <c r="W111" s="101">
        <f>IF(TrRoad_act!W27=0,0,W53/TrRoad_act!W27*1000)</f>
        <v>68.041619969735436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47.202978827748602</v>
      </c>
      <c r="C112" s="88">
        <f>IF(TrRoad_act!C28=0,0,C55/TrRoad_act!C28*1000)</f>
        <v>49.250059706734966</v>
      </c>
      <c r="D112" s="88">
        <f>IF(TrRoad_act!D28=0,0,D55/TrRoad_act!D28*1000)</f>
        <v>44.079142195339429</v>
      </c>
      <c r="E112" s="88">
        <f>IF(TrRoad_act!E28=0,0,E55/TrRoad_act!E28*1000)</f>
        <v>42.755867739727478</v>
      </c>
      <c r="F112" s="88">
        <f>IF(TrRoad_act!F28=0,0,F55/TrRoad_act!F28*1000)</f>
        <v>42.89812224114808</v>
      </c>
      <c r="G112" s="88">
        <f>IF(TrRoad_act!G28=0,0,G55/TrRoad_act!G28*1000)</f>
        <v>40.711766105996389</v>
      </c>
      <c r="H112" s="88">
        <f>IF(TrRoad_act!H28=0,0,H55/TrRoad_act!H28*1000)</f>
        <v>41.970053917077273</v>
      </c>
      <c r="I112" s="88">
        <f>IF(TrRoad_act!I28=0,0,I55/TrRoad_act!I28*1000)</f>
        <v>43.252974890706803</v>
      </c>
      <c r="J112" s="88">
        <f>IF(TrRoad_act!J28=0,0,J55/TrRoad_act!J28*1000)</f>
        <v>39.844851146824098</v>
      </c>
      <c r="K112" s="88">
        <f>IF(TrRoad_act!K28=0,0,K55/TrRoad_act!K28*1000)</f>
        <v>40.869814460267172</v>
      </c>
      <c r="L112" s="88">
        <f>IF(TrRoad_act!L28=0,0,L55/TrRoad_act!L28*1000)</f>
        <v>34.712824553959273</v>
      </c>
      <c r="M112" s="88">
        <f>IF(TrRoad_act!M28=0,0,M55/TrRoad_act!M28*1000)</f>
        <v>32.86796106353323</v>
      </c>
      <c r="N112" s="88">
        <f>IF(TrRoad_act!N28=0,0,N55/TrRoad_act!N28*1000)</f>
        <v>33.210035097859404</v>
      </c>
      <c r="O112" s="88">
        <f>IF(TrRoad_act!O28=0,0,O55/TrRoad_act!O28*1000)</f>
        <v>33.714282077726914</v>
      </c>
      <c r="P112" s="88">
        <f>IF(TrRoad_act!P28=0,0,P55/TrRoad_act!P28*1000)</f>
        <v>35.965767969554484</v>
      </c>
      <c r="Q112" s="88">
        <f>IF(TrRoad_act!Q28=0,0,Q55/TrRoad_act!Q28*1000)</f>
        <v>36.489507519128942</v>
      </c>
      <c r="R112" s="88">
        <f>IF(TrRoad_act!R28=0,0,R55/TrRoad_act!R28*1000)</f>
        <v>36.522706297419589</v>
      </c>
      <c r="S112" s="88">
        <f>IF(TrRoad_act!S28=0,0,S55/TrRoad_act!S28*1000)</f>
        <v>35.041314135662084</v>
      </c>
      <c r="T112" s="88">
        <f>IF(TrRoad_act!T28=0,0,T55/TrRoad_act!T28*1000)</f>
        <v>35.531216233648394</v>
      </c>
      <c r="U112" s="88">
        <f>IF(TrRoad_act!U28=0,0,U55/TrRoad_act!U28*1000)</f>
        <v>35.489505157805745</v>
      </c>
      <c r="V112" s="88">
        <f>IF(TrRoad_act!V28=0,0,V55/TrRoad_act!V28*1000)</f>
        <v>35.565516881102681</v>
      </c>
      <c r="W112" s="88">
        <f>IF(TrRoad_act!W28=0,0,W55/TrRoad_act!W28*1000)</f>
        <v>36.54700786149148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143.33156939451106</v>
      </c>
      <c r="C116" s="152">
        <f>IF(C19=0,0,1000000*C19/TrRoad_act!C59)</f>
        <v>142.45689248221569</v>
      </c>
      <c r="D116" s="152">
        <f>IF(D19=0,0,1000000*D19/TrRoad_act!D59)</f>
        <v>138.92342240848799</v>
      </c>
      <c r="E116" s="152">
        <f>IF(E19=0,0,1000000*E19/TrRoad_act!E59)</f>
        <v>140.16520857791204</v>
      </c>
      <c r="F116" s="152">
        <f>IF(F19=0,0,1000000*F19/TrRoad_act!F59)</f>
        <v>135.41908257904279</v>
      </c>
      <c r="G116" s="152">
        <f>IF(G19=0,0,1000000*G19/TrRoad_act!G59)</f>
        <v>167.49603267894784</v>
      </c>
      <c r="H116" s="152">
        <f>IF(H19=0,0,1000000*H19/TrRoad_act!H59)</f>
        <v>161.16021889179467</v>
      </c>
      <c r="I116" s="152">
        <f>IF(I19=0,0,1000000*I19/TrRoad_act!I59)</f>
        <v>152.99248753058504</v>
      </c>
      <c r="J116" s="152">
        <f>IF(J19=0,0,1000000*J19/TrRoad_act!J59)</f>
        <v>153.54184303475455</v>
      </c>
      <c r="K116" s="152">
        <f>IF(K19=0,0,1000000*K19/TrRoad_act!K59)</f>
        <v>139.97011919147837</v>
      </c>
      <c r="L116" s="152">
        <f>IF(L19=0,0,1000000*L19/TrRoad_act!L59)</f>
        <v>126.03129248465261</v>
      </c>
      <c r="M116" s="152">
        <f>IF(M19=0,0,1000000*M19/TrRoad_act!M59)</f>
        <v>119.65802789143589</v>
      </c>
      <c r="N116" s="152">
        <f>IF(N19=0,0,1000000*N19/TrRoad_act!N59)</f>
        <v>112.26845646293272</v>
      </c>
      <c r="O116" s="152">
        <f>IF(O19=0,0,1000000*O19/TrRoad_act!O59)</f>
        <v>105.50902681865067</v>
      </c>
      <c r="P116" s="152">
        <f>IF(P19=0,0,1000000*P19/TrRoad_act!P59)</f>
        <v>121.28837118695094</v>
      </c>
      <c r="Q116" s="152">
        <f>IF(Q19=0,0,1000000*Q19/TrRoad_act!Q59)</f>
        <v>113.15926450477986</v>
      </c>
      <c r="R116" s="152">
        <f>IF(R19=0,0,1000000*R19/TrRoad_act!R59)</f>
        <v>113.4943057792045</v>
      </c>
      <c r="S116" s="152">
        <f>IF(S19=0,0,1000000*S19/TrRoad_act!S59)</f>
        <v>101.79843378769384</v>
      </c>
      <c r="T116" s="152">
        <f>IF(T19=0,0,1000000*T19/TrRoad_act!T59)</f>
        <v>95.413625293121157</v>
      </c>
      <c r="U116" s="152">
        <f>IF(U19=0,0,1000000*U19/TrRoad_act!U59)</f>
        <v>95.741714259296401</v>
      </c>
      <c r="V116" s="152">
        <f>IF(V19=0,0,1000000*V19/TrRoad_act!V59)</f>
        <v>81.666987726540711</v>
      </c>
      <c r="W116" s="152">
        <f>IF(W19=0,0,1000000*W19/TrRoad_act!W59)</f>
        <v>75.66547658952004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1485.6527630912797</v>
      </c>
      <c r="C117" s="116">
        <f>IF(C21=0,0,1000000*C21/TrRoad_act!C60)</f>
        <v>1456.7410840461596</v>
      </c>
      <c r="D117" s="116">
        <f>IF(D21=0,0,1000000*D21/TrRoad_act!D60)</f>
        <v>1401.7191000473865</v>
      </c>
      <c r="E117" s="116">
        <f>IF(E21=0,0,1000000*E21/TrRoad_act!E60)</f>
        <v>1350.338058109211</v>
      </c>
      <c r="F117" s="116">
        <f>IF(F21=0,0,1000000*F21/TrRoad_act!F60)</f>
        <v>1360.4236120331632</v>
      </c>
      <c r="G117" s="116">
        <f>IF(G21=0,0,1000000*G21/TrRoad_act!G60)</f>
        <v>1388.9442431702828</v>
      </c>
      <c r="H117" s="116">
        <f>IF(H21=0,0,1000000*H21/TrRoad_act!H60)</f>
        <v>1370.0791941952946</v>
      </c>
      <c r="I117" s="116">
        <f>IF(I21=0,0,1000000*I21/TrRoad_act!I60)</f>
        <v>1368.0999133405712</v>
      </c>
      <c r="J117" s="116">
        <f>IF(J21=0,0,1000000*J21/TrRoad_act!J60)</f>
        <v>1272.0981824679757</v>
      </c>
      <c r="K117" s="116">
        <f>IF(K21=0,0,1000000*K21/TrRoad_act!K60)</f>
        <v>1265.7269374832654</v>
      </c>
      <c r="L117" s="116">
        <f>IF(L21=0,0,1000000*L21/TrRoad_act!L60)</f>
        <v>1234.8003019036601</v>
      </c>
      <c r="M117" s="116">
        <f>IF(M21=0,0,1000000*M21/TrRoad_act!M60)</f>
        <v>1171.1093230233737</v>
      </c>
      <c r="N117" s="116">
        <f>IF(N21=0,0,1000000*N21/TrRoad_act!N60)</f>
        <v>1157.6559114486492</v>
      </c>
      <c r="O117" s="116">
        <f>IF(O21=0,0,1000000*O21/TrRoad_act!O60)</f>
        <v>1165.92619581758</v>
      </c>
      <c r="P117" s="116">
        <f>IF(P21=0,0,1000000*P21/TrRoad_act!P60)</f>
        <v>1197.2325443020459</v>
      </c>
      <c r="Q117" s="116">
        <f>IF(Q21=0,0,1000000*Q21/TrRoad_act!Q60)</f>
        <v>1204.1645024105592</v>
      </c>
      <c r="R117" s="116">
        <f>IF(R21=0,0,1000000*R21/TrRoad_act!R60)</f>
        <v>1237.6812063129078</v>
      </c>
      <c r="S117" s="116">
        <f>IF(S21=0,0,1000000*S21/TrRoad_act!S60)</f>
        <v>1201.101634280119</v>
      </c>
      <c r="T117" s="116">
        <f>IF(T21=0,0,1000000*T21/TrRoad_act!T60)</f>
        <v>1172.3540622685962</v>
      </c>
      <c r="U117" s="116">
        <f>IF(U21=0,0,1000000*U21/TrRoad_act!U60)</f>
        <v>1130.1966159613235</v>
      </c>
      <c r="V117" s="116">
        <f>IF(V21=0,0,1000000*V21/TrRoad_act!V60)</f>
        <v>911.60204831515682</v>
      </c>
      <c r="W117" s="116">
        <f>IF(W21=0,0,1000000*W21/TrRoad_act!W60)</f>
        <v>953.95013331520067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1377.8105689630154</v>
      </c>
      <c r="C118" s="87">
        <f>IF(C22=0,0,1000000*C22/TrRoad_act!C61)</f>
        <v>1344.5126523384095</v>
      </c>
      <c r="D118" s="87">
        <f>IF(D22=0,0,1000000*D22/TrRoad_act!D61)</f>
        <v>1317.7175510479419</v>
      </c>
      <c r="E118" s="87">
        <f>IF(E22=0,0,1000000*E22/TrRoad_act!E61)</f>
        <v>1266.6504223553038</v>
      </c>
      <c r="F118" s="87">
        <f>IF(F22=0,0,1000000*F22/TrRoad_act!F61)</f>
        <v>1267.6705851411728</v>
      </c>
      <c r="G118" s="87">
        <f>IF(G22=0,0,1000000*G22/TrRoad_act!G61)</f>
        <v>1305.4247217222287</v>
      </c>
      <c r="H118" s="87">
        <f>IF(H22=0,0,1000000*H22/TrRoad_act!H61)</f>
        <v>1287.9287850796225</v>
      </c>
      <c r="I118" s="87">
        <f>IF(I22=0,0,1000000*I22/TrRoad_act!I61)</f>
        <v>1252.0872569918447</v>
      </c>
      <c r="J118" s="87">
        <f>IF(J22=0,0,1000000*J22/TrRoad_act!J61)</f>
        <v>1159.3182837918207</v>
      </c>
      <c r="K118" s="87">
        <f>IF(K22=0,0,1000000*K22/TrRoad_act!K61)</f>
        <v>1104.4692963873799</v>
      </c>
      <c r="L118" s="87">
        <f>IF(L22=0,0,1000000*L22/TrRoad_act!L61)</f>
        <v>1096.921487004322</v>
      </c>
      <c r="M118" s="87">
        <f>IF(M22=0,0,1000000*M22/TrRoad_act!M61)</f>
        <v>1018.0393729081563</v>
      </c>
      <c r="N118" s="87">
        <f>IF(N22=0,0,1000000*N22/TrRoad_act!N61)</f>
        <v>1019.2055318937702</v>
      </c>
      <c r="O118" s="87">
        <f>IF(O22=0,0,1000000*O22/TrRoad_act!O61)</f>
        <v>977.59713602243517</v>
      </c>
      <c r="P118" s="87">
        <f>IF(P22=0,0,1000000*P22/TrRoad_act!P61)</f>
        <v>1009.8441200238569</v>
      </c>
      <c r="Q118" s="87">
        <f>IF(Q22=0,0,1000000*Q22/TrRoad_act!Q61)</f>
        <v>913.73833445931552</v>
      </c>
      <c r="R118" s="87">
        <f>IF(R22=0,0,1000000*R22/TrRoad_act!R61)</f>
        <v>957.15064155518246</v>
      </c>
      <c r="S118" s="87">
        <f>IF(S22=0,0,1000000*S22/TrRoad_act!S61)</f>
        <v>925.47672469766485</v>
      </c>
      <c r="T118" s="87">
        <f>IF(T22=0,0,1000000*T22/TrRoad_act!T61)</f>
        <v>887.31418164005902</v>
      </c>
      <c r="U118" s="87">
        <f>IF(U22=0,0,1000000*U22/TrRoad_act!U61)</f>
        <v>861.70422213987888</v>
      </c>
      <c r="V118" s="87">
        <f>IF(V22=0,0,1000000*V22/TrRoad_act!V61)</f>
        <v>652.69756330221833</v>
      </c>
      <c r="W118" s="87">
        <f>IF(W22=0,0,1000000*W22/TrRoad_act!W61)</f>
        <v>701.84584069620803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2201.16548031296</v>
      </c>
      <c r="C119" s="87">
        <f>IF(C24=0,0,1000000*C24/TrRoad_act!C62)</f>
        <v>2213.2858837973081</v>
      </c>
      <c r="D119" s="87">
        <f>IF(D24=0,0,1000000*D24/TrRoad_act!D62)</f>
        <v>1951.2064470263199</v>
      </c>
      <c r="E119" s="87">
        <f>IF(E24=0,0,1000000*E24/TrRoad_act!E62)</f>
        <v>1884.7487093151303</v>
      </c>
      <c r="F119" s="87">
        <f>IF(F24=0,0,1000000*F24/TrRoad_act!F62)</f>
        <v>1929.1868750707897</v>
      </c>
      <c r="G119" s="87">
        <f>IF(G24=0,0,1000000*G24/TrRoad_act!G62)</f>
        <v>1814.3182589479759</v>
      </c>
      <c r="H119" s="87">
        <f>IF(H24=0,0,1000000*H24/TrRoad_act!H62)</f>
        <v>1745.4245267443414</v>
      </c>
      <c r="I119" s="87">
        <f>IF(I24=0,0,1000000*I24/TrRoad_act!I62)</f>
        <v>1898.3815794376812</v>
      </c>
      <c r="J119" s="87">
        <f>IF(J24=0,0,1000000*J24/TrRoad_act!J62)</f>
        <v>1689.6162237589119</v>
      </c>
      <c r="K119" s="87">
        <f>IF(K24=0,0,1000000*K24/TrRoad_act!K62)</f>
        <v>1787.0863339603497</v>
      </c>
      <c r="L119" s="87">
        <f>IF(L24=0,0,1000000*L24/TrRoad_act!L62)</f>
        <v>1606.2853914438494</v>
      </c>
      <c r="M119" s="87">
        <f>IF(M24=0,0,1000000*M24/TrRoad_act!M62)</f>
        <v>1510.598219930888</v>
      </c>
      <c r="N119" s="87">
        <f>IF(N24=0,0,1000000*N24/TrRoad_act!N62)</f>
        <v>1423.1646859584484</v>
      </c>
      <c r="O119" s="87">
        <f>IF(O24=0,0,1000000*O24/TrRoad_act!O62)</f>
        <v>1478.3530008324124</v>
      </c>
      <c r="P119" s="87">
        <f>IF(P24=0,0,1000000*P24/TrRoad_act!P62)</f>
        <v>1465.5499403809768</v>
      </c>
      <c r="Q119" s="87">
        <f>IF(Q24=0,0,1000000*Q24/TrRoad_act!Q62)</f>
        <v>1563.2718245048438</v>
      </c>
      <c r="R119" s="87">
        <f>IF(R24=0,0,1000000*R24/TrRoad_act!R62)</f>
        <v>1531.0467713418977</v>
      </c>
      <c r="S119" s="87">
        <f>IF(S24=0,0,1000000*S24/TrRoad_act!S62)</f>
        <v>1446.8236639323072</v>
      </c>
      <c r="T119" s="87">
        <f>IF(T24=0,0,1000000*T24/TrRoad_act!T62)</f>
        <v>1398.4514159803332</v>
      </c>
      <c r="U119" s="87">
        <f>IF(U24=0,0,1000000*U24/TrRoad_act!U62)</f>
        <v>1326.7878518105888</v>
      </c>
      <c r="V119" s="87">
        <f>IF(V24=0,0,1000000*V24/TrRoad_act!V62)</f>
        <v>1091.35798652165</v>
      </c>
      <c r="W119" s="87">
        <f>IF(W24=0,0,1000000*W24/TrRoad_act!W62)</f>
        <v>1133.6544673362071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1362.8009458297508</v>
      </c>
      <c r="C120" s="87">
        <f>IF(C26=0,0,1000000*C26/TrRoad_act!C63)</f>
        <v>1299.8181984346584</v>
      </c>
      <c r="D120" s="87">
        <f>IF(D26=0,0,1000000*D26/TrRoad_act!D63)</f>
        <v>1323.3160709293522</v>
      </c>
      <c r="E120" s="87">
        <f>IF(E26=0,0,1000000*E26/TrRoad_act!E63)</f>
        <v>1379.978600723103</v>
      </c>
      <c r="F120" s="87">
        <f>IF(F26=0,0,1000000*F26/TrRoad_act!F63)</f>
        <v>1360.1843148528887</v>
      </c>
      <c r="G120" s="87">
        <f>IF(G26=0,0,1000000*G26/TrRoad_act!G63)</f>
        <v>1363.9093760742796</v>
      </c>
      <c r="H120" s="87">
        <f>IF(H26=0,0,1000000*H26/TrRoad_act!H63)</f>
        <v>1236.2006240941644</v>
      </c>
      <c r="I120" s="87">
        <f>IF(I26=0,0,1000000*I26/TrRoad_act!I63)</f>
        <v>1281.8897091957565</v>
      </c>
      <c r="J120" s="87">
        <f>IF(J26=0,0,1000000*J26/TrRoad_act!J63)</f>
        <v>1276.4737808187431</v>
      </c>
      <c r="K120" s="87">
        <f>IF(K26=0,0,1000000*K26/TrRoad_act!K63)</f>
        <v>1227.7078828739698</v>
      </c>
      <c r="L120" s="87">
        <f>IF(L26=0,0,1000000*L26/TrRoad_act!L63)</f>
        <v>1249.279983971817</v>
      </c>
      <c r="M120" s="87">
        <f>IF(M26=0,0,1000000*M26/TrRoad_act!M63)</f>
        <v>1210.6014749944129</v>
      </c>
      <c r="N120" s="87">
        <f>IF(N26=0,0,1000000*N26/TrRoad_act!N63)</f>
        <v>1136.5590557336045</v>
      </c>
      <c r="O120" s="87">
        <f>IF(O26=0,0,1000000*O26/TrRoad_act!O63)</f>
        <v>1133.9522352820634</v>
      </c>
      <c r="P120" s="87">
        <f>IF(P26=0,0,1000000*P26/TrRoad_act!P63)</f>
        <v>1032.6510036444247</v>
      </c>
      <c r="Q120" s="87">
        <f>IF(Q26=0,0,1000000*Q26/TrRoad_act!Q63)</f>
        <v>1177.0664654872241</v>
      </c>
      <c r="R120" s="87">
        <f>IF(R26=0,0,1000000*R26/TrRoad_act!R63)</f>
        <v>1237.3696411203096</v>
      </c>
      <c r="S120" s="87">
        <f>IF(S26=0,0,1000000*S26/TrRoad_act!S63)</f>
        <v>1237.9163458274891</v>
      </c>
      <c r="T120" s="87">
        <f>IF(T26=0,0,1000000*T26/TrRoad_act!T63)</f>
        <v>1137.3584227633387</v>
      </c>
      <c r="U120" s="87">
        <f>IF(U26=0,0,1000000*U26/TrRoad_act!U63)</f>
        <v>1081.2450712229383</v>
      </c>
      <c r="V120" s="87">
        <f>IF(V26=0,0,1000000*V26/TrRoad_act!V63)</f>
        <v>758.10464765659094</v>
      </c>
      <c r="W120" s="87">
        <f>IF(W26=0,0,1000000*W26/TrRoad_act!W63)</f>
        <v>794.02152655864802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600.46794460976264</v>
      </c>
      <c r="P122" s="87">
        <f>IF(P29=0,0,1000000*P29/TrRoad_act!P65)</f>
        <v>415.26919298625415</v>
      </c>
      <c r="Q122" s="87">
        <f>IF(Q29=0,0,1000000*Q29/TrRoad_act!Q65)</f>
        <v>424.14835424612471</v>
      </c>
      <c r="R122" s="87">
        <f>IF(R29=0,0,1000000*R29/TrRoad_act!R65)</f>
        <v>469.50721246747827</v>
      </c>
      <c r="S122" s="87">
        <f>IF(S29=0,0,1000000*S29/TrRoad_act!S65)</f>
        <v>454.24628774088302</v>
      </c>
      <c r="T122" s="87">
        <f>IF(T29=0,0,1000000*T29/TrRoad_act!T65)</f>
        <v>454.52260031442239</v>
      </c>
      <c r="U122" s="87">
        <f>IF(U29=0,0,1000000*U29/TrRoad_act!U65)</f>
        <v>472.63563079972903</v>
      </c>
      <c r="V122" s="87">
        <f>IF(V29=0,0,1000000*V29/TrRoad_act!V65)</f>
        <v>359.36986399200879</v>
      </c>
      <c r="W122" s="87">
        <f>IF(W29=0,0,1000000*W29/TrRoad_act!W65)</f>
        <v>396.6733778071677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243.00548278751845</v>
      </c>
      <c r="L123" s="87">
        <f>IF(L32=0,0,1000000*L32/TrRoad_act!L66)</f>
        <v>240.65392943513291</v>
      </c>
      <c r="M123" s="87">
        <f>IF(M32=0,0,1000000*M32/TrRoad_act!M66)</f>
        <v>242.48256664293578</v>
      </c>
      <c r="N123" s="87">
        <f>IF(N32=0,0,1000000*N32/TrRoad_act!N66)</f>
        <v>225.05916849772322</v>
      </c>
      <c r="O123" s="87">
        <f>IF(O32=0,0,1000000*O32/TrRoad_act!O66)</f>
        <v>225.92344824419533</v>
      </c>
      <c r="P123" s="87">
        <f>IF(P32=0,0,1000000*P32/TrRoad_act!P66)</f>
        <v>235.79487706283362</v>
      </c>
      <c r="Q123" s="87">
        <f>IF(Q32=0,0,1000000*Q32/TrRoad_act!Q66)</f>
        <v>241.14150256285691</v>
      </c>
      <c r="R123" s="87">
        <f>IF(R32=0,0,1000000*R32/TrRoad_act!R66)</f>
        <v>231.23267537641601</v>
      </c>
      <c r="S123" s="87">
        <f>IF(S32=0,0,1000000*S32/TrRoad_act!S66)</f>
        <v>226.81349664960365</v>
      </c>
      <c r="T123" s="87">
        <f>IF(T32=0,0,1000000*T32/TrRoad_act!T66)</f>
        <v>234.57599773449371</v>
      </c>
      <c r="U123" s="87">
        <f>IF(U32=0,0,1000000*U32/TrRoad_act!U66)</f>
        <v>250.76948592244224</v>
      </c>
      <c r="V123" s="87">
        <f>IF(V32=0,0,1000000*V32/TrRoad_act!V66)</f>
        <v>228.00571649170513</v>
      </c>
      <c r="W123" s="87">
        <f>IF(W32=0,0,1000000*W32/TrRoad_act!W66)</f>
        <v>262.63347457599326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15671.037061592349</v>
      </c>
      <c r="C124" s="116">
        <f>IF(C33=0,0,1000000*C33/TrRoad_act!C67)</f>
        <v>15066.942555227795</v>
      </c>
      <c r="D124" s="116">
        <f>IF(D33=0,0,1000000*D33/TrRoad_act!D67)</f>
        <v>15064.498978577361</v>
      </c>
      <c r="E124" s="116">
        <f>IF(E33=0,0,1000000*E33/TrRoad_act!E67)</f>
        <v>15147.788398397179</v>
      </c>
      <c r="F124" s="116">
        <f>IF(F33=0,0,1000000*F33/TrRoad_act!F67)</f>
        <v>15291.22183258274</v>
      </c>
      <c r="G124" s="116">
        <f>IF(G33=0,0,1000000*G33/TrRoad_act!G67)</f>
        <v>15475.379591010516</v>
      </c>
      <c r="H124" s="116">
        <f>IF(H33=0,0,1000000*H33/TrRoad_act!H67)</f>
        <v>15696.150475977927</v>
      </c>
      <c r="I124" s="116">
        <f>IF(I33=0,0,1000000*I33/TrRoad_act!I67)</f>
        <v>15974.407251236094</v>
      </c>
      <c r="J124" s="116">
        <f>IF(J33=0,0,1000000*J33/TrRoad_act!J67)</f>
        <v>16294.363633594392</v>
      </c>
      <c r="K124" s="116">
        <f>IF(K33=0,0,1000000*K33/TrRoad_act!K67)</f>
        <v>16561.590503458374</v>
      </c>
      <c r="L124" s="116">
        <f>IF(L33=0,0,1000000*L33/TrRoad_act!L67)</f>
        <v>16824.618095058122</v>
      </c>
      <c r="M124" s="116">
        <f>IF(M33=0,0,1000000*M33/TrRoad_act!M67)</f>
        <v>16460.149084989891</v>
      </c>
      <c r="N124" s="116">
        <f>IF(N33=0,0,1000000*N33/TrRoad_act!N67)</f>
        <v>16136.901295597469</v>
      </c>
      <c r="O124" s="116">
        <f>IF(O33=0,0,1000000*O33/TrRoad_act!O67)</f>
        <v>15822.249270971095</v>
      </c>
      <c r="P124" s="116">
        <f>IF(P33=0,0,1000000*P33/TrRoad_act!P67)</f>
        <v>15776.878659790253</v>
      </c>
      <c r="Q124" s="116">
        <f>IF(Q33=0,0,1000000*Q33/TrRoad_act!Q67)</f>
        <v>15592.745304126258</v>
      </c>
      <c r="R124" s="116">
        <f>IF(R33=0,0,1000000*R33/TrRoad_act!R67)</f>
        <v>15676.874933162188</v>
      </c>
      <c r="S124" s="116">
        <f>IF(S33=0,0,1000000*S33/TrRoad_act!S67)</f>
        <v>16565.101880019269</v>
      </c>
      <c r="T124" s="116">
        <f>IF(T33=0,0,1000000*T33/TrRoad_act!T67)</f>
        <v>17044.535532962513</v>
      </c>
      <c r="U124" s="116">
        <f>IF(U33=0,0,1000000*U33/TrRoad_act!U67)</f>
        <v>16726.980761837251</v>
      </c>
      <c r="V124" s="116">
        <f>IF(V33=0,0,1000000*V33/TrRoad_act!V67)</f>
        <v>15151.438743168685</v>
      </c>
      <c r="W124" s="116">
        <f>IF(W33=0,0,1000000*W33/TrRoad_act!W67)</f>
        <v>14320.938902941794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4726.3252628372875</v>
      </c>
      <c r="C125" s="101">
        <f>IF(C34=0,0,1000000*C34/TrRoad_act!C68)</f>
        <v>4731.0778824255358</v>
      </c>
      <c r="D125" s="101">
        <f>IF(D34=0,0,1000000*D34/TrRoad_act!D68)</f>
        <v>4737.8880770752066</v>
      </c>
      <c r="E125" s="101">
        <f>IF(E34=0,0,1000000*E34/TrRoad_act!E68)</f>
        <v>4752.8265680749619</v>
      </c>
      <c r="F125" s="101">
        <f>IF(F34=0,0,1000000*F34/TrRoad_act!F68)</f>
        <v>4763.1430621837426</v>
      </c>
      <c r="G125" s="101">
        <f>IF(G34=0,0,1000000*G34/TrRoad_act!G68)</f>
        <v>4773.7689762501595</v>
      </c>
      <c r="H125" s="101">
        <f>IF(H34=0,0,1000000*H34/TrRoad_act!H68)</f>
        <v>4791.1047818757188</v>
      </c>
      <c r="I125" s="101">
        <f>IF(I34=0,0,1000000*I34/TrRoad_act!I68)</f>
        <v>4980.9403514337182</v>
      </c>
      <c r="J125" s="101">
        <f>IF(J34=0,0,1000000*J34/TrRoad_act!J68)</f>
        <v>5196.0986655395272</v>
      </c>
      <c r="K125" s="101">
        <f>IF(K34=0,0,1000000*K34/TrRoad_act!K68)</f>
        <v>5186.1390472578596</v>
      </c>
      <c r="L125" s="101">
        <f>IF(L34=0,0,1000000*L34/TrRoad_act!L68)</f>
        <v>5167.5114182097486</v>
      </c>
      <c r="M125" s="101">
        <f>IF(M34=0,0,1000000*M34/TrRoad_act!M68)</f>
        <v>5155.0378969433768</v>
      </c>
      <c r="N125" s="101">
        <f>IF(N34=0,0,1000000*N34/TrRoad_act!N68)</f>
        <v>5002.1204700091903</v>
      </c>
      <c r="O125" s="101">
        <f>IF(O34=0,0,1000000*O34/TrRoad_act!O68)</f>
        <v>5015.0741042469654</v>
      </c>
      <c r="P125" s="101">
        <f>IF(P34=0,0,1000000*P34/TrRoad_act!P68)</f>
        <v>5028.5919935663669</v>
      </c>
      <c r="Q125" s="101">
        <f>IF(Q34=0,0,1000000*Q34/TrRoad_act!Q68)</f>
        <v>4967.4396003890906</v>
      </c>
      <c r="R125" s="101">
        <f>IF(R34=0,0,1000000*R34/TrRoad_act!R68)</f>
        <v>5032.8048891620592</v>
      </c>
      <c r="S125" s="101">
        <f>IF(S34=0,0,1000000*S34/TrRoad_act!S68)</f>
        <v>5273.8413413694761</v>
      </c>
      <c r="T125" s="101">
        <f>IF(T34=0,0,1000000*T34/TrRoad_act!T68)</f>
        <v>5536.5448913650698</v>
      </c>
      <c r="U125" s="101">
        <f>IF(U34=0,0,1000000*U34/TrRoad_act!U68)</f>
        <v>5415.5833821064371</v>
      </c>
      <c r="V125" s="101">
        <f>IF(V34=0,0,1000000*V34/TrRoad_act!V68)</f>
        <v>4958.7308870492216</v>
      </c>
      <c r="W125" s="101">
        <f>IF(W34=0,0,1000000*W34/TrRoad_act!W68)</f>
        <v>4777.4677685078414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15897.245832680479</v>
      </c>
      <c r="C126" s="101">
        <f>IF(C36=0,0,1000000*C36/TrRoad_act!C69)</f>
        <v>15258.287536611515</v>
      </c>
      <c r="D126" s="101">
        <f>IF(D36=0,0,1000000*D36/TrRoad_act!D69)</f>
        <v>15237.274056278222</v>
      </c>
      <c r="E126" s="101">
        <f>IF(E36=0,0,1000000*E36/TrRoad_act!E69)</f>
        <v>15298.220398734122</v>
      </c>
      <c r="F126" s="101">
        <f>IF(F36=0,0,1000000*F36/TrRoad_act!F69)</f>
        <v>15422.478369859775</v>
      </c>
      <c r="G126" s="101">
        <f>IF(G36=0,0,1000000*G36/TrRoad_act!G69)</f>
        <v>15589.141167976917</v>
      </c>
      <c r="H126" s="101">
        <f>IF(H36=0,0,1000000*H36/TrRoad_act!H69)</f>
        <v>15791.366545091803</v>
      </c>
      <c r="I126" s="101">
        <f>IF(I36=0,0,1000000*I36/TrRoad_act!I69)</f>
        <v>16052.789816233184</v>
      </c>
      <c r="J126" s="101">
        <f>IF(J36=0,0,1000000*J36/TrRoad_act!J69)</f>
        <v>16356.491505480308</v>
      </c>
      <c r="K126" s="101">
        <f>IF(K36=0,0,1000000*K36/TrRoad_act!K69)</f>
        <v>16615.897120871046</v>
      </c>
      <c r="L126" s="101">
        <f>IF(L36=0,0,1000000*L36/TrRoad_act!L69)</f>
        <v>16870.754021076409</v>
      </c>
      <c r="M126" s="101">
        <f>IF(M36=0,0,1000000*M36/TrRoad_act!M69)</f>
        <v>16495.860200007955</v>
      </c>
      <c r="N126" s="101">
        <f>IF(N36=0,0,1000000*N36/TrRoad_act!N69)</f>
        <v>16164.030256105139</v>
      </c>
      <c r="O126" s="101">
        <f>IF(O36=0,0,1000000*O36/TrRoad_act!O69)</f>
        <v>15847.967036909844</v>
      </c>
      <c r="P126" s="101">
        <f>IF(P36=0,0,1000000*P36/TrRoad_act!P69)</f>
        <v>15801.832646837996</v>
      </c>
      <c r="Q126" s="101">
        <f>IF(Q36=0,0,1000000*Q36/TrRoad_act!Q69)</f>
        <v>15613.382060701095</v>
      </c>
      <c r="R126" s="101">
        <f>IF(R36=0,0,1000000*R36/TrRoad_act!R69)</f>
        <v>15692.795479904615</v>
      </c>
      <c r="S126" s="101">
        <f>IF(S36=0,0,1000000*S36/TrRoad_act!S69)</f>
        <v>16584.186542744854</v>
      </c>
      <c r="T126" s="101">
        <f>IF(T36=0,0,1000000*T36/TrRoad_act!T69)</f>
        <v>17056.710657028925</v>
      </c>
      <c r="U126" s="101">
        <f>IF(U36=0,0,1000000*U36/TrRoad_act!U69)</f>
        <v>16741.100880904462</v>
      </c>
      <c r="V126" s="101">
        <f>IF(V36=0,0,1000000*V36/TrRoad_act!V69)</f>
        <v>15165.64868956775</v>
      </c>
      <c r="W126" s="101">
        <f>IF(W36=0,0,1000000*W36/TrRoad_act!W69)</f>
        <v>14332.110844457939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6760.1321580492267</v>
      </c>
      <c r="D127" s="101">
        <f>IF(D38=0,0,1000000*D38/TrRoad_act!D70)</f>
        <v>6927.6400967107629</v>
      </c>
      <c r="E127" s="101">
        <f>IF(E38=0,0,1000000*E38/TrRoad_act!E70)</f>
        <v>7113.5022603323332</v>
      </c>
      <c r="F127" s="101">
        <f>IF(F38=0,0,1000000*F38/TrRoad_act!F70)</f>
        <v>7296.8094073076263</v>
      </c>
      <c r="G127" s="101">
        <f>IF(G38=0,0,1000000*G38/TrRoad_act!G70)</f>
        <v>7485.886636782825</v>
      </c>
      <c r="H127" s="101">
        <f>IF(H38=0,0,1000000*H38/TrRoad_act!H70)</f>
        <v>7692.8402844043194</v>
      </c>
      <c r="I127" s="101">
        <f>IF(I38=0,0,1000000*I38/TrRoad_act!I70)</f>
        <v>7903.5707014863174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14586.774530340836</v>
      </c>
      <c r="K129" s="101">
        <f>IF(K41=0,0,1000000*K41/TrRoad_act!K72)</f>
        <v>14600.552506781001</v>
      </c>
      <c r="L129" s="101">
        <f>IF(L41=0,0,1000000*L41/TrRoad_act!L72)</f>
        <v>14613.839059026508</v>
      </c>
      <c r="M129" s="101">
        <f>IF(M41=0,0,1000000*M41/TrRoad_act!M72)</f>
        <v>14628.44626123016</v>
      </c>
      <c r="N129" s="101">
        <f>IF(N41=0,0,1000000*N41/TrRoad_act!N72)</f>
        <v>14632.158320716091</v>
      </c>
      <c r="O129" s="101">
        <f>IF(O41=0,0,1000000*O41/TrRoad_act!O72)</f>
        <v>14647.766546887719</v>
      </c>
      <c r="P129" s="101">
        <f>IF(P41=0,0,1000000*P41/TrRoad_act!P72)</f>
        <v>14663.465119495932</v>
      </c>
      <c r="Q129" s="101">
        <f>IF(Q41=0,0,1000000*Q41/TrRoad_act!Q72)</f>
        <v>14670.898949591641</v>
      </c>
      <c r="R129" s="101">
        <f>IF(R41=0,0,1000000*R41/TrRoad_act!R72)</f>
        <v>14670.136961956016</v>
      </c>
      <c r="S129" s="101">
        <f>IF(S41=0,0,1000000*S41/TrRoad_act!S72)</f>
        <v>14633.9476859305</v>
      </c>
      <c r="T129" s="101">
        <f>IF(T41=0,0,1000000*T41/TrRoad_act!T72)</f>
        <v>14617.63965641667</v>
      </c>
      <c r="U129" s="101">
        <f>IF(U41=0,0,1000000*U41/TrRoad_act!U72)</f>
        <v>14514.914059502124</v>
      </c>
      <c r="V129" s="101">
        <f>IF(V41=0,0,1000000*V41/TrRoad_act!V72)</f>
        <v>13562.41995203081</v>
      </c>
      <c r="W129" s="101">
        <f>IF(W41=0,0,1000000*W41/TrRoad_act!W72)</f>
        <v>14651.507906032153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2640.2635353061751</v>
      </c>
      <c r="C131" s="152">
        <f>IF(C43=0,0,1000000*C43/TrRoad_act!C74)</f>
        <v>2509.1240815269016</v>
      </c>
      <c r="D131" s="152">
        <f>IF(D43=0,0,1000000*D43/TrRoad_act!D74)</f>
        <v>2453.3069103653861</v>
      </c>
      <c r="E131" s="152">
        <f>IF(E43=0,0,1000000*E43/TrRoad_act!E74)</f>
        <v>2407.6122809750636</v>
      </c>
      <c r="F131" s="152">
        <f>IF(F43=0,0,1000000*F43/TrRoad_act!F74)</f>
        <v>2409.6902929437533</v>
      </c>
      <c r="G131" s="152">
        <f>IF(G43=0,0,1000000*G43/TrRoad_act!G74)</f>
        <v>2383.5735084674884</v>
      </c>
      <c r="H131" s="152">
        <f>IF(H43=0,0,1000000*H43/TrRoad_act!H74)</f>
        <v>2378.6639108533514</v>
      </c>
      <c r="I131" s="152">
        <f>IF(I43=0,0,1000000*I43/TrRoad_act!I74)</f>
        <v>2379.7776973613222</v>
      </c>
      <c r="J131" s="152">
        <f>IF(J43=0,0,1000000*J43/TrRoad_act!J74)</f>
        <v>2297.1810363719414</v>
      </c>
      <c r="K131" s="152">
        <f>IF(K43=0,0,1000000*K43/TrRoad_act!K74)</f>
        <v>2240.9275227080648</v>
      </c>
      <c r="L131" s="152">
        <f>IF(L43=0,0,1000000*L43/TrRoad_act!L74)</f>
        <v>2163.4126018815955</v>
      </c>
      <c r="M131" s="152">
        <f>IF(M43=0,0,1000000*M43/TrRoad_act!M74)</f>
        <v>2135.4116904587136</v>
      </c>
      <c r="N131" s="152">
        <f>IF(N43=0,0,1000000*N43/TrRoad_act!N74)</f>
        <v>2074.688990715134</v>
      </c>
      <c r="O131" s="152">
        <f>IF(O43=0,0,1000000*O43/TrRoad_act!O74)</f>
        <v>2100.1998733883497</v>
      </c>
      <c r="P131" s="152">
        <f>IF(P43=0,0,1000000*P43/TrRoad_act!P74)</f>
        <v>2110.700908648917</v>
      </c>
      <c r="Q131" s="152">
        <f>IF(Q43=0,0,1000000*Q43/TrRoad_act!Q74)</f>
        <v>2102.2589292355424</v>
      </c>
      <c r="R131" s="152">
        <f>IF(R43=0,0,1000000*R43/TrRoad_act!R74)</f>
        <v>2067.2277136511948</v>
      </c>
      <c r="S131" s="152">
        <f>IF(S43=0,0,1000000*S43/TrRoad_act!S74)</f>
        <v>2012.9804000891686</v>
      </c>
      <c r="T131" s="152">
        <f>IF(T43=0,0,1000000*T43/TrRoad_act!T74)</f>
        <v>2016.3603341218691</v>
      </c>
      <c r="U131" s="152">
        <f>IF(U43=0,0,1000000*U43/TrRoad_act!U74)</f>
        <v>1952.4851092137053</v>
      </c>
      <c r="V131" s="152">
        <f>IF(V43=0,0,1000000*V43/TrRoad_act!V74)</f>
        <v>1896.1899799125833</v>
      </c>
      <c r="W131" s="152">
        <f>IF(W43=0,0,1000000*W43/TrRoad_act!W74)</f>
        <v>1949.4983493040004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1222.8553397086441</v>
      </c>
      <c r="C132" s="87">
        <f>IF(C44=0,0,1000000*C44/TrRoad_act!C75)</f>
        <v>1199.3826161510328</v>
      </c>
      <c r="D132" s="87">
        <f>IF(D44=0,0,1000000*D44/TrRoad_act!D75)</f>
        <v>1181.2185073920882</v>
      </c>
      <c r="E132" s="87">
        <f>IF(E44=0,0,1000000*E44/TrRoad_act!E75)</f>
        <v>1163.7209040292769</v>
      </c>
      <c r="F132" s="87">
        <f>IF(F44=0,0,1000000*F44/TrRoad_act!F75)</f>
        <v>1142.4870043448057</v>
      </c>
      <c r="G132" s="87">
        <f>IF(G44=0,0,1000000*G44/TrRoad_act!G75)</f>
        <v>1112.7592185772096</v>
      </c>
      <c r="H132" s="87">
        <f>IF(H44=0,0,1000000*H44/TrRoad_act!H75)</f>
        <v>1077.9361062509315</v>
      </c>
      <c r="I132" s="87">
        <f>IF(I44=0,0,1000000*I44/TrRoad_act!I75)</f>
        <v>1043.811726448866</v>
      </c>
      <c r="J132" s="87">
        <f>IF(J44=0,0,1000000*J44/TrRoad_act!J75)</f>
        <v>1023.4099897792476</v>
      </c>
      <c r="K132" s="87">
        <f>IF(K44=0,0,1000000*K44/TrRoad_act!K75)</f>
        <v>1006.8423992882565</v>
      </c>
      <c r="L132" s="87">
        <f>IF(L44=0,0,1000000*L44/TrRoad_act!L75)</f>
        <v>990.61500324266876</v>
      </c>
      <c r="M132" s="87">
        <f>IF(M44=0,0,1000000*M44/TrRoad_act!M75)</f>
        <v>983.18754817511331</v>
      </c>
      <c r="N132" s="87">
        <f>IF(N44=0,0,1000000*N44/TrRoad_act!N75)</f>
        <v>968.1624020321583</v>
      </c>
      <c r="O132" s="87">
        <f>IF(O44=0,0,1000000*O44/TrRoad_act!O75)</f>
        <v>979.14902780826026</v>
      </c>
      <c r="P132" s="87">
        <f>IF(P44=0,0,1000000*P44/TrRoad_act!P75)</f>
        <v>969.78457556408659</v>
      </c>
      <c r="Q132" s="87">
        <f>IF(Q44=0,0,1000000*Q44/TrRoad_act!Q75)</f>
        <v>941.55680699789821</v>
      </c>
      <c r="R132" s="87">
        <f>IF(R44=0,0,1000000*R44/TrRoad_act!R75)</f>
        <v>935.39143380061262</v>
      </c>
      <c r="S132" s="87">
        <f>IF(S44=0,0,1000000*S44/TrRoad_act!S75)</f>
        <v>948.12831690994233</v>
      </c>
      <c r="T132" s="87">
        <f>IF(T44=0,0,1000000*T44/TrRoad_act!T75)</f>
        <v>947.1438845393842</v>
      </c>
      <c r="U132" s="87">
        <f>IF(U44=0,0,1000000*U44/TrRoad_act!U75)</f>
        <v>926.02262265841921</v>
      </c>
      <c r="V132" s="87">
        <f>IF(V44=0,0,1000000*V44/TrRoad_act!V75)</f>
        <v>862.21614608218556</v>
      </c>
      <c r="W132" s="87">
        <f>IF(W44=0,0,1000000*W44/TrRoad_act!W75)</f>
        <v>878.40590733582189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2675.6107875895304</v>
      </c>
      <c r="C133" s="87">
        <f>IF(C46=0,0,1000000*C46/TrRoad_act!C76)</f>
        <v>2536.842855650978</v>
      </c>
      <c r="D133" s="87">
        <f>IF(D46=0,0,1000000*D46/TrRoad_act!D76)</f>
        <v>2476.640537756035</v>
      </c>
      <c r="E133" s="87">
        <f>IF(E46=0,0,1000000*E46/TrRoad_act!E76)</f>
        <v>2426.7355063784053</v>
      </c>
      <c r="F133" s="87">
        <f>IF(F46=0,0,1000000*F46/TrRoad_act!F76)</f>
        <v>2425.5934817476086</v>
      </c>
      <c r="G133" s="87">
        <f>IF(G46=0,0,1000000*G46/TrRoad_act!G76)</f>
        <v>2395.0710873393409</v>
      </c>
      <c r="H133" s="87">
        <f>IF(H46=0,0,1000000*H46/TrRoad_act!H76)</f>
        <v>2387.117253319514</v>
      </c>
      <c r="I133" s="87">
        <f>IF(I46=0,0,1000000*I46/TrRoad_act!I76)</f>
        <v>2386.2506121313809</v>
      </c>
      <c r="J133" s="87">
        <f>IF(J46=0,0,1000000*J46/TrRoad_act!J76)</f>
        <v>2302.7145381439368</v>
      </c>
      <c r="K133" s="87">
        <f>IF(K46=0,0,1000000*K46/TrRoad_act!K76)</f>
        <v>2245.9985010708565</v>
      </c>
      <c r="L133" s="87">
        <f>IF(L46=0,0,1000000*L46/TrRoad_act!L76)</f>
        <v>2167.6970769254885</v>
      </c>
      <c r="M133" s="87">
        <f>IF(M46=0,0,1000000*M46/TrRoad_act!M76)</f>
        <v>2139.3277879607399</v>
      </c>
      <c r="N133" s="87">
        <f>IF(N46=0,0,1000000*N46/TrRoad_act!N76)</f>
        <v>2078.3040283611695</v>
      </c>
      <c r="O133" s="87">
        <f>IF(O46=0,0,1000000*O46/TrRoad_act!O76)</f>
        <v>2103.7171778336451</v>
      </c>
      <c r="P133" s="87">
        <f>IF(P46=0,0,1000000*P46/TrRoad_act!P76)</f>
        <v>2114.2520214246701</v>
      </c>
      <c r="Q133" s="87">
        <f>IF(Q46=0,0,1000000*Q46/TrRoad_act!Q76)</f>
        <v>2105.6383497213947</v>
      </c>
      <c r="R133" s="87">
        <f>IF(R46=0,0,1000000*R46/TrRoad_act!R76)</f>
        <v>2070.326044519566</v>
      </c>
      <c r="S133" s="87">
        <f>IF(S46=0,0,1000000*S46/TrRoad_act!S76)</f>
        <v>2016.5971724903009</v>
      </c>
      <c r="T133" s="87">
        <f>IF(T46=0,0,1000000*T46/TrRoad_act!T76)</f>
        <v>2020.1370510037038</v>
      </c>
      <c r="U133" s="87">
        <f>IF(U46=0,0,1000000*U46/TrRoad_act!U76)</f>
        <v>1957.4052683724358</v>
      </c>
      <c r="V133" s="87">
        <f>IF(V46=0,0,1000000*V46/TrRoad_act!V76)</f>
        <v>1906.1248404251271</v>
      </c>
      <c r="W133" s="87">
        <f>IF(W46=0,0,1000000*W46/TrRoad_act!W76)</f>
        <v>1964.5502158533752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1226.1144758827661</v>
      </c>
      <c r="P134" s="87">
        <f>IF(P48=0,0,1000000*P48/TrRoad_act!P77)</f>
        <v>1229.0972023311658</v>
      </c>
      <c r="Q134" s="87">
        <f>IF(Q48=0,0,1000000*Q48/TrRoad_act!Q77)</f>
        <v>1214.2729727597359</v>
      </c>
      <c r="R134" s="87">
        <f>IF(R48=0,0,1000000*R48/TrRoad_act!R77)</f>
        <v>1201.8066997584599</v>
      </c>
      <c r="S134" s="87">
        <f>IF(S48=0,0,1000000*S48/TrRoad_act!S77)</f>
        <v>1136.8485436931892</v>
      </c>
      <c r="T134" s="87">
        <f>IF(T48=0,0,1000000*T48/TrRoad_act!T77)</f>
        <v>1148.7956098851871</v>
      </c>
      <c r="U134" s="87">
        <f>IF(U48=0,0,1000000*U48/TrRoad_act!U77)</f>
        <v>1136.7988364146981</v>
      </c>
      <c r="V134" s="87">
        <f>IF(V48=0,0,1000000*V48/TrRoad_act!V77)</f>
        <v>1115.2212823744976</v>
      </c>
      <c r="W134" s="87">
        <f>IF(W48=0,0,1000000*W48/TrRoad_act!W77)</f>
        <v>1127.2315775063469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238.425009354906</v>
      </c>
      <c r="N136" s="87">
        <f>IF(N51=0,0,1000000*N51/TrRoad_act!N79)</f>
        <v>239.29587474873145</v>
      </c>
      <c r="O136" s="87">
        <f>IF(O51=0,0,1000000*O51/TrRoad_act!O79)</f>
        <v>239.48391007117922</v>
      </c>
      <c r="P136" s="87">
        <f>IF(P51=0,0,1000000*P51/TrRoad_act!P79)</f>
        <v>240.39087948143739</v>
      </c>
      <c r="Q136" s="87">
        <f>IF(Q51=0,0,1000000*Q51/TrRoad_act!Q79)</f>
        <v>246.70278569559534</v>
      </c>
      <c r="R136" s="87">
        <f>IF(R51=0,0,1000000*R51/TrRoad_act!R79)</f>
        <v>248.30791490246784</v>
      </c>
      <c r="S136" s="87">
        <f>IF(S51=0,0,1000000*S51/TrRoad_act!S79)</f>
        <v>252.58182409320634</v>
      </c>
      <c r="T136" s="87">
        <f>IF(T51=0,0,1000000*T51/TrRoad_act!T79)</f>
        <v>280.41969284599588</v>
      </c>
      <c r="U136" s="87">
        <f>IF(U51=0,0,1000000*U51/TrRoad_act!U79)</f>
        <v>454.46192507190653</v>
      </c>
      <c r="V136" s="87">
        <f>IF(V51=0,0,1000000*V51/TrRoad_act!V79)</f>
        <v>342.74705868597061</v>
      </c>
      <c r="W136" s="87">
        <f>IF(W51=0,0,1000000*W51/TrRoad_act!W79)</f>
        <v>421.95993877945534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13277.076445009114</v>
      </c>
      <c r="C137" s="116">
        <f>IF(C52=0,0,1000000*C52/TrRoad_act!C80)</f>
        <v>12486.514626187796</v>
      </c>
      <c r="D137" s="116">
        <f>IF(D52=0,0,1000000*D52/TrRoad_act!D80)</f>
        <v>12603.025125233318</v>
      </c>
      <c r="E137" s="116">
        <f>IF(E52=0,0,1000000*E52/TrRoad_act!E80)</f>
        <v>12528.706886055636</v>
      </c>
      <c r="F137" s="116">
        <f>IF(F52=0,0,1000000*F52/TrRoad_act!F80)</f>
        <v>13136.663840910427</v>
      </c>
      <c r="G137" s="116">
        <f>IF(G52=0,0,1000000*G52/TrRoad_act!G80)</f>
        <v>12275.240826607511</v>
      </c>
      <c r="H137" s="116">
        <f>IF(H52=0,0,1000000*H52/TrRoad_act!H80)</f>
        <v>11251.359167521838</v>
      </c>
      <c r="I137" s="116">
        <f>IF(I52=0,0,1000000*I52/TrRoad_act!I80)</f>
        <v>10822.640445677842</v>
      </c>
      <c r="J137" s="116">
        <f>IF(J52=0,0,1000000*J52/TrRoad_act!J80)</f>
        <v>10972.456951627444</v>
      </c>
      <c r="K137" s="116">
        <f>IF(K52=0,0,1000000*K52/TrRoad_act!K80)</f>
        <v>8741.5839838107677</v>
      </c>
      <c r="L137" s="116">
        <f>IF(L52=0,0,1000000*L52/TrRoad_act!L80)</f>
        <v>7855.9138712028052</v>
      </c>
      <c r="M137" s="116">
        <f>IF(M52=0,0,1000000*M52/TrRoad_act!M80)</f>
        <v>7387.1798291867626</v>
      </c>
      <c r="N137" s="116">
        <f>IF(N52=0,0,1000000*N52/TrRoad_act!N80)</f>
        <v>7403.2823754498559</v>
      </c>
      <c r="O137" s="116">
        <f>IF(O52=0,0,1000000*O52/TrRoad_act!O80)</f>
        <v>7598.4867061273662</v>
      </c>
      <c r="P137" s="116">
        <f>IF(P52=0,0,1000000*P52/TrRoad_act!P80)</f>
        <v>7764.4954003892362</v>
      </c>
      <c r="Q137" s="116">
        <f>IF(Q52=0,0,1000000*Q52/TrRoad_act!Q80)</f>
        <v>7427.1240346819231</v>
      </c>
      <c r="R137" s="116">
        <f>IF(R52=0,0,1000000*R52/TrRoad_act!R80)</f>
        <v>8040.798636175201</v>
      </c>
      <c r="S137" s="116">
        <f>IF(S52=0,0,1000000*S52/TrRoad_act!S80)</f>
        <v>7511.2398304965182</v>
      </c>
      <c r="T137" s="116">
        <f>IF(T52=0,0,1000000*T52/TrRoad_act!T80)</f>
        <v>7730.3590573010533</v>
      </c>
      <c r="U137" s="116">
        <f>IF(U52=0,0,1000000*U52/TrRoad_act!U80)</f>
        <v>8115.4207010227055</v>
      </c>
      <c r="V137" s="116">
        <f>IF(V52=0,0,1000000*V52/TrRoad_act!V80)</f>
        <v>6800.220400626813</v>
      </c>
      <c r="W137" s="116">
        <f>IF(W52=0,0,1000000*W52/TrRoad_act!W80)</f>
        <v>7444.9967901002601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12617.073414659375</v>
      </c>
      <c r="C138" s="101">
        <f>IF(C53=0,0,1000000*C53/TrRoad_act!C81)</f>
        <v>11818.856042386102</v>
      </c>
      <c r="D138" s="101">
        <f>IF(D53=0,0,1000000*D53/TrRoad_act!D81)</f>
        <v>12004.59423459438</v>
      </c>
      <c r="E138" s="101">
        <f>IF(E53=0,0,1000000*E53/TrRoad_act!E81)</f>
        <v>11959.159403445154</v>
      </c>
      <c r="F138" s="101">
        <f>IF(F53=0,0,1000000*F53/TrRoad_act!F81)</f>
        <v>12515.170330991254</v>
      </c>
      <c r="G138" s="101">
        <f>IF(G53=0,0,1000000*G53/TrRoad_act!G81)</f>
        <v>11722.334366204577</v>
      </c>
      <c r="H138" s="101">
        <f>IF(H53=0,0,1000000*H53/TrRoad_act!H81)</f>
        <v>10709.270935621738</v>
      </c>
      <c r="I138" s="101">
        <f>IF(I53=0,0,1000000*I53/TrRoad_act!I81)</f>
        <v>10277.694166395997</v>
      </c>
      <c r="J138" s="101">
        <f>IF(J53=0,0,1000000*J53/TrRoad_act!J81)</f>
        <v>10459.702333814254</v>
      </c>
      <c r="K138" s="101">
        <f>IF(K53=0,0,1000000*K53/TrRoad_act!K81)</f>
        <v>8213.6385038387034</v>
      </c>
      <c r="L138" s="101">
        <f>IF(L53=0,0,1000000*L53/TrRoad_act!L81)</f>
        <v>7360.7801403958256</v>
      </c>
      <c r="M138" s="101">
        <f>IF(M53=0,0,1000000*M53/TrRoad_act!M81)</f>
        <v>6858.266008883571</v>
      </c>
      <c r="N138" s="101">
        <f>IF(N53=0,0,1000000*N53/TrRoad_act!N81)</f>
        <v>6916.2492837145946</v>
      </c>
      <c r="O138" s="101">
        <f>IF(O53=0,0,1000000*O53/TrRoad_act!O81)</f>
        <v>7114.8465574699276</v>
      </c>
      <c r="P138" s="101">
        <f>IF(P53=0,0,1000000*P53/TrRoad_act!P81)</f>
        <v>7282.7817709505625</v>
      </c>
      <c r="Q138" s="101">
        <f>IF(Q53=0,0,1000000*Q53/TrRoad_act!Q81)</f>
        <v>6907.7505510987221</v>
      </c>
      <c r="R138" s="101">
        <f>IF(R53=0,0,1000000*R53/TrRoad_act!R81)</f>
        <v>7594.1013712099002</v>
      </c>
      <c r="S138" s="101">
        <f>IF(S53=0,0,1000000*S53/TrRoad_act!S81)</f>
        <v>7106.57271125221</v>
      </c>
      <c r="T138" s="101">
        <f>IF(T53=0,0,1000000*T53/TrRoad_act!T81)</f>
        <v>7282.3602582772583</v>
      </c>
      <c r="U138" s="101">
        <f>IF(U53=0,0,1000000*U53/TrRoad_act!U81)</f>
        <v>7618.5998419308298</v>
      </c>
      <c r="V138" s="101">
        <f>IF(V53=0,0,1000000*V53/TrRoad_act!V81)</f>
        <v>6611.1982335152479</v>
      </c>
      <c r="W138" s="101">
        <f>IF(W53=0,0,1000000*W53/TrRoad_act!W81)</f>
        <v>7252.5023711377444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57224.034145588332</v>
      </c>
      <c r="C139" s="88">
        <f>IF(C55=0,0,1000000*C55/TrRoad_act!C82)</f>
        <v>59656.176686014405</v>
      </c>
      <c r="D139" s="88">
        <f>IF(D55=0,0,1000000*D55/TrRoad_act!D82)</f>
        <v>53708.019932788535</v>
      </c>
      <c r="E139" s="88">
        <f>IF(E55=0,0,1000000*E55/TrRoad_act!E82)</f>
        <v>51805.616631042969</v>
      </c>
      <c r="F139" s="88">
        <f>IF(F55=0,0,1000000*F55/TrRoad_act!F82)</f>
        <v>51028.522301035315</v>
      </c>
      <c r="G139" s="88">
        <f>IF(G55=0,0,1000000*G55/TrRoad_act!G82)</f>
        <v>48462.140713855442</v>
      </c>
      <c r="H139" s="88">
        <f>IF(H55=0,0,1000000*H55/TrRoad_act!H82)</f>
        <v>50248.554262662117</v>
      </c>
      <c r="I139" s="88">
        <f>IF(I55=0,0,1000000*I55/TrRoad_act!I82)</f>
        <v>51897.067588434693</v>
      </c>
      <c r="J139" s="88">
        <f>IF(J55=0,0,1000000*J55/TrRoad_act!J82)</f>
        <v>47146.393986776122</v>
      </c>
      <c r="K139" s="88">
        <f>IF(K55=0,0,1000000*K55/TrRoad_act!K82)</f>
        <v>47685.003820431819</v>
      </c>
      <c r="L139" s="88">
        <f>IF(L55=0,0,1000000*L55/TrRoad_act!L82)</f>
        <v>41819.343990436158</v>
      </c>
      <c r="M139" s="88">
        <f>IF(M55=0,0,1000000*M55/TrRoad_act!M82)</f>
        <v>39487.240530682357</v>
      </c>
      <c r="N139" s="88">
        <f>IF(N55=0,0,1000000*N55/TrRoad_act!N82)</f>
        <v>39752.203799876115</v>
      </c>
      <c r="O139" s="88">
        <f>IF(O55=0,0,1000000*O55/TrRoad_act!O82)</f>
        <v>40408.443708552208</v>
      </c>
      <c r="P139" s="88">
        <f>IF(P55=0,0,1000000*P55/TrRoad_act!P82)</f>
        <v>43223.577343849254</v>
      </c>
      <c r="Q139" s="88">
        <f>IF(Q55=0,0,1000000*Q55/TrRoad_act!Q82)</f>
        <v>43431.229251853722</v>
      </c>
      <c r="R139" s="88">
        <f>IF(R55=0,0,1000000*R55/TrRoad_act!R82)</f>
        <v>43249.032384729762</v>
      </c>
      <c r="S139" s="88">
        <f>IF(S55=0,0,1000000*S55/TrRoad_act!S82)</f>
        <v>41844.010570099592</v>
      </c>
      <c r="T139" s="88">
        <f>IF(T55=0,0,1000000*T55/TrRoad_act!T82)</f>
        <v>42745.220540564369</v>
      </c>
      <c r="U139" s="88">
        <f>IF(U55=0,0,1000000*U55/TrRoad_act!U82)</f>
        <v>42535.023155923642</v>
      </c>
      <c r="V139" s="88">
        <f>IF(V55=0,0,1000000*V55/TrRoad_act!V82)</f>
        <v>42018.937282915671</v>
      </c>
      <c r="W139" s="88">
        <f>IF(W55=0,0,1000000*W55/TrRoad_act!W82)</f>
        <v>43627.543631134649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0.61974146524583373</v>
      </c>
      <c r="C142" s="46">
        <f t="shared" si="41"/>
        <v>0.6156207482088849</v>
      </c>
      <c r="D142" s="46">
        <f t="shared" si="41"/>
        <v>0.60816258890897645</v>
      </c>
      <c r="E142" s="46">
        <f t="shared" si="41"/>
        <v>0.60226327711204575</v>
      </c>
      <c r="F142" s="46">
        <f t="shared" si="41"/>
        <v>0.59136347145209966</v>
      </c>
      <c r="G142" s="46">
        <f t="shared" si="41"/>
        <v>0.59739823266210557</v>
      </c>
      <c r="H142" s="46">
        <f t="shared" si="41"/>
        <v>0.61203312989231584</v>
      </c>
      <c r="I142" s="46">
        <f t="shared" si="41"/>
        <v>0.59493842989453893</v>
      </c>
      <c r="J142" s="46">
        <f t="shared" si="41"/>
        <v>0.62265787679271378</v>
      </c>
      <c r="K142" s="46">
        <f t="shared" si="41"/>
        <v>0.6682811564505432</v>
      </c>
      <c r="L142" s="46">
        <f t="shared" ref="L142" si="42">IF(L18=0,0,L18/L$17)</f>
        <v>0.68383181968495177</v>
      </c>
      <c r="M142" s="46">
        <f t="shared" ref="M142:V142" si="43">IF(M18=0,0,M18/M$17)</f>
        <v>0.68965322600346446</v>
      </c>
      <c r="N142" s="46">
        <f t="shared" si="43"/>
        <v>0.69364815580311145</v>
      </c>
      <c r="O142" s="46">
        <f t="shared" si="43"/>
        <v>0.69611512822000809</v>
      </c>
      <c r="P142" s="46">
        <f t="shared" si="43"/>
        <v>0.69849854008747692</v>
      </c>
      <c r="Q142" s="46">
        <f t="shared" si="43"/>
        <v>0.70541838717009187</v>
      </c>
      <c r="R142" s="46">
        <f t="shared" si="43"/>
        <v>0.70599262407854579</v>
      </c>
      <c r="S142" s="46">
        <f t="shared" si="43"/>
        <v>0.71005365081222893</v>
      </c>
      <c r="T142" s="46">
        <f t="shared" si="43"/>
        <v>0.70410037231324674</v>
      </c>
      <c r="U142" s="46">
        <f t="shared" si="43"/>
        <v>0.69764329766343836</v>
      </c>
      <c r="V142" s="46">
        <f t="shared" si="43"/>
        <v>0.68456197724779533</v>
      </c>
      <c r="W142" s="46">
        <f t="shared" ref="W142" si="44">IF(W18=0,0,W18/W$17)</f>
        <v>0.67521188279332056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1.2977770087367879E-3</v>
      </c>
      <c r="C143" s="154">
        <f t="shared" si="45"/>
        <v>1.3256109001819445E-3</v>
      </c>
      <c r="D143" s="154">
        <f t="shared" si="45"/>
        <v>1.2769679570925141E-3</v>
      </c>
      <c r="E143" s="154">
        <f t="shared" si="45"/>
        <v>1.342204825185795E-3</v>
      </c>
      <c r="F143" s="154">
        <f t="shared" si="45"/>
        <v>1.2157662885455838E-3</v>
      </c>
      <c r="G143" s="154">
        <f t="shared" si="45"/>
        <v>1.3971515396735989E-3</v>
      </c>
      <c r="H143" s="154">
        <f t="shared" si="45"/>
        <v>1.2604311010911162E-3</v>
      </c>
      <c r="I143" s="154">
        <f t="shared" si="45"/>
        <v>1.2333697934180285E-3</v>
      </c>
      <c r="J143" s="154">
        <f t="shared" si="45"/>
        <v>1.3831128130159453E-3</v>
      </c>
      <c r="K143" s="154">
        <f t="shared" si="45"/>
        <v>1.3845846984153619E-3</v>
      </c>
      <c r="L143" s="154">
        <f t="shared" ref="L143" si="46">IF(L19=0,0,L19/L$17)</f>
        <v>1.2821517021244858E-3</v>
      </c>
      <c r="M143" s="154">
        <f t="shared" ref="M143:V143" si="47">IF(M19=0,0,M19/M$17)</f>
        <v>1.2244138890158218E-3</v>
      </c>
      <c r="N143" s="154">
        <f t="shared" si="47"/>
        <v>1.1283315826522496E-3</v>
      </c>
      <c r="O143" s="154">
        <f t="shared" si="47"/>
        <v>1.0867018125404026E-3</v>
      </c>
      <c r="P143" s="154">
        <f t="shared" si="47"/>
        <v>1.1986231003226794E-3</v>
      </c>
      <c r="Q143" s="154">
        <f t="shared" si="47"/>
        <v>1.1118189534809868E-3</v>
      </c>
      <c r="R143" s="154">
        <f t="shared" si="47"/>
        <v>1.0934479174520119E-3</v>
      </c>
      <c r="S143" s="154">
        <f t="shared" si="47"/>
        <v>1.038478834478245E-3</v>
      </c>
      <c r="T143" s="154">
        <f t="shared" si="47"/>
        <v>9.7279178688818089E-4</v>
      </c>
      <c r="U143" s="154">
        <f t="shared" si="47"/>
        <v>1.0253811227513847E-3</v>
      </c>
      <c r="V143" s="154">
        <f t="shared" si="47"/>
        <v>1.1018880283714353E-3</v>
      </c>
      <c r="W143" s="154">
        <f t="shared" ref="W143" si="48">IF(W19=0,0,W19/W$17)</f>
        <v>9.976799100693903E-4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0.58025000514537151</v>
      </c>
      <c r="C144" s="156">
        <f t="shared" si="49"/>
        <v>0.57824862226988438</v>
      </c>
      <c r="D144" s="156">
        <f t="shared" si="49"/>
        <v>0.57139787845670909</v>
      </c>
      <c r="E144" s="156">
        <f t="shared" si="49"/>
        <v>0.56447793417343994</v>
      </c>
      <c r="F144" s="156">
        <f t="shared" si="49"/>
        <v>0.55471853671939975</v>
      </c>
      <c r="G144" s="156">
        <f t="shared" si="49"/>
        <v>0.56138486572169988</v>
      </c>
      <c r="H144" s="156">
        <f t="shared" si="49"/>
        <v>0.57677110969639878</v>
      </c>
      <c r="I144" s="156">
        <f t="shared" si="49"/>
        <v>0.55860563738645641</v>
      </c>
      <c r="J144" s="156">
        <f t="shared" si="49"/>
        <v>0.58169405901815152</v>
      </c>
      <c r="K144" s="156">
        <f t="shared" si="49"/>
        <v>0.6240261122716021</v>
      </c>
      <c r="L144" s="156">
        <f t="shared" ref="L144" si="50">IF(L21=0,0,L21/L$17)</f>
        <v>0.6379386249306368</v>
      </c>
      <c r="M144" s="156">
        <f t="shared" ref="M144:V144" si="51">IF(M21=0,0,M21/M$17)</f>
        <v>0.64286119737962066</v>
      </c>
      <c r="N144" s="156">
        <f t="shared" si="51"/>
        <v>0.64664115958019364</v>
      </c>
      <c r="O144" s="156">
        <f t="shared" si="51"/>
        <v>0.64983682078982463</v>
      </c>
      <c r="P144" s="156">
        <f t="shared" si="51"/>
        <v>0.65293399272821473</v>
      </c>
      <c r="Q144" s="156">
        <f t="shared" si="51"/>
        <v>0.65922914500826568</v>
      </c>
      <c r="R144" s="156">
        <f t="shared" si="51"/>
        <v>0.65942877079017326</v>
      </c>
      <c r="S144" s="156">
        <f t="shared" si="51"/>
        <v>0.6583486220916771</v>
      </c>
      <c r="T144" s="156">
        <f t="shared" si="51"/>
        <v>0.64908513688939806</v>
      </c>
      <c r="U144" s="156">
        <f t="shared" si="51"/>
        <v>0.64184862970310652</v>
      </c>
      <c r="V144" s="156">
        <f t="shared" si="51"/>
        <v>0.62898067436309513</v>
      </c>
      <c r="W144" s="156">
        <f t="shared" ref="W144" si="52">IF(W21=0,0,W21/W$17)</f>
        <v>0.62296649644230795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0.4669830675765439</v>
      </c>
      <c r="C145" s="103">
        <f t="shared" si="53"/>
        <v>0.46427634937283146</v>
      </c>
      <c r="D145" s="103">
        <f t="shared" si="53"/>
        <v>0.46555333405864674</v>
      </c>
      <c r="E145" s="103">
        <f t="shared" si="53"/>
        <v>0.45756043642589789</v>
      </c>
      <c r="F145" s="103">
        <f t="shared" si="53"/>
        <v>0.44420387091999824</v>
      </c>
      <c r="G145" s="103">
        <f t="shared" si="53"/>
        <v>0.44082545991869898</v>
      </c>
      <c r="H145" s="103">
        <f t="shared" si="53"/>
        <v>0.44460517794719856</v>
      </c>
      <c r="I145" s="103">
        <f t="shared" si="53"/>
        <v>0.41923316818577167</v>
      </c>
      <c r="J145" s="103">
        <f t="shared" si="53"/>
        <v>0.41723479104298172</v>
      </c>
      <c r="K145" s="103">
        <f t="shared" si="53"/>
        <v>0.41577862672808119</v>
      </c>
      <c r="L145" s="103">
        <f t="shared" ref="L145" si="54">IF(L22=0,0,L22/L$17)</f>
        <v>0.41320588288192106</v>
      </c>
      <c r="M145" s="103">
        <f t="shared" ref="M145:V145" si="55">IF(M22=0,0,M22/M$17)</f>
        <v>0.384652998354303</v>
      </c>
      <c r="N145" s="103">
        <f t="shared" si="55"/>
        <v>0.37333877737379667</v>
      </c>
      <c r="O145" s="103">
        <f t="shared" si="55"/>
        <v>0.33956087755257658</v>
      </c>
      <c r="P145" s="103">
        <f t="shared" si="55"/>
        <v>0.32330891128491174</v>
      </c>
      <c r="Q145" s="103">
        <f t="shared" si="55"/>
        <v>0.27569237722801043</v>
      </c>
      <c r="R145" s="103">
        <f t="shared" si="55"/>
        <v>0.25945943548677225</v>
      </c>
      <c r="S145" s="103">
        <f t="shared" si="55"/>
        <v>0.23750494220525709</v>
      </c>
      <c r="T145" s="103">
        <f t="shared" si="55"/>
        <v>0.21457900653499945</v>
      </c>
      <c r="U145" s="103">
        <f t="shared" si="55"/>
        <v>0.20185769569727896</v>
      </c>
      <c r="V145" s="103">
        <f t="shared" si="55"/>
        <v>0.17810101854686183</v>
      </c>
      <c r="W145" s="103">
        <f t="shared" ref="W145" si="56">IF(W22=0,0,W22/W$17)</f>
        <v>0.17656607774140465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0.11262254545479042</v>
      </c>
      <c r="C146" s="103">
        <f t="shared" si="57"/>
        <v>0.11353091515336655</v>
      </c>
      <c r="D146" s="103">
        <f t="shared" si="57"/>
        <v>0.10546510325215215</v>
      </c>
      <c r="E146" s="103">
        <f t="shared" si="57"/>
        <v>0.10659366818027741</v>
      </c>
      <c r="F146" s="103">
        <f t="shared" si="57"/>
        <v>0.11024208518749513</v>
      </c>
      <c r="G146" s="103">
        <f t="shared" si="57"/>
        <v>0.12031362464178291</v>
      </c>
      <c r="H146" s="103">
        <f t="shared" si="57"/>
        <v>0.13197243836864744</v>
      </c>
      <c r="I146" s="103">
        <f t="shared" si="57"/>
        <v>0.13912091219353984</v>
      </c>
      <c r="J146" s="103">
        <f t="shared" si="57"/>
        <v>0.16425356695000812</v>
      </c>
      <c r="K146" s="103">
        <f t="shared" si="57"/>
        <v>0.20810059352083823</v>
      </c>
      <c r="L146" s="103">
        <f t="shared" ref="L146" si="58">IF(L24=0,0,L24/L$17)</f>
        <v>0.22459425107490408</v>
      </c>
      <c r="M146" s="103">
        <f t="shared" ref="M146:V146" si="59">IF(M24=0,0,M24/M$17)</f>
        <v>0.25801397044372626</v>
      </c>
      <c r="N146" s="103">
        <f t="shared" si="59"/>
        <v>0.2729665656511463</v>
      </c>
      <c r="O146" s="103">
        <f t="shared" si="59"/>
        <v>0.30989334670190222</v>
      </c>
      <c r="P146" s="103">
        <f t="shared" si="59"/>
        <v>0.32901697044301997</v>
      </c>
      <c r="Q146" s="103">
        <f t="shared" si="59"/>
        <v>0.38278526285923881</v>
      </c>
      <c r="R146" s="103">
        <f t="shared" si="59"/>
        <v>0.39919168108054209</v>
      </c>
      <c r="S146" s="103">
        <f t="shared" si="59"/>
        <v>0.42006971599358756</v>
      </c>
      <c r="T146" s="103">
        <f t="shared" si="59"/>
        <v>0.43363329177670418</v>
      </c>
      <c r="U146" s="103">
        <f t="shared" si="59"/>
        <v>0.43877150621874139</v>
      </c>
      <c r="V146" s="103">
        <f t="shared" si="59"/>
        <v>0.44914847139990205</v>
      </c>
      <c r="W146" s="103">
        <f t="shared" ref="W146" si="60">IF(W24=0,0,W24/W$17)</f>
        <v>0.44261817916770069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6.4439211403710119E-4</v>
      </c>
      <c r="C147" s="103">
        <f t="shared" si="61"/>
        <v>4.4135774368641629E-4</v>
      </c>
      <c r="D147" s="103">
        <f t="shared" si="61"/>
        <v>3.7944114591016199E-4</v>
      </c>
      <c r="E147" s="103">
        <f t="shared" si="61"/>
        <v>3.2382956726457118E-4</v>
      </c>
      <c r="F147" s="103">
        <f t="shared" si="61"/>
        <v>2.7258061190644134E-4</v>
      </c>
      <c r="G147" s="103">
        <f t="shared" si="61"/>
        <v>2.4578116121795358E-4</v>
      </c>
      <c r="H147" s="103">
        <f t="shared" si="61"/>
        <v>1.9349338055277482E-4</v>
      </c>
      <c r="I147" s="103">
        <f t="shared" si="61"/>
        <v>2.5155700714490155E-4</v>
      </c>
      <c r="J147" s="103">
        <f t="shared" si="61"/>
        <v>2.0570102516175834E-4</v>
      </c>
      <c r="K147" s="103">
        <f t="shared" si="61"/>
        <v>1.467704707651618E-4</v>
      </c>
      <c r="L147" s="103">
        <f t="shared" ref="L147" si="62">IF(L26=0,0,L26/L$17)</f>
        <v>1.3727150706496872E-4</v>
      </c>
      <c r="M147" s="103">
        <f t="shared" ref="M147:V147" si="63">IF(M26=0,0,M26/M$17)</f>
        <v>1.5373615416264106E-4</v>
      </c>
      <c r="N147" s="103">
        <f t="shared" si="63"/>
        <v>2.8633360622830822E-4</v>
      </c>
      <c r="O147" s="103">
        <f t="shared" si="63"/>
        <v>3.6578427941380369E-4</v>
      </c>
      <c r="P147" s="103">
        <f t="shared" si="63"/>
        <v>5.683913944074685E-4</v>
      </c>
      <c r="Q147" s="103">
        <f t="shared" si="63"/>
        <v>6.709278254358413E-4</v>
      </c>
      <c r="R147" s="103">
        <f t="shared" si="63"/>
        <v>6.4461471655358812E-4</v>
      </c>
      <c r="S147" s="103">
        <f t="shared" si="63"/>
        <v>5.7515484456814657E-4</v>
      </c>
      <c r="T147" s="103">
        <f t="shared" si="63"/>
        <v>4.6818869183897356E-4</v>
      </c>
      <c r="U147" s="103">
        <f t="shared" si="63"/>
        <v>4.0905506896840138E-4</v>
      </c>
      <c r="V147" s="103">
        <f t="shared" si="63"/>
        <v>3.4484377349737743E-4</v>
      </c>
      <c r="W147" s="103">
        <f t="shared" ref="W147" si="64">IF(W26=0,0,W26/W$17)</f>
        <v>3.2798550744429225E-4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0</v>
      </c>
      <c r="R148" s="103">
        <f t="shared" si="67"/>
        <v>0</v>
      </c>
      <c r="S148" s="103">
        <f t="shared" si="67"/>
        <v>0</v>
      </c>
      <c r="T148" s="103">
        <f t="shared" si="67"/>
        <v>0</v>
      </c>
      <c r="U148" s="103">
        <f t="shared" si="67"/>
        <v>0</v>
      </c>
      <c r="V148" s="103">
        <f t="shared" si="67"/>
        <v>0</v>
      </c>
      <c r="W148" s="103">
        <f t="shared" ref="W148" si="68">IF(W27=0,0,W27/W$17)</f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0</v>
      </c>
      <c r="O149" s="103">
        <f t="shared" si="71"/>
        <v>1.1821013823139077E-6</v>
      </c>
      <c r="P149" s="103">
        <f t="shared" si="71"/>
        <v>4.0395697202209965E-6</v>
      </c>
      <c r="Q149" s="103">
        <f t="shared" si="71"/>
        <v>1.5215950091242912E-5</v>
      </c>
      <c r="R149" s="103">
        <f t="shared" si="71"/>
        <v>4.9489520767233142E-5</v>
      </c>
      <c r="S149" s="103">
        <f t="shared" si="71"/>
        <v>8.5884237788777363E-5</v>
      </c>
      <c r="T149" s="103">
        <f t="shared" si="71"/>
        <v>1.8802452302157282E-4</v>
      </c>
      <c r="U149" s="103">
        <f t="shared" si="71"/>
        <v>3.5106177188688395E-4</v>
      </c>
      <c r="V149" s="103">
        <f t="shared" si="71"/>
        <v>6.1222366727077201E-4</v>
      </c>
      <c r="W149" s="103">
        <f t="shared" ref="W149" si="72">IF(W29=0,0,W29/W$17)</f>
        <v>1.9705024420496433E-3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1.2155191751419648E-7</v>
      </c>
      <c r="L150" s="103">
        <f t="shared" ref="L150" si="74">IF(L32=0,0,L32/L$17)</f>
        <v>1.219466746771507E-6</v>
      </c>
      <c r="M150" s="103">
        <f t="shared" ref="M150:V150" si="75">IF(M32=0,0,M32/M$17)</f>
        <v>4.0492427428693247E-5</v>
      </c>
      <c r="N150" s="103">
        <f t="shared" si="75"/>
        <v>4.9482949022460238E-5</v>
      </c>
      <c r="O150" s="103">
        <f t="shared" si="75"/>
        <v>1.5630154549709894E-5</v>
      </c>
      <c r="P150" s="103">
        <f t="shared" si="75"/>
        <v>3.5680036155270432E-5</v>
      </c>
      <c r="Q150" s="103">
        <f t="shared" si="75"/>
        <v>6.5361145489421115E-5</v>
      </c>
      <c r="R150" s="103">
        <f t="shared" si="75"/>
        <v>8.3549985538226395E-5</v>
      </c>
      <c r="S150" s="103">
        <f t="shared" si="75"/>
        <v>1.1292481047556316E-4</v>
      </c>
      <c r="T150" s="103">
        <f t="shared" si="75"/>
        <v>2.1662536283384011E-4</v>
      </c>
      <c r="U150" s="103">
        <f t="shared" si="75"/>
        <v>4.5931094623089875E-4</v>
      </c>
      <c r="V150" s="103">
        <f t="shared" si="75"/>
        <v>7.7411697556317336E-4</v>
      </c>
      <c r="W150" s="103">
        <f t="shared" ref="W150" si="76">IF(W32=0,0,W32/W$17)</f>
        <v>1.4837515837086402E-3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3.819368309172555E-2</v>
      </c>
      <c r="C151" s="156">
        <f t="shared" si="77"/>
        <v>3.6046515038818408E-2</v>
      </c>
      <c r="D151" s="156">
        <f t="shared" si="77"/>
        <v>3.5487742495174814E-2</v>
      </c>
      <c r="E151" s="156">
        <f t="shared" si="77"/>
        <v>3.6443138113419919E-2</v>
      </c>
      <c r="F151" s="156">
        <f t="shared" si="77"/>
        <v>3.5429168444154287E-2</v>
      </c>
      <c r="G151" s="156">
        <f t="shared" si="77"/>
        <v>3.461621540073221E-2</v>
      </c>
      <c r="H151" s="156">
        <f t="shared" si="77"/>
        <v>3.4001589094825868E-2</v>
      </c>
      <c r="I151" s="156">
        <f t="shared" si="77"/>
        <v>3.5099422714664402E-2</v>
      </c>
      <c r="J151" s="156">
        <f t="shared" si="77"/>
        <v>3.9580704961546281E-2</v>
      </c>
      <c r="K151" s="156">
        <f t="shared" si="77"/>
        <v>4.2870459480525758E-2</v>
      </c>
      <c r="L151" s="156">
        <f t="shared" ref="L151" si="78">IF(L33=0,0,L33/L$17)</f>
        <v>4.4611043052190366E-2</v>
      </c>
      <c r="M151" s="156">
        <f t="shared" ref="M151:V151" si="79">IF(M33=0,0,M33/M$17)</f>
        <v>4.5567614734827983E-2</v>
      </c>
      <c r="N151" s="156">
        <f t="shared" si="79"/>
        <v>4.5878664640265528E-2</v>
      </c>
      <c r="O151" s="156">
        <f t="shared" si="79"/>
        <v>4.5191605617643113E-2</v>
      </c>
      <c r="P151" s="156">
        <f t="shared" si="79"/>
        <v>4.4365924258939496E-2</v>
      </c>
      <c r="Q151" s="156">
        <f t="shared" si="79"/>
        <v>4.5077423208345298E-2</v>
      </c>
      <c r="R151" s="156">
        <f t="shared" si="79"/>
        <v>4.547040537092048E-2</v>
      </c>
      <c r="S151" s="156">
        <f t="shared" si="79"/>
        <v>5.0666549886073567E-2</v>
      </c>
      <c r="T151" s="156">
        <f t="shared" si="79"/>
        <v>5.4042443636960528E-2</v>
      </c>
      <c r="U151" s="156">
        <f t="shared" si="79"/>
        <v>5.4769286837580526E-2</v>
      </c>
      <c r="V151" s="156">
        <f t="shared" si="79"/>
        <v>5.4479414856328796E-2</v>
      </c>
      <c r="W151" s="156">
        <f t="shared" ref="W151" si="80">IF(W33=0,0,W33/W$17)</f>
        <v>5.1247706440943258E-2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2.3325871851007037E-4</v>
      </c>
      <c r="C152" s="103">
        <f t="shared" si="81"/>
        <v>2.0465231347352962E-4</v>
      </c>
      <c r="D152" s="103">
        <f t="shared" si="81"/>
        <v>1.8262485961815296E-4</v>
      </c>
      <c r="E152" s="103">
        <f t="shared" si="81"/>
        <v>1.6210920518192661E-4</v>
      </c>
      <c r="F152" s="103">
        <f t="shared" si="81"/>
        <v>1.3495964081360743E-4</v>
      </c>
      <c r="G152" s="103">
        <f t="shared" si="81"/>
        <v>1.1144933967150717E-4</v>
      </c>
      <c r="H152" s="103">
        <f t="shared" si="81"/>
        <v>8.9045861392080683E-5</v>
      </c>
      <c r="I152" s="103">
        <f t="shared" si="81"/>
        <v>7.6684372560713765E-5</v>
      </c>
      <c r="J152" s="103">
        <f t="shared" si="81"/>
        <v>7.0075279897494975E-5</v>
      </c>
      <c r="K152" s="103">
        <f t="shared" si="81"/>
        <v>6.3555916073283674E-5</v>
      </c>
      <c r="L152" s="103">
        <f t="shared" ref="L152" si="82">IF(L34=0,0,L34/L$17)</f>
        <v>5.3748884563153236E-5</v>
      </c>
      <c r="M152" s="103">
        <f t="shared" ref="M152:V152" si="83">IF(M34=0,0,M34/M$17)</f>
        <v>4.4700514021181538E-5</v>
      </c>
      <c r="N152" s="103">
        <f t="shared" si="83"/>
        <v>3.4368694279635288E-5</v>
      </c>
      <c r="O152" s="103">
        <f t="shared" si="83"/>
        <v>3.3849749069418215E-5</v>
      </c>
      <c r="P152" s="103">
        <f t="shared" si="83"/>
        <v>3.2610731056130184E-5</v>
      </c>
      <c r="Q152" s="103">
        <f t="shared" si="83"/>
        <v>2.7720394736039712E-5</v>
      </c>
      <c r="R152" s="103">
        <f t="shared" si="83"/>
        <v>2.1678871192562042E-5</v>
      </c>
      <c r="S152" s="103">
        <f t="shared" si="83"/>
        <v>2.6985762664289212E-5</v>
      </c>
      <c r="T152" s="103">
        <f t="shared" si="83"/>
        <v>1.8255226673322291E-5</v>
      </c>
      <c r="U152" s="103">
        <f t="shared" si="83"/>
        <v>2.1839474053867354E-5</v>
      </c>
      <c r="V152" s="103">
        <f t="shared" si="83"/>
        <v>2.3884672321064785E-5</v>
      </c>
      <c r="W152" s="103">
        <f t="shared" ref="W152" si="84">IF(W34=0,0,W34/W$17)</f>
        <v>2.026101445325292E-5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3.7960424373215479E-2</v>
      </c>
      <c r="C153" s="103">
        <f t="shared" si="85"/>
        <v>3.5839951462942804E-2</v>
      </c>
      <c r="D153" s="103">
        <f t="shared" si="85"/>
        <v>3.5303196554830267E-2</v>
      </c>
      <c r="E153" s="103">
        <f t="shared" si="85"/>
        <v>3.6279087891992669E-2</v>
      </c>
      <c r="F153" s="103">
        <f t="shared" si="85"/>
        <v>3.5292329267527227E-2</v>
      </c>
      <c r="G153" s="103">
        <f t="shared" si="85"/>
        <v>3.4502945571826822E-2</v>
      </c>
      <c r="H153" s="103">
        <f t="shared" si="85"/>
        <v>3.3910820624505088E-2</v>
      </c>
      <c r="I153" s="103">
        <f t="shared" si="85"/>
        <v>3.5021024540592409E-2</v>
      </c>
      <c r="J153" s="103">
        <f t="shared" si="85"/>
        <v>3.9507295458130663E-2</v>
      </c>
      <c r="K153" s="103">
        <f t="shared" si="85"/>
        <v>4.2803251948995882E-2</v>
      </c>
      <c r="L153" s="103">
        <f t="shared" ref="L153" si="86">IF(L36=0,0,L36/L$17)</f>
        <v>4.4553396653265978E-2</v>
      </c>
      <c r="M153" s="103">
        <f t="shared" ref="M153:V153" si="87">IF(M36=0,0,M36/M$17)</f>
        <v>4.5518822394768128E-2</v>
      </c>
      <c r="N153" s="103">
        <f t="shared" si="87"/>
        <v>4.5840106987698179E-2</v>
      </c>
      <c r="O153" s="103">
        <f t="shared" si="87"/>
        <v>4.515363642776607E-2</v>
      </c>
      <c r="P153" s="103">
        <f t="shared" si="87"/>
        <v>4.4329351299506999E-2</v>
      </c>
      <c r="Q153" s="103">
        <f t="shared" si="87"/>
        <v>4.5045804253397242E-2</v>
      </c>
      <c r="R153" s="103">
        <f t="shared" si="87"/>
        <v>4.544500933491006E-2</v>
      </c>
      <c r="S153" s="103">
        <f t="shared" si="87"/>
        <v>5.0635820094972209E-2</v>
      </c>
      <c r="T153" s="103">
        <f t="shared" si="87"/>
        <v>5.4020480900520557E-2</v>
      </c>
      <c r="U153" s="103">
        <f t="shared" si="87"/>
        <v>5.4743788961621562E-2</v>
      </c>
      <c r="V153" s="103">
        <f t="shared" si="87"/>
        <v>5.443919868892292E-2</v>
      </c>
      <c r="W153" s="103">
        <f t="shared" ref="W153" si="88">IF(W36=0,0,W36/W$17)</f>
        <v>5.1202590886149375E-2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1.9112624020783057E-6</v>
      </c>
      <c r="D154" s="103">
        <f t="shared" si="89"/>
        <v>1.9210807263943284E-6</v>
      </c>
      <c r="E154" s="103">
        <f t="shared" si="89"/>
        <v>1.9410162453276799E-6</v>
      </c>
      <c r="F154" s="103">
        <f t="shared" si="89"/>
        <v>1.8795358134499273E-6</v>
      </c>
      <c r="G154" s="103">
        <f t="shared" si="89"/>
        <v>1.8204892338821909E-6</v>
      </c>
      <c r="H154" s="103">
        <f t="shared" si="89"/>
        <v>1.7226089287049841E-6</v>
      </c>
      <c r="I154" s="103">
        <f t="shared" si="89"/>
        <v>1.713801511277317E-6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0</v>
      </c>
      <c r="S155" s="103">
        <f t="shared" si="95"/>
        <v>0</v>
      </c>
      <c r="T155" s="103">
        <f t="shared" si="95"/>
        <v>0</v>
      </c>
      <c r="U155" s="103">
        <f t="shared" si="95"/>
        <v>0</v>
      </c>
      <c r="V155" s="103">
        <f t="shared" si="95"/>
        <v>0</v>
      </c>
      <c r="W155" s="103">
        <f t="shared" ref="W155" si="96">IF(W39=0,0,W39/W$17)</f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3.3342235181251154E-6</v>
      </c>
      <c r="K156" s="103">
        <f t="shared" si="97"/>
        <v>3.6516154565898022E-6</v>
      </c>
      <c r="L156" s="103">
        <f t="shared" ref="L156" si="98">IF(L41=0,0,L41/L$17)</f>
        <v>3.8975143612335137E-6</v>
      </c>
      <c r="M156" s="103">
        <f t="shared" ref="M156:V156" si="99">IF(M41=0,0,M41/M$17)</f>
        <v>4.0918260386691824E-6</v>
      </c>
      <c r="N156" s="103">
        <f t="shared" si="99"/>
        <v>4.1889582877155057E-6</v>
      </c>
      <c r="O156" s="103">
        <f t="shared" si="99"/>
        <v>4.119440807628386E-6</v>
      </c>
      <c r="P156" s="103">
        <f t="shared" si="99"/>
        <v>3.9622283763744084E-6</v>
      </c>
      <c r="Q156" s="103">
        <f t="shared" si="99"/>
        <v>3.8985602120176279E-6</v>
      </c>
      <c r="R156" s="103">
        <f t="shared" si="99"/>
        <v>3.7171648178598696E-6</v>
      </c>
      <c r="S156" s="103">
        <f t="shared" si="99"/>
        <v>3.7440284370746505E-6</v>
      </c>
      <c r="T156" s="103">
        <f t="shared" si="99"/>
        <v>3.7075097666474048E-6</v>
      </c>
      <c r="U156" s="103">
        <f t="shared" si="99"/>
        <v>3.6584019050930025E-6</v>
      </c>
      <c r="V156" s="103">
        <f t="shared" si="99"/>
        <v>1.6331495084808365E-5</v>
      </c>
      <c r="W156" s="103">
        <f t="shared" ref="W156" si="100">IF(W41=0,0,W41/W$17)</f>
        <v>2.4854540340627703E-5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0.38025853475416621</v>
      </c>
      <c r="C157" s="46">
        <f t="shared" si="101"/>
        <v>0.3843792517911151</v>
      </c>
      <c r="D157" s="46">
        <f t="shared" si="101"/>
        <v>0.39183741109102349</v>
      </c>
      <c r="E157" s="46">
        <f t="shared" si="101"/>
        <v>0.39773672288795425</v>
      </c>
      <c r="F157" s="46">
        <f t="shared" si="101"/>
        <v>0.40863652854790045</v>
      </c>
      <c r="G157" s="46">
        <f t="shared" si="101"/>
        <v>0.40260176733789449</v>
      </c>
      <c r="H157" s="46">
        <f t="shared" si="101"/>
        <v>0.38796687010768416</v>
      </c>
      <c r="I157" s="46">
        <f t="shared" si="101"/>
        <v>0.40506157010546112</v>
      </c>
      <c r="J157" s="46">
        <f t="shared" si="101"/>
        <v>0.37734212320728611</v>
      </c>
      <c r="K157" s="46">
        <f t="shared" si="101"/>
        <v>0.33171884354945685</v>
      </c>
      <c r="L157" s="46">
        <f t="shared" ref="L157" si="102">IF(L42=0,0,L42/L$17)</f>
        <v>0.31616818031504818</v>
      </c>
      <c r="M157" s="46">
        <f t="shared" ref="M157:V157" si="103">IF(M42=0,0,M42/M$17)</f>
        <v>0.31034677399653565</v>
      </c>
      <c r="N157" s="46">
        <f t="shared" si="103"/>
        <v>0.3063518441968886</v>
      </c>
      <c r="O157" s="46">
        <f t="shared" si="103"/>
        <v>0.30388487177999179</v>
      </c>
      <c r="P157" s="46">
        <f t="shared" si="103"/>
        <v>0.30150145991252314</v>
      </c>
      <c r="Q157" s="46">
        <f t="shared" si="103"/>
        <v>0.29458161282990808</v>
      </c>
      <c r="R157" s="46">
        <f t="shared" si="103"/>
        <v>0.29400737592145409</v>
      </c>
      <c r="S157" s="46">
        <f t="shared" si="103"/>
        <v>0.28994634918777096</v>
      </c>
      <c r="T157" s="46">
        <f t="shared" si="103"/>
        <v>0.29589962768675321</v>
      </c>
      <c r="U157" s="46">
        <f t="shared" si="103"/>
        <v>0.30235670233656159</v>
      </c>
      <c r="V157" s="46">
        <f t="shared" si="103"/>
        <v>0.31543802275220462</v>
      </c>
      <c r="W157" s="46">
        <f t="shared" ref="W157" si="104">IF(W42=0,0,W42/W$17)</f>
        <v>0.32478811720667938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0.12275914866824449</v>
      </c>
      <c r="C158" s="154">
        <f t="shared" si="105"/>
        <v>0.12106795013547236</v>
      </c>
      <c r="D158" s="154">
        <f t="shared" si="105"/>
        <v>0.12490372623477423</v>
      </c>
      <c r="E158" s="154">
        <f t="shared" si="105"/>
        <v>0.12986322707763631</v>
      </c>
      <c r="F158" s="154">
        <f t="shared" si="105"/>
        <v>0.1310071663276649</v>
      </c>
      <c r="G158" s="154">
        <f t="shared" si="105"/>
        <v>0.13104318258557049</v>
      </c>
      <c r="H158" s="154">
        <f t="shared" si="105"/>
        <v>0.12959269618778282</v>
      </c>
      <c r="I158" s="154">
        <f t="shared" si="105"/>
        <v>0.13334792013959934</v>
      </c>
      <c r="J158" s="154">
        <f t="shared" si="105"/>
        <v>0.13742032785437239</v>
      </c>
      <c r="K158" s="154">
        <f t="shared" si="105"/>
        <v>0.14325490587033562</v>
      </c>
      <c r="L158" s="154">
        <f t="shared" ref="L158" si="106">IF(L43=0,0,L43/L$17)</f>
        <v>0.14250548448651212</v>
      </c>
      <c r="M158" s="154">
        <f t="shared" ref="M158:V158" si="107">IF(M43=0,0,M43/M$17)</f>
        <v>0.14476013421365272</v>
      </c>
      <c r="N158" s="154">
        <f t="shared" si="107"/>
        <v>0.13945198266889175</v>
      </c>
      <c r="O158" s="154">
        <f t="shared" si="107"/>
        <v>0.1397138375543886</v>
      </c>
      <c r="P158" s="154">
        <f t="shared" si="107"/>
        <v>0.13119003680421717</v>
      </c>
      <c r="Q158" s="154">
        <f t="shared" si="107"/>
        <v>0.12442413886762116</v>
      </c>
      <c r="R158" s="154">
        <f t="shared" si="107"/>
        <v>0.1143084749629958</v>
      </c>
      <c r="S158" s="154">
        <f t="shared" si="107"/>
        <v>0.11244510317874386</v>
      </c>
      <c r="T158" s="154">
        <f t="shared" si="107"/>
        <v>0.11167302280071227</v>
      </c>
      <c r="U158" s="154">
        <f t="shared" si="107"/>
        <v>0.10757094062102336</v>
      </c>
      <c r="V158" s="154">
        <f t="shared" si="107"/>
        <v>0.12523435449419401</v>
      </c>
      <c r="W158" s="154">
        <f t="shared" ref="W158" si="108">IF(W43=0,0,W43/W$17)</f>
        <v>0.12153232587139283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1.3833906032110529E-3</v>
      </c>
      <c r="C159" s="103">
        <f t="shared" si="109"/>
        <v>1.1993831409774301E-3</v>
      </c>
      <c r="D159" s="103">
        <f t="shared" si="109"/>
        <v>1.0832401171385231E-3</v>
      </c>
      <c r="E159" s="103">
        <f t="shared" si="109"/>
        <v>9.5038866701233548E-4</v>
      </c>
      <c r="F159" s="103">
        <f t="shared" si="109"/>
        <v>7.6985088098998093E-4</v>
      </c>
      <c r="G159" s="103">
        <f t="shared" si="109"/>
        <v>5.4852928459498752E-4</v>
      </c>
      <c r="H159" s="103">
        <f t="shared" si="109"/>
        <v>3.7920074531655072E-4</v>
      </c>
      <c r="I159" s="103">
        <f t="shared" si="109"/>
        <v>2.820183664542962E-4</v>
      </c>
      <c r="J159" s="103">
        <f t="shared" si="109"/>
        <v>2.6480825485056069E-4</v>
      </c>
      <c r="K159" s="103">
        <f t="shared" si="109"/>
        <v>2.6339584917173887E-4</v>
      </c>
      <c r="L159" s="103">
        <f t="shared" ref="L159" si="110">IF(L44=0,0,L44/L$17)</f>
        <v>2.3751333453251691E-4</v>
      </c>
      <c r="M159" s="103">
        <f t="shared" ref="M159:V159" si="111">IF(M44=0,0,M44/M$17)</f>
        <v>2.1038596574696276E-4</v>
      </c>
      <c r="N159" s="103">
        <f t="shared" si="111"/>
        <v>1.765571418135264E-4</v>
      </c>
      <c r="O159" s="103">
        <f t="shared" si="111"/>
        <v>1.6632310838590351E-4</v>
      </c>
      <c r="P159" s="103">
        <f t="shared" si="111"/>
        <v>1.4674597323727955E-4</v>
      </c>
      <c r="Q159" s="103">
        <f t="shared" si="111"/>
        <v>1.258525538630968E-4</v>
      </c>
      <c r="R159" s="103">
        <f t="shared" si="111"/>
        <v>1.0547051068863737E-4</v>
      </c>
      <c r="S159" s="103">
        <f t="shared" si="111"/>
        <v>1.174059534063398E-4</v>
      </c>
      <c r="T159" s="103">
        <f t="shared" si="111"/>
        <v>1.1939259734056388E-4</v>
      </c>
      <c r="U159" s="103">
        <f t="shared" si="111"/>
        <v>1.2953631118433132E-4</v>
      </c>
      <c r="V159" s="103">
        <f t="shared" si="111"/>
        <v>1.9519233401550307E-4</v>
      </c>
      <c r="W159" s="103">
        <f t="shared" ref="W159" si="112">IF(W44=0,0,W44/W$17)</f>
        <v>2.120924847262801E-4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0.12137575806503344</v>
      </c>
      <c r="C160" s="103">
        <f t="shared" si="113"/>
        <v>0.11986856699449493</v>
      </c>
      <c r="D160" s="103">
        <f t="shared" si="113"/>
        <v>0.1238204861176357</v>
      </c>
      <c r="E160" s="103">
        <f t="shared" si="113"/>
        <v>0.12891283841062398</v>
      </c>
      <c r="F160" s="103">
        <f t="shared" si="113"/>
        <v>0.13023731544667491</v>
      </c>
      <c r="G160" s="103">
        <f t="shared" si="113"/>
        <v>0.13049465330097551</v>
      </c>
      <c r="H160" s="103">
        <f t="shared" si="113"/>
        <v>0.12921349544246627</v>
      </c>
      <c r="I160" s="103">
        <f t="shared" si="113"/>
        <v>0.13306590177314503</v>
      </c>
      <c r="J160" s="103">
        <f t="shared" si="113"/>
        <v>0.13715551959952185</v>
      </c>
      <c r="K160" s="103">
        <f t="shared" si="113"/>
        <v>0.14299151002116389</v>
      </c>
      <c r="L160" s="103">
        <f t="shared" ref="L160" si="114">IF(L46=0,0,L46/L$17)</f>
        <v>0.14226797115197962</v>
      </c>
      <c r="M160" s="103">
        <f t="shared" ref="M160:V160" si="115">IF(M46=0,0,M46/M$17)</f>
        <v>0.14454748073542353</v>
      </c>
      <c r="N160" s="103">
        <f t="shared" si="115"/>
        <v>0.1392701505135078</v>
      </c>
      <c r="O160" s="103">
        <f t="shared" si="115"/>
        <v>0.13954136937706874</v>
      </c>
      <c r="P160" s="103">
        <f t="shared" si="115"/>
        <v>0.13103598639493599</v>
      </c>
      <c r="Q160" s="103">
        <f t="shared" si="115"/>
        <v>0.12429122656888318</v>
      </c>
      <c r="R160" s="103">
        <f t="shared" si="115"/>
        <v>0.11419599801551927</v>
      </c>
      <c r="S160" s="103">
        <f t="shared" si="115"/>
        <v>0.11231642040880099</v>
      </c>
      <c r="T160" s="103">
        <f t="shared" si="115"/>
        <v>0.11154043795393893</v>
      </c>
      <c r="U160" s="103">
        <f t="shared" si="115"/>
        <v>0.10740194289901303</v>
      </c>
      <c r="V160" s="103">
        <f t="shared" si="115"/>
        <v>0.12494598756566959</v>
      </c>
      <c r="W160" s="103">
        <f t="shared" ref="W160" si="116">IF(W46=0,0,W46/W$17)</f>
        <v>0.12113428092757637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6.8964862193936971E-7</v>
      </c>
      <c r="P161" s="103">
        <f t="shared" si="119"/>
        <v>1.3284619352144924E-6</v>
      </c>
      <c r="Q161" s="103">
        <f t="shared" si="119"/>
        <v>1.2906956320522507E-6</v>
      </c>
      <c r="R161" s="103">
        <f t="shared" si="119"/>
        <v>1.2180700408715982E-6</v>
      </c>
      <c r="S161" s="103">
        <f t="shared" si="119"/>
        <v>1.4542874443669166E-6</v>
      </c>
      <c r="T161" s="103">
        <f t="shared" si="119"/>
        <v>1.4568600142162333E-6</v>
      </c>
      <c r="U161" s="103">
        <f t="shared" si="119"/>
        <v>1.4326185507534769E-6</v>
      </c>
      <c r="V161" s="103">
        <f t="shared" si="119"/>
        <v>1.3429189595950812E-6</v>
      </c>
      <c r="W161" s="103">
        <f t="shared" ref="W161" si="120">IF(W48=0,0,W48/W$17)</f>
        <v>1.2748095234086739E-6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2.2675124822076917E-6</v>
      </c>
      <c r="N163" s="103">
        <f t="shared" si="127"/>
        <v>5.2750135704227764E-6</v>
      </c>
      <c r="O163" s="103">
        <f t="shared" si="127"/>
        <v>5.4554203120001401E-6</v>
      </c>
      <c r="P163" s="103">
        <f t="shared" si="127"/>
        <v>5.9759741086685162E-6</v>
      </c>
      <c r="Q163" s="103">
        <f t="shared" si="127"/>
        <v>5.7690492428175772E-6</v>
      </c>
      <c r="R163" s="103">
        <f t="shared" si="127"/>
        <v>5.7883667470316986E-6</v>
      </c>
      <c r="S163" s="103">
        <f t="shared" si="127"/>
        <v>9.8225290921572106E-6</v>
      </c>
      <c r="T163" s="103">
        <f t="shared" si="127"/>
        <v>1.1735389418531676E-5</v>
      </c>
      <c r="U163" s="103">
        <f t="shared" si="127"/>
        <v>3.8028792275242166E-5</v>
      </c>
      <c r="V163" s="103">
        <f t="shared" si="127"/>
        <v>9.1831675549311012E-5</v>
      </c>
      <c r="W163" s="103">
        <f t="shared" ref="W163" si="128">IF(W51=0,0,W51/W$17)</f>
        <v>1.8467764956676372E-4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0.25749938608592171</v>
      </c>
      <c r="C164" s="156">
        <f t="shared" si="129"/>
        <v>0.26331130165564276</v>
      </c>
      <c r="D164" s="156">
        <f t="shared" si="129"/>
        <v>0.26693368485624924</v>
      </c>
      <c r="E164" s="156">
        <f t="shared" si="129"/>
        <v>0.26787349581031794</v>
      </c>
      <c r="F164" s="156">
        <f t="shared" si="129"/>
        <v>0.27762936222023554</v>
      </c>
      <c r="G164" s="156">
        <f t="shared" si="129"/>
        <v>0.27155858475232397</v>
      </c>
      <c r="H164" s="156">
        <f t="shared" si="129"/>
        <v>0.25837417391990131</v>
      </c>
      <c r="I164" s="156">
        <f t="shared" si="129"/>
        <v>0.27171364996586184</v>
      </c>
      <c r="J164" s="156">
        <f t="shared" si="129"/>
        <v>0.23992179535291377</v>
      </c>
      <c r="K164" s="156">
        <f t="shared" si="129"/>
        <v>0.1884639376791212</v>
      </c>
      <c r="L164" s="156">
        <f t="shared" ref="L164" si="130">IF(L52=0,0,L52/L$17)</f>
        <v>0.17366269582853605</v>
      </c>
      <c r="M164" s="156">
        <f t="shared" ref="M164:V164" si="131">IF(M52=0,0,M52/M$17)</f>
        <v>0.16558663978288293</v>
      </c>
      <c r="N164" s="156">
        <f t="shared" si="131"/>
        <v>0.16689986152799685</v>
      </c>
      <c r="O164" s="156">
        <f t="shared" si="131"/>
        <v>0.16417103422560317</v>
      </c>
      <c r="P164" s="156">
        <f t="shared" si="131"/>
        <v>0.17031142310830599</v>
      </c>
      <c r="Q164" s="156">
        <f t="shared" si="131"/>
        <v>0.17015747396228695</v>
      </c>
      <c r="R164" s="156">
        <f t="shared" si="131"/>
        <v>0.17969890095845828</v>
      </c>
      <c r="S164" s="156">
        <f t="shared" si="131"/>
        <v>0.17750124600902711</v>
      </c>
      <c r="T164" s="156">
        <f t="shared" si="131"/>
        <v>0.18422660488604101</v>
      </c>
      <c r="U164" s="156">
        <f t="shared" si="131"/>
        <v>0.19478576171553827</v>
      </c>
      <c r="V164" s="156">
        <f t="shared" si="131"/>
        <v>0.19020366825801063</v>
      </c>
      <c r="W164" s="156">
        <f t="shared" ref="W164" si="132">IF(W52=0,0,W52/W$17)</f>
        <v>0.20325579133528654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0.24107854080739541</v>
      </c>
      <c r="C165" s="104">
        <f t="shared" si="133"/>
        <v>0.245753454015044</v>
      </c>
      <c r="D165" s="104">
        <f t="shared" si="133"/>
        <v>0.25061030852696226</v>
      </c>
      <c r="E165" s="104">
        <f t="shared" si="133"/>
        <v>0.25204132136571189</v>
      </c>
      <c r="F165" s="104">
        <f t="shared" si="133"/>
        <v>0.26022658422786371</v>
      </c>
      <c r="G165" s="104">
        <f t="shared" si="133"/>
        <v>0.25542425564999155</v>
      </c>
      <c r="H165" s="104">
        <f t="shared" si="133"/>
        <v>0.24255408684303592</v>
      </c>
      <c r="I165" s="104">
        <f t="shared" si="133"/>
        <v>0.25465364319748474</v>
      </c>
      <c r="J165" s="104">
        <f t="shared" si="133"/>
        <v>0.22551340954739296</v>
      </c>
      <c r="K165" s="104">
        <f t="shared" si="133"/>
        <v>0.17471317219639593</v>
      </c>
      <c r="L165" s="104">
        <f t="shared" ref="L165" si="134">IF(L53=0,0,L53/L$17)</f>
        <v>0.16037920007440817</v>
      </c>
      <c r="M165" s="104">
        <f t="shared" ref="M165:V165" si="135">IF(M53=0,0,M53/M$17)</f>
        <v>0.15123885355657032</v>
      </c>
      <c r="N165" s="104">
        <f t="shared" si="135"/>
        <v>0.15360751369674272</v>
      </c>
      <c r="O165" s="104">
        <f t="shared" si="135"/>
        <v>0.15148858371948254</v>
      </c>
      <c r="P165" s="104">
        <f t="shared" si="135"/>
        <v>0.15760414611657148</v>
      </c>
      <c r="Q165" s="104">
        <f t="shared" si="135"/>
        <v>0.15600800593596281</v>
      </c>
      <c r="R165" s="104">
        <f t="shared" si="135"/>
        <v>0.16758967668098101</v>
      </c>
      <c r="S165" s="104">
        <f t="shared" si="135"/>
        <v>0.16598202223624786</v>
      </c>
      <c r="T165" s="104">
        <f t="shared" si="135"/>
        <v>0.17135764837970241</v>
      </c>
      <c r="U165" s="104">
        <f t="shared" si="135"/>
        <v>0.18025919729066051</v>
      </c>
      <c r="V165" s="104">
        <f t="shared" si="135"/>
        <v>0.1839295094650841</v>
      </c>
      <c r="W165" s="104">
        <f t="shared" ref="W165" si="136">IF(W53=0,0,W53/W$17)</f>
        <v>0.19695269676532187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1.6420845278526351E-2</v>
      </c>
      <c r="C166" s="105">
        <f t="shared" si="137"/>
        <v>1.7557847640598732E-2</v>
      </c>
      <c r="D166" s="105">
        <f t="shared" si="137"/>
        <v>1.6323376329287001E-2</v>
      </c>
      <c r="E166" s="105">
        <f t="shared" si="137"/>
        <v>1.5832174444606044E-2</v>
      </c>
      <c r="F166" s="105">
        <f t="shared" si="137"/>
        <v>1.7402777992371818E-2</v>
      </c>
      <c r="G166" s="105">
        <f t="shared" si="137"/>
        <v>1.613432910233242E-2</v>
      </c>
      <c r="H166" s="105">
        <f t="shared" si="137"/>
        <v>1.5820087076865406E-2</v>
      </c>
      <c r="I166" s="105">
        <f t="shared" si="137"/>
        <v>1.7060006768377087E-2</v>
      </c>
      <c r="J166" s="105">
        <f t="shared" si="137"/>
        <v>1.4408385805520816E-2</v>
      </c>
      <c r="K166" s="105">
        <f t="shared" si="137"/>
        <v>1.3750765482725275E-2</v>
      </c>
      <c r="L166" s="105">
        <f t="shared" ref="L166" si="138">IF(L55=0,0,L55/L$17)</f>
        <v>1.3283495754127857E-2</v>
      </c>
      <c r="M166" s="105">
        <f t="shared" ref="M166:V166" si="139">IF(M55=0,0,M55/M$17)</f>
        <v>1.4347786226312611E-2</v>
      </c>
      <c r="N166" s="105">
        <f t="shared" si="139"/>
        <v>1.3292347831254152E-2</v>
      </c>
      <c r="O166" s="105">
        <f t="shared" si="139"/>
        <v>1.2682450506120643E-2</v>
      </c>
      <c r="P166" s="105">
        <f t="shared" si="139"/>
        <v>1.2707276991734519E-2</v>
      </c>
      <c r="Q166" s="105">
        <f t="shared" si="139"/>
        <v>1.4149468026324134E-2</v>
      </c>
      <c r="R166" s="105">
        <f t="shared" si="139"/>
        <v>1.2109224277477281E-2</v>
      </c>
      <c r="S166" s="105">
        <f t="shared" si="139"/>
        <v>1.1519223772779265E-2</v>
      </c>
      <c r="T166" s="105">
        <f t="shared" si="139"/>
        <v>1.286895650633859E-2</v>
      </c>
      <c r="U166" s="105">
        <f t="shared" si="139"/>
        <v>1.45265644248778E-2</v>
      </c>
      <c r="V166" s="105">
        <f t="shared" si="139"/>
        <v>6.2741587929265224E-3</v>
      </c>
      <c r="W166" s="105">
        <f t="shared" ref="W166" si="140">IF(W55=0,0,W55/W$17)</f>
        <v>6.3030945699646618E-3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10177.357624559998</v>
      </c>
      <c r="C4" s="146">
        <f t="shared" si="0"/>
        <v>10640.572231679998</v>
      </c>
      <c r="D4" s="146">
        <f t="shared" si="0"/>
        <v>10847.81584152</v>
      </c>
      <c r="E4" s="146">
        <f t="shared" si="0"/>
        <v>11030.49488772</v>
      </c>
      <c r="F4" s="146">
        <f t="shared" si="0"/>
        <v>11695.621861799998</v>
      </c>
      <c r="G4" s="146">
        <f t="shared" si="0"/>
        <v>12387.375396720001</v>
      </c>
      <c r="H4" s="146">
        <f t="shared" si="0"/>
        <v>13445.664057000002</v>
      </c>
      <c r="I4" s="146">
        <f t="shared" si="0"/>
        <v>13850.725586039996</v>
      </c>
      <c r="J4" s="146">
        <f t="shared" si="0"/>
        <v>13034.216923559999</v>
      </c>
      <c r="K4" s="146">
        <f t="shared" si="0"/>
        <v>11833.139698559999</v>
      </c>
      <c r="L4" s="146">
        <f t="shared" ref="L4" si="1">L5+L9+L10+L15</f>
        <v>11038.376872440002</v>
      </c>
      <c r="M4" s="146">
        <f t="shared" ref="M4:V4" si="2">M5+M9+M10+M15</f>
        <v>10532.445574320001</v>
      </c>
      <c r="N4" s="146">
        <f t="shared" si="2"/>
        <v>10314.938075399999</v>
      </c>
      <c r="O4" s="146">
        <f t="shared" si="2"/>
        <v>10477.877197319996</v>
      </c>
      <c r="P4" s="146">
        <f t="shared" si="2"/>
        <v>10888.499770199998</v>
      </c>
      <c r="Q4" s="146">
        <f t="shared" si="2"/>
        <v>11088.228744</v>
      </c>
      <c r="R4" s="146">
        <f t="shared" si="2"/>
        <v>11690.9163432</v>
      </c>
      <c r="S4" s="146">
        <f t="shared" si="2"/>
        <v>11442.996583560001</v>
      </c>
      <c r="T4" s="146">
        <f t="shared" si="2"/>
        <v>11583.108592199998</v>
      </c>
      <c r="U4" s="146">
        <f t="shared" si="2"/>
        <v>11559.745159919998</v>
      </c>
      <c r="V4" s="146">
        <f t="shared" si="2"/>
        <v>9635.3688347999978</v>
      </c>
      <c r="W4" s="146">
        <f t="shared" ref="W4" si="3">W5+W9+W10+W15</f>
        <v>10266.490599839999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10177.357624559998</v>
      </c>
      <c r="C5" s="101">
        <f t="shared" si="4"/>
        <v>10640.572231679998</v>
      </c>
      <c r="D5" s="101">
        <f t="shared" si="4"/>
        <v>10847.81584152</v>
      </c>
      <c r="E5" s="101">
        <f t="shared" si="4"/>
        <v>11030.49488772</v>
      </c>
      <c r="F5" s="101">
        <f t="shared" si="4"/>
        <v>11695.621861799998</v>
      </c>
      <c r="G5" s="101">
        <f t="shared" si="4"/>
        <v>12387.375396720001</v>
      </c>
      <c r="H5" s="101">
        <f t="shared" si="4"/>
        <v>13445.664057000002</v>
      </c>
      <c r="I5" s="101">
        <f t="shared" si="4"/>
        <v>13850.725586039996</v>
      </c>
      <c r="J5" s="101">
        <f t="shared" si="4"/>
        <v>13034.216923559999</v>
      </c>
      <c r="K5" s="101">
        <f t="shared" si="4"/>
        <v>11833.139698559999</v>
      </c>
      <c r="L5" s="101">
        <f t="shared" ref="L5" si="5">SUM(L6:L8)</f>
        <v>11038.376872440002</v>
      </c>
      <c r="M5" s="101">
        <f t="shared" ref="M5:V5" si="6">SUM(M6:M8)</f>
        <v>10532.445574320001</v>
      </c>
      <c r="N5" s="101">
        <f t="shared" si="6"/>
        <v>10314.938075399999</v>
      </c>
      <c r="O5" s="101">
        <f t="shared" si="6"/>
        <v>10477.877197319996</v>
      </c>
      <c r="P5" s="101">
        <f t="shared" si="6"/>
        <v>10888.499770199998</v>
      </c>
      <c r="Q5" s="101">
        <f t="shared" si="6"/>
        <v>11088.228744</v>
      </c>
      <c r="R5" s="101">
        <f t="shared" si="6"/>
        <v>11690.9163432</v>
      </c>
      <c r="S5" s="101">
        <f t="shared" si="6"/>
        <v>11442.996583560001</v>
      </c>
      <c r="T5" s="101">
        <f t="shared" si="6"/>
        <v>11583.108592199998</v>
      </c>
      <c r="U5" s="101">
        <f t="shared" si="6"/>
        <v>11559.745159919998</v>
      </c>
      <c r="V5" s="101">
        <f t="shared" si="6"/>
        <v>9635.3688347999978</v>
      </c>
      <c r="W5" s="101">
        <f t="shared" ref="W5" si="7">SUM(W6:W8)</f>
        <v>10266.490599839999</v>
      </c>
      <c r="DA5" s="175"/>
    </row>
    <row r="6" spans="1:105" ht="11.45" customHeight="1" x14ac:dyDescent="0.25">
      <c r="A6" s="128" t="s">
        <v>52</v>
      </c>
      <c r="B6" s="101">
        <v>5.7605504400000012</v>
      </c>
      <c r="C6" s="101">
        <v>4.1420354400000008</v>
      </c>
      <c r="D6" s="101">
        <v>3.6331970399999998</v>
      </c>
      <c r="E6" s="101">
        <v>3.1541166</v>
      </c>
      <c r="F6" s="101">
        <v>2.8149667200000015</v>
      </c>
      <c r="G6" s="101">
        <v>2.6898015599999989</v>
      </c>
      <c r="H6" s="101">
        <v>2.3031752400000003</v>
      </c>
      <c r="I6" s="101">
        <v>3.0857414400000009</v>
      </c>
      <c r="J6" s="101">
        <v>2.3774565600000002</v>
      </c>
      <c r="K6" s="101">
        <v>1.5503670000000003</v>
      </c>
      <c r="L6" s="101">
        <v>1.3597797600000001</v>
      </c>
      <c r="M6" s="101">
        <v>1.4520067200000002</v>
      </c>
      <c r="N6" s="101">
        <v>2.6423251200000006</v>
      </c>
      <c r="O6" s="101">
        <v>3.4426098000000001</v>
      </c>
      <c r="P6" s="101">
        <v>5.5701903600000016</v>
      </c>
      <c r="Q6" s="101">
        <v>6.6830472000000007</v>
      </c>
      <c r="R6" s="101">
        <v>6.7337038800000002</v>
      </c>
      <c r="S6" s="101">
        <v>5.9540907599999997</v>
      </c>
      <c r="T6" s="101">
        <v>4.8918906000000009</v>
      </c>
      <c r="U6" s="101">
        <v>4.30263756</v>
      </c>
      <c r="V6" s="101">
        <v>3.0380378400000003</v>
      </c>
      <c r="W6" s="101">
        <v>3.0766550400000012</v>
      </c>
      <c r="DA6" s="175" t="s">
        <v>740</v>
      </c>
    </row>
    <row r="7" spans="1:105" ht="11.45" customHeight="1" x14ac:dyDescent="0.25">
      <c r="A7" s="128" t="s">
        <v>53</v>
      </c>
      <c r="B7" s="101">
        <v>4613.3963845199996</v>
      </c>
      <c r="C7" s="101">
        <v>4792.617577439999</v>
      </c>
      <c r="D7" s="101">
        <v>4897.6780960799997</v>
      </c>
      <c r="E7" s="101">
        <v>4891.4979775199999</v>
      </c>
      <c r="F7" s="101">
        <v>5027.4588394800012</v>
      </c>
      <c r="G7" s="101">
        <v>5283.9302669999997</v>
      </c>
      <c r="H7" s="101">
        <v>5781.4230751199993</v>
      </c>
      <c r="I7" s="101">
        <v>5620.7422378799993</v>
      </c>
      <c r="J7" s="101">
        <v>5265.3901607999996</v>
      </c>
      <c r="K7" s="101">
        <v>4777.1672810399987</v>
      </c>
      <c r="L7" s="101">
        <v>4424.9052632400017</v>
      </c>
      <c r="M7" s="101">
        <v>3936.6826329600008</v>
      </c>
      <c r="N7" s="101">
        <v>3714.2013585599998</v>
      </c>
      <c r="O7" s="101">
        <v>3436.0997655599986</v>
      </c>
      <c r="P7" s="101">
        <v>3414.4696000799991</v>
      </c>
      <c r="Q7" s="101">
        <v>2954.0570043599996</v>
      </c>
      <c r="R7" s="101">
        <v>2907.7066141200012</v>
      </c>
      <c r="S7" s="101">
        <v>2621.5680229200002</v>
      </c>
      <c r="T7" s="101">
        <v>2389.5703339199999</v>
      </c>
      <c r="U7" s="101">
        <v>2263.6477987200001</v>
      </c>
      <c r="V7" s="101">
        <v>1676.0814839999998</v>
      </c>
      <c r="W7" s="101">
        <v>1775.6087857199998</v>
      </c>
      <c r="DA7" s="175" t="s">
        <v>741</v>
      </c>
    </row>
    <row r="8" spans="1:105" ht="11.45" customHeight="1" x14ac:dyDescent="0.25">
      <c r="A8" s="128" t="s">
        <v>54</v>
      </c>
      <c r="B8" s="101">
        <v>5558.2006895999984</v>
      </c>
      <c r="C8" s="101">
        <v>5843.8126187999987</v>
      </c>
      <c r="D8" s="101">
        <v>5946.5045484000002</v>
      </c>
      <c r="E8" s="101">
        <v>6135.8427935999998</v>
      </c>
      <c r="F8" s="101">
        <v>6665.3480555999986</v>
      </c>
      <c r="G8" s="101">
        <v>7100.7553281600012</v>
      </c>
      <c r="H8" s="101">
        <v>7661.9378066400013</v>
      </c>
      <c r="I8" s="101">
        <v>8226.8976067199983</v>
      </c>
      <c r="J8" s="101">
        <v>7766.4493062000001</v>
      </c>
      <c r="K8" s="101">
        <v>7054.4220505200001</v>
      </c>
      <c r="L8" s="101">
        <v>6612.1118294400003</v>
      </c>
      <c r="M8" s="101">
        <v>6594.3109346400015</v>
      </c>
      <c r="N8" s="101">
        <v>6598.0943917199993</v>
      </c>
      <c r="O8" s="101">
        <v>7038.3348219599984</v>
      </c>
      <c r="P8" s="101">
        <v>7468.4599797599994</v>
      </c>
      <c r="Q8" s="101">
        <v>8127.4886924399998</v>
      </c>
      <c r="R8" s="101">
        <v>8776.4760251999996</v>
      </c>
      <c r="S8" s="101">
        <v>8815.4744698800005</v>
      </c>
      <c r="T8" s="101">
        <v>9188.6463676799995</v>
      </c>
      <c r="U8" s="101">
        <v>9291.7947236399978</v>
      </c>
      <c r="V8" s="101">
        <v>7956.249312959998</v>
      </c>
      <c r="W8" s="101">
        <v>8487.8051590799987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10177.357624559998</v>
      </c>
      <c r="C17" s="79">
        <f t="shared" si="12"/>
        <v>10640.572231679998</v>
      </c>
      <c r="D17" s="79">
        <f t="shared" si="12"/>
        <v>10847.815841519998</v>
      </c>
      <c r="E17" s="79">
        <f t="shared" si="12"/>
        <v>11030.494887719999</v>
      </c>
      <c r="F17" s="79">
        <f t="shared" si="12"/>
        <v>11695.621861799998</v>
      </c>
      <c r="G17" s="79">
        <f t="shared" si="12"/>
        <v>12387.375396720001</v>
      </c>
      <c r="H17" s="79">
        <f t="shared" si="12"/>
        <v>13445.664057000002</v>
      </c>
      <c r="I17" s="79">
        <f t="shared" si="12"/>
        <v>13850.725586039996</v>
      </c>
      <c r="J17" s="79">
        <f t="shared" si="12"/>
        <v>13034.216923559999</v>
      </c>
      <c r="K17" s="79">
        <f t="shared" si="12"/>
        <v>11833.139698559999</v>
      </c>
      <c r="L17" s="79">
        <f t="shared" ref="L17" si="13">SUM(L18,L33)</f>
        <v>11038.376872440002</v>
      </c>
      <c r="M17" s="79">
        <f t="shared" ref="M17:V17" si="14">SUM(M18,M33)</f>
        <v>10532.445574320001</v>
      </c>
      <c r="N17" s="79">
        <f t="shared" si="14"/>
        <v>10314.938075400001</v>
      </c>
      <c r="O17" s="79">
        <f t="shared" si="14"/>
        <v>10477.877197319998</v>
      </c>
      <c r="P17" s="79">
        <f t="shared" si="14"/>
        <v>10888.499770199998</v>
      </c>
      <c r="Q17" s="79">
        <f t="shared" si="14"/>
        <v>11088.228743999998</v>
      </c>
      <c r="R17" s="79">
        <f t="shared" si="14"/>
        <v>11690.9163432</v>
      </c>
      <c r="S17" s="79">
        <f t="shared" si="14"/>
        <v>11442.996583560001</v>
      </c>
      <c r="T17" s="79">
        <f t="shared" si="14"/>
        <v>11583.108592199998</v>
      </c>
      <c r="U17" s="79">
        <f t="shared" si="14"/>
        <v>11559.745159919998</v>
      </c>
      <c r="V17" s="79">
        <f t="shared" si="14"/>
        <v>9635.368834799996</v>
      </c>
      <c r="W17" s="79">
        <f t="shared" ref="W17" si="15">SUM(W18,W33)</f>
        <v>10266.490599839999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6186.380603149647</v>
      </c>
      <c r="C18" s="32">
        <f t="shared" si="16"/>
        <v>6423.5349600510544</v>
      </c>
      <c r="D18" s="32">
        <f t="shared" si="16"/>
        <v>6464.8483985716503</v>
      </c>
      <c r="E18" s="32">
        <f t="shared" si="16"/>
        <v>6508.988062458031</v>
      </c>
      <c r="F18" s="32">
        <f t="shared" si="16"/>
        <v>6774.4673207069882</v>
      </c>
      <c r="G18" s="32">
        <f t="shared" si="16"/>
        <v>7254.1719160220628</v>
      </c>
      <c r="H18" s="32">
        <f t="shared" si="16"/>
        <v>8075.2082210020972</v>
      </c>
      <c r="I18" s="32">
        <f t="shared" si="16"/>
        <v>8094.7454457419126</v>
      </c>
      <c r="J18" s="32">
        <f t="shared" si="16"/>
        <v>7988.9477666073444</v>
      </c>
      <c r="K18" s="32">
        <f t="shared" si="16"/>
        <v>7815.0329447447593</v>
      </c>
      <c r="L18" s="32">
        <f t="shared" ref="L18" si="17">SUM(L19,L20,L27)</f>
        <v>7465.4340234544643</v>
      </c>
      <c r="M18" s="32">
        <f t="shared" ref="M18:V18" si="18">SUM(M19,M20,M27)</f>
        <v>7197.6770815561558</v>
      </c>
      <c r="N18" s="32">
        <f t="shared" si="18"/>
        <v>7080.8454520349123</v>
      </c>
      <c r="O18" s="32">
        <f t="shared" si="18"/>
        <v>7231.2617523511981</v>
      </c>
      <c r="P18" s="32">
        <f t="shared" si="18"/>
        <v>7551.2062512693738</v>
      </c>
      <c r="Q18" s="32">
        <f t="shared" si="18"/>
        <v>7773.5750829173194</v>
      </c>
      <c r="R18" s="32">
        <f t="shared" si="18"/>
        <v>8197.1732280574124</v>
      </c>
      <c r="S18" s="32">
        <f t="shared" si="18"/>
        <v>8082.3205037069292</v>
      </c>
      <c r="T18" s="32">
        <f t="shared" si="18"/>
        <v>8112.7561401719158</v>
      </c>
      <c r="U18" s="32">
        <f t="shared" si="18"/>
        <v>8029.5007581514492</v>
      </c>
      <c r="V18" s="32">
        <f t="shared" si="18"/>
        <v>6571.005065190353</v>
      </c>
      <c r="W18" s="32">
        <f t="shared" ref="W18" si="19">SUM(W19,W20,W27)</f>
        <v>6899.2740379708284</v>
      </c>
      <c r="DA18" s="173" t="s">
        <v>402</v>
      </c>
    </row>
    <row r="19" spans="1:105" ht="11.45" customHeight="1" x14ac:dyDescent="0.25">
      <c r="A19" s="136" t="s">
        <v>180</v>
      </c>
      <c r="B19" s="141">
        <v>12.74141666566199</v>
      </c>
      <c r="C19" s="141">
        <v>13.603992580783954</v>
      </c>
      <c r="D19" s="141">
        <v>13.360882728502011</v>
      </c>
      <c r="E19" s="141">
        <v>14.272122000868457</v>
      </c>
      <c r="F19" s="141">
        <v>13.694555620182072</v>
      </c>
      <c r="G19" s="141">
        <v>16.669093510064286</v>
      </c>
      <c r="H19" s="141">
        <v>16.326535305625054</v>
      </c>
      <c r="I19" s="141">
        <v>16.473474074318155</v>
      </c>
      <c r="J19" s="141">
        <v>17.382933867768401</v>
      </c>
      <c r="K19" s="141">
        <v>15.843230098000406</v>
      </c>
      <c r="L19" s="141">
        <v>13.678117154664598</v>
      </c>
      <c r="M19" s="141">
        <v>12.483095591237278</v>
      </c>
      <c r="N19" s="141">
        <v>11.185205184268675</v>
      </c>
      <c r="O19" s="141">
        <v>10.955056671033406</v>
      </c>
      <c r="P19" s="141">
        <v>12.604855159506744</v>
      </c>
      <c r="Q19" s="141">
        <v>11.858373333024794</v>
      </c>
      <c r="R19" s="141">
        <v>12.195190205386201</v>
      </c>
      <c r="S19" s="141">
        <v>11.403324955622049</v>
      </c>
      <c r="T19" s="141">
        <v>10.771586196168885</v>
      </c>
      <c r="U19" s="141">
        <v>11.420415322302585</v>
      </c>
      <c r="V19" s="141">
        <v>10.274257357011262</v>
      </c>
      <c r="W19" s="141">
        <v>9.9093057341167281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5772.8441729218202</v>
      </c>
      <c r="C20" s="130">
        <f t="shared" si="20"/>
        <v>6014.5321123984004</v>
      </c>
      <c r="D20" s="130">
        <f t="shared" si="20"/>
        <v>6054.5974668336985</v>
      </c>
      <c r="E20" s="130">
        <f t="shared" si="20"/>
        <v>6080.4856052030955</v>
      </c>
      <c r="F20" s="130">
        <f t="shared" si="20"/>
        <v>6334.1606531813786</v>
      </c>
      <c r="G20" s="130">
        <f t="shared" si="20"/>
        <v>6796.199593846276</v>
      </c>
      <c r="H20" s="130">
        <f t="shared" si="20"/>
        <v>7588.265760107266</v>
      </c>
      <c r="I20" s="130">
        <f t="shared" si="20"/>
        <v>7579.5524955146147</v>
      </c>
      <c r="J20" s="130">
        <f t="shared" si="20"/>
        <v>7442.4278608716322</v>
      </c>
      <c r="K20" s="130">
        <f t="shared" si="20"/>
        <v>7279.9643407787153</v>
      </c>
      <c r="L20" s="130">
        <f t="shared" ref="L20" si="21">SUM(L21:L26)</f>
        <v>6947.6737748668802</v>
      </c>
      <c r="M20" s="130">
        <f t="shared" ref="M20:V20" si="22">SUM(M21:M26)</f>
        <v>6695.6043935408388</v>
      </c>
      <c r="N20" s="130">
        <f t="shared" si="22"/>
        <v>6585.3697302914397</v>
      </c>
      <c r="O20" s="130">
        <f t="shared" si="22"/>
        <v>6737.5337546936908</v>
      </c>
      <c r="P20" s="130">
        <f t="shared" si="22"/>
        <v>7047.5587956533027</v>
      </c>
      <c r="Q20" s="130">
        <f t="shared" si="22"/>
        <v>7254.540917990832</v>
      </c>
      <c r="R20" s="130">
        <f t="shared" si="22"/>
        <v>7644.6821242091019</v>
      </c>
      <c r="S20" s="130">
        <f t="shared" si="22"/>
        <v>7483.6844158233789</v>
      </c>
      <c r="T20" s="130">
        <f t="shared" si="22"/>
        <v>7468.182841619282</v>
      </c>
      <c r="U20" s="130">
        <f t="shared" si="22"/>
        <v>7378.5683665886199</v>
      </c>
      <c r="V20" s="130">
        <f t="shared" si="22"/>
        <v>6031.4839281411996</v>
      </c>
      <c r="W20" s="130">
        <f t="shared" ref="W20" si="23">SUM(W21:W26)</f>
        <v>6358.0074720768753</v>
      </c>
      <c r="DA20" s="176" t="s">
        <v>404</v>
      </c>
    </row>
    <row r="21" spans="1:105" ht="11.45" customHeight="1" x14ac:dyDescent="0.25">
      <c r="A21" s="111" t="s">
        <v>110</v>
      </c>
      <c r="B21" s="96">
        <v>4584.7829016429332</v>
      </c>
      <c r="C21" s="96">
        <v>4764.6047655722841</v>
      </c>
      <c r="D21" s="96">
        <v>4871.072500819264</v>
      </c>
      <c r="E21" s="96">
        <v>4865.3962859484318</v>
      </c>
      <c r="F21" s="96">
        <v>5003.5723759797374</v>
      </c>
      <c r="G21" s="96">
        <v>5259.3871203968029</v>
      </c>
      <c r="H21" s="96">
        <v>5759.0312778975986</v>
      </c>
      <c r="I21" s="96">
        <v>5599.4777592723403</v>
      </c>
      <c r="J21" s="96">
        <v>5243.7984174387839</v>
      </c>
      <c r="K21" s="96">
        <v>4757.5828771057913</v>
      </c>
      <c r="L21" s="96">
        <v>4408.1199328367666</v>
      </c>
      <c r="M21" s="96">
        <v>3921.5988898756705</v>
      </c>
      <c r="N21" s="96">
        <v>3700.92523542959</v>
      </c>
      <c r="O21" s="96">
        <v>3423.1181120037095</v>
      </c>
      <c r="P21" s="96">
        <v>3399.9528270621795</v>
      </c>
      <c r="Q21" s="96">
        <v>2940.463574580318</v>
      </c>
      <c r="R21" s="96">
        <v>2893.7429170989144</v>
      </c>
      <c r="S21" s="96">
        <v>2607.9934849067135</v>
      </c>
      <c r="T21" s="96">
        <v>2376.0030624577175</v>
      </c>
      <c r="U21" s="96">
        <v>2248.2359677932582</v>
      </c>
      <c r="V21" s="96">
        <v>1660.654851474136</v>
      </c>
      <c r="W21" s="96">
        <v>1753.7160255053248</v>
      </c>
      <c r="DA21" s="171" t="s">
        <v>750</v>
      </c>
    </row>
    <row r="22" spans="1:105" ht="11.45" customHeight="1" x14ac:dyDescent="0.25">
      <c r="A22" s="111" t="s">
        <v>111</v>
      </c>
      <c r="B22" s="96">
        <v>1182.3007208388872</v>
      </c>
      <c r="C22" s="96">
        <v>1245.8031707818691</v>
      </c>
      <c r="D22" s="96">
        <v>1179.910070904519</v>
      </c>
      <c r="E22" s="96">
        <v>1211.9539956085707</v>
      </c>
      <c r="F22" s="96">
        <v>1327.7925877093473</v>
      </c>
      <c r="G22" s="96">
        <v>1534.1424486347905</v>
      </c>
      <c r="H22" s="96">
        <v>1826.9516304597832</v>
      </c>
      <c r="I22" s="96">
        <v>1977.0098750149264</v>
      </c>
      <c r="J22" s="96">
        <v>2196.2519868728491</v>
      </c>
      <c r="K22" s="96">
        <v>2520.8310966729246</v>
      </c>
      <c r="L22" s="96">
        <v>2538.1940622701136</v>
      </c>
      <c r="M22" s="96">
        <v>2772.5534969451687</v>
      </c>
      <c r="N22" s="96">
        <v>2881.802169741849</v>
      </c>
      <c r="O22" s="96">
        <v>3310.9708599445503</v>
      </c>
      <c r="P22" s="96">
        <v>3642.0229840856146</v>
      </c>
      <c r="Q22" s="96">
        <v>4307.3100409139161</v>
      </c>
      <c r="R22" s="96">
        <v>4743.8677895404944</v>
      </c>
      <c r="S22" s="96">
        <v>4869.1661802127719</v>
      </c>
      <c r="T22" s="96">
        <v>5086.031533076658</v>
      </c>
      <c r="U22" s="96">
        <v>5123.7393442247685</v>
      </c>
      <c r="V22" s="96">
        <v>4364.6931731244795</v>
      </c>
      <c r="W22" s="96">
        <v>4591.5510652546463</v>
      </c>
      <c r="DA22" s="171" t="s">
        <v>751</v>
      </c>
    </row>
    <row r="23" spans="1:105" ht="11.45" customHeight="1" x14ac:dyDescent="0.25">
      <c r="A23" s="111" t="s">
        <v>112</v>
      </c>
      <c r="B23" s="96">
        <v>5.7605504400000012</v>
      </c>
      <c r="C23" s="96">
        <v>4.1241760442475091</v>
      </c>
      <c r="D23" s="96">
        <v>3.614895109915591</v>
      </c>
      <c r="E23" s="96">
        <v>3.1353236460926941</v>
      </c>
      <c r="F23" s="96">
        <v>2.7956894922936701</v>
      </c>
      <c r="G23" s="96">
        <v>2.6700248146821721</v>
      </c>
      <c r="H23" s="96">
        <v>2.282851749883569</v>
      </c>
      <c r="I23" s="96">
        <v>3.0648612273480089</v>
      </c>
      <c r="J23" s="96">
        <v>2.3774565600000002</v>
      </c>
      <c r="K23" s="96">
        <v>1.5503670000000003</v>
      </c>
      <c r="L23" s="96">
        <v>1.3597797600000001</v>
      </c>
      <c r="M23" s="96">
        <v>1.4520067200000002</v>
      </c>
      <c r="N23" s="96">
        <v>2.6423251200000006</v>
      </c>
      <c r="O23" s="96">
        <v>3.4361313279374159</v>
      </c>
      <c r="P23" s="96">
        <v>5.5572018959631988</v>
      </c>
      <c r="Q23" s="96">
        <v>6.6702153907601485</v>
      </c>
      <c r="R23" s="96">
        <v>6.7210038078906553</v>
      </c>
      <c r="S23" s="96">
        <v>5.9390737251419727</v>
      </c>
      <c r="T23" s="96">
        <v>4.8767157521153823</v>
      </c>
      <c r="U23" s="96">
        <v>4.2876211817430105</v>
      </c>
      <c r="V23" s="96">
        <v>3.0262527578342251</v>
      </c>
      <c r="W23" s="96">
        <v>3.0647430392421935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8.6514174927990479E-3</v>
      </c>
      <c r="P25" s="96">
        <v>2.5782609546183798E-2</v>
      </c>
      <c r="Q25" s="96">
        <v>9.708710583844804E-2</v>
      </c>
      <c r="R25" s="96">
        <v>0.35041376180220812</v>
      </c>
      <c r="S25" s="96">
        <v>0.58567697875111424</v>
      </c>
      <c r="T25" s="96">
        <v>1.27153033279178</v>
      </c>
      <c r="U25" s="96">
        <v>2.3054333888503353</v>
      </c>
      <c r="V25" s="96">
        <v>3.1096507847498254</v>
      </c>
      <c r="W25" s="96">
        <v>9.6756382776622747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400.79501356216463</v>
      </c>
      <c r="C27" s="130">
        <f t="shared" si="24"/>
        <v>395.39885507187063</v>
      </c>
      <c r="D27" s="130">
        <f t="shared" si="24"/>
        <v>396.89004900945054</v>
      </c>
      <c r="E27" s="130">
        <f t="shared" si="24"/>
        <v>414.23033525406697</v>
      </c>
      <c r="F27" s="130">
        <f t="shared" si="24"/>
        <v>426.61211190542741</v>
      </c>
      <c r="G27" s="130">
        <f t="shared" si="24"/>
        <v>441.30322866572226</v>
      </c>
      <c r="H27" s="130">
        <f t="shared" si="24"/>
        <v>470.6159255892062</v>
      </c>
      <c r="I27" s="130">
        <f t="shared" si="24"/>
        <v>498.71947615297995</v>
      </c>
      <c r="J27" s="130">
        <f t="shared" si="24"/>
        <v>529.1369718679432</v>
      </c>
      <c r="K27" s="130">
        <f t="shared" si="24"/>
        <v>519.2253738680439</v>
      </c>
      <c r="L27" s="130">
        <f t="shared" ref="L27" si="25">SUM(L28:L32)</f>
        <v>504.0821314329196</v>
      </c>
      <c r="M27" s="130">
        <f t="shared" ref="M27:V27" si="26">SUM(M28:M32)</f>
        <v>489.58959242407911</v>
      </c>
      <c r="N27" s="130">
        <f t="shared" si="26"/>
        <v>484.29051655920392</v>
      </c>
      <c r="O27" s="130">
        <f t="shared" si="26"/>
        <v>482.7729409864744</v>
      </c>
      <c r="P27" s="130">
        <f t="shared" si="26"/>
        <v>491.04260045656395</v>
      </c>
      <c r="Q27" s="130">
        <f t="shared" si="26"/>
        <v>507.17579159346246</v>
      </c>
      <c r="R27" s="130">
        <f t="shared" si="26"/>
        <v>540.29591364292514</v>
      </c>
      <c r="S27" s="130">
        <f t="shared" si="26"/>
        <v>587.23276292792775</v>
      </c>
      <c r="T27" s="130">
        <f t="shared" si="26"/>
        <v>633.80171235646526</v>
      </c>
      <c r="U27" s="130">
        <f t="shared" si="26"/>
        <v>639.51197624052622</v>
      </c>
      <c r="V27" s="130">
        <f t="shared" si="26"/>
        <v>529.24687969214244</v>
      </c>
      <c r="W27" s="130">
        <f t="shared" ref="W27" si="27">SUM(W28:W32)</f>
        <v>531.35726015983664</v>
      </c>
      <c r="DA27" s="176" t="s">
        <v>405</v>
      </c>
    </row>
    <row r="28" spans="1:105" ht="11.45" customHeight="1" x14ac:dyDescent="0.25">
      <c r="A28" s="111" t="s">
        <v>110</v>
      </c>
      <c r="B28" s="97">
        <v>2.2901056987656601</v>
      </c>
      <c r="C28" s="97">
        <v>2.100230583312225</v>
      </c>
      <c r="D28" s="97">
        <v>1.9107991857704134</v>
      </c>
      <c r="E28" s="97">
        <v>1.7237625065906075</v>
      </c>
      <c r="F28" s="97">
        <v>1.5202036156248009</v>
      </c>
      <c r="G28" s="97">
        <v>1.3296764251165469</v>
      </c>
      <c r="H28" s="97">
        <v>1.1534231411610532</v>
      </c>
      <c r="I28" s="97">
        <v>1.0242329835104969</v>
      </c>
      <c r="J28" s="97">
        <v>0.88070470084602748</v>
      </c>
      <c r="K28" s="97">
        <v>0.72724406357419247</v>
      </c>
      <c r="L28" s="97">
        <v>0.57339824824876573</v>
      </c>
      <c r="M28" s="97">
        <v>0.45572889568605746</v>
      </c>
      <c r="N28" s="97">
        <v>0.34069851747790691</v>
      </c>
      <c r="O28" s="97">
        <v>0.34123980937222359</v>
      </c>
      <c r="P28" s="97">
        <v>0.34293811081856362</v>
      </c>
      <c r="Q28" s="97">
        <v>0.29565855905729138</v>
      </c>
      <c r="R28" s="97">
        <v>0.2417837680348085</v>
      </c>
      <c r="S28" s="97">
        <v>0.29632517353210386</v>
      </c>
      <c r="T28" s="97">
        <v>0.20213754915767526</v>
      </c>
      <c r="U28" s="97">
        <v>0.24324210635608726</v>
      </c>
      <c r="V28" s="97">
        <v>0.22270617703070478</v>
      </c>
      <c r="W28" s="97">
        <v>0.20123948039274142</v>
      </c>
      <c r="DA28" s="175" t="s">
        <v>756</v>
      </c>
    </row>
    <row r="29" spans="1:105" ht="11.45" customHeight="1" x14ac:dyDescent="0.25">
      <c r="A29" s="111" t="s">
        <v>111</v>
      </c>
      <c r="B29" s="97">
        <v>398.50490786339896</v>
      </c>
      <c r="C29" s="97">
        <v>393.28076509280589</v>
      </c>
      <c r="D29" s="97">
        <v>394.96094789359569</v>
      </c>
      <c r="E29" s="97">
        <v>412.48777979356908</v>
      </c>
      <c r="F29" s="97">
        <v>425.07263106209632</v>
      </c>
      <c r="G29" s="97">
        <v>439.95377549528791</v>
      </c>
      <c r="H29" s="97">
        <v>469.44217895792872</v>
      </c>
      <c r="I29" s="97">
        <v>497.67436295681745</v>
      </c>
      <c r="J29" s="97">
        <v>528.25626716709712</v>
      </c>
      <c r="K29" s="97">
        <v>518.49812980446973</v>
      </c>
      <c r="L29" s="97">
        <v>503.5087331846708</v>
      </c>
      <c r="M29" s="97">
        <v>489.13386352839308</v>
      </c>
      <c r="N29" s="97">
        <v>483.94981804172602</v>
      </c>
      <c r="O29" s="97">
        <v>482.43170117710218</v>
      </c>
      <c r="P29" s="97">
        <v>490.69966234574537</v>
      </c>
      <c r="Q29" s="97">
        <v>506.88013303440516</v>
      </c>
      <c r="R29" s="97">
        <v>540.05412987489035</v>
      </c>
      <c r="S29" s="97">
        <v>586.93643775439568</v>
      </c>
      <c r="T29" s="97">
        <v>633.59957480730759</v>
      </c>
      <c r="U29" s="97">
        <v>639.26873413417013</v>
      </c>
      <c r="V29" s="97">
        <v>529.02417351511178</v>
      </c>
      <c r="W29" s="97">
        <v>531.15602067944394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1.785939575249124E-2</v>
      </c>
      <c r="D30" s="97">
        <v>1.8301930084409345E-2</v>
      </c>
      <c r="E30" s="97">
        <v>1.8792953907305992E-2</v>
      </c>
      <c r="F30" s="97">
        <v>1.9277227706331328E-2</v>
      </c>
      <c r="G30" s="97">
        <v>1.9776745317826753E-2</v>
      </c>
      <c r="H30" s="97">
        <v>2.0323490116431472E-2</v>
      </c>
      <c r="I30" s="97">
        <v>2.0880212651992223E-2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3990.977021410351</v>
      </c>
      <c r="C33" s="32">
        <f t="shared" si="28"/>
        <v>4217.037271628943</v>
      </c>
      <c r="D33" s="32">
        <f t="shared" si="28"/>
        <v>4382.9674429483475</v>
      </c>
      <c r="E33" s="32">
        <f t="shared" si="28"/>
        <v>4521.5068252619676</v>
      </c>
      <c r="F33" s="32">
        <f t="shared" si="28"/>
        <v>4921.1545410930112</v>
      </c>
      <c r="G33" s="32">
        <f t="shared" si="28"/>
        <v>5133.2034806979382</v>
      </c>
      <c r="H33" s="32">
        <f t="shared" si="28"/>
        <v>5370.4558359979037</v>
      </c>
      <c r="I33" s="32">
        <f t="shared" si="28"/>
        <v>5755.9801402980838</v>
      </c>
      <c r="J33" s="32">
        <f t="shared" si="28"/>
        <v>5045.2691569526551</v>
      </c>
      <c r="K33" s="32">
        <f t="shared" si="28"/>
        <v>4018.1067538152392</v>
      </c>
      <c r="L33" s="32">
        <f t="shared" ref="L33" si="29">L34+L40</f>
        <v>3572.9428489855372</v>
      </c>
      <c r="M33" s="32">
        <f t="shared" ref="M33:V33" si="30">M34+M40</f>
        <v>3334.7684927638466</v>
      </c>
      <c r="N33" s="32">
        <f t="shared" si="30"/>
        <v>3234.092623365088</v>
      </c>
      <c r="O33" s="32">
        <f t="shared" si="30"/>
        <v>3246.6154449687992</v>
      </c>
      <c r="P33" s="32">
        <f t="shared" si="30"/>
        <v>3337.2935189306245</v>
      </c>
      <c r="Q33" s="32">
        <f t="shared" si="30"/>
        <v>3314.6536610826788</v>
      </c>
      <c r="R33" s="32">
        <f t="shared" si="30"/>
        <v>3493.7431151425881</v>
      </c>
      <c r="S33" s="32">
        <f t="shared" si="30"/>
        <v>3360.6760798530713</v>
      </c>
      <c r="T33" s="32">
        <f t="shared" si="30"/>
        <v>3470.3524520280821</v>
      </c>
      <c r="U33" s="32">
        <f t="shared" si="30"/>
        <v>3530.2444017685484</v>
      </c>
      <c r="V33" s="32">
        <f t="shared" si="30"/>
        <v>3064.3637696096439</v>
      </c>
      <c r="W33" s="32">
        <f t="shared" ref="W33" si="31">W34+W40</f>
        <v>3367.2165618691697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1287.7730709440846</v>
      </c>
      <c r="C34" s="141">
        <f t="shared" si="32"/>
        <v>1327.6564006814435</v>
      </c>
      <c r="D34" s="141">
        <f t="shared" si="32"/>
        <v>1396.5981765899569</v>
      </c>
      <c r="E34" s="141">
        <f t="shared" si="32"/>
        <v>1475.8254155943414</v>
      </c>
      <c r="F34" s="141">
        <f t="shared" si="32"/>
        <v>1577.2935404638545</v>
      </c>
      <c r="G34" s="141">
        <f t="shared" si="32"/>
        <v>1670.507103624057</v>
      </c>
      <c r="H34" s="141">
        <f t="shared" si="32"/>
        <v>1793.6702272248779</v>
      </c>
      <c r="I34" s="141">
        <f t="shared" si="32"/>
        <v>1894.7305216099005</v>
      </c>
      <c r="J34" s="141">
        <f t="shared" si="32"/>
        <v>1837.2492063216109</v>
      </c>
      <c r="K34" s="141">
        <f t="shared" si="32"/>
        <v>1735.1447176911861</v>
      </c>
      <c r="L34" s="141">
        <f t="shared" ref="L34" si="33">SUM(L35:L39)</f>
        <v>1610.3386359204228</v>
      </c>
      <c r="M34" s="141">
        <f t="shared" ref="M34:V34" si="34">SUM(M35:M39)</f>
        <v>1555.4159391486814</v>
      </c>
      <c r="N34" s="141">
        <f t="shared" si="34"/>
        <v>1472.0732275696246</v>
      </c>
      <c r="O34" s="141">
        <f t="shared" si="34"/>
        <v>1492.5748495416017</v>
      </c>
      <c r="P34" s="141">
        <f t="shared" si="34"/>
        <v>1452.0469415957884</v>
      </c>
      <c r="Q34" s="141">
        <f t="shared" si="34"/>
        <v>1399.9482968800269</v>
      </c>
      <c r="R34" s="141">
        <f t="shared" si="34"/>
        <v>1358.2581627378274</v>
      </c>
      <c r="S34" s="141">
        <f t="shared" si="34"/>
        <v>1303.2007820480383</v>
      </c>
      <c r="T34" s="141">
        <f t="shared" si="34"/>
        <v>1309.5812671335657</v>
      </c>
      <c r="U34" s="141">
        <f t="shared" si="34"/>
        <v>1255.640292678693</v>
      </c>
      <c r="V34" s="141">
        <f t="shared" si="34"/>
        <v>1216.0202814052366</v>
      </c>
      <c r="W34" s="141">
        <f t="shared" ref="W34" si="35">SUM(W35:W39)</f>
        <v>1258.7190144353697</v>
      </c>
      <c r="DA34" s="174" t="s">
        <v>411</v>
      </c>
    </row>
    <row r="35" spans="1:105" ht="11.45" customHeight="1" x14ac:dyDescent="0.25">
      <c r="A35" s="111" t="s">
        <v>110</v>
      </c>
      <c r="B35" s="96">
        <v>13.581960512638764</v>
      </c>
      <c r="C35" s="96">
        <v>12.308588703619465</v>
      </c>
      <c r="D35" s="96">
        <v>11.333913346463117</v>
      </c>
      <c r="E35" s="96">
        <v>10.105807064108262</v>
      </c>
      <c r="F35" s="96">
        <v>8.6717042644567233</v>
      </c>
      <c r="G35" s="96">
        <v>6.5443766680159854</v>
      </c>
      <c r="H35" s="96">
        <v>4.9118387756146387</v>
      </c>
      <c r="I35" s="96">
        <v>3.7667715498297327</v>
      </c>
      <c r="J35" s="96">
        <v>3.3281047926011724</v>
      </c>
      <c r="K35" s="96">
        <v>3.013929772632947</v>
      </c>
      <c r="L35" s="96">
        <v>2.5338150003215349</v>
      </c>
      <c r="M35" s="96">
        <v>2.1449185974075236</v>
      </c>
      <c r="N35" s="96">
        <v>1.7502194286632449</v>
      </c>
      <c r="O35" s="96">
        <v>1.6767056583907751</v>
      </c>
      <c r="P35" s="96">
        <v>1.5431971379483704</v>
      </c>
      <c r="Q35" s="96">
        <v>1.3423107817605084</v>
      </c>
      <c r="R35" s="96">
        <v>1.1763092858637225</v>
      </c>
      <c r="S35" s="96">
        <v>1.2892109053813952</v>
      </c>
      <c r="T35" s="96">
        <v>1.322017384164238</v>
      </c>
      <c r="U35" s="96">
        <v>1.4427401092332963</v>
      </c>
      <c r="V35" s="96">
        <v>1.8200182070722735</v>
      </c>
      <c r="W35" s="96">
        <v>2.1065767225031284</v>
      </c>
      <c r="DA35" s="171" t="s">
        <v>761</v>
      </c>
    </row>
    <row r="36" spans="1:105" ht="11.45" customHeight="1" x14ac:dyDescent="0.25">
      <c r="A36" s="111" t="s">
        <v>111</v>
      </c>
      <c r="B36" s="96">
        <v>1274.1911104314458</v>
      </c>
      <c r="C36" s="96">
        <v>1315.347811977824</v>
      </c>
      <c r="D36" s="96">
        <v>1385.2642632434938</v>
      </c>
      <c r="E36" s="96">
        <v>1465.719608530233</v>
      </c>
      <c r="F36" s="96">
        <v>1568.6218361993976</v>
      </c>
      <c r="G36" s="96">
        <v>1663.962726956041</v>
      </c>
      <c r="H36" s="96">
        <v>1788.7583884492633</v>
      </c>
      <c r="I36" s="96">
        <v>1890.9637500600709</v>
      </c>
      <c r="J36" s="96">
        <v>1833.9211015290098</v>
      </c>
      <c r="K36" s="96">
        <v>1732.1307879185531</v>
      </c>
      <c r="L36" s="96">
        <v>1607.8048209201013</v>
      </c>
      <c r="M36" s="96">
        <v>1553.271020551274</v>
      </c>
      <c r="N36" s="96">
        <v>1470.3230081409613</v>
      </c>
      <c r="O36" s="96">
        <v>1490.8916654111483</v>
      </c>
      <c r="P36" s="96">
        <v>1450.4907559938031</v>
      </c>
      <c r="Q36" s="96">
        <v>1398.5931542890266</v>
      </c>
      <c r="R36" s="96">
        <v>1357.0691533798545</v>
      </c>
      <c r="S36" s="96">
        <v>1301.8965541077989</v>
      </c>
      <c r="T36" s="96">
        <v>1308.244074901517</v>
      </c>
      <c r="U36" s="96">
        <v>1254.1825361912026</v>
      </c>
      <c r="V36" s="96">
        <v>1214.1884781159986</v>
      </c>
      <c r="W36" s="96">
        <v>1256.6005257121087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6.4784720625839691E-3</v>
      </c>
      <c r="P37" s="96">
        <v>1.2988464036801598E-2</v>
      </c>
      <c r="Q37" s="96">
        <v>1.283180923985257E-2</v>
      </c>
      <c r="R37" s="96">
        <v>1.270007210934497E-2</v>
      </c>
      <c r="S37" s="96">
        <v>1.5017034858027807E-2</v>
      </c>
      <c r="T37" s="96">
        <v>1.5174847884619341E-2</v>
      </c>
      <c r="U37" s="96">
        <v>1.5016378256989839E-2</v>
      </c>
      <c r="V37" s="96">
        <v>1.1785082165774962E-2</v>
      </c>
      <c r="W37" s="96">
        <v>1.1912000757807819E-2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2703.2039504662666</v>
      </c>
      <c r="C40" s="130">
        <f t="shared" si="36"/>
        <v>2889.3808709474993</v>
      </c>
      <c r="D40" s="130">
        <f t="shared" si="36"/>
        <v>2986.3692663583911</v>
      </c>
      <c r="E40" s="130">
        <f t="shared" si="36"/>
        <v>3045.6814096676267</v>
      </c>
      <c r="F40" s="130">
        <f t="shared" si="36"/>
        <v>3343.8610006291565</v>
      </c>
      <c r="G40" s="130">
        <f t="shared" si="36"/>
        <v>3462.6963770738812</v>
      </c>
      <c r="H40" s="130">
        <f t="shared" si="36"/>
        <v>3576.7856087730261</v>
      </c>
      <c r="I40" s="130">
        <f t="shared" si="36"/>
        <v>3861.2496186881835</v>
      </c>
      <c r="J40" s="130">
        <f t="shared" si="36"/>
        <v>3208.0199506310441</v>
      </c>
      <c r="K40" s="130">
        <f t="shared" si="36"/>
        <v>2282.9620361240532</v>
      </c>
      <c r="L40" s="130">
        <f t="shared" ref="L40" si="37">SUM(L41:L42)</f>
        <v>1962.6042130651147</v>
      </c>
      <c r="M40" s="130">
        <f t="shared" ref="M40:V40" si="38">SUM(M41:M42)</f>
        <v>1779.3525536151653</v>
      </c>
      <c r="N40" s="130">
        <f t="shared" si="38"/>
        <v>1762.0193957954632</v>
      </c>
      <c r="O40" s="130">
        <f t="shared" si="38"/>
        <v>1754.0405954271976</v>
      </c>
      <c r="P40" s="130">
        <f t="shared" si="38"/>
        <v>1885.246577334836</v>
      </c>
      <c r="Q40" s="130">
        <f t="shared" si="38"/>
        <v>1914.7053642026522</v>
      </c>
      <c r="R40" s="130">
        <f t="shared" si="38"/>
        <v>2135.4849524047604</v>
      </c>
      <c r="S40" s="130">
        <f t="shared" si="38"/>
        <v>2057.4752978050333</v>
      </c>
      <c r="T40" s="130">
        <f t="shared" si="38"/>
        <v>2160.7711848945164</v>
      </c>
      <c r="U40" s="130">
        <f t="shared" si="38"/>
        <v>2274.6041090898552</v>
      </c>
      <c r="V40" s="130">
        <f t="shared" si="38"/>
        <v>1848.3434882044071</v>
      </c>
      <c r="W40" s="130">
        <f t="shared" ref="W40" si="39">SUM(W41:W42)</f>
        <v>2108.4975474337998</v>
      </c>
      <c r="DA40" s="176" t="s">
        <v>412</v>
      </c>
    </row>
    <row r="41" spans="1:105" ht="11.45" customHeight="1" x14ac:dyDescent="0.25">
      <c r="A41" s="128" t="s">
        <v>27</v>
      </c>
      <c r="B41" s="97">
        <v>2530.81948578216</v>
      </c>
      <c r="C41" s="97">
        <v>2696.7142106531273</v>
      </c>
      <c r="D41" s="97">
        <v>2803.7485176161085</v>
      </c>
      <c r="E41" s="97">
        <v>2865.6719644080777</v>
      </c>
      <c r="F41" s="97">
        <v>3134.2561153031693</v>
      </c>
      <c r="G41" s="97">
        <v>3256.9644059041279</v>
      </c>
      <c r="H41" s="97">
        <v>3357.7812906262352</v>
      </c>
      <c r="I41" s="97">
        <v>3618.8144497612998</v>
      </c>
      <c r="J41" s="97">
        <v>3015.36388513058</v>
      </c>
      <c r="K41" s="97">
        <v>2116.3918373300767</v>
      </c>
      <c r="L41" s="97">
        <v>1812.4842082655573</v>
      </c>
      <c r="M41" s="97">
        <v>1625.1748367776931</v>
      </c>
      <c r="N41" s="97">
        <v>1621.6874956973872</v>
      </c>
      <c r="O41" s="97">
        <v>1618.5384153857287</v>
      </c>
      <c r="P41" s="97">
        <v>1744.5845476324673</v>
      </c>
      <c r="Q41" s="97">
        <v>1755.4877776943963</v>
      </c>
      <c r="R41" s="97">
        <v>1991.5827577228627</v>
      </c>
      <c r="S41" s="97">
        <v>1923.9521879944323</v>
      </c>
      <c r="T41" s="97">
        <v>2009.8327771886479</v>
      </c>
      <c r="U41" s="97">
        <v>2104.9706469683283</v>
      </c>
      <c r="V41" s="97">
        <v>1787.3730523811867</v>
      </c>
      <c r="W41" s="97">
        <v>2043.1116641843983</v>
      </c>
      <c r="DA41" s="175" t="s">
        <v>766</v>
      </c>
    </row>
    <row r="42" spans="1:105" ht="11.45" customHeight="1" x14ac:dyDescent="0.25">
      <c r="A42" s="138" t="s">
        <v>116</v>
      </c>
      <c r="B42" s="98">
        <v>172.38446468410686</v>
      </c>
      <c r="C42" s="98">
        <v>192.66666029437212</v>
      </c>
      <c r="D42" s="98">
        <v>182.62074874228264</v>
      </c>
      <c r="E42" s="98">
        <v>180.00944525954921</v>
      </c>
      <c r="F42" s="98">
        <v>209.60488532598742</v>
      </c>
      <c r="G42" s="98">
        <v>205.73197116975342</v>
      </c>
      <c r="H42" s="98">
        <v>219.00431814679075</v>
      </c>
      <c r="I42" s="98">
        <v>242.43516892688368</v>
      </c>
      <c r="J42" s="98">
        <v>192.65606550046422</v>
      </c>
      <c r="K42" s="98">
        <v>166.57019879397666</v>
      </c>
      <c r="L42" s="98">
        <v>150.12000479955734</v>
      </c>
      <c r="M42" s="98">
        <v>154.17771683747222</v>
      </c>
      <c r="N42" s="98">
        <v>140.33190009807603</v>
      </c>
      <c r="O42" s="98">
        <v>135.50218004146876</v>
      </c>
      <c r="P42" s="98">
        <v>140.66202970236864</v>
      </c>
      <c r="Q42" s="98">
        <v>159.21758650825598</v>
      </c>
      <c r="R42" s="98">
        <v>143.90219468189784</v>
      </c>
      <c r="S42" s="98">
        <v>133.52310981060103</v>
      </c>
      <c r="T42" s="98">
        <v>150.93840770586871</v>
      </c>
      <c r="U42" s="98">
        <v>169.63346212152703</v>
      </c>
      <c r="V42" s="98">
        <v>60.970435823220505</v>
      </c>
      <c r="W42" s="98">
        <v>65.385883249401672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3.0076884187811528</v>
      </c>
      <c r="C47" s="145">
        <f>IF(C4=0,0,C4/TrRoad_ene!C4)</f>
        <v>3.0083621396060205</v>
      </c>
      <c r="D47" s="145">
        <f>IF(D4=0,0,D4/TrRoad_ene!D4)</f>
        <v>3.0081715628549661</v>
      </c>
      <c r="E47" s="145">
        <f>IF(E4=0,0,E4/TrRoad_ene!E4)</f>
        <v>3.0098211805542019</v>
      </c>
      <c r="F47" s="145">
        <f>IF(F4=0,0,F4/TrRoad_ene!F4)</f>
        <v>3.0125961804355312</v>
      </c>
      <c r="G47" s="145">
        <f>IF(G4=0,0,G4/TrRoad_ene!G4)</f>
        <v>3.0124799693036182</v>
      </c>
      <c r="H47" s="145">
        <f>IF(H4=0,0,H4/TrRoad_ene!H4)</f>
        <v>3.0108022655704159</v>
      </c>
      <c r="I47" s="145">
        <f>IF(I4=0,0,I4/TrRoad_ene!I4)</f>
        <v>3.0033759851327426</v>
      </c>
      <c r="J47" s="145">
        <f>IF(J4=0,0,J4/TrRoad_ene!J4)</f>
        <v>2.9793421785249645</v>
      </c>
      <c r="K47" s="145">
        <f>IF(K4=0,0,K4/TrRoad_ene!K4)</f>
        <v>2.9594822389892315</v>
      </c>
      <c r="L47" s="145">
        <f>IF(L4=0,0,L4/TrRoad_ene!L4)</f>
        <v>2.9439377436190735</v>
      </c>
      <c r="M47" s="145">
        <f>IF(M4=0,0,M4/TrRoad_ene!M4)</f>
        <v>2.9461047524977819</v>
      </c>
      <c r="N47" s="145">
        <f>IF(N4=0,0,N4/TrRoad_ene!N4)</f>
        <v>2.9530055915978113</v>
      </c>
      <c r="O47" s="145">
        <f>IF(O4=0,0,O4/TrRoad_ene!O4)</f>
        <v>2.9467287566192124</v>
      </c>
      <c r="P47" s="145">
        <f>IF(P4=0,0,P4/TrRoad_ene!P4)</f>
        <v>2.9421915225393689</v>
      </c>
      <c r="Q47" s="145">
        <f>IF(Q4=0,0,Q4/TrRoad_ene!Q4)</f>
        <v>2.9465220605525215</v>
      </c>
      <c r="R47" s="145">
        <f>IF(R4=0,0,R4/TrRoad_ene!R4)</f>
        <v>2.9622806543785489</v>
      </c>
      <c r="S47" s="145">
        <f>IF(S4=0,0,S4/TrRoad_ene!S4)</f>
        <v>2.9276382240581009</v>
      </c>
      <c r="T47" s="145">
        <f>IF(T4=0,0,T4/TrRoad_ene!T4)</f>
        <v>2.9378538015108155</v>
      </c>
      <c r="U47" s="145">
        <f>IF(U4=0,0,U4/TrRoad_ene!U4)</f>
        <v>2.9135683161524364</v>
      </c>
      <c r="V47" s="145">
        <f>IF(V4=0,0,V4/TrRoad_ene!V4)</f>
        <v>2.9006618900318202</v>
      </c>
      <c r="W47" s="145">
        <f>IF(W4=0,0,W4/TrRoad_ene!W4)</f>
        <v>2.9026466809984237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2.9014524000000006</v>
      </c>
      <c r="E48" s="97">
        <f>IF(E7=0,0,(E7+E12)/(TrRoad_ene!E7+TrRoad_ene!E12))</f>
        <v>2.9014523999999997</v>
      </c>
      <c r="F48" s="97">
        <f>IF(F7=0,0,(F7+F12)/(TrRoad_ene!F7+TrRoad_ene!F12))</f>
        <v>2.9014524000000002</v>
      </c>
      <c r="G48" s="97">
        <f>IF(G7=0,0,(G7+G12)/(TrRoad_ene!G7+TrRoad_ene!G12))</f>
        <v>2.9014382899282993</v>
      </c>
      <c r="H48" s="97">
        <f>IF(H7=0,0,(H7+H12)/(TrRoad_ene!H7+TrRoad_ene!H12))</f>
        <v>2.9005135525125043</v>
      </c>
      <c r="I48" s="97">
        <f>IF(I7=0,0,(I7+I12)/(TrRoad_ene!I7+TrRoad_ene!I12))</f>
        <v>2.8962034578489964</v>
      </c>
      <c r="J48" s="97">
        <f>IF(J7=0,0,(J7+J12)/(TrRoad_ene!J7+TrRoad_ene!J12))</f>
        <v>2.8727703764405432</v>
      </c>
      <c r="K48" s="97">
        <f>IF(K7=0,0,(K7+K12)/(TrRoad_ene!K7+TrRoad_ene!K12))</f>
        <v>2.8618044074607401</v>
      </c>
      <c r="L48" s="97">
        <f>IF(L7=0,0,(L7+L12)/(TrRoad_ene!L7+TrRoad_ene!L12))</f>
        <v>2.8451836863012443</v>
      </c>
      <c r="M48" s="97">
        <f>IF(M7=0,0,(M7+M12)/(TrRoad_ene!M7+TrRoad_ene!M12))</f>
        <v>2.8517602416893642</v>
      </c>
      <c r="N48" s="97">
        <f>IF(N7=0,0,(N7+N12)/(TrRoad_ene!N7+TrRoad_ene!N12))</f>
        <v>2.8379507544234284</v>
      </c>
      <c r="O48" s="97">
        <f>IF(O7=0,0,(O7+O12)/(TrRoad_ene!O7+TrRoad_ene!O12))</f>
        <v>2.8351177061309367</v>
      </c>
      <c r="P48" s="97">
        <f>IF(P7=0,0,(P7+P12)/(TrRoad_ene!P7+TrRoad_ene!P12))</f>
        <v>2.8415683692483085</v>
      </c>
      <c r="Q48" s="97">
        <f>IF(Q7=0,0,(Q7+Q12)/(TrRoad_ene!Q7+TrRoad_ene!Q12))</f>
        <v>2.8342526805208421</v>
      </c>
      <c r="R48" s="97">
        <f>IF(R7=0,0,(R7+R12)/(TrRoad_ene!R7+TrRoad_ene!R12))</f>
        <v>2.8259737668175036</v>
      </c>
      <c r="S48" s="97">
        <f>IF(S7=0,0,(S7+S12)/(TrRoad_ene!S7+TrRoad_ene!S12))</f>
        <v>2.8093865017103083</v>
      </c>
      <c r="T48" s="97">
        <f>IF(T7=0,0,(T7+T12)/(TrRoad_ene!T7+TrRoad_ene!T12))</f>
        <v>2.8084378521248445</v>
      </c>
      <c r="U48" s="97">
        <f>IF(U7=0,0,(U7+U12)/(TrRoad_ene!U7+TrRoad_ene!U12))</f>
        <v>2.8072011036680333</v>
      </c>
      <c r="V48" s="97">
        <f>IF(V7=0,0,(V7+V12)/(TrRoad_ene!V7+TrRoad_ene!V12))</f>
        <v>2.8069956570484247</v>
      </c>
      <c r="W48" s="97">
        <f>IF(W7=0,0,(W7+W12)/(TrRoad_ene!W7+TrRoad_ene!W12))</f>
        <v>2.8081749599550592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3.1009570051914115</v>
      </c>
      <c r="H49" s="97">
        <f>IF(H8=0,0,(H8+H13+H14)/(TrRoad_ene!H8+TrRoad_ene!H13+TrRoad_ene!H14))</f>
        <v>3.0998721793271162</v>
      </c>
      <c r="I49" s="97">
        <f>IF(I8=0,0,(I8+I13+I14)/(TrRoad_ene!I8+TrRoad_ene!I13+TrRoad_ene!I14))</f>
        <v>3.0814391840344184</v>
      </c>
      <c r="J49" s="97">
        <f>IF(J8=0,0,(J8+J13+J14)/(TrRoad_ene!J8+TrRoad_ene!J13+TrRoad_ene!J14))</f>
        <v>3.056347973400674</v>
      </c>
      <c r="K49" s="97">
        <f>IF(K8=0,0,(K8+K13+K14)/(TrRoad_ene!K8+TrRoad_ene!K13+TrRoad_ene!K14))</f>
        <v>3.0296061588892544</v>
      </c>
      <c r="L49" s="97">
        <f>IF(L8=0,0,(L8+L13+L14)/(TrRoad_ene!L8+TrRoad_ene!L13+TrRoad_ene!L14))</f>
        <v>3.0140440296973261</v>
      </c>
      <c r="M49" s="97">
        <f>IF(M8=0,0,(M8+M13+M14)/(TrRoad_ene!M8+TrRoad_ene!M13+TrRoad_ene!M14))</f>
        <v>3.0057695036363574</v>
      </c>
      <c r="N49" s="97">
        <f>IF(N8=0,0,(N8+N13+N14)/(TrRoad_ene!N8+TrRoad_ene!N13+TrRoad_ene!N14))</f>
        <v>3.02240286718086</v>
      </c>
      <c r="O49" s="97">
        <f>IF(O8=0,0,(O8+O13+O14)/(TrRoad_ene!O8+TrRoad_ene!O13+TrRoad_ene!O14))</f>
        <v>3.0047612060297682</v>
      </c>
      <c r="P49" s="97">
        <f>IF(P8=0,0,(P8+P13+P14)/(TrRoad_ene!P8+TrRoad_ene!P13+TrRoad_ene!P14))</f>
        <v>2.991074818774961</v>
      </c>
      <c r="Q49" s="97">
        <f>IF(Q8=0,0,(Q8+Q13+Q14)/(TrRoad_ene!Q8+TrRoad_ene!Q13+TrRoad_ene!Q14))</f>
        <v>2.9901876584463167</v>
      </c>
      <c r="R49" s="97">
        <f>IF(R8=0,0,(R8+R13+R14)/(TrRoad_ene!R8+TrRoad_ene!R13+TrRoad_ene!R14))</f>
        <v>3.0111247188812502</v>
      </c>
      <c r="S49" s="97">
        <f>IF(S8=0,0,(S8+S13+S14)/(TrRoad_ene!S8+TrRoad_ene!S13+TrRoad_ene!S14))</f>
        <v>2.9655883314893923</v>
      </c>
      <c r="T49" s="97">
        <f>IF(T8=0,0,(T8+T13+T14)/(TrRoad_ene!T8+TrRoad_ene!T13+TrRoad_ene!T14))</f>
        <v>2.9748254145050637</v>
      </c>
      <c r="U49" s="97">
        <f>IF(U8=0,0,(U8+U13+U14)/(TrRoad_ene!U8+TrRoad_ene!U13+TrRoad_ene!U14))</f>
        <v>2.9432391865460117</v>
      </c>
      <c r="V49" s="97">
        <f>IF(V8=0,0,(V8+V13+V14)/(TrRoad_ene!V8+TrRoad_ene!V13+TrRoad_ene!V14))</f>
        <v>2.9254491836613234</v>
      </c>
      <c r="W49" s="97">
        <f>IF(W8=0,0,(W8+W13+W14)/(TrRoad_ene!W8+TrRoad_ene!W13+TrRoad_ene!W14))</f>
        <v>2.9329342896206199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2.6418708000000009</v>
      </c>
      <c r="I50" s="97">
        <f>IF(I6=0,0,I6/TrRoad_ene!I6)</f>
        <v>2.6418708000000004</v>
      </c>
      <c r="J50" s="97">
        <f>IF(J6=0,0,J6/TrRoad_ene!J6)</f>
        <v>2.6418708000000009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2.6418708000000009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363.62656408853718</v>
      </c>
      <c r="C54" s="62">
        <f>IF(TrRoad_act!C30=0,0,C17/TrRoad_act!C30*1000
)</f>
        <v>356.52558251148844</v>
      </c>
      <c r="D54" s="62">
        <f>IF(TrRoad_act!D30=0,0,D17/TrRoad_act!D30*1000
)</f>
        <v>346.60252003913956</v>
      </c>
      <c r="E54" s="62">
        <f>IF(TrRoad_act!E30=0,0,E17/TrRoad_act!E30*1000
)</f>
        <v>337.22961968395225</v>
      </c>
      <c r="F54" s="62">
        <f>IF(TrRoad_act!F30=0,0,F17/TrRoad_act!F30*1000
)</f>
        <v>344.12257532792103</v>
      </c>
      <c r="G54" s="62">
        <f>IF(TrRoad_act!G30=0,0,G17/TrRoad_act!G30*1000
)</f>
        <v>345.33489218633764</v>
      </c>
      <c r="H54" s="62">
        <f>IF(TrRoad_act!H30=0,0,H17/TrRoad_act!H30*1000
)</f>
        <v>341.66336705403637</v>
      </c>
      <c r="I54" s="62">
        <f>IF(TrRoad_act!I30=0,0,I17/TrRoad_act!I30*1000
)</f>
        <v>344.00755491641144</v>
      </c>
      <c r="J54" s="62">
        <f>IF(TrRoad_act!J30=0,0,J17/TrRoad_act!J30*1000
)</f>
        <v>313.11091123063954</v>
      </c>
      <c r="K54" s="62">
        <f>IF(TrRoad_act!K30=0,0,K17/TrRoad_act!K30*1000
)</f>
        <v>295.54779469355867</v>
      </c>
      <c r="L54" s="62">
        <f>IF(TrRoad_act!L30=0,0,L17/TrRoad_act!L30*1000
)</f>
        <v>280.18688246051204</v>
      </c>
      <c r="M54" s="62">
        <f>IF(TrRoad_act!M30=0,0,M17/TrRoad_act!M30*1000
)</f>
        <v>273.40858951381279</v>
      </c>
      <c r="N54" s="62">
        <f>IF(TrRoad_act!N30=0,0,N17/TrRoad_act!N30*1000
)</f>
        <v>277.42573150844441</v>
      </c>
      <c r="O54" s="62">
        <f>IF(TrRoad_act!O30=0,0,O17/TrRoad_act!O30*1000
)</f>
        <v>273.39549135979996</v>
      </c>
      <c r="P54" s="62">
        <f>IF(TrRoad_act!P30=0,0,P17/TrRoad_act!P30*1000
)</f>
        <v>286.21022393357669</v>
      </c>
      <c r="Q54" s="62">
        <f>IF(TrRoad_act!Q30=0,0,Q17/TrRoad_act!Q30*1000
)</f>
        <v>276.78009204973506</v>
      </c>
      <c r="R54" s="62">
        <f>IF(TrRoad_act!R30=0,0,R17/TrRoad_act!R30*1000
)</f>
        <v>281.14545122933379</v>
      </c>
      <c r="S54" s="62">
        <f>IF(TrRoad_act!S30=0,0,S17/TrRoad_act!S30*1000
)</f>
        <v>267.72364689726055</v>
      </c>
      <c r="T54" s="62">
        <f>IF(TrRoad_act!T30=0,0,T17/TrRoad_act!T30*1000
)</f>
        <v>271.84910284809462</v>
      </c>
      <c r="U54" s="62">
        <f>IF(TrRoad_act!U30=0,0,U17/TrRoad_act!U30*1000
)</f>
        <v>268.34714839803542</v>
      </c>
      <c r="V54" s="62">
        <f>IF(TrRoad_act!V30=0,0,V17/TrRoad_act!V30*1000
)</f>
        <v>254.60565276904092</v>
      </c>
      <c r="W54" s="62">
        <f>IF(TrRoad_act!W30=0,0,W17/TrRoad_act!W30*1000
)</f>
        <v>259.08699071430971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276.49213827054325</v>
      </c>
      <c r="C55" s="29">
        <f>IF(TrRoad_act!C31=0,0,C18/TrRoad_act!C31*1000
)</f>
        <v>268.83197287061409</v>
      </c>
      <c r="D55" s="29">
        <f>IF(TrRoad_act!D31=0,0,D18/TrRoad_act!D31*1000
)</f>
        <v>260.72178125293988</v>
      </c>
      <c r="E55" s="29">
        <f>IF(TrRoad_act!E31=0,0,E18/TrRoad_act!E31*1000
)</f>
        <v>252.43651892463731</v>
      </c>
      <c r="F55" s="29">
        <f>IF(TrRoad_act!F31=0,0,F18/TrRoad_act!F31*1000
)</f>
        <v>255.14909836253219</v>
      </c>
      <c r="G55" s="29">
        <f>IF(TrRoad_act!G31=0,0,G18/TrRoad_act!G31*1000
)</f>
        <v>260.05029091479207</v>
      </c>
      <c r="H55" s="29">
        <f>IF(TrRoad_act!H31=0,0,H18/TrRoad_act!H31*1000
)</f>
        <v>260.26179982452311</v>
      </c>
      <c r="I55" s="29">
        <f>IF(TrRoad_act!I31=0,0,I18/TrRoad_act!I31*1000
)</f>
        <v>257.01522742690833</v>
      </c>
      <c r="J55" s="29">
        <f>IF(TrRoad_act!J31=0,0,J18/TrRoad_act!J31*1000
)</f>
        <v>241.53216944103838</v>
      </c>
      <c r="K55" s="29">
        <f>IF(TrRoad_act!K31=0,0,K18/TrRoad_act!K31*1000
)</f>
        <v>240.42420587594492</v>
      </c>
      <c r="L55" s="29">
        <f>IF(TrRoad_act!L31=0,0,L18/TrRoad_act!L31*1000
)</f>
        <v>231.60227529680165</v>
      </c>
      <c r="M55" s="29">
        <f>IF(TrRoad_act!M31=0,0,M18/TrRoad_act!M31*1000
)</f>
        <v>228.03011621636938</v>
      </c>
      <c r="N55" s="29">
        <f>IF(TrRoad_act!N31=0,0,N18/TrRoad_act!N31*1000
)</f>
        <v>231.88681814301893</v>
      </c>
      <c r="O55" s="29">
        <f>IF(TrRoad_act!O31=0,0,O18/TrRoad_act!O31*1000
)</f>
        <v>229.11644944846188</v>
      </c>
      <c r="P55" s="29">
        <f>IF(TrRoad_act!P31=0,0,P18/TrRoad_act!P31*1000
)</f>
        <v>240.70001510417637</v>
      </c>
      <c r="Q55" s="29">
        <f>IF(TrRoad_act!Q31=0,0,Q18/TrRoad_act!Q31*1000
)</f>
        <v>231.04447663183751</v>
      </c>
      <c r="R55" s="29">
        <f>IF(TrRoad_act!R31=0,0,R18/TrRoad_act!R31*1000
)</f>
        <v>233.91376505706589</v>
      </c>
      <c r="S55" s="29">
        <f>IF(TrRoad_act!S31=0,0,S18/TrRoad_act!S31*1000
)</f>
        <v>223.10443105916826</v>
      </c>
      <c r="T55" s="29">
        <f>IF(TrRoad_act!T31=0,0,T18/TrRoad_act!T31*1000
)</f>
        <v>225.36308669094794</v>
      </c>
      <c r="U55" s="29">
        <f>IF(TrRoad_act!U31=0,0,U18/TrRoad_act!U31*1000
)</f>
        <v>220.5238961707451</v>
      </c>
      <c r="V55" s="29">
        <f>IF(TrRoad_act!V31=0,0,V18/TrRoad_act!V31*1000
)</f>
        <v>208.19377168273786</v>
      </c>
      <c r="W55" s="29">
        <f>IF(TrRoad_act!W31=0,0,W18/TrRoad_act!W31*1000
)</f>
        <v>208.87014549698785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117.45661531111598</v>
      </c>
      <c r="C56" s="152">
        <f>IF(TrRoad_act!C32=0,0,C19/TrRoad_act!C32*1000
)</f>
        <v>115.76094488660357</v>
      </c>
      <c r="D56" s="152">
        <f>IF(TrRoad_act!D32=0,0,D19/TrRoad_act!D32*1000
)</f>
        <v>113.53187032595565</v>
      </c>
      <c r="E56" s="152">
        <f>IF(TrRoad_act!E32=0,0,E19/TrRoad_act!E32*1000
)</f>
        <v>112.90361996802967</v>
      </c>
      <c r="F56" s="152">
        <f>IF(TrRoad_act!F32=0,0,F19/TrRoad_act!F32*1000
)</f>
        <v>112.09108005305949</v>
      </c>
      <c r="G56" s="152">
        <f>IF(TrRoad_act!G32=0,0,G19/TrRoad_act!G32*1000
)</f>
        <v>111.3071783196914</v>
      </c>
      <c r="H56" s="152">
        <f>IF(TrRoad_act!H32=0,0,H19/TrRoad_act!H32*1000
)</f>
        <v>110.56950217901199</v>
      </c>
      <c r="I56" s="152">
        <f>IF(TrRoad_act!I32=0,0,I19/TrRoad_act!I32*1000
)</f>
        <v>110.35085452542208</v>
      </c>
      <c r="J56" s="152">
        <f>IF(TrRoad_act!J32=0,0,J19/TrRoad_act!J32*1000
)</f>
        <v>109.19412593375473</v>
      </c>
      <c r="K56" s="152">
        <f>IF(TrRoad_act!K32=0,0,K19/TrRoad_act!K32*1000
)</f>
        <v>108.30383600131879</v>
      </c>
      <c r="L56" s="152">
        <f>IF(TrRoad_act!L32=0,0,L19/TrRoad_act!L32*1000
)</f>
        <v>106.81218357687281</v>
      </c>
      <c r="M56" s="152">
        <f>IF(TrRoad_act!M32=0,0,M19/TrRoad_act!M32*1000
)</f>
        <v>106.19039939327644</v>
      </c>
      <c r="N56" s="152">
        <f>IF(TrRoad_act!N32=0,0,N19/TrRoad_act!N32*1000
)</f>
        <v>105.52080362517617</v>
      </c>
      <c r="O56" s="152">
        <f>IF(TrRoad_act!O32=0,0,O19/TrRoad_act!O32*1000
)</f>
        <v>103.92673480907055</v>
      </c>
      <c r="P56" s="152">
        <f>IF(TrRoad_act!P32=0,0,P19/TrRoad_act!P32*1000
)</f>
        <v>103.67360361104511</v>
      </c>
      <c r="Q56" s="152">
        <f>IF(TrRoad_act!Q32=0,0,Q19/TrRoad_act!Q32*1000
)</f>
        <v>102.33805978181989</v>
      </c>
      <c r="R56" s="152">
        <f>IF(TrRoad_act!R32=0,0,R19/TrRoad_act!R32*1000
)</f>
        <v>101.23658108009653</v>
      </c>
      <c r="S56" s="152">
        <f>IF(TrRoad_act!S32=0,0,S19/TrRoad_act!S32*1000
)</f>
        <v>99.343711838671865</v>
      </c>
      <c r="T56" s="152">
        <f>IF(TrRoad_act!T32=0,0,T19/TrRoad_act!T32*1000
)</f>
        <v>98.665625932624408</v>
      </c>
      <c r="U56" s="152">
        <f>IF(TrRoad_act!U32=0,0,U19/TrRoad_act!U32*1000
)</f>
        <v>97.734326211320464</v>
      </c>
      <c r="V56" s="152">
        <f>IF(TrRoad_act!V32=0,0,V19/TrRoad_act!V32*1000
)</f>
        <v>97.19339858259211</v>
      </c>
      <c r="W56" s="152">
        <f>IF(TrRoad_act!W32=0,0,W19/TrRoad_act!W32*1000
)</f>
        <v>89.746404392591387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261.73231398469977</v>
      </c>
      <c r="C57" s="116">
        <f>IF(TrRoad_act!C33=0,0,C20/TrRoad_act!C33*1000
)</f>
        <v>255.31688076668601</v>
      </c>
      <c r="D57" s="116">
        <f>IF(TrRoad_act!D33=0,0,D20/TrRoad_act!D33*1000
)</f>
        <v>247.58632431068452</v>
      </c>
      <c r="E57" s="116">
        <f>IF(TrRoad_act!E33=0,0,E20/TrRoad_act!E33*1000
)</f>
        <v>239.19343741404873</v>
      </c>
      <c r="F57" s="116">
        <f>IF(TrRoad_act!F33=0,0,F20/TrRoad_act!F33*1000
)</f>
        <v>241.93360848787984</v>
      </c>
      <c r="G57" s="116">
        <f>IF(TrRoad_act!G33=0,0,G20/TrRoad_act!G33*1000
)</f>
        <v>247.25113169350732</v>
      </c>
      <c r="H57" s="116">
        <f>IF(TrRoad_act!H33=0,0,H20/TrRoad_act!H33*1000
)</f>
        <v>247.97045953959565</v>
      </c>
      <c r="I57" s="116">
        <f>IF(TrRoad_act!I33=0,0,I20/TrRoad_act!I33*1000
)</f>
        <v>244.12382177185361</v>
      </c>
      <c r="J57" s="116">
        <f>IF(TrRoad_act!J33=0,0,J20/TrRoad_act!J33*1000
)</f>
        <v>228.31397717702723</v>
      </c>
      <c r="K57" s="116">
        <f>IF(TrRoad_act!K33=0,0,K20/TrRoad_act!K33*1000
)</f>
        <v>227.2027868855094</v>
      </c>
      <c r="L57" s="116">
        <f>IF(TrRoad_act!L33=0,0,L20/TrRoad_act!L33*1000
)</f>
        <v>218.51114570044612</v>
      </c>
      <c r="M57" s="116">
        <f>IF(TrRoad_act!M33=0,0,M20/TrRoad_act!M33*1000
)</f>
        <v>214.98664340277196</v>
      </c>
      <c r="N57" s="116">
        <f>IF(TrRoad_act!N33=0,0,N20/TrRoad_act!N33*1000
)</f>
        <v>218.5514769185742</v>
      </c>
      <c r="O57" s="116">
        <f>IF(TrRoad_act!O33=0,0,O20/TrRoad_act!O33*1000
)</f>
        <v>216.24391998023742</v>
      </c>
      <c r="P57" s="116">
        <f>IF(TrRoad_act!P33=0,0,P20/TrRoad_act!P33*1000
)</f>
        <v>227.74067943315021</v>
      </c>
      <c r="Q57" s="116">
        <f>IF(TrRoad_act!Q33=0,0,Q20/TrRoad_act!Q33*1000
)</f>
        <v>218.40180708174728</v>
      </c>
      <c r="R57" s="116">
        <f>IF(TrRoad_act!R33=0,0,R20/TrRoad_act!R33*1000
)</f>
        <v>220.9822074350356</v>
      </c>
      <c r="S57" s="116">
        <f>IF(TrRoad_act!S33=0,0,S20/TrRoad_act!S33*1000
)</f>
        <v>209.32892204132298</v>
      </c>
      <c r="T57" s="116">
        <f>IF(TrRoad_act!T33=0,0,T20/TrRoad_act!T33*1000
)</f>
        <v>210.35102532507625</v>
      </c>
      <c r="U57" s="116">
        <f>IF(TrRoad_act!U33=0,0,U20/TrRoad_act!U33*1000
)</f>
        <v>205.5187190461526</v>
      </c>
      <c r="V57" s="116">
        <f>IF(TrRoad_act!V33=0,0,V20/TrRoad_act!V33*1000
)</f>
        <v>193.74490590091719</v>
      </c>
      <c r="W57" s="116">
        <f>IF(TrRoad_act!W33=0,0,W20/TrRoad_act!W33*1000
)</f>
        <v>195.0549035638395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240.90795748614781</v>
      </c>
      <c r="C58" s="87">
        <f>IF(TrRoad_act!C34=0,0,C21/TrRoad_act!C34*1000
)</f>
        <v>233.93075490511268</v>
      </c>
      <c r="D58" s="87">
        <f>IF(TrRoad_act!D34=0,0,D21/TrRoad_act!D34*1000
)</f>
        <v>231.05348201489008</v>
      </c>
      <c r="E58" s="87">
        <f>IF(TrRoad_act!E34=0,0,E21/TrRoad_act!E34*1000
)</f>
        <v>223.16478408737726</v>
      </c>
      <c r="F58" s="87">
        <f>IF(TrRoad_act!F34=0,0,F21/TrRoad_act!F34*1000
)</f>
        <v>225.49183557040368</v>
      </c>
      <c r="G58" s="87">
        <f>IF(TrRoad_act!G34=0,0,G21/TrRoad_act!G34*1000
)</f>
        <v>232.23839295278668</v>
      </c>
      <c r="H58" s="87">
        <f>IF(TrRoad_act!H34=0,0,H21/TrRoad_act!H34*1000
)</f>
        <v>229.84442095536409</v>
      </c>
      <c r="I58" s="87">
        <f>IF(TrRoad_act!I34=0,0,I21/TrRoad_act!I34*1000
)</f>
        <v>222.66536789412419</v>
      </c>
      <c r="J58" s="87">
        <f>IF(TrRoad_act!J34=0,0,J21/TrRoad_act!J34*1000
)</f>
        <v>206.8797964995733</v>
      </c>
      <c r="K58" s="87">
        <f>IF(TrRoad_act!K34=0,0,K21/TrRoad_act!K34*1000
)</f>
        <v>200.0339236211976</v>
      </c>
      <c r="L58" s="87">
        <f>IF(TrRoad_act!L34=0,0,L21/TrRoad_act!L34*1000
)</f>
        <v>198.17932674939149</v>
      </c>
      <c r="M58" s="87">
        <f>IF(TrRoad_act!M34=0,0,M21/TrRoad_act!M34*1000
)</f>
        <v>195.82655331740642</v>
      </c>
      <c r="N58" s="87">
        <f>IF(TrRoad_act!N34=0,0,N21/TrRoad_act!N34*1000
)</f>
        <v>199.31999165035174</v>
      </c>
      <c r="O58" s="87">
        <f>IF(TrRoad_act!O34=0,0,O21/TrRoad_act!O34*1000
)</f>
        <v>191.98132527971512</v>
      </c>
      <c r="P58" s="87">
        <f>IF(TrRoad_act!P34=0,0,P21/TrRoad_act!P34*1000
)</f>
        <v>202.79274898213046</v>
      </c>
      <c r="Q58" s="87">
        <f>IF(TrRoad_act!Q34=0,0,Q21/TrRoad_act!Q34*1000
)</f>
        <v>181.39896434727527</v>
      </c>
      <c r="R58" s="87">
        <f>IF(TrRoad_act!R34=0,0,R21/TrRoad_act!R34*1000
)</f>
        <v>188.90565788541369</v>
      </c>
      <c r="S58" s="87">
        <f>IF(TrRoad_act!S34=0,0,S21/TrRoad_act!S34*1000
)</f>
        <v>177.70724337356489</v>
      </c>
      <c r="T58" s="87">
        <f>IF(TrRoad_act!T34=0,0,T21/TrRoad_act!T34*1000
)</f>
        <v>172.90872492116148</v>
      </c>
      <c r="U58" s="87">
        <f>IF(TrRoad_act!U34=0,0,U21/TrRoad_act!U34*1000
)</f>
        <v>168.46147184079453</v>
      </c>
      <c r="V58" s="87">
        <f>IF(TrRoad_act!V34=0,0,V21/TrRoad_act!V34*1000
)</f>
        <v>156.16429987150804</v>
      </c>
      <c r="W58" s="87">
        <f>IF(TrRoad_act!W34=0,0,W21/TrRoad_act!W34*1000
)</f>
        <v>159.98714562599034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394.33169614683669</v>
      </c>
      <c r="C59" s="87">
        <f>IF(TrRoad_act!C35=0,0,C22/TrRoad_act!C35*1000
)</f>
        <v>393.06484593183683</v>
      </c>
      <c r="D59" s="87">
        <f>IF(TrRoad_act!D35=0,0,D22/TrRoad_act!D35*1000
)</f>
        <v>351.65863158992238</v>
      </c>
      <c r="E59" s="87">
        <f>IF(TrRoad_act!E35=0,0,E22/TrRoad_act!E35*1000
)</f>
        <v>336.24520266217593</v>
      </c>
      <c r="F59" s="87">
        <f>IF(TrRoad_act!F35=0,0,F22/TrRoad_act!F35*1000
)</f>
        <v>333.77986860993036</v>
      </c>
      <c r="G59" s="87">
        <f>IF(TrRoad_act!G35=0,0,G22/TrRoad_act!G35*1000
)</f>
        <v>317.7946978911632</v>
      </c>
      <c r="H59" s="87">
        <f>IF(TrRoad_act!H35=0,0,H22/TrRoad_act!H35*1000
)</f>
        <v>330.13341670026853</v>
      </c>
      <c r="I59" s="87">
        <f>IF(TrRoad_act!I35=0,0,I22/TrRoad_act!I35*1000
)</f>
        <v>335.93488329487349</v>
      </c>
      <c r="J59" s="87">
        <f>IF(TrRoad_act!J35=0,0,J22/TrRoad_act!J35*1000
)</f>
        <v>303.40621028270419</v>
      </c>
      <c r="K59" s="87">
        <f>IF(TrRoad_act!K35=0,0,K22/TrRoad_act!K35*1000
)</f>
        <v>305.56723032041504</v>
      </c>
      <c r="L59" s="87">
        <f>IF(TrRoad_act!L35=0,0,L22/TrRoad_act!L35*1000
)</f>
        <v>265.9192151418323</v>
      </c>
      <c r="M59" s="87">
        <f>IF(TrRoad_act!M35=0,0,M22/TrRoad_act!M35*1000
)</f>
        <v>249.77528122415248</v>
      </c>
      <c r="N59" s="87">
        <f>IF(TrRoad_act!N35=0,0,N22/TrRoad_act!N35*1000
)</f>
        <v>249.79692511277204</v>
      </c>
      <c r="O59" s="87">
        <f>IF(TrRoad_act!O35=0,0,O22/TrRoad_act!O35*1000
)</f>
        <v>248.88836337766372</v>
      </c>
      <c r="P59" s="87">
        <f>IF(TrRoad_act!P35=0,0,P22/TrRoad_act!P35*1000
)</f>
        <v>257.62801033334722</v>
      </c>
      <c r="Q59" s="87">
        <f>IF(TrRoad_act!Q35=0,0,Q22/TrRoad_act!Q35*1000
)</f>
        <v>254.13413607798842</v>
      </c>
      <c r="R59" s="87">
        <f>IF(TrRoad_act!R35=0,0,R22/TrRoad_act!R35*1000
)</f>
        <v>246.98255689648207</v>
      </c>
      <c r="S59" s="87">
        <f>IF(TrRoad_act!S35=0,0,S22/TrRoad_act!S35*1000
)</f>
        <v>231.89487342606145</v>
      </c>
      <c r="T59" s="87">
        <f>IF(TrRoad_act!T35=0,0,T22/TrRoad_act!T35*1000
)</f>
        <v>234.95687247511032</v>
      </c>
      <c r="U59" s="87">
        <f>IF(TrRoad_act!U35=0,0,U22/TrRoad_act!U35*1000
)</f>
        <v>229.1320601888149</v>
      </c>
      <c r="V59" s="87">
        <f>IF(TrRoad_act!V35=0,0,V22/TrRoad_act!V35*1000
)</f>
        <v>215.66517394907368</v>
      </c>
      <c r="W59" s="87">
        <f>IF(TrRoad_act!W35=0,0,W22/TrRoad_act!W35*1000
)</f>
        <v>218.17149624267387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215.03918716135701</v>
      </c>
      <c r="C60" s="87">
        <f>IF(TrRoad_act!C36=0,0,C23/TrRoad_act!C36*1000
)</f>
        <v>205.37628725438481</v>
      </c>
      <c r="D60" s="87">
        <f>IF(TrRoad_act!D36=0,0,D23/TrRoad_act!D36*1000
)</f>
        <v>210.08801029806386</v>
      </c>
      <c r="E60" s="87">
        <f>IF(TrRoad_act!E36=0,0,E23/TrRoad_act!E36*1000
)</f>
        <v>214.72036758384633</v>
      </c>
      <c r="F60" s="87">
        <f>IF(TrRoad_act!F36=0,0,F23/TrRoad_act!F36*1000
)</f>
        <v>203.21720657933619</v>
      </c>
      <c r="G60" s="87">
        <f>IF(TrRoad_act!G36=0,0,G23/TrRoad_act!G36*1000
)</f>
        <v>204.35198930480487</v>
      </c>
      <c r="H60" s="87">
        <f>IF(TrRoad_act!H36=0,0,H23/TrRoad_act!H36*1000
)</f>
        <v>202.0944158396951</v>
      </c>
      <c r="I60" s="87">
        <f>IF(TrRoad_act!I36=0,0,I23/TrRoad_act!I36*1000
)</f>
        <v>199.22974854146523</v>
      </c>
      <c r="J60" s="87">
        <f>IF(TrRoad_act!J36=0,0,J23/TrRoad_act!J36*1000
)</f>
        <v>204.82136540009571</v>
      </c>
      <c r="K60" s="87">
        <f>IF(TrRoad_act!K36=0,0,K23/TrRoad_act!K36*1000
)</f>
        <v>191.14576506043224</v>
      </c>
      <c r="L60" s="87">
        <f>IF(TrRoad_act!L36=0,0,L23/TrRoad_act!L36*1000
)</f>
        <v>191.20382348346419</v>
      </c>
      <c r="M60" s="87">
        <f>IF(TrRoad_act!M36=0,0,M23/TrRoad_act!M36*1000
)</f>
        <v>187.44341620281267</v>
      </c>
      <c r="N60" s="87">
        <f>IF(TrRoad_act!N36=0,0,N23/TrRoad_act!N36*1000
)</f>
        <v>187.65518414083746</v>
      </c>
      <c r="O60" s="87">
        <f>IF(TrRoad_act!O36=0,0,O23/TrRoad_act!O36*1000
)</f>
        <v>179.23291160456742</v>
      </c>
      <c r="P60" s="87">
        <f>IF(TrRoad_act!P36=0,0,P23/TrRoad_act!P36*1000
)</f>
        <v>169.5133456867899</v>
      </c>
      <c r="Q60" s="87">
        <f>IF(TrRoad_act!Q36=0,0,Q23/TrRoad_act!Q36*1000
)</f>
        <v>176.96802989775586</v>
      </c>
      <c r="R60" s="87">
        <f>IF(TrRoad_act!R36=0,0,R23/TrRoad_act!R36*1000
)</f>
        <v>181.4878270791682</v>
      </c>
      <c r="S60" s="87">
        <f>IF(TrRoad_act!S36=0,0,S23/TrRoad_act!S36*1000
)</f>
        <v>182.35119863138422</v>
      </c>
      <c r="T60" s="87">
        <f>IF(TrRoad_act!T36=0,0,T23/TrRoad_act!T36*1000
)</f>
        <v>176.8278446036806</v>
      </c>
      <c r="U60" s="87">
        <f>IF(TrRoad_act!U36=0,0,U23/TrRoad_act!U36*1000
)</f>
        <v>176.39178275920008</v>
      </c>
      <c r="V60" s="87">
        <f>IF(TrRoad_act!V36=0,0,V23/TrRoad_act!V36*1000
)</f>
        <v>143.80240709152875</v>
      </c>
      <c r="W60" s="87">
        <f>IF(TrRoad_act!W36=0,0,W23/TrRoad_act!W36*1000
)</f>
        <v>147.76969940043176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84.547642017296369</v>
      </c>
      <c r="P62" s="87">
        <f>IF(TrRoad_act!P38=0,0,P25/TrRoad_act!P38*1000
)</f>
        <v>52.951537874933351</v>
      </c>
      <c r="Q62" s="87">
        <f>IF(TrRoad_act!Q38=0,0,Q25/TrRoad_act!Q38*1000
)</f>
        <v>51.134592296514775</v>
      </c>
      <c r="R62" s="87">
        <f>IF(TrRoad_act!R38=0,0,R25/TrRoad_act!R38*1000
)</f>
        <v>56.290577245899819</v>
      </c>
      <c r="S62" s="87">
        <f>IF(TrRoad_act!S38=0,0,S25/TrRoad_act!S38*1000
)</f>
        <v>53.460519082045977</v>
      </c>
      <c r="T62" s="87">
        <f>IF(TrRoad_act!T38=0,0,T25/TrRoad_act!T38*1000
)</f>
        <v>53.365146923611775</v>
      </c>
      <c r="U62" s="87">
        <f>IF(TrRoad_act!U38=0,0,U25/TrRoad_act!U38*1000
)</f>
        <v>53.668495396173547</v>
      </c>
      <c r="V62" s="87">
        <f>IF(TrRoad_act!V38=0,0,V25/TrRoad_act!V38*1000
)</f>
        <v>46.140052676919836</v>
      </c>
      <c r="W62" s="87">
        <f>IF(TrRoad_act!W38=0,0,W25/TrRoad_act!W38*1000
)</f>
        <v>44.06213930143965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1910.7564354255844</v>
      </c>
      <c r="C64" s="116">
        <f>IF(TrRoad_act!C40=0,0,C27/TrRoad_act!C40*1000
)</f>
        <v>1800.6016752897756</v>
      </c>
      <c r="D64" s="116">
        <f>IF(TrRoad_act!D40=0,0,D27/TrRoad_act!D40*1000
)</f>
        <v>1773.4835949807507</v>
      </c>
      <c r="E64" s="116">
        <f>IF(TrRoad_act!E40=0,0,E27/TrRoad_act!E40*1000
)</f>
        <v>1744.4543572943373</v>
      </c>
      <c r="F64" s="116">
        <f>IF(TrRoad_act!F40=0,0,F27/TrRoad_act!F40*1000
)</f>
        <v>1724.1006845314878</v>
      </c>
      <c r="G64" s="116">
        <f>IF(TrRoad_act!G40=0,0,G27/TrRoad_act!G40*1000
)</f>
        <v>1707.3233269709356</v>
      </c>
      <c r="H64" s="116">
        <f>IF(TrRoad_act!H40=0,0,H27/TrRoad_act!H40*1000
)</f>
        <v>1692.2442721659979</v>
      </c>
      <c r="I64" s="116">
        <f>IF(TrRoad_act!I40=0,0,I27/TrRoad_act!I40*1000
)</f>
        <v>1673.9415141176223</v>
      </c>
      <c r="J64" s="116">
        <f>IF(TrRoad_act!J40=0,0,J27/TrRoad_act!J40*1000
)</f>
        <v>1655.6627001779957</v>
      </c>
      <c r="K64" s="116">
        <f>IF(TrRoad_act!K40=0,0,K27/TrRoad_act!K40*1000
)</f>
        <v>1636.9280395020489</v>
      </c>
      <c r="L64" s="116">
        <f>IF(TrRoad_act!L40=0,0,L27/TrRoad_act!L40*1000
)</f>
        <v>1624.5795400005402</v>
      </c>
      <c r="M64" s="116">
        <f>IF(TrRoad_act!M40=0,0,M27/TrRoad_act!M40*1000
)</f>
        <v>1617.1143213563262</v>
      </c>
      <c r="N64" s="116">
        <f>IF(TrRoad_act!N40=0,0,N27/TrRoad_act!N40*1000
)</f>
        <v>1625.7389111746386</v>
      </c>
      <c r="O64" s="116">
        <f>IF(TrRoad_act!O40=0,0,O27/TrRoad_act!O40*1000
)</f>
        <v>1614.6252206905499</v>
      </c>
      <c r="P64" s="116">
        <f>IF(TrRoad_act!P40=0,0,P27/TrRoad_act!P40*1000
)</f>
        <v>1611.3921922970374</v>
      </c>
      <c r="Q64" s="116">
        <f>IF(TrRoad_act!Q40=0,0,Q27/TrRoad_act!Q40*1000
)</f>
        <v>1620.3699411931711</v>
      </c>
      <c r="R64" s="116">
        <f>IF(TrRoad_act!R40=0,0,R27/TrRoad_act!R40*1000
)</f>
        <v>1642.236819583359</v>
      </c>
      <c r="S64" s="116">
        <f>IF(TrRoad_act!S40=0,0,S27/TrRoad_act!S40*1000
)</f>
        <v>1626.6835538169744</v>
      </c>
      <c r="T64" s="116">
        <f>IF(TrRoad_act!T40=0,0,T27/TrRoad_act!T40*1000
)</f>
        <v>1641.9733480737441</v>
      </c>
      <c r="U64" s="116">
        <f>IF(TrRoad_act!U40=0,0,U27/TrRoad_act!U40*1000
)</f>
        <v>1631.4081026544036</v>
      </c>
      <c r="V64" s="116">
        <f>IF(TrRoad_act!V40=0,0,V27/TrRoad_act!V40*1000
)</f>
        <v>1627.4504295576337</v>
      </c>
      <c r="W64" s="116">
        <f>IF(TrRoad_act!W40=0,0,W27/TrRoad_act!W40*1000
)</f>
        <v>1634.9454158764206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541.54960996654222</v>
      </c>
      <c r="C65" s="101">
        <f>IF(TrRoad_act!C41=0,0,C28/TrRoad_act!C41*1000
)</f>
        <v>540.59932106769145</v>
      </c>
      <c r="D65" s="101">
        <f>IF(TrRoad_act!D41=0,0,D28/TrRoad_act!D41*1000
)</f>
        <v>540.50411280814046</v>
      </c>
      <c r="E65" s="101">
        <f>IF(TrRoad_act!E41=0,0,E28/TrRoad_act!E41*1000
)</f>
        <v>540.38770277586707</v>
      </c>
      <c r="F65" s="101">
        <f>IF(TrRoad_act!F41=0,0,F28/TrRoad_act!F41*1000
)</f>
        <v>540.23031430722824</v>
      </c>
      <c r="G65" s="101">
        <f>IF(TrRoad_act!G41=0,0,G28/TrRoad_act!G41*1000
)</f>
        <v>540.03675505933222</v>
      </c>
      <c r="H65" s="101">
        <f>IF(TrRoad_act!H41=0,0,H28/TrRoad_act!H41*1000
)</f>
        <v>539.63025002553695</v>
      </c>
      <c r="I65" s="101">
        <f>IF(TrRoad_act!I41=0,0,I28/TrRoad_act!I41*1000
)</f>
        <v>536.1454871546689</v>
      </c>
      <c r="J65" s="101">
        <f>IF(TrRoad_act!J41=0,0,J28/TrRoad_act!J41*1000
)</f>
        <v>530.94396730594724</v>
      </c>
      <c r="K65" s="101">
        <f>IF(TrRoad_act!K41=0,0,K28/TrRoad_act!K41*1000
)</f>
        <v>527.89097379656937</v>
      </c>
      <c r="L65" s="101">
        <f>IF(TrRoad_act!L41=0,0,L28/TrRoad_act!L41*1000
)</f>
        <v>523.30686672423928</v>
      </c>
      <c r="M65" s="101">
        <f>IF(TrRoad_act!M41=0,0,M28/TrRoad_act!M41*1000
)</f>
        <v>522.63469081772075</v>
      </c>
      <c r="N65" s="101">
        <f>IF(TrRoad_act!N41=0,0,N28/TrRoad_act!N41*1000
)</f>
        <v>517.51929323423394</v>
      </c>
      <c r="O65" s="101">
        <f>IF(TrRoad_act!O41=0,0,O28/TrRoad_act!O41*1000
)</f>
        <v>517.00266793770834</v>
      </c>
      <c r="P65" s="101">
        <f>IF(TrRoad_act!P41=0,0,P28/TrRoad_act!P41*1000
)</f>
        <v>518.17898948317281</v>
      </c>
      <c r="Q65" s="101">
        <f>IF(TrRoad_act!Q41=0,0,Q28/TrRoad_act!Q41*1000
)</f>
        <v>515.25735720760122</v>
      </c>
      <c r="R65" s="101">
        <f>IF(TrRoad_act!R41=0,0,R28/TrRoad_act!R41*1000
)</f>
        <v>510.86340265515827</v>
      </c>
      <c r="S65" s="101">
        <f>IF(TrRoad_act!S41=0,0,S28/TrRoad_act!S41*1000
)</f>
        <v>495.38046325963222</v>
      </c>
      <c r="T65" s="101">
        <f>IF(TrRoad_act!T41=0,0,T28/TrRoad_act!T41*1000
)</f>
        <v>497.89139495052899</v>
      </c>
      <c r="U65" s="101">
        <f>IF(TrRoad_act!U41=0,0,U28/TrRoad_act!U41*1000
)</f>
        <v>488.93215129836653</v>
      </c>
      <c r="V65" s="101">
        <f>IF(TrRoad_act!V41=0,0,V28/TrRoad_act!V41*1000
)</f>
        <v>488.89636851901003</v>
      </c>
      <c r="W65" s="101">
        <f>IF(TrRoad_act!W41=0,0,W28/TrRoad_act!W41*1000
)</f>
        <v>491.30010505779416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1938.9282222345394</v>
      </c>
      <c r="C66" s="101">
        <f>IF(TrRoad_act!C42=0,0,C29/TrRoad_act!C42*1000
)</f>
        <v>1823.3437391903751</v>
      </c>
      <c r="D66" s="101">
        <f>IF(TrRoad_act!D42=0,0,D29/TrRoad_act!D42*1000
)</f>
        <v>1793.3203022738867</v>
      </c>
      <c r="E66" s="101">
        <f>IF(TrRoad_act!E42=0,0,E29/TrRoad_act!E42*1000
)</f>
        <v>1760.8923464976203</v>
      </c>
      <c r="F66" s="101">
        <f>IF(TrRoad_act!F42=0,0,F29/TrRoad_act!F42*1000
)</f>
        <v>1737.7595592216705</v>
      </c>
      <c r="G66" s="101">
        <f>IF(TrRoad_act!G42=0,0,G29/TrRoad_act!G42*1000
)</f>
        <v>1718.5880607751672</v>
      </c>
      <c r="H66" s="101">
        <f>IF(TrRoad_act!H42=0,0,H29/TrRoad_act!H42*1000
)</f>
        <v>1701.2071916099551</v>
      </c>
      <c r="I66" s="101">
        <f>IF(TrRoad_act!I42=0,0,I29/TrRoad_act!I42*1000
)</f>
        <v>1681.3170810666563</v>
      </c>
      <c r="J66" s="101">
        <f>IF(TrRoad_act!J42=0,0,J29/TrRoad_act!J42*1000
)</f>
        <v>1661.7449300741046</v>
      </c>
      <c r="K66" s="101">
        <f>IF(TrRoad_act!K42=0,0,K29/TrRoad_act!K42*1000
)</f>
        <v>1641.9791312364625</v>
      </c>
      <c r="L66" s="101">
        <f>IF(TrRoad_act!L42=0,0,L29/TrRoad_act!L42*1000
)</f>
        <v>1628.6986109450684</v>
      </c>
      <c r="M66" s="101">
        <f>IF(TrRoad_act!M42=0,0,M29/TrRoad_act!M42*1000
)</f>
        <v>1620.4963648621228</v>
      </c>
      <c r="N66" s="101">
        <f>IF(TrRoad_act!N42=0,0,N29/TrRoad_act!N42*1000
)</f>
        <v>1628.4187461820518</v>
      </c>
      <c r="O66" s="101">
        <f>IF(TrRoad_act!O42=0,0,O29/TrRoad_act!O42*1000
)</f>
        <v>1617.2766862197204</v>
      </c>
      <c r="P66" s="101">
        <f>IF(TrRoad_act!P42=0,0,P29/TrRoad_act!P42*1000
)</f>
        <v>1613.9903060433553</v>
      </c>
      <c r="Q66" s="101">
        <f>IF(TrRoad_act!Q42=0,0,Q29/TrRoad_act!Q42*1000
)</f>
        <v>1622.6137224126603</v>
      </c>
      <c r="R66" s="101">
        <f>IF(TrRoad_act!R42=0,0,R29/TrRoad_act!R42*1000
)</f>
        <v>1644.0730076472234</v>
      </c>
      <c r="S66" s="101">
        <f>IF(TrRoad_act!S42=0,0,S29/TrRoad_act!S42*1000
)</f>
        <v>1628.7470762516298</v>
      </c>
      <c r="T66" s="101">
        <f>IF(TrRoad_act!T42=0,0,T29/TrRoad_act!T42*1000
)</f>
        <v>1643.3530007263341</v>
      </c>
      <c r="U66" s="101">
        <f>IF(TrRoad_act!U42=0,0,U29/TrRoad_act!U42*1000
)</f>
        <v>1633.0310295118902</v>
      </c>
      <c r="V66" s="101">
        <f>IF(TrRoad_act!V42=0,0,V29/TrRoad_act!V42*1000
)</f>
        <v>1629.8100584772883</v>
      </c>
      <c r="W66" s="101">
        <f>IF(TrRoad_act!W42=0,0,W29/TrRoad_act!W42*1000
)</f>
        <v>1637.6206201466512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1147.3544320484041</v>
      </c>
      <c r="D67" s="101">
        <f>IF(TrRoad_act!D43=0,0,D30/TrRoad_act!D43*1000
)</f>
        <v>1147.3544320484041</v>
      </c>
      <c r="E67" s="101">
        <f>IF(TrRoad_act!E43=0,0,E30/TrRoad_act!E43*1000
)</f>
        <v>1147.3544320484039</v>
      </c>
      <c r="F67" s="101">
        <f>IF(TrRoad_act!F43=0,0,F30/TrRoad_act!F43*1000
)</f>
        <v>1147.3544320484041</v>
      </c>
      <c r="G67" s="101">
        <f>IF(TrRoad_act!G43=0,0,G30/TrRoad_act!G43*1000
)</f>
        <v>1147.3544320484039</v>
      </c>
      <c r="H67" s="101">
        <f>IF(TrRoad_act!H43=0,0,H30/TrRoad_act!H43*1000
)</f>
        <v>1147.3544320484043</v>
      </c>
      <c r="I67" s="101">
        <f>IF(TrRoad_act!I43=0,0,I30/TrRoad_act!I43*1000
)</f>
        <v>1147.3544320484043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710.90210264843904</v>
      </c>
      <c r="C70" s="29">
        <f>IF(TrRoad_act!C46=0,0,C33/TrRoad_act!C46*1000
)</f>
        <v>708.63280534844012</v>
      </c>
      <c r="D70" s="29">
        <f>IF(TrRoad_act!D46=0,0,D33/TrRoad_act!D46*1000
)</f>
        <v>674.13655435572525</v>
      </c>
      <c r="E70" s="29">
        <f>IF(TrRoad_act!E46=0,0,E33/TrRoad_act!E46*1000
)</f>
        <v>652.97242055771392</v>
      </c>
      <c r="F70" s="29">
        <f>IF(TrRoad_act!F46=0,0,F33/TrRoad_act!F46*1000
)</f>
        <v>661.82121841536912</v>
      </c>
      <c r="G70" s="29">
        <f>IF(TrRoad_act!G46=0,0,G33/TrRoad_act!G46*1000
)</f>
        <v>643.63357272547796</v>
      </c>
      <c r="H70" s="29">
        <f>IF(TrRoad_act!H46=0,0,H33/TrRoad_act!H46*1000
)</f>
        <v>644.99969746799138</v>
      </c>
      <c r="I70" s="29">
        <f>IF(TrRoad_act!I46=0,0,I33/TrRoad_act!I46*1000
)</f>
        <v>656.50166608882603</v>
      </c>
      <c r="J70" s="29">
        <f>IF(TrRoad_act!J46=0,0,J33/TrRoad_act!J46*1000
)</f>
        <v>589.95253884526142</v>
      </c>
      <c r="K70" s="29">
        <f>IF(TrRoad_act!K46=0,0,K33/TrRoad_act!K46*1000
)</f>
        <v>533.41429870364652</v>
      </c>
      <c r="L70" s="29">
        <f>IF(TrRoad_act!L46=0,0,L33/TrRoad_act!L46*1000
)</f>
        <v>498.83145140774474</v>
      </c>
      <c r="M70" s="29">
        <f>IF(TrRoad_act!M46=0,0,M33/TrRoad_act!M46*1000
)</f>
        <v>479.2613934232723</v>
      </c>
      <c r="N70" s="29">
        <f>IF(TrRoad_act!N46=0,0,N33/TrRoad_act!N46*1000
)</f>
        <v>486.6871318537398</v>
      </c>
      <c r="O70" s="29">
        <f>IF(TrRoad_act!O46=0,0,O33/TrRoad_act!O46*1000
)</f>
        <v>480.02223476821536</v>
      </c>
      <c r="P70" s="29">
        <f>IF(TrRoad_act!P46=0,0,P33/TrRoad_act!P46*1000
)</f>
        <v>500.20456532705862</v>
      </c>
      <c r="Q70" s="29">
        <f>IF(TrRoad_act!Q46=0,0,Q33/TrRoad_act!Q46*1000
)</f>
        <v>516.61107728847276</v>
      </c>
      <c r="R70" s="29">
        <f>IF(TrRoad_act!R46=0,0,R33/TrRoad_act!R46*1000
)</f>
        <v>534.24490009955241</v>
      </c>
      <c r="S70" s="29">
        <f>IF(TrRoad_act!S46=0,0,S33/TrRoad_act!S46*1000
)</f>
        <v>515.8210432842518</v>
      </c>
      <c r="T70" s="29">
        <f>IF(TrRoad_act!T46=0,0,T33/TrRoad_act!T46*1000
)</f>
        <v>525.01600438959872</v>
      </c>
      <c r="U70" s="29">
        <f>IF(TrRoad_act!U46=0,0,U33/TrRoad_act!U46*1000
)</f>
        <v>529.54558377762851</v>
      </c>
      <c r="V70" s="29">
        <f>IF(TrRoad_act!V46=0,0,V33/TrRoad_act!V46*1000
)</f>
        <v>487.77603014866082</v>
      </c>
      <c r="W70" s="29">
        <f>IF(TrRoad_act!W46=0,0,W33/TrRoad_act!W46*1000
)</f>
        <v>510.62940294117209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348.29169706523976</v>
      </c>
      <c r="C71" s="152">
        <f>IF(TrRoad_act!C47=0,0,C34/TrRoad_act!C47*1000
)</f>
        <v>332.62677862535719</v>
      </c>
      <c r="D71" s="152">
        <f>IF(TrRoad_act!D47=0,0,D34/TrRoad_act!D47*1000
)</f>
        <v>327.11296573299279</v>
      </c>
      <c r="E71" s="152">
        <f>IF(TrRoad_act!E47=0,0,E34/TrRoad_act!E47*1000
)</f>
        <v>322.84628746759228</v>
      </c>
      <c r="F71" s="152">
        <f>IF(TrRoad_act!F47=0,0,F34/TrRoad_act!F47*1000
)</f>
        <v>325.1329897218921</v>
      </c>
      <c r="G71" s="152">
        <f>IF(TrRoad_act!G47=0,0,G34/TrRoad_act!G47*1000
)</f>
        <v>323.30657598142443</v>
      </c>
      <c r="H71" s="152">
        <f>IF(TrRoad_act!H47=0,0,H34/TrRoad_act!H47*1000
)</f>
        <v>324.4223348147396</v>
      </c>
      <c r="I71" s="152">
        <f>IF(TrRoad_act!I47=0,0,I34/TrRoad_act!I47*1000
)</f>
        <v>324.89693779711286</v>
      </c>
      <c r="J71" s="152">
        <f>IF(TrRoad_act!J47=0,0,J34/TrRoad_act!J47*1000
)</f>
        <v>314.20445923530735</v>
      </c>
      <c r="K71" s="152">
        <f>IF(TrRoad_act!K47=0,0,K34/TrRoad_act!K47*1000
)</f>
        <v>307.98619013774896</v>
      </c>
      <c r="L71" s="152">
        <f>IF(TrRoad_act!L47=0,0,L34/TrRoad_act!L47*1000
)</f>
        <v>302.55705572993264</v>
      </c>
      <c r="M71" s="152">
        <f>IF(TrRoad_act!M47=0,0,M34/TrRoad_act!M47*1000
)</f>
        <v>298.56036749495593</v>
      </c>
      <c r="N71" s="152">
        <f>IF(TrRoad_act!N47=0,0,N34/TrRoad_act!N47*1000
)</f>
        <v>298.30057184290877</v>
      </c>
      <c r="O71" s="152">
        <f>IF(TrRoad_act!O47=0,0,O34/TrRoad_act!O47*1000
)</f>
        <v>293.83481500148667</v>
      </c>
      <c r="P71" s="152">
        <f>IF(TrRoad_act!P47=0,0,P34/TrRoad_act!P47*1000
)</f>
        <v>292.90650116524472</v>
      </c>
      <c r="Q71" s="152">
        <f>IF(TrRoad_act!Q47=0,0,Q34/TrRoad_act!Q47*1000
)</f>
        <v>298.30820149933226</v>
      </c>
      <c r="R71" s="152">
        <f>IF(TrRoad_act!R47=0,0,R34/TrRoad_act!R47*1000
)</f>
        <v>295.61645372989017</v>
      </c>
      <c r="S71" s="152">
        <f>IF(TrRoad_act!S47=0,0,S34/TrRoad_act!S47*1000
)</f>
        <v>286.68588954311565</v>
      </c>
      <c r="T71" s="152">
        <f>IF(TrRoad_act!T47=0,0,T34/TrRoad_act!T47*1000
)</f>
        <v>284.93206942834564</v>
      </c>
      <c r="U71" s="152">
        <f>IF(TrRoad_act!U47=0,0,U34/TrRoad_act!U47*1000
)</f>
        <v>277.58811165989147</v>
      </c>
      <c r="V71" s="152">
        <f>IF(TrRoad_act!V47=0,0,V34/TrRoad_act!V47*1000
)</f>
        <v>273.80944201472767</v>
      </c>
      <c r="W71" s="152">
        <f>IF(TrRoad_act!W47=0,0,W34/TrRoad_act!W47*1000
)</f>
        <v>276.41054721470829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270.67950717302597</v>
      </c>
      <c r="C72" s="87">
        <f>IF(TrRoad_act!C48=0,0,C35/TrRoad_act!C48*1000
)</f>
        <v>267.20724618783214</v>
      </c>
      <c r="D72" s="87">
        <f>IF(TrRoad_act!D48=0,0,D35/TrRoad_act!D48*1000
)</f>
        <v>264.99004824546563</v>
      </c>
      <c r="E72" s="87">
        <f>IF(TrRoad_act!E48=0,0,E35/TrRoad_act!E48*1000
)</f>
        <v>262.86736879469061</v>
      </c>
      <c r="F72" s="87">
        <f>IF(TrRoad_act!F48=0,0,F35/TrRoad_act!F48*1000
)</f>
        <v>259.97237215952015</v>
      </c>
      <c r="G72" s="87">
        <f>IF(TrRoad_act!G48=0,0,G35/TrRoad_act!G48*1000
)</f>
        <v>255.02817598238343</v>
      </c>
      <c r="H72" s="87">
        <f>IF(TrRoad_act!H48=0,0,H35/TrRoad_act!H48*1000
)</f>
        <v>248.67962304483802</v>
      </c>
      <c r="I72" s="87">
        <f>IF(TrRoad_act!I48=0,0,I35/TrRoad_act!I48*1000
)</f>
        <v>242.291370138118</v>
      </c>
      <c r="J72" s="87">
        <f>IF(TrRoad_act!J48=0,0,J35/TrRoad_act!J48*1000
)</f>
        <v>238.06078604206508</v>
      </c>
      <c r="K72" s="87">
        <f>IF(TrRoad_act!K48=0,0,K35/TrRoad_act!K48*1000
)</f>
        <v>236.18713776926478</v>
      </c>
      <c r="L72" s="87">
        <f>IF(TrRoad_act!L48=0,0,L35/TrRoad_act!L48*1000
)</f>
        <v>234.01455139713616</v>
      </c>
      <c r="M72" s="87">
        <f>IF(TrRoad_act!M48=0,0,M35/TrRoad_act!M48*1000
)</f>
        <v>233.72605153885209</v>
      </c>
      <c r="N72" s="87">
        <f>IF(TrRoad_act!N48=0,0,N35/TrRoad_act!N48*1000
)</f>
        <v>231.96470630534822</v>
      </c>
      <c r="O72" s="87">
        <f>IF(TrRoad_act!O48=0,0,O35/TrRoad_act!O48*1000
)</f>
        <v>231.69110711162409</v>
      </c>
      <c r="P72" s="87">
        <f>IF(TrRoad_act!P48=0,0,P35/TrRoad_act!P48*1000
)</f>
        <v>231.49170782575993</v>
      </c>
      <c r="Q72" s="87">
        <f>IF(TrRoad_act!Q48=0,0,Q35/TrRoad_act!Q48*1000
)</f>
        <v>229.31336813581029</v>
      </c>
      <c r="R72" s="87">
        <f>IF(TrRoad_act!R48=0,0,R35/TrRoad_act!R48*1000
)</f>
        <v>227.34193016023613</v>
      </c>
      <c r="S72" s="87">
        <f>IF(TrRoad_act!S48=0,0,S35/TrRoad_act!S48*1000
)</f>
        <v>231.62547552629366</v>
      </c>
      <c r="T72" s="87">
        <f>IF(TrRoad_act!T48=0,0,T35/TrRoad_act!T48*1000
)</f>
        <v>228.78741792209505</v>
      </c>
      <c r="U72" s="87">
        <f>IF(TrRoad_act!U48=0,0,U35/TrRoad_act!U48*1000
)</f>
        <v>226.0594836298109</v>
      </c>
      <c r="V72" s="87">
        <f>IF(TrRoad_act!V48=0,0,V35/TrRoad_act!V48*1000
)</f>
        <v>212.76478300310816</v>
      </c>
      <c r="W72" s="87">
        <f>IF(TrRoad_act!W48=0,0,W35/TrRoad_act!W48*1000
)</f>
        <v>214.43103263142828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349.35946029507988</v>
      </c>
      <c r="C73" s="87">
        <f>IF(TrRoad_act!C49=0,0,C36/TrRoad_act!C49*1000
)</f>
        <v>333.39057955337847</v>
      </c>
      <c r="D73" s="87">
        <f>IF(TrRoad_act!D49=0,0,D36/TrRoad_act!D49*1000
)</f>
        <v>327.74160443096406</v>
      </c>
      <c r="E73" s="87">
        <f>IF(TrRoad_act!E49=0,0,E36/TrRoad_act!E49*1000
)</f>
        <v>323.35498733245072</v>
      </c>
      <c r="F73" s="87">
        <f>IF(TrRoad_act!F49=0,0,F36/TrRoad_act!F49*1000
)</f>
        <v>325.58412565367024</v>
      </c>
      <c r="G73" s="87">
        <f>IF(TrRoad_act!G49=0,0,G36/TrRoad_act!G49*1000
)</f>
        <v>323.64736998679388</v>
      </c>
      <c r="H73" s="87">
        <f>IF(TrRoad_act!H49=0,0,H36/TrRoad_act!H49*1000
)</f>
        <v>324.6938956858732</v>
      </c>
      <c r="I73" s="87">
        <f>IF(TrRoad_act!I49=0,0,I36/TrRoad_act!I49*1000
)</f>
        <v>325.11773731257404</v>
      </c>
      <c r="J73" s="87">
        <f>IF(TrRoad_act!J49=0,0,J36/TrRoad_act!J49*1000
)</f>
        <v>314.38694408216378</v>
      </c>
      <c r="K73" s="87">
        <f>IF(TrRoad_act!K49=0,0,K36/TrRoad_act!K49*1000
)</f>
        <v>308.14918576030522</v>
      </c>
      <c r="L73" s="87">
        <f>IF(TrRoad_act!L49=0,0,L36/TrRoad_act!L49*1000
)</f>
        <v>302.69677827241071</v>
      </c>
      <c r="M73" s="87">
        <f>IF(TrRoad_act!M49=0,0,M36/TrRoad_act!M49*1000
)</f>
        <v>298.70318802058432</v>
      </c>
      <c r="N73" s="87">
        <f>IF(TrRoad_act!N49=0,0,N36/TrRoad_act!N49*1000
)</f>
        <v>298.47004979217593</v>
      </c>
      <c r="O73" s="87">
        <f>IF(TrRoad_act!O49=0,0,O36/TrRoad_act!O49*1000
)</f>
        <v>293.99226155847521</v>
      </c>
      <c r="P73" s="87">
        <f>IF(TrRoad_act!P49=0,0,P36/TrRoad_act!P49*1000
)</f>
        <v>293.06934345529544</v>
      </c>
      <c r="Q73" s="87">
        <f>IF(TrRoad_act!Q49=0,0,Q36/TrRoad_act!Q49*1000
)</f>
        <v>298.47695791546363</v>
      </c>
      <c r="R73" s="87">
        <f>IF(TrRoad_act!R49=0,0,R36/TrRoad_act!R49*1000
)</f>
        <v>295.780692670669</v>
      </c>
      <c r="S73" s="87">
        <f>IF(TrRoad_act!S49=0,0,S36/TrRoad_act!S49*1000
)</f>
        <v>286.8943772505171</v>
      </c>
      <c r="T73" s="87">
        <f>IF(TrRoad_act!T49=0,0,T36/TrRoad_act!T49*1000
)</f>
        <v>285.15302315336993</v>
      </c>
      <c r="U73" s="87">
        <f>IF(TrRoad_act!U49=0,0,U36/TrRoad_act!U49*1000
)</f>
        <v>277.95912048110142</v>
      </c>
      <c r="V73" s="87">
        <f>IF(TrRoad_act!V49=0,0,V36/TrRoad_act!V49*1000
)</f>
        <v>274.72461157962687</v>
      </c>
      <c r="W73" s="87">
        <f>IF(TrRoad_act!W49=0,0,W36/TrRoad_act!W49*1000
)</f>
        <v>277.92277393778045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222.68509580479039</v>
      </c>
      <c r="P74" s="87">
        <f>IF(TrRoad_act!P50=0,0,P37/TrRoad_act!P50*1000
)</f>
        <v>224.61104053718614</v>
      </c>
      <c r="Q74" s="87">
        <f>IF(TrRoad_act!Q50=0,0,Q37/TrRoad_act!Q50*1000
)</f>
        <v>224.6110405371862</v>
      </c>
      <c r="R74" s="87">
        <f>IF(TrRoad_act!R50=0,0,R37/TrRoad_act!R50*1000
)</f>
        <v>224.61104053718614</v>
      </c>
      <c r="S74" s="87">
        <f>IF(TrRoad_act!S50=0,0,S37/TrRoad_act!S50*1000
)</f>
        <v>214.71928994953663</v>
      </c>
      <c r="T74" s="87">
        <f>IF(TrRoad_act!T50=0,0,T37/TrRoad_act!T50*1000
)</f>
        <v>214.71928994953663</v>
      </c>
      <c r="U74" s="87">
        <f>IF(TrRoad_act!U50=0,0,U37/TrRoad_act!U50*1000
)</f>
        <v>214.7192899495366</v>
      </c>
      <c r="V74" s="87">
        <f>IF(TrRoad_act!V50=0,0,V37/TrRoad_act!V50*1000
)</f>
        <v>212.83764795013212</v>
      </c>
      <c r="W74" s="87">
        <f>IF(TrRoad_act!W50=0,0,W37/TrRoad_act!W50*1000
)</f>
        <v>212.83764795013207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1410.443309614197</v>
      </c>
      <c r="C77" s="116">
        <f>IF(TrRoad_act!C53=0,0,C40/TrRoad_act!C53*1000
)</f>
        <v>1474.5359836468072</v>
      </c>
      <c r="D77" s="116">
        <f>IF(TrRoad_act!D53=0,0,D40/TrRoad_act!D53*1000
)</f>
        <v>1337.8985544813904</v>
      </c>
      <c r="E77" s="116">
        <f>IF(TrRoad_act!E53=0,0,E40/TrRoad_act!E53*1000
)</f>
        <v>1294.2697218444271</v>
      </c>
      <c r="F77" s="116">
        <f>IF(TrRoad_act!F53=0,0,F40/TrRoad_act!F53*1000
)</f>
        <v>1293.7882040634106</v>
      </c>
      <c r="G77" s="116">
        <f>IF(TrRoad_act!G53=0,0,G40/TrRoad_act!G53*1000
)</f>
        <v>1232.9755676088166</v>
      </c>
      <c r="H77" s="116">
        <f>IF(TrRoad_act!H53=0,0,H40/TrRoad_act!H53*1000
)</f>
        <v>1278.5743201770697</v>
      </c>
      <c r="I77" s="116">
        <f>IF(TrRoad_act!I53=0,0,I40/TrRoad_act!I53*1000
)</f>
        <v>1315.1997091615794</v>
      </c>
      <c r="J77" s="116">
        <f>IF(TrRoad_act!J53=0,0,J40/TrRoad_act!J53*1000
)</f>
        <v>1186.0965982175837</v>
      </c>
      <c r="K77" s="116">
        <f>IF(TrRoad_act!K53=0,0,K40/TrRoad_act!K53*1000
)</f>
        <v>1202.2124282550371</v>
      </c>
      <c r="L77" s="116">
        <f>IF(TrRoad_act!L53=0,0,L40/TrRoad_act!L53*1000
)</f>
        <v>1066.5192171585068</v>
      </c>
      <c r="M77" s="116">
        <f>IF(TrRoad_act!M53=0,0,M40/TrRoad_act!M53*1000
)</f>
        <v>1017.6910058667244</v>
      </c>
      <c r="N77" s="116">
        <f>IF(TrRoad_act!N53=0,0,N40/TrRoad_act!N53*1000
)</f>
        <v>1030.2696097851353</v>
      </c>
      <c r="O77" s="116">
        <f>IF(TrRoad_act!O53=0,0,O40/TrRoad_act!O53*1000
)</f>
        <v>1041.6971723547736</v>
      </c>
      <c r="P77" s="116">
        <f>IF(TrRoad_act!P53=0,0,P40/TrRoad_act!P53*1000
)</f>
        <v>1099.600094540953</v>
      </c>
      <c r="Q77" s="116">
        <f>IF(TrRoad_act!Q53=0,0,Q40/TrRoad_act!Q53*1000
)</f>
        <v>1111.1402963956068</v>
      </c>
      <c r="R77" s="116">
        <f>IF(TrRoad_act!R53=0,0,R40/TrRoad_act!R53*1000
)</f>
        <v>1097.9767247183199</v>
      </c>
      <c r="S77" s="116">
        <f>IF(TrRoad_act!S53=0,0,S40/TrRoad_act!S53*1000
)</f>
        <v>1044.6936244614401</v>
      </c>
      <c r="T77" s="116">
        <f>IF(TrRoad_act!T53=0,0,T40/TrRoad_act!T53*1000
)</f>
        <v>1072.9414409165106</v>
      </c>
      <c r="U77" s="116">
        <f>IF(TrRoad_act!U53=0,0,U40/TrRoad_act!U53*1000
)</f>
        <v>1061.3315658594961</v>
      </c>
      <c r="V77" s="116">
        <f>IF(TrRoad_act!V53=0,0,V40/TrRoad_act!V53*1000
)</f>
        <v>1003.8806854611713</v>
      </c>
      <c r="W77" s="116">
        <f>IF(TrRoad_act!W53=0,0,W40/TrRoad_act!W53*1000
)</f>
        <v>1033.3518691226532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1379.9451939924536</v>
      </c>
      <c r="C78" s="101">
        <f>IF(TrRoad_act!C54=0,0,C41/TrRoad_act!C54*1000
)</f>
        <v>1441.3224001352899</v>
      </c>
      <c r="D78" s="101">
        <f>IF(TrRoad_act!D54=0,0,D41/TrRoad_act!D54*1000
)</f>
        <v>1310.7753705545156</v>
      </c>
      <c r="E78" s="101">
        <f>IF(TrRoad_act!E54=0,0,E41/TrRoad_act!E54*1000
)</f>
        <v>1269.1195590824082</v>
      </c>
      <c r="F78" s="101">
        <f>IF(TrRoad_act!F54=0,0,F41/TrRoad_act!F54*1000
)</f>
        <v>1267.9029592650361</v>
      </c>
      <c r="G78" s="101">
        <f>IF(TrRoad_act!G54=0,0,G41/TrRoad_act!G54*1000
)</f>
        <v>1209.86790709663</v>
      </c>
      <c r="H78" s="101">
        <f>IF(TrRoad_act!H54=0,0,H41/TrRoad_act!H54*1000
)</f>
        <v>1253.8391675228659</v>
      </c>
      <c r="I78" s="101">
        <f>IF(TrRoad_act!I54=0,0,I41/TrRoad_act!I54*1000
)</f>
        <v>1289.2107052943711</v>
      </c>
      <c r="J78" s="101">
        <f>IF(TrRoad_act!J54=0,0,J41/TrRoad_act!J54*1000
)</f>
        <v>1163.7838228987187</v>
      </c>
      <c r="K78" s="101">
        <f>IF(TrRoad_act!K54=0,0,K41/TrRoad_act!K54*1000
)</f>
        <v>1175.1203982954339</v>
      </c>
      <c r="L78" s="101">
        <f>IF(TrRoad_act!L54=0,0,L41/TrRoad_act!L54*1000
)</f>
        <v>1042.2565889968703</v>
      </c>
      <c r="M78" s="101">
        <f>IF(TrRoad_act!M54=0,0,M41/TrRoad_act!M54*1000
)</f>
        <v>992.17023002301164</v>
      </c>
      <c r="N78" s="101">
        <f>IF(TrRoad_act!N54=0,0,N41/TrRoad_act!N54*1000
)</f>
        <v>1006.6340755415191</v>
      </c>
      <c r="O78" s="101">
        <f>IF(TrRoad_act!O54=0,0,O41/TrRoad_act!O54*1000
)</f>
        <v>1018.5893111300999</v>
      </c>
      <c r="P78" s="101">
        <f>IF(TrRoad_act!P54=0,0,P41/TrRoad_act!P54*1000
)</f>
        <v>1075.5761699337036</v>
      </c>
      <c r="Q78" s="101">
        <f>IF(TrRoad_act!Q54=0,0,Q41/TrRoad_act!Q54*1000
)</f>
        <v>1084.3037539804793</v>
      </c>
      <c r="R78" s="101">
        <f>IF(TrRoad_act!R54=0,0,R41/TrRoad_act!R54*1000
)</f>
        <v>1075.949625998305</v>
      </c>
      <c r="S78" s="101">
        <f>IF(TrRoad_act!S54=0,0,S41/TrRoad_act!S54*1000
)</f>
        <v>1024.4686837031056</v>
      </c>
      <c r="T78" s="101">
        <f>IF(TrRoad_act!T54=0,0,T41/TrRoad_act!T54*1000
)</f>
        <v>1050.6182839459739</v>
      </c>
      <c r="U78" s="101">
        <f>IF(TrRoad_act!U54=0,0,U41/TrRoad_act!U54*1000
)</f>
        <v>1037.9539679331008</v>
      </c>
      <c r="V78" s="101">
        <f>IF(TrRoad_act!V54=0,0,V41/TrRoad_act!V54*1000
)</f>
        <v>993.5369940973801</v>
      </c>
      <c r="W78" s="101">
        <f>IF(TrRoad_act!W54=0,0,W41/TrRoad_act!W54*1000
)</f>
        <v>1023.09046779389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2087.9054761589555</v>
      </c>
      <c r="C79" s="88">
        <f>IF(TrRoad_act!C55=0,0,C42/TrRoad_act!C55*1000
)</f>
        <v>2176.5638834465594</v>
      </c>
      <c r="D79" s="88">
        <f>IF(TrRoad_act!D55=0,0,D42/TrRoad_act!D55*1000
)</f>
        <v>1960.8321501168477</v>
      </c>
      <c r="E79" s="88">
        <f>IF(TrRoad_act!E55=0,0,E42/TrRoad_act!E55*1000
)</f>
        <v>1890.764976646494</v>
      </c>
      <c r="F79" s="88">
        <f>IF(TrRoad_act!F55=0,0,F42/TrRoad_act!F55*1000
)</f>
        <v>1862.3179108571471</v>
      </c>
      <c r="G79" s="88">
        <f>IF(TrRoad_act!G55=0,0,G42/TrRoad_act!G55*1000
)</f>
        <v>1767.360829857688</v>
      </c>
      <c r="H79" s="88">
        <f>IF(TrRoad_act!H55=0,0,H42/TrRoad_act!H55*1000
)</f>
        <v>1832.9846577455419</v>
      </c>
      <c r="I79" s="88">
        <f>IF(TrRoad_act!I55=0,0,I42/TrRoad_act!I55*1000
)</f>
        <v>1881.3020561400858</v>
      </c>
      <c r="J79" s="88">
        <f>IF(TrRoad_act!J55=0,0,J42/TrRoad_act!J55*1000
)</f>
        <v>1694.619502595199</v>
      </c>
      <c r="K79" s="88">
        <f>IF(TrRoad_act!K55=0,0,K42/TrRoad_act!K55*1000
)</f>
        <v>1700.2640008239159</v>
      </c>
      <c r="L79" s="88">
        <f>IF(TrRoad_act!L55=0,0,L42/TrRoad_act!L55*1000
)</f>
        <v>1483.4604244409352</v>
      </c>
      <c r="M79" s="88">
        <f>IF(TrRoad_act!M55=0,0,M42/TrRoad_act!M55*1000
)</f>
        <v>1396.2688689775141</v>
      </c>
      <c r="N79" s="88">
        <f>IF(TrRoad_act!N55=0,0,N42/TrRoad_act!N55*1000
)</f>
        <v>1413.9124247510763</v>
      </c>
      <c r="O79" s="88">
        <f>IF(TrRoad_act!O55=0,0,O42/TrRoad_act!O55*1000
)</f>
        <v>1428.9008334384318</v>
      </c>
      <c r="P79" s="88">
        <f>IF(TrRoad_act!P55=0,0,P42/TrRoad_act!P55*1000
)</f>
        <v>1520.9365306590291</v>
      </c>
      <c r="Q79" s="88">
        <f>IF(TrRoad_act!Q55=0,0,Q42/TrRoad_act!Q55*1000
)</f>
        <v>1528.1529031187863</v>
      </c>
      <c r="R79" s="88">
        <f>IF(TrRoad_act!R55=0,0,R42/TrRoad_act!R55*1000
)</f>
        <v>1532.0586332725336</v>
      </c>
      <c r="S79" s="88">
        <f>IF(TrRoad_act!S55=0,0,S42/TrRoad_act!S55*1000
)</f>
        <v>1460.014253410294</v>
      </c>
      <c r="T79" s="88">
        <f>IF(TrRoad_act!T55=0,0,T42/TrRoad_act!T55*1000
)</f>
        <v>1496.2743758729266</v>
      </c>
      <c r="U79" s="88">
        <f>IF(TrRoad_act!U55=0,0,U42/TrRoad_act!U55*1000
)</f>
        <v>1473.015114995972</v>
      </c>
      <c r="V79" s="88">
        <f>IF(TrRoad_act!V55=0,0,V42/TrRoad_act!V55*1000
)</f>
        <v>1444.8526454281991</v>
      </c>
      <c r="W79" s="88">
        <f>IF(TrRoad_act!W55=0,0,W42/TrRoad_act!W55*1000
)</f>
        <v>1505.0302525131101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148.38633888703808</v>
      </c>
      <c r="C82" s="29">
        <f>IF(TrRoad_act!C4=0,0,C18/TrRoad_act!C4*1000)</f>
        <v>146.39393263553612</v>
      </c>
      <c r="D82" s="29">
        <f>IF(TrRoad_act!D4=0,0,D18/TrRoad_act!D4*1000)</f>
        <v>143.08971721464988</v>
      </c>
      <c r="E82" s="29">
        <f>IF(TrRoad_act!E4=0,0,E18/TrRoad_act!E4*1000)</f>
        <v>136.67573866061119</v>
      </c>
      <c r="F82" s="29">
        <f>IF(TrRoad_act!F4=0,0,F18/TrRoad_act!F4*1000)</f>
        <v>133.82240722560419</v>
      </c>
      <c r="G82" s="29">
        <f>IF(TrRoad_act!G4=0,0,G18/TrRoad_act!G4*1000)</f>
        <v>138.28124067692266</v>
      </c>
      <c r="H82" s="29">
        <f>IF(TrRoad_act!H4=0,0,H18/TrRoad_act!H4*1000)</f>
        <v>149.05211311561115</v>
      </c>
      <c r="I82" s="29">
        <f>IF(TrRoad_act!I4=0,0,I18/TrRoad_act!I4*1000)</f>
        <v>143.47135572880882</v>
      </c>
      <c r="J82" s="29">
        <f>IF(TrRoad_act!J4=0,0,J18/TrRoad_act!J4*1000)</f>
        <v>138.61953299479427</v>
      </c>
      <c r="K82" s="29">
        <f>IF(TrRoad_act!K4=0,0,K18/TrRoad_act!K4*1000)</f>
        <v>134.81450321693234</v>
      </c>
      <c r="L82" s="29">
        <f>IF(TrRoad_act!L4=0,0,L18/TrRoad_act!L4*1000)</f>
        <v>131.70439252520143</v>
      </c>
      <c r="M82" s="29">
        <f>IF(TrRoad_act!M4=0,0,M18/TrRoad_act!M4*1000)</f>
        <v>128.61163279293987</v>
      </c>
      <c r="N82" s="29">
        <f>IF(TrRoad_act!N4=0,0,N18/TrRoad_act!N4*1000)</f>
        <v>129.12779872339817</v>
      </c>
      <c r="O82" s="29">
        <f>IF(TrRoad_act!O4=0,0,O18/TrRoad_act!O4*1000)</f>
        <v>128.45313017738991</v>
      </c>
      <c r="P82" s="29">
        <f>IF(TrRoad_act!P4=0,0,P18/TrRoad_act!P4*1000)</f>
        <v>135.51090693423441</v>
      </c>
      <c r="Q82" s="29">
        <f>IF(TrRoad_act!Q4=0,0,Q18/TrRoad_act!Q4*1000)</f>
        <v>128.37273825413149</v>
      </c>
      <c r="R82" s="29">
        <f>IF(TrRoad_act!R4=0,0,R18/TrRoad_act!R4*1000)</f>
        <v>127.79662866842231</v>
      </c>
      <c r="S82" s="29">
        <f>IF(TrRoad_act!S4=0,0,S18/TrRoad_act!S4*1000)</f>
        <v>121.54859978023474</v>
      </c>
      <c r="T82" s="29">
        <f>IF(TrRoad_act!T4=0,0,T18/TrRoad_act!T4*1000)</f>
        <v>119.68831735593328</v>
      </c>
      <c r="U82" s="29">
        <f>IF(TrRoad_act!U4=0,0,U18/TrRoad_act!U4*1000)</f>
        <v>115.51015626501265</v>
      </c>
      <c r="V82" s="29">
        <f>IF(TrRoad_act!V4=0,0,V18/TrRoad_act!V4*1000)</f>
        <v>112.65517607941108</v>
      </c>
      <c r="W82" s="29">
        <f>IF(TrRoad_act!W4=0,0,W18/TrRoad_act!W4*1000)</f>
        <v>111.14444684870904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106.32134965090074</v>
      </c>
      <c r="C83" s="152">
        <f>IF(TrRoad_act!C5=0,0,C19/TrRoad_act!C5*1000)</f>
        <v>104.7884441135284</v>
      </c>
      <c r="D83" s="152">
        <f>IF(TrRoad_act!D5=0,0,D19/TrRoad_act!D5*1000)</f>
        <v>102.78851515878205</v>
      </c>
      <c r="E83" s="152">
        <f>IF(TrRoad_act!E5=0,0,E19/TrRoad_act!E5*1000)</f>
        <v>102.17680407047824</v>
      </c>
      <c r="F83" s="152">
        <f>IF(TrRoad_act!F5=0,0,F19/TrRoad_act!F5*1000)</f>
        <v>101.42787940334834</v>
      </c>
      <c r="G83" s="152">
        <f>IF(TrRoad_act!G5=0,0,G19/TrRoad_act!G5*1000)</f>
        <v>100.80983606375057</v>
      </c>
      <c r="H83" s="152">
        <f>IF(TrRoad_act!H5=0,0,H19/TrRoad_act!H5*1000)</f>
        <v>100.11380367817956</v>
      </c>
      <c r="I83" s="152">
        <f>IF(TrRoad_act!I5=0,0,I19/TrRoad_act!I5*1000)</f>
        <v>99.755717119978613</v>
      </c>
      <c r="J83" s="152">
        <f>IF(TrRoad_act!J5=0,0,J19/TrRoad_act!J5*1000)</f>
        <v>98.658128333958913</v>
      </c>
      <c r="K83" s="152">
        <f>IF(TrRoad_act!K5=0,0,K19/TrRoad_act!K5*1000)</f>
        <v>97.806804723066833</v>
      </c>
      <c r="L83" s="152">
        <f>IF(TrRoad_act!L5=0,0,L19/TrRoad_act!L5*1000)</f>
        <v>96.625728505010159</v>
      </c>
      <c r="M83" s="152">
        <f>IF(TrRoad_act!M5=0,0,M19/TrRoad_act!M5*1000)</f>
        <v>96.147467975485782</v>
      </c>
      <c r="N83" s="152">
        <f>IF(TrRoad_act!N5=0,0,N19/TrRoad_act!N5*1000)</f>
        <v>96.134521867153666</v>
      </c>
      <c r="O83" s="152">
        <f>IF(TrRoad_act!O5=0,0,O19/TrRoad_act!O5*1000)</f>
        <v>94.730981786606506</v>
      </c>
      <c r="P83" s="152">
        <f>IF(TrRoad_act!P5=0,0,P19/TrRoad_act!P5*1000)</f>
        <v>94.295506683584605</v>
      </c>
      <c r="Q83" s="152">
        <f>IF(TrRoad_act!Q5=0,0,Q19/TrRoad_act!Q5*1000)</f>
        <v>92.920177095072575</v>
      </c>
      <c r="R83" s="152">
        <f>IF(TrRoad_act!R5=0,0,R19/TrRoad_act!R5*1000)</f>
        <v>91.812138558540738</v>
      </c>
      <c r="S83" s="152">
        <f>IF(TrRoad_act!S5=0,0,S19/TrRoad_act!S5*1000)</f>
        <v>90.205735234388158</v>
      </c>
      <c r="T83" s="152">
        <f>IF(TrRoad_act!T5=0,0,T19/TrRoad_act!T5*1000)</f>
        <v>89.693269579282173</v>
      </c>
      <c r="U83" s="152">
        <f>IF(TrRoad_act!U5=0,0,U19/TrRoad_act!U5*1000)</f>
        <v>88.761641384317741</v>
      </c>
      <c r="V83" s="152">
        <f>IF(TrRoad_act!V5=0,0,V19/TrRoad_act!V5*1000)</f>
        <v>88.36728124588636</v>
      </c>
      <c r="W83" s="152">
        <f>IF(TrRoad_act!W5=0,0,W19/TrRoad_act!W5*1000)</f>
        <v>81.589881561589479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166.80663930079228</v>
      </c>
      <c r="C84" s="116">
        <f>IF(TrRoad_act!C6=0,0,C20/TrRoad_act!C6*1000)</f>
        <v>164.96700711479744</v>
      </c>
      <c r="D84" s="116">
        <f>IF(TrRoad_act!D6=0,0,D20/TrRoad_act!D6*1000)</f>
        <v>160.22540136640464</v>
      </c>
      <c r="E84" s="116">
        <f>IF(TrRoad_act!E6=0,0,E20/TrRoad_act!E6*1000)</f>
        <v>152.20429805637357</v>
      </c>
      <c r="F84" s="116">
        <f>IF(TrRoad_act!F6=0,0,F20/TrRoad_act!F6*1000)</f>
        <v>148.59503725763904</v>
      </c>
      <c r="G84" s="116">
        <f>IF(TrRoad_act!G6=0,0,G20/TrRoad_act!G6*1000)</f>
        <v>153.13998949607418</v>
      </c>
      <c r="H84" s="116">
        <f>IF(TrRoad_act!H6=0,0,H20/TrRoad_act!H6*1000)</f>
        <v>164.99816829978835</v>
      </c>
      <c r="I84" s="116">
        <f>IF(TrRoad_act!I6=0,0,I20/TrRoad_act!I6*1000)</f>
        <v>158.04069048915471</v>
      </c>
      <c r="J84" s="116">
        <f>IF(TrRoad_act!J6=0,0,J20/TrRoad_act!J6*1000)</f>
        <v>152.2342468677719</v>
      </c>
      <c r="K84" s="116">
        <f>IF(TrRoad_act!K6=0,0,K20/TrRoad_act!K6*1000)</f>
        <v>149.00250400709638</v>
      </c>
      <c r="L84" s="116">
        <f>IF(TrRoad_act!L6=0,0,L20/TrRoad_act!L6*1000)</f>
        <v>144.49485311426986</v>
      </c>
      <c r="M84" s="116">
        <f>IF(TrRoad_act!M6=0,0,M20/TrRoad_act!M6*1000)</f>
        <v>141.08781409572538</v>
      </c>
      <c r="N84" s="116">
        <f>IF(TrRoad_act!N6=0,0,N20/TrRoad_act!N6*1000)</f>
        <v>141.27450401792251</v>
      </c>
      <c r="O84" s="116">
        <f>IF(TrRoad_act!O6=0,0,O20/TrRoad_act!O6*1000)</f>
        <v>140.22943928680948</v>
      </c>
      <c r="P84" s="116">
        <f>IF(TrRoad_act!P6=0,0,P20/TrRoad_act!P6*1000)</f>
        <v>149.35856980753204</v>
      </c>
      <c r="Q84" s="116">
        <f>IF(TrRoad_act!Q6=0,0,Q20/TrRoad_act!Q6*1000)</f>
        <v>139.74285914050935</v>
      </c>
      <c r="R84" s="116">
        <f>IF(TrRoad_act!R6=0,0,R20/TrRoad_act!R6*1000)</f>
        <v>138.9096118583972</v>
      </c>
      <c r="S84" s="116">
        <f>IF(TrRoad_act!S6=0,0,S20/TrRoad_act!S6*1000)</f>
        <v>132.3399497298563</v>
      </c>
      <c r="T84" s="116">
        <f>IF(TrRoad_act!T6=0,0,T20/TrRoad_act!T6*1000)</f>
        <v>130.64700387761914</v>
      </c>
      <c r="U84" s="116">
        <f>IF(TrRoad_act!U6=0,0,U20/TrRoad_act!U6*1000)</f>
        <v>125.6518736794432</v>
      </c>
      <c r="V84" s="116">
        <f>IF(TrRoad_act!V6=0,0,V20/TrRoad_act!V6*1000)</f>
        <v>118.6342241628593</v>
      </c>
      <c r="W84" s="116">
        <f>IF(TrRoad_act!W6=0,0,W20/TrRoad_act!W6*1000)</f>
        <v>118.14456805475939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154.8343585229957</v>
      </c>
      <c r="C85" s="87">
        <f>IF(TrRoad_act!C7=0,0,C21/TrRoad_act!C7*1000)</f>
        <v>152.41616006945759</v>
      </c>
      <c r="D85" s="87">
        <f>IF(TrRoad_act!D7=0,0,D21/TrRoad_act!D7*1000)</f>
        <v>150.80522496742503</v>
      </c>
      <c r="E85" s="87">
        <f>IF(TrRoad_act!E7=0,0,E21/TrRoad_act!E7*1000)</f>
        <v>143.26068117824192</v>
      </c>
      <c r="F85" s="87">
        <f>IF(TrRoad_act!F7=0,0,F21/TrRoad_act!F7*1000)</f>
        <v>139.80931500435793</v>
      </c>
      <c r="G85" s="87">
        <f>IF(TrRoad_act!G7=0,0,G21/TrRoad_act!G7*1000)</f>
        <v>145.41801564055618</v>
      </c>
      <c r="H85" s="87">
        <f>IF(TrRoad_act!H7=0,0,H21/TrRoad_act!H7*1000)</f>
        <v>154.66348720088902</v>
      </c>
      <c r="I85" s="87">
        <f>IF(TrRoad_act!I7=0,0,I21/TrRoad_act!I7*1000)</f>
        <v>145.85411087291749</v>
      </c>
      <c r="J85" s="87">
        <f>IF(TrRoad_act!J7=0,0,J21/TrRoad_act!J7*1000)</f>
        <v>139.85478624080866</v>
      </c>
      <c r="K85" s="87">
        <f>IF(TrRoad_act!K7=0,0,K21/TrRoad_act!K7*1000)</f>
        <v>133.29381040721591</v>
      </c>
      <c r="L85" s="87">
        <f>IF(TrRoad_act!L7=0,0,L21/TrRoad_act!L7*1000)</f>
        <v>133.50652489012012</v>
      </c>
      <c r="M85" s="87">
        <f>IF(TrRoad_act!M7=0,0,M21/TrRoad_act!M7*1000)</f>
        <v>131.3663953734339</v>
      </c>
      <c r="N85" s="87">
        <f>IF(TrRoad_act!N7=0,0,N21/TrRoad_act!N7*1000)</f>
        <v>131.91321722758698</v>
      </c>
      <c r="O85" s="87">
        <f>IF(TrRoad_act!O7=0,0,O21/TrRoad_act!O7*1000)</f>
        <v>127.81217145828758</v>
      </c>
      <c r="P85" s="87">
        <f>IF(TrRoad_act!P7=0,0,P21/TrRoad_act!P7*1000)</f>
        <v>136.78380542097972</v>
      </c>
      <c r="Q85" s="87">
        <f>IF(TrRoad_act!Q7=0,0,Q21/TrRoad_act!Q7*1000)</f>
        <v>119.7548130929604</v>
      </c>
      <c r="R85" s="87">
        <f>IF(TrRoad_act!R7=0,0,R21/TrRoad_act!R7*1000)</f>
        <v>122.84932804700938</v>
      </c>
      <c r="S85" s="87">
        <f>IF(TrRoad_act!S7=0,0,S21/TrRoad_act!S7*1000)</f>
        <v>116.4513104510871</v>
      </c>
      <c r="T85" s="87">
        <f>IF(TrRoad_act!T7=0,0,T21/TrRoad_act!T7*1000)</f>
        <v>111.44827663400545</v>
      </c>
      <c r="U85" s="87">
        <f>IF(TrRoad_act!U7=0,0,U21/TrRoad_act!U7*1000)</f>
        <v>106.93919157295304</v>
      </c>
      <c r="V85" s="87">
        <f>IF(TrRoad_act!V7=0,0,V21/TrRoad_act!V7*1000)</f>
        <v>99.415802255309046</v>
      </c>
      <c r="W85" s="87">
        <f>IF(TrRoad_act!W7=0,0,W21/TrRoad_act!W7*1000)</f>
        <v>100.62876623322228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238.54311944612513</v>
      </c>
      <c r="C86" s="87">
        <f>IF(TrRoad_act!C8=0,0,C22/TrRoad_act!C8*1000)</f>
        <v>241.04432517885022</v>
      </c>
      <c r="D86" s="87">
        <f>IF(TrRoad_act!D8=0,0,D22/TrRoad_act!D8*1000)</f>
        <v>216.03005024234162</v>
      </c>
      <c r="E86" s="87">
        <f>IF(TrRoad_act!E8=0,0,E22/TrRoad_act!E8*1000)</f>
        <v>203.1638617882997</v>
      </c>
      <c r="F86" s="87">
        <f>IF(TrRoad_act!F8=0,0,F22/TrRoad_act!F8*1000)</f>
        <v>194.78451985197199</v>
      </c>
      <c r="G86" s="87">
        <f>IF(TrRoad_act!G8=0,0,G22/TrRoad_act!G8*1000)</f>
        <v>187.29227171076232</v>
      </c>
      <c r="H86" s="87">
        <f>IF(TrRoad_act!H8=0,0,H22/TrRoad_act!H8*1000)</f>
        <v>209.08955190513666</v>
      </c>
      <c r="I86" s="87">
        <f>IF(TrRoad_act!I8=0,0,I22/TrRoad_act!I8*1000)</f>
        <v>207.11431481963334</v>
      </c>
      <c r="J86" s="87">
        <f>IF(TrRoad_act!J8=0,0,J22/TrRoad_act!J8*1000)</f>
        <v>193.05130118838426</v>
      </c>
      <c r="K86" s="87">
        <f>IF(TrRoad_act!K8=0,0,K22/TrRoad_act!K8*1000)</f>
        <v>191.64704224028267</v>
      </c>
      <c r="L86" s="87">
        <f>IF(TrRoad_act!L8=0,0,L22/TrRoad_act!L8*1000)</f>
        <v>168.6098247364317</v>
      </c>
      <c r="M86" s="87">
        <f>IF(TrRoad_act!M8=0,0,M22/TrRoad_act!M8*1000)</f>
        <v>157.70707377870403</v>
      </c>
      <c r="N86" s="87">
        <f>IF(TrRoad_act!N8=0,0,N22/TrRoad_act!N8*1000)</f>
        <v>155.60141930554886</v>
      </c>
      <c r="O86" s="87">
        <f>IF(TrRoad_act!O8=0,0,O22/TrRoad_act!O8*1000)</f>
        <v>155.95770427826184</v>
      </c>
      <c r="P86" s="87">
        <f>IF(TrRoad_act!P8=0,0,P22/TrRoad_act!P8*1000)</f>
        <v>163.55519863090595</v>
      </c>
      <c r="Q86" s="87">
        <f>IF(TrRoad_act!Q8=0,0,Q22/TrRoad_act!Q8*1000)</f>
        <v>157.91020326236702</v>
      </c>
      <c r="R86" s="87">
        <f>IF(TrRoad_act!R8=0,0,R22/TrRoad_act!R8*1000)</f>
        <v>151.17609253690839</v>
      </c>
      <c r="S86" s="87">
        <f>IF(TrRoad_act!S8=0,0,S22/TrRoad_act!S8*1000)</f>
        <v>143.02745517030945</v>
      </c>
      <c r="T86" s="87">
        <f>IF(TrRoad_act!T8=0,0,T22/TrRoad_act!T8*1000)</f>
        <v>142.53896974590137</v>
      </c>
      <c r="U86" s="87">
        <f>IF(TrRoad_act!U8=0,0,U22/TrRoad_act!U8*1000)</f>
        <v>136.9024371763482</v>
      </c>
      <c r="V86" s="87">
        <f>IF(TrRoad_act!V8=0,0,V22/TrRoad_act!V8*1000)</f>
        <v>129.22385620991324</v>
      </c>
      <c r="W86" s="87">
        <f>IF(TrRoad_act!W8=0,0,W22/TrRoad_act!W8*1000)</f>
        <v>129.15882391222101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141.28688926193723</v>
      </c>
      <c r="C87" s="87">
        <f>IF(TrRoad_act!C9=0,0,C23/TrRoad_act!C9*1000)</f>
        <v>136.8031601339984</v>
      </c>
      <c r="D87" s="87">
        <f>IF(TrRoad_act!D9=0,0,D23/TrRoad_act!D9*1000)</f>
        <v>140.1632792201126</v>
      </c>
      <c r="E87" s="87">
        <f>IF(TrRoad_act!E9=0,0,E23/TrRoad_act!E9*1000)</f>
        <v>140.85723667636412</v>
      </c>
      <c r="F87" s="87">
        <f>IF(TrRoad_act!F9=0,0,F23/TrRoad_act!F9*1000)</f>
        <v>128.67579055102874</v>
      </c>
      <c r="G87" s="87">
        <f>IF(TrRoad_act!G9=0,0,G23/TrRoad_act!G9*1000)</f>
        <v>130.48405974050789</v>
      </c>
      <c r="H87" s="87">
        <f>IF(TrRoad_act!H9=0,0,H23/TrRoad_act!H9*1000)</f>
        <v>138.63144669448138</v>
      </c>
      <c r="I87" s="87">
        <f>IF(TrRoad_act!I9=0,0,I23/TrRoad_act!I9*1000)</f>
        <v>132.96618573610277</v>
      </c>
      <c r="J87" s="87">
        <f>IF(TrRoad_act!J9=0,0,J23/TrRoad_act!J9*1000)</f>
        <v>140.79375320895252</v>
      </c>
      <c r="K87" s="87">
        <f>IF(TrRoad_act!K9=0,0,K23/TrRoad_act!K9*1000)</f>
        <v>129.23283120355867</v>
      </c>
      <c r="L87" s="87">
        <f>IF(TrRoad_act!L9=0,0,L23/TrRoad_act!L9*1000)</f>
        <v>130.34777492460026</v>
      </c>
      <c r="M87" s="87">
        <f>IF(TrRoad_act!M9=0,0,M23/TrRoad_act!M9*1000)</f>
        <v>126.81671006097642</v>
      </c>
      <c r="N87" s="87">
        <f>IF(TrRoad_act!N9=0,0,N23/TrRoad_act!N9*1000)</f>
        <v>125.05437153317602</v>
      </c>
      <c r="O87" s="87">
        <f>IF(TrRoad_act!O9=0,0,O23/TrRoad_act!O9*1000)</f>
        <v>119.82331145132886</v>
      </c>
      <c r="P87" s="87">
        <f>IF(TrRoad_act!P9=0,0,P23/TrRoad_act!P9*1000)</f>
        <v>114.60978445067322</v>
      </c>
      <c r="Q87" s="87">
        <f>IF(TrRoad_act!Q9=0,0,Q23/TrRoad_act!Q9*1000)</f>
        <v>116.73376125972281</v>
      </c>
      <c r="R87" s="87">
        <f>IF(TrRoad_act!R9=0,0,R23/TrRoad_act!R9*1000)</f>
        <v>117.61176215451</v>
      </c>
      <c r="S87" s="87">
        <f>IF(TrRoad_act!S9=0,0,S23/TrRoad_act!S9*1000)</f>
        <v>118.84984411148048</v>
      </c>
      <c r="T87" s="87">
        <f>IF(TrRoad_act!T9=0,0,T23/TrRoad_act!T9*1000)</f>
        <v>113.22276075062118</v>
      </c>
      <c r="U87" s="87">
        <f>IF(TrRoad_act!U9=0,0,U23/TrRoad_act!U9*1000)</f>
        <v>111.17936774167259</v>
      </c>
      <c r="V87" s="87">
        <f>IF(TrRoad_act!V9=0,0,V23/TrRoad_act!V9*1000)</f>
        <v>90.776644099863162</v>
      </c>
      <c r="W87" s="87">
        <f>IF(TrRoad_act!W9=0,0,W23/TrRoad_act!W9*1000)</f>
        <v>92.272129106933903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57.764512361207814</v>
      </c>
      <c r="P89" s="87">
        <f>IF(TrRoad_act!P11=0,0,P25/TrRoad_act!P11*1000)</f>
        <v>36.587474417579777</v>
      </c>
      <c r="Q89" s="87">
        <f>IF(TrRoad_act!Q11=0,0,Q25/TrRoad_act!Q11*1000)</f>
        <v>34.470891414263221</v>
      </c>
      <c r="R89" s="87">
        <f>IF(TrRoad_act!R11=0,0,R25/TrRoad_act!R11*1000)</f>
        <v>37.279923465982321</v>
      </c>
      <c r="S89" s="87">
        <f>IF(TrRoad_act!S11=0,0,S25/TrRoad_act!S11*1000)</f>
        <v>35.60895420694326</v>
      </c>
      <c r="T89" s="87">
        <f>IF(TrRoad_act!T11=0,0,T25/TrRoad_act!T11*1000)</f>
        <v>34.920210280126469</v>
      </c>
      <c r="U89" s="87">
        <f>IF(TrRoad_act!U11=0,0,U25/TrRoad_act!U11*1000)</f>
        <v>34.570154789213838</v>
      </c>
      <c r="V89" s="87">
        <f>IF(TrRoad_act!V11=0,0,V25/TrRoad_act!V11*1000)</f>
        <v>29.766111722008826</v>
      </c>
      <c r="W89" s="87">
        <f>IF(TrRoad_act!W11=0,0,W25/TrRoad_act!W11*1000)</f>
        <v>28.118152682102767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57.559026534088439</v>
      </c>
      <c r="C91" s="116">
        <f>IF(TrRoad_act!C13=0,0,C27/TrRoad_act!C13*1000)</f>
        <v>54.241502287076202</v>
      </c>
      <c r="D91" s="116">
        <f>IF(TrRoad_act!D13=0,0,D27/TrRoad_act!D13*1000)</f>
        <v>54.649984717097716</v>
      </c>
      <c r="E91" s="116">
        <f>IF(TrRoad_act!E13=0,0,E27/TrRoad_act!E13*1000)</f>
        <v>54.978543116116342</v>
      </c>
      <c r="F91" s="116">
        <f>IF(TrRoad_act!F13=0,0,F27/TrRoad_act!F13*1000)</f>
        <v>54.27082636696359</v>
      </c>
      <c r="G91" s="116">
        <f>IF(TrRoad_act!G13=0,0,G27/TrRoad_act!G13*1000)</f>
        <v>55.75389486882483</v>
      </c>
      <c r="H91" s="116">
        <f>IF(TrRoad_act!H13=0,0,H27/TrRoad_act!H13*1000)</f>
        <v>58.6510375858931</v>
      </c>
      <c r="I91" s="116">
        <f>IF(TrRoad_act!I13=0,0,I27/TrRoad_act!I13*1000)</f>
        <v>60.115655273985062</v>
      </c>
      <c r="J91" s="116">
        <f>IF(TrRoad_act!J13=0,0,J27/TrRoad_act!J13*1000)</f>
        <v>61.757349657789824</v>
      </c>
      <c r="K91" s="116">
        <f>IF(TrRoad_act!K13=0,0,K27/TrRoad_act!K13*1000)</f>
        <v>58.021787710982913</v>
      </c>
      <c r="L91" s="116">
        <f>IF(TrRoad_act!L13=0,0,L27/TrRoad_act!L13*1000)</f>
        <v>59.589811262639451</v>
      </c>
      <c r="M91" s="116">
        <f>IF(TrRoad_act!M13=0,0,M27/TrRoad_act!M13*1000)</f>
        <v>58.440316131598451</v>
      </c>
      <c r="N91" s="116">
        <f>IF(TrRoad_act!N13=0,0,N27/TrRoad_act!N13*1000)</f>
        <v>59.747645647355391</v>
      </c>
      <c r="O91" s="116">
        <f>IF(TrRoad_act!O13=0,0,O27/TrRoad_act!O13*1000)</f>
        <v>59.361221348917276</v>
      </c>
      <c r="P91" s="116">
        <f>IF(TrRoad_act!P13=0,0,P27/TrRoad_act!P13*1000)</f>
        <v>58.424067254017224</v>
      </c>
      <c r="Q91" s="116">
        <f>IF(TrRoad_act!Q13=0,0,Q27/TrRoad_act!Q13*1000)</f>
        <v>59.572424308572451</v>
      </c>
      <c r="R91" s="116">
        <f>IF(TrRoad_act!R13=0,0,R27/TrRoad_act!R13*1000)</f>
        <v>60.193395013694868</v>
      </c>
      <c r="S91" s="116">
        <f>IF(TrRoad_act!S13=0,0,S27/TrRoad_act!S13*1000)</f>
        <v>59.804542419741722</v>
      </c>
      <c r="T91" s="116">
        <f>IF(TrRoad_act!T13=0,0,T27/TrRoad_act!T13*1000)</f>
        <v>60.366667208593533</v>
      </c>
      <c r="U91" s="116">
        <f>IF(TrRoad_act!U13=0,0,U27/TrRoad_act!U13*1000)</f>
        <v>59.978239068176599</v>
      </c>
      <c r="V91" s="116">
        <f>IF(TrRoad_act!V13=0,0,V27/TrRoad_act!V13*1000)</f>
        <v>71.799283656954429</v>
      </c>
      <c r="W91" s="116">
        <f>IF(TrRoad_act!W13=0,0,W27/TrRoad_act!W13*1000)</f>
        <v>65.29412661926969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42.415022793253804</v>
      </c>
      <c r="C92" s="101">
        <f>IF(TrRoad_act!C14=0,0,C28/TrRoad_act!C14*1000)</f>
        <v>42.341174759793347</v>
      </c>
      <c r="D92" s="101">
        <f>IF(TrRoad_act!D14=0,0,D28/TrRoad_act!D14*1000)</f>
        <v>43.304718537594518</v>
      </c>
      <c r="E92" s="101">
        <f>IF(TrRoad_act!E14=0,0,E28/TrRoad_act!E14*1000)</f>
        <v>44.28049038936247</v>
      </c>
      <c r="F92" s="101">
        <f>IF(TrRoad_act!F14=0,0,F28/TrRoad_act!F14*1000)</f>
        <v>44.213623489252754</v>
      </c>
      <c r="G92" s="101">
        <f>IF(TrRoad_act!G14=0,0,G28/TrRoad_act!G14*1000)</f>
        <v>45.851769947274249</v>
      </c>
      <c r="H92" s="101">
        <f>IF(TrRoad_act!H14=0,0,H28/TrRoad_act!H14*1000)</f>
        <v>48.627537970140558</v>
      </c>
      <c r="I92" s="101">
        <f>IF(TrRoad_act!I14=0,0,I28/TrRoad_act!I14*1000)</f>
        <v>50.061436572146008</v>
      </c>
      <c r="J92" s="101">
        <f>IF(TrRoad_act!J14=0,0,J28/TrRoad_act!J14*1000)</f>
        <v>51.491888902621412</v>
      </c>
      <c r="K92" s="101">
        <f>IF(TrRoad_act!K14=0,0,K28/TrRoad_act!K14*1000)</f>
        <v>48.649580751432083</v>
      </c>
      <c r="L92" s="101">
        <f>IF(TrRoad_act!L14=0,0,L28/TrRoad_act!L14*1000)</f>
        <v>49.906925020968018</v>
      </c>
      <c r="M92" s="101">
        <f>IF(TrRoad_act!M14=0,0,M28/TrRoad_act!M14*1000)</f>
        <v>49.107001272790171</v>
      </c>
      <c r="N92" s="101">
        <f>IF(TrRoad_act!N14=0,0,N28/TrRoad_act!N14*1000)</f>
        <v>49.450409135048979</v>
      </c>
      <c r="O92" s="101">
        <f>IF(TrRoad_act!O14=0,0,O28/TrRoad_act!O14*1000)</f>
        <v>49.419372670516246</v>
      </c>
      <c r="P92" s="101">
        <f>IF(TrRoad_act!P14=0,0,P28/TrRoad_act!P14*1000)</f>
        <v>48.847650570326017</v>
      </c>
      <c r="Q92" s="101">
        <f>IF(TrRoad_act!Q14=0,0,Q28/TrRoad_act!Q14*1000)</f>
        <v>49.252541497785408</v>
      </c>
      <c r="R92" s="101">
        <f>IF(TrRoad_act!R14=0,0,R28/TrRoad_act!R14*1000)</f>
        <v>48.684553769075571</v>
      </c>
      <c r="S92" s="101">
        <f>IF(TrRoad_act!S14=0,0,S28/TrRoad_act!S14*1000)</f>
        <v>47.352544282170726</v>
      </c>
      <c r="T92" s="101">
        <f>IF(TrRoad_act!T14=0,0,T28/TrRoad_act!T14*1000)</f>
        <v>47.592559811447614</v>
      </c>
      <c r="U92" s="101">
        <f>IF(TrRoad_act!U14=0,0,U28/TrRoad_act!U14*1000)</f>
        <v>46.736161521167382</v>
      </c>
      <c r="V92" s="101">
        <f>IF(TrRoad_act!V14=0,0,V28/TrRoad_act!V14*1000)</f>
        <v>56.079289330121732</v>
      </c>
      <c r="W92" s="101">
        <f>IF(TrRoad_act!W14=0,0,W28/TrRoad_act!W14*1000)</f>
        <v>51.014198080319886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57.67737109804883</v>
      </c>
      <c r="C93" s="101">
        <f>IF(TrRoad_act!C15=0,0,C29/TrRoad_act!C15*1000)</f>
        <v>54.324486977623131</v>
      </c>
      <c r="D93" s="101">
        <f>IF(TrRoad_act!D15=0,0,D29/TrRoad_act!D15*1000)</f>
        <v>54.720764545893061</v>
      </c>
      <c r="E93" s="101">
        <f>IF(TrRoad_act!E15=0,0,E29/TrRoad_act!E15*1000)</f>
        <v>55.035444933479752</v>
      </c>
      <c r="F93" s="101">
        <f>IF(TrRoad_act!F15=0,0,F29/TrRoad_act!F15*1000)</f>
        <v>54.316277303400028</v>
      </c>
      <c r="G93" s="101">
        <f>IF(TrRoad_act!G15=0,0,G29/TrRoad_act!G15*1000)</f>
        <v>55.79155590673048</v>
      </c>
      <c r="H93" s="101">
        <f>IF(TrRoad_act!H15=0,0,H29/TrRoad_act!H15*1000)</f>
        <v>58.68198193250339</v>
      </c>
      <c r="I93" s="101">
        <f>IF(TrRoad_act!I15=0,0,I29/TrRoad_act!I15*1000)</f>
        <v>60.141686425813127</v>
      </c>
      <c r="J93" s="101">
        <f>IF(TrRoad_act!J15=0,0,J29/TrRoad_act!J15*1000)</f>
        <v>61.785848707884014</v>
      </c>
      <c r="K93" s="101">
        <f>IF(TrRoad_act!K15=0,0,K29/TrRoad_act!K15*1000)</f>
        <v>58.045010552726971</v>
      </c>
      <c r="L93" s="101">
        <f>IF(TrRoad_act!L15=0,0,L29/TrRoad_act!L15*1000)</f>
        <v>59.610897908731623</v>
      </c>
      <c r="M93" s="101">
        <f>IF(TrRoad_act!M15=0,0,M29/TrRoad_act!M15*1000)</f>
        <v>58.458626816646806</v>
      </c>
      <c r="N93" s="101">
        <f>IF(TrRoad_act!N15=0,0,N29/TrRoad_act!N15*1000)</f>
        <v>59.76467317397811</v>
      </c>
      <c r="O93" s="101">
        <f>IF(TrRoad_act!O15=0,0,O29/TrRoad_act!O15*1000)</f>
        <v>59.37786163316246</v>
      </c>
      <c r="P93" s="101">
        <f>IF(TrRoad_act!P15=0,0,P29/TrRoad_act!P15*1000)</f>
        <v>58.439992501498587</v>
      </c>
      <c r="Q93" s="101">
        <f>IF(TrRoad_act!Q15=0,0,Q29/TrRoad_act!Q15*1000)</f>
        <v>59.587568820925419</v>
      </c>
      <c r="R93" s="101">
        <f>IF(TrRoad_act!R15=0,0,R29/TrRoad_act!R15*1000)</f>
        <v>60.207321168132275</v>
      </c>
      <c r="S93" s="101">
        <f>IF(TrRoad_act!S15=0,0,S29/TrRoad_act!S15*1000)</f>
        <v>59.819308691283176</v>
      </c>
      <c r="T93" s="101">
        <f>IF(TrRoad_act!T15=0,0,T29/TrRoad_act!T15*1000)</f>
        <v>60.378268783304115</v>
      </c>
      <c r="U93" s="101">
        <f>IF(TrRoad_act!U15=0,0,U29/TrRoad_act!U15*1000)</f>
        <v>59.990993026613516</v>
      </c>
      <c r="V93" s="101">
        <f>IF(TrRoad_act!V15=0,0,V29/TrRoad_act!V15*1000)</f>
        <v>71.841370192918049</v>
      </c>
      <c r="W93" s="101">
        <f>IF(TrRoad_act!W15=0,0,W29/TrRoad_act!W15*1000)</f>
        <v>65.350216494549784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34.184141784591887</v>
      </c>
      <c r="D94" s="101">
        <f>IF(TrRoad_act!D16=0,0,D30/TrRoad_act!D16*1000)</f>
        <v>35.00998212488804</v>
      </c>
      <c r="E94" s="101">
        <f>IF(TrRoad_act!E16=0,0,E30/TrRoad_act!E16*1000)</f>
        <v>35.859751329931292</v>
      </c>
      <c r="F94" s="101">
        <f>IF(TrRoad_act!F16=0,0,F30/TrRoad_act!F16*1000)</f>
        <v>35.862280927022404</v>
      </c>
      <c r="G94" s="101">
        <f>IF(TrRoad_act!G16=0,0,G30/TrRoad_act!G16*1000)</f>
        <v>37.24725569872205</v>
      </c>
      <c r="H94" s="101">
        <f>IF(TrRoad_act!H16=0,0,H30/TrRoad_act!H16*1000)</f>
        <v>39.577208692566501</v>
      </c>
      <c r="I94" s="101">
        <f>IF(TrRoad_act!I16=0,0,I30/TrRoad_act!I16*1000)</f>
        <v>41.041533003248169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358.53911108390952</v>
      </c>
      <c r="C97" s="29">
        <f>IF(TrRoad_act!C19=0,0,C33/TrRoad_act!C19*1000)</f>
        <v>347.60763273866075</v>
      </c>
      <c r="D97" s="29">
        <f>IF(TrRoad_act!D19=0,0,D33/TrRoad_act!D19*1000)</f>
        <v>314.41575635735177</v>
      </c>
      <c r="E97" s="29">
        <f>IF(TrRoad_act!E19=0,0,E33/TrRoad_act!E19*1000)</f>
        <v>295.49344299587005</v>
      </c>
      <c r="F97" s="29">
        <f>IF(TrRoad_act!F19=0,0,F33/TrRoad_act!F19*1000)</f>
        <v>290.72351485725142</v>
      </c>
      <c r="G97" s="29">
        <f>IF(TrRoad_act!G19=0,0,G33/TrRoad_act!G19*1000)</f>
        <v>286.89743512406551</v>
      </c>
      <c r="H97" s="29">
        <f>IF(TrRoad_act!H19=0,0,H33/TrRoad_act!H19*1000)</f>
        <v>299.04762587720114</v>
      </c>
      <c r="I97" s="29">
        <f>IF(TrRoad_act!I19=0,0,I33/TrRoad_act!I19*1000)</f>
        <v>305.70630484482939</v>
      </c>
      <c r="J97" s="29">
        <f>IF(TrRoad_act!J19=0,0,J33/TrRoad_act!J19*1000)</f>
        <v>289.27939546610457</v>
      </c>
      <c r="K97" s="29">
        <f>IF(TrRoad_act!K19=0,0,K33/TrRoad_act!K19*1000)</f>
        <v>326.13707088441396</v>
      </c>
      <c r="L97" s="29">
        <f>IF(TrRoad_act!L19=0,0,L33/TrRoad_act!L19*1000)</f>
        <v>296.89777382418765</v>
      </c>
      <c r="M97" s="29">
        <f>IF(TrRoad_act!M19=0,0,M33/TrRoad_act!M19*1000)</f>
        <v>293.55277406720273</v>
      </c>
      <c r="N97" s="29">
        <f>IF(TrRoad_act!N19=0,0,N33/TrRoad_act!N19*1000)</f>
        <v>293.10954338405793</v>
      </c>
      <c r="O97" s="29">
        <f>IF(TrRoad_act!O19=0,0,O33/TrRoad_act!O19*1000)</f>
        <v>299.90266485427946</v>
      </c>
      <c r="P97" s="29">
        <f>IF(TrRoad_act!P19=0,0,P33/TrRoad_act!P19*1000)</f>
        <v>297.24806001350277</v>
      </c>
      <c r="Q97" s="29">
        <f>IF(TrRoad_act!Q19=0,0,Q33/TrRoad_act!Q19*1000)</f>
        <v>292.64943268346957</v>
      </c>
      <c r="R97" s="29">
        <f>IF(TrRoad_act!R19=0,0,R33/TrRoad_act!R19*1000)</f>
        <v>276.12177152455422</v>
      </c>
      <c r="S97" s="29">
        <f>IF(TrRoad_act!S19=0,0,S33/TrRoad_act!S19*1000)</f>
        <v>265.5235741677073</v>
      </c>
      <c r="T97" s="29">
        <f>IF(TrRoad_act!T19=0,0,T33/TrRoad_act!T19*1000)</f>
        <v>269.1648489508546</v>
      </c>
      <c r="U97" s="29">
        <f>IF(TrRoad_act!U19=0,0,U33/TrRoad_act!U19*1000)</f>
        <v>258.35898441897615</v>
      </c>
      <c r="V97" s="29">
        <f>IF(TrRoad_act!V19=0,0,V33/TrRoad_act!V19*1000)</f>
        <v>262.94000376262051</v>
      </c>
      <c r="W97" s="29">
        <f>IF(TrRoad_act!W19=0,0,W33/TrRoad_act!W19*1000)</f>
        <v>261.0350135440724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796.35825928151553</v>
      </c>
      <c r="C98" s="152">
        <f>IF(TrRoad_act!C20=0,0,C34/TrRoad_act!C20*1000)</f>
        <v>759.24777677899795</v>
      </c>
      <c r="D98" s="152">
        <f>IF(TrRoad_act!D20=0,0,D34/TrRoad_act!D20*1000)</f>
        <v>745.40035093572396</v>
      </c>
      <c r="E98" s="152">
        <f>IF(TrRoad_act!E20=0,0,E34/TrRoad_act!E20*1000)</f>
        <v>734.42902951983524</v>
      </c>
      <c r="F98" s="152">
        <f>IF(TrRoad_act!F20=0,0,F34/TrRoad_act!F20*1000)</f>
        <v>738.31864509481306</v>
      </c>
      <c r="G98" s="152">
        <f>IF(TrRoad_act!G20=0,0,G34/TrRoad_act!G20*1000)</f>
        <v>732.83880621646108</v>
      </c>
      <c r="H98" s="152">
        <f>IF(TrRoad_act!H20=0,0,H34/TrRoad_act!H20*1000)</f>
        <v>734.14797394055449</v>
      </c>
      <c r="I98" s="152">
        <f>IF(TrRoad_act!I20=0,0,I34/TrRoad_act!I20*1000)</f>
        <v>733.96726751932056</v>
      </c>
      <c r="J98" s="152">
        <f>IF(TrRoad_act!J20=0,0,J34/TrRoad_act!J20*1000)</f>
        <v>708.31979093184975</v>
      </c>
      <c r="K98" s="152">
        <f>IF(TrRoad_act!K20=0,0,K34/TrRoad_act!K20*1000)</f>
        <v>692.38682759799849</v>
      </c>
      <c r="L98" s="152">
        <f>IF(TrRoad_act!L20=0,0,L34/TrRoad_act!L20*1000)</f>
        <v>677.06023012751905</v>
      </c>
      <c r="M98" s="152">
        <f>IF(TrRoad_act!M20=0,0,M34/TrRoad_act!M20*1000)</f>
        <v>667.72528596802772</v>
      </c>
      <c r="N98" s="152">
        <f>IF(TrRoad_act!N20=0,0,N34/TrRoad_act!N20*1000)</f>
        <v>664.09969350355072</v>
      </c>
      <c r="O98" s="152">
        <f>IF(TrRoad_act!O20=0,0,O34/TrRoad_act!O20*1000)</f>
        <v>656.95017538729826</v>
      </c>
      <c r="P98" s="152">
        <f>IF(TrRoad_act!P20=0,0,P34/TrRoad_act!P20*1000)</f>
        <v>655.33114415662953</v>
      </c>
      <c r="Q98" s="152">
        <f>IF(TrRoad_act!Q20=0,0,Q34/TrRoad_act!Q20*1000)</f>
        <v>664.38628936016892</v>
      </c>
      <c r="R98" s="152">
        <f>IF(TrRoad_act!R20=0,0,R34/TrRoad_act!R20*1000)</f>
        <v>658.26183317493246</v>
      </c>
      <c r="S98" s="152">
        <f>IF(TrRoad_act!S20=0,0,S34/TrRoad_act!S20*1000)</f>
        <v>636.98100728577765</v>
      </c>
      <c r="T98" s="152">
        <f>IF(TrRoad_act!T20=0,0,T34/TrRoad_act!T20*1000)</f>
        <v>634.47556523653464</v>
      </c>
      <c r="U98" s="152">
        <f>IF(TrRoad_act!U20=0,0,U34/TrRoad_act!U20*1000)</f>
        <v>616.08210963110412</v>
      </c>
      <c r="V98" s="152">
        <f>IF(TrRoad_act!V20=0,0,V34/TrRoad_act!V20*1000)</f>
        <v>605.21650312451538</v>
      </c>
      <c r="W98" s="152">
        <f>IF(TrRoad_act!W20=0,0,W34/TrRoad_act!W20*1000)</f>
        <v>613.56559387634843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771.76054650184335</v>
      </c>
      <c r="C99" s="87">
        <f>IF(TrRoad_act!C21=0,0,C35/TrRoad_act!C21*1000)</f>
        <v>760.87513095477277</v>
      </c>
      <c r="D99" s="87">
        <f>IF(TrRoad_act!D21=0,0,D35/TrRoad_act!D21*1000)</f>
        <v>753.51682590465919</v>
      </c>
      <c r="E99" s="87">
        <f>IF(TrRoad_act!E21=0,0,E35/TrRoad_act!E21*1000)</f>
        <v>746.45282171580891</v>
      </c>
      <c r="F99" s="87">
        <f>IF(TrRoad_act!F21=0,0,F35/TrRoad_act!F21*1000)</f>
        <v>737.14897477061891</v>
      </c>
      <c r="G99" s="87">
        <f>IF(TrRoad_act!G21=0,0,G35/TrRoad_act!G21*1000)</f>
        <v>722.09378001727725</v>
      </c>
      <c r="H99" s="87">
        <f>IF(TrRoad_act!H21=0,0,H35/TrRoad_act!H21*1000)</f>
        <v>703.14664425471756</v>
      </c>
      <c r="I99" s="87">
        <f>IF(TrRoad_act!I21=0,0,I35/TrRoad_act!I21*1000)</f>
        <v>684.03885131885761</v>
      </c>
      <c r="J99" s="87">
        <f>IF(TrRoad_act!J21=0,0,J35/TrRoad_act!J21*1000)</f>
        <v>670.71893684159477</v>
      </c>
      <c r="K99" s="87">
        <f>IF(TrRoad_act!K21=0,0,K35/TrRoad_act!K21*1000)</f>
        <v>663.81253316560833</v>
      </c>
      <c r="L99" s="87">
        <f>IF(TrRoad_act!L21=0,0,L35/TrRoad_act!L21*1000)</f>
        <v>656.02063074891078</v>
      </c>
      <c r="M99" s="87">
        <f>IF(TrRoad_act!M21=0,0,M35/TrRoad_act!M21*1000)</f>
        <v>654.69004662030704</v>
      </c>
      <c r="N99" s="87">
        <f>IF(TrRoad_act!N21=0,0,N35/TrRoad_act!N21*1000)</f>
        <v>648.10938054227449</v>
      </c>
      <c r="O99" s="87">
        <f>IF(TrRoad_act!O21=0,0,O35/TrRoad_act!O21*1000)</f>
        <v>648.83106436013145</v>
      </c>
      <c r="P99" s="87">
        <f>IF(TrRoad_act!P21=0,0,P35/TrRoad_act!P21*1000)</f>
        <v>647.43353703313346</v>
      </c>
      <c r="Q99" s="87">
        <f>IF(TrRoad_act!Q21=0,0,Q35/TrRoad_act!Q21*1000)</f>
        <v>638.44087157577314</v>
      </c>
      <c r="R99" s="87">
        <f>IF(TrRoad_act!R21=0,0,R35/TrRoad_act!R21*1000)</f>
        <v>632.84317637935203</v>
      </c>
      <c r="S99" s="87">
        <f>IF(TrRoad_act!S21=0,0,S35/TrRoad_act!S21*1000)</f>
        <v>643.34650417346893</v>
      </c>
      <c r="T99" s="87">
        <f>IF(TrRoad_act!T21=0,0,T35/TrRoad_act!T21*1000)</f>
        <v>636.85715072411199</v>
      </c>
      <c r="U99" s="87">
        <f>IF(TrRoad_act!U21=0,0,U35/TrRoad_act!U21*1000)</f>
        <v>627.88104730143004</v>
      </c>
      <c r="V99" s="87">
        <f>IF(TrRoad_act!V21=0,0,V35/TrRoad_act!V21*1000)</f>
        <v>589.67340193368011</v>
      </c>
      <c r="W99" s="87">
        <f>IF(TrRoad_act!W21=0,0,W35/TrRoad_act!W21*1000)</f>
        <v>595.62669814407116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796.62890184870696</v>
      </c>
      <c r="C100" s="87">
        <f>IF(TrRoad_act!C22=0,0,C36/TrRoad_act!C22*1000)</f>
        <v>759.23258141236374</v>
      </c>
      <c r="D100" s="87">
        <f>IF(TrRoad_act!D22=0,0,D36/TrRoad_act!D22*1000)</f>
        <v>745.33466489625698</v>
      </c>
      <c r="E100" s="87">
        <f>IF(TrRoad_act!E22=0,0,E36/TrRoad_act!E22*1000)</f>
        <v>734.34747260158429</v>
      </c>
      <c r="F100" s="87">
        <f>IF(TrRoad_act!F22=0,0,F36/TrRoad_act!F22*1000)</f>
        <v>738.32512161991895</v>
      </c>
      <c r="G100" s="87">
        <f>IF(TrRoad_act!G22=0,0,G36/TrRoad_act!G22*1000)</f>
        <v>732.88169783597414</v>
      </c>
      <c r="H100" s="87">
        <f>IF(TrRoad_act!H22=0,0,H36/TrRoad_act!H22*1000)</f>
        <v>734.23686601057364</v>
      </c>
      <c r="I100" s="87">
        <f>IF(TrRoad_act!I22=0,0,I36/TrRoad_act!I22*1000)</f>
        <v>734.07399909981393</v>
      </c>
      <c r="J100" s="87">
        <f>IF(TrRoad_act!J22=0,0,J36/TrRoad_act!J22*1000)</f>
        <v>708.39185969164703</v>
      </c>
      <c r="K100" s="87">
        <f>IF(TrRoad_act!K22=0,0,K36/TrRoad_act!K22*1000)</f>
        <v>692.43869133925284</v>
      </c>
      <c r="L100" s="87">
        <f>IF(TrRoad_act!L22=0,0,L36/TrRoad_act!L22*1000)</f>
        <v>677.09445255410833</v>
      </c>
      <c r="M100" s="87">
        <f>IF(TrRoad_act!M22=0,0,M36/TrRoad_act!M22*1000)</f>
        <v>667.80838439128809</v>
      </c>
      <c r="N100" s="87">
        <f>IF(TrRoad_act!N22=0,0,N36/TrRoad_act!N22*1000)</f>
        <v>664.27249865486272</v>
      </c>
      <c r="O100" s="87">
        <f>IF(TrRoad_act!O22=0,0,O36/TrRoad_act!O22*1000)</f>
        <v>657.11527469049838</v>
      </c>
      <c r="P100" s="87">
        <f>IF(TrRoad_act!P22=0,0,P36/TrRoad_act!P22*1000)</f>
        <v>655.52083413353182</v>
      </c>
      <c r="Q100" s="87">
        <f>IF(TrRoad_act!Q22=0,0,Q36/TrRoad_act!Q22*1000)</f>
        <v>664.59714754670392</v>
      </c>
      <c r="R100" s="87">
        <f>IF(TrRoad_act!R22=0,0,R36/TrRoad_act!R22*1000)</f>
        <v>658.48022207313738</v>
      </c>
      <c r="S100" s="87">
        <f>IF(TrRoad_act!S22=0,0,S36/TrRoad_act!S22*1000)</f>
        <v>637.28986659404416</v>
      </c>
      <c r="T100" s="87">
        <f>IF(TrRoad_act!T22=0,0,T36/TrRoad_act!T22*1000)</f>
        <v>634.81068418961445</v>
      </c>
      <c r="U100" s="87">
        <f>IF(TrRoad_act!U22=0,0,U36/TrRoad_act!U22*1000)</f>
        <v>616.73612102178026</v>
      </c>
      <c r="V100" s="87">
        <f>IF(TrRoad_act!V22=0,0,V36/TrRoad_act!V22*1000)</f>
        <v>607.01610581097941</v>
      </c>
      <c r="W100" s="87">
        <f>IF(TrRoad_act!W22=0,0,W36/TrRoad_act!W22*1000)</f>
        <v>616.68840374938281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622.26215327778539</v>
      </c>
      <c r="P101" s="87">
        <f>IF(TrRoad_act!P23=0,0,P37/TrRoad_act!P23*1000)</f>
        <v>626.86841547067809</v>
      </c>
      <c r="Q101" s="87">
        <f>IF(TrRoad_act!Q23=0,0,Q37/TrRoad_act!Q23*1000)</f>
        <v>625.34892602150285</v>
      </c>
      <c r="R101" s="87">
        <f>IF(TrRoad_act!R23=0,0,R37/TrRoad_act!R23*1000)</f>
        <v>624.05959764243812</v>
      </c>
      <c r="S101" s="87">
        <f>IF(TrRoad_act!S23=0,0,S37/TrRoad_act!S23*1000)</f>
        <v>595.32159218612139</v>
      </c>
      <c r="T101" s="87">
        <f>IF(TrRoad_act!T23=0,0,T37/TrRoad_act!T23*1000)</f>
        <v>596.56760448431692</v>
      </c>
      <c r="U101" s="87">
        <f>IF(TrRoad_act!U23=0,0,U37/TrRoad_act!U23*1000)</f>
        <v>595.31638615689292</v>
      </c>
      <c r="V101" s="87">
        <f>IF(TrRoad_act!V23=0,0,V37/TrRoad_act!V23*1000)</f>
        <v>588.87786919300879</v>
      </c>
      <c r="W101" s="87">
        <f>IF(TrRoad_act!W23=0,0,W37/TrRoad_act!W23*1000)</f>
        <v>590.14081590748287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284.12487246167001</v>
      </c>
      <c r="C104" s="116">
        <f>IF(TrRoad_act!C26=0,0,C40/TrRoad_act!C26*1000)</f>
        <v>278.2811863689052</v>
      </c>
      <c r="D104" s="116">
        <f>IF(TrRoad_act!D26=0,0,D40/TrRoad_act!D26*1000)</f>
        <v>247.49430792615652</v>
      </c>
      <c r="E104" s="116">
        <f>IF(TrRoad_act!E26=0,0,E40/TrRoad_act!E26*1000)</f>
        <v>229.13538919687636</v>
      </c>
      <c r="F104" s="116">
        <f>IF(TrRoad_act!F26=0,0,F40/TrRoad_act!F26*1000)</f>
        <v>226.07502170917695</v>
      </c>
      <c r="G104" s="116">
        <f>IF(TrRoad_act!G26=0,0,G40/TrRoad_act!G26*1000)</f>
        <v>221.78830857036226</v>
      </c>
      <c r="H104" s="116">
        <f>IF(TrRoad_act!H26=0,0,H40/TrRoad_act!H26*1000)</f>
        <v>230.53235210013327</v>
      </c>
      <c r="I104" s="116">
        <f>IF(TrRoad_act!I26=0,0,I40/TrRoad_act!I26*1000)</f>
        <v>237.65964485532271</v>
      </c>
      <c r="J104" s="116">
        <f>IF(TrRoad_act!J26=0,0,J40/TrRoad_act!J26*1000)</f>
        <v>216.07186675586414</v>
      </c>
      <c r="K104" s="116">
        <f>IF(TrRoad_act!K26=0,0,K40/TrRoad_act!K26*1000)</f>
        <v>232.61666457807101</v>
      </c>
      <c r="L104" s="116">
        <f>IF(TrRoad_act!L26=0,0,L40/TrRoad_act!L26*1000)</f>
        <v>203.25597795412722</v>
      </c>
      <c r="M104" s="116">
        <f>IF(TrRoad_act!M26=0,0,M40/TrRoad_act!M26*1000)</f>
        <v>197.03579408939061</v>
      </c>
      <c r="N104" s="116">
        <f>IF(TrRoad_act!N26=0,0,N40/TrRoad_act!N26*1000)</f>
        <v>199.84140574209403</v>
      </c>
      <c r="O104" s="116">
        <f>IF(TrRoad_act!O26=0,0,O40/TrRoad_act!O26*1000)</f>
        <v>205.0648886568012</v>
      </c>
      <c r="P104" s="116">
        <f>IF(TrRoad_act!P26=0,0,P40/TrRoad_act!P26*1000)</f>
        <v>209.20322727864226</v>
      </c>
      <c r="Q104" s="116">
        <f>IF(TrRoad_act!Q26=0,0,Q40/TrRoad_act!Q26*1000)</f>
        <v>207.68597571915521</v>
      </c>
      <c r="R104" s="116">
        <f>IF(TrRoad_act!R26=0,0,R40/TrRoad_act!R26*1000)</f>
        <v>201.66048821087222</v>
      </c>
      <c r="S104" s="116">
        <f>IF(TrRoad_act!S26=0,0,S40/TrRoad_act!S26*1000)</f>
        <v>193.90227714645471</v>
      </c>
      <c r="T104" s="116">
        <f>IF(TrRoad_act!T26=0,0,T40/TrRoad_act!T26*1000)</f>
        <v>199.53561592894232</v>
      </c>
      <c r="U104" s="116">
        <f>IF(TrRoad_act!U26=0,0,U40/TrRoad_act!U26*1000)</f>
        <v>195.64803966023183</v>
      </c>
      <c r="V104" s="116">
        <f>IF(TrRoad_act!V26=0,0,V40/TrRoad_act!V26*1000)</f>
        <v>191.63747933690067</v>
      </c>
      <c r="W104" s="116">
        <f>IF(TrRoad_act!W26=0,0,W40/TrRoad_act!W26*1000)</f>
        <v>194.36739928408923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303.56476979514935</v>
      </c>
      <c r="C105" s="101">
        <f>IF(TrRoad_act!C27=0,0,C41/TrRoad_act!C27*1000)</f>
        <v>295.62751706348689</v>
      </c>
      <c r="D105" s="101">
        <f>IF(TrRoad_act!D27=0,0,D41/TrRoad_act!D27*1000)</f>
        <v>261.275605033651</v>
      </c>
      <c r="E105" s="101">
        <f>IF(TrRoad_act!E27=0,0,E41/TrRoad_act!E27*1000)</f>
        <v>240.10657431152723</v>
      </c>
      <c r="F105" s="101">
        <f>IF(TrRoad_act!F27=0,0,F41/TrRoad_act!F27*1000)</f>
        <v>237.15618305865385</v>
      </c>
      <c r="G105" s="101">
        <f>IF(TrRoad_act!G27=0,0,G41/TrRoad_act!G27*1000)</f>
        <v>232.92314996096172</v>
      </c>
      <c r="H105" s="101">
        <f>IF(TrRoad_act!H27=0,0,H41/TrRoad_act!H27*1000)</f>
        <v>242.75457566702102</v>
      </c>
      <c r="I105" s="101">
        <f>IF(TrRoad_act!I27=0,0,I41/TrRoad_act!I27*1000)</f>
        <v>250.8188556807111</v>
      </c>
      <c r="J105" s="101">
        <f>IF(TrRoad_act!J27=0,0,J41/TrRoad_act!J27*1000)</f>
        <v>227.31729250890166</v>
      </c>
      <c r="K105" s="101">
        <f>IF(TrRoad_act!K27=0,0,K41/TrRoad_act!K27*1000)</f>
        <v>249.89867012989453</v>
      </c>
      <c r="L105" s="101">
        <f>IF(TrRoad_act!L27=0,0,L41/TrRoad_act!L27*1000)</f>
        <v>220.47004114652199</v>
      </c>
      <c r="M105" s="101">
        <f>IF(TrRoad_act!M27=0,0,M41/TrRoad_act!M27*1000)</f>
        <v>217.56021911347966</v>
      </c>
      <c r="N105" s="101">
        <f>IF(TrRoad_act!N27=0,0,N41/TrRoad_act!N27*1000)</f>
        <v>218.58572525911677</v>
      </c>
      <c r="O105" s="101">
        <f>IF(TrRoad_act!O27=0,0,O41/TrRoad_act!O27*1000)</f>
        <v>224.29856089048349</v>
      </c>
      <c r="P105" s="101">
        <f>IF(TrRoad_act!P27=0,0,P41/TrRoad_act!P27*1000)</f>
        <v>226.45178447981144</v>
      </c>
      <c r="Q105" s="101">
        <f>IF(TrRoad_act!Q27=0,0,Q41/TrRoad_act!Q27*1000)</f>
        <v>226.22265176474178</v>
      </c>
      <c r="R105" s="101">
        <f>IF(TrRoad_act!R27=0,0,R41/TrRoad_act!R27*1000)</f>
        <v>214.58708735296443</v>
      </c>
      <c r="S105" s="101">
        <f>IF(TrRoad_act!S27=0,0,S41/TrRoad_act!S27*1000)</f>
        <v>206.29982714930648</v>
      </c>
      <c r="T105" s="101">
        <f>IF(TrRoad_act!T27=0,0,T41/TrRoad_act!T27*1000)</f>
        <v>213.78925403559705</v>
      </c>
      <c r="U105" s="101">
        <f>IF(TrRoad_act!U27=0,0,U41/TrRoad_act!U27*1000)</f>
        <v>210.45497370209239</v>
      </c>
      <c r="V105" s="101">
        <f>IF(TrRoad_act!V27=0,0,V41/TrRoad_act!V27*1000)</f>
        <v>197.30357129718365</v>
      </c>
      <c r="W105" s="101">
        <f>IF(TrRoad_act!W27=0,0,W41/TrRoad_act!W27*1000)</f>
        <v>199.56160033057222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146.44340893120923</v>
      </c>
      <c r="C106" s="88">
        <f>IF(TrRoad_act!C28=0,0,C42/TrRoad_act!C28*1000)</f>
        <v>152.79431113529708</v>
      </c>
      <c r="D106" s="88">
        <f>IF(TrRoad_act!D28=0,0,D42/TrRoad_act!D28*1000)</f>
        <v>136.75195943469433</v>
      </c>
      <c r="E106" s="88">
        <f>IF(TrRoad_act!E28=0,0,E42/TrRoad_act!E28*1000)</f>
        <v>132.64660788604405</v>
      </c>
      <c r="F106" s="88">
        <f>IF(TrRoad_act!F28=0,0,F42/TrRoad_act!F28*1000)</f>
        <v>133.08794092563593</v>
      </c>
      <c r="G106" s="88">
        <f>IF(TrRoad_act!G28=0,0,G42/TrRoad_act!G28*1000)</f>
        <v>126.24543630010376</v>
      </c>
      <c r="H106" s="88">
        <f>IF(TrRoad_act!H28=0,0,H42/TrRoad_act!H28*1000)</f>
        <v>130.10180250240688</v>
      </c>
      <c r="I106" s="88">
        <f>IF(TrRoad_act!I28=0,0,I42/TrRoad_act!I28*1000)</f>
        <v>133.28141165428073</v>
      </c>
      <c r="J106" s="88">
        <f>IF(TrRoad_act!J28=0,0,J42/TrRoad_act!J28*1000)</f>
        <v>121.77973005304734</v>
      </c>
      <c r="K106" s="88">
        <f>IF(TrRoad_act!K28=0,0,K42/TrRoad_act!K28*1000)</f>
        <v>123.81944160148652</v>
      </c>
      <c r="L106" s="88">
        <f>IF(TrRoad_act!L28=0,0,L42/TrRoad_act!L28*1000)</f>
        <v>104.62598160079169</v>
      </c>
      <c r="M106" s="88">
        <f>IF(TrRoad_act!M28=0,0,M42/TrRoad_act!M28*1000)</f>
        <v>98.793515011475378</v>
      </c>
      <c r="N106" s="88">
        <f>IF(TrRoad_act!N28=0,0,N42/TrRoad_act!N28*1000)</f>
        <v>100.37410529894727</v>
      </c>
      <c r="O106" s="88">
        <f>IF(TrRoad_act!O28=0,0,O42/TrRoad_act!O28*1000)</f>
        <v>101.3033668762985</v>
      </c>
      <c r="P106" s="88">
        <f>IF(TrRoad_act!P28=0,0,P42/TrRoad_act!P28*1000)</f>
        <v>107.57630291163746</v>
      </c>
      <c r="Q106" s="88">
        <f>IF(TrRoad_act!Q28=0,0,Q42/TrRoad_act!Q28*1000)</f>
        <v>109.11047504648347</v>
      </c>
      <c r="R106" s="88">
        <f>IF(TrRoad_act!R28=0,0,R42/TrRoad_act!R28*1000)</f>
        <v>109.97442373260004</v>
      </c>
      <c r="S106" s="88">
        <f>IF(TrRoad_act!S28=0,0,S42/TrRoad_act!S28*1000)</f>
        <v>103.91811232077377</v>
      </c>
      <c r="T106" s="88">
        <f>IF(TrRoad_act!T28=0,0,T42/TrRoad_act!T28*1000)</f>
        <v>105.69916506013215</v>
      </c>
      <c r="U106" s="88">
        <f>IF(TrRoad_act!U28=0,0,U42/TrRoad_act!U28*1000)</f>
        <v>104.45410229158068</v>
      </c>
      <c r="V106" s="88">
        <f>IF(TrRoad_act!V28=0,0,V42/TrRoad_act!V28*1000)</f>
        <v>104.04511232631486</v>
      </c>
      <c r="W106" s="88">
        <f>IF(TrRoad_act!W28=0,0,W42/TrRoad_act!W28*1000)</f>
        <v>107.18997254000274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415.86972601547069</v>
      </c>
      <c r="C110" s="152">
        <f>IF(C19=0,0,1000000*C19/TrRoad_act!C59)</f>
        <v>413.33189258906674</v>
      </c>
      <c r="D110" s="152">
        <f>IF(D19=0,0,1000000*D19/TrRoad_act!D59)</f>
        <v>403.07969736332132</v>
      </c>
      <c r="E110" s="152">
        <f>IF(E19=0,0,1000000*E19/TrRoad_act!E59)</f>
        <v>406.68268082488333</v>
      </c>
      <c r="F110" s="152">
        <f>IF(F19=0,0,1000000*F19/TrRoad_act!F59)</f>
        <v>392.91202215476193</v>
      </c>
      <c r="G110" s="152">
        <f>IF(G19=0,0,1000000*G19/TrRoad_act!G59)</f>
        <v>485.97940262578089</v>
      </c>
      <c r="H110" s="152">
        <f>IF(H19=0,0,1000000*H19/TrRoad_act!H59)</f>
        <v>467.44739902153214</v>
      </c>
      <c r="I110" s="152">
        <f>IF(I19=0,0,1000000*I19/TrRoad_act!I59)</f>
        <v>443.09737141099987</v>
      </c>
      <c r="J110" s="152">
        <f>IF(J19=0,0,1000000*J19/TrRoad_act!J59)</f>
        <v>441.09045821432665</v>
      </c>
      <c r="K110" s="152">
        <f>IF(K19=0,0,1000000*K19/TrRoad_act!K59)</f>
        <v>400.56710401497787</v>
      </c>
      <c r="L110" s="152">
        <f>IF(L19=0,0,1000000*L19/TrRoad_act!L59)</f>
        <v>358.58217734079432</v>
      </c>
      <c r="M110" s="152">
        <f>IF(M19=0,0,1000000*M19/TrRoad_act!M59)</f>
        <v>341.23600653975393</v>
      </c>
      <c r="N110" s="152">
        <f>IF(N19=0,0,1000000*N19/TrRoad_act!N59)</f>
        <v>318.61235071693375</v>
      </c>
      <c r="O110" s="152">
        <f>IF(O19=0,0,1000000*O19/TrRoad_act!O59)</f>
        <v>299.13051009020029</v>
      </c>
      <c r="P110" s="152">
        <f>IF(P19=0,0,1000000*P19/TrRoad_act!P59)</f>
        <v>344.64919912248774</v>
      </c>
      <c r="Q110" s="152">
        <f>IF(Q19=0,0,1000000*Q19/TrRoad_act!Q59)</f>
        <v>320.72194874843927</v>
      </c>
      <c r="R110" s="152">
        <f>IF(R19=0,0,1000000*R19/TrRoad_act!R59)</f>
        <v>320.73193081519611</v>
      </c>
      <c r="S110" s="152">
        <f>IF(S19=0,0,1000000*S19/TrRoad_act!S59)</f>
        <v>285.99114577839765</v>
      </c>
      <c r="T110" s="152">
        <f>IF(T19=0,0,1000000*T19/TrRoad_act!T59)</f>
        <v>267.96323688165791</v>
      </c>
      <c r="U110" s="152">
        <f>IF(U19=0,0,1000000*U19/TrRoad_act!U59)</f>
        <v>268.76624593576639</v>
      </c>
      <c r="V110" s="152">
        <f>IF(V19=0,0,1000000*V19/TrRoad_act!V59)</f>
        <v>229.23887987262685</v>
      </c>
      <c r="W110" s="152">
        <f>IF(W19=0,0,1000000*W19/TrRoad_act!W59)</f>
        <v>212.48189669175588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4368.0721647410874</v>
      </c>
      <c r="C111" s="116">
        <f>IF(C20=0,0,1000000*C20/TrRoad_act!C60)</f>
        <v>4283.8547809105412</v>
      </c>
      <c r="D111" s="116">
        <f>IF(D20=0,0,1000000*D20/TrRoad_act!D60)</f>
        <v>4118.7737869616994</v>
      </c>
      <c r="E111" s="116">
        <f>IF(E20=0,0,1000000*E20/TrRoad_act!E60)</f>
        <v>3968.9853819863547</v>
      </c>
      <c r="F111" s="116">
        <f>IF(F20=0,0,1000000*F20/TrRoad_act!F60)</f>
        <v>4001.3649104114834</v>
      </c>
      <c r="G111" s="116">
        <f>IF(G20=0,0,1000000*G20/TrRoad_act!G60)</f>
        <v>4089.1694307137641</v>
      </c>
      <c r="H111" s="116">
        <f>IF(H20=0,0,1000000*H20/TrRoad_act!H60)</f>
        <v>4036.3115745251416</v>
      </c>
      <c r="I111" s="116">
        <f>IF(I20=0,0,1000000*I20/TrRoad_act!I60)</f>
        <v>4025.2535823232156</v>
      </c>
      <c r="J111" s="116">
        <f>IF(J20=0,0,1000000*J20/TrRoad_act!J60)</f>
        <v>3720.2838594709488</v>
      </c>
      <c r="K111" s="116">
        <f>IF(K20=0,0,1000000*K20/TrRoad_act!K60)</f>
        <v>3693.025089753487</v>
      </c>
      <c r="L111" s="116">
        <f>IF(L20=0,0,1000000*L20/TrRoad_act!L60)</f>
        <v>3586.581063153676</v>
      </c>
      <c r="M111" s="116">
        <f>IF(M20=0,0,1000000*M20/TrRoad_act!M60)</f>
        <v>3411.8424801223155</v>
      </c>
      <c r="N111" s="116">
        <f>IF(N20=0,0,1000000*N20/TrRoad_act!N60)</f>
        <v>3375.1568220935765</v>
      </c>
      <c r="O111" s="116">
        <f>IF(O20=0,0,1000000*O20/TrRoad_act!O60)</f>
        <v>3399.652722329206</v>
      </c>
      <c r="P111" s="116">
        <f>IF(P20=0,0,1000000*P20/TrRoad_act!P60)</f>
        <v>3491.8118602460986</v>
      </c>
      <c r="Q111" s="116">
        <f>IF(Q20=0,0,1000000*Q20/TrRoad_act!Q60)</f>
        <v>3521.3312095559263</v>
      </c>
      <c r="R111" s="116">
        <f>IF(R20=0,0,1000000*R20/TrRoad_act!R60)</f>
        <v>3635.6158329254972</v>
      </c>
      <c r="S111" s="116">
        <f>IF(S20=0,0,1000000*S20/TrRoad_act!S60)</f>
        <v>3493.1475668871581</v>
      </c>
      <c r="T111" s="116">
        <f>IF(T20=0,0,1000000*T20/TrRoad_act!T60)</f>
        <v>3421.1894350774569</v>
      </c>
      <c r="U111" s="116">
        <f>IF(U20=0,0,1000000*U20/TrRoad_act!U60)</f>
        <v>3274.6918248137636</v>
      </c>
      <c r="V111" s="116">
        <f>IF(V20=0,0,1000000*V20/TrRoad_act!V60)</f>
        <v>2631.6063806823913</v>
      </c>
      <c r="W111" s="116">
        <f>IF(W20=0,0,1000000*W20/TrRoad_act!W60)</f>
        <v>2752.6701787531501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3997.6517820631066</v>
      </c>
      <c r="C112" s="87">
        <f>IF(C21=0,0,1000000*C21/TrRoad_act!C61)</f>
        <v>3901.0394619576441</v>
      </c>
      <c r="D112" s="87">
        <f>IF(D21=0,0,1000000*D21/TrRoad_act!D61)</f>
        <v>3823.2947510101749</v>
      </c>
      <c r="E112" s="87">
        <f>IF(E21=0,0,1000000*E21/TrRoad_act!E61)</f>
        <v>3675.1259079038095</v>
      </c>
      <c r="F112" s="87">
        <f>IF(F21=0,0,1000000*F21/TrRoad_act!F61)</f>
        <v>3678.0858616672599</v>
      </c>
      <c r="G112" s="87">
        <f>IF(G21=0,0,1000000*G21/TrRoad_act!G61)</f>
        <v>3787.6092722238686</v>
      </c>
      <c r="H112" s="87">
        <f>IF(H21=0,0,1000000*H21/TrRoad_act!H61)</f>
        <v>3735.6548957944101</v>
      </c>
      <c r="I112" s="87">
        <f>IF(I21=0,0,1000000*I21/TrRoad_act!I61)</f>
        <v>3626.2994432284463</v>
      </c>
      <c r="J112" s="87">
        <f>IF(J21=0,0,1000000*J21/TrRoad_act!J61)</f>
        <v>3330.4552225430334</v>
      </c>
      <c r="K112" s="87">
        <f>IF(K21=0,0,1000000*K21/TrRoad_act!K61)</f>
        <v>3160.7751003064659</v>
      </c>
      <c r="L112" s="87">
        <f>IF(L21=0,0,1000000*L21/TrRoad_act!L61)</f>
        <v>3120.9431199779997</v>
      </c>
      <c r="M112" s="87">
        <f>IF(M21=0,0,1000000*M21/TrRoad_act!M61)</f>
        <v>2903.2042081338532</v>
      </c>
      <c r="N112" s="87">
        <f>IF(N21=0,0,1000000*N21/TrRoad_act!N61)</f>
        <v>2892.455108150456</v>
      </c>
      <c r="O112" s="87">
        <f>IF(O21=0,0,1000000*O21/TrRoad_act!O61)</f>
        <v>2771.6029498000994</v>
      </c>
      <c r="P112" s="87">
        <f>IF(P21=0,0,1000000*P21/TrRoad_act!P61)</f>
        <v>2869.5411093311845</v>
      </c>
      <c r="Q112" s="87">
        <f>IF(Q21=0,0,1000000*Q21/TrRoad_act!Q61)</f>
        <v>2589.765323735965</v>
      </c>
      <c r="R112" s="87">
        <f>IF(R21=0,0,1000000*R21/TrRoad_act!R61)</f>
        <v>2704.8826039274895</v>
      </c>
      <c r="S112" s="87">
        <f>IF(S21=0,0,1000000*S21/TrRoad_act!S61)</f>
        <v>2600.0218180126867</v>
      </c>
      <c r="T112" s="87">
        <f>IF(T21=0,0,1000000*T21/TrRoad_act!T61)</f>
        <v>2491.9667344451213</v>
      </c>
      <c r="U112" s="87">
        <f>IF(U21=0,0,1000000*U21/TrRoad_act!U61)</f>
        <v>2418.9770434264724</v>
      </c>
      <c r="V112" s="87">
        <f>IF(V21=0,0,1000000*V21/TrRoad_act!V61)</f>
        <v>1832.1192255554161</v>
      </c>
      <c r="W112" s="87">
        <f>IF(W21=0,0,1000000*W21/TrRoad_act!W61)</f>
        <v>1970.9059155916989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6828.9371680339582</v>
      </c>
      <c r="C113" s="87">
        <f>IF(C22=0,0,1000000*C22/TrRoad_act!C62)</f>
        <v>6866.5397356673839</v>
      </c>
      <c r="D113" s="87">
        <f>IF(D22=0,0,1000000*D22/TrRoad_act!D62)</f>
        <v>6053.4595639356594</v>
      </c>
      <c r="E113" s="87">
        <f>IF(E22=0,0,1000000*E22/TrRoad_act!E62)</f>
        <v>5847.2798290549954</v>
      </c>
      <c r="F113" s="87">
        <f>IF(F22=0,0,1000000*F22/TrRoad_act!F62)</f>
        <v>5985.1456299328693</v>
      </c>
      <c r="G113" s="87">
        <f>IF(G22=0,0,1000000*G22/TrRoad_act!G62)</f>
        <v>5626.1229147314107</v>
      </c>
      <c r="H113" s="87">
        <f>IF(H22=0,0,1000000*H22/TrRoad_act!H62)</f>
        <v>5410.5929315699823</v>
      </c>
      <c r="I113" s="87">
        <f>IF(I22=0,0,1000000*I22/TrRoad_act!I62)</f>
        <v>5849.7473851284203</v>
      </c>
      <c r="J113" s="87">
        <f>IF(J22=0,0,1000000*J22/TrRoad_act!J62)</f>
        <v>5164.05512131045</v>
      </c>
      <c r="K113" s="87">
        <f>IF(K22=0,0,1000000*K22/TrRoad_act!K62)</f>
        <v>5414.1677638330939</v>
      </c>
      <c r="L113" s="87">
        <f>IF(L22=0,0,1000000*L22/TrRoad_act!L62)</f>
        <v>4841.4148940713676</v>
      </c>
      <c r="M113" s="87">
        <f>IF(M22=0,0,1000000*M22/TrRoad_act!M62)</f>
        <v>4540.5100617156304</v>
      </c>
      <c r="N113" s="87">
        <f>IF(N22=0,0,1000000*N22/TrRoad_act!N62)</f>
        <v>4301.3770273113632</v>
      </c>
      <c r="O113" s="87">
        <f>IF(O22=0,0,1000000*O22/TrRoad_act!O62)</f>
        <v>4442.0977457189265</v>
      </c>
      <c r="P113" s="87">
        <f>IF(P22=0,0,1000000*P22/TrRoad_act!P62)</f>
        <v>4383.5695223306848</v>
      </c>
      <c r="Q113" s="87">
        <f>IF(Q22=0,0,1000000*Q22/TrRoad_act!Q62)</f>
        <v>4674.4761164312404</v>
      </c>
      <c r="R113" s="87">
        <f>IF(R22=0,0,1000000*R22/TrRoad_act!R62)</f>
        <v>4610.1727789509177</v>
      </c>
      <c r="S113" s="87">
        <f>IF(S22=0,0,1000000*S22/TrRoad_act!S62)</f>
        <v>4290.6833754803811</v>
      </c>
      <c r="T113" s="87">
        <f>IF(T22=0,0,1000000*T22/TrRoad_act!T62)</f>
        <v>4160.148813208888</v>
      </c>
      <c r="U113" s="87">
        <f>IF(U22=0,0,1000000*U22/TrRoad_act!U62)</f>
        <v>3905.0539976821278</v>
      </c>
      <c r="V113" s="87">
        <f>IF(V22=0,0,1000000*V22/TrRoad_act!V62)</f>
        <v>3192.7123307520255</v>
      </c>
      <c r="W113" s="87">
        <f>IF(W22=0,0,1000000*W22/TrRoad_act!W62)</f>
        <v>3324.9340598319604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3600.3440250000008</v>
      </c>
      <c r="C114" s="87">
        <f>IF(C23=0,0,1000000*C23/TrRoad_act!C63)</f>
        <v>3433.9517437531299</v>
      </c>
      <c r="D114" s="87">
        <f>IF(D23=0,0,1000000*D23/TrRoad_act!D63)</f>
        <v>3496.0300869589855</v>
      </c>
      <c r="E114" s="87">
        <f>IF(E23=0,0,1000000*E23/TrRoad_act!E63)</f>
        <v>3645.7251698752257</v>
      </c>
      <c r="F114" s="87">
        <f>IF(F23=0,0,1000000*F23/TrRoad_act!F63)</f>
        <v>3593.4312240278537</v>
      </c>
      <c r="G114" s="87">
        <f>IF(G23=0,0,1000000*G23/TrRoad_act!G63)</f>
        <v>3603.2723544968585</v>
      </c>
      <c r="H114" s="87">
        <f>IF(H23=0,0,1000000*H23/TrRoad_act!H63)</f>
        <v>3265.8823317361498</v>
      </c>
      <c r="I114" s="87">
        <f>IF(I23=0,0,1000000*I23/TrRoad_act!I63)</f>
        <v>3386.5869915447615</v>
      </c>
      <c r="J114" s="87">
        <f>IF(J23=0,0,1000000*J23/TrRoad_act!J63)</f>
        <v>3372.2788085106386</v>
      </c>
      <c r="K114" s="87">
        <f>IF(K23=0,0,1000000*K23/TrRoad_act!K63)</f>
        <v>3243.4456066945613</v>
      </c>
      <c r="L114" s="87">
        <f>IF(L23=0,0,1000000*L23/TrRoad_act!L63)</f>
        <v>3300.4363106796118</v>
      </c>
      <c r="M114" s="87">
        <f>IF(M23=0,0,1000000*M23/TrRoad_act!M63)</f>
        <v>3198.2526872246699</v>
      </c>
      <c r="N114" s="87">
        <f>IF(N23=0,0,1000000*N23/TrRoad_act!N63)</f>
        <v>3002.6421818181825</v>
      </c>
      <c r="O114" s="87">
        <f>IF(O23=0,0,1000000*O23/TrRoad_act!O63)</f>
        <v>2995.755298986413</v>
      </c>
      <c r="P114" s="87">
        <f>IF(P23=0,0,1000000*P23/TrRoad_act!P63)</f>
        <v>2728.1305331188996</v>
      </c>
      <c r="Q114" s="87">
        <f>IF(Q23=0,0,1000000*Q23/TrRoad_act!Q63)</f>
        <v>3109.6575248299064</v>
      </c>
      <c r="R114" s="87">
        <f>IF(R23=0,0,1000000*R23/TrRoad_act!R63)</f>
        <v>3268.9707236822255</v>
      </c>
      <c r="S114" s="87">
        <f>IF(S23=0,0,1000000*S23/TrRoad_act!S63)</f>
        <v>3270.4150468843459</v>
      </c>
      <c r="T114" s="87">
        <f>IF(T23=0,0,1000000*T23/TrRoad_act!T63)</f>
        <v>3004.7540062325211</v>
      </c>
      <c r="U114" s="87">
        <f>IF(U23=0,0,1000000*U23/TrRoad_act!U63)</f>
        <v>2856.5097813078019</v>
      </c>
      <c r="V114" s="87">
        <f>IF(V23=0,0,1000000*V23/TrRoad_act!V63)</f>
        <v>2002.8145319882362</v>
      </c>
      <c r="W114" s="87">
        <f>IF(W23=0,0,1000000*W23/TrRoad_act!W63)</f>
        <v>2097.7022855867172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1235.9167846855782</v>
      </c>
      <c r="P116" s="87">
        <f>IF(P25=0,0,1000000*P25/TrRoad_act!P65)</f>
        <v>716.18359850510546</v>
      </c>
      <c r="Q116" s="87">
        <f>IF(Q25=0,0,1000000*Q25/TrRoad_act!Q65)</f>
        <v>719.16374695146703</v>
      </c>
      <c r="R116" s="87">
        <f>IF(R25=0,0,1000000*R25/TrRoad_act!R65)</f>
        <v>842.34077356300031</v>
      </c>
      <c r="S116" s="87">
        <f>IF(S25=0,0,1000000*S25/TrRoad_act!S65)</f>
        <v>792.52635825590562</v>
      </c>
      <c r="T116" s="87">
        <f>IF(T25=0,0,1000000*T25/TrRoad_act!T65)</f>
        <v>779.60167553144072</v>
      </c>
      <c r="U116" s="87">
        <f>IF(U25=0,0,1000000*U25/TrRoad_act!U65)</f>
        <v>782.29840137439282</v>
      </c>
      <c r="V116" s="87">
        <f>IF(V25=0,0,1000000*V25/TrRoad_act!V65)</f>
        <v>549.50535160802713</v>
      </c>
      <c r="W116" s="87">
        <f>IF(W25=0,0,1000000*W25/TrRoad_act!W65)</f>
        <v>550.69085245658937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48598.886087324434</v>
      </c>
      <c r="C118" s="116">
        <f>IF(C27=0,0,1000000*C27/TrRoad_act!C67)</f>
        <v>46726.406886300007</v>
      </c>
      <c r="D118" s="116">
        <f>IF(D27=0,0,1000000*D27/TrRoad_act!D67)</f>
        <v>46720.429547904714</v>
      </c>
      <c r="E118" s="116">
        <f>IF(E27=0,0,1000000*E27/TrRoad_act!E67)</f>
        <v>46980.87050630225</v>
      </c>
      <c r="F118" s="116">
        <f>IF(F27=0,0,1000000*F27/TrRoad_act!F67)</f>
        <v>47427.694486428838</v>
      </c>
      <c r="G118" s="116">
        <f>IF(G27=0,0,1000000*G27/TrRoad_act!G67)</f>
        <v>47978.172283727145</v>
      </c>
      <c r="H118" s="116">
        <f>IF(H27=0,0,1000000*H27/TrRoad_act!H67)</f>
        <v>48647.501094604733</v>
      </c>
      <c r="I118" s="116">
        <f>IF(I27=0,0,1000000*I27/TrRoad_act!I67)</f>
        <v>49217.356770253624</v>
      </c>
      <c r="J118" s="116">
        <f>IF(J27=0,0,1000000*J27/TrRoad_act!J67)</f>
        <v>49791.754198545517</v>
      </c>
      <c r="K118" s="116">
        <f>IF(K27=0,0,1000000*K27/TrRoad_act!K67)</f>
        <v>50166.702789182986</v>
      </c>
      <c r="L118" s="116">
        <f>IF(L27=0,0,1000000*L27/TrRoad_act!L67)</f>
        <v>50702.286404437698</v>
      </c>
      <c r="M118" s="116">
        <f>IF(M27=0,0,1000000*M27/TrRoad_act!M67)</f>
        <v>49468.484634139546</v>
      </c>
      <c r="N118" s="116">
        <f>IF(N27=0,0,1000000*N27/TrRoad_act!N67)</f>
        <v>48765.533839412339</v>
      </c>
      <c r="O118" s="116">
        <f>IF(O27=0,0,1000000*O27/TrRoad_act!O67)</f>
        <v>47535.736607569357</v>
      </c>
      <c r="P118" s="116">
        <f>IF(P27=0,0,1000000*P27/TrRoad_act!P67)</f>
        <v>47183.876281018922</v>
      </c>
      <c r="Q118" s="116">
        <f>IF(Q27=0,0,1000000*Q27/TrRoad_act!Q67)</f>
        <v>46619.706920991128</v>
      </c>
      <c r="R118" s="116">
        <f>IF(R27=0,0,1000000*R27/TrRoad_act!R67)</f>
        <v>47199.782794000625</v>
      </c>
      <c r="S118" s="116">
        <f>IF(S27=0,0,1000000*S27/TrRoad_act!S67)</f>
        <v>49120.264569462794</v>
      </c>
      <c r="T118" s="116">
        <f>IF(T27=0,0,1000000*T27/TrRoad_act!T67)</f>
        <v>50700.080982038657</v>
      </c>
      <c r="U118" s="116">
        <f>IF(U27=0,0,1000000*U27/TrRoad_act!U67)</f>
        <v>49227.309386538851</v>
      </c>
      <c r="V118" s="116">
        <f>IF(V27=0,0,1000000*V27/TrRoad_act!V67)</f>
        <v>44310.689860360217</v>
      </c>
      <c r="W118" s="116">
        <f>IF(W27=0,0,1000000*W27/TrRoad_act!W67)</f>
        <v>41981.295738313711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13713.207777039881</v>
      </c>
      <c r="C119" s="101">
        <f>IF(C28=0,0,1000000*C28/TrRoad_act!C68)</f>
        <v>13726.99727655049</v>
      </c>
      <c r="D119" s="101">
        <f>IF(D28=0,0,1000000*D28/TrRoad_act!D68)</f>
        <v>13746.756732161248</v>
      </c>
      <c r="E119" s="101">
        <f>IF(E28=0,0,1000000*E28/TrRoad_act!E68)</f>
        <v>13790.10005272486</v>
      </c>
      <c r="F119" s="101">
        <f>IF(F28=0,0,1000000*F28/TrRoad_act!F68)</f>
        <v>13820.03286931637</v>
      </c>
      <c r="G119" s="101">
        <f>IF(G28=0,0,1000000*G28/TrRoad_act!G68)</f>
        <v>13850.796094964031</v>
      </c>
      <c r="H119" s="101">
        <f>IF(H28=0,0,1000000*H28/TrRoad_act!H68)</f>
        <v>13896.664351337991</v>
      </c>
      <c r="I119" s="101">
        <f>IF(I28=0,0,1000000*I28/TrRoad_act!I68)</f>
        <v>14425.816669161928</v>
      </c>
      <c r="J119" s="101">
        <f>IF(J28=0,0,1000000*J28/TrRoad_act!J68)</f>
        <v>14927.198319424195</v>
      </c>
      <c r="K119" s="101">
        <f>IF(K28=0,0,1000000*K28/TrRoad_act!K68)</f>
        <v>14841.715583146784</v>
      </c>
      <c r="L119" s="101">
        <f>IF(L28=0,0,1000000*L28/TrRoad_act!L68)</f>
        <v>14702.519185865787</v>
      </c>
      <c r="M119" s="101">
        <f>IF(M28=0,0,1000000*M28/TrRoad_act!M68)</f>
        <v>14700.932118905079</v>
      </c>
      <c r="N119" s="101">
        <f>IF(N28=0,0,1000000*N28/TrRoad_act!N68)</f>
        <v>14195.771561579453</v>
      </c>
      <c r="O119" s="101">
        <f>IF(O28=0,0,1000000*O28/TrRoad_act!O68)</f>
        <v>14218.325390509315</v>
      </c>
      <c r="P119" s="101">
        <f>IF(P28=0,0,1000000*P28/TrRoad_act!P68)</f>
        <v>14289.087950773484</v>
      </c>
      <c r="Q119" s="101">
        <f>IF(Q28=0,0,1000000*Q28/TrRoad_act!Q68)</f>
        <v>14078.97900272816</v>
      </c>
      <c r="R119" s="101">
        <f>IF(R28=0,0,1000000*R28/TrRoad_act!R68)</f>
        <v>14222.574590282853</v>
      </c>
      <c r="S119" s="101">
        <f>IF(S28=0,0,1000000*S28/TrRoad_act!S68)</f>
        <v>14816.258676605194</v>
      </c>
      <c r="T119" s="101">
        <f>IF(T28=0,0,1000000*T28/TrRoad_act!T68)</f>
        <v>15549.042242898098</v>
      </c>
      <c r="U119" s="101">
        <f>IF(U28=0,0,1000000*U28/TrRoad_act!U68)</f>
        <v>15202.631647255454</v>
      </c>
      <c r="V119" s="101">
        <f>IF(V28=0,0,1000000*V28/TrRoad_act!V68)</f>
        <v>13919.136064419048</v>
      </c>
      <c r="W119" s="101">
        <f>IF(W28=0,0,1000000*W28/TrRoad_act!W68)</f>
        <v>13415.965359516094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49319.914339529576</v>
      </c>
      <c r="C120" s="101">
        <f>IF(C29=0,0,1000000*C29/TrRoad_act!C69)</f>
        <v>47337.598109389255</v>
      </c>
      <c r="D120" s="101">
        <f>IF(D29=0,0,1000000*D29/TrRoad_act!D69)</f>
        <v>47272.405492949816</v>
      </c>
      <c r="E120" s="101">
        <f>IF(E29=0,0,1000000*E29/TrRoad_act!E69)</f>
        <v>47461.486571576235</v>
      </c>
      <c r="F120" s="101">
        <f>IF(F29=0,0,1000000*F29/TrRoad_act!F69)</f>
        <v>47846.986837246317</v>
      </c>
      <c r="G120" s="101">
        <f>IF(G29=0,0,1000000*G29/TrRoad_act!G69)</f>
        <v>48341.25650975584</v>
      </c>
      <c r="H120" s="101">
        <f>IF(H29=0,0,1000000*H29/TrRoad_act!H69)</f>
        <v>48951.21782668704</v>
      </c>
      <c r="I120" s="101">
        <f>IF(I29=0,0,1000000*I29/TrRoad_act!I69)</f>
        <v>49465.695552809608</v>
      </c>
      <c r="J120" s="101">
        <f>IF(J29=0,0,1000000*J29/TrRoad_act!J69)</f>
        <v>49991.12966472008</v>
      </c>
      <c r="K120" s="101">
        <f>IF(K29=0,0,1000000*K29/TrRoad_act!K69)</f>
        <v>50339.624252861133</v>
      </c>
      <c r="L120" s="101">
        <f>IF(L29=0,0,1000000*L29/TrRoad_act!L69)</f>
        <v>50849.195433717512</v>
      </c>
      <c r="M120" s="101">
        <f>IF(M29=0,0,1000000*M29/TrRoad_act!M69)</f>
        <v>49582.75352543265</v>
      </c>
      <c r="N120" s="101">
        <f>IF(N29=0,0,1000000*N29/TrRoad_act!N69)</f>
        <v>48854.211391250356</v>
      </c>
      <c r="O120" s="101">
        <f>IF(O29=0,0,1000000*O29/TrRoad_act!O69)</f>
        <v>47619.356546945237</v>
      </c>
      <c r="P120" s="101">
        <f>IF(P29=0,0,1000000*P29/TrRoad_act!P69)</f>
        <v>47264.463720453226</v>
      </c>
      <c r="Q120" s="101">
        <f>IF(Q29=0,0,1000000*Q29/TrRoad_act!Q69)</f>
        <v>46686.942344515533</v>
      </c>
      <c r="R120" s="101">
        <f>IF(R29=0,0,1000000*R29/TrRoad_act!R69)</f>
        <v>47252.964377888733</v>
      </c>
      <c r="S120" s="101">
        <f>IF(S29=0,0,1000000*S29/TrRoad_act!S69)</f>
        <v>49181.870098407555</v>
      </c>
      <c r="T120" s="101">
        <f>IF(T29=0,0,1000000*T29/TrRoad_act!T69)</f>
        <v>50740.736350389016</v>
      </c>
      <c r="U120" s="101">
        <f>IF(U29=0,0,1000000*U29/TrRoad_act!U69)</f>
        <v>49273.064138597976</v>
      </c>
      <c r="V120" s="101">
        <f>IF(V29=0,0,1000000*V29/TrRoad_act!V69)</f>
        <v>44366.334578590388</v>
      </c>
      <c r="W120" s="101">
        <f>IF(W29=0,0,1000000*W29/TrRoad_act!W69)</f>
        <v>42035.139338354224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17859.39575249124</v>
      </c>
      <c r="D121" s="101">
        <f>IF(D30=0,0,1000000*D30/TrRoad_act!D70)</f>
        <v>18301.930084409345</v>
      </c>
      <c r="E121" s="101">
        <f>IF(E30=0,0,1000000*E30/TrRoad_act!E70)</f>
        <v>18792.953907305993</v>
      </c>
      <c r="F121" s="101">
        <f>IF(F30=0,0,1000000*F30/TrRoad_act!F70)</f>
        <v>19277.227706331327</v>
      </c>
      <c r="G121" s="101">
        <f>IF(G30=0,0,1000000*G30/TrRoad_act!G70)</f>
        <v>19776.745317826753</v>
      </c>
      <c r="H121" s="101">
        <f>IF(H30=0,0,1000000*H30/TrRoad_act!H70)</f>
        <v>20323.490116431472</v>
      </c>
      <c r="I121" s="101">
        <f>IF(I30=0,0,1000000*I30/TrRoad_act!I70)</f>
        <v>20880.212651992224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8185.2237727569909</v>
      </c>
      <c r="C125" s="152">
        <f>IF(C34=0,0,1000000*C34/TrRoad_act!C74)</f>
        <v>7779.3582752158827</v>
      </c>
      <c r="D125" s="152">
        <f>IF(D34=0,0,1000000*D34/TrRoad_act!D74)</f>
        <v>7606.9096090871099</v>
      </c>
      <c r="E125" s="152">
        <f>IF(E34=0,0,1000000*E34/TrRoad_act!E74)</f>
        <v>7465.8806106676648</v>
      </c>
      <c r="F125" s="152">
        <f>IF(F34=0,0,1000000*F34/TrRoad_act!F74)</f>
        <v>7473.0227203176964</v>
      </c>
      <c r="G125" s="152">
        <f>IF(G34=0,0,1000000*G34/TrRoad_act!G74)</f>
        <v>7389.3683062430364</v>
      </c>
      <c r="H125" s="152">
        <f>IF(H34=0,0,1000000*H34/TrRoad_act!H74)</f>
        <v>7372.1665052419321</v>
      </c>
      <c r="I125" s="152">
        <f>IF(I34=0,0,1000000*I34/TrRoad_act!I74)</f>
        <v>7332.207953229341</v>
      </c>
      <c r="J125" s="152">
        <f>IF(J34=0,0,1000000*J34/TrRoad_act!J74)</f>
        <v>7020.1719702021737</v>
      </c>
      <c r="K125" s="152">
        <f>IF(K34=0,0,1000000*K34/TrRoad_act!K74)</f>
        <v>6788.4364334189595</v>
      </c>
      <c r="L125" s="152">
        <f>IF(L34=0,0,1000000*L34/TrRoad_act!L74)</f>
        <v>6520.0119680644202</v>
      </c>
      <c r="M125" s="152">
        <f>IF(M34=0,0,1000000*M34/TrRoad_act!M74)</f>
        <v>6417.9768319297946</v>
      </c>
      <c r="N125" s="152">
        <f>IF(N34=0,0,1000000*N34/TrRoad_act!N74)</f>
        <v>6269.8242558984302</v>
      </c>
      <c r="O125" s="152">
        <f>IF(O34=0,0,1000000*O34/TrRoad_act!O74)</f>
        <v>6309.9247900669716</v>
      </c>
      <c r="P125" s="152">
        <f>IF(P34=0,0,1000000*P34/TrRoad_act!P74)</f>
        <v>6312.6163105245496</v>
      </c>
      <c r="Q125" s="152">
        <f>IF(Q34=0,0,1000000*Q34/TrRoad_act!Q74)</f>
        <v>6285.5180665033577</v>
      </c>
      <c r="R125" s="152">
        <f>IF(R34=0,0,1000000*R34/TrRoad_act!R74)</f>
        <v>6224.003971689498</v>
      </c>
      <c r="S125" s="152">
        <f>IF(S34=0,0,1000000*S34/TrRoad_act!S74)</f>
        <v>5968.8129802736084</v>
      </c>
      <c r="T125" s="152">
        <f>IF(T34=0,0,1000000*T34/TrRoad_act!T74)</f>
        <v>5997.3221735271663</v>
      </c>
      <c r="U125" s="152">
        <f>IF(U34=0,0,1000000*U34/TrRoad_act!U74)</f>
        <v>5744.2714336369145</v>
      </c>
      <c r="V125" s="152">
        <f>IF(V34=0,0,1000000*V34/TrRoad_act!V74)</f>
        <v>5542.7839325999439</v>
      </c>
      <c r="W125" s="152">
        <f>IF(W34=0,0,1000000*W34/TrRoad_act!W74)</f>
        <v>5708.631592856811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3548.0565602504607</v>
      </c>
      <c r="C126" s="87">
        <f>IF(C35=0,0,1000000*C35/TrRoad_act!C75)</f>
        <v>3479.9515701496935</v>
      </c>
      <c r="D126" s="87">
        <f>IF(D35=0,0,1000000*D35/TrRoad_act!D75)</f>
        <v>3427.2492731971925</v>
      </c>
      <c r="E126" s="87">
        <f>IF(E35=0,0,1000000*E35/TrRoad_act!E75)</f>
        <v>3376.4808099259144</v>
      </c>
      <c r="F126" s="87">
        <f>IF(F35=0,0,1000000*F35/TrRoad_act!F75)</f>
        <v>3314.8716607250471</v>
      </c>
      <c r="G126" s="87">
        <f>IF(G35=0,0,1000000*G35/TrRoad_act!G75)</f>
        <v>3228.6022042506097</v>
      </c>
      <c r="H126" s="87">
        <f>IF(H35=0,0,1000000*H35/TrRoad_act!H75)</f>
        <v>3126.5682849233858</v>
      </c>
      <c r="I126" s="87">
        <f>IF(I35=0,0,1000000*I35/TrRoad_act!I75)</f>
        <v>3023.0911314845366</v>
      </c>
      <c r="J126" s="87">
        <f>IF(J35=0,0,1000000*J35/TrRoad_act!J75)</f>
        <v>2940.0219015911416</v>
      </c>
      <c r="K126" s="87">
        <f>IF(K35=0,0,1000000*K35/TrRoad_act!K75)</f>
        <v>2881.3860159014794</v>
      </c>
      <c r="L126" s="87">
        <f>IF(L35=0,0,1000000*L35/TrRoad_act!L75)</f>
        <v>2818.4816466312959</v>
      </c>
      <c r="M126" s="87">
        <f>IF(M35=0,0,1000000*M35/TrRoad_act!M75)</f>
        <v>2803.8151600098345</v>
      </c>
      <c r="N126" s="87">
        <f>IF(N35=0,0,1000000*N35/TrRoad_act!N75)</f>
        <v>2747.5972192515619</v>
      </c>
      <c r="O126" s="87">
        <f>IF(O35=0,0,1000000*O35/TrRoad_act!O75)</f>
        <v>2776.0027456800913</v>
      </c>
      <c r="P126" s="87">
        <f>IF(P35=0,0,1000000*P35/TrRoad_act!P75)</f>
        <v>2755.7091749078045</v>
      </c>
      <c r="Q126" s="87">
        <f>IF(Q35=0,0,1000000*Q35/TrRoad_act!Q75)</f>
        <v>2668.6099040964382</v>
      </c>
      <c r="R126" s="87">
        <f>IF(R35=0,0,1000000*R35/TrRoad_act!R75)</f>
        <v>2643.3916536263428</v>
      </c>
      <c r="S126" s="87">
        <f>IF(S35=0,0,1000000*S35/TrRoad_act!S75)</f>
        <v>2663.6588954161057</v>
      </c>
      <c r="T126" s="87">
        <f>IF(T35=0,0,1000000*T35/TrRoad_act!T75)</f>
        <v>2659.9947367489694</v>
      </c>
      <c r="U126" s="87">
        <f>IF(U35=0,0,1000000*U35/TrRoad_act!U75)</f>
        <v>2599.5317283482814</v>
      </c>
      <c r="V126" s="87">
        <f>IF(V35=0,0,1000000*V35/TrRoad_act!V75)</f>
        <v>2420.2369774897252</v>
      </c>
      <c r="W126" s="87">
        <f>IF(W35=0,0,1000000*W35/TrRoad_act!W75)</f>
        <v>2466.7174736570591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8300.8652089005664</v>
      </c>
      <c r="C127" s="87">
        <f>IF(C36=0,0,1000000*C36/TrRoad_act!C76)</f>
        <v>7870.3489680172797</v>
      </c>
      <c r="D127" s="87">
        <f>IF(D36=0,0,1000000*D36/TrRoad_act!D76)</f>
        <v>7683.5761651764324</v>
      </c>
      <c r="E127" s="87">
        <f>IF(E36=0,0,1000000*E36/TrRoad_act!E76)</f>
        <v>7528.7498576158832</v>
      </c>
      <c r="F127" s="87">
        <f>IF(F36=0,0,1000000*F36/TrRoad_act!F76)</f>
        <v>7525.2068189312376</v>
      </c>
      <c r="G127" s="87">
        <f>IF(G36=0,0,1000000*G36/TrRoad_act!G76)</f>
        <v>7427.0124662163389</v>
      </c>
      <c r="H127" s="87">
        <f>IF(H36=0,0,1000000*H36/TrRoad_act!H76)</f>
        <v>7399.7583623569217</v>
      </c>
      <c r="I127" s="87">
        <f>IF(I36=0,0,1000000*I36/TrRoad_act!I76)</f>
        <v>7353.0861391477529</v>
      </c>
      <c r="J127" s="87">
        <f>IF(J36=0,0,1000000*J36/TrRoad_act!J76)</f>
        <v>7037.8969119764897</v>
      </c>
      <c r="K127" s="87">
        <f>IF(K36=0,0,1000000*K36/TrRoad_act!K76)</f>
        <v>6804.4908917002995</v>
      </c>
      <c r="L127" s="87">
        <f>IF(L36=0,0,1000000*L36/TrRoad_act!L76)</f>
        <v>6533.5344328996134</v>
      </c>
      <c r="M127" s="87">
        <f>IF(M36=0,0,1000000*M36/TrRoad_act!M76)</f>
        <v>6430.3262233342193</v>
      </c>
      <c r="N127" s="87">
        <f>IF(N36=0,0,1000000*N36/TrRoad_act!N76)</f>
        <v>6281.4720541923307</v>
      </c>
      <c r="O127" s="87">
        <f>IF(O36=0,0,1000000*O36/TrRoad_act!O76)</f>
        <v>6321.1677644129632</v>
      </c>
      <c r="P127" s="87">
        <f>IF(P36=0,0,1000000*P36/TrRoad_act!P76)</f>
        <v>6323.8859818273904</v>
      </c>
      <c r="Q127" s="87">
        <f>IF(Q36=0,0,1000000*Q36/TrRoad_act!Q76)</f>
        <v>6296.2538064881837</v>
      </c>
      <c r="R127" s="87">
        <f>IF(R36=0,0,1000000*R36/TrRoad_act!R76)</f>
        <v>6234.0099287965086</v>
      </c>
      <c r="S127" s="87">
        <f>IF(S36=0,0,1000000*S36/TrRoad_act!S76)</f>
        <v>5980.3970440517369</v>
      </c>
      <c r="T127" s="87">
        <f>IF(T36=0,0,1000000*T36/TrRoad_act!T76)</f>
        <v>6009.5550401091295</v>
      </c>
      <c r="U127" s="87">
        <f>IF(U36=0,0,1000000*U36/TrRoad_act!U76)</f>
        <v>5761.1118898253662</v>
      </c>
      <c r="V127" s="87">
        <f>IF(V36=0,0,1000000*V36/TrRoad_act!V76)</f>
        <v>5576.271358378257</v>
      </c>
      <c r="W127" s="87">
        <f>IF(W36=0,0,1000000*W36/TrRoad_act!W76)</f>
        <v>5761.8966917579537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3239.2360312919845</v>
      </c>
      <c r="P128" s="87">
        <f>IF(P37=0,0,1000000*P37/TrRoad_act!P77)</f>
        <v>3247.1160092003997</v>
      </c>
      <c r="Q128" s="87">
        <f>IF(Q37=0,0,1000000*Q37/TrRoad_act!Q77)</f>
        <v>3207.9523099631424</v>
      </c>
      <c r="R128" s="87">
        <f>IF(R37=0,0,1000000*R37/TrRoad_act!R77)</f>
        <v>3175.0180273362425</v>
      </c>
      <c r="S128" s="87">
        <f>IF(S37=0,0,1000000*S37/TrRoad_act!S77)</f>
        <v>3003.4069716055615</v>
      </c>
      <c r="T128" s="87">
        <f>IF(T37=0,0,1000000*T37/TrRoad_act!T77)</f>
        <v>3034.9695769238683</v>
      </c>
      <c r="U128" s="87">
        <f>IF(U37=0,0,1000000*U37/TrRoad_act!U77)</f>
        <v>3003.275651397968</v>
      </c>
      <c r="V128" s="87">
        <f>IF(V37=0,0,1000000*V37/TrRoad_act!V77)</f>
        <v>2946.2705414437405</v>
      </c>
      <c r="W128" s="87">
        <f>IF(W37=0,0,1000000*W37/TrRoad_act!W77)</f>
        <v>2978.0001894519546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41191.051572033444</v>
      </c>
      <c r="C131" s="116">
        <f>IF(C40=0,0,1000000*C40/TrRoad_act!C80)</f>
        <v>38738.39772275999</v>
      </c>
      <c r="D131" s="116">
        <f>IF(D40=0,0,1000000*D40/TrRoad_act!D80)</f>
        <v>39099.862085396206</v>
      </c>
      <c r="E131" s="116">
        <f>IF(E40=0,0,1000000*E40/TrRoad_act!E80)</f>
        <v>38869.295782988462</v>
      </c>
      <c r="F131" s="116">
        <f>IF(F40=0,0,1000000*F40/TrRoad_act!F80)</f>
        <v>40755.432869320714</v>
      </c>
      <c r="G131" s="116">
        <f>IF(G40=0,0,1000000*G40/TrRoad_act!G80)</f>
        <v>38064.994031680166</v>
      </c>
      <c r="H131" s="116">
        <f>IF(H40=0,0,1000000*H40/TrRoad_act!H80)</f>
        <v>34877.77526301804</v>
      </c>
      <c r="I131" s="116">
        <f>IF(I40=0,0,1000000*I40/TrRoad_act!I80)</f>
        <v>33349.308344027428</v>
      </c>
      <c r="J131" s="116">
        <f>IF(J40=0,0,1000000*J40/TrRoad_act!J80)</f>
        <v>33535.646567332675</v>
      </c>
      <c r="K131" s="116">
        <f>IF(K40=0,0,1000000*K40/TrRoad_act!K80)</f>
        <v>26483.556675800763</v>
      </c>
      <c r="L131" s="116">
        <f>IF(L40=0,0,1000000*L40/TrRoad_act!L80)</f>
        <v>23678.07030131522</v>
      </c>
      <c r="M131" s="116">
        <f>IF(M40=0,0,1000000*M40/TrRoad_act!M80)</f>
        <v>22204.159848447205</v>
      </c>
      <c r="N131" s="116">
        <f>IF(N40=0,0,1000000*N40/TrRoad_act!N80)</f>
        <v>22375.701878109172</v>
      </c>
      <c r="O131" s="116">
        <f>IF(O40=0,0,1000000*O40/TrRoad_act!O80)</f>
        <v>22831.638079104425</v>
      </c>
      <c r="P131" s="116">
        <f>IF(P40=0,0,1000000*P40/TrRoad_act!P80)</f>
        <v>23224.186672598255</v>
      </c>
      <c r="Q131" s="116">
        <f>IF(Q40=0,0,1000000*Q40/TrRoad_act!Q80)</f>
        <v>22208.494626255899</v>
      </c>
      <c r="R131" s="116">
        <f>IF(R40=0,0,1000000*R40/TrRoad_act!R80)</f>
        <v>24211.847532933793</v>
      </c>
      <c r="S131" s="116">
        <f>IF(S40=0,0,1000000*S40/TrRoad_act!S80)</f>
        <v>22275.245196338838</v>
      </c>
      <c r="T131" s="116">
        <f>IF(T40=0,0,1000000*T40/TrRoad_act!T80)</f>
        <v>22996.468586908573</v>
      </c>
      <c r="U131" s="116">
        <f>IF(U40=0,0,1000000*U40/TrRoad_act!U80)</f>
        <v>23885.624222556733</v>
      </c>
      <c r="V131" s="116">
        <f>IF(V40=0,0,1000000*V40/TrRoad_act!V80)</f>
        <v>19893.699219730785</v>
      </c>
      <c r="W131" s="116">
        <f>IF(W40=0,0,1000000*W40/TrRoad_act!W80)</f>
        <v>21835.686371800497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39143.445762619442</v>
      </c>
      <c r="C132" s="101">
        <f>IF(C41=0,0,1000000*C41/TrRoad_act!C81)</f>
        <v>36667.041180392232</v>
      </c>
      <c r="D132" s="101">
        <f>IF(D41=0,0,1000000*D41/TrRoad_act!D81)</f>
        <v>37243.278839777216</v>
      </c>
      <c r="E132" s="101">
        <f>IF(E41=0,0,1000000*E41/TrRoad_act!E81)</f>
        <v>37102.320965445026</v>
      </c>
      <c r="F132" s="101">
        <f>IF(F41=0,0,1000000*F41/TrRoad_act!F81)</f>
        <v>38827.299720069488</v>
      </c>
      <c r="G132" s="101">
        <f>IF(G41=0,0,1000000*G41/TrRoad_act!G81)</f>
        <v>36350.454870078102</v>
      </c>
      <c r="H132" s="101">
        <f>IF(H41=0,0,1000000*H41/TrRoad_act!H81)</f>
        <v>33197.3710342103</v>
      </c>
      <c r="I132" s="101">
        <f>IF(I41=0,0,1000000*I41/TrRoad_act!I81)</f>
        <v>31670.089525854582</v>
      </c>
      <c r="J132" s="101">
        <f>IF(J41=0,0,1000000*J41/TrRoad_act!J81)</f>
        <v>31968.490030327492</v>
      </c>
      <c r="K132" s="101">
        <f>IF(K41=0,0,1000000*K41/TrRoad_act!K81)</f>
        <v>24884.089798119654</v>
      </c>
      <c r="L132" s="101">
        <f>IF(L41=0,0,1000000*L41/TrRoad_act!L81)</f>
        <v>22185.715436074683</v>
      </c>
      <c r="M132" s="101">
        <f>IF(M41=0,0,1000000*M41/TrRoad_act!M81)</f>
        <v>20614.366817328071</v>
      </c>
      <c r="N132" s="101">
        <f>IF(N41=0,0,1000000*N41/TrRoad_act!N81)</f>
        <v>20903.691665236562</v>
      </c>
      <c r="O132" s="101">
        <f>IF(O41=0,0,1000000*O41/TrRoad_act!O81)</f>
        <v>21378.414922740081</v>
      </c>
      <c r="P132" s="101">
        <f>IF(P41=0,0,1000000*P41/TrRoad_act!P81)</f>
        <v>21783.345165723546</v>
      </c>
      <c r="Q132" s="101">
        <f>IF(Q41=0,0,1000000*Q41/TrRoad_act!Q81)</f>
        <v>20655.470445521139</v>
      </c>
      <c r="R132" s="101">
        <f>IF(R41=0,0,1000000*R41/TrRoad_act!R81)</f>
        <v>22866.786356540131</v>
      </c>
      <c r="S132" s="101">
        <f>IF(S41=0,0,1000000*S41/TrRoad_act!S81)</f>
        <v>21075.16910937049</v>
      </c>
      <c r="T132" s="101">
        <f>IF(T41=0,0,1000000*T41/TrRoad_act!T81)</f>
        <v>21663.750373904844</v>
      </c>
      <c r="U132" s="101">
        <f>IF(U41=0,0,1000000*U41/TrRoad_act!U81)</f>
        <v>22423.361601384069</v>
      </c>
      <c r="V132" s="101">
        <f>IF(V41=0,0,1000000*V41/TrRoad_act!V81)</f>
        <v>19340.724475260366</v>
      </c>
      <c r="W132" s="101">
        <f>IF(W41=0,0,1000000*W41/TrRoad_act!W81)</f>
        <v>21271.11288986474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177532.9193451152</v>
      </c>
      <c r="C133" s="88">
        <f>IF(C42=0,0,1000000*C42/TrRoad_act!C82)</f>
        <v>185078.44408681279</v>
      </c>
      <c r="D133" s="88">
        <f>IF(D42=0,0,1000000*D42/TrRoad_act!D82)</f>
        <v>166624.77075025789</v>
      </c>
      <c r="E133" s="88">
        <f>IF(E42=0,0,1000000*E42/TrRoad_act!E82)</f>
        <v>160722.71898174036</v>
      </c>
      <c r="F133" s="88">
        <f>IF(F42=0,0,1000000*F42/TrRoad_act!F82)</f>
        <v>158311.84692295123</v>
      </c>
      <c r="G133" s="88">
        <f>IF(G42=0,0,1000000*G42/TrRoad_act!G82)</f>
        <v>150279.01473320191</v>
      </c>
      <c r="H133" s="88">
        <f>IF(H42=0,0,1000000*H42/TrRoad_act!H82)</f>
        <v>155764.09541023523</v>
      </c>
      <c r="I133" s="88">
        <f>IF(I42=0,0,1000000*I42/TrRoad_act!I82)</f>
        <v>159917.65760348528</v>
      </c>
      <c r="J133" s="88">
        <f>IF(J42=0,0,1000000*J42/TrRoad_act!J82)</f>
        <v>144095.78571463292</v>
      </c>
      <c r="K133" s="88">
        <f>IF(K42=0,0,1000000*K42/TrRoad_act!K82)</f>
        <v>144466.78126103786</v>
      </c>
      <c r="L133" s="88">
        <f>IF(L42=0,0,1000000*L42/TrRoad_act!L82)</f>
        <v>126045.34408023286</v>
      </c>
      <c r="M133" s="88">
        <f>IF(M42=0,0,1000000*M42/TrRoad_act!M82)</f>
        <v>118689.54336987855</v>
      </c>
      <c r="N133" s="88">
        <f>IF(N42=0,0,1000000*N42/TrRoad_act!N82)</f>
        <v>120147.17474150346</v>
      </c>
      <c r="O133" s="88">
        <f>IF(O42=0,0,1000000*O42/TrRoad_act!O82)</f>
        <v>121417.72405149532</v>
      </c>
      <c r="P133" s="88">
        <f>IF(P42=0,0,1000000*P42/TrRoad_act!P82)</f>
        <v>129284.95377055941</v>
      </c>
      <c r="Q133" s="88">
        <f>IF(Q42=0,0,1000000*Q42/TrRoad_act!Q82)</f>
        <v>129867.52570004566</v>
      </c>
      <c r="R133" s="88">
        <f>IF(R42=0,0,1000000*R42/TrRoad_act!R82)</f>
        <v>130228.23048135552</v>
      </c>
      <c r="S133" s="88">
        <f>IF(S42=0,0,1000000*S42/TrRoad_act!S82)</f>
        <v>124092.10948940615</v>
      </c>
      <c r="T133" s="88">
        <f>IF(T42=0,0,1000000*T42/TrRoad_act!T82)</f>
        <v>127159.56841269479</v>
      </c>
      <c r="U133" s="88">
        <f>IF(U42=0,0,1000000*U42/TrRoad_act!U82)</f>
        <v>125190.74695315649</v>
      </c>
      <c r="V133" s="88">
        <f>IF(V42=0,0,1000000*V42/TrRoad_act!V82)</f>
        <v>122924.26577262199</v>
      </c>
      <c r="W133" s="88">
        <f>IF(W42=0,0,1000000*W42/TrRoad_act!W82)</f>
        <v>127956.71868767451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0.6078572485475674</v>
      </c>
      <c r="C136" s="46">
        <f t="shared" si="40"/>
        <v>0.60368322494220483</v>
      </c>
      <c r="D136" s="46">
        <f t="shared" si="40"/>
        <v>0.59595853147022038</v>
      </c>
      <c r="E136" s="46">
        <f t="shared" si="40"/>
        <v>0.59009030226779224</v>
      </c>
      <c r="F136" s="46">
        <f t="shared" si="40"/>
        <v>0.57923104908458223</v>
      </c>
      <c r="G136" s="46">
        <f t="shared" si="40"/>
        <v>0.58561008153049621</v>
      </c>
      <c r="H136" s="46">
        <f t="shared" si="40"/>
        <v>0.60058084054227356</v>
      </c>
      <c r="I136" s="46">
        <f t="shared" si="40"/>
        <v>0.58442753742089315</v>
      </c>
      <c r="J136" s="46">
        <f t="shared" si="40"/>
        <v>0.612921191465436</v>
      </c>
      <c r="K136" s="46">
        <f t="shared" si="40"/>
        <v>0.66043612632206039</v>
      </c>
      <c r="L136" s="46">
        <f t="shared" si="41"/>
        <v>0.67631628360993368</v>
      </c>
      <c r="M136" s="46">
        <f t="shared" si="40"/>
        <v>0.68338136957530438</v>
      </c>
      <c r="N136" s="46">
        <f t="shared" si="40"/>
        <v>0.68646514407313353</v>
      </c>
      <c r="O136" s="46">
        <f t="shared" si="40"/>
        <v>0.69014568659010334</v>
      </c>
      <c r="P136" s="46">
        <f t="shared" si="40"/>
        <v>0.69350290771330703</v>
      </c>
      <c r="Q136" s="46">
        <f t="shared" si="40"/>
        <v>0.70106554097954676</v>
      </c>
      <c r="R136" s="46">
        <f t="shared" si="40"/>
        <v>0.70115746169249449</v>
      </c>
      <c r="S136" s="46">
        <f t="shared" si="40"/>
        <v>0.70631153690272785</v>
      </c>
      <c r="T136" s="46">
        <f t="shared" si="40"/>
        <v>0.70039541420124485</v>
      </c>
      <c r="U136" s="46">
        <f t="shared" si="40"/>
        <v>0.69460880383344192</v>
      </c>
      <c r="V136" s="46">
        <f t="shared" si="40"/>
        <v>0.68196715433019017</v>
      </c>
      <c r="W136" s="46">
        <f t="shared" si="42"/>
        <v>0.67201873618608798</v>
      </c>
      <c r="DA136" s="211"/>
    </row>
    <row r="137" spans="1:105" ht="11.45" customHeight="1" x14ac:dyDescent="0.25">
      <c r="A137" s="153" t="s">
        <v>180</v>
      </c>
      <c r="B137" s="154">
        <f t="shared" si="40"/>
        <v>1.2519375987058178E-3</v>
      </c>
      <c r="C137" s="154">
        <f t="shared" si="40"/>
        <v>1.2785019719410403E-3</v>
      </c>
      <c r="D137" s="154">
        <f t="shared" si="40"/>
        <v>1.2316657033725861E-3</v>
      </c>
      <c r="E137" s="154">
        <f t="shared" si="40"/>
        <v>1.2938786651138644E-3</v>
      </c>
      <c r="F137" s="154">
        <f t="shared" si="40"/>
        <v>1.1709129947943128E-3</v>
      </c>
      <c r="G137" s="154">
        <f t="shared" si="40"/>
        <v>1.3456517604591221E-3</v>
      </c>
      <c r="H137" s="154">
        <f t="shared" si="40"/>
        <v>1.2142602430353917E-3</v>
      </c>
      <c r="I137" s="154">
        <f t="shared" si="40"/>
        <v>1.1893582016325266E-3</v>
      </c>
      <c r="J137" s="154">
        <f t="shared" si="40"/>
        <v>1.3336385277083948E-3</v>
      </c>
      <c r="K137" s="154">
        <f t="shared" si="40"/>
        <v>1.3388864241946205E-3</v>
      </c>
      <c r="L137" s="154">
        <f t="shared" si="41"/>
        <v>1.2391420688684176E-3</v>
      </c>
      <c r="M137" s="154">
        <f t="shared" si="40"/>
        <v>1.1852039019003633E-3</v>
      </c>
      <c r="N137" s="154">
        <f t="shared" si="40"/>
        <v>1.0843695912187941E-3</v>
      </c>
      <c r="O137" s="154">
        <f t="shared" si="40"/>
        <v>1.0455416173264045E-3</v>
      </c>
      <c r="P137" s="154">
        <f t="shared" si="40"/>
        <v>1.1576301075015057E-3</v>
      </c>
      <c r="Q137" s="154">
        <f t="shared" si="40"/>
        <v>1.0694560517108319E-3</v>
      </c>
      <c r="R137" s="154">
        <f t="shared" si="40"/>
        <v>1.0431338183751104E-3</v>
      </c>
      <c r="S137" s="154">
        <f t="shared" si="40"/>
        <v>9.9653310846959894E-4</v>
      </c>
      <c r="T137" s="154">
        <f t="shared" si="40"/>
        <v>9.2993915324444184E-4</v>
      </c>
      <c r="U137" s="154">
        <f t="shared" si="40"/>
        <v>9.8794698017214957E-4</v>
      </c>
      <c r="V137" s="154">
        <f t="shared" si="40"/>
        <v>1.0663065974084766E-3</v>
      </c>
      <c r="W137" s="154">
        <f t="shared" si="42"/>
        <v>9.6520866967638992E-4</v>
      </c>
      <c r="DA137" s="212"/>
    </row>
    <row r="138" spans="1:105" ht="11.45" customHeight="1" x14ac:dyDescent="0.25">
      <c r="A138" s="155" t="s">
        <v>20</v>
      </c>
      <c r="B138" s="156">
        <f t="shared" si="40"/>
        <v>0.56722426251297231</v>
      </c>
      <c r="C138" s="156">
        <f t="shared" si="40"/>
        <v>0.56524517492503212</v>
      </c>
      <c r="D138" s="156">
        <f t="shared" si="40"/>
        <v>0.55813977258534719</v>
      </c>
      <c r="E138" s="156">
        <f t="shared" si="40"/>
        <v>0.55124322771522816</v>
      </c>
      <c r="F138" s="156">
        <f t="shared" si="40"/>
        <v>0.5415839130255985</v>
      </c>
      <c r="G138" s="156">
        <f t="shared" si="40"/>
        <v>0.54863918918981114</v>
      </c>
      <c r="H138" s="156">
        <f t="shared" si="40"/>
        <v>0.56436526510988561</v>
      </c>
      <c r="I138" s="156">
        <f t="shared" si="40"/>
        <v>0.54723143913514305</v>
      </c>
      <c r="J138" s="156">
        <f t="shared" si="40"/>
        <v>0.57099156048408795</v>
      </c>
      <c r="K138" s="156">
        <f t="shared" si="40"/>
        <v>0.61521832127652731</v>
      </c>
      <c r="L138" s="156">
        <f t="shared" si="41"/>
        <v>0.629410814212499</v>
      </c>
      <c r="M138" s="156">
        <f t="shared" si="40"/>
        <v>0.63571222336680555</v>
      </c>
      <c r="N138" s="156">
        <f t="shared" si="40"/>
        <v>0.63843036983390389</v>
      </c>
      <c r="O138" s="156">
        <f t="shared" si="40"/>
        <v>0.64302469172066634</v>
      </c>
      <c r="P138" s="156">
        <f t="shared" si="40"/>
        <v>0.64724791701252471</v>
      </c>
      <c r="Q138" s="156">
        <f t="shared" si="40"/>
        <v>0.65425606609318643</v>
      </c>
      <c r="R138" s="156">
        <f t="shared" si="40"/>
        <v>0.65389930949729336</v>
      </c>
      <c r="S138" s="156">
        <f t="shared" si="40"/>
        <v>0.65399691078952926</v>
      </c>
      <c r="T138" s="156">
        <f t="shared" si="40"/>
        <v>0.64474771881602799</v>
      </c>
      <c r="U138" s="156">
        <f t="shared" si="40"/>
        <v>0.63829853206207576</v>
      </c>
      <c r="V138" s="156">
        <f t="shared" si="40"/>
        <v>0.62597333133292521</v>
      </c>
      <c r="W138" s="156">
        <f t="shared" si="42"/>
        <v>0.61929706263754469</v>
      </c>
      <c r="DA138" s="213"/>
    </row>
    <row r="139" spans="1:105" ht="11.45" customHeight="1" x14ac:dyDescent="0.25">
      <c r="A139" s="157" t="s">
        <v>110</v>
      </c>
      <c r="B139" s="103">
        <f t="shared" si="40"/>
        <v>0.45048853256162835</v>
      </c>
      <c r="C139" s="103">
        <f t="shared" si="40"/>
        <v>0.4477771177932241</v>
      </c>
      <c r="D139" s="103">
        <f t="shared" si="40"/>
        <v>0.44903716766422619</v>
      </c>
      <c r="E139" s="103">
        <f t="shared" si="40"/>
        <v>0.44108594722843919</v>
      </c>
      <c r="F139" s="103">
        <f t="shared" si="40"/>
        <v>0.42781584725497185</v>
      </c>
      <c r="G139" s="103">
        <f t="shared" si="40"/>
        <v>0.42457638942543174</v>
      </c>
      <c r="H139" s="103">
        <f t="shared" si="40"/>
        <v>0.42831884341921855</v>
      </c>
      <c r="I139" s="103">
        <f t="shared" si="40"/>
        <v>0.40427324362818917</v>
      </c>
      <c r="J139" s="103">
        <f t="shared" si="40"/>
        <v>0.40231020000598239</v>
      </c>
      <c r="K139" s="103">
        <f t="shared" si="40"/>
        <v>0.40205583626167724</v>
      </c>
      <c r="L139" s="103">
        <f t="shared" si="41"/>
        <v>0.39934493846126168</v>
      </c>
      <c r="M139" s="103">
        <f t="shared" si="40"/>
        <v>0.37233507281891248</v>
      </c>
      <c r="N139" s="103">
        <f t="shared" si="40"/>
        <v>0.35879277300325163</v>
      </c>
      <c r="O139" s="103">
        <f t="shared" si="40"/>
        <v>0.3266995830872369</v>
      </c>
      <c r="P139" s="103">
        <f t="shared" si="40"/>
        <v>0.31225172418768665</v>
      </c>
      <c r="Q139" s="103">
        <f t="shared" si="40"/>
        <v>0.26518785303481818</v>
      </c>
      <c r="R139" s="103">
        <f t="shared" si="40"/>
        <v>0.24752062474401798</v>
      </c>
      <c r="S139" s="103">
        <f t="shared" si="40"/>
        <v>0.22791175946461284</v>
      </c>
      <c r="T139" s="103">
        <f t="shared" si="40"/>
        <v>0.20512654643138759</v>
      </c>
      <c r="U139" s="103">
        <f t="shared" si="40"/>
        <v>0.19448836775298062</v>
      </c>
      <c r="V139" s="103">
        <f t="shared" si="40"/>
        <v>0.17234989961944791</v>
      </c>
      <c r="W139" s="103">
        <f t="shared" si="42"/>
        <v>0.17081942543566503</v>
      </c>
      <c r="DA139" s="191"/>
    </row>
    <row r="140" spans="1:105" ht="11.45" customHeight="1" x14ac:dyDescent="0.25">
      <c r="A140" s="157" t="s">
        <v>111</v>
      </c>
      <c r="B140" s="103">
        <f t="shared" si="40"/>
        <v>0.11616971363821973</v>
      </c>
      <c r="C140" s="103">
        <f t="shared" si="40"/>
        <v>0.11708046744636158</v>
      </c>
      <c r="D140" s="103">
        <f t="shared" si="40"/>
        <v>0.10876936778262912</v>
      </c>
      <c r="E140" s="103">
        <f t="shared" si="40"/>
        <v>0.1098730390562813</v>
      </c>
      <c r="F140" s="103">
        <f t="shared" si="40"/>
        <v>0.11352902850306373</v>
      </c>
      <c r="G140" s="103">
        <f t="shared" si="40"/>
        <v>0.12384725573433493</v>
      </c>
      <c r="H140" s="103">
        <f t="shared" si="40"/>
        <v>0.13587663820208618</v>
      </c>
      <c r="I140" s="103">
        <f t="shared" si="40"/>
        <v>0.14273691748015963</v>
      </c>
      <c r="J140" s="103">
        <f t="shared" si="40"/>
        <v>0.16849895929712613</v>
      </c>
      <c r="K140" s="103">
        <f t="shared" si="40"/>
        <v>0.21303146594134184</v>
      </c>
      <c r="L140" s="103">
        <f t="shared" si="41"/>
        <v>0.22994268918352787</v>
      </c>
      <c r="M140" s="103">
        <f t="shared" si="40"/>
        <v>0.26323929018965486</v>
      </c>
      <c r="N140" s="103">
        <f t="shared" si="40"/>
        <v>0.27938143192683162</v>
      </c>
      <c r="O140" s="103">
        <f t="shared" si="40"/>
        <v>0.31599634139550908</v>
      </c>
      <c r="P140" s="103">
        <f t="shared" si="40"/>
        <v>0.3344834514349922</v>
      </c>
      <c r="Q140" s="103">
        <f t="shared" si="40"/>
        <v>0.38845789894483052</v>
      </c>
      <c r="R140" s="103">
        <f t="shared" si="40"/>
        <v>0.40577382048411936</v>
      </c>
      <c r="S140" s="103">
        <f t="shared" si="40"/>
        <v>0.42551495534030281</v>
      </c>
      <c r="T140" s="103">
        <f t="shared" si="40"/>
        <v>0.43909037825144481</v>
      </c>
      <c r="U140" s="103">
        <f t="shared" si="40"/>
        <v>0.4432398182954605</v>
      </c>
      <c r="V140" s="103">
        <f t="shared" si="40"/>
        <v>0.45298662126565897</v>
      </c>
      <c r="W140" s="103">
        <f t="shared" si="42"/>
        <v>0.44723666968790726</v>
      </c>
      <c r="DA140" s="191"/>
    </row>
    <row r="141" spans="1:105" ht="11.45" customHeight="1" x14ac:dyDescent="0.25">
      <c r="A141" s="157" t="s">
        <v>112</v>
      </c>
      <c r="B141" s="103">
        <f t="shared" si="40"/>
        <v>5.6601631312420833E-4</v>
      </c>
      <c r="C141" s="103">
        <f t="shared" si="40"/>
        <v>3.8758968544649024E-4</v>
      </c>
      <c r="D141" s="103">
        <f t="shared" si="40"/>
        <v>3.3323713849193364E-4</v>
      </c>
      <c r="E141" s="103">
        <f t="shared" si="40"/>
        <v>2.8424143050763564E-4</v>
      </c>
      <c r="F141" s="103">
        <f t="shared" si="40"/>
        <v>2.3903726756290694E-4</v>
      </c>
      <c r="G141" s="103">
        <f t="shared" si="40"/>
        <v>2.1554403004442381E-4</v>
      </c>
      <c r="H141" s="103">
        <f t="shared" si="40"/>
        <v>1.6978348858084731E-4</v>
      </c>
      <c r="I141" s="103">
        <f t="shared" si="40"/>
        <v>2.2127802679428225E-4</v>
      </c>
      <c r="J141" s="103">
        <f t="shared" si="40"/>
        <v>1.8240118097947476E-4</v>
      </c>
      <c r="K141" s="103">
        <f t="shared" si="40"/>
        <v>1.3101907350833252E-4</v>
      </c>
      <c r="L141" s="103">
        <f t="shared" si="41"/>
        <v>1.2318656770951732E-4</v>
      </c>
      <c r="M141" s="103">
        <f t="shared" si="40"/>
        <v>1.3786035823819056E-4</v>
      </c>
      <c r="N141" s="103">
        <f t="shared" si="40"/>
        <v>2.5616490382057234E-4</v>
      </c>
      <c r="O141" s="103">
        <f t="shared" si="40"/>
        <v>3.2794155373535964E-4</v>
      </c>
      <c r="P141" s="103">
        <f t="shared" si="40"/>
        <v>5.103735145563699E-4</v>
      </c>
      <c r="Q141" s="103">
        <f t="shared" si="40"/>
        <v>6.0155824205642393E-4</v>
      </c>
      <c r="R141" s="103">
        <f t="shared" si="40"/>
        <v>5.7489110439148039E-4</v>
      </c>
      <c r="S141" s="103">
        <f t="shared" si="40"/>
        <v>5.1901385111611056E-4</v>
      </c>
      <c r="T141" s="103">
        <f t="shared" si="40"/>
        <v>4.2101960050683942E-4</v>
      </c>
      <c r="U141" s="103">
        <f t="shared" si="40"/>
        <v>3.7090966300961986E-4</v>
      </c>
      <c r="V141" s="103">
        <f t="shared" si="40"/>
        <v>3.1407752102901644E-4</v>
      </c>
      <c r="W141" s="103">
        <f t="shared" si="42"/>
        <v>2.9851905180626736E-4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8.2568418486636616E-7</v>
      </c>
      <c r="P143" s="103">
        <f t="shared" si="40"/>
        <v>2.367875289555177E-6</v>
      </c>
      <c r="Q143" s="103">
        <f t="shared" si="40"/>
        <v>8.755871481365613E-6</v>
      </c>
      <c r="R143" s="103">
        <f t="shared" si="40"/>
        <v>2.9973164764456262E-5</v>
      </c>
      <c r="S143" s="103">
        <f t="shared" si="40"/>
        <v>5.1182133497492119E-5</v>
      </c>
      <c r="T143" s="103">
        <f t="shared" si="40"/>
        <v>1.0977453268874829E-4</v>
      </c>
      <c r="U143" s="103">
        <f t="shared" si="40"/>
        <v>1.9943635062507646E-4</v>
      </c>
      <c r="V143" s="103">
        <f t="shared" si="40"/>
        <v>3.2273292678934313E-4</v>
      </c>
      <c r="W143" s="103">
        <f t="shared" si="42"/>
        <v>9.4244846216613373E-4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3.9381048435889306E-2</v>
      </c>
      <c r="C145" s="156">
        <f t="shared" si="40"/>
        <v>3.7159548045231645E-2</v>
      </c>
      <c r="D145" s="156">
        <f t="shared" si="40"/>
        <v>3.65870931815006E-2</v>
      </c>
      <c r="E145" s="156">
        <f t="shared" si="40"/>
        <v>3.7553195887450187E-2</v>
      </c>
      <c r="F145" s="156">
        <f t="shared" si="40"/>
        <v>3.6476223064189447E-2</v>
      </c>
      <c r="G145" s="156">
        <f t="shared" si="40"/>
        <v>3.5625240580225981E-2</v>
      </c>
      <c r="H145" s="156">
        <f t="shared" si="40"/>
        <v>3.500131518935258E-2</v>
      </c>
      <c r="I145" s="156">
        <f t="shared" si="40"/>
        <v>3.6006740084117625E-2</v>
      </c>
      <c r="J145" s="156">
        <f t="shared" si="40"/>
        <v>4.0595992453639596E-2</v>
      </c>
      <c r="K145" s="156">
        <f t="shared" si="40"/>
        <v>4.3878918621338477E-2</v>
      </c>
      <c r="L145" s="156">
        <f t="shared" si="41"/>
        <v>4.5666327328566167E-2</v>
      </c>
      <c r="M145" s="156">
        <f t="shared" si="40"/>
        <v>4.6483942306598448E-2</v>
      </c>
      <c r="N145" s="156">
        <f t="shared" si="40"/>
        <v>4.6950404648010813E-2</v>
      </c>
      <c r="O145" s="156">
        <f t="shared" si="40"/>
        <v>4.607545325211071E-2</v>
      </c>
      <c r="P145" s="156">
        <f t="shared" si="40"/>
        <v>4.5097360593280754E-2</v>
      </c>
      <c r="Q145" s="156">
        <f t="shared" si="40"/>
        <v>4.5740018834649551E-2</v>
      </c>
      <c r="R145" s="156">
        <f t="shared" si="40"/>
        <v>4.6215018376826143E-2</v>
      </c>
      <c r="S145" s="156">
        <f t="shared" si="40"/>
        <v>5.1318093004728949E-2</v>
      </c>
      <c r="T145" s="156">
        <f t="shared" si="40"/>
        <v>5.4717756231972461E-2</v>
      </c>
      <c r="U145" s="156">
        <f t="shared" si="40"/>
        <v>5.5322324791193936E-2</v>
      </c>
      <c r="V145" s="156">
        <f t="shared" si="40"/>
        <v>5.4927516399856442E-2</v>
      </c>
      <c r="W145" s="156">
        <f t="shared" si="42"/>
        <v>5.1756464878866953E-2</v>
      </c>
      <c r="DA145" s="213"/>
    </row>
    <row r="146" spans="1:105" ht="11.45" customHeight="1" x14ac:dyDescent="0.25">
      <c r="A146" s="157" t="s">
        <v>110</v>
      </c>
      <c r="B146" s="103">
        <f t="shared" si="40"/>
        <v>2.2501967438376906E-4</v>
      </c>
      <c r="C146" s="103">
        <f t="shared" si="40"/>
        <v>1.9737947711677043E-4</v>
      </c>
      <c r="D146" s="103">
        <f t="shared" si="40"/>
        <v>1.7614598308876453E-4</v>
      </c>
      <c r="E146" s="103">
        <f t="shared" si="40"/>
        <v>1.5627245414978012E-4</v>
      </c>
      <c r="F146" s="103">
        <f t="shared" si="40"/>
        <v>1.2998057166930635E-4</v>
      </c>
      <c r="G146" s="103">
        <f t="shared" si="40"/>
        <v>1.0734125531293951E-4</v>
      </c>
      <c r="H146" s="103">
        <f t="shared" si="40"/>
        <v>8.5784021991875135E-5</v>
      </c>
      <c r="I146" s="103">
        <f t="shared" si="40"/>
        <v>7.3947965913266717E-5</v>
      </c>
      <c r="J146" s="103">
        <f t="shared" si="40"/>
        <v>6.7568669910204554E-5</v>
      </c>
      <c r="K146" s="103">
        <f t="shared" si="40"/>
        <v>6.1458250481289634E-5</v>
      </c>
      <c r="L146" s="103">
        <f t="shared" si="41"/>
        <v>5.194588433380946E-5</v>
      </c>
      <c r="M146" s="103">
        <f t="shared" si="40"/>
        <v>4.3269048244332407E-5</v>
      </c>
      <c r="N146" s="103">
        <f t="shared" si="40"/>
        <v>3.302962315308859E-5</v>
      </c>
      <c r="O146" s="103">
        <f t="shared" si="40"/>
        <v>3.2567647334090243E-5</v>
      </c>
      <c r="P146" s="103">
        <f t="shared" si="40"/>
        <v>3.1495441801553582E-5</v>
      </c>
      <c r="Q146" s="103">
        <f t="shared" si="40"/>
        <v>2.6664182881082474E-5</v>
      </c>
      <c r="R146" s="103">
        <f t="shared" si="40"/>
        <v>2.0681335913881686E-5</v>
      </c>
      <c r="S146" s="103">
        <f t="shared" si="40"/>
        <v>2.5895767019438793E-5</v>
      </c>
      <c r="T146" s="103">
        <f t="shared" si="40"/>
        <v>1.7451062255756935E-5</v>
      </c>
      <c r="U146" s="103">
        <f t="shared" si="40"/>
        <v>2.1042168576471514E-5</v>
      </c>
      <c r="V146" s="103">
        <f t="shared" si="40"/>
        <v>2.3113404463185509E-5</v>
      </c>
      <c r="W146" s="103">
        <f t="shared" si="42"/>
        <v>1.9601584244949065E-5</v>
      </c>
      <c r="DA146" s="191"/>
    </row>
    <row r="147" spans="1:105" ht="11.45" customHeight="1" x14ac:dyDescent="0.25">
      <c r="A147" s="157" t="s">
        <v>111</v>
      </c>
      <c r="B147" s="103">
        <f t="shared" si="40"/>
        <v>3.9156028761505535E-2</v>
      </c>
      <c r="C147" s="103">
        <f t="shared" si="40"/>
        <v>3.6960490143744112E-2</v>
      </c>
      <c r="D147" s="103">
        <f t="shared" si="40"/>
        <v>3.6409260044946865E-2</v>
      </c>
      <c r="E147" s="103">
        <f t="shared" si="40"/>
        <v>3.7395219706124194E-2</v>
      </c>
      <c r="F147" s="103">
        <f t="shared" si="40"/>
        <v>3.6344594249448151E-2</v>
      </c>
      <c r="G147" s="103">
        <f t="shared" si="40"/>
        <v>3.5516302800654716E-2</v>
      </c>
      <c r="H147" s="103">
        <f t="shared" si="40"/>
        <v>3.4914019639924777E-2</v>
      </c>
      <c r="I147" s="103">
        <f t="shared" si="40"/>
        <v>3.5931284600600154E-2</v>
      </c>
      <c r="J147" s="103">
        <f t="shared" si="40"/>
        <v>4.0528423783729381E-2</v>
      </c>
      <c r="K147" s="103">
        <f t="shared" si="40"/>
        <v>4.3817460370857188E-2</v>
      </c>
      <c r="L147" s="103">
        <f t="shared" si="41"/>
        <v>4.5614381444232355E-2</v>
      </c>
      <c r="M147" s="103">
        <f t="shared" si="40"/>
        <v>4.6440673258354118E-2</v>
      </c>
      <c r="N147" s="103">
        <f t="shared" si="40"/>
        <v>4.6917375024857724E-2</v>
      </c>
      <c r="O147" s="103">
        <f t="shared" si="40"/>
        <v>4.6042885604776623E-2</v>
      </c>
      <c r="P147" s="103">
        <f t="shared" si="40"/>
        <v>4.5065865151479201E-2</v>
      </c>
      <c r="Q147" s="103">
        <f t="shared" si="40"/>
        <v>4.571335465176847E-2</v>
      </c>
      <c r="R147" s="103">
        <f t="shared" ref="R147:V147" si="43">IF(R29=0,0,R29/R$17)</f>
        <v>4.6194337040912269E-2</v>
      </c>
      <c r="S147" s="103">
        <f t="shared" si="43"/>
        <v>5.129219723770951E-2</v>
      </c>
      <c r="T147" s="103">
        <f t="shared" si="43"/>
        <v>5.4700305169716711E-2</v>
      </c>
      <c r="U147" s="103">
        <f t="shared" si="43"/>
        <v>5.5301282622617465E-2</v>
      </c>
      <c r="V147" s="103">
        <f t="shared" si="43"/>
        <v>5.4904402995393259E-2</v>
      </c>
      <c r="W147" s="103">
        <f t="shared" ref="W147" si="44">IF(W29=0,0,W29/W$17)</f>
        <v>5.1736863294622008E-2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1.6784243707606963E-6</v>
      </c>
      <c r="D148" s="103">
        <f t="shared" si="45"/>
        <v>1.687153464972989E-6</v>
      </c>
      <c r="E148" s="103">
        <f t="shared" si="45"/>
        <v>1.7037271762147104E-6</v>
      </c>
      <c r="F148" s="103">
        <f t="shared" si="45"/>
        <v>1.6482430719904013E-6</v>
      </c>
      <c r="G148" s="103">
        <f t="shared" si="45"/>
        <v>1.5965242583237891E-6</v>
      </c>
      <c r="H148" s="103">
        <f t="shared" si="45"/>
        <v>1.5115274359283711E-6</v>
      </c>
      <c r="I148" s="103">
        <f t="shared" si="45"/>
        <v>1.5075176042067553E-6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" si="51">IF(W31=0,0,W31/W$17)</f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0.3921427514524326</v>
      </c>
      <c r="C151" s="46">
        <f t="shared" si="55"/>
        <v>0.39631677505779511</v>
      </c>
      <c r="D151" s="46">
        <f t="shared" si="55"/>
        <v>0.40404146852977968</v>
      </c>
      <c r="E151" s="46">
        <f t="shared" si="55"/>
        <v>0.40990969773220776</v>
      </c>
      <c r="F151" s="46">
        <f t="shared" si="55"/>
        <v>0.42076895091541783</v>
      </c>
      <c r="G151" s="46">
        <f t="shared" si="55"/>
        <v>0.41438991846950379</v>
      </c>
      <c r="H151" s="46">
        <f t="shared" si="55"/>
        <v>0.39941915945772638</v>
      </c>
      <c r="I151" s="46">
        <f t="shared" si="55"/>
        <v>0.41557246257910685</v>
      </c>
      <c r="J151" s="46">
        <f t="shared" si="55"/>
        <v>0.387078808534564</v>
      </c>
      <c r="K151" s="46">
        <f t="shared" si="55"/>
        <v>0.33956387367793955</v>
      </c>
      <c r="L151" s="46">
        <f t="shared" ref="L151" si="56">IF(L33=0,0,L33/L$17)</f>
        <v>0.32368371639006638</v>
      </c>
      <c r="M151" s="46">
        <f t="shared" ref="M151:V151" si="57">IF(M33=0,0,M33/M$17)</f>
        <v>0.31661863042469574</v>
      </c>
      <c r="N151" s="46">
        <f t="shared" si="57"/>
        <v>0.31353485592686642</v>
      </c>
      <c r="O151" s="46">
        <f t="shared" si="57"/>
        <v>0.30985431340989655</v>
      </c>
      <c r="P151" s="46">
        <f t="shared" si="57"/>
        <v>0.30649709228669303</v>
      </c>
      <c r="Q151" s="46">
        <f t="shared" si="57"/>
        <v>0.29893445902045324</v>
      </c>
      <c r="R151" s="46">
        <f t="shared" si="57"/>
        <v>0.29884253830750546</v>
      </c>
      <c r="S151" s="46">
        <f t="shared" si="57"/>
        <v>0.29368846309727203</v>
      </c>
      <c r="T151" s="46">
        <f t="shared" si="57"/>
        <v>0.29960458579875515</v>
      </c>
      <c r="U151" s="46">
        <f t="shared" si="57"/>
        <v>0.30539119616655808</v>
      </c>
      <c r="V151" s="46">
        <f t="shared" si="57"/>
        <v>0.31803284566980999</v>
      </c>
      <c r="W151" s="46">
        <f t="shared" ref="W151" si="58">IF(W33=0,0,W33/W$17)</f>
        <v>0.32798126381391196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0.12653314528679141</v>
      </c>
      <c r="C152" s="154">
        <f t="shared" si="59"/>
        <v>0.12477302646643705</v>
      </c>
      <c r="D152" s="154">
        <f t="shared" si="59"/>
        <v>0.12874464288419052</v>
      </c>
      <c r="E152" s="154">
        <f t="shared" si="59"/>
        <v>0.13379503191985925</v>
      </c>
      <c r="F152" s="154">
        <f t="shared" si="59"/>
        <v>0.13486187900923666</v>
      </c>
      <c r="G152" s="154">
        <f t="shared" si="59"/>
        <v>0.13485561308381622</v>
      </c>
      <c r="H152" s="154">
        <f t="shared" si="59"/>
        <v>0.13340138647083541</v>
      </c>
      <c r="I152" s="154">
        <f t="shared" si="59"/>
        <v>0.13679648115471871</v>
      </c>
      <c r="J152" s="154">
        <f t="shared" si="59"/>
        <v>0.14095585619729031</v>
      </c>
      <c r="K152" s="154">
        <f t="shared" si="59"/>
        <v>0.14663434742533629</v>
      </c>
      <c r="L152" s="154">
        <f t="shared" ref="L152" si="60">IF(L34=0,0,L34/L$17)</f>
        <v>0.14588545531010322</v>
      </c>
      <c r="M152" s="154">
        <f t="shared" ref="M152:V152" si="61">IF(M34=0,0,M34/M$17)</f>
        <v>0.14767851665344139</v>
      </c>
      <c r="N152" s="154">
        <f t="shared" si="61"/>
        <v>0.14271275472611494</v>
      </c>
      <c r="O152" s="154">
        <f t="shared" si="61"/>
        <v>0.14245011861022464</v>
      </c>
      <c r="P152" s="154">
        <f t="shared" si="61"/>
        <v>0.13335601526757598</v>
      </c>
      <c r="Q152" s="154">
        <f t="shared" si="61"/>
        <v>0.12625535865117854</v>
      </c>
      <c r="R152" s="154">
        <f t="shared" si="61"/>
        <v>0.11618064169348502</v>
      </c>
      <c r="S152" s="154">
        <f t="shared" si="61"/>
        <v>0.11388632099395443</v>
      </c>
      <c r="T152" s="154">
        <f t="shared" si="61"/>
        <v>0.11305956917432601</v>
      </c>
      <c r="U152" s="154">
        <f t="shared" si="61"/>
        <v>0.10862179704724416</v>
      </c>
      <c r="V152" s="154">
        <f t="shared" si="61"/>
        <v>0.1262038124595028</v>
      </c>
      <c r="W152" s="154">
        <f t="shared" ref="W152" si="62">IF(W34=0,0,W34/W$17)</f>
        <v>0.1226046039972984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1.3345271939607171E-3</v>
      </c>
      <c r="C153" s="103">
        <f t="shared" si="63"/>
        <v>1.1567600346693112E-3</v>
      </c>
      <c r="D153" s="103">
        <f t="shared" si="63"/>
        <v>1.0448106339603022E-3</v>
      </c>
      <c r="E153" s="103">
        <f t="shared" si="63"/>
        <v>9.161698697090037E-4</v>
      </c>
      <c r="F153" s="103">
        <f t="shared" si="63"/>
        <v>7.414487546643472E-4</v>
      </c>
      <c r="G153" s="103">
        <f t="shared" si="63"/>
        <v>5.2831019149939071E-4</v>
      </c>
      <c r="H153" s="103">
        <f t="shared" si="63"/>
        <v>3.6531024089193025E-4</v>
      </c>
      <c r="I153" s="103">
        <f t="shared" si="63"/>
        <v>2.7195481756033224E-4</v>
      </c>
      <c r="J153" s="103">
        <f t="shared" si="63"/>
        <v>2.553359984814628E-4</v>
      </c>
      <c r="K153" s="103">
        <f t="shared" si="63"/>
        <v>2.5470245846921917E-4</v>
      </c>
      <c r="L153" s="103">
        <f t="shared" ref="L153" si="64">IF(L35=0,0,L35/L$17)</f>
        <v>2.2954597669588739E-4</v>
      </c>
      <c r="M153" s="103">
        <f t="shared" ref="M153:V153" si="65">IF(M35=0,0,M35/M$17)</f>
        <v>2.0364867610967973E-4</v>
      </c>
      <c r="N153" s="103">
        <f t="shared" si="65"/>
        <v>1.6967813242013802E-4</v>
      </c>
      <c r="O153" s="103">
        <f t="shared" si="65"/>
        <v>1.6002341188152484E-4</v>
      </c>
      <c r="P153" s="103">
        <f t="shared" si="65"/>
        <v>1.4172725081666832E-4</v>
      </c>
      <c r="Q153" s="103">
        <f t="shared" si="65"/>
        <v>1.2105727729389172E-4</v>
      </c>
      <c r="R153" s="103">
        <f t="shared" si="65"/>
        <v>1.0061737261065259E-4</v>
      </c>
      <c r="S153" s="103">
        <f t="shared" si="65"/>
        <v>1.1266374991613535E-4</v>
      </c>
      <c r="T153" s="103">
        <f t="shared" si="65"/>
        <v>1.1413321161941599E-4</v>
      </c>
      <c r="U153" s="103">
        <f t="shared" si="65"/>
        <v>1.2480725909387445E-4</v>
      </c>
      <c r="V153" s="103">
        <f t="shared" si="65"/>
        <v>1.8888931376440164E-4</v>
      </c>
      <c r="W153" s="103">
        <f t="shared" ref="W153" si="66">IF(W35=0,0,W35/W$17)</f>
        <v>2.0518956327062325E-4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0.1251986180928307</v>
      </c>
      <c r="C154" s="103">
        <f t="shared" si="67"/>
        <v>0.12361626643176772</v>
      </c>
      <c r="D154" s="103">
        <f t="shared" si="67"/>
        <v>0.12769983225023024</v>
      </c>
      <c r="E154" s="103">
        <f t="shared" si="67"/>
        <v>0.13287886205015023</v>
      </c>
      <c r="F154" s="103">
        <f t="shared" si="67"/>
        <v>0.13412043025457229</v>
      </c>
      <c r="G154" s="103">
        <f t="shared" si="67"/>
        <v>0.13432730289231684</v>
      </c>
      <c r="H154" s="103">
        <f t="shared" si="67"/>
        <v>0.13303607622994348</v>
      </c>
      <c r="I154" s="103">
        <f t="shared" si="67"/>
        <v>0.13652452633715836</v>
      </c>
      <c r="J154" s="103">
        <f t="shared" si="67"/>
        <v>0.14070052019880885</v>
      </c>
      <c r="K154" s="103">
        <f t="shared" si="67"/>
        <v>0.14637964496686709</v>
      </c>
      <c r="L154" s="103">
        <f t="shared" ref="L154" si="68">IF(L36=0,0,L36/L$17)</f>
        <v>0.14565590933340733</v>
      </c>
      <c r="M154" s="103">
        <f t="shared" ref="M154:V154" si="69">IF(M36=0,0,M36/M$17)</f>
        <v>0.14747486797733173</v>
      </c>
      <c r="N154" s="103">
        <f t="shared" si="69"/>
        <v>0.14254307659369481</v>
      </c>
      <c r="O154" s="103">
        <f t="shared" si="69"/>
        <v>0.14228947689828664</v>
      </c>
      <c r="P154" s="103">
        <f t="shared" si="69"/>
        <v>0.13321309515600613</v>
      </c>
      <c r="Q154" s="103">
        <f t="shared" si="69"/>
        <v>0.12613314412780541</v>
      </c>
      <c r="R154" s="103">
        <f t="shared" si="69"/>
        <v>0.11607893800122787</v>
      </c>
      <c r="S154" s="103">
        <f t="shared" si="69"/>
        <v>0.11377234490991775</v>
      </c>
      <c r="T154" s="103">
        <f t="shared" si="69"/>
        <v>0.11294412587847803</v>
      </c>
      <c r="U154" s="103">
        <f t="shared" si="69"/>
        <v>0.10849569076485442</v>
      </c>
      <c r="V154" s="103">
        <f t="shared" si="69"/>
        <v>0.12601370003924731</v>
      </c>
      <c r="W154" s="103">
        <f t="shared" ref="W154" si="70">IF(W36=0,0,W36/W$17)</f>
        <v>0.12239825415431566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6.1830005645046257E-7</v>
      </c>
      <c r="P155" s="103">
        <f t="shared" si="73"/>
        <v>1.1928607531727052E-6</v>
      </c>
      <c r="Q155" s="103">
        <f t="shared" si="73"/>
        <v>1.1572460792528337E-6</v>
      </c>
      <c r="R155" s="103">
        <f t="shared" si="73"/>
        <v>1.0863196465118787E-6</v>
      </c>
      <c r="S155" s="103">
        <f t="shared" si="73"/>
        <v>1.3123341205574227E-6</v>
      </c>
      <c r="T155" s="103">
        <f t="shared" si="73"/>
        <v>1.310084228584199E-6</v>
      </c>
      <c r="U155" s="103">
        <f t="shared" si="73"/>
        <v>1.2990232958642287E-6</v>
      </c>
      <c r="V155" s="103">
        <f t="shared" si="73"/>
        <v>1.2231064910780438E-6</v>
      </c>
      <c r="W155" s="103">
        <f t="shared" ref="W155" si="74">IF(W37=0,0,W37/W$17)</f>
        <v>1.1602797121339073E-6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0.26560960616564117</v>
      </c>
      <c r="C158" s="156">
        <f t="shared" si="83"/>
        <v>0.27154374859135805</v>
      </c>
      <c r="D158" s="156">
        <f t="shared" si="83"/>
        <v>0.27529682564558916</v>
      </c>
      <c r="E158" s="156">
        <f t="shared" si="83"/>
        <v>0.27611466581234856</v>
      </c>
      <c r="F158" s="156">
        <f t="shared" si="83"/>
        <v>0.28590707190618114</v>
      </c>
      <c r="G158" s="156">
        <f t="shared" si="83"/>
        <v>0.27953430538568758</v>
      </c>
      <c r="H158" s="156">
        <f t="shared" si="83"/>
        <v>0.266017772986891</v>
      </c>
      <c r="I158" s="156">
        <f t="shared" si="83"/>
        <v>0.27877598142438814</v>
      </c>
      <c r="J158" s="156">
        <f t="shared" si="83"/>
        <v>0.24612295233727371</v>
      </c>
      <c r="K158" s="156">
        <f t="shared" si="83"/>
        <v>0.19292952625260326</v>
      </c>
      <c r="L158" s="156">
        <f t="shared" ref="L158" si="84">IF(L40=0,0,L40/L$17)</f>
        <v>0.17779826107996316</v>
      </c>
      <c r="M158" s="156">
        <f t="shared" ref="M158:V158" si="85">IF(M40=0,0,M40/M$17)</f>
        <v>0.16894011377125434</v>
      </c>
      <c r="N158" s="156">
        <f t="shared" si="85"/>
        <v>0.17082210120075142</v>
      </c>
      <c r="O158" s="156">
        <f t="shared" si="85"/>
        <v>0.16740419479967192</v>
      </c>
      <c r="P158" s="156">
        <f t="shared" si="85"/>
        <v>0.17314107701911705</v>
      </c>
      <c r="Q158" s="156">
        <f t="shared" si="85"/>
        <v>0.17267910036927467</v>
      </c>
      <c r="R158" s="156">
        <f t="shared" si="85"/>
        <v>0.18266189661402044</v>
      </c>
      <c r="S158" s="156">
        <f t="shared" si="85"/>
        <v>0.1798021421033176</v>
      </c>
      <c r="T158" s="156">
        <f t="shared" si="85"/>
        <v>0.18654501662442913</v>
      </c>
      <c r="U158" s="156">
        <f t="shared" si="85"/>
        <v>0.1967693991193139</v>
      </c>
      <c r="V158" s="156">
        <f t="shared" si="85"/>
        <v>0.19182903321030717</v>
      </c>
      <c r="W158" s="156">
        <f t="shared" ref="W158" si="86">IF(W40=0,0,W40/W$17)</f>
        <v>0.20537665981661352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0.24867156870608406</v>
      </c>
      <c r="C159" s="103">
        <f t="shared" si="87"/>
        <v>0.25343695357137325</v>
      </c>
      <c r="D159" s="103">
        <f t="shared" si="87"/>
        <v>0.25846203130447382</v>
      </c>
      <c r="E159" s="103">
        <f t="shared" si="87"/>
        <v>0.25979541204432866</v>
      </c>
      <c r="F159" s="103">
        <f t="shared" si="87"/>
        <v>0.26798541816234778</v>
      </c>
      <c r="G159" s="103">
        <f t="shared" si="87"/>
        <v>0.26292610836404662</v>
      </c>
      <c r="H159" s="103">
        <f t="shared" si="87"/>
        <v>0.2497296731787767</v>
      </c>
      <c r="I159" s="103">
        <f t="shared" si="87"/>
        <v>0.26127255408255762</v>
      </c>
      <c r="J159" s="103">
        <f t="shared" si="87"/>
        <v>0.2313421590889867</v>
      </c>
      <c r="K159" s="103">
        <f t="shared" si="87"/>
        <v>0.1788529410827141</v>
      </c>
      <c r="L159" s="103">
        <f t="shared" ref="L159" si="88">IF(L41=0,0,L41/L$17)</f>
        <v>0.16419843507888066</v>
      </c>
      <c r="M159" s="103">
        <f t="shared" ref="M159:V159" si="89">IF(M41=0,0,M41/M$17)</f>
        <v>0.15430175502071067</v>
      </c>
      <c r="N159" s="103">
        <f t="shared" si="89"/>
        <v>0.15721737579452216</v>
      </c>
      <c r="O159" s="103">
        <f t="shared" si="89"/>
        <v>0.15447197794985743</v>
      </c>
      <c r="P159" s="103">
        <f t="shared" si="89"/>
        <v>0.16022267387166625</v>
      </c>
      <c r="Q159" s="103">
        <f t="shared" si="89"/>
        <v>0.15831994615409753</v>
      </c>
      <c r="R159" s="103">
        <f t="shared" si="89"/>
        <v>0.17035300734841569</v>
      </c>
      <c r="S159" s="103">
        <f t="shared" si="89"/>
        <v>0.16813359804358838</v>
      </c>
      <c r="T159" s="103">
        <f t="shared" si="89"/>
        <v>0.17351410989464938</v>
      </c>
      <c r="U159" s="103">
        <f t="shared" si="89"/>
        <v>0.18209490069614098</v>
      </c>
      <c r="V159" s="103">
        <f t="shared" si="89"/>
        <v>0.18550125926946809</v>
      </c>
      <c r="W159" s="103">
        <f t="shared" ref="W159" si="90">IF(W41=0,0,W41/W$17)</f>
        <v>0.19900779573267613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1.6938037459557156E-2</v>
      </c>
      <c r="C160" s="105">
        <f t="shared" si="91"/>
        <v>1.8106795019984818E-2</v>
      </c>
      <c r="D160" s="105">
        <f t="shared" si="91"/>
        <v>1.6834794341115383E-2</v>
      </c>
      <c r="E160" s="105">
        <f t="shared" si="91"/>
        <v>1.6319253768019935E-2</v>
      </c>
      <c r="F160" s="105">
        <f t="shared" si="91"/>
        <v>1.7921653743833376E-2</v>
      </c>
      <c r="G160" s="105">
        <f t="shared" si="91"/>
        <v>1.6608197021640944E-2</v>
      </c>
      <c r="H160" s="105">
        <f t="shared" si="91"/>
        <v>1.6288099808114277E-2</v>
      </c>
      <c r="I160" s="105">
        <f t="shared" si="91"/>
        <v>1.7503427341830496E-2</v>
      </c>
      <c r="J160" s="105">
        <f t="shared" si="91"/>
        <v>1.4780793248287034E-2</v>
      </c>
      <c r="K160" s="105">
        <f t="shared" si="91"/>
        <v>1.4076585169889185E-2</v>
      </c>
      <c r="L160" s="105">
        <f t="shared" ref="L160" si="92">IF(L42=0,0,L42/L$17)</f>
        <v>1.3599826001082506E-2</v>
      </c>
      <c r="M160" s="105">
        <f t="shared" ref="M160:V160" si="93">IF(M42=0,0,M42/M$17)</f>
        <v>1.4638358750543676E-2</v>
      </c>
      <c r="N160" s="105">
        <f t="shared" si="93"/>
        <v>1.3604725406229269E-2</v>
      </c>
      <c r="O160" s="105">
        <f t="shared" si="93"/>
        <v>1.2932216849814495E-2</v>
      </c>
      <c r="P160" s="105">
        <f t="shared" si="93"/>
        <v>1.2918403147450771E-2</v>
      </c>
      <c r="Q160" s="105">
        <f t="shared" si="93"/>
        <v>1.4359154215177148E-2</v>
      </c>
      <c r="R160" s="105">
        <f t="shared" si="93"/>
        <v>1.2308889265604769E-2</v>
      </c>
      <c r="S160" s="105">
        <f t="shared" si="93"/>
        <v>1.1668544059729238E-2</v>
      </c>
      <c r="T160" s="105">
        <f t="shared" si="93"/>
        <v>1.3030906729779759E-2</v>
      </c>
      <c r="U160" s="105">
        <f t="shared" si="93"/>
        <v>1.467449842317294E-2</v>
      </c>
      <c r="V160" s="105">
        <f t="shared" si="93"/>
        <v>6.3277739408390881E-3</v>
      </c>
      <c r="W160" s="105">
        <f t="shared" ref="W160" si="94">IF(W42=0,0,W42/W$17)</f>
        <v>6.3688640839373771E-3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1583440</v>
      </c>
      <c r="C3" s="54">
        <f>TrRoad_act!C57</f>
        <v>1690626</v>
      </c>
      <c r="D3" s="54">
        <f>TrRoad_act!D57</f>
        <v>1771616</v>
      </c>
      <c r="E3" s="54">
        <f>TrRoad_act!E57</f>
        <v>1851944</v>
      </c>
      <c r="F3" s="54">
        <f>TrRoad_act!F57</f>
        <v>1919961</v>
      </c>
      <c r="G3" s="54">
        <f>TrRoad_act!G57</f>
        <v>2022535</v>
      </c>
      <c r="H3" s="54">
        <f>TrRoad_act!H57</f>
        <v>2270456</v>
      </c>
      <c r="I3" s="54">
        <f>TrRoad_act!I57</f>
        <v>2304505</v>
      </c>
      <c r="J3" s="54">
        <f>TrRoad_act!J57</f>
        <v>2407906</v>
      </c>
      <c r="K3" s="54">
        <f>TrRoad_act!K57</f>
        <v>2362982</v>
      </c>
      <c r="L3" s="54">
        <f>TrRoad_act!L57</f>
        <v>2315088</v>
      </c>
      <c r="M3" s="54">
        <f>TrRoad_act!M57</f>
        <v>2331428</v>
      </c>
      <c r="N3" s="54">
        <f>TrRoad_act!N57</f>
        <v>2309701</v>
      </c>
      <c r="O3" s="54">
        <f>TrRoad_act!O57</f>
        <v>2341978</v>
      </c>
      <c r="P3" s="54">
        <f>TrRoad_act!P57</f>
        <v>2376489</v>
      </c>
      <c r="Q3" s="54">
        <f>TrRoad_act!Q57</f>
        <v>2416964</v>
      </c>
      <c r="R3" s="54">
        <f>TrRoad_act!R57</f>
        <v>2458619</v>
      </c>
      <c r="S3" s="54">
        <f>TrRoad_act!S57</f>
        <v>2504919</v>
      </c>
      <c r="T3" s="54">
        <f>TrRoad_act!T57</f>
        <v>2547941</v>
      </c>
      <c r="U3" s="54">
        <f>TrRoad_act!U57</f>
        <v>2622512</v>
      </c>
      <c r="V3" s="54">
        <f>TrRoad_act!V57</f>
        <v>2661002</v>
      </c>
      <c r="W3" s="54">
        <f>TrRoad_act!W57</f>
        <v>2686109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1360485</v>
      </c>
      <c r="C4" s="28">
        <f>TrRoad_act!C58</f>
        <v>1445375</v>
      </c>
      <c r="D4" s="28">
        <f>TrRoad_act!D58</f>
        <v>1511642</v>
      </c>
      <c r="E4" s="28">
        <f>TrRoad_act!E58</f>
        <v>1575911</v>
      </c>
      <c r="F4" s="28">
        <f>TrRoad_act!F58</f>
        <v>1626849</v>
      </c>
      <c r="G4" s="28">
        <f>TrRoad_act!G58</f>
        <v>1705498</v>
      </c>
      <c r="H4" s="28">
        <f>TrRoad_act!H58</f>
        <v>1924601</v>
      </c>
      <c r="I4" s="28">
        <f>TrRoad_act!I58</f>
        <v>1930311</v>
      </c>
      <c r="J4" s="28">
        <f>TrRoad_act!J58</f>
        <v>2050536</v>
      </c>
      <c r="K4" s="28">
        <f>TrRoad_act!K58</f>
        <v>2021176</v>
      </c>
      <c r="L4" s="28">
        <f>TrRoad_act!L58</f>
        <v>1985217</v>
      </c>
      <c r="M4" s="28">
        <f>TrRoad_act!M58</f>
        <v>2008939</v>
      </c>
      <c r="N4" s="28">
        <f>TrRoad_act!N58</f>
        <v>1996167</v>
      </c>
      <c r="O4" s="28">
        <f>TrRoad_act!O58</f>
        <v>2028609</v>
      </c>
      <c r="P4" s="28">
        <f>TrRoad_act!P58</f>
        <v>2065290</v>
      </c>
      <c r="Q4" s="28">
        <f>TrRoad_act!Q58</f>
        <v>2108023</v>
      </c>
      <c r="R4" s="28">
        <f>TrRoad_act!R58</f>
        <v>2152190</v>
      </c>
      <c r="S4" s="28">
        <f>TrRoad_act!S58</f>
        <v>2194218</v>
      </c>
      <c r="T4" s="28">
        <f>TrRoad_act!T58</f>
        <v>2235619</v>
      </c>
      <c r="U4" s="28">
        <f>TrRoad_act!U58</f>
        <v>2308693</v>
      </c>
      <c r="V4" s="28">
        <f>TrRoad_act!V58</f>
        <v>2348703</v>
      </c>
      <c r="W4" s="28">
        <f>TrRoad_act!W58</f>
        <v>2369053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30638</v>
      </c>
      <c r="C5" s="137">
        <f>TrRoad_act!C59</f>
        <v>32913</v>
      </c>
      <c r="D5" s="137">
        <f>TrRoad_act!D59</f>
        <v>33147</v>
      </c>
      <c r="E5" s="137">
        <f>TrRoad_act!E59</f>
        <v>35094</v>
      </c>
      <c r="F5" s="137">
        <f>TrRoad_act!F59</f>
        <v>34854</v>
      </c>
      <c r="G5" s="137">
        <f>TrRoad_act!G59</f>
        <v>34300</v>
      </c>
      <c r="H5" s="137">
        <f>TrRoad_act!H59</f>
        <v>34927</v>
      </c>
      <c r="I5" s="137">
        <f>TrRoad_act!I59</f>
        <v>37178</v>
      </c>
      <c r="J5" s="137">
        <f>TrRoad_act!J59</f>
        <v>39409</v>
      </c>
      <c r="K5" s="137">
        <f>TrRoad_act!K59</f>
        <v>39552</v>
      </c>
      <c r="L5" s="137">
        <f>TrRoad_act!L59</f>
        <v>38145</v>
      </c>
      <c r="M5" s="137">
        <f>TrRoad_act!M59</f>
        <v>36582</v>
      </c>
      <c r="N5" s="137">
        <f>TrRoad_act!N59</f>
        <v>35106</v>
      </c>
      <c r="O5" s="137">
        <f>TrRoad_act!O59</f>
        <v>36623</v>
      </c>
      <c r="P5" s="137">
        <f>TrRoad_act!P59</f>
        <v>36573</v>
      </c>
      <c r="Q5" s="137">
        <f>TrRoad_act!Q59</f>
        <v>36974</v>
      </c>
      <c r="R5" s="137">
        <f>TrRoad_act!R59</f>
        <v>38023</v>
      </c>
      <c r="S5" s="137">
        <f>TrRoad_act!S59</f>
        <v>39873</v>
      </c>
      <c r="T5" s="137">
        <f>TrRoad_act!T59</f>
        <v>40198</v>
      </c>
      <c r="U5" s="137">
        <f>TrRoad_act!U59</f>
        <v>42492</v>
      </c>
      <c r="V5" s="137">
        <f>TrRoad_act!V59</f>
        <v>44819</v>
      </c>
      <c r="W5" s="137">
        <f>TrRoad_act!W59</f>
        <v>46636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1321600</v>
      </c>
      <c r="C6" s="110">
        <f>TrRoad_act!C60</f>
        <v>1404000</v>
      </c>
      <c r="D6" s="110">
        <f>TrRoad_act!D60</f>
        <v>1470000</v>
      </c>
      <c r="E6" s="110">
        <f>TrRoad_act!E60</f>
        <v>1532000</v>
      </c>
      <c r="F6" s="110">
        <f>TrRoad_act!F60</f>
        <v>1583000</v>
      </c>
      <c r="G6" s="110">
        <f>TrRoad_act!G60</f>
        <v>1662000</v>
      </c>
      <c r="H6" s="110">
        <f>TrRoad_act!H60</f>
        <v>1880000</v>
      </c>
      <c r="I6" s="110">
        <f>TrRoad_act!I60</f>
        <v>1883000</v>
      </c>
      <c r="J6" s="110">
        <f>TrRoad_act!J60</f>
        <v>2000500</v>
      </c>
      <c r="K6" s="110">
        <f>TrRoad_act!K60</f>
        <v>1971274</v>
      </c>
      <c r="L6" s="110">
        <f>TrRoad_act!L60</f>
        <v>1937130</v>
      </c>
      <c r="M6" s="110">
        <f>TrRoad_act!M60</f>
        <v>1962460</v>
      </c>
      <c r="N6" s="110">
        <f>TrRoad_act!N60</f>
        <v>1951130</v>
      </c>
      <c r="O6" s="110">
        <f>TrRoad_act!O60</f>
        <v>1981830</v>
      </c>
      <c r="P6" s="110">
        <f>TrRoad_act!P60</f>
        <v>2018310</v>
      </c>
      <c r="Q6" s="110">
        <f>TrRoad_act!Q60</f>
        <v>2060170</v>
      </c>
      <c r="R6" s="110">
        <f>TrRoad_act!R60</f>
        <v>2102720</v>
      </c>
      <c r="S6" s="110">
        <f>TrRoad_act!S60</f>
        <v>2142390</v>
      </c>
      <c r="T6" s="110">
        <f>TrRoad_act!T60</f>
        <v>2182920</v>
      </c>
      <c r="U6" s="110">
        <f>TrRoad_act!U60</f>
        <v>2253210</v>
      </c>
      <c r="V6" s="110">
        <f>TrRoad_act!V60</f>
        <v>2291940</v>
      </c>
      <c r="W6" s="110">
        <f>TrRoad_act!W60</f>
        <v>2309760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1146869</v>
      </c>
      <c r="C7" s="84">
        <f>TrRoad_act!C61</f>
        <v>1221368</v>
      </c>
      <c r="D7" s="84">
        <f>TrRoad_act!D61</f>
        <v>1274051</v>
      </c>
      <c r="E7" s="84">
        <f>TrRoad_act!E61</f>
        <v>1323872</v>
      </c>
      <c r="F7" s="84">
        <f>TrRoad_act!F61</f>
        <v>1360374</v>
      </c>
      <c r="G7" s="84">
        <f>TrRoad_act!G61</f>
        <v>1388577</v>
      </c>
      <c r="H7" s="84">
        <f>TrRoad_act!H61</f>
        <v>1541639</v>
      </c>
      <c r="I7" s="84">
        <f>TrRoad_act!I61</f>
        <v>1544130</v>
      </c>
      <c r="J7" s="84">
        <f>TrRoad_act!J61</f>
        <v>1574499</v>
      </c>
      <c r="K7" s="84">
        <f>TrRoad_act!K61</f>
        <v>1505195</v>
      </c>
      <c r="L7" s="84">
        <f>TrRoad_act!L61</f>
        <v>1412432</v>
      </c>
      <c r="M7" s="84">
        <f>TrRoad_act!M61</f>
        <v>1350783</v>
      </c>
      <c r="N7" s="84">
        <f>TrRoad_act!N61</f>
        <v>1279510</v>
      </c>
      <c r="O7" s="84">
        <f>TrRoad_act!O61</f>
        <v>1235068</v>
      </c>
      <c r="P7" s="84">
        <f>TrRoad_act!P61</f>
        <v>1184842</v>
      </c>
      <c r="Q7" s="84">
        <f>TrRoad_act!Q61</f>
        <v>1135417</v>
      </c>
      <c r="R7" s="84">
        <f>TrRoad_act!R61</f>
        <v>1069822</v>
      </c>
      <c r="S7" s="84">
        <f>TrRoad_act!S61</f>
        <v>1003066</v>
      </c>
      <c r="T7" s="84">
        <f>TrRoad_act!T61</f>
        <v>953465</v>
      </c>
      <c r="U7" s="84">
        <f>TrRoad_act!U61</f>
        <v>929416</v>
      </c>
      <c r="V7" s="84">
        <f>TrRoad_act!V61</f>
        <v>906412</v>
      </c>
      <c r="W7" s="84">
        <f>TrRoad_act!W61</f>
        <v>889802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173131</v>
      </c>
      <c r="C8" s="84">
        <f>TrRoad_act!C62</f>
        <v>181431</v>
      </c>
      <c r="D8" s="84">
        <f>TrRoad_act!D62</f>
        <v>194915</v>
      </c>
      <c r="E8" s="84">
        <f>TrRoad_act!E62</f>
        <v>207268</v>
      </c>
      <c r="F8" s="84">
        <f>TrRoad_act!F62</f>
        <v>221848</v>
      </c>
      <c r="G8" s="84">
        <f>TrRoad_act!G62</f>
        <v>272682</v>
      </c>
      <c r="H8" s="84">
        <f>TrRoad_act!H62</f>
        <v>337662</v>
      </c>
      <c r="I8" s="84">
        <f>TrRoad_act!I62</f>
        <v>337965</v>
      </c>
      <c r="J8" s="84">
        <f>TrRoad_act!J62</f>
        <v>425296</v>
      </c>
      <c r="K8" s="84">
        <f>TrRoad_act!K62</f>
        <v>465599</v>
      </c>
      <c r="L8" s="84">
        <f>TrRoad_act!L62</f>
        <v>524267</v>
      </c>
      <c r="M8" s="84">
        <f>TrRoad_act!M62</f>
        <v>610626</v>
      </c>
      <c r="N8" s="84">
        <f>TrRoad_act!N62</f>
        <v>669972</v>
      </c>
      <c r="O8" s="84">
        <f>TrRoad_act!O62</f>
        <v>745362</v>
      </c>
      <c r="P8" s="84">
        <f>TrRoad_act!P62</f>
        <v>830835</v>
      </c>
      <c r="Q8" s="84">
        <f>TrRoad_act!Q62</f>
        <v>921453</v>
      </c>
      <c r="R8" s="84">
        <f>TrRoad_act!R62</f>
        <v>1029000</v>
      </c>
      <c r="S8" s="84">
        <f>TrRoad_act!S62</f>
        <v>1134823</v>
      </c>
      <c r="T8" s="84">
        <f>TrRoad_act!T62</f>
        <v>1222560</v>
      </c>
      <c r="U8" s="84">
        <f>TrRoad_act!U62</f>
        <v>1312079</v>
      </c>
      <c r="V8" s="84">
        <f>TrRoad_act!V62</f>
        <v>1367080</v>
      </c>
      <c r="W8" s="84">
        <f>TrRoad_act!W62</f>
        <v>1380945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1600</v>
      </c>
      <c r="C9" s="84">
        <f>TrRoad_act!C63</f>
        <v>1201</v>
      </c>
      <c r="D9" s="84">
        <f>TrRoad_act!D63</f>
        <v>1034</v>
      </c>
      <c r="E9" s="84">
        <f>TrRoad_act!E63</f>
        <v>860</v>
      </c>
      <c r="F9" s="84">
        <f>TrRoad_act!F63</f>
        <v>778</v>
      </c>
      <c r="G9" s="84">
        <f>TrRoad_act!G63</f>
        <v>741</v>
      </c>
      <c r="H9" s="84">
        <f>TrRoad_act!H63</f>
        <v>699</v>
      </c>
      <c r="I9" s="84">
        <f>TrRoad_act!I63</f>
        <v>905</v>
      </c>
      <c r="J9" s="84">
        <f>TrRoad_act!J63</f>
        <v>705</v>
      </c>
      <c r="K9" s="84">
        <f>TrRoad_act!K63</f>
        <v>478</v>
      </c>
      <c r="L9" s="84">
        <f>TrRoad_act!L63</f>
        <v>412</v>
      </c>
      <c r="M9" s="84">
        <f>TrRoad_act!M63</f>
        <v>454</v>
      </c>
      <c r="N9" s="84">
        <f>TrRoad_act!N63</f>
        <v>880</v>
      </c>
      <c r="O9" s="84">
        <f>TrRoad_act!O63</f>
        <v>1147</v>
      </c>
      <c r="P9" s="84">
        <f>TrRoad_act!P63</f>
        <v>2037</v>
      </c>
      <c r="Q9" s="84">
        <f>TrRoad_act!Q63</f>
        <v>2145</v>
      </c>
      <c r="R9" s="84">
        <f>TrRoad_act!R63</f>
        <v>2056</v>
      </c>
      <c r="S9" s="84">
        <f>TrRoad_act!S63</f>
        <v>1816</v>
      </c>
      <c r="T9" s="84">
        <f>TrRoad_act!T63</f>
        <v>1623</v>
      </c>
      <c r="U9" s="84">
        <f>TrRoad_act!U63</f>
        <v>1501</v>
      </c>
      <c r="V9" s="84">
        <f>TrRoad_act!V63</f>
        <v>1511</v>
      </c>
      <c r="W9" s="84">
        <f>TrRoad_act!W63</f>
        <v>1461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7</v>
      </c>
      <c r="P11" s="84">
        <f>TrRoad_act!P65</f>
        <v>36</v>
      </c>
      <c r="Q11" s="84">
        <f>TrRoad_act!Q65</f>
        <v>135</v>
      </c>
      <c r="R11" s="84">
        <f>TrRoad_act!R65</f>
        <v>416</v>
      </c>
      <c r="S11" s="84">
        <f>TrRoad_act!S65</f>
        <v>739</v>
      </c>
      <c r="T11" s="84">
        <f>TrRoad_act!T65</f>
        <v>1631</v>
      </c>
      <c r="U11" s="84">
        <f>TrRoad_act!U65</f>
        <v>2947</v>
      </c>
      <c r="V11" s="84">
        <f>TrRoad_act!V65</f>
        <v>5659</v>
      </c>
      <c r="W11" s="84">
        <f>TrRoad_act!W65</f>
        <v>17570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2</v>
      </c>
      <c r="L12" s="84">
        <f>TrRoad_act!L66</f>
        <v>19</v>
      </c>
      <c r="M12" s="84">
        <f>TrRoad_act!M66</f>
        <v>597</v>
      </c>
      <c r="N12" s="84">
        <f>TrRoad_act!N66</f>
        <v>768</v>
      </c>
      <c r="O12" s="84">
        <f>TrRoad_act!O66</f>
        <v>246</v>
      </c>
      <c r="P12" s="84">
        <f>TrRoad_act!P66</f>
        <v>560</v>
      </c>
      <c r="Q12" s="84">
        <f>TrRoad_act!Q66</f>
        <v>1020</v>
      </c>
      <c r="R12" s="84">
        <f>TrRoad_act!R66</f>
        <v>1426</v>
      </c>
      <c r="S12" s="84">
        <f>TrRoad_act!S66</f>
        <v>1946</v>
      </c>
      <c r="T12" s="84">
        <f>TrRoad_act!T66</f>
        <v>3641</v>
      </c>
      <c r="U12" s="84">
        <f>TrRoad_act!U66</f>
        <v>7267</v>
      </c>
      <c r="V12" s="84">
        <f>TrRoad_act!V66</f>
        <v>11278</v>
      </c>
      <c r="W12" s="84">
        <f>TrRoad_act!W66</f>
        <v>19982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8247</v>
      </c>
      <c r="C13" s="110">
        <f>TrRoad_act!C67</f>
        <v>8462</v>
      </c>
      <c r="D13" s="110">
        <f>TrRoad_act!D67</f>
        <v>8495</v>
      </c>
      <c r="E13" s="110">
        <f>TrRoad_act!E67</f>
        <v>8817</v>
      </c>
      <c r="F13" s="110">
        <f>TrRoad_act!F67</f>
        <v>8995</v>
      </c>
      <c r="G13" s="110">
        <f>TrRoad_act!G67</f>
        <v>9198</v>
      </c>
      <c r="H13" s="110">
        <f>TrRoad_act!H67</f>
        <v>9674</v>
      </c>
      <c r="I13" s="110">
        <f>TrRoad_act!I67</f>
        <v>10133</v>
      </c>
      <c r="J13" s="110">
        <f>TrRoad_act!J67</f>
        <v>10627</v>
      </c>
      <c r="K13" s="110">
        <f>TrRoad_act!K67</f>
        <v>10350</v>
      </c>
      <c r="L13" s="110">
        <f>TrRoad_act!L67</f>
        <v>9942</v>
      </c>
      <c r="M13" s="110">
        <f>TrRoad_act!M67</f>
        <v>9897</v>
      </c>
      <c r="N13" s="110">
        <f>TrRoad_act!N67</f>
        <v>9931</v>
      </c>
      <c r="O13" s="110">
        <f>TrRoad_act!O67</f>
        <v>10156</v>
      </c>
      <c r="P13" s="110">
        <f>TrRoad_act!P67</f>
        <v>10407</v>
      </c>
      <c r="Q13" s="110">
        <f>TrRoad_act!Q67</f>
        <v>10879</v>
      </c>
      <c r="R13" s="110">
        <f>TrRoad_act!R67</f>
        <v>11447</v>
      </c>
      <c r="S13" s="110">
        <f>TrRoad_act!S67</f>
        <v>11955</v>
      </c>
      <c r="T13" s="110">
        <f>TrRoad_act!T67</f>
        <v>12501</v>
      </c>
      <c r="U13" s="110">
        <f>TrRoad_act!U67</f>
        <v>12991</v>
      </c>
      <c r="V13" s="110">
        <f>TrRoad_act!V67</f>
        <v>11944</v>
      </c>
      <c r="W13" s="110">
        <f>TrRoad_act!W67</f>
        <v>12657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167</v>
      </c>
      <c r="C14" s="102">
        <f>TrRoad_act!C68</f>
        <v>153</v>
      </c>
      <c r="D14" s="102">
        <f>TrRoad_act!D68</f>
        <v>139</v>
      </c>
      <c r="E14" s="102">
        <f>TrRoad_act!E68</f>
        <v>125</v>
      </c>
      <c r="F14" s="102">
        <f>TrRoad_act!F68</f>
        <v>110</v>
      </c>
      <c r="G14" s="102">
        <f>TrRoad_act!G68</f>
        <v>96</v>
      </c>
      <c r="H14" s="102">
        <f>TrRoad_act!H68</f>
        <v>83</v>
      </c>
      <c r="I14" s="102">
        <f>TrRoad_act!I68</f>
        <v>71</v>
      </c>
      <c r="J14" s="102">
        <f>TrRoad_act!J68</f>
        <v>59</v>
      </c>
      <c r="K14" s="102">
        <f>TrRoad_act!K68</f>
        <v>49</v>
      </c>
      <c r="L14" s="102">
        <f>TrRoad_act!L68</f>
        <v>39</v>
      </c>
      <c r="M14" s="102">
        <f>TrRoad_act!M68</f>
        <v>31</v>
      </c>
      <c r="N14" s="102">
        <f>TrRoad_act!N68</f>
        <v>24</v>
      </c>
      <c r="O14" s="102">
        <f>TrRoad_act!O68</f>
        <v>24</v>
      </c>
      <c r="P14" s="102">
        <f>TrRoad_act!P68</f>
        <v>24</v>
      </c>
      <c r="Q14" s="102">
        <f>TrRoad_act!Q68</f>
        <v>21</v>
      </c>
      <c r="R14" s="102">
        <f>TrRoad_act!R68</f>
        <v>17</v>
      </c>
      <c r="S14" s="102">
        <f>TrRoad_act!S68</f>
        <v>20</v>
      </c>
      <c r="T14" s="102">
        <f>TrRoad_act!T68</f>
        <v>13</v>
      </c>
      <c r="U14" s="102">
        <f>TrRoad_act!U68</f>
        <v>16</v>
      </c>
      <c r="V14" s="102">
        <f>TrRoad_act!V68</f>
        <v>16</v>
      </c>
      <c r="W14" s="102">
        <f>TrRoad_act!W68</f>
        <v>15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8080</v>
      </c>
      <c r="C15" s="102">
        <f>TrRoad_act!C69</f>
        <v>8308</v>
      </c>
      <c r="D15" s="102">
        <f>TrRoad_act!D69</f>
        <v>8355</v>
      </c>
      <c r="E15" s="102">
        <f>TrRoad_act!E69</f>
        <v>8691</v>
      </c>
      <c r="F15" s="102">
        <f>TrRoad_act!F69</f>
        <v>8884</v>
      </c>
      <c r="G15" s="102">
        <f>TrRoad_act!G69</f>
        <v>9101</v>
      </c>
      <c r="H15" s="102">
        <f>TrRoad_act!H69</f>
        <v>9590</v>
      </c>
      <c r="I15" s="102">
        <f>TrRoad_act!I69</f>
        <v>10061</v>
      </c>
      <c r="J15" s="102">
        <f>TrRoad_act!J69</f>
        <v>10567</v>
      </c>
      <c r="K15" s="102">
        <f>TrRoad_act!K69</f>
        <v>10300</v>
      </c>
      <c r="L15" s="102">
        <f>TrRoad_act!L69</f>
        <v>9902</v>
      </c>
      <c r="M15" s="102">
        <f>TrRoad_act!M69</f>
        <v>9865</v>
      </c>
      <c r="N15" s="102">
        <f>TrRoad_act!N69</f>
        <v>9906</v>
      </c>
      <c r="O15" s="102">
        <f>TrRoad_act!O69</f>
        <v>10131</v>
      </c>
      <c r="P15" s="102">
        <f>TrRoad_act!P69</f>
        <v>10382</v>
      </c>
      <c r="Q15" s="102">
        <f>TrRoad_act!Q69</f>
        <v>10857</v>
      </c>
      <c r="R15" s="102">
        <f>TrRoad_act!R69</f>
        <v>11429</v>
      </c>
      <c r="S15" s="102">
        <f>TrRoad_act!S69</f>
        <v>11934</v>
      </c>
      <c r="T15" s="102">
        <f>TrRoad_act!T69</f>
        <v>12487</v>
      </c>
      <c r="U15" s="102">
        <f>TrRoad_act!U69</f>
        <v>12974</v>
      </c>
      <c r="V15" s="102">
        <f>TrRoad_act!V69</f>
        <v>11924</v>
      </c>
      <c r="W15" s="102">
        <f>TrRoad_act!W69</f>
        <v>12636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1</v>
      </c>
      <c r="D16" s="102">
        <f>TrRoad_act!D70</f>
        <v>1</v>
      </c>
      <c r="E16" s="102">
        <f>TrRoad_act!E70</f>
        <v>1</v>
      </c>
      <c r="F16" s="102">
        <f>TrRoad_act!F70</f>
        <v>1</v>
      </c>
      <c r="G16" s="102">
        <f>TrRoad_act!G70</f>
        <v>1</v>
      </c>
      <c r="H16" s="102">
        <f>TrRoad_act!H70</f>
        <v>1</v>
      </c>
      <c r="I16" s="102">
        <f>TrRoad_act!I70</f>
        <v>1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1</v>
      </c>
      <c r="K18" s="102">
        <f>TrRoad_act!K72</f>
        <v>1</v>
      </c>
      <c r="L18" s="102">
        <f>TrRoad_act!L72</f>
        <v>1</v>
      </c>
      <c r="M18" s="102">
        <f>TrRoad_act!M72</f>
        <v>1</v>
      </c>
      <c r="N18" s="102">
        <f>TrRoad_act!N72</f>
        <v>1</v>
      </c>
      <c r="O18" s="102">
        <f>TrRoad_act!O72</f>
        <v>1</v>
      </c>
      <c r="P18" s="102">
        <f>TrRoad_act!P72</f>
        <v>1</v>
      </c>
      <c r="Q18" s="102">
        <f>TrRoad_act!Q72</f>
        <v>1</v>
      </c>
      <c r="R18" s="102">
        <f>TrRoad_act!R72</f>
        <v>1</v>
      </c>
      <c r="S18" s="102">
        <f>TrRoad_act!S72</f>
        <v>1</v>
      </c>
      <c r="T18" s="102">
        <f>TrRoad_act!T72</f>
        <v>1</v>
      </c>
      <c r="U18" s="102">
        <f>TrRoad_act!U72</f>
        <v>1</v>
      </c>
      <c r="V18" s="102">
        <f>TrRoad_act!V72</f>
        <v>4</v>
      </c>
      <c r="W18" s="102">
        <f>TrRoad_act!W72</f>
        <v>6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222955</v>
      </c>
      <c r="C19" s="28">
        <f>TrRoad_act!C73</f>
        <v>245251</v>
      </c>
      <c r="D19" s="28">
        <f>TrRoad_act!D73</f>
        <v>259974</v>
      </c>
      <c r="E19" s="28">
        <f>TrRoad_act!E73</f>
        <v>276033</v>
      </c>
      <c r="F19" s="28">
        <f>TrRoad_act!F73</f>
        <v>293112</v>
      </c>
      <c r="G19" s="28">
        <f>TrRoad_act!G73</f>
        <v>317037</v>
      </c>
      <c r="H19" s="28">
        <f>TrRoad_act!H73</f>
        <v>345855</v>
      </c>
      <c r="I19" s="28">
        <f>TrRoad_act!I73</f>
        <v>374194</v>
      </c>
      <c r="J19" s="28">
        <f>TrRoad_act!J73</f>
        <v>357370</v>
      </c>
      <c r="K19" s="28">
        <f>TrRoad_act!K73</f>
        <v>341806</v>
      </c>
      <c r="L19" s="28">
        <f>TrRoad_act!L73</f>
        <v>329871</v>
      </c>
      <c r="M19" s="28">
        <f>TrRoad_act!M73</f>
        <v>322489</v>
      </c>
      <c r="N19" s="28">
        <f>TrRoad_act!N73</f>
        <v>313534</v>
      </c>
      <c r="O19" s="28">
        <f>TrRoad_act!O73</f>
        <v>313369</v>
      </c>
      <c r="P19" s="28">
        <f>TrRoad_act!P73</f>
        <v>311199</v>
      </c>
      <c r="Q19" s="28">
        <f>TrRoad_act!Q73</f>
        <v>308941</v>
      </c>
      <c r="R19" s="28">
        <f>TrRoad_act!R73</f>
        <v>306429</v>
      </c>
      <c r="S19" s="28">
        <f>TrRoad_act!S73</f>
        <v>310701</v>
      </c>
      <c r="T19" s="28">
        <f>TrRoad_act!T73</f>
        <v>312322</v>
      </c>
      <c r="U19" s="28">
        <f>TrRoad_act!U73</f>
        <v>313819</v>
      </c>
      <c r="V19" s="28">
        <f>TrRoad_act!V73</f>
        <v>312299</v>
      </c>
      <c r="W19" s="28">
        <f>TrRoad_act!W73</f>
        <v>317056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157329</v>
      </c>
      <c r="C20" s="137">
        <f>TrRoad_act!C74</f>
        <v>170664</v>
      </c>
      <c r="D20" s="137">
        <f>TrRoad_act!D74</f>
        <v>183596</v>
      </c>
      <c r="E20" s="137">
        <f>TrRoad_act!E74</f>
        <v>197676</v>
      </c>
      <c r="F20" s="137">
        <f>TrRoad_act!F74</f>
        <v>211065</v>
      </c>
      <c r="G20" s="137">
        <f>TrRoad_act!G74</f>
        <v>226069</v>
      </c>
      <c r="H20" s="137">
        <f>TrRoad_act!H74</f>
        <v>243303</v>
      </c>
      <c r="I20" s="137">
        <f>TrRoad_act!I74</f>
        <v>258412</v>
      </c>
      <c r="J20" s="137">
        <f>TrRoad_act!J74</f>
        <v>261710</v>
      </c>
      <c r="K20" s="137">
        <f>TrRoad_act!K74</f>
        <v>255603</v>
      </c>
      <c r="L20" s="137">
        <f>TrRoad_act!L74</f>
        <v>246984</v>
      </c>
      <c r="M20" s="137">
        <f>TrRoad_act!M74</f>
        <v>242353</v>
      </c>
      <c r="N20" s="137">
        <f>TrRoad_act!N74</f>
        <v>234787</v>
      </c>
      <c r="O20" s="137">
        <f>TrRoad_act!O74</f>
        <v>236544</v>
      </c>
      <c r="P20" s="137">
        <f>TrRoad_act!P74</f>
        <v>230023</v>
      </c>
      <c r="Q20" s="137">
        <f>TrRoad_act!Q74</f>
        <v>222726</v>
      </c>
      <c r="R20" s="137">
        <f>TrRoad_act!R74</f>
        <v>218229</v>
      </c>
      <c r="S20" s="137">
        <f>TrRoad_act!S74</f>
        <v>218335</v>
      </c>
      <c r="T20" s="137">
        <f>TrRoad_act!T74</f>
        <v>218361</v>
      </c>
      <c r="U20" s="137">
        <f>TrRoad_act!U74</f>
        <v>218590</v>
      </c>
      <c r="V20" s="137">
        <f>TrRoad_act!V74</f>
        <v>219388</v>
      </c>
      <c r="W20" s="137">
        <f>TrRoad_act!W74</f>
        <v>220494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3828</v>
      </c>
      <c r="C21" s="84">
        <f>TrRoad_act!C75</f>
        <v>3537</v>
      </c>
      <c r="D21" s="84">
        <f>TrRoad_act!D75</f>
        <v>3307</v>
      </c>
      <c r="E21" s="84">
        <f>TrRoad_act!E75</f>
        <v>2993</v>
      </c>
      <c r="F21" s="84">
        <f>TrRoad_act!F75</f>
        <v>2616</v>
      </c>
      <c r="G21" s="84">
        <f>TrRoad_act!G75</f>
        <v>2027</v>
      </c>
      <c r="H21" s="84">
        <f>TrRoad_act!H75</f>
        <v>1571</v>
      </c>
      <c r="I21" s="84">
        <f>TrRoad_act!I75</f>
        <v>1246</v>
      </c>
      <c r="J21" s="84">
        <f>TrRoad_act!J75</f>
        <v>1132</v>
      </c>
      <c r="K21" s="84">
        <f>TrRoad_act!K75</f>
        <v>1046</v>
      </c>
      <c r="L21" s="84">
        <f>TrRoad_act!L75</f>
        <v>899</v>
      </c>
      <c r="M21" s="84">
        <f>TrRoad_act!M75</f>
        <v>765</v>
      </c>
      <c r="N21" s="84">
        <f>TrRoad_act!N75</f>
        <v>637</v>
      </c>
      <c r="O21" s="84">
        <f>TrRoad_act!O75</f>
        <v>604</v>
      </c>
      <c r="P21" s="84">
        <f>TrRoad_act!P75</f>
        <v>560</v>
      </c>
      <c r="Q21" s="84">
        <f>TrRoad_act!Q75</f>
        <v>503</v>
      </c>
      <c r="R21" s="84">
        <f>TrRoad_act!R75</f>
        <v>445</v>
      </c>
      <c r="S21" s="84">
        <f>TrRoad_act!S75</f>
        <v>484</v>
      </c>
      <c r="T21" s="84">
        <f>TrRoad_act!T75</f>
        <v>497</v>
      </c>
      <c r="U21" s="84">
        <f>TrRoad_act!U75</f>
        <v>555</v>
      </c>
      <c r="V21" s="84">
        <f>TrRoad_act!V75</f>
        <v>752</v>
      </c>
      <c r="W21" s="84">
        <f>TrRoad_act!W75</f>
        <v>854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153501</v>
      </c>
      <c r="C22" s="84">
        <f>TrRoad_act!C76</f>
        <v>167127</v>
      </c>
      <c r="D22" s="84">
        <f>TrRoad_act!D76</f>
        <v>180289</v>
      </c>
      <c r="E22" s="84">
        <f>TrRoad_act!E76</f>
        <v>194683</v>
      </c>
      <c r="F22" s="84">
        <f>TrRoad_act!F76</f>
        <v>208449</v>
      </c>
      <c r="G22" s="84">
        <f>TrRoad_act!G76</f>
        <v>224042</v>
      </c>
      <c r="H22" s="84">
        <f>TrRoad_act!H76</f>
        <v>241732</v>
      </c>
      <c r="I22" s="84">
        <f>TrRoad_act!I76</f>
        <v>257166</v>
      </c>
      <c r="J22" s="84">
        <f>TrRoad_act!J76</f>
        <v>260578</v>
      </c>
      <c r="K22" s="84">
        <f>TrRoad_act!K76</f>
        <v>254557</v>
      </c>
      <c r="L22" s="84">
        <f>TrRoad_act!L76</f>
        <v>246085</v>
      </c>
      <c r="M22" s="84">
        <f>TrRoad_act!M76</f>
        <v>241554</v>
      </c>
      <c r="N22" s="84">
        <f>TrRoad_act!N76</f>
        <v>234073</v>
      </c>
      <c r="O22" s="84">
        <f>TrRoad_act!O76</f>
        <v>235857</v>
      </c>
      <c r="P22" s="84">
        <f>TrRoad_act!P76</f>
        <v>229367</v>
      </c>
      <c r="Q22" s="84">
        <f>TrRoad_act!Q76</f>
        <v>222131</v>
      </c>
      <c r="R22" s="84">
        <f>TrRoad_act!R76</f>
        <v>217688</v>
      </c>
      <c r="S22" s="84">
        <f>TrRoad_act!S76</f>
        <v>217694</v>
      </c>
      <c r="T22" s="84">
        <f>TrRoad_act!T76</f>
        <v>217694</v>
      </c>
      <c r="U22" s="84">
        <f>TrRoad_act!U76</f>
        <v>217698</v>
      </c>
      <c r="V22" s="84">
        <f>TrRoad_act!V76</f>
        <v>217742</v>
      </c>
      <c r="W22" s="84">
        <f>TrRoad_act!W76</f>
        <v>218088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2</v>
      </c>
      <c r="P23" s="84">
        <f>TrRoad_act!P77</f>
        <v>4</v>
      </c>
      <c r="Q23" s="84">
        <f>TrRoad_act!Q77</f>
        <v>4</v>
      </c>
      <c r="R23" s="84">
        <f>TrRoad_act!R77</f>
        <v>4</v>
      </c>
      <c r="S23" s="84">
        <f>TrRoad_act!S77</f>
        <v>5</v>
      </c>
      <c r="T23" s="84">
        <f>TrRoad_act!T77</f>
        <v>5</v>
      </c>
      <c r="U23" s="84">
        <f>TrRoad_act!U77</f>
        <v>5</v>
      </c>
      <c r="V23" s="84">
        <f>TrRoad_act!V77</f>
        <v>4</v>
      </c>
      <c r="W23" s="84">
        <f>TrRoad_act!W77</f>
        <v>4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34</v>
      </c>
      <c r="N25" s="84">
        <f>TrRoad_act!N79</f>
        <v>77</v>
      </c>
      <c r="O25" s="84">
        <f>TrRoad_act!O79</f>
        <v>81</v>
      </c>
      <c r="P25" s="84">
        <f>TrRoad_act!P79</f>
        <v>92</v>
      </c>
      <c r="Q25" s="84">
        <f>TrRoad_act!Q79</f>
        <v>88</v>
      </c>
      <c r="R25" s="84">
        <f>TrRoad_act!R79</f>
        <v>92</v>
      </c>
      <c r="S25" s="84">
        <f>TrRoad_act!S79</f>
        <v>152</v>
      </c>
      <c r="T25" s="84">
        <f>TrRoad_act!T79</f>
        <v>165</v>
      </c>
      <c r="U25" s="84">
        <f>TrRoad_act!U79</f>
        <v>332</v>
      </c>
      <c r="V25" s="84">
        <f>TrRoad_act!V79</f>
        <v>890</v>
      </c>
      <c r="W25" s="84">
        <f>TrRoad_act!W79</f>
        <v>1548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65626</v>
      </c>
      <c r="C26" s="110">
        <f>TrRoad_act!C80</f>
        <v>74587</v>
      </c>
      <c r="D26" s="110">
        <f>TrRoad_act!D80</f>
        <v>76378</v>
      </c>
      <c r="E26" s="110">
        <f>TrRoad_act!E80</f>
        <v>78357</v>
      </c>
      <c r="F26" s="110">
        <f>TrRoad_act!F80</f>
        <v>82047</v>
      </c>
      <c r="G26" s="110">
        <f>TrRoad_act!G80</f>
        <v>90968</v>
      </c>
      <c r="H26" s="110">
        <f>TrRoad_act!H80</f>
        <v>102552</v>
      </c>
      <c r="I26" s="110">
        <f>TrRoad_act!I80</f>
        <v>115782</v>
      </c>
      <c r="J26" s="110">
        <f>TrRoad_act!J80</f>
        <v>95660</v>
      </c>
      <c r="K26" s="110">
        <f>TrRoad_act!K80</f>
        <v>86203</v>
      </c>
      <c r="L26" s="110">
        <f>TrRoad_act!L80</f>
        <v>82887</v>
      </c>
      <c r="M26" s="110">
        <f>TrRoad_act!M80</f>
        <v>80136</v>
      </c>
      <c r="N26" s="110">
        <f>TrRoad_act!N80</f>
        <v>78747</v>
      </c>
      <c r="O26" s="110">
        <f>TrRoad_act!O80</f>
        <v>76825</v>
      </c>
      <c r="P26" s="110">
        <f>TrRoad_act!P80</f>
        <v>81176</v>
      </c>
      <c r="Q26" s="110">
        <f>TrRoad_act!Q80</f>
        <v>86215</v>
      </c>
      <c r="R26" s="110">
        <f>TrRoad_act!R80</f>
        <v>88200</v>
      </c>
      <c r="S26" s="110">
        <f>TrRoad_act!S80</f>
        <v>92366</v>
      </c>
      <c r="T26" s="110">
        <f>TrRoad_act!T80</f>
        <v>93961</v>
      </c>
      <c r="U26" s="110">
        <f>TrRoad_act!U80</f>
        <v>95229</v>
      </c>
      <c r="V26" s="110">
        <f>TrRoad_act!V80</f>
        <v>92911</v>
      </c>
      <c r="W26" s="110">
        <f>TrRoad_act!W80</f>
        <v>96562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64655</v>
      </c>
      <c r="C27" s="102">
        <f>TrRoad_act!C81</f>
        <v>73546</v>
      </c>
      <c r="D27" s="102">
        <f>TrRoad_act!D81</f>
        <v>75282</v>
      </c>
      <c r="E27" s="102">
        <f>TrRoad_act!E81</f>
        <v>77237</v>
      </c>
      <c r="F27" s="102">
        <f>TrRoad_act!F81</f>
        <v>80723</v>
      </c>
      <c r="G27" s="102">
        <f>TrRoad_act!G81</f>
        <v>89599</v>
      </c>
      <c r="H27" s="102">
        <f>TrRoad_act!H81</f>
        <v>101146</v>
      </c>
      <c r="I27" s="102">
        <f>TrRoad_act!I81</f>
        <v>114266</v>
      </c>
      <c r="J27" s="102">
        <f>TrRoad_act!J81</f>
        <v>94323</v>
      </c>
      <c r="K27" s="102">
        <f>TrRoad_act!K81</f>
        <v>85050</v>
      </c>
      <c r="L27" s="102">
        <f>TrRoad_act!L81</f>
        <v>81696</v>
      </c>
      <c r="M27" s="102">
        <f>TrRoad_act!M81</f>
        <v>78837</v>
      </c>
      <c r="N27" s="102">
        <f>TrRoad_act!N81</f>
        <v>77579</v>
      </c>
      <c r="O27" s="102">
        <f>TrRoad_act!O81</f>
        <v>75709</v>
      </c>
      <c r="P27" s="102">
        <f>TrRoad_act!P81</f>
        <v>80088</v>
      </c>
      <c r="Q27" s="102">
        <f>TrRoad_act!Q81</f>
        <v>84989</v>
      </c>
      <c r="R27" s="102">
        <f>TrRoad_act!R81</f>
        <v>87095</v>
      </c>
      <c r="S27" s="102">
        <f>TrRoad_act!S81</f>
        <v>91290</v>
      </c>
      <c r="T27" s="102">
        <f>TrRoad_act!T81</f>
        <v>92774</v>
      </c>
      <c r="U27" s="102">
        <f>TrRoad_act!U81</f>
        <v>93874</v>
      </c>
      <c r="V27" s="102">
        <f>TrRoad_act!V81</f>
        <v>92415</v>
      </c>
      <c r="W27" s="102">
        <f>TrRoad_act!W81</f>
        <v>96051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971</v>
      </c>
      <c r="C28" s="86">
        <f>TrRoad_act!C82</f>
        <v>1041</v>
      </c>
      <c r="D28" s="86">
        <f>TrRoad_act!D82</f>
        <v>1096</v>
      </c>
      <c r="E28" s="86">
        <f>TrRoad_act!E82</f>
        <v>1120</v>
      </c>
      <c r="F28" s="86">
        <f>TrRoad_act!F82</f>
        <v>1324</v>
      </c>
      <c r="G28" s="86">
        <f>TrRoad_act!G82</f>
        <v>1369</v>
      </c>
      <c r="H28" s="86">
        <f>TrRoad_act!H82</f>
        <v>1406</v>
      </c>
      <c r="I28" s="86">
        <f>TrRoad_act!I82</f>
        <v>1516</v>
      </c>
      <c r="J28" s="86">
        <f>TrRoad_act!J82</f>
        <v>1337</v>
      </c>
      <c r="K28" s="86">
        <f>TrRoad_act!K82</f>
        <v>1153</v>
      </c>
      <c r="L28" s="86">
        <f>TrRoad_act!L82</f>
        <v>1191</v>
      </c>
      <c r="M28" s="86">
        <f>TrRoad_act!M82</f>
        <v>1299</v>
      </c>
      <c r="N28" s="86">
        <f>TrRoad_act!N82</f>
        <v>1168</v>
      </c>
      <c r="O28" s="86">
        <f>TrRoad_act!O82</f>
        <v>1116</v>
      </c>
      <c r="P28" s="86">
        <f>TrRoad_act!P82</f>
        <v>1088</v>
      </c>
      <c r="Q28" s="86">
        <f>TrRoad_act!Q82</f>
        <v>1226</v>
      </c>
      <c r="R28" s="86">
        <f>TrRoad_act!R82</f>
        <v>1105</v>
      </c>
      <c r="S28" s="86">
        <f>TrRoad_act!S82</f>
        <v>1076</v>
      </c>
      <c r="T28" s="86">
        <f>TrRoad_act!T82</f>
        <v>1187</v>
      </c>
      <c r="U28" s="86">
        <f>TrRoad_act!U82</f>
        <v>1355</v>
      </c>
      <c r="V28" s="86">
        <f>TrRoad_act!V82</f>
        <v>496</v>
      </c>
      <c r="W28" s="86">
        <f>TrRoad_act!W82</f>
        <v>511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263970</v>
      </c>
      <c r="C30" s="54">
        <f>TrRoad_act!C111</f>
        <v>199545</v>
      </c>
      <c r="D30" s="54">
        <f>TrRoad_act!D111</f>
        <v>185961</v>
      </c>
      <c r="E30" s="54">
        <f>TrRoad_act!E111</f>
        <v>178407</v>
      </c>
      <c r="F30" s="54">
        <f>TrRoad_act!F111</f>
        <v>185357</v>
      </c>
      <c r="G30" s="54">
        <f>TrRoad_act!G111</f>
        <v>220541</v>
      </c>
      <c r="H30" s="54">
        <f>TrRoad_act!H111</f>
        <v>267326</v>
      </c>
      <c r="I30" s="54">
        <f>TrRoad_act!I111</f>
        <v>244705</v>
      </c>
      <c r="J30" s="54">
        <f>TrRoad_act!J111</f>
        <v>222393</v>
      </c>
      <c r="K30" s="54">
        <f>TrRoad_act!K111</f>
        <v>78471</v>
      </c>
      <c r="L30" s="54">
        <f>TrRoad_act!L111</f>
        <v>120315</v>
      </c>
      <c r="M30" s="54">
        <f>TrRoad_act!M111</f>
        <v>139506</v>
      </c>
      <c r="N30" s="54">
        <f>TrRoad_act!N111</f>
        <v>101117</v>
      </c>
      <c r="O30" s="54">
        <f>TrRoad_act!O111</f>
        <v>200384</v>
      </c>
      <c r="P30" s="54">
        <f>TrRoad_act!P111</f>
        <v>143401</v>
      </c>
      <c r="Q30" s="54">
        <f>TrRoad_act!Q111</f>
        <v>169773</v>
      </c>
      <c r="R30" s="54">
        <f>TrRoad_act!R111</f>
        <v>198726</v>
      </c>
      <c r="S30" s="54">
        <f>TrRoad_act!S111</f>
        <v>201409</v>
      </c>
      <c r="T30" s="54">
        <f>TrRoad_act!T111</f>
        <v>217812</v>
      </c>
      <c r="U30" s="54">
        <f>TrRoad_act!U111</f>
        <v>237763</v>
      </c>
      <c r="V30" s="54">
        <f>TrRoad_act!V111</f>
        <v>195599</v>
      </c>
      <c r="W30" s="54">
        <f>TrRoad_act!W111</f>
        <v>201371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232481</v>
      </c>
      <c r="C31" s="28">
        <f>TrRoad_act!C112</f>
        <v>168651</v>
      </c>
      <c r="D31" s="28">
        <f>TrRoad_act!D112</f>
        <v>159122</v>
      </c>
      <c r="E31" s="28">
        <f>TrRoad_act!E112</f>
        <v>149341</v>
      </c>
      <c r="F31" s="28">
        <f>TrRoad_act!F112</f>
        <v>155848</v>
      </c>
      <c r="G31" s="28">
        <f>TrRoad_act!G112</f>
        <v>183638</v>
      </c>
      <c r="H31" s="28">
        <f>TrRoad_act!H112</f>
        <v>225914</v>
      </c>
      <c r="I31" s="28">
        <f>TrRoad_act!I112</f>
        <v>201572</v>
      </c>
      <c r="J31" s="28">
        <f>TrRoad_act!J112</f>
        <v>193355</v>
      </c>
      <c r="K31" s="28">
        <f>TrRoad_act!K112</f>
        <v>69231</v>
      </c>
      <c r="L31" s="28">
        <f>TrRoad_act!L112</f>
        <v>109456</v>
      </c>
      <c r="M31" s="28">
        <f>TrRoad_act!M112</f>
        <v>127537</v>
      </c>
      <c r="N31" s="28">
        <f>TrRoad_act!N112</f>
        <v>89981</v>
      </c>
      <c r="O31" s="28">
        <f>TrRoad_act!O112</f>
        <v>188275</v>
      </c>
      <c r="P31" s="28">
        <f>TrRoad_act!P112</f>
        <v>125743</v>
      </c>
      <c r="Q31" s="28">
        <f>TrRoad_act!Q112</f>
        <v>146830</v>
      </c>
      <c r="R31" s="28">
        <f>TrRoad_act!R112</f>
        <v>171446</v>
      </c>
      <c r="S31" s="28">
        <f>TrRoad_act!S112</f>
        <v>175520</v>
      </c>
      <c r="T31" s="28">
        <f>TrRoad_act!T112</f>
        <v>194373</v>
      </c>
      <c r="U31" s="28">
        <f>TrRoad_act!U112</f>
        <v>214111</v>
      </c>
      <c r="V31" s="28">
        <f>TrRoad_act!V112</f>
        <v>177851</v>
      </c>
      <c r="W31" s="28">
        <f>TrRoad_act!W112</f>
        <v>174104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3848</v>
      </c>
      <c r="C32" s="137">
        <f>TrRoad_act!C113</f>
        <v>4705</v>
      </c>
      <c r="D32" s="137">
        <f>TrRoad_act!D113</f>
        <v>5596</v>
      </c>
      <c r="E32" s="137">
        <f>TrRoad_act!E113</f>
        <v>2853</v>
      </c>
      <c r="F32" s="137">
        <f>TrRoad_act!F113</f>
        <v>2534</v>
      </c>
      <c r="G32" s="137">
        <f>TrRoad_act!G113</f>
        <v>2391</v>
      </c>
      <c r="H32" s="137">
        <f>TrRoad_act!H113</f>
        <v>2508</v>
      </c>
      <c r="I32" s="137">
        <f>TrRoad_act!I113</f>
        <v>2882</v>
      </c>
      <c r="J32" s="137">
        <f>TrRoad_act!J113</f>
        <v>2789</v>
      </c>
      <c r="K32" s="137">
        <f>TrRoad_act!K113</f>
        <v>1422</v>
      </c>
      <c r="L32" s="137">
        <f>TrRoad_act!L113</f>
        <v>1112</v>
      </c>
      <c r="M32" s="137">
        <f>TrRoad_act!M113</f>
        <v>831</v>
      </c>
      <c r="N32" s="137">
        <f>TrRoad_act!N113</f>
        <v>663</v>
      </c>
      <c r="O32" s="137">
        <f>TrRoad_act!O113</f>
        <v>3044</v>
      </c>
      <c r="P32" s="137">
        <f>TrRoad_act!P113</f>
        <v>1499</v>
      </c>
      <c r="Q32" s="137">
        <f>TrRoad_act!Q113</f>
        <v>2022</v>
      </c>
      <c r="R32" s="137">
        <f>TrRoad_act!R113</f>
        <v>2604</v>
      </c>
      <c r="S32" s="137">
        <f>TrRoad_act!S113</f>
        <v>3420</v>
      </c>
      <c r="T32" s="137">
        <f>TrRoad_act!T113</f>
        <v>2371</v>
      </c>
      <c r="U32" s="137">
        <f>TrRoad_act!U113</f>
        <v>3897</v>
      </c>
      <c r="V32" s="137">
        <f>TrRoad_act!V113</f>
        <v>3964</v>
      </c>
      <c r="W32" s="137">
        <f>TrRoad_act!W113</f>
        <v>3489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227432</v>
      </c>
      <c r="C33" s="110">
        <f>TrRoad_act!C114</f>
        <v>163143</v>
      </c>
      <c r="D33" s="110">
        <f>TrRoad_act!D114</f>
        <v>152879</v>
      </c>
      <c r="E33" s="110">
        <f>TrRoad_act!E114</f>
        <v>145532</v>
      </c>
      <c r="F33" s="110">
        <f>TrRoad_act!F114</f>
        <v>152487</v>
      </c>
      <c r="G33" s="110">
        <f>TrRoad_act!G114</f>
        <v>180386</v>
      </c>
      <c r="H33" s="110">
        <f>TrRoad_act!H114</f>
        <v>222270</v>
      </c>
      <c r="I33" s="110">
        <f>TrRoad_act!I114</f>
        <v>197572</v>
      </c>
      <c r="J33" s="110">
        <f>TrRoad_act!J114</f>
        <v>189414</v>
      </c>
      <c r="K33" s="110">
        <f>TrRoad_act!K114</f>
        <v>67434</v>
      </c>
      <c r="L33" s="110">
        <f>TrRoad_act!L114</f>
        <v>108103</v>
      </c>
      <c r="M33" s="110">
        <f>TrRoad_act!M114</f>
        <v>126109</v>
      </c>
      <c r="N33" s="110">
        <f>TrRoad_act!N114</f>
        <v>88649</v>
      </c>
      <c r="O33" s="110">
        <f>TrRoad_act!O114</f>
        <v>184381</v>
      </c>
      <c r="P33" s="110">
        <f>TrRoad_act!P114</f>
        <v>123369</v>
      </c>
      <c r="Q33" s="110">
        <f>TrRoad_act!Q114</f>
        <v>143705</v>
      </c>
      <c r="R33" s="110">
        <f>TrRoad_act!R114</f>
        <v>167745</v>
      </c>
      <c r="S33" s="110">
        <f>TrRoad_act!S114</f>
        <v>171023</v>
      </c>
      <c r="T33" s="110">
        <f>TrRoad_act!T114</f>
        <v>190839</v>
      </c>
      <c r="U33" s="110">
        <f>TrRoad_act!U114</f>
        <v>209074</v>
      </c>
      <c r="V33" s="110">
        <f>TrRoad_act!V114</f>
        <v>173620</v>
      </c>
      <c r="W33" s="110">
        <f>TrRoad_act!W114</f>
        <v>169797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201938</v>
      </c>
      <c r="C34" s="84">
        <f>TrRoad_act!C115</f>
        <v>139909</v>
      </c>
      <c r="D34" s="84">
        <f>TrRoad_act!D115</f>
        <v>125347</v>
      </c>
      <c r="E34" s="84">
        <f>TrRoad_act!E115</f>
        <v>117765</v>
      </c>
      <c r="F34" s="84">
        <f>TrRoad_act!F115</f>
        <v>121504</v>
      </c>
      <c r="G34" s="84">
        <f>TrRoad_act!G115</f>
        <v>129552</v>
      </c>
      <c r="H34" s="84">
        <f>TrRoad_act!H115</f>
        <v>153065</v>
      </c>
      <c r="I34" s="84">
        <f>TrRoad_act!I115</f>
        <v>131964</v>
      </c>
      <c r="J34" s="84">
        <f>TrRoad_act!J115</f>
        <v>96775</v>
      </c>
      <c r="K34" s="84">
        <f>TrRoad_act!K115</f>
        <v>21275</v>
      </c>
      <c r="L34" s="84">
        <f>TrRoad_act!L115</f>
        <v>35382</v>
      </c>
      <c r="M34" s="84">
        <f>TrRoad_act!M115</f>
        <v>31492</v>
      </c>
      <c r="N34" s="84">
        <f>TrRoad_act!N115</f>
        <v>19759</v>
      </c>
      <c r="O34" s="84">
        <f>TrRoad_act!O115</f>
        <v>18032</v>
      </c>
      <c r="P34" s="84">
        <f>TrRoad_act!P115</f>
        <v>26309</v>
      </c>
      <c r="Q34" s="84">
        <f>TrRoad_act!Q115</f>
        <v>39096</v>
      </c>
      <c r="R34" s="84">
        <f>TrRoad_act!R115</f>
        <v>46686</v>
      </c>
      <c r="S34" s="84">
        <f>TrRoad_act!S115</f>
        <v>50143</v>
      </c>
      <c r="T34" s="84">
        <f>TrRoad_act!T115</f>
        <v>62142</v>
      </c>
      <c r="U34" s="84">
        <f>TrRoad_act!U115</f>
        <v>68121</v>
      </c>
      <c r="V34" s="84">
        <f>TrRoad_act!V115</f>
        <v>52593</v>
      </c>
      <c r="W34" s="84">
        <f>TrRoad_act!W115</f>
        <v>62823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25494</v>
      </c>
      <c r="C35" s="84">
        <f>TrRoad_act!C116</f>
        <v>23234</v>
      </c>
      <c r="D35" s="84">
        <f>TrRoad_act!D116</f>
        <v>27532</v>
      </c>
      <c r="E35" s="84">
        <f>TrRoad_act!E116</f>
        <v>27767</v>
      </c>
      <c r="F35" s="84">
        <f>TrRoad_act!F116</f>
        <v>30983</v>
      </c>
      <c r="G35" s="84">
        <f>TrRoad_act!G116</f>
        <v>50834</v>
      </c>
      <c r="H35" s="84">
        <f>TrRoad_act!H116</f>
        <v>69205</v>
      </c>
      <c r="I35" s="84">
        <f>TrRoad_act!I116</f>
        <v>65402</v>
      </c>
      <c r="J35" s="84">
        <f>TrRoad_act!J116</f>
        <v>92639</v>
      </c>
      <c r="K35" s="84">
        <f>TrRoad_act!K116</f>
        <v>46137</v>
      </c>
      <c r="L35" s="84">
        <f>TrRoad_act!L116</f>
        <v>72686</v>
      </c>
      <c r="M35" s="84">
        <f>TrRoad_act!M116</f>
        <v>93962</v>
      </c>
      <c r="N35" s="84">
        <f>TrRoad_act!N116</f>
        <v>67689</v>
      </c>
      <c r="O35" s="84">
        <f>TrRoad_act!O116</f>
        <v>165908</v>
      </c>
      <c r="P35" s="84">
        <f>TrRoad_act!P116</f>
        <v>95819</v>
      </c>
      <c r="Q35" s="84">
        <f>TrRoad_act!Q116</f>
        <v>103908</v>
      </c>
      <c r="R35" s="84">
        <f>TrRoad_act!R116</f>
        <v>120350</v>
      </c>
      <c r="S35" s="84">
        <f>TrRoad_act!S116</f>
        <v>119914</v>
      </c>
      <c r="T35" s="84">
        <f>TrRoad_act!T116</f>
        <v>126083</v>
      </c>
      <c r="U35" s="84">
        <f>TrRoad_act!U116</f>
        <v>135744</v>
      </c>
      <c r="V35" s="84">
        <f>TrRoad_act!V116</f>
        <v>114211</v>
      </c>
      <c r="W35" s="84">
        <f>TrRoad_act!W116</f>
        <v>85518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206</v>
      </c>
      <c r="J36" s="84">
        <f>TrRoad_act!J117</f>
        <v>0</v>
      </c>
      <c r="K36" s="84">
        <f>TrRoad_act!K117</f>
        <v>20</v>
      </c>
      <c r="L36" s="84">
        <f>TrRoad_act!L117</f>
        <v>16</v>
      </c>
      <c r="M36" s="84">
        <f>TrRoad_act!M117</f>
        <v>58</v>
      </c>
      <c r="N36" s="84">
        <f>TrRoad_act!N117</f>
        <v>433</v>
      </c>
      <c r="O36" s="84">
        <f>TrRoad_act!O117</f>
        <v>267</v>
      </c>
      <c r="P36" s="84">
        <f>TrRoad_act!P117</f>
        <v>890</v>
      </c>
      <c r="Q36" s="84">
        <f>TrRoad_act!Q117</f>
        <v>108</v>
      </c>
      <c r="R36" s="84">
        <f>TrRoad_act!R117</f>
        <v>0</v>
      </c>
      <c r="S36" s="84">
        <f>TrRoad_act!S117</f>
        <v>8</v>
      </c>
      <c r="T36" s="84">
        <f>TrRoad_act!T117</f>
        <v>9</v>
      </c>
      <c r="U36" s="84">
        <f>TrRoad_act!U117</f>
        <v>11</v>
      </c>
      <c r="V36" s="84">
        <f>TrRoad_act!V117</f>
        <v>23</v>
      </c>
      <c r="W36" s="84">
        <f>TrRoad_act!W117</f>
        <v>334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7</v>
      </c>
      <c r="P38" s="84">
        <f>TrRoad_act!P119</f>
        <v>33</v>
      </c>
      <c r="Q38" s="84">
        <f>TrRoad_act!Q119</f>
        <v>99</v>
      </c>
      <c r="R38" s="84">
        <f>TrRoad_act!R119</f>
        <v>289</v>
      </c>
      <c r="S38" s="84">
        <f>TrRoad_act!S119</f>
        <v>327</v>
      </c>
      <c r="T38" s="84">
        <f>TrRoad_act!T119</f>
        <v>893</v>
      </c>
      <c r="U38" s="84">
        <f>TrRoad_act!U119</f>
        <v>1533</v>
      </c>
      <c r="V38" s="84">
        <f>TrRoad_act!V119</f>
        <v>2718</v>
      </c>
      <c r="W38" s="84">
        <f>TrRoad_act!W119</f>
        <v>11923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2</v>
      </c>
      <c r="L39" s="84">
        <f>TrRoad_act!L120</f>
        <v>19</v>
      </c>
      <c r="M39" s="84">
        <f>TrRoad_act!M120</f>
        <v>597</v>
      </c>
      <c r="N39" s="84">
        <f>TrRoad_act!N120</f>
        <v>768</v>
      </c>
      <c r="O39" s="84">
        <f>TrRoad_act!O120</f>
        <v>167</v>
      </c>
      <c r="P39" s="84">
        <f>TrRoad_act!P120</f>
        <v>318</v>
      </c>
      <c r="Q39" s="84">
        <f>TrRoad_act!Q120</f>
        <v>494</v>
      </c>
      <c r="R39" s="84">
        <f>TrRoad_act!R120</f>
        <v>420</v>
      </c>
      <c r="S39" s="84">
        <f>TrRoad_act!S120</f>
        <v>631</v>
      </c>
      <c r="T39" s="84">
        <f>TrRoad_act!T120</f>
        <v>1712</v>
      </c>
      <c r="U39" s="84">
        <f>TrRoad_act!U120</f>
        <v>3665</v>
      </c>
      <c r="V39" s="84">
        <f>TrRoad_act!V120</f>
        <v>4075</v>
      </c>
      <c r="W39" s="84">
        <f>TrRoad_act!W120</f>
        <v>9199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1201</v>
      </c>
      <c r="C40" s="110">
        <f>TrRoad_act!C121</f>
        <v>803</v>
      </c>
      <c r="D40" s="110">
        <f>TrRoad_act!D121</f>
        <v>647</v>
      </c>
      <c r="E40" s="110">
        <f>TrRoad_act!E121</f>
        <v>956</v>
      </c>
      <c r="F40" s="110">
        <f>TrRoad_act!F121</f>
        <v>827</v>
      </c>
      <c r="G40" s="110">
        <f>TrRoad_act!G121</f>
        <v>861</v>
      </c>
      <c r="H40" s="110">
        <f>TrRoad_act!H121</f>
        <v>1136</v>
      </c>
      <c r="I40" s="110">
        <f>TrRoad_act!I121</f>
        <v>1118</v>
      </c>
      <c r="J40" s="110">
        <f>TrRoad_act!J121</f>
        <v>1152</v>
      </c>
      <c r="K40" s="110">
        <f>TrRoad_act!K121</f>
        <v>375</v>
      </c>
      <c r="L40" s="110">
        <f>TrRoad_act!L121</f>
        <v>241</v>
      </c>
      <c r="M40" s="110">
        <f>TrRoad_act!M121</f>
        <v>597</v>
      </c>
      <c r="N40" s="110">
        <f>TrRoad_act!N121</f>
        <v>669</v>
      </c>
      <c r="O40" s="110">
        <f>TrRoad_act!O121</f>
        <v>850</v>
      </c>
      <c r="P40" s="110">
        <f>TrRoad_act!P121</f>
        <v>875</v>
      </c>
      <c r="Q40" s="110">
        <f>TrRoad_act!Q121</f>
        <v>1103</v>
      </c>
      <c r="R40" s="110">
        <f>TrRoad_act!R121</f>
        <v>1097</v>
      </c>
      <c r="S40" s="110">
        <f>TrRoad_act!S121</f>
        <v>1077</v>
      </c>
      <c r="T40" s="110">
        <f>TrRoad_act!T121</f>
        <v>1163</v>
      </c>
      <c r="U40" s="110">
        <f>TrRoad_act!U121</f>
        <v>1140</v>
      </c>
      <c r="V40" s="110">
        <f>TrRoad_act!V121</f>
        <v>267</v>
      </c>
      <c r="W40" s="110">
        <f>TrRoad_act!W121</f>
        <v>818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1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1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3</v>
      </c>
      <c r="T41" s="102">
        <f>TrRoad_act!T122</f>
        <v>0</v>
      </c>
      <c r="U41" s="102">
        <f>TrRoad_act!U122</f>
        <v>3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1200</v>
      </c>
      <c r="C42" s="102">
        <f>TrRoad_act!C123</f>
        <v>802</v>
      </c>
      <c r="D42" s="102">
        <f>TrRoad_act!D123</f>
        <v>647</v>
      </c>
      <c r="E42" s="102">
        <f>TrRoad_act!E123</f>
        <v>956</v>
      </c>
      <c r="F42" s="102">
        <f>TrRoad_act!F123</f>
        <v>827</v>
      </c>
      <c r="G42" s="102">
        <f>TrRoad_act!G123</f>
        <v>861</v>
      </c>
      <c r="H42" s="102">
        <f>TrRoad_act!H123</f>
        <v>1136</v>
      </c>
      <c r="I42" s="102">
        <f>TrRoad_act!I123</f>
        <v>1117</v>
      </c>
      <c r="J42" s="102">
        <f>TrRoad_act!J123</f>
        <v>1151</v>
      </c>
      <c r="K42" s="102">
        <f>TrRoad_act!K123</f>
        <v>375</v>
      </c>
      <c r="L42" s="102">
        <f>TrRoad_act!L123</f>
        <v>241</v>
      </c>
      <c r="M42" s="102">
        <f>TrRoad_act!M123</f>
        <v>597</v>
      </c>
      <c r="N42" s="102">
        <f>TrRoad_act!N123</f>
        <v>669</v>
      </c>
      <c r="O42" s="102">
        <f>TrRoad_act!O123</f>
        <v>850</v>
      </c>
      <c r="P42" s="102">
        <f>TrRoad_act!P123</f>
        <v>875</v>
      </c>
      <c r="Q42" s="102">
        <f>TrRoad_act!Q123</f>
        <v>1103</v>
      </c>
      <c r="R42" s="102">
        <f>TrRoad_act!R123</f>
        <v>1097</v>
      </c>
      <c r="S42" s="102">
        <f>TrRoad_act!S123</f>
        <v>1074</v>
      </c>
      <c r="T42" s="102">
        <f>TrRoad_act!T123</f>
        <v>1163</v>
      </c>
      <c r="U42" s="102">
        <f>TrRoad_act!U123</f>
        <v>1136</v>
      </c>
      <c r="V42" s="102">
        <f>TrRoad_act!V123</f>
        <v>264</v>
      </c>
      <c r="W42" s="102">
        <f>TrRoad_act!W123</f>
        <v>815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1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1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0</v>
      </c>
      <c r="U45" s="102">
        <f>TrRoad_act!U126</f>
        <v>1</v>
      </c>
      <c r="V45" s="102">
        <f>TrRoad_act!V126</f>
        <v>3</v>
      </c>
      <c r="W45" s="102">
        <f>TrRoad_act!W126</f>
        <v>3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31489</v>
      </c>
      <c r="C46" s="28">
        <f>TrRoad_act!C127</f>
        <v>30894</v>
      </c>
      <c r="D46" s="28">
        <f>TrRoad_act!D127</f>
        <v>26839</v>
      </c>
      <c r="E46" s="28">
        <f>TrRoad_act!E127</f>
        <v>29066</v>
      </c>
      <c r="F46" s="28">
        <f>TrRoad_act!F127</f>
        <v>29509</v>
      </c>
      <c r="G46" s="28">
        <f>TrRoad_act!G127</f>
        <v>36903</v>
      </c>
      <c r="H46" s="28">
        <f>TrRoad_act!H127</f>
        <v>41412</v>
      </c>
      <c r="I46" s="28">
        <f>TrRoad_act!I127</f>
        <v>43133</v>
      </c>
      <c r="J46" s="28">
        <f>TrRoad_act!J127</f>
        <v>29038</v>
      </c>
      <c r="K46" s="28">
        <f>TrRoad_act!K127</f>
        <v>9240</v>
      </c>
      <c r="L46" s="28">
        <f>TrRoad_act!L127</f>
        <v>10859</v>
      </c>
      <c r="M46" s="28">
        <f>TrRoad_act!M127</f>
        <v>11969</v>
      </c>
      <c r="N46" s="28">
        <f>TrRoad_act!N127</f>
        <v>11136</v>
      </c>
      <c r="O46" s="28">
        <f>TrRoad_act!O127</f>
        <v>12109</v>
      </c>
      <c r="P46" s="28">
        <f>TrRoad_act!P127</f>
        <v>17658</v>
      </c>
      <c r="Q46" s="28">
        <f>TrRoad_act!Q127</f>
        <v>22943</v>
      </c>
      <c r="R46" s="28">
        <f>TrRoad_act!R127</f>
        <v>27280</v>
      </c>
      <c r="S46" s="28">
        <f>TrRoad_act!S127</f>
        <v>25889</v>
      </c>
      <c r="T46" s="28">
        <f>TrRoad_act!T127</f>
        <v>23439</v>
      </c>
      <c r="U46" s="28">
        <f>TrRoad_act!U127</f>
        <v>23652</v>
      </c>
      <c r="V46" s="28">
        <f>TrRoad_act!V127</f>
        <v>17748</v>
      </c>
      <c r="W46" s="28">
        <f>TrRoad_act!W127</f>
        <v>27267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25683</v>
      </c>
      <c r="C47" s="137">
        <f>TrRoad_act!C128</f>
        <v>21891</v>
      </c>
      <c r="D47" s="137">
        <f>TrRoad_act!D128</f>
        <v>21603</v>
      </c>
      <c r="E47" s="137">
        <f>TrRoad_act!E128</f>
        <v>22983</v>
      </c>
      <c r="F47" s="137">
        <f>TrRoad_act!F128</f>
        <v>22746</v>
      </c>
      <c r="G47" s="137">
        <f>TrRoad_act!G128</f>
        <v>27901</v>
      </c>
      <c r="H47" s="137">
        <f>TrRoad_act!H128</f>
        <v>29739</v>
      </c>
      <c r="I47" s="137">
        <f>TrRoad_act!I128</f>
        <v>29785</v>
      </c>
      <c r="J47" s="137">
        <f>TrRoad_act!J128</f>
        <v>20266</v>
      </c>
      <c r="K47" s="137">
        <f>TrRoad_act!K128</f>
        <v>6794</v>
      </c>
      <c r="L47" s="137">
        <f>TrRoad_act!L128</f>
        <v>8214</v>
      </c>
      <c r="M47" s="137">
        <f>TrRoad_act!M128</f>
        <v>9189</v>
      </c>
      <c r="N47" s="137">
        <f>TrRoad_act!N128</f>
        <v>8436</v>
      </c>
      <c r="O47" s="137">
        <f>TrRoad_act!O128</f>
        <v>8692</v>
      </c>
      <c r="P47" s="137">
        <f>TrRoad_act!P128</f>
        <v>12889</v>
      </c>
      <c r="Q47" s="137">
        <f>TrRoad_act!Q128</f>
        <v>15954</v>
      </c>
      <c r="R47" s="137">
        <f>TrRoad_act!R128</f>
        <v>18034</v>
      </c>
      <c r="S47" s="137">
        <f>TrRoad_act!S128</f>
        <v>14916</v>
      </c>
      <c r="T47" s="137">
        <f>TrRoad_act!T128</f>
        <v>15453</v>
      </c>
      <c r="U47" s="137">
        <f>TrRoad_act!U128</f>
        <v>15438</v>
      </c>
      <c r="V47" s="137">
        <f>TrRoad_act!V128</f>
        <v>13813</v>
      </c>
      <c r="W47" s="137">
        <f>TrRoad_act!W128</f>
        <v>17947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273</v>
      </c>
      <c r="C48" s="84">
        <f>TrRoad_act!C129</f>
        <v>134</v>
      </c>
      <c r="D48" s="84">
        <f>TrRoad_act!D129</f>
        <v>205</v>
      </c>
      <c r="E48" s="84">
        <f>TrRoad_act!E129</f>
        <v>153</v>
      </c>
      <c r="F48" s="84">
        <f>TrRoad_act!F129</f>
        <v>144</v>
      </c>
      <c r="G48" s="84">
        <f>TrRoad_act!G129</f>
        <v>141</v>
      </c>
      <c r="H48" s="84">
        <f>TrRoad_act!H129</f>
        <v>120</v>
      </c>
      <c r="I48" s="84">
        <f>TrRoad_act!I129</f>
        <v>82</v>
      </c>
      <c r="J48" s="84">
        <f>TrRoad_act!J129</f>
        <v>75</v>
      </c>
      <c r="K48" s="84">
        <f>TrRoad_act!K129</f>
        <v>62</v>
      </c>
      <c r="L48" s="84">
        <f>TrRoad_act!L129</f>
        <v>41</v>
      </c>
      <c r="M48" s="84">
        <f>TrRoad_act!M129</f>
        <v>20</v>
      </c>
      <c r="N48" s="84">
        <f>TrRoad_act!N129</f>
        <v>2</v>
      </c>
      <c r="O48" s="84">
        <f>TrRoad_act!O129</f>
        <v>10</v>
      </c>
      <c r="P48" s="84">
        <f>TrRoad_act!P129</f>
        <v>20</v>
      </c>
      <c r="Q48" s="84">
        <f>TrRoad_act!Q129</f>
        <v>17</v>
      </c>
      <c r="R48" s="84">
        <f>TrRoad_act!R129</f>
        <v>20</v>
      </c>
      <c r="S48" s="84">
        <f>TrRoad_act!S129</f>
        <v>74</v>
      </c>
      <c r="T48" s="84">
        <f>TrRoad_act!T129</f>
        <v>32</v>
      </c>
      <c r="U48" s="84">
        <f>TrRoad_act!U129</f>
        <v>89</v>
      </c>
      <c r="V48" s="84">
        <f>TrRoad_act!V129</f>
        <v>240</v>
      </c>
      <c r="W48" s="84">
        <f>TrRoad_act!W129</f>
        <v>175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25410</v>
      </c>
      <c r="C49" s="84">
        <f>TrRoad_act!C130</f>
        <v>21757</v>
      </c>
      <c r="D49" s="84">
        <f>TrRoad_act!D130</f>
        <v>21398</v>
      </c>
      <c r="E49" s="84">
        <f>TrRoad_act!E130</f>
        <v>22830</v>
      </c>
      <c r="F49" s="84">
        <f>TrRoad_act!F130</f>
        <v>22602</v>
      </c>
      <c r="G49" s="84">
        <f>TrRoad_act!G130</f>
        <v>27760</v>
      </c>
      <c r="H49" s="84">
        <f>TrRoad_act!H130</f>
        <v>29619</v>
      </c>
      <c r="I49" s="84">
        <f>TrRoad_act!I130</f>
        <v>29703</v>
      </c>
      <c r="J49" s="84">
        <f>TrRoad_act!J130</f>
        <v>20191</v>
      </c>
      <c r="K49" s="84">
        <f>TrRoad_act!K130</f>
        <v>6732</v>
      </c>
      <c r="L49" s="84">
        <f>TrRoad_act!L130</f>
        <v>8173</v>
      </c>
      <c r="M49" s="84">
        <f>TrRoad_act!M130</f>
        <v>9135</v>
      </c>
      <c r="N49" s="84">
        <f>TrRoad_act!N130</f>
        <v>8389</v>
      </c>
      <c r="O49" s="84">
        <f>TrRoad_act!O130</f>
        <v>8673</v>
      </c>
      <c r="P49" s="84">
        <f>TrRoad_act!P130</f>
        <v>12856</v>
      </c>
      <c r="Q49" s="84">
        <f>TrRoad_act!Q130</f>
        <v>15917</v>
      </c>
      <c r="R49" s="84">
        <f>TrRoad_act!R130</f>
        <v>18003</v>
      </c>
      <c r="S49" s="84">
        <f>TrRoad_act!S130</f>
        <v>14780</v>
      </c>
      <c r="T49" s="84">
        <f>TrRoad_act!T130</f>
        <v>15337</v>
      </c>
      <c r="U49" s="84">
        <f>TrRoad_act!U130</f>
        <v>15017</v>
      </c>
      <c r="V49" s="84">
        <f>TrRoad_act!V130</f>
        <v>12840</v>
      </c>
      <c r="W49" s="84">
        <f>TrRoad_act!W130</f>
        <v>17111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2</v>
      </c>
      <c r="P50" s="84">
        <f>TrRoad_act!P131</f>
        <v>2</v>
      </c>
      <c r="Q50" s="84">
        <f>TrRoad_act!Q131</f>
        <v>0</v>
      </c>
      <c r="R50" s="84">
        <f>TrRoad_act!R131</f>
        <v>0</v>
      </c>
      <c r="S50" s="84">
        <f>TrRoad_act!S131</f>
        <v>1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34</v>
      </c>
      <c r="N52" s="84">
        <f>TrRoad_act!N133</f>
        <v>45</v>
      </c>
      <c r="O52" s="84">
        <f>TrRoad_act!O133</f>
        <v>7</v>
      </c>
      <c r="P52" s="84">
        <f>TrRoad_act!P133</f>
        <v>11</v>
      </c>
      <c r="Q52" s="84">
        <f>TrRoad_act!Q133</f>
        <v>20</v>
      </c>
      <c r="R52" s="84">
        <f>TrRoad_act!R133</f>
        <v>11</v>
      </c>
      <c r="S52" s="84">
        <f>TrRoad_act!S133</f>
        <v>61</v>
      </c>
      <c r="T52" s="84">
        <f>TrRoad_act!T133</f>
        <v>84</v>
      </c>
      <c r="U52" s="84">
        <f>TrRoad_act!U133</f>
        <v>332</v>
      </c>
      <c r="V52" s="84">
        <f>TrRoad_act!V133</f>
        <v>733</v>
      </c>
      <c r="W52" s="84">
        <f>TrRoad_act!W133</f>
        <v>661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5806</v>
      </c>
      <c r="C53" s="110">
        <f>TrRoad_act!C134</f>
        <v>9003</v>
      </c>
      <c r="D53" s="110">
        <f>TrRoad_act!D134</f>
        <v>5236</v>
      </c>
      <c r="E53" s="110">
        <f>TrRoad_act!E134</f>
        <v>6083</v>
      </c>
      <c r="F53" s="110">
        <f>TrRoad_act!F134</f>
        <v>6763</v>
      </c>
      <c r="G53" s="110">
        <f>TrRoad_act!G134</f>
        <v>9002</v>
      </c>
      <c r="H53" s="110">
        <f>TrRoad_act!H134</f>
        <v>11673</v>
      </c>
      <c r="I53" s="110">
        <f>TrRoad_act!I134</f>
        <v>13348</v>
      </c>
      <c r="J53" s="110">
        <f>TrRoad_act!J134</f>
        <v>8772</v>
      </c>
      <c r="K53" s="110">
        <f>TrRoad_act!K134</f>
        <v>2446</v>
      </c>
      <c r="L53" s="110">
        <f>TrRoad_act!L134</f>
        <v>2645</v>
      </c>
      <c r="M53" s="110">
        <f>TrRoad_act!M134</f>
        <v>2780</v>
      </c>
      <c r="N53" s="110">
        <f>TrRoad_act!N134</f>
        <v>2700</v>
      </c>
      <c r="O53" s="110">
        <f>TrRoad_act!O134</f>
        <v>3417</v>
      </c>
      <c r="P53" s="110">
        <f>TrRoad_act!P134</f>
        <v>4769</v>
      </c>
      <c r="Q53" s="110">
        <f>TrRoad_act!Q134</f>
        <v>6989</v>
      </c>
      <c r="R53" s="110">
        <f>TrRoad_act!R134</f>
        <v>9246</v>
      </c>
      <c r="S53" s="110">
        <f>TrRoad_act!S134</f>
        <v>10973</v>
      </c>
      <c r="T53" s="110">
        <f>TrRoad_act!T134</f>
        <v>7986</v>
      </c>
      <c r="U53" s="110">
        <f>TrRoad_act!U134</f>
        <v>8214</v>
      </c>
      <c r="V53" s="110">
        <f>TrRoad_act!V134</f>
        <v>3935</v>
      </c>
      <c r="W53" s="110">
        <f>TrRoad_act!W134</f>
        <v>9320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5709</v>
      </c>
      <c r="C54" s="102">
        <f>TrRoad_act!C135</f>
        <v>8891</v>
      </c>
      <c r="D54" s="102">
        <f>TrRoad_act!D135</f>
        <v>5129</v>
      </c>
      <c r="E54" s="102">
        <f>TrRoad_act!E135</f>
        <v>5998</v>
      </c>
      <c r="F54" s="102">
        <f>TrRoad_act!F135</f>
        <v>6490</v>
      </c>
      <c r="G54" s="102">
        <f>TrRoad_act!G135</f>
        <v>8876</v>
      </c>
      <c r="H54" s="102">
        <f>TrRoad_act!H135</f>
        <v>11547</v>
      </c>
      <c r="I54" s="102">
        <f>TrRoad_act!I135</f>
        <v>13140</v>
      </c>
      <c r="J54" s="102">
        <f>TrRoad_act!J135</f>
        <v>8772</v>
      </c>
      <c r="K54" s="102">
        <f>TrRoad_act!K135</f>
        <v>2446</v>
      </c>
      <c r="L54" s="102">
        <f>TrRoad_act!L135</f>
        <v>2508</v>
      </c>
      <c r="M54" s="102">
        <f>TrRoad_act!M135</f>
        <v>2572</v>
      </c>
      <c r="N54" s="102">
        <f>TrRoad_act!N135</f>
        <v>2700</v>
      </c>
      <c r="O54" s="102">
        <f>TrRoad_act!O135</f>
        <v>3375</v>
      </c>
      <c r="P54" s="102">
        <f>TrRoad_act!P135</f>
        <v>4705</v>
      </c>
      <c r="Q54" s="102">
        <f>TrRoad_act!Q135</f>
        <v>6755</v>
      </c>
      <c r="R54" s="102">
        <f>TrRoad_act!R135</f>
        <v>9246</v>
      </c>
      <c r="S54" s="102">
        <f>TrRoad_act!S135</f>
        <v>10904</v>
      </c>
      <c r="T54" s="102">
        <f>TrRoad_act!T135</f>
        <v>7776</v>
      </c>
      <c r="U54" s="102">
        <f>TrRoad_act!U135</f>
        <v>7945</v>
      </c>
      <c r="V54" s="102">
        <f>TrRoad_act!V135</f>
        <v>3935</v>
      </c>
      <c r="W54" s="102">
        <f>TrRoad_act!W135</f>
        <v>9287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97</v>
      </c>
      <c r="C55" s="86">
        <f>TrRoad_act!C136</f>
        <v>112</v>
      </c>
      <c r="D55" s="86">
        <f>TrRoad_act!D136</f>
        <v>107</v>
      </c>
      <c r="E55" s="86">
        <f>TrRoad_act!E136</f>
        <v>85</v>
      </c>
      <c r="F55" s="86">
        <f>TrRoad_act!F136</f>
        <v>273</v>
      </c>
      <c r="G55" s="86">
        <f>TrRoad_act!G136</f>
        <v>126</v>
      </c>
      <c r="H55" s="86">
        <f>TrRoad_act!H136</f>
        <v>126</v>
      </c>
      <c r="I55" s="86">
        <f>TrRoad_act!I136</f>
        <v>208</v>
      </c>
      <c r="J55" s="86">
        <f>TrRoad_act!J136</f>
        <v>0</v>
      </c>
      <c r="K55" s="86">
        <f>TrRoad_act!K136</f>
        <v>0</v>
      </c>
      <c r="L55" s="86">
        <f>TrRoad_act!L136</f>
        <v>137</v>
      </c>
      <c r="M55" s="86">
        <f>TrRoad_act!M136</f>
        <v>208</v>
      </c>
      <c r="N55" s="86">
        <f>TrRoad_act!N136</f>
        <v>0</v>
      </c>
      <c r="O55" s="86">
        <f>TrRoad_act!O136</f>
        <v>42</v>
      </c>
      <c r="P55" s="86">
        <f>TrRoad_act!P136</f>
        <v>64</v>
      </c>
      <c r="Q55" s="86">
        <f>TrRoad_act!Q136</f>
        <v>234</v>
      </c>
      <c r="R55" s="86">
        <f>TrRoad_act!R136</f>
        <v>0</v>
      </c>
      <c r="S55" s="86">
        <f>TrRoad_act!S136</f>
        <v>69</v>
      </c>
      <c r="T55" s="86">
        <f>TrRoad_act!T136</f>
        <v>210</v>
      </c>
      <c r="U55" s="86">
        <f>TrRoad_act!U136</f>
        <v>269</v>
      </c>
      <c r="V55" s="86">
        <f>TrRoad_act!V136</f>
        <v>0</v>
      </c>
      <c r="W55" s="86">
        <f>TrRoad_act!W136</f>
        <v>33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51220</v>
      </c>
      <c r="C59" s="54">
        <f t="shared" si="0"/>
        <v>30660</v>
      </c>
      <c r="D59" s="54">
        <f t="shared" si="0"/>
        <v>35116</v>
      </c>
      <c r="E59" s="54">
        <f t="shared" si="0"/>
        <v>40530</v>
      </c>
      <c r="F59" s="54">
        <f t="shared" si="0"/>
        <v>50435</v>
      </c>
      <c r="G59" s="54">
        <f t="shared" si="0"/>
        <v>65015</v>
      </c>
      <c r="H59" s="54">
        <f t="shared" si="0"/>
        <v>105380</v>
      </c>
      <c r="I59" s="54">
        <f t="shared" si="0"/>
        <v>125610</v>
      </c>
      <c r="J59" s="54">
        <f t="shared" si="0"/>
        <v>131315</v>
      </c>
      <c r="K59" s="54">
        <f t="shared" si="0"/>
        <v>52723</v>
      </c>
      <c r="L59" s="54">
        <f t="shared" ref="L59" si="1">L60+L75</f>
        <v>88371</v>
      </c>
      <c r="M59" s="54">
        <f t="shared" ref="M59:V59" si="2">M60+M75</f>
        <v>110861</v>
      </c>
      <c r="N59" s="54">
        <f t="shared" si="2"/>
        <v>85016</v>
      </c>
      <c r="O59" s="54">
        <f t="shared" si="2"/>
        <v>181404</v>
      </c>
      <c r="P59" s="54">
        <f t="shared" si="2"/>
        <v>132501</v>
      </c>
      <c r="Q59" s="54">
        <f t="shared" si="2"/>
        <v>160914</v>
      </c>
      <c r="R59" s="54">
        <f t="shared" si="2"/>
        <v>192592</v>
      </c>
      <c r="S59" s="54">
        <f t="shared" si="2"/>
        <v>198007</v>
      </c>
      <c r="T59" s="54">
        <f t="shared" si="2"/>
        <v>215858</v>
      </c>
      <c r="U59" s="54">
        <f t="shared" si="2"/>
        <v>236751</v>
      </c>
      <c r="V59" s="54">
        <f t="shared" si="2"/>
        <v>194459</v>
      </c>
      <c r="W59" s="54">
        <f t="shared" ref="W59" si="3">W60+W75</f>
        <v>201371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47640</v>
      </c>
      <c r="C60" s="28">
        <f t="shared" si="4"/>
        <v>27041</v>
      </c>
      <c r="D60" s="28">
        <f t="shared" si="4"/>
        <v>30657</v>
      </c>
      <c r="E60" s="28">
        <f t="shared" si="4"/>
        <v>33559</v>
      </c>
      <c r="F60" s="28">
        <f t="shared" si="4"/>
        <v>40950</v>
      </c>
      <c r="G60" s="28">
        <f t="shared" si="4"/>
        <v>50952</v>
      </c>
      <c r="H60" s="28">
        <f t="shared" si="4"/>
        <v>87018</v>
      </c>
      <c r="I60" s="28">
        <f t="shared" si="4"/>
        <v>103795</v>
      </c>
      <c r="J60" s="28">
        <f t="shared" si="4"/>
        <v>114812</v>
      </c>
      <c r="K60" s="28">
        <f t="shared" si="4"/>
        <v>46946</v>
      </c>
      <c r="L60" s="28">
        <f t="shared" ref="L60" si="5">L61+L62+L69</f>
        <v>81074</v>
      </c>
      <c r="M60" s="28">
        <f t="shared" ref="M60:V60" si="6">M61+M62+M69</f>
        <v>102247</v>
      </c>
      <c r="N60" s="28">
        <f t="shared" si="6"/>
        <v>76286</v>
      </c>
      <c r="O60" s="28">
        <f t="shared" si="6"/>
        <v>171331</v>
      </c>
      <c r="P60" s="28">
        <f t="shared" si="6"/>
        <v>117102</v>
      </c>
      <c r="Q60" s="28">
        <f t="shared" si="6"/>
        <v>140090</v>
      </c>
      <c r="R60" s="28">
        <f t="shared" si="6"/>
        <v>166894</v>
      </c>
      <c r="S60" s="28">
        <f t="shared" si="6"/>
        <v>173060</v>
      </c>
      <c r="T60" s="28">
        <f t="shared" si="6"/>
        <v>192996</v>
      </c>
      <c r="U60" s="28">
        <f t="shared" si="6"/>
        <v>213526</v>
      </c>
      <c r="V60" s="28">
        <f t="shared" si="6"/>
        <v>176973</v>
      </c>
      <c r="W60" s="28">
        <f t="shared" ref="W60" si="7">W61+W62+W69</f>
        <v>174104</v>
      </c>
      <c r="DA60" s="173" t="s">
        <v>837</v>
      </c>
    </row>
    <row r="61" spans="1:105" ht="11.45" customHeight="1" x14ac:dyDescent="0.25">
      <c r="A61" s="136" t="s">
        <v>180</v>
      </c>
      <c r="B61" s="137">
        <v>1573</v>
      </c>
      <c r="C61" s="137">
        <v>2180</v>
      </c>
      <c r="D61" s="137">
        <v>2862</v>
      </c>
      <c r="E61" s="137">
        <v>1596</v>
      </c>
      <c r="F61" s="137">
        <v>1537</v>
      </c>
      <c r="G61" s="137">
        <v>1561</v>
      </c>
      <c r="H61" s="137">
        <v>1748</v>
      </c>
      <c r="I61" s="137">
        <v>2131</v>
      </c>
      <c r="J61" s="137">
        <v>2173</v>
      </c>
      <c r="K61" s="137">
        <v>1160</v>
      </c>
      <c r="L61" s="137">
        <v>945</v>
      </c>
      <c r="M61" s="137">
        <v>731</v>
      </c>
      <c r="N61" s="137">
        <v>601</v>
      </c>
      <c r="O61" s="137">
        <v>2830</v>
      </c>
      <c r="P61" s="137">
        <v>1423</v>
      </c>
      <c r="Q61" s="137">
        <v>1953</v>
      </c>
      <c r="R61" s="137">
        <v>2548</v>
      </c>
      <c r="S61" s="137">
        <v>3380</v>
      </c>
      <c r="T61" s="137">
        <v>2359</v>
      </c>
      <c r="U61" s="137">
        <v>3892</v>
      </c>
      <c r="V61" s="137">
        <v>3964</v>
      </c>
      <c r="W61" s="137">
        <v>3489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46057</v>
      </c>
      <c r="C62" s="110">
        <f t="shared" si="8"/>
        <v>24834</v>
      </c>
      <c r="D62" s="110">
        <f t="shared" si="8"/>
        <v>27675</v>
      </c>
      <c r="E62" s="110">
        <f t="shared" si="8"/>
        <v>31695</v>
      </c>
      <c r="F62" s="110">
        <f t="shared" si="8"/>
        <v>39116</v>
      </c>
      <c r="G62" s="110">
        <f t="shared" si="8"/>
        <v>49019</v>
      </c>
      <c r="H62" s="110">
        <f t="shared" si="8"/>
        <v>84695</v>
      </c>
      <c r="I62" s="110">
        <f t="shared" si="8"/>
        <v>101023</v>
      </c>
      <c r="J62" s="110">
        <f t="shared" si="8"/>
        <v>111904</v>
      </c>
      <c r="K62" s="110">
        <f t="shared" si="8"/>
        <v>45523</v>
      </c>
      <c r="L62" s="110">
        <f t="shared" ref="L62" si="9">SUM(L63:L68)</f>
        <v>79946</v>
      </c>
      <c r="M62" s="110">
        <f t="shared" ref="M62:V62" si="10">SUM(M63:M68)</f>
        <v>101034</v>
      </c>
      <c r="N62" s="110">
        <f t="shared" si="10"/>
        <v>75114</v>
      </c>
      <c r="O62" s="110">
        <f t="shared" si="10"/>
        <v>167742</v>
      </c>
      <c r="P62" s="110">
        <f t="shared" si="10"/>
        <v>114871</v>
      </c>
      <c r="Q62" s="110">
        <f t="shared" si="10"/>
        <v>137089</v>
      </c>
      <c r="R62" s="110">
        <f t="shared" si="10"/>
        <v>163282</v>
      </c>
      <c r="S62" s="110">
        <f t="shared" si="10"/>
        <v>168621</v>
      </c>
      <c r="T62" s="110">
        <f t="shared" si="10"/>
        <v>189482</v>
      </c>
      <c r="U62" s="110">
        <f t="shared" si="10"/>
        <v>208498</v>
      </c>
      <c r="V62" s="110">
        <f t="shared" si="10"/>
        <v>172743</v>
      </c>
      <c r="W62" s="110">
        <f t="shared" ref="W62" si="11">SUM(W63:W68)</f>
        <v>169797</v>
      </c>
      <c r="DA62" s="176" t="s">
        <v>839</v>
      </c>
    </row>
    <row r="63" spans="1:105" ht="11.45" customHeight="1" x14ac:dyDescent="0.25">
      <c r="A63" s="111" t="s">
        <v>110</v>
      </c>
      <c r="B63" s="84">
        <v>46057</v>
      </c>
      <c r="C63" s="84">
        <v>24834</v>
      </c>
      <c r="D63" s="84">
        <v>27675</v>
      </c>
      <c r="E63" s="84">
        <v>31695</v>
      </c>
      <c r="F63" s="84">
        <v>39116</v>
      </c>
      <c r="G63" s="84">
        <v>49019</v>
      </c>
      <c r="H63" s="84">
        <v>66963</v>
      </c>
      <c r="I63" s="84">
        <v>65739</v>
      </c>
      <c r="J63" s="84">
        <v>54122</v>
      </c>
      <c r="K63" s="84">
        <v>13182</v>
      </c>
      <c r="L63" s="84">
        <v>23990</v>
      </c>
      <c r="M63" s="84">
        <v>23101</v>
      </c>
      <c r="N63" s="84">
        <v>15514</v>
      </c>
      <c r="O63" s="84">
        <v>15005</v>
      </c>
      <c r="P63" s="84">
        <v>22988</v>
      </c>
      <c r="Q63" s="84">
        <v>35565</v>
      </c>
      <c r="R63" s="84">
        <v>43863</v>
      </c>
      <c r="S63" s="84">
        <v>48297</v>
      </c>
      <c r="T63" s="84">
        <v>60940</v>
      </c>
      <c r="U63" s="84">
        <v>67588</v>
      </c>
      <c r="V63" s="84">
        <v>51726</v>
      </c>
      <c r="W63" s="84">
        <v>62823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17732</v>
      </c>
      <c r="I64" s="84">
        <v>35284</v>
      </c>
      <c r="J64" s="84">
        <v>57782</v>
      </c>
      <c r="K64" s="84">
        <v>32341</v>
      </c>
      <c r="L64" s="84">
        <v>55956</v>
      </c>
      <c r="M64" s="84">
        <v>77933</v>
      </c>
      <c r="N64" s="84">
        <v>59519</v>
      </c>
      <c r="O64" s="84">
        <v>152553</v>
      </c>
      <c r="P64" s="84">
        <v>91071</v>
      </c>
      <c r="Q64" s="84">
        <v>101080</v>
      </c>
      <c r="R64" s="84">
        <v>118849</v>
      </c>
      <c r="S64" s="84">
        <v>119419</v>
      </c>
      <c r="T64" s="84">
        <v>125976</v>
      </c>
      <c r="U64" s="84">
        <v>135722</v>
      </c>
      <c r="V64" s="84">
        <v>114210</v>
      </c>
      <c r="W64" s="84">
        <v>85518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81</v>
      </c>
      <c r="O65" s="84">
        <v>184</v>
      </c>
      <c r="P65" s="84">
        <v>715</v>
      </c>
      <c r="Q65" s="84">
        <v>96</v>
      </c>
      <c r="R65" s="84">
        <v>0</v>
      </c>
      <c r="S65" s="84">
        <v>8</v>
      </c>
      <c r="T65" s="84">
        <v>9</v>
      </c>
      <c r="U65" s="84">
        <v>11</v>
      </c>
      <c r="V65" s="84">
        <v>23</v>
      </c>
      <c r="W65" s="84">
        <v>334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2</v>
      </c>
      <c r="R67" s="84">
        <v>214</v>
      </c>
      <c r="S67" s="84">
        <v>308</v>
      </c>
      <c r="T67" s="84">
        <v>884</v>
      </c>
      <c r="U67" s="84">
        <v>1529</v>
      </c>
      <c r="V67" s="84">
        <v>2710</v>
      </c>
      <c r="W67" s="84">
        <v>11923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97</v>
      </c>
      <c r="Q68" s="84">
        <v>346</v>
      </c>
      <c r="R68" s="84">
        <v>356</v>
      </c>
      <c r="S68" s="84">
        <v>589</v>
      </c>
      <c r="T68" s="84">
        <v>1673</v>
      </c>
      <c r="U68" s="84">
        <v>3648</v>
      </c>
      <c r="V68" s="84">
        <v>4074</v>
      </c>
      <c r="W68" s="84">
        <v>9199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10</v>
      </c>
      <c r="C69" s="110">
        <f t="shared" si="12"/>
        <v>27</v>
      </c>
      <c r="D69" s="110">
        <f t="shared" si="12"/>
        <v>120</v>
      </c>
      <c r="E69" s="110">
        <f t="shared" si="12"/>
        <v>268</v>
      </c>
      <c r="F69" s="110">
        <f t="shared" si="12"/>
        <v>297</v>
      </c>
      <c r="G69" s="110">
        <f t="shared" si="12"/>
        <v>372</v>
      </c>
      <c r="H69" s="110">
        <f t="shared" si="12"/>
        <v>575</v>
      </c>
      <c r="I69" s="110">
        <f t="shared" si="12"/>
        <v>641</v>
      </c>
      <c r="J69" s="110">
        <f t="shared" si="12"/>
        <v>735</v>
      </c>
      <c r="K69" s="110">
        <f t="shared" si="12"/>
        <v>263</v>
      </c>
      <c r="L69" s="110">
        <f t="shared" ref="L69" si="13">SUM(L70:L74)</f>
        <v>183</v>
      </c>
      <c r="M69" s="110">
        <f t="shared" ref="M69:V69" si="14">SUM(M70:M74)</f>
        <v>482</v>
      </c>
      <c r="N69" s="110">
        <f t="shared" si="14"/>
        <v>571</v>
      </c>
      <c r="O69" s="110">
        <f t="shared" si="14"/>
        <v>759</v>
      </c>
      <c r="P69" s="110">
        <f t="shared" si="14"/>
        <v>808</v>
      </c>
      <c r="Q69" s="110">
        <f t="shared" si="14"/>
        <v>1048</v>
      </c>
      <c r="R69" s="110">
        <f t="shared" si="14"/>
        <v>1064</v>
      </c>
      <c r="S69" s="110">
        <f t="shared" si="14"/>
        <v>1059</v>
      </c>
      <c r="T69" s="110">
        <f t="shared" si="14"/>
        <v>1155</v>
      </c>
      <c r="U69" s="110">
        <f t="shared" si="14"/>
        <v>1136</v>
      </c>
      <c r="V69" s="110">
        <f t="shared" si="14"/>
        <v>266</v>
      </c>
      <c r="W69" s="110">
        <f t="shared" ref="W69" si="15">SUM(W70:W74)</f>
        <v>818</v>
      </c>
      <c r="DA69" s="176" t="s">
        <v>846</v>
      </c>
    </row>
    <row r="70" spans="1:105" ht="11.45" customHeight="1" x14ac:dyDescent="0.25">
      <c r="A70" s="111" t="s">
        <v>110</v>
      </c>
      <c r="B70" s="102">
        <v>10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2</v>
      </c>
      <c r="T70" s="102">
        <v>0</v>
      </c>
      <c r="U70" s="102">
        <v>3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27</v>
      </c>
      <c r="D71" s="102">
        <v>120</v>
      </c>
      <c r="E71" s="102">
        <v>268</v>
      </c>
      <c r="F71" s="102">
        <v>297</v>
      </c>
      <c r="G71" s="102">
        <v>372</v>
      </c>
      <c r="H71" s="102">
        <v>575</v>
      </c>
      <c r="I71" s="102">
        <v>641</v>
      </c>
      <c r="J71" s="102">
        <v>735</v>
      </c>
      <c r="K71" s="102">
        <v>263</v>
      </c>
      <c r="L71" s="102">
        <v>183</v>
      </c>
      <c r="M71" s="102">
        <v>482</v>
      </c>
      <c r="N71" s="102">
        <v>571</v>
      </c>
      <c r="O71" s="102">
        <v>759</v>
      </c>
      <c r="P71" s="102">
        <v>808</v>
      </c>
      <c r="Q71" s="102">
        <v>1048</v>
      </c>
      <c r="R71" s="102">
        <v>1064</v>
      </c>
      <c r="S71" s="102">
        <v>1057</v>
      </c>
      <c r="T71" s="102">
        <v>1155</v>
      </c>
      <c r="U71" s="102">
        <v>1133</v>
      </c>
      <c r="V71" s="102">
        <v>263</v>
      </c>
      <c r="W71" s="102">
        <v>815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3</v>
      </c>
      <c r="W74" s="102">
        <v>3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3580</v>
      </c>
      <c r="C75" s="28">
        <f t="shared" si="16"/>
        <v>3619</v>
      </c>
      <c r="D75" s="28">
        <f t="shared" si="16"/>
        <v>4459</v>
      </c>
      <c r="E75" s="28">
        <f t="shared" si="16"/>
        <v>6971</v>
      </c>
      <c r="F75" s="28">
        <f t="shared" si="16"/>
        <v>9485</v>
      </c>
      <c r="G75" s="28">
        <f t="shared" si="16"/>
        <v>14063</v>
      </c>
      <c r="H75" s="28">
        <f t="shared" si="16"/>
        <v>18362</v>
      </c>
      <c r="I75" s="28">
        <f t="shared" si="16"/>
        <v>21815</v>
      </c>
      <c r="J75" s="28">
        <f t="shared" si="16"/>
        <v>16503</v>
      </c>
      <c r="K75" s="28">
        <f t="shared" si="16"/>
        <v>5777</v>
      </c>
      <c r="L75" s="28">
        <f t="shared" ref="L75" si="17">L76+L82</f>
        <v>7297</v>
      </c>
      <c r="M75" s="28">
        <f t="shared" ref="M75:V75" si="18">M76+M82</f>
        <v>8614</v>
      </c>
      <c r="N75" s="28">
        <f t="shared" si="18"/>
        <v>8730</v>
      </c>
      <c r="O75" s="28">
        <f t="shared" si="18"/>
        <v>10073</v>
      </c>
      <c r="P75" s="28">
        <f t="shared" si="18"/>
        <v>15399</v>
      </c>
      <c r="Q75" s="28">
        <f t="shared" si="18"/>
        <v>20824</v>
      </c>
      <c r="R75" s="28">
        <f t="shared" si="18"/>
        <v>25698</v>
      </c>
      <c r="S75" s="28">
        <f t="shared" si="18"/>
        <v>24947</v>
      </c>
      <c r="T75" s="28">
        <f t="shared" si="18"/>
        <v>22862</v>
      </c>
      <c r="U75" s="28">
        <f t="shared" si="18"/>
        <v>23225</v>
      </c>
      <c r="V75" s="28">
        <f t="shared" si="18"/>
        <v>17486</v>
      </c>
      <c r="W75" s="28">
        <f t="shared" ref="W75" si="19">W76+W82</f>
        <v>27267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3580</v>
      </c>
      <c r="C76" s="137">
        <f t="shared" si="20"/>
        <v>3619</v>
      </c>
      <c r="D76" s="137">
        <f t="shared" si="20"/>
        <v>4459</v>
      </c>
      <c r="E76" s="137">
        <f t="shared" si="20"/>
        <v>5836</v>
      </c>
      <c r="F76" s="137">
        <f t="shared" si="20"/>
        <v>6951</v>
      </c>
      <c r="G76" s="137">
        <f t="shared" si="20"/>
        <v>10086</v>
      </c>
      <c r="H76" s="137">
        <f t="shared" si="20"/>
        <v>12510</v>
      </c>
      <c r="I76" s="137">
        <f t="shared" si="20"/>
        <v>14380</v>
      </c>
      <c r="J76" s="137">
        <f t="shared" si="20"/>
        <v>11029</v>
      </c>
      <c r="K76" s="137">
        <f t="shared" si="20"/>
        <v>4113</v>
      </c>
      <c r="L76" s="137">
        <f t="shared" ref="L76" si="21">SUM(L77:L81)</f>
        <v>5457</v>
      </c>
      <c r="M76" s="137">
        <f t="shared" ref="M76:V76" si="22">SUM(M77:M81)</f>
        <v>6598</v>
      </c>
      <c r="N76" s="137">
        <f t="shared" si="22"/>
        <v>6491</v>
      </c>
      <c r="O76" s="137">
        <f t="shared" si="22"/>
        <v>7137</v>
      </c>
      <c r="P76" s="137">
        <f t="shared" si="22"/>
        <v>11140</v>
      </c>
      <c r="Q76" s="137">
        <f t="shared" si="22"/>
        <v>14379</v>
      </c>
      <c r="R76" s="137">
        <f t="shared" si="22"/>
        <v>16830</v>
      </c>
      <c r="S76" s="137">
        <f t="shared" si="22"/>
        <v>14247</v>
      </c>
      <c r="T76" s="137">
        <f t="shared" si="22"/>
        <v>15030</v>
      </c>
      <c r="U76" s="137">
        <f t="shared" si="22"/>
        <v>15124</v>
      </c>
      <c r="V76" s="137">
        <f t="shared" si="22"/>
        <v>13551</v>
      </c>
      <c r="W76" s="137">
        <f t="shared" ref="W76" si="23">SUM(W77:W81)</f>
        <v>17947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8</v>
      </c>
      <c r="I77" s="84">
        <v>42</v>
      </c>
      <c r="J77" s="84">
        <v>44</v>
      </c>
      <c r="K77" s="84">
        <v>41</v>
      </c>
      <c r="L77" s="84">
        <v>29</v>
      </c>
      <c r="M77" s="84">
        <v>15</v>
      </c>
      <c r="N77" s="84">
        <v>2</v>
      </c>
      <c r="O77" s="84">
        <v>9</v>
      </c>
      <c r="P77" s="84">
        <v>19</v>
      </c>
      <c r="Q77" s="84">
        <v>16</v>
      </c>
      <c r="R77" s="84">
        <v>20</v>
      </c>
      <c r="S77" s="84">
        <v>73</v>
      </c>
      <c r="T77" s="84">
        <v>32</v>
      </c>
      <c r="U77" s="84">
        <v>89</v>
      </c>
      <c r="V77" s="84">
        <v>240</v>
      </c>
      <c r="W77" s="84">
        <v>175</v>
      </c>
      <c r="DA77" s="171" t="s">
        <v>854</v>
      </c>
    </row>
    <row r="78" spans="1:105" ht="11.45" customHeight="1" x14ac:dyDescent="0.25">
      <c r="A78" s="111" t="s">
        <v>111</v>
      </c>
      <c r="B78" s="84">
        <v>3580</v>
      </c>
      <c r="C78" s="84">
        <v>3619</v>
      </c>
      <c r="D78" s="84">
        <v>4459</v>
      </c>
      <c r="E78" s="84">
        <v>5836</v>
      </c>
      <c r="F78" s="84">
        <v>6951</v>
      </c>
      <c r="G78" s="84">
        <v>10086</v>
      </c>
      <c r="H78" s="84">
        <v>12502</v>
      </c>
      <c r="I78" s="84">
        <v>14338</v>
      </c>
      <c r="J78" s="84">
        <v>10985</v>
      </c>
      <c r="K78" s="84">
        <v>4072</v>
      </c>
      <c r="L78" s="84">
        <v>5428</v>
      </c>
      <c r="M78" s="84">
        <v>6583</v>
      </c>
      <c r="N78" s="84">
        <v>6489</v>
      </c>
      <c r="O78" s="84">
        <v>7127</v>
      </c>
      <c r="P78" s="84">
        <v>11119</v>
      </c>
      <c r="Q78" s="84">
        <v>14363</v>
      </c>
      <c r="R78" s="84">
        <v>16810</v>
      </c>
      <c r="S78" s="84">
        <v>14173</v>
      </c>
      <c r="T78" s="84">
        <v>14998</v>
      </c>
      <c r="U78" s="84">
        <v>14878</v>
      </c>
      <c r="V78" s="84">
        <v>12581</v>
      </c>
      <c r="W78" s="84">
        <v>17111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1</v>
      </c>
      <c r="P79" s="84">
        <v>2</v>
      </c>
      <c r="Q79" s="84">
        <v>0</v>
      </c>
      <c r="R79" s="84">
        <v>0</v>
      </c>
      <c r="S79" s="84">
        <v>1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157</v>
      </c>
      <c r="V81" s="84">
        <v>730</v>
      </c>
      <c r="W81" s="84">
        <v>661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1135</v>
      </c>
      <c r="F82" s="110">
        <f t="shared" si="24"/>
        <v>2534</v>
      </c>
      <c r="G82" s="110">
        <f t="shared" si="24"/>
        <v>3977</v>
      </c>
      <c r="H82" s="110">
        <f t="shared" si="24"/>
        <v>5852</v>
      </c>
      <c r="I82" s="110">
        <f t="shared" si="24"/>
        <v>7435</v>
      </c>
      <c r="J82" s="110">
        <f t="shared" si="24"/>
        <v>5474</v>
      </c>
      <c r="K82" s="110">
        <f t="shared" si="24"/>
        <v>1664</v>
      </c>
      <c r="L82" s="110">
        <f t="shared" ref="L82" si="25">SUM(L83:L84)</f>
        <v>1840</v>
      </c>
      <c r="M82" s="110">
        <f t="shared" ref="M82:V82" si="26">SUM(M83:M84)</f>
        <v>2016</v>
      </c>
      <c r="N82" s="110">
        <f t="shared" si="26"/>
        <v>2239</v>
      </c>
      <c r="O82" s="110">
        <f t="shared" si="26"/>
        <v>2936</v>
      </c>
      <c r="P82" s="110">
        <f t="shared" si="26"/>
        <v>4259</v>
      </c>
      <c r="Q82" s="110">
        <f t="shared" si="26"/>
        <v>6445</v>
      </c>
      <c r="R82" s="110">
        <f t="shared" si="26"/>
        <v>8868</v>
      </c>
      <c r="S82" s="110">
        <f t="shared" si="26"/>
        <v>10700</v>
      </c>
      <c r="T82" s="110">
        <f t="shared" si="26"/>
        <v>7832</v>
      </c>
      <c r="U82" s="110">
        <f t="shared" si="26"/>
        <v>8101</v>
      </c>
      <c r="V82" s="110">
        <f t="shared" si="26"/>
        <v>3935</v>
      </c>
      <c r="W82" s="110">
        <f t="shared" ref="W82" si="27">SUM(W83:W84)</f>
        <v>9320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1135</v>
      </c>
      <c r="F83" s="102">
        <v>2534</v>
      </c>
      <c r="G83" s="102">
        <v>3977</v>
      </c>
      <c r="H83" s="102">
        <v>5852</v>
      </c>
      <c r="I83" s="102">
        <v>7435</v>
      </c>
      <c r="J83" s="102">
        <v>5474</v>
      </c>
      <c r="K83" s="102">
        <v>1664</v>
      </c>
      <c r="L83" s="102">
        <v>1840</v>
      </c>
      <c r="M83" s="102">
        <v>2016</v>
      </c>
      <c r="N83" s="102">
        <v>2239</v>
      </c>
      <c r="O83" s="102">
        <v>2936</v>
      </c>
      <c r="P83" s="102">
        <v>4259</v>
      </c>
      <c r="Q83" s="102">
        <v>6316</v>
      </c>
      <c r="R83" s="102">
        <v>8868</v>
      </c>
      <c r="S83" s="102">
        <v>10658</v>
      </c>
      <c r="T83" s="102">
        <v>7700</v>
      </c>
      <c r="U83" s="102">
        <v>7926</v>
      </c>
      <c r="V83" s="102">
        <v>3935</v>
      </c>
      <c r="W83" s="102">
        <v>9287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0</v>
      </c>
      <c r="P84" s="86">
        <v>0</v>
      </c>
      <c r="Q84" s="86">
        <v>129</v>
      </c>
      <c r="R84" s="86">
        <v>0</v>
      </c>
      <c r="S84" s="86">
        <v>42</v>
      </c>
      <c r="T84" s="86">
        <v>132</v>
      </c>
      <c r="U84" s="86">
        <v>175</v>
      </c>
      <c r="V84" s="86">
        <v>0</v>
      </c>
      <c r="W84" s="86">
        <v>33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3.5904218745763261</v>
      </c>
      <c r="C90" s="141">
        <v>3.5369045336132237</v>
      </c>
      <c r="D90" s="141">
        <v>3.4641928244491127</v>
      </c>
      <c r="E90" s="141">
        <v>3.4415049295999904</v>
      </c>
      <c r="F90" s="141">
        <v>3.4114632396505433</v>
      </c>
      <c r="G90" s="141">
        <v>3.3804374789628233</v>
      </c>
      <c r="H90" s="141">
        <v>3.3503229459383896</v>
      </c>
      <c r="I90" s="141">
        <v>3.3383268197726808</v>
      </c>
      <c r="J90" s="141">
        <v>3.31860341227843</v>
      </c>
      <c r="K90" s="141">
        <v>3.2960151163458908</v>
      </c>
      <c r="L90" s="141">
        <v>3.259637583817272</v>
      </c>
      <c r="M90" s="141">
        <v>3.2233022515605203</v>
      </c>
      <c r="N90" s="141">
        <v>3.2118225531514955</v>
      </c>
      <c r="O90" s="141">
        <v>3.1391853664906586</v>
      </c>
      <c r="P90" s="141">
        <v>3.1099498475401779</v>
      </c>
      <c r="Q90" s="141">
        <v>3.0538407480023402</v>
      </c>
      <c r="R90" s="141">
        <v>3.004286355447626</v>
      </c>
      <c r="S90" s="141">
        <v>2.9291661079264402</v>
      </c>
      <c r="T90" s="141">
        <v>2.8836707469199792</v>
      </c>
      <c r="U90" s="141">
        <v>2.8156061907953438</v>
      </c>
      <c r="V90" s="141">
        <v>2.7620589785537213</v>
      </c>
      <c r="W90" s="141">
        <v>2.539844349337792</v>
      </c>
      <c r="DA90" s="174" t="s">
        <v>862</v>
      </c>
    </row>
    <row r="91" spans="1:105" ht="11.45" customHeight="1" x14ac:dyDescent="0.25">
      <c r="A91" s="109" t="s">
        <v>20</v>
      </c>
      <c r="B91" s="130">
        <v>7.6978259480272895</v>
      </c>
      <c r="C91" s="130">
        <v>7.423971401134474</v>
      </c>
      <c r="D91" s="130">
        <v>7.3241335888060801</v>
      </c>
      <c r="E91" s="130">
        <v>7.2437778644763986</v>
      </c>
      <c r="F91" s="130">
        <v>7.1669058055200239</v>
      </c>
      <c r="G91" s="130">
        <v>7.0947256256455802</v>
      </c>
      <c r="H91" s="130">
        <v>7.036791504391358</v>
      </c>
      <c r="I91" s="130">
        <v>6.9396734884856128</v>
      </c>
      <c r="J91" s="130">
        <v>6.8824632458058073</v>
      </c>
      <c r="K91" s="130">
        <v>6.8381904811968477</v>
      </c>
      <c r="L91" s="130">
        <v>6.7452880464302361</v>
      </c>
      <c r="M91" s="130">
        <v>6.6637701260028281</v>
      </c>
      <c r="N91" s="130">
        <v>6.5914027900527268</v>
      </c>
      <c r="O91" s="130">
        <v>6.5064715072065766</v>
      </c>
      <c r="P91" s="130">
        <v>6.4023769853872512</v>
      </c>
      <c r="Q91" s="130">
        <v>6.272294445023209</v>
      </c>
      <c r="R91" s="130">
        <v>6.1182470714897361</v>
      </c>
      <c r="S91" s="130">
        <v>5.9743770872035906</v>
      </c>
      <c r="T91" s="130">
        <v>5.82937322556465</v>
      </c>
      <c r="U91" s="130">
        <v>5.6812024025839056</v>
      </c>
      <c r="V91" s="130">
        <v>5.5461368547779761</v>
      </c>
      <c r="W91" s="130">
        <v>5.3848405103832571</v>
      </c>
      <c r="DA91" s="176" t="s">
        <v>863</v>
      </c>
    </row>
    <row r="92" spans="1:105" ht="11.45" customHeight="1" x14ac:dyDescent="0.25">
      <c r="A92" s="111" t="s">
        <v>110</v>
      </c>
      <c r="B92" s="96">
        <v>7.6753069189613639</v>
      </c>
      <c r="C92" s="96">
        <v>7.3391453149211143</v>
      </c>
      <c r="D92" s="96">
        <v>7.2299156753139151</v>
      </c>
      <c r="E92" s="96">
        <v>7.149920508246721</v>
      </c>
      <c r="F92" s="96">
        <v>7.0733292569333246</v>
      </c>
      <c r="G92" s="96">
        <v>6.998438943761883</v>
      </c>
      <c r="H92" s="96">
        <v>6.9273484569124895</v>
      </c>
      <c r="I92" s="96">
        <v>6.8489731260008018</v>
      </c>
      <c r="J92" s="96">
        <v>6.7958255365517992</v>
      </c>
      <c r="K92" s="96">
        <v>6.7602807035618193</v>
      </c>
      <c r="L92" s="96">
        <v>6.6919298407913503</v>
      </c>
      <c r="M92" s="96">
        <v>6.6306119020685754</v>
      </c>
      <c r="N92" s="96">
        <v>6.5790387498392882</v>
      </c>
      <c r="O92" s="96">
        <v>6.5291345544961654</v>
      </c>
      <c r="P92" s="96">
        <v>6.4567592427894001</v>
      </c>
      <c r="Q92" s="96">
        <v>6.3482321481627313</v>
      </c>
      <c r="R92" s="96">
        <v>6.2061507861823646</v>
      </c>
      <c r="S92" s="96">
        <v>6.0448067405669956</v>
      </c>
      <c r="T92" s="96">
        <v>5.8598392504194745</v>
      </c>
      <c r="U92" s="96">
        <v>5.6877549057917385</v>
      </c>
      <c r="V92" s="96">
        <v>5.5473116271781864</v>
      </c>
      <c r="W92" s="96">
        <v>5.3807834388979199</v>
      </c>
      <c r="DA92" s="171" t="s">
        <v>864</v>
      </c>
    </row>
    <row r="93" spans="1:105" ht="11.45" customHeight="1" x14ac:dyDescent="0.25">
      <c r="A93" s="111" t="s">
        <v>111</v>
      </c>
      <c r="B93" s="96">
        <v>7.8494458169608432</v>
      </c>
      <c r="C93" s="96">
        <v>7.4466540459697104</v>
      </c>
      <c r="D93" s="96">
        <v>7.3047195864075114</v>
      </c>
      <c r="E93" s="96">
        <v>7.1864820286320201</v>
      </c>
      <c r="F93" s="96">
        <v>7.1120509958251832</v>
      </c>
      <c r="G93" s="96">
        <v>7.068571921630423</v>
      </c>
      <c r="H93" s="96">
        <v>7.0489972705576029</v>
      </c>
      <c r="I93" s="96">
        <v>6.9374029443751626</v>
      </c>
      <c r="J93" s="96">
        <v>6.8638133849724356</v>
      </c>
      <c r="K93" s="96">
        <v>6.7989384555945298</v>
      </c>
      <c r="L93" s="96">
        <v>6.6391892538797093</v>
      </c>
      <c r="M93" s="96">
        <v>6.515739412242854</v>
      </c>
      <c r="N93" s="96">
        <v>6.406156911659485</v>
      </c>
      <c r="O93" s="96">
        <v>6.2784389204017268</v>
      </c>
      <c r="P93" s="96">
        <v>6.1286192484742035</v>
      </c>
      <c r="Q93" s="96">
        <v>5.9648342947411734</v>
      </c>
      <c r="R93" s="96">
        <v>5.7980181230132448</v>
      </c>
      <c r="S93" s="96">
        <v>5.6758376187353798</v>
      </c>
      <c r="T93" s="96">
        <v>5.5708806068203058</v>
      </c>
      <c r="U93" s="96">
        <v>5.4589836002557597</v>
      </c>
      <c r="V93" s="96">
        <v>5.352292995405576</v>
      </c>
      <c r="W93" s="96">
        <v>5.2448209059112125</v>
      </c>
      <c r="DA93" s="171" t="s">
        <v>865</v>
      </c>
    </row>
    <row r="94" spans="1:105" ht="11.45" customHeight="1" x14ac:dyDescent="0.25">
      <c r="A94" s="111" t="s">
        <v>112</v>
      </c>
      <c r="B94" s="96">
        <v>7.4329989589485965</v>
      </c>
      <c r="C94" s="96">
        <v>7.4329989589485956</v>
      </c>
      <c r="D94" s="96">
        <v>7.4329989589485965</v>
      </c>
      <c r="E94" s="96">
        <v>7.4329989589485965</v>
      </c>
      <c r="F94" s="96">
        <v>7.4329989589485974</v>
      </c>
      <c r="G94" s="96">
        <v>7.4329989589485965</v>
      </c>
      <c r="H94" s="96">
        <v>7.4329989589485974</v>
      </c>
      <c r="I94" s="96">
        <v>7.2145861826486772</v>
      </c>
      <c r="J94" s="96">
        <v>7.1644813702218144</v>
      </c>
      <c r="K94" s="96">
        <v>7.0357734291516296</v>
      </c>
      <c r="L94" s="96">
        <v>6.9487795672869783</v>
      </c>
      <c r="M94" s="96">
        <v>6.8757175155462056</v>
      </c>
      <c r="N94" s="96">
        <v>6.6725068207250304</v>
      </c>
      <c r="O94" s="96">
        <v>6.542193131524332</v>
      </c>
      <c r="P94" s="96">
        <v>6.0674916630440388</v>
      </c>
      <c r="Q94" s="96">
        <v>6.0251460433336019</v>
      </c>
      <c r="R94" s="96">
        <v>5.9912298403575983</v>
      </c>
      <c r="S94" s="96">
        <v>5.900181380727525</v>
      </c>
      <c r="T94" s="96">
        <v>5.8328199617015253</v>
      </c>
      <c r="U94" s="96">
        <v>5.7815704744513976</v>
      </c>
      <c r="V94" s="96">
        <v>5.7705038486897973</v>
      </c>
      <c r="W94" s="96">
        <v>5.3101975740543033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3.8350265058328903</v>
      </c>
      <c r="P96" s="96">
        <v>2.7476028036275233</v>
      </c>
      <c r="Q96" s="96">
        <v>2.841463724205588</v>
      </c>
      <c r="R96" s="96">
        <v>2.830016167014477</v>
      </c>
      <c r="S96" s="96">
        <v>2.8142399548167285</v>
      </c>
      <c r="T96" s="96">
        <v>2.8498618268976665</v>
      </c>
      <c r="U96" s="96">
        <v>2.9631829656669271</v>
      </c>
      <c r="V96" s="96">
        <v>2.8379588877846915</v>
      </c>
      <c r="W96" s="96">
        <v>2.8979464619485236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1.3232559726529953</v>
      </c>
      <c r="L97" s="96">
        <v>1.3047135028115466</v>
      </c>
      <c r="M97" s="96">
        <v>1.3047135028115464</v>
      </c>
      <c r="N97" s="96">
        <v>1.2037833190025795</v>
      </c>
      <c r="O97" s="96">
        <v>1.2037833190025797</v>
      </c>
      <c r="P97" s="96">
        <v>1.2459351967179439</v>
      </c>
      <c r="Q97" s="96">
        <v>1.2658395758691905</v>
      </c>
      <c r="R97" s="96">
        <v>1.2147685339309848</v>
      </c>
      <c r="S97" s="96">
        <v>1.1878813393692496</v>
      </c>
      <c r="T97" s="96">
        <v>1.2243387244301567</v>
      </c>
      <c r="U97" s="96">
        <v>1.3048551064515908</v>
      </c>
      <c r="V97" s="96">
        <v>1.3782782695037974</v>
      </c>
      <c r="W97" s="96">
        <v>1.3724212384458534</v>
      </c>
      <c r="DA97" s="171" t="s">
        <v>869</v>
      </c>
    </row>
    <row r="98" spans="1:105" ht="11.45" customHeight="1" x14ac:dyDescent="0.25">
      <c r="A98" s="109" t="s">
        <v>21</v>
      </c>
      <c r="B98" s="130">
        <v>56.008825640487032</v>
      </c>
      <c r="C98" s="130">
        <v>53.843423374892083</v>
      </c>
      <c r="D98" s="130">
        <v>53.183577513434493</v>
      </c>
      <c r="E98" s="130">
        <v>52.353549643699473</v>
      </c>
      <c r="F98" s="130">
        <v>51.651132078704869</v>
      </c>
      <c r="G98" s="130">
        <v>50.967612299182839</v>
      </c>
      <c r="H98" s="130">
        <v>50.193957541981909</v>
      </c>
      <c r="I98" s="130">
        <v>49.53178289228029</v>
      </c>
      <c r="J98" s="130">
        <v>48.923845626220789</v>
      </c>
      <c r="K98" s="130">
        <v>48.509593760979868</v>
      </c>
      <c r="L98" s="130">
        <v>48.130621378135196</v>
      </c>
      <c r="M98" s="130">
        <v>47.641307982517262</v>
      </c>
      <c r="N98" s="130">
        <v>47.177522046276486</v>
      </c>
      <c r="O98" s="130">
        <v>46.453780952949081</v>
      </c>
      <c r="P98" s="130">
        <v>45.941588008427637</v>
      </c>
      <c r="Q98" s="130">
        <v>45.625087572517167</v>
      </c>
      <c r="R98" s="130">
        <v>45.31212070268537</v>
      </c>
      <c r="S98" s="130">
        <v>44.990586032596717</v>
      </c>
      <c r="T98" s="130">
        <v>44.682665510153143</v>
      </c>
      <c r="U98" s="130">
        <v>44.437312949935887</v>
      </c>
      <c r="V98" s="130">
        <v>44.116283626010301</v>
      </c>
      <c r="W98" s="130">
        <v>43.98872224498124</v>
      </c>
      <c r="DA98" s="176" t="s">
        <v>870</v>
      </c>
    </row>
    <row r="99" spans="1:105" ht="11.45" customHeight="1" x14ac:dyDescent="0.25">
      <c r="A99" s="111" t="s">
        <v>110</v>
      </c>
      <c r="B99" s="97">
        <v>16.967978769505191</v>
      </c>
      <c r="C99" s="97">
        <v>16.938204060847216</v>
      </c>
      <c r="D99" s="97">
        <v>16.93522096992255</v>
      </c>
      <c r="E99" s="97">
        <v>16.931573579323764</v>
      </c>
      <c r="F99" s="97">
        <v>16.926642241279598</v>
      </c>
      <c r="G99" s="97">
        <v>16.920659877571321</v>
      </c>
      <c r="H99" s="97">
        <v>16.913313648912993</v>
      </c>
      <c r="I99" s="97">
        <v>16.807492603341682</v>
      </c>
      <c r="J99" s="97">
        <v>16.775912413615313</v>
      </c>
      <c r="K99" s="97">
        <v>16.738239301560633</v>
      </c>
      <c r="L99" s="97">
        <v>16.682181144453082</v>
      </c>
      <c r="M99" s="97">
        <v>16.612859782716157</v>
      </c>
      <c r="N99" s="97">
        <v>16.517185854834242</v>
      </c>
      <c r="O99" s="97">
        <v>16.517185854834239</v>
      </c>
      <c r="P99" s="97">
        <v>16.517185854834242</v>
      </c>
      <c r="Q99" s="97">
        <v>16.458341607132084</v>
      </c>
      <c r="R99" s="97">
        <v>16.350949777764292</v>
      </c>
      <c r="S99" s="97">
        <v>15.080482313694604</v>
      </c>
      <c r="T99" s="97">
        <v>14.814875299265955</v>
      </c>
      <c r="U99" s="97">
        <v>14.007908994526497</v>
      </c>
      <c r="V99" s="97">
        <v>14.007908994526497</v>
      </c>
      <c r="W99" s="97">
        <v>14.176959448878131</v>
      </c>
      <c r="DA99" s="175" t="s">
        <v>871</v>
      </c>
    </row>
    <row r="100" spans="1:105" ht="11.45" customHeight="1" x14ac:dyDescent="0.25">
      <c r="A100" s="111" t="s">
        <v>111</v>
      </c>
      <c r="B100" s="97">
        <v>56.815734232993712</v>
      </c>
      <c r="C100" s="97">
        <v>53.403582130244445</v>
      </c>
      <c r="D100" s="97">
        <v>52.479069057601464</v>
      </c>
      <c r="E100" s="97">
        <v>51.427190701655491</v>
      </c>
      <c r="F100" s="97">
        <v>50.62821741253574</v>
      </c>
      <c r="G100" s="97">
        <v>49.928626806200135</v>
      </c>
      <c r="H100" s="97">
        <v>49.194022952244538</v>
      </c>
      <c r="I100" s="97">
        <v>48.635669395705094</v>
      </c>
      <c r="J100" s="97">
        <v>48.154328861820787</v>
      </c>
      <c r="K100" s="97">
        <v>47.852195144572306</v>
      </c>
      <c r="L100" s="97">
        <v>47.577532371003791</v>
      </c>
      <c r="M100" s="97">
        <v>47.170690886505753</v>
      </c>
      <c r="N100" s="97">
        <v>46.77329589442261</v>
      </c>
      <c r="O100" s="97">
        <v>46.229649001596627</v>
      </c>
      <c r="P100" s="97">
        <v>45.801314825862676</v>
      </c>
      <c r="Q100" s="97">
        <v>45.420807995378723</v>
      </c>
      <c r="R100" s="97">
        <v>45.062701382455899</v>
      </c>
      <c r="S100" s="97">
        <v>44.72841769883118</v>
      </c>
      <c r="T100" s="97">
        <v>44.393429656960812</v>
      </c>
      <c r="U100" s="97">
        <v>44.132874406866918</v>
      </c>
      <c r="V100" s="97">
        <v>43.869677555595757</v>
      </c>
      <c r="W100" s="97">
        <v>43.723976166458272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39.338423320270067</v>
      </c>
      <c r="D101" s="97">
        <v>39.338423320270067</v>
      </c>
      <c r="E101" s="97">
        <v>39.338423320270067</v>
      </c>
      <c r="F101" s="97">
        <v>39.338423320270067</v>
      </c>
      <c r="G101" s="97">
        <v>39.338423320270067</v>
      </c>
      <c r="H101" s="97">
        <v>39.338423320270067</v>
      </c>
      <c r="I101" s="97">
        <v>39.338423320270067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30.433074216232733</v>
      </c>
      <c r="K103" s="97">
        <v>30.433074216232729</v>
      </c>
      <c r="L103" s="97">
        <v>30.433074216232733</v>
      </c>
      <c r="M103" s="97">
        <v>30.433074216232736</v>
      </c>
      <c r="N103" s="97">
        <v>30.433074216232733</v>
      </c>
      <c r="O103" s="97">
        <v>30.433074216232733</v>
      </c>
      <c r="P103" s="97">
        <v>30.433074216232729</v>
      </c>
      <c r="Q103" s="97">
        <v>30.433074216232733</v>
      </c>
      <c r="R103" s="97">
        <v>30.433074216232733</v>
      </c>
      <c r="S103" s="97">
        <v>30.433074216232733</v>
      </c>
      <c r="T103" s="97">
        <v>30.433074216232733</v>
      </c>
      <c r="U103" s="97">
        <v>26.248944005540601</v>
      </c>
      <c r="V103" s="97">
        <v>26.408350455921326</v>
      </c>
      <c r="W103" s="97">
        <v>26.556825878593379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9.7008279168802911</v>
      </c>
      <c r="C105" s="141">
        <v>9.295252509439603</v>
      </c>
      <c r="D105" s="141">
        <v>9.1711725512372677</v>
      </c>
      <c r="E105" s="141">
        <v>9.0580074706755056</v>
      </c>
      <c r="F105" s="141">
        <v>8.9859842072755995</v>
      </c>
      <c r="G105" s="141">
        <v>8.9061357985109666</v>
      </c>
      <c r="H105" s="141">
        <v>8.8519078155186417</v>
      </c>
      <c r="I105" s="141">
        <v>8.7977501389842132</v>
      </c>
      <c r="J105" s="141">
        <v>8.7192168858591224</v>
      </c>
      <c r="K105" s="141">
        <v>8.6705368640311189</v>
      </c>
      <c r="L105" s="141">
        <v>8.6437990279375132</v>
      </c>
      <c r="M105" s="141">
        <v>8.6307448887187448</v>
      </c>
      <c r="N105" s="141">
        <v>8.5629007147480483</v>
      </c>
      <c r="O105" s="141">
        <v>8.480330985787969</v>
      </c>
      <c r="P105" s="141">
        <v>8.3321115128311511</v>
      </c>
      <c r="Q105" s="141">
        <v>8.1207511106632637</v>
      </c>
      <c r="R105" s="141">
        <v>7.8794710649562703</v>
      </c>
      <c r="S105" s="141">
        <v>7.7053544332667636</v>
      </c>
      <c r="T105" s="141">
        <v>7.5299859533302334</v>
      </c>
      <c r="U105" s="141">
        <v>7.3595626139639645</v>
      </c>
      <c r="V105" s="141">
        <v>7.2351184406305933</v>
      </c>
      <c r="W105" s="141">
        <v>7.0859878828903069</v>
      </c>
      <c r="DA105" s="174" t="s">
        <v>876</v>
      </c>
    </row>
    <row r="106" spans="1:105" ht="11.45" customHeight="1" x14ac:dyDescent="0.25">
      <c r="A106" s="111" t="s">
        <v>110</v>
      </c>
      <c r="B106" s="96">
        <v>8.4810034880013845</v>
      </c>
      <c r="C106" s="96">
        <v>8.3721128849439896</v>
      </c>
      <c r="D106" s="96">
        <v>8.302282427931301</v>
      </c>
      <c r="E106" s="96">
        <v>8.2352479740923332</v>
      </c>
      <c r="F106" s="96">
        <v>8.1436331357578364</v>
      </c>
      <c r="G106" s="96">
        <v>7.9869889706349335</v>
      </c>
      <c r="H106" s="96">
        <v>7.7856965488937586</v>
      </c>
      <c r="I106" s="96">
        <v>7.5887971762252135</v>
      </c>
      <c r="J106" s="96">
        <v>7.5058197582452602</v>
      </c>
      <c r="K106" s="96">
        <v>7.4609176412973897</v>
      </c>
      <c r="L106" s="96">
        <v>7.4186675334429975</v>
      </c>
      <c r="M106" s="96">
        <v>7.3761164957951157</v>
      </c>
      <c r="N106" s="96">
        <v>7.343173684522375</v>
      </c>
      <c r="O106" s="96">
        <v>7.3323020203770843</v>
      </c>
      <c r="P106" s="96">
        <v>7.2812636374391388</v>
      </c>
      <c r="Q106" s="96">
        <v>7.1921062022109474</v>
      </c>
      <c r="R106" s="96">
        <v>7.089472218678428</v>
      </c>
      <c r="S106" s="96">
        <v>7.0942313185624348</v>
      </c>
      <c r="T106" s="96">
        <v>6.9468760938597285</v>
      </c>
      <c r="U106" s="96">
        <v>6.7266300345888173</v>
      </c>
      <c r="V106" s="96">
        <v>6.1262216307532453</v>
      </c>
      <c r="W106" s="96">
        <v>6.0208018578437619</v>
      </c>
      <c r="DA106" s="171" t="s">
        <v>877</v>
      </c>
    </row>
    <row r="107" spans="1:105" ht="11.45" customHeight="1" x14ac:dyDescent="0.25">
      <c r="A107" s="111" t="s">
        <v>111</v>
      </c>
      <c r="B107" s="96">
        <v>9.7312478354068705</v>
      </c>
      <c r="C107" s="96">
        <v>9.2069068412587551</v>
      </c>
      <c r="D107" s="96">
        <v>9.0658462776028355</v>
      </c>
      <c r="E107" s="96">
        <v>8.9440194777653872</v>
      </c>
      <c r="F107" s="96">
        <v>8.8772301070773327</v>
      </c>
      <c r="G107" s="96">
        <v>8.807013750590837</v>
      </c>
      <c r="H107" s="96">
        <v>8.7682915269072748</v>
      </c>
      <c r="I107" s="96">
        <v>8.7291345660658521</v>
      </c>
      <c r="J107" s="96">
        <v>8.6568879131153018</v>
      </c>
      <c r="K107" s="96">
        <v>8.6108941453121179</v>
      </c>
      <c r="L107" s="96">
        <v>8.5952941363609501</v>
      </c>
      <c r="M107" s="96">
        <v>8.5934839579302214</v>
      </c>
      <c r="N107" s="96">
        <v>8.5197641258870558</v>
      </c>
      <c r="O107" s="96">
        <v>8.4161077890291285</v>
      </c>
      <c r="P107" s="96">
        <v>8.236033195112002</v>
      </c>
      <c r="Q107" s="96">
        <v>8.0009898067165945</v>
      </c>
      <c r="R107" s="96">
        <v>7.7349368644834398</v>
      </c>
      <c r="S107" s="96">
        <v>7.5269437535098493</v>
      </c>
      <c r="T107" s="96">
        <v>7.3242290605406017</v>
      </c>
      <c r="U107" s="96">
        <v>7.1386326840867307</v>
      </c>
      <c r="V107" s="96">
        <v>7.0312272661996946</v>
      </c>
      <c r="W107" s="96">
        <v>6.9015747613602585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6.7110416905744836</v>
      </c>
      <c r="P108" s="96">
        <v>6.7110416905744836</v>
      </c>
      <c r="Q108" s="96">
        <v>6.7110416905744836</v>
      </c>
      <c r="R108" s="96">
        <v>6.7110416905744836</v>
      </c>
      <c r="S108" s="96">
        <v>6.3586898288084432</v>
      </c>
      <c r="T108" s="96">
        <v>6.3586898288084432</v>
      </c>
      <c r="U108" s="96">
        <v>6.3586898288084432</v>
      </c>
      <c r="V108" s="96">
        <v>6.2754590705255175</v>
      </c>
      <c r="W108" s="96">
        <v>6.2754590705255184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1.3462223264458864</v>
      </c>
      <c r="N110" s="96">
        <v>1.3382349170555818</v>
      </c>
      <c r="O110" s="96">
        <v>1.3354824800995644</v>
      </c>
      <c r="P110" s="96">
        <v>1.3337764348426788</v>
      </c>
      <c r="Q110" s="96">
        <v>1.3468389853636984</v>
      </c>
      <c r="R110" s="96">
        <v>1.3454471946493305</v>
      </c>
      <c r="S110" s="96">
        <v>1.3399455191944483</v>
      </c>
      <c r="T110" s="96">
        <v>1.4445611753728262</v>
      </c>
      <c r="U110" s="96">
        <v>2.317775166882174</v>
      </c>
      <c r="V110" s="96">
        <v>1.7553266689462987</v>
      </c>
      <c r="W110" s="96">
        <v>2.1404024872822101</v>
      </c>
      <c r="DA110" s="171" t="s">
        <v>881</v>
      </c>
    </row>
    <row r="111" spans="1:105" ht="11.45" customHeight="1" x14ac:dyDescent="0.25">
      <c r="A111" s="109" t="s">
        <v>158</v>
      </c>
      <c r="B111" s="130">
        <v>25.921859543157506</v>
      </c>
      <c r="C111" s="130">
        <v>25.75678983824659</v>
      </c>
      <c r="D111" s="130">
        <v>25.662084965421485</v>
      </c>
      <c r="E111" s="130">
        <v>25.541301375542989</v>
      </c>
      <c r="F111" s="130">
        <v>25.426200374026855</v>
      </c>
      <c r="G111" s="130">
        <v>25.268940948558495</v>
      </c>
      <c r="H111" s="130">
        <v>25.076459386500321</v>
      </c>
      <c r="I111" s="130">
        <v>24.876845117188537</v>
      </c>
      <c r="J111" s="130">
        <v>24.43945681431715</v>
      </c>
      <c r="K111" s="130">
        <v>24.181412295879177</v>
      </c>
      <c r="L111" s="130">
        <v>24.010862685245545</v>
      </c>
      <c r="M111" s="130">
        <v>23.832327644896221</v>
      </c>
      <c r="N111" s="130">
        <v>23.728217100078361</v>
      </c>
      <c r="O111" s="130">
        <v>23.587609521436349</v>
      </c>
      <c r="P111" s="130">
        <v>23.408889553906487</v>
      </c>
      <c r="Q111" s="130">
        <v>23.147211200092979</v>
      </c>
      <c r="R111" s="130">
        <v>22.726380515137315</v>
      </c>
      <c r="S111" s="130">
        <v>22.258685274709212</v>
      </c>
      <c r="T111" s="130">
        <v>21.898969958241853</v>
      </c>
      <c r="U111" s="130">
        <v>21.468148054922953</v>
      </c>
      <c r="V111" s="130">
        <v>21.225434411825397</v>
      </c>
      <c r="W111" s="130">
        <v>20.798644522545278</v>
      </c>
      <c r="DA111" s="176" t="s">
        <v>882</v>
      </c>
    </row>
    <row r="112" spans="1:105" ht="11.45" customHeight="1" x14ac:dyDescent="0.25">
      <c r="A112" s="128" t="s">
        <v>27</v>
      </c>
      <c r="B112" s="97">
        <v>25.759356772272589</v>
      </c>
      <c r="C112" s="97">
        <v>25.606489574061722</v>
      </c>
      <c r="D112" s="97">
        <v>25.51082347388866</v>
      </c>
      <c r="E112" s="97">
        <v>25.392638824442191</v>
      </c>
      <c r="F112" s="97">
        <v>25.266905562473429</v>
      </c>
      <c r="G112" s="97">
        <v>25.122736249246529</v>
      </c>
      <c r="H112" s="97">
        <v>24.94504941297868</v>
      </c>
      <c r="I112" s="97">
        <v>24.754853972020253</v>
      </c>
      <c r="J112" s="97">
        <v>24.305625328202858</v>
      </c>
      <c r="K112" s="97">
        <v>24.053289292972455</v>
      </c>
      <c r="L112" s="97">
        <v>23.877969670165115</v>
      </c>
      <c r="M112" s="97">
        <v>23.689981386231171</v>
      </c>
      <c r="N112" s="97">
        <v>23.600369986742628</v>
      </c>
      <c r="O112" s="97">
        <v>23.465162646114472</v>
      </c>
      <c r="P112" s="97">
        <v>23.29729581583009</v>
      </c>
      <c r="Q112" s="97">
        <v>23.036422148404828</v>
      </c>
      <c r="R112" s="97">
        <v>22.625247079995802</v>
      </c>
      <c r="S112" s="97">
        <v>22.163639916381861</v>
      </c>
      <c r="T112" s="97">
        <v>21.802529063251267</v>
      </c>
      <c r="U112" s="97">
        <v>21.367175085678241</v>
      </c>
      <c r="V112" s="97">
        <v>21.198023311361101</v>
      </c>
      <c r="W112" s="97">
        <v>20.770000371150868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36.375409655480276</v>
      </c>
      <c r="D113" s="98">
        <v>36.051927671237344</v>
      </c>
      <c r="E113" s="98">
        <v>35.793309821411128</v>
      </c>
      <c r="F113" s="98">
        <v>35.13825103341307</v>
      </c>
      <c r="G113" s="98">
        <v>34.837819585266011</v>
      </c>
      <c r="H113" s="98">
        <v>34.529939601166078</v>
      </c>
      <c r="I113" s="98">
        <v>34.071726511515052</v>
      </c>
      <c r="J113" s="98">
        <v>33.881032928571869</v>
      </c>
      <c r="K113" s="98">
        <v>33.632289483404648</v>
      </c>
      <c r="L113" s="98">
        <v>33.126587084918903</v>
      </c>
      <c r="M113" s="98">
        <v>32.471397694454765</v>
      </c>
      <c r="N113" s="98">
        <v>32.219870529421414</v>
      </c>
      <c r="O113" s="98">
        <v>31.89435726672647</v>
      </c>
      <c r="P113" s="98">
        <v>31.623337435397797</v>
      </c>
      <c r="Q113" s="98">
        <v>30.827350444729429</v>
      </c>
      <c r="R113" s="98">
        <v>30.697617197173546</v>
      </c>
      <c r="S113" s="98">
        <v>30.322524272575077</v>
      </c>
      <c r="T113" s="98">
        <v>29.43663431532422</v>
      </c>
      <c r="U113" s="98">
        <v>28.463525556677968</v>
      </c>
      <c r="V113" s="98">
        <v>26.332686124341119</v>
      </c>
      <c r="W113" s="98">
        <v>26.182792048150262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1.1280368189675676</v>
      </c>
      <c r="D117" s="150">
        <f>IF(TrRoad_act!D59=0,0,TrRoad_ene!D62/TrRoad_tech!D90)</f>
        <v>1.1295365396846484</v>
      </c>
      <c r="E117" s="150">
        <f>IF(TrRoad_act!E59=0,0,TrRoad_ene!E62/TrRoad_tech!E90)</f>
        <v>1.1306912220914409</v>
      </c>
      <c r="F117" s="150">
        <f>IF(TrRoad_act!F59=0,0,TrRoad_ene!F62/TrRoad_tech!F90)</f>
        <v>1.1324392353099586</v>
      </c>
      <c r="G117" s="150">
        <f>IF(TrRoad_act!G59=0,0,TrRoad_ene!G62/TrRoad_tech!G90)</f>
        <v>1.1348459894249219</v>
      </c>
      <c r="H117" s="150">
        <f>IF(TrRoad_act!H59=0,0,TrRoad_ene!H62/TrRoad_tech!H90)</f>
        <v>1.1378205767866352</v>
      </c>
      <c r="I117" s="150">
        <f>IF(TrRoad_act!I59=0,0,TrRoad_ene!I62/TrRoad_tech!I90)</f>
        <v>1.1413472094023711</v>
      </c>
      <c r="J117" s="150">
        <f>IF(TrRoad_act!J59=0,0,TrRoad_ene!J62/TrRoad_tech!J90)</f>
        <v>1.1453626244478767</v>
      </c>
      <c r="K117" s="150">
        <f>IF(TrRoad_act!K59=0,0,TrRoad_ene!K62/TrRoad_tech!K90)</f>
        <v>1.1481924745826575</v>
      </c>
      <c r="L117" s="150">
        <f>IF(TrRoad_act!L59=0,0,TrRoad_ene!L62/TrRoad_tech!L90)</f>
        <v>1.1517047738966975</v>
      </c>
      <c r="M117" s="150">
        <f>IF(TrRoad_act!M59=0,0,TrRoad_ene!M62/TrRoad_tech!M90)</f>
        <v>1.1552373263626516</v>
      </c>
      <c r="N117" s="150">
        <f>IF(TrRoad_act!N59=0,0,TrRoad_ene!N62/TrRoad_tech!N90)</f>
        <v>1.157661769962403</v>
      </c>
      <c r="O117" s="150">
        <f>IF(TrRoad_act!O59=0,0,TrRoad_ene!O62/TrRoad_tech!O90)</f>
        <v>1.1677213676202198</v>
      </c>
      <c r="P117" s="150">
        <f>IF(TrRoad_act!P59=0,0,TrRoad_ene!P62/TrRoad_tech!P90)</f>
        <v>1.1731585207394581</v>
      </c>
      <c r="Q117" s="150">
        <f>IF(TrRoad_act!Q59=0,0,TrRoad_ene!Q62/TrRoad_tech!Q90)</f>
        <v>1.1823668018782276</v>
      </c>
      <c r="R117" s="150">
        <f>IF(TrRoad_act!R59=0,0,TrRoad_ene!R62/TrRoad_tech!R90)</f>
        <v>1.1924166142392183</v>
      </c>
      <c r="S117" s="150">
        <f>IF(TrRoad_act!S59=0,0,TrRoad_ene!S62/TrRoad_tech!S90)</f>
        <v>1.2072157444989986</v>
      </c>
      <c r="T117" s="150">
        <f>IF(TrRoad_act!T59=0,0,TrRoad_ene!T62/TrRoad_tech!T90)</f>
        <v>1.2183032023228022</v>
      </c>
      <c r="U117" s="150">
        <f>IF(TrRoad_act!U59=0,0,TrRoad_ene!U62/TrRoad_tech!U90)</f>
        <v>1.2365215393134763</v>
      </c>
      <c r="V117" s="150">
        <f>IF(TrRoad_act!V59=0,0,TrRoad_ene!V62/TrRoad_tech!V90)</f>
        <v>1.2536089379118311</v>
      </c>
      <c r="W117" s="150">
        <f>IF(TrRoad_act!W59=0,0,TrRoad_ene!W62/TrRoad_tech!W90)</f>
        <v>1.2583046257893693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1.1564231254821722</v>
      </c>
      <c r="C118" s="151">
        <f>IF(TrRoad_act!C60=0,0,TrRoad_ene!C63/TrRoad_tech!C91)</f>
        <v>1.1694748006396642</v>
      </c>
      <c r="D118" s="151">
        <f>IF(TrRoad_act!D60=0,0,TrRoad_ene!D63/TrRoad_tech!D91)</f>
        <v>1.1504386036965124</v>
      </c>
      <c r="E118" s="151">
        <f>IF(TrRoad_act!E60=0,0,TrRoad_ene!E63/TrRoad_tech!E91)</f>
        <v>1.1234329172351154</v>
      </c>
      <c r="F118" s="151">
        <f>IF(TrRoad_act!F60=0,0,TrRoad_ene!F63/TrRoad_tech!F91)</f>
        <v>1.1477056200400761</v>
      </c>
      <c r="G118" s="151">
        <f>IF(TrRoad_act!G60=0,0,TrRoad_ene!G63/TrRoad_tech!G91)</f>
        <v>1.1837292795254268</v>
      </c>
      <c r="H118" s="151">
        <f>IF(TrRoad_act!H60=0,0,TrRoad_ene!H63/TrRoad_tech!H91)</f>
        <v>1.1961516714099816</v>
      </c>
      <c r="I118" s="151">
        <f>IF(TrRoad_act!I60=0,0,TrRoad_ene!I63/TrRoad_tech!I91)</f>
        <v>1.1956269427722883</v>
      </c>
      <c r="J118" s="151">
        <f>IF(TrRoad_act!J60=0,0,TrRoad_ene!J63/TrRoad_tech!J91)</f>
        <v>1.1343136353725398</v>
      </c>
      <c r="K118" s="151">
        <f>IF(TrRoad_act!K60=0,0,TrRoad_ene!K63/TrRoad_tech!K91)</f>
        <v>1.1387548110644925</v>
      </c>
      <c r="L118" s="151">
        <f>IF(TrRoad_act!L60=0,0,TrRoad_ene!L63/TrRoad_tech!L91)</f>
        <v>1.1152934965685919</v>
      </c>
      <c r="M118" s="151">
        <f>IF(TrRoad_act!M60=0,0,TrRoad_ene!M63/TrRoad_tech!M91)</f>
        <v>1.107388318690852</v>
      </c>
      <c r="N118" s="151">
        <f>IF(TrRoad_act!N60=0,0,TrRoad_ene!N63/TrRoad_tech!N91)</f>
        <v>1.1372643656846191</v>
      </c>
      <c r="O118" s="151">
        <f>IF(TrRoad_act!O60=0,0,TrRoad_ene!O63/TrRoad_tech!O91)</f>
        <v>1.1398163372370227</v>
      </c>
      <c r="P118" s="151">
        <f>IF(TrRoad_act!P60=0,0,TrRoad_ene!P63/TrRoad_tech!P91)</f>
        <v>1.2196270478447879</v>
      </c>
      <c r="Q118" s="151">
        <f>IF(TrRoad_act!Q60=0,0,TrRoad_ene!Q63/TrRoad_tech!Q91)</f>
        <v>1.1907174944462275</v>
      </c>
      <c r="R118" s="151">
        <f>IF(TrRoad_act!R60=0,0,TrRoad_ene!R63/TrRoad_tech!R91)</f>
        <v>1.2295922207021488</v>
      </c>
      <c r="S118" s="151">
        <f>IF(TrRoad_act!S60=0,0,TrRoad_ene!S63/TrRoad_tech!S91)</f>
        <v>1.2047569256900201</v>
      </c>
      <c r="T118" s="151">
        <f>IF(TrRoad_act!T60=0,0,TrRoad_ene!T63/TrRoad_tech!T91)</f>
        <v>1.2365293859236222</v>
      </c>
      <c r="U118" s="151">
        <f>IF(TrRoad_act!U60=0,0,TrRoad_ene!U63/TrRoad_tech!U91)</f>
        <v>1.2485176589437987</v>
      </c>
      <c r="V118" s="151">
        <f>IF(TrRoad_act!V60=0,0,TrRoad_ene!V63/TrRoad_tech!V91)</f>
        <v>1.210107833269461</v>
      </c>
      <c r="W118" s="151">
        <f>IF(TrRoad_act!W60=0,0,TrRoad_ene!W63/TrRoad_tech!W91)</f>
        <v>1.255323106911941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1.0817824821496613</v>
      </c>
      <c r="C119" s="91">
        <f>IF(TrRoad_act!C61=0,0,TrRoad_ene!C64/TrRoad_tech!C92)</f>
        <v>1.0985665860306153</v>
      </c>
      <c r="D119" s="91">
        <f>IF(TrRoad_act!D61=0,0,TrRoad_ene!D64/TrRoad_tech!D92)</f>
        <v>1.1014475865902598</v>
      </c>
      <c r="E119" s="91">
        <f>IF(TrRoad_act!E61=0,0,TrRoad_ene!E64/TrRoad_tech!E92)</f>
        <v>1.075744166029218</v>
      </c>
      <c r="F119" s="91">
        <f>IF(TrRoad_act!F61=0,0,TrRoad_ene!F64/TrRoad_tech!F92)</f>
        <v>1.0987313015890052</v>
      </c>
      <c r="G119" s="91">
        <f>IF(TrRoad_act!G61=0,0,TrRoad_ene!G64/TrRoad_tech!G92)</f>
        <v>1.1437194360710086</v>
      </c>
      <c r="H119" s="91">
        <f>IF(TrRoad_act!H61=0,0,TrRoad_ene!H64/TrRoad_tech!H92)</f>
        <v>1.1439104662136004</v>
      </c>
      <c r="I119" s="91">
        <f>IF(TrRoad_act!I61=0,0,TrRoad_ene!I64/TrRoad_tech!I92)</f>
        <v>1.1225304865608379</v>
      </c>
      <c r="J119" s="91">
        <f>IF(TrRoad_act!J61=0,0,TrRoad_ene!J64/TrRoad_tech!J92)</f>
        <v>1.0596805070373612</v>
      </c>
      <c r="K119" s="91">
        <f>IF(TrRoad_act!K61=0,0,TrRoad_ene!K64/TrRoad_tech!K92)</f>
        <v>1.033948663393343</v>
      </c>
      <c r="L119" s="91">
        <f>IF(TrRoad_act!L61=0,0,TrRoad_ene!L64/TrRoad_tech!L92)</f>
        <v>1.0408704032595126</v>
      </c>
      <c r="M119" s="91">
        <f>IF(TrRoad_act!M61=0,0,TrRoad_ene!M64/TrRoad_tech!M92)</f>
        <v>1.0356308078534868</v>
      </c>
      <c r="N119" s="91">
        <f>IF(TrRoad_act!N61=0,0,TrRoad_ene!N64/TrRoad_tech!N92)</f>
        <v>1.0675385353288769</v>
      </c>
      <c r="O119" s="91">
        <f>IF(TrRoad_act!O61=0,0,TrRoad_ene!O64/TrRoad_tech!O92)</f>
        <v>1.0371277921106048</v>
      </c>
      <c r="P119" s="91">
        <f>IF(TrRoad_act!P61=0,0,TrRoad_ene!P64/TrRoad_tech!P92)</f>
        <v>1.1052988538831616</v>
      </c>
      <c r="Q119" s="91">
        <f>IF(TrRoad_act!Q61=0,0,TrRoad_ene!Q64/TrRoad_tech!Q92)</f>
        <v>1.0081924413798384</v>
      </c>
      <c r="R119" s="91">
        <f>IF(TrRoad_act!R61=0,0,TrRoad_ene!R64/TrRoad_tech!R92)</f>
        <v>1.0770962564879236</v>
      </c>
      <c r="S119" s="91">
        <f>IF(TrRoad_act!S61=0,0,TrRoad_ene!S64/TrRoad_tech!S92)</f>
        <v>1.0464324967527683</v>
      </c>
      <c r="T119" s="91">
        <f>IF(TrRoad_act!T61=0,0,TrRoad_ene!T64/TrRoad_tech!T92)</f>
        <v>1.0506701354888321</v>
      </c>
      <c r="U119" s="91">
        <f>IF(TrRoad_act!U61=0,0,TrRoad_ene!U64/TrRoad_tech!U92)</f>
        <v>1.0550819446575177</v>
      </c>
      <c r="V119" s="91">
        <f>IF(TrRoad_act!V61=0,0,TrRoad_ene!V64/TrRoad_tech!V92)</f>
        <v>1.0028995909388623</v>
      </c>
      <c r="W119" s="91">
        <f>IF(TrRoad_act!W61=0,0,TrRoad_ene!W64/TrRoad_tech!W92)</f>
        <v>1.0588036123354378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1.6192811763587593</v>
      </c>
      <c r="C120" s="91">
        <f>IF(TrRoad_act!C62=0,0,TrRoad_ene!C65/TrRoad_tech!C93)</f>
        <v>1.7013850117576195</v>
      </c>
      <c r="D120" s="91">
        <f>IF(TrRoad_act!D62=0,0,TrRoad_ene!D65/TrRoad_tech!D93)</f>
        <v>1.551734119264162</v>
      </c>
      <c r="E120" s="91">
        <f>IF(TrRoad_act!E62=0,0,TrRoad_ene!E65/TrRoad_tech!E93)</f>
        <v>1.5081319112112692</v>
      </c>
      <c r="F120" s="91">
        <f>IF(TrRoad_act!F62=0,0,TrRoad_ene!F65/TrRoad_tech!F93)</f>
        <v>1.5127419616733597</v>
      </c>
      <c r="G120" s="91">
        <f>IF(TrRoad_act!G62=0,0,TrRoad_ene!G65/TrRoad_tech!G93)</f>
        <v>1.4498371412626219</v>
      </c>
      <c r="H120" s="91">
        <f>IF(TrRoad_act!H62=0,0,TrRoad_ene!H65/TrRoad_tech!H93)</f>
        <v>1.5108395943404815</v>
      </c>
      <c r="I120" s="91">
        <f>IF(TrRoad_act!I62=0,0,TrRoad_ene!I65/TrRoad_tech!I93)</f>
        <v>1.5714645266889966</v>
      </c>
      <c r="J120" s="91">
        <f>IF(TrRoad_act!J62=0,0,TrRoad_ene!J65/TrRoad_tech!J93)</f>
        <v>1.4462927204988862</v>
      </c>
      <c r="K120" s="91">
        <f>IF(TrRoad_act!K62=0,0,TrRoad_ene!K65/TrRoad_tech!K93)</f>
        <v>1.4834724756044264</v>
      </c>
      <c r="L120" s="91">
        <f>IF(TrRoad_act!L62=0,0,TrRoad_ene!L65/TrRoad_tech!L93)</f>
        <v>1.3288779014086765</v>
      </c>
      <c r="M120" s="91">
        <f>IF(TrRoad_act!M62=0,0,TrRoad_ene!M65/TrRoad_tech!M93)</f>
        <v>1.2753520242448924</v>
      </c>
      <c r="N120" s="91">
        <f>IF(TrRoad_act!N62=0,0,TrRoad_ene!N65/TrRoad_tech!N93)</f>
        <v>1.2901409596450875</v>
      </c>
      <c r="O120" s="91">
        <f>IF(TrRoad_act!O62=0,0,TrRoad_ene!O65/TrRoad_tech!O93)</f>
        <v>1.3192981541325457</v>
      </c>
      <c r="P120" s="91">
        <f>IF(TrRoad_act!P62=0,0,TrRoad_ene!P65/TrRoad_tech!P93)</f>
        <v>1.4054103967870071</v>
      </c>
      <c r="Q120" s="91">
        <f>IF(TrRoad_act!Q62=0,0,TrRoad_ene!Q65/TrRoad_tech!Q93)</f>
        <v>1.424840256019887</v>
      </c>
      <c r="R120" s="91">
        <f>IF(TrRoad_act!R62=0,0,TrRoad_ene!R65/TrRoad_tech!R93)</f>
        <v>1.4146792052659329</v>
      </c>
      <c r="S120" s="91">
        <f>IF(TrRoad_act!S62=0,0,TrRoad_ene!S65/TrRoad_tech!S93)</f>
        <v>1.3776862415399047</v>
      </c>
      <c r="T120" s="91">
        <f>IF(TrRoad_act!T62=0,0,TrRoad_ene!T65/TrRoad_tech!T93)</f>
        <v>1.417760324550267</v>
      </c>
      <c r="U120" s="91">
        <f>IF(TrRoad_act!U62=0,0,TrRoad_ene!U65/TrRoad_tech!U93)</f>
        <v>1.4260951840908047</v>
      </c>
      <c r="V120" s="91">
        <f>IF(TrRoad_act!V62=0,0,TrRoad_ene!V65/TrRoad_tech!V93)</f>
        <v>1.3773603658299087</v>
      </c>
      <c r="W120" s="91">
        <f>IF(TrRoad_act!W62=0,0,TrRoad_ene!W65/TrRoad_tech!W93)</f>
        <v>1.418289912660458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1.095070205854946</v>
      </c>
      <c r="C121" s="91">
        <f>IF(TrRoad_act!C63=0,0,TrRoad_ene!C66/TrRoad_tech!C94)</f>
        <v>1.0458626454564603</v>
      </c>
      <c r="D121" s="91">
        <f>IF(TrRoad_act!D63=0,0,TrRoad_ene!D66/TrRoad_tech!D94)</f>
        <v>1.0698567257517018</v>
      </c>
      <c r="E121" s="91">
        <f>IF(TrRoad_act!E63=0,0,TrRoad_ene!E66/TrRoad_tech!E94)</f>
        <v>1.0934466421455404</v>
      </c>
      <c r="F121" s="91">
        <f>IF(TrRoad_act!F63=0,0,TrRoad_ene!F66/TrRoad_tech!F94)</f>
        <v>1.0348676963474457</v>
      </c>
      <c r="G121" s="91">
        <f>IF(TrRoad_act!G63=0,0,TrRoad_ene!G66/TrRoad_tech!G94)</f>
        <v>1.0406464884326632</v>
      </c>
      <c r="H121" s="91">
        <f>IF(TrRoad_act!H63=0,0,TrRoad_ene!H66/TrRoad_tech!H94)</f>
        <v>1.0291499725101236</v>
      </c>
      <c r="I121" s="91">
        <f>IF(TrRoad_act!I63=0,0,TrRoad_ene!I66/TrRoad_tech!I94)</f>
        <v>1.0452764993289019</v>
      </c>
      <c r="J121" s="91">
        <f>IF(TrRoad_act!J63=0,0,TrRoad_ene!J66/TrRoad_tech!J94)</f>
        <v>1.0821287224949001</v>
      </c>
      <c r="K121" s="91">
        <f>IF(TrRoad_act!K63=0,0,TrRoad_ene!K66/TrRoad_tech!K94)</f>
        <v>1.0283507286597109</v>
      </c>
      <c r="L121" s="91">
        <f>IF(TrRoad_act!L63=0,0,TrRoad_ene!L66/TrRoad_tech!L94)</f>
        <v>1.0415412214251298</v>
      </c>
      <c r="M121" s="91">
        <f>IF(TrRoad_act!M63=0,0,TrRoad_ene!M66/TrRoad_tech!M94)</f>
        <v>1.031907075678157</v>
      </c>
      <c r="N121" s="91">
        <f>IF(TrRoad_act!N63=0,0,TrRoad_ene!N66/TrRoad_tech!N94)</f>
        <v>1.0645350507679403</v>
      </c>
      <c r="O121" s="91">
        <f>IF(TrRoad_act!O63=0,0,TrRoad_ene!O66/TrRoad_tech!O94)</f>
        <v>1.0370097135412384</v>
      </c>
      <c r="P121" s="91">
        <f>IF(TrRoad_act!P63=0,0,TrRoad_ene!P66/TrRoad_tech!P94)</f>
        <v>1.0575067122523296</v>
      </c>
      <c r="Q121" s="91">
        <f>IF(TrRoad_act!Q63=0,0,TrRoad_ene!Q66/TrRoad_tech!Q94)</f>
        <v>1.1117718234357261</v>
      </c>
      <c r="R121" s="91">
        <f>IF(TrRoad_act!R63=0,0,TrRoad_ene!R66/TrRoad_tech!R94)</f>
        <v>1.1466211427409687</v>
      </c>
      <c r="S121" s="91">
        <f>IF(TrRoad_act!S63=0,0,TrRoad_ene!S66/TrRoad_tech!S94)</f>
        <v>1.1698540553264916</v>
      </c>
      <c r="T121" s="91">
        <f>IF(TrRoad_act!T63=0,0,TrRoad_ene!T66/TrRoad_tech!T94)</f>
        <v>1.1475206432262657</v>
      </c>
      <c r="U121" s="91">
        <f>IF(TrRoad_act!U63=0,0,TrRoad_ene!U66/TrRoad_tech!U94)</f>
        <v>1.1548376944081955</v>
      </c>
      <c r="V121" s="91">
        <f>IF(TrRoad_act!V63=0,0,TrRoad_ene!V66/TrRoad_tech!V94)</f>
        <v>0.94328047695407313</v>
      </c>
      <c r="W121" s="91">
        <f>IF(TrRoad_act!W63=0,0,TrRoad_ene!W66/TrRoad_tech!W94)</f>
        <v>1.0533268023815372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1.0711091458227828</v>
      </c>
      <c r="P123" s="91">
        <f>IF(TrRoad_act!P65=0,0,TrRoad_ene!P68/TrRoad_tech!P96)</f>
        <v>1.1174548119445757</v>
      </c>
      <c r="Q123" s="91">
        <f>IF(TrRoad_act!Q65=0,0,TrRoad_ene!Q68/TrRoad_tech!Q96)</f>
        <v>1.0613599150669082</v>
      </c>
      <c r="R123" s="91">
        <f>IF(TrRoad_act!R65=0,0,TrRoad_ene!R68/TrRoad_tech!R96)</f>
        <v>1.108667280652748</v>
      </c>
      <c r="S123" s="91">
        <f>IF(TrRoad_act!S65=0,0,TrRoad_ene!S68/TrRoad_tech!S96)</f>
        <v>1.0888040267482548</v>
      </c>
      <c r="T123" s="91">
        <f>IF(TrRoad_act!T65=0,0,TrRoad_ene!T68/TrRoad_tech!T96)</f>
        <v>1.0917334678069435</v>
      </c>
      <c r="U123" s="91">
        <f>IF(TrRoad_act!U65=0,0,TrRoad_ene!U68/TrRoad_tech!U96)</f>
        <v>1.0942459998585765</v>
      </c>
      <c r="V123" s="91">
        <f>IF(TrRoad_act!V65=0,0,TrRoad_ene!V68/TrRoad_tech!V96)</f>
        <v>1.0632654821795271</v>
      </c>
      <c r="W123" s="91">
        <f>IF(TrRoad_act!W65=0,0,TrRoad_ene!W68/TrRoad_tech!W96)</f>
        <v>1.0952175974402347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1.0555555555604397</v>
      </c>
      <c r="M124" s="91">
        <f>IF(TrRoad_act!M66=0,0,TrRoad_ene!M69/TrRoad_tech!M97)</f>
        <v>1.0603703703752703</v>
      </c>
      <c r="N124" s="91">
        <f>IF(TrRoad_act!N66=0,0,TrRoad_ene!N69/TrRoad_tech!N97)</f>
        <v>1.0655555555606799</v>
      </c>
      <c r="O124" s="91">
        <f>IF(TrRoad_act!O66=0,0,TrRoad_ene!O69/TrRoad_tech!O97)</f>
        <v>1.0693712621698226</v>
      </c>
      <c r="P124" s="91">
        <f>IF(TrRoad_act!P66=0,0,TrRoad_ene!P69/TrRoad_tech!P97)</f>
        <v>1.0739483795472702</v>
      </c>
      <c r="Q124" s="91">
        <f>IF(TrRoad_act!Q66=0,0,TrRoad_ene!Q69/TrRoad_tech!Q97)</f>
        <v>1.0789204618056436</v>
      </c>
      <c r="R124" s="91">
        <f>IF(TrRoad_act!R66=0,0,TrRoad_ene!R69/TrRoad_tech!R97)</f>
        <v>1.0816667964846978</v>
      </c>
      <c r="S124" s="91">
        <f>IF(TrRoad_act!S66=0,0,TrRoad_ene!S69/TrRoad_tech!S97)</f>
        <v>1.0855821579021041</v>
      </c>
      <c r="T124" s="91">
        <f>IF(TrRoad_act!T66=0,0,TrRoad_ene!T69/TrRoad_tech!T97)</f>
        <v>1.09012468924624</v>
      </c>
      <c r="U124" s="91">
        <f>IF(TrRoad_act!U66=0,0,TrRoad_ene!U69/TrRoad_tech!U97)</f>
        <v>1.0936699977037407</v>
      </c>
      <c r="V124" s="91">
        <f>IF(TrRoad_act!V66=0,0,TrRoad_ene!V69/TrRoad_tech!V97)</f>
        <v>1.0954740941718961</v>
      </c>
      <c r="W124" s="91">
        <f>IF(TrRoad_act!W66=0,0,TrRoad_ene!W69/TrRoad_tech!W97)</f>
        <v>1.0973977489603488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1.1000699129158689</v>
      </c>
      <c r="C125" s="151">
        <f>IF(TrRoad_act!C67=0,0,TrRoad_ene!C70/TrRoad_tech!C98)</f>
        <v>1.078320176272892</v>
      </c>
      <c r="D125" s="151">
        <f>IF(TrRoad_act!D67=0,0,TrRoad_ene!D70/TrRoad_tech!D98)</f>
        <v>1.0752203936421236</v>
      </c>
      <c r="E125" s="151">
        <f>IF(TrRoad_act!E67=0,0,TrRoad_ene!E70/TrRoad_tech!E98)</f>
        <v>1.0743397589196393</v>
      </c>
      <c r="F125" s="151">
        <f>IF(TrRoad_act!F67=0,0,TrRoad_ene!F70/TrRoad_tech!F98)</f>
        <v>1.0761999181278683</v>
      </c>
      <c r="G125" s="151">
        <f>IF(TrRoad_act!G67=0,0,TrRoad_ene!G70/TrRoad_tech!G98)</f>
        <v>1.0804858816855827</v>
      </c>
      <c r="H125" s="151">
        <f>IF(TrRoad_act!H67=0,0,TrRoad_ene!H70/TrRoad_tech!H98)</f>
        <v>1.0877879180902672</v>
      </c>
      <c r="I125" s="151">
        <f>IF(TrRoad_act!I67=0,0,TrRoad_ene!I70/TrRoad_tech!I98)</f>
        <v>1.0968892632404841</v>
      </c>
      <c r="J125" s="151">
        <f>IF(TrRoad_act!J67=0,0,TrRoad_ene!J70/TrRoad_tech!J98)</f>
        <v>1.107468174500835</v>
      </c>
      <c r="K125" s="151">
        <f>IF(TrRoad_act!K67=0,0,TrRoad_ene!K70/TrRoad_tech!K98)</f>
        <v>1.1140083204121281</v>
      </c>
      <c r="L125" s="151">
        <f>IF(TrRoad_act!L67=0,0,TrRoad_ene!L70/TrRoad_tech!L98)</f>
        <v>1.1200494099155207</v>
      </c>
      <c r="M125" s="151">
        <f>IF(TrRoad_act!M67=0,0,TrRoad_ene!M70/TrRoad_tech!M98)</f>
        <v>1.1294375031332886</v>
      </c>
      <c r="N125" s="151">
        <f>IF(TrRoad_act!N67=0,0,TrRoad_ene!N70/TrRoad_tech!N98)</f>
        <v>1.1403097401669948</v>
      </c>
      <c r="O125" s="151">
        <f>IF(TrRoad_act!O67=0,0,TrRoad_ene!O70/TrRoad_tech!O98)</f>
        <v>1.1569075583770723</v>
      </c>
      <c r="P125" s="151">
        <f>IF(TrRoad_act!P67=0,0,TrRoad_ene!P70/TrRoad_tech!P98)</f>
        <v>1.1727966616251881</v>
      </c>
      <c r="Q125" s="151">
        <f>IF(TrRoad_act!Q67=0,0,TrRoad_ene!Q70/TrRoad_tech!Q98)</f>
        <v>1.187855227415616</v>
      </c>
      <c r="R125" s="151">
        <f>IF(TrRoad_act!R67=0,0,TrRoad_ene!R70/TrRoad_tech!R98)</f>
        <v>1.2037627218692335</v>
      </c>
      <c r="S125" s="151">
        <f>IF(TrRoad_act!S67=0,0,TrRoad_ene!S70/TrRoad_tech!S98)</f>
        <v>1.2193119765391691</v>
      </c>
      <c r="T125" s="151">
        <f>IF(TrRoad_act!T67=0,0,TrRoad_ene!T70/TrRoad_tech!T98)</f>
        <v>1.235388484763525</v>
      </c>
      <c r="U125" s="151">
        <f>IF(TrRoad_act!U67=0,0,TrRoad_ene!U70/TrRoad_tech!U98)</f>
        <v>1.2474590071999416</v>
      </c>
      <c r="V125" s="151">
        <f>IF(TrRoad_act!V67=0,0,TrRoad_ene!V70/TrRoad_tech!V98)</f>
        <v>1.2614040235905615</v>
      </c>
      <c r="W125" s="151">
        <f>IF(TrRoad_act!W67=0,0,TrRoad_ene!W70/TrRoad_tech!W98)</f>
        <v>1.2678782857469244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1.10000000000673</v>
      </c>
      <c r="D126" s="93">
        <f>IF(TrRoad_act!D68=0,0,TrRoad_ene!D71/TrRoad_tech!D99)</f>
        <v>1.1000000000067305</v>
      </c>
      <c r="E126" s="93">
        <f>IF(TrRoad_act!E68=0,0,TrRoad_ene!E71/TrRoad_tech!E99)</f>
        <v>1.1000000000067305</v>
      </c>
      <c r="F126" s="93">
        <f>IF(TrRoad_act!F68=0,0,TrRoad_ene!F71/TrRoad_tech!F99)</f>
        <v>1.1000000000067303</v>
      </c>
      <c r="G126" s="93">
        <f>IF(TrRoad_act!G68=0,0,TrRoad_ene!G71/TrRoad_tech!G99)</f>
        <v>1.1000000000067303</v>
      </c>
      <c r="H126" s="93">
        <f>IF(TrRoad_act!H68=0,0,TrRoad_ene!H71/TrRoad_tech!H99)</f>
        <v>1.1000000000067303</v>
      </c>
      <c r="I126" s="93">
        <f>IF(TrRoad_act!I68=0,0,TrRoad_ene!I71/TrRoad_tech!I99)</f>
        <v>1.1014141668931641</v>
      </c>
      <c r="J126" s="93">
        <f>IF(TrRoad_act!J68=0,0,TrRoad_ene!J71/TrRoad_tech!J99)</f>
        <v>1.1016956301822014</v>
      </c>
      <c r="K126" s="93">
        <f>IF(TrRoad_act!K68=0,0,TrRoad_ene!K71/TrRoad_tech!K99)</f>
        <v>1.1020327867911164</v>
      </c>
      <c r="L126" s="93">
        <f>IF(TrRoad_act!L68=0,0,TrRoad_ene!L71/TrRoad_tech!L99)</f>
        <v>1.1025372997354568</v>
      </c>
      <c r="M126" s="93">
        <f>IF(TrRoad_act!M68=0,0,TrRoad_ene!M71/TrRoad_tech!M99)</f>
        <v>1.103165887546621</v>
      </c>
      <c r="N126" s="93">
        <f>IF(TrRoad_act!N68=0,0,TrRoad_ene!N71/TrRoad_tech!N99)</f>
        <v>1.104042099657121</v>
      </c>
      <c r="O126" s="93">
        <f>IF(TrRoad_act!O68=0,0,TrRoad_ene!O71/TrRoad_tech!O99)</f>
        <v>1.104042099657121</v>
      </c>
      <c r="P126" s="93">
        <f>IF(TrRoad_act!P68=0,0,TrRoad_ene!P71/TrRoad_tech!P99)</f>
        <v>1.104042099657121</v>
      </c>
      <c r="Q126" s="93">
        <f>IF(TrRoad_act!Q68=0,0,TrRoad_ene!Q71/TrRoad_tech!Q99)</f>
        <v>1.1045860734654398</v>
      </c>
      <c r="R126" s="93">
        <f>IF(TrRoad_act!R68=0,0,TrRoad_ene!R71/TrRoad_tech!R99)</f>
        <v>1.1055889287928389</v>
      </c>
      <c r="S126" s="93">
        <f>IF(TrRoad_act!S68=0,0,TrRoad_ene!S71/TrRoad_tech!S99)</f>
        <v>1.1692628511974925</v>
      </c>
      <c r="T126" s="93">
        <f>IF(TrRoad_act!T68=0,0,TrRoad_ene!T71/TrRoad_tech!T99)</f>
        <v>1.1966628324798998</v>
      </c>
      <c r="U126" s="93">
        <f>IF(TrRoad_act!U68=0,0,TrRoad_ene!U71/TrRoad_tech!U99)</f>
        <v>1.2433739353429474</v>
      </c>
      <c r="V126" s="93">
        <f>IF(TrRoad_act!V68=0,0,TrRoad_ene!V71/TrRoad_tech!V99)</f>
        <v>1.2433739353429476</v>
      </c>
      <c r="W126" s="93">
        <f>IF(TrRoad_act!W68=0,0,TrRoad_ene!W71/TrRoad_tech!W99)</f>
        <v>1.2340694389475686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1.1005194885804293</v>
      </c>
      <c r="D127" s="93">
        <f>IF(TrRoad_act!D69=0,0,TrRoad_ene!D72/TrRoad_tech!D100)</f>
        <v>1.1014665666997399</v>
      </c>
      <c r="E127" s="93">
        <f>IF(TrRoad_act!E69=0,0,TrRoad_ene!E72/TrRoad_tech!E100)</f>
        <v>1.1036708736630036</v>
      </c>
      <c r="F127" s="93">
        <f>IF(TrRoad_act!F69=0,0,TrRoad_ene!F72/TrRoad_tech!F100)</f>
        <v>1.1063604092621848</v>
      </c>
      <c r="G127" s="93">
        <f>IF(TrRoad_act!G69=0,0,TrRoad_ene!G72/TrRoad_tech!G100)</f>
        <v>1.1100088051273651</v>
      </c>
      <c r="H127" s="93">
        <f>IF(TrRoad_act!H69=0,0,TrRoad_ene!H72/TrRoad_tech!H100)</f>
        <v>1.115580936127704</v>
      </c>
      <c r="I127" s="93">
        <f>IF(TrRoad_act!I69=0,0,TrRoad_ene!I72/TrRoad_tech!I100)</f>
        <v>1.1218663628325354</v>
      </c>
      <c r="J127" s="93">
        <f>IF(TrRoad_act!J69=0,0,TrRoad_ene!J72/TrRoad_tech!J100)</f>
        <v>1.1290839391452501</v>
      </c>
      <c r="K127" s="93">
        <f>IF(TrRoad_act!K69=0,0,TrRoad_ene!K72/TrRoad_tech!K100)</f>
        <v>1.1326079168887151</v>
      </c>
      <c r="L127" s="93">
        <f>IF(TrRoad_act!L69=0,0,TrRoad_ene!L72/TrRoad_tech!L100)</f>
        <v>1.135766932775595</v>
      </c>
      <c r="M127" s="93">
        <f>IF(TrRoad_act!M69=0,0,TrRoad_ene!M72/TrRoad_tech!M100)</f>
        <v>1.142931362626157</v>
      </c>
      <c r="N127" s="93">
        <f>IF(TrRoad_act!N69=0,0,TrRoad_ene!N72/TrRoad_tech!N100)</f>
        <v>1.1519026225481006</v>
      </c>
      <c r="O127" s="93">
        <f>IF(TrRoad_act!O69=0,0,TrRoad_ene!O72/TrRoad_tech!O100)</f>
        <v>1.1642701592611724</v>
      </c>
      <c r="P127" s="93">
        <f>IF(TrRoad_act!P69=0,0,TrRoad_ene!P72/TrRoad_tech!P100)</f>
        <v>1.1781367404603089</v>
      </c>
      <c r="Q127" s="93">
        <f>IF(TrRoad_act!Q69=0,0,TrRoad_ene!Q72/TrRoad_tech!Q100)</f>
        <v>1.1947081989548132</v>
      </c>
      <c r="R127" s="93">
        <f>IF(TrRoad_act!R69=0,0,TrRoad_ene!R72/TrRoad_tech!R100)</f>
        <v>1.2116442681786055</v>
      </c>
      <c r="S127" s="93">
        <f>IF(TrRoad_act!S69=0,0,TrRoad_ene!S72/TrRoad_tech!S100)</f>
        <v>1.2278893991206521</v>
      </c>
      <c r="T127" s="93">
        <f>IF(TrRoad_act!T69=0,0,TrRoad_ene!T72/TrRoad_tech!T100)</f>
        <v>1.2443732909638117</v>
      </c>
      <c r="U127" s="93">
        <f>IF(TrRoad_act!U69=0,0,TrRoad_ene!U72/TrRoad_tech!U100)</f>
        <v>1.257206638363936</v>
      </c>
      <c r="V127" s="93">
        <f>IF(TrRoad_act!V69=0,0,TrRoad_ene!V72/TrRoad_tech!V100)</f>
        <v>1.2699306140410695</v>
      </c>
      <c r="W127" s="93">
        <f>IF(TrRoad_act!W69=0,0,TrRoad_ene!W72/TrRoad_tech!W100)</f>
        <v>1.2770012318417585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1.1040000000061809</v>
      </c>
      <c r="D128" s="93">
        <f>IF(TrRoad_act!D70=0,0,TrRoad_ene!D73/TrRoad_tech!D101)</f>
        <v>1.1040000000061809</v>
      </c>
      <c r="E128" s="93">
        <f>IF(TrRoad_act!E70=0,0,TrRoad_ene!E73/TrRoad_tech!E101)</f>
        <v>1.1040000000061809</v>
      </c>
      <c r="F128" s="93">
        <f>IF(TrRoad_act!F70=0,0,TrRoad_ene!F73/TrRoad_tech!F101)</f>
        <v>1.1040000000061811</v>
      </c>
      <c r="G128" s="93">
        <f>IF(TrRoad_act!G70=0,0,TrRoad_ene!G73/TrRoad_tech!G101)</f>
        <v>1.1040000000061809</v>
      </c>
      <c r="H128" s="93">
        <f>IF(TrRoad_act!H70=0,0,TrRoad_ene!H73/TrRoad_tech!H101)</f>
        <v>1.1040000000061809</v>
      </c>
      <c r="I128" s="93">
        <f>IF(TrRoad_act!I70=0,0,TrRoad_ene!I73/TrRoad_tech!I101)</f>
        <v>1.1040000000061811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1.1693333333396367</v>
      </c>
      <c r="K130" s="93">
        <f>IF(TrRoad_act!K72=0,0,TrRoad_ene!K75/TrRoad_tech!K103)</f>
        <v>1.1693333333396367</v>
      </c>
      <c r="L130" s="93">
        <f>IF(TrRoad_act!L72=0,0,TrRoad_ene!L75/TrRoad_tech!L103)</f>
        <v>1.1693333333396365</v>
      </c>
      <c r="M130" s="93">
        <f>IF(TrRoad_act!M72=0,0,TrRoad_ene!M75/TrRoad_tech!M103)</f>
        <v>1.1693333333396363</v>
      </c>
      <c r="N130" s="93">
        <f>IF(TrRoad_act!N72=0,0,TrRoad_ene!N75/TrRoad_tech!N103)</f>
        <v>1.1693333333396367</v>
      </c>
      <c r="O130" s="93">
        <f>IF(TrRoad_act!O72=0,0,TrRoad_ene!O75/TrRoad_tech!O103)</f>
        <v>1.1693333333396367</v>
      </c>
      <c r="P130" s="93">
        <f>IF(TrRoad_act!P72=0,0,TrRoad_ene!P75/TrRoad_tech!P103)</f>
        <v>1.1693333333396365</v>
      </c>
      <c r="Q130" s="93">
        <f>IF(TrRoad_act!Q72=0,0,TrRoad_ene!Q75/TrRoad_tech!Q103)</f>
        <v>1.1693333333396367</v>
      </c>
      <c r="R130" s="93">
        <f>IF(TrRoad_act!R72=0,0,TrRoad_ene!R75/TrRoad_tech!R103)</f>
        <v>1.1693333333396365</v>
      </c>
      <c r="S130" s="93">
        <f>IF(TrRoad_act!S72=0,0,TrRoad_ene!S75/TrRoad_tech!S103)</f>
        <v>1.1693333333396367</v>
      </c>
      <c r="T130" s="93">
        <f>IF(TrRoad_act!T72=0,0,TrRoad_ene!T75/TrRoad_tech!T103)</f>
        <v>1.1693333333396365</v>
      </c>
      <c r="U130" s="93">
        <f>IF(TrRoad_act!U72=0,0,TrRoad_ene!U75/TrRoad_tech!U103)</f>
        <v>1.3477504606298738</v>
      </c>
      <c r="V130" s="93">
        <f>IF(TrRoad_act!V72=0,0,TrRoad_ene!V75/TrRoad_tech!V103)</f>
        <v>1.3520253243027616</v>
      </c>
      <c r="W130" s="93">
        <f>IF(TrRoad_act!W72=0,0,TrRoad_ene!W75/TrRoad_tech!W103)</f>
        <v>1.3555562989742413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1.1581132795919342</v>
      </c>
      <c r="C132" s="150">
        <f>IF(TrRoad_act!C74=0,0,TrRoad_ene!C77/TrRoad_tech!C105)</f>
        <v>1.1541822290625927</v>
      </c>
      <c r="D132" s="150">
        <f>IF(TrRoad_act!D74=0,0,TrRoad_ene!D77/TrRoad_tech!D105)</f>
        <v>1.1503143045768254</v>
      </c>
      <c r="E132" s="150">
        <f>IF(TrRoad_act!E74=0,0,TrRoad_ene!E77/TrRoad_tech!E105)</f>
        <v>1.1493932209542626</v>
      </c>
      <c r="F132" s="150">
        <f>IF(TrRoad_act!F74=0,0,TrRoad_ene!F77/TrRoad_tech!F105)</f>
        <v>1.1667029932846473</v>
      </c>
      <c r="G132" s="150">
        <f>IF(TrRoad_act!G74=0,0,TrRoad_ene!G77/TrRoad_tech!G105)</f>
        <v>1.1709718685934385</v>
      </c>
      <c r="H132" s="150">
        <f>IF(TrRoad_act!H74=0,0,TrRoad_ene!H77/TrRoad_tech!H105)</f>
        <v>1.1825290298772391</v>
      </c>
      <c r="I132" s="150">
        <f>IF(TrRoad_act!I74=0,0,TrRoad_ene!I77/TrRoad_tech!I105)</f>
        <v>1.1986036912390132</v>
      </c>
      <c r="J132" s="150">
        <f>IF(TrRoad_act!J74=0,0,TrRoad_ene!J77/TrRoad_tech!J105)</f>
        <v>1.1791860564563919</v>
      </c>
      <c r="K132" s="150">
        <f>IF(TrRoad_act!K74=0,0,TrRoad_ene!K77/TrRoad_tech!K105)</f>
        <v>1.172582232841437</v>
      </c>
      <c r="L132" s="150">
        <f>IF(TrRoad_act!L74=0,0,TrRoad_ene!L77/TrRoad_tech!L105)</f>
        <v>1.1614314626813169</v>
      </c>
      <c r="M132" s="150">
        <f>IF(TrRoad_act!M74=0,0,TrRoad_ene!M77/TrRoad_tech!M105)</f>
        <v>1.1509788621897916</v>
      </c>
      <c r="N132" s="150">
        <f>IF(TrRoad_act!N74=0,0,TrRoad_ene!N77/TrRoad_tech!N105)</f>
        <v>1.1527385367613898</v>
      </c>
      <c r="O132" s="150">
        <f>IF(TrRoad_act!O74=0,0,TrRoad_ene!O77/TrRoad_tech!O105)</f>
        <v>1.1532591101987781</v>
      </c>
      <c r="P132" s="150">
        <f>IF(TrRoad_act!P74=0,0,TrRoad_ene!P77/TrRoad_tech!P105)</f>
        <v>1.17541503454203</v>
      </c>
      <c r="Q132" s="150">
        <f>IF(TrRoad_act!Q74=0,0,TrRoad_ene!Q77/TrRoad_tech!Q105)</f>
        <v>1.2286102107260177</v>
      </c>
      <c r="R132" s="150">
        <f>IF(TrRoad_act!R74=0,0,TrRoad_ene!R77/TrRoad_tech!R105)</f>
        <v>1.246091676971093</v>
      </c>
      <c r="S132" s="150">
        <f>IF(TrRoad_act!S74=0,0,TrRoad_ene!S77/TrRoad_tech!S105)</f>
        <v>1.2547733100523797</v>
      </c>
      <c r="T132" s="150">
        <f>IF(TrRoad_act!T74=0,0,TrRoad_ene!T77/TrRoad_tech!T105)</f>
        <v>1.272207443084755</v>
      </c>
      <c r="U132" s="150">
        <f>IF(TrRoad_act!U74=0,0,TrRoad_ene!U77/TrRoad_tech!U105)</f>
        <v>1.2820401755052044</v>
      </c>
      <c r="V132" s="150">
        <f>IF(TrRoad_act!V74=0,0,TrRoad_ene!V77/TrRoad_tech!V105)</f>
        <v>1.2946628109793479</v>
      </c>
      <c r="W132" s="150">
        <f>IF(TrRoad_act!W74=0,0,TrRoad_ene!W77/TrRoad_tech!W105)</f>
        <v>1.3321252506712795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</v>
      </c>
      <c r="C133" s="91">
        <f>IF(TrRoad_act!C75=0,0,TrRoad_ene!C78/TrRoad_tech!C106)</f>
        <v>1.1000127162213384</v>
      </c>
      <c r="D133" s="91">
        <f>IF(TrRoad_act!D75=0,0,TrRoad_ene!D78/TrRoad_tech!D106)</f>
        <v>1.1000606019554675</v>
      </c>
      <c r="E133" s="91">
        <f>IF(TrRoad_act!E75=0,0,TrRoad_ene!E78/TrRoad_tech!E106)</f>
        <v>1.1001313659033838</v>
      </c>
      <c r="F133" s="91">
        <f>IF(TrRoad_act!F75=0,0,TrRoad_ene!F78/TrRoad_tech!F106)</f>
        <v>1.1002554945770009</v>
      </c>
      <c r="G133" s="91">
        <f>IF(TrRoad_act!G75=0,0,TrRoad_ene!G78/TrRoad_tech!G106)</f>
        <v>1.1005042952782849</v>
      </c>
      <c r="H133" s="91">
        <f>IF(TrRoad_act!H75=0,0,TrRoad_ene!H78/TrRoad_tech!H106)</f>
        <v>1.1012041222620774</v>
      </c>
      <c r="I133" s="91">
        <f>IF(TrRoad_act!I75=0,0,TrRoad_ene!I78/TrRoad_tech!I106)</f>
        <v>1.1023916941108671</v>
      </c>
      <c r="J133" s="91">
        <f>IF(TrRoad_act!J75=0,0,TrRoad_ene!J78/TrRoad_tech!J106)</f>
        <v>1.1040501936295404</v>
      </c>
      <c r="K133" s="91">
        <f>IF(TrRoad_act!K75=0,0,TrRoad_ene!K78/TrRoad_tech!K106)</f>
        <v>1.1061755349105578</v>
      </c>
      <c r="L133" s="91">
        <f>IF(TrRoad_act!L75=0,0,TrRoad_ene!L78/TrRoad_tech!L106)</f>
        <v>1.1086811019733338</v>
      </c>
      <c r="M133" s="91">
        <f>IF(TrRoad_act!M75=0,0,TrRoad_ene!M78/TrRoad_tech!M106)</f>
        <v>1.1111337653876681</v>
      </c>
      <c r="N133" s="91">
        <f>IF(TrRoad_act!N75=0,0,TrRoad_ene!N78/TrRoad_tech!N106)</f>
        <v>1.1130976245903341</v>
      </c>
      <c r="O133" s="91">
        <f>IF(TrRoad_act!O75=0,0,TrRoad_ene!O78/TrRoad_tech!O106)</f>
        <v>1.1145458139878062</v>
      </c>
      <c r="P133" s="91">
        <f>IF(TrRoad_act!P75=0,0,TrRoad_ene!P78/TrRoad_tech!P106)</f>
        <v>1.1188466684308962</v>
      </c>
      <c r="Q133" s="91">
        <f>IF(TrRoad_act!Q75=0,0,TrRoad_ene!Q78/TrRoad_tech!Q106)</f>
        <v>1.1249538735016846</v>
      </c>
      <c r="R133" s="91">
        <f>IF(TrRoad_act!R75=0,0,TrRoad_ene!R78/TrRoad_tech!R106)</f>
        <v>1.1347429987419606</v>
      </c>
      <c r="S133" s="91">
        <f>IF(TrRoad_act!S75=0,0,TrRoad_ene!S78/TrRoad_tech!S106)</f>
        <v>1.1621695365583928</v>
      </c>
      <c r="T133" s="91">
        <f>IF(TrRoad_act!T75=0,0,TrRoad_ene!T78/TrRoad_tech!T106)</f>
        <v>1.1726752692288063</v>
      </c>
      <c r="U133" s="91">
        <f>IF(TrRoad_act!U75=0,0,TrRoad_ene!U78/TrRoad_tech!U106)</f>
        <v>1.1971585269162115</v>
      </c>
      <c r="V133" s="91">
        <f>IF(TrRoad_act!V75=0,0,TrRoad_ene!V78/TrRoad_tech!V106)</f>
        <v>1.2372723274504247</v>
      </c>
      <c r="W133" s="91">
        <f>IF(TrRoad_act!W75=0,0,TrRoad_ene!W78/TrRoad_tech!W106)</f>
        <v>1.2682624652950674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1.1571870136827902</v>
      </c>
      <c r="C134" s="91">
        <f>IF(TrRoad_act!C76=0,0,TrRoad_ene!C79/TrRoad_tech!C107)</f>
        <v>1.167183532899867</v>
      </c>
      <c r="D134" s="91">
        <f>IF(TrRoad_act!D76=0,0,TrRoad_ene!D79/TrRoad_tech!D107)</f>
        <v>1.165259899441085</v>
      </c>
      <c r="E134" s="91">
        <f>IF(TrRoad_act!E76=0,0,TrRoad_ene!E79/TrRoad_tech!E107)</f>
        <v>1.1653232300879568</v>
      </c>
      <c r="F134" s="91">
        <f>IF(TrRoad_act!F76=0,0,TrRoad_ene!F79/TrRoad_tech!F107)</f>
        <v>1.1821846641559834</v>
      </c>
      <c r="G134" s="91">
        <f>IF(TrRoad_act!G76=0,0,TrRoad_ene!G79/TrRoad_tech!G107)</f>
        <v>1.1850799841860089</v>
      </c>
      <c r="H134" s="91">
        <f>IF(TrRoad_act!H76=0,0,TrRoad_ene!H79/TrRoad_tech!H107)</f>
        <v>1.1945803226887155</v>
      </c>
      <c r="I134" s="91">
        <f>IF(TrRoad_act!I76=0,0,TrRoad_ene!I79/TrRoad_tech!I107)</f>
        <v>1.2086926311801514</v>
      </c>
      <c r="J134" s="91">
        <f>IF(TrRoad_act!J76=0,0,TrRoad_ene!J79/TrRoad_tech!J107)</f>
        <v>1.1882283486907805</v>
      </c>
      <c r="K134" s="91">
        <f>IF(TrRoad_act!K76=0,0,TrRoad_ene!K79/TrRoad_tech!K107)</f>
        <v>1.1812085967915529</v>
      </c>
      <c r="L134" s="91">
        <f>IF(TrRoad_act!L76=0,0,TrRoad_ene!L79/TrRoad_tech!L107)</f>
        <v>1.1684159132540621</v>
      </c>
      <c r="M134" s="91">
        <f>IF(TrRoad_act!M76=0,0,TrRoad_ene!M79/TrRoad_tech!M107)</f>
        <v>1.1564181875440331</v>
      </c>
      <c r="N134" s="91">
        <f>IF(TrRoad_act!N76=0,0,TrRoad_ene!N79/TrRoad_tech!N107)</f>
        <v>1.1590998088367503</v>
      </c>
      <c r="O134" s="91">
        <f>IF(TrRoad_act!O76=0,0,TrRoad_ene!O79/TrRoad_tech!O107)</f>
        <v>1.1625580467736638</v>
      </c>
      <c r="P134" s="91">
        <f>IF(TrRoad_act!P76=0,0,TrRoad_ene!P79/TrRoad_tech!P107)</f>
        <v>1.1896659357919648</v>
      </c>
      <c r="Q134" s="91">
        <f>IF(TrRoad_act!Q76=0,0,TrRoad_ene!Q79/TrRoad_tech!Q107)</f>
        <v>1.2475807008667164</v>
      </c>
      <c r="R134" s="91">
        <f>IF(TrRoad_act!R76=0,0,TrRoad_ene!R79/TrRoad_tech!R107)</f>
        <v>1.2699432217475513</v>
      </c>
      <c r="S134" s="91">
        <f>IF(TrRoad_act!S76=0,0,TrRoad_ene!S79/TrRoad_tech!S107)</f>
        <v>1.285264469345504</v>
      </c>
      <c r="T134" s="91">
        <f>IF(TrRoad_act!T76=0,0,TrRoad_ene!T79/TrRoad_tech!T107)</f>
        <v>1.3087436245620421</v>
      </c>
      <c r="U134" s="91">
        <f>IF(TrRoad_act!U76=0,0,TrRoad_ene!U79/TrRoad_tech!U107)</f>
        <v>1.3229405721112963</v>
      </c>
      <c r="V134" s="91">
        <f>IF(TrRoad_act!V76=0,0,TrRoad_ene!V79/TrRoad_tech!V107)</f>
        <v>1.3355921991756272</v>
      </c>
      <c r="W134" s="91">
        <f>IF(TrRoad_act!W76=0,0,TrRoad_ene!W79/TrRoad_tech!W107)</f>
        <v>1.3730097015814235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1.2560000000062248</v>
      </c>
      <c r="P135" s="91">
        <f>IF(TrRoad_act!P77=0,0,TrRoad_ene!P80/TrRoad_tech!P108)</f>
        <v>1.2668628131422308</v>
      </c>
      <c r="Q135" s="91">
        <f>IF(TrRoad_act!Q77=0,0,TrRoad_ene!Q80/TrRoad_tech!Q108)</f>
        <v>1.2668628131422315</v>
      </c>
      <c r="R135" s="91">
        <f>IF(TrRoad_act!R77=0,0,TrRoad_ene!R80/TrRoad_tech!R108)</f>
        <v>1.2668628131422308</v>
      </c>
      <c r="S135" s="91">
        <f>IF(TrRoad_act!S77=0,0,TrRoad_ene!S80/TrRoad_tech!S108)</f>
        <v>1.278179496243949</v>
      </c>
      <c r="T135" s="91">
        <f>IF(TrRoad_act!T77=0,0,TrRoad_ene!T80/TrRoad_tech!T108)</f>
        <v>1.278179496243949</v>
      </c>
      <c r="U135" s="91">
        <f>IF(TrRoad_act!U77=0,0,TrRoad_ene!U80/TrRoad_tech!U108)</f>
        <v>1.278179496243949</v>
      </c>
      <c r="V135" s="91">
        <f>IF(TrRoad_act!V77=0,0,TrRoad_ene!V80/TrRoad_tech!V108)</f>
        <v>1.2837822739765667</v>
      </c>
      <c r="W135" s="91">
        <f>IF(TrRoad_act!W77=0,0,TrRoad_ene!W80/TrRoad_tech!W108)</f>
        <v>1.2837822739765665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1.2173333333398662</v>
      </c>
      <c r="N137" s="91">
        <f>IF(TrRoad_act!N79=0,0,TrRoad_ene!N82/TrRoad_tech!N110)</f>
        <v>1.2283633343996871</v>
      </c>
      <c r="O137" s="91">
        <f>IF(TrRoad_act!O79=0,0,TrRoad_ene!O82/TrRoad_tech!O110)</f>
        <v>1.231220393498738</v>
      </c>
      <c r="P137" s="91">
        <f>IF(TrRoad_act!P79=0,0,TrRoad_ene!P82/TrRoad_tech!P110)</f>
        <v>1.2370998569870557</v>
      </c>
      <c r="Q137" s="91">
        <f>IF(TrRoad_act!Q79=0,0,TrRoad_ene!Q82/TrRoad_tech!Q110)</f>
        <v>1.2565426588875399</v>
      </c>
      <c r="R137" s="91">
        <f>IF(TrRoad_act!R79=0,0,TrRoad_ene!R82/TrRoad_tech!R110)</f>
        <v>1.2666487034821099</v>
      </c>
      <c r="S137" s="91">
        <f>IF(TrRoad_act!S79=0,0,TrRoad_ene!S82/TrRoad_tech!S110)</f>
        <v>1.2943893915406364</v>
      </c>
      <c r="T137" s="91">
        <f>IF(TrRoad_act!T79=0,0,TrRoad_ene!T82/TrRoad_tech!T110)</f>
        <v>1.333640449460735</v>
      </c>
      <c r="U137" s="91">
        <f>IF(TrRoad_act!U79=0,0,TrRoad_ene!U82/TrRoad_tech!U110)</f>
        <v>1.3477504606298742</v>
      </c>
      <c r="V137" s="91">
        <f>IF(TrRoad_act!V79=0,0,TrRoad_ene!V82/TrRoad_tech!V110)</f>
        <v>1.352114073822456</v>
      </c>
      <c r="W137" s="91">
        <f>IF(TrRoad_act!W79=0,0,TrRoad_ene!W82/TrRoad_tech!W110)</f>
        <v>1.3550842853445384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1.7538363158297769</v>
      </c>
      <c r="C138" s="151">
        <f>IF(TrRoad_act!C80=0,0,TrRoad_ene!C83/TrRoad_tech!C111)</f>
        <v>1.8452840056100654</v>
      </c>
      <c r="D138" s="151">
        <f>IF(TrRoad_act!D80=0,0,TrRoad_ene!D83/TrRoad_tech!D111)</f>
        <v>1.680470227081339</v>
      </c>
      <c r="E138" s="151">
        <f>IF(TrRoad_act!E80=0,0,TrRoad_ene!E83/TrRoad_tech!E111)</f>
        <v>1.6333578584203605</v>
      </c>
      <c r="F138" s="151">
        <f>IF(TrRoad_act!F80=0,0,TrRoad_ene!F83/TrRoad_tech!F111)</f>
        <v>1.6401414281761086</v>
      </c>
      <c r="G138" s="151">
        <f>IF(TrRoad_act!G80=0,0,TrRoad_ene!G83/TrRoad_tech!G111)</f>
        <v>1.5735178919949098</v>
      </c>
      <c r="H138" s="151">
        <f>IF(TrRoad_act!H80=0,0,TrRoad_ene!H83/TrRoad_tech!H111)</f>
        <v>1.6448108941247064</v>
      </c>
      <c r="I138" s="151">
        <f>IF(TrRoad_act!I80=0,0,TrRoad_ene!I83/TrRoad_tech!I111)</f>
        <v>1.7157057275506651</v>
      </c>
      <c r="J138" s="151">
        <f>IF(TrRoad_act!J80=0,0,TrRoad_ene!J83/TrRoad_tech!J111)</f>
        <v>1.5879093753074691</v>
      </c>
      <c r="K138" s="151">
        <f>IF(TrRoad_act!K80=0,0,TrRoad_ene!K83/TrRoad_tech!K111)</f>
        <v>1.6410181196641385</v>
      </c>
      <c r="L138" s="151">
        <f>IF(TrRoad_act!L80=0,0,TrRoad_ene!L83/TrRoad_tech!L111)</f>
        <v>1.4737076191861997</v>
      </c>
      <c r="M138" s="151">
        <f>IF(TrRoad_act!M80=0,0,TrRoad_ene!M83/TrRoad_tech!M111)</f>
        <v>1.4206719364967435</v>
      </c>
      <c r="N138" s="151">
        <f>IF(TrRoad_act!N80=0,0,TrRoad_ene!N83/TrRoad_tech!N111)</f>
        <v>1.4365919537670107</v>
      </c>
      <c r="O138" s="151">
        <f>IF(TrRoad_act!O80=0,0,TrRoad_ene!O83/TrRoad_tech!O111)</f>
        <v>1.4697639539840501</v>
      </c>
      <c r="P138" s="151">
        <f>IF(TrRoad_act!P80=0,0,TrRoad_ene!P83/TrRoad_tech!P111)</f>
        <v>1.5704592768659114</v>
      </c>
      <c r="Q138" s="151">
        <f>IF(TrRoad_act!Q80=0,0,TrRoad_ene!Q83/TrRoad_tech!Q111)</f>
        <v>1.6053575652304266</v>
      </c>
      <c r="R138" s="151">
        <f>IF(TrRoad_act!R80=0,0,TrRoad_ene!R83/TrRoad_tech!R111)</f>
        <v>1.6044792903871234</v>
      </c>
      <c r="S138" s="151">
        <f>IF(TrRoad_act!S80=0,0,TrRoad_ene!S83/TrRoad_tech!S111)</f>
        <v>1.5826270022271578</v>
      </c>
      <c r="T138" s="151">
        <f>IF(TrRoad_act!T80=0,0,TrRoad_ene!T83/TrRoad_tech!T111)</f>
        <v>1.6469895694651639</v>
      </c>
      <c r="U138" s="151">
        <f>IF(TrRoad_act!U80=0,0,TrRoad_ene!U83/TrRoad_tech!U111)</f>
        <v>1.6796969834469369</v>
      </c>
      <c r="V138" s="151">
        <f>IF(TrRoad_act!V80=0,0,TrRoad_ene!V83/TrRoad_tech!V111)</f>
        <v>1.6167130815076716</v>
      </c>
      <c r="W138" s="151">
        <f>IF(TrRoad_act!W80=0,0,TrRoad_ene!W83/TrRoad_tech!W111)</f>
        <v>1.6939900849618679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1.7267378172466008</v>
      </c>
      <c r="C139" s="93">
        <f>IF(TrRoad_act!C81=0,0,TrRoad_ene!C84/TrRoad_tech!C112)</f>
        <v>1.8143065487997598</v>
      </c>
      <c r="D139" s="93">
        <f>IF(TrRoad_act!D81=0,0,TrRoad_ene!D84/TrRoad_tech!D112)</f>
        <v>1.6561641188617995</v>
      </c>
      <c r="E139" s="93">
        <f>IF(TrRoad_act!E81=0,0,TrRoad_ene!E84/TrRoad_tech!E112)</f>
        <v>1.6109953184566623</v>
      </c>
      <c r="F139" s="93">
        <f>IF(TrRoad_act!F81=0,0,TrRoad_ene!F84/TrRoad_tech!F112)</f>
        <v>1.6174599461918659</v>
      </c>
      <c r="G139" s="93">
        <f>IF(TrRoad_act!G81=0,0,TrRoad_ene!G84/TrRoad_tech!G112)</f>
        <v>1.5530136506085981</v>
      </c>
      <c r="H139" s="93">
        <f>IF(TrRoad_act!H81=0,0,TrRoad_ene!H84/TrRoad_tech!H112)</f>
        <v>1.621487769542223</v>
      </c>
      <c r="I139" s="93">
        <f>IF(TrRoad_act!I81=0,0,TrRoad_ene!I84/TrRoad_tech!I112)</f>
        <v>1.6900903946773065</v>
      </c>
      <c r="J139" s="93">
        <f>IF(TrRoad_act!J81=0,0,TrRoad_ene!J84/TrRoad_tech!J112)</f>
        <v>1.5666165808758064</v>
      </c>
      <c r="K139" s="93">
        <f>IF(TrRoad_act!K81=0,0,TrRoad_ene!K84/TrRoad_tech!K112)</f>
        <v>1.6125816568659379</v>
      </c>
      <c r="L139" s="93">
        <f>IF(TrRoad_act!L81=0,0,TrRoad_ene!L84/TrRoad_tech!L112)</f>
        <v>1.448197057923476</v>
      </c>
      <c r="M139" s="93">
        <f>IF(TrRoad_act!M81=0,0,TrRoad_ene!M84/TrRoad_tech!M112)</f>
        <v>1.3933678918715902</v>
      </c>
      <c r="N139" s="93">
        <f>IF(TrRoad_act!N81=0,0,TrRoad_ene!N84/TrRoad_tech!N112)</f>
        <v>1.4112386545688365</v>
      </c>
      <c r="O139" s="93">
        <f>IF(TrRoad_act!O81=0,0,TrRoad_ene!O84/TrRoad_tech!O112)</f>
        <v>1.4446597804322023</v>
      </c>
      <c r="P139" s="93">
        <f>IF(TrRoad_act!P81=0,0,TrRoad_ene!P84/TrRoad_tech!P112)</f>
        <v>1.5435062089835181</v>
      </c>
      <c r="Q139" s="93">
        <f>IF(TrRoad_act!Q81=0,0,TrRoad_ene!Q84/TrRoad_tech!Q112)</f>
        <v>1.5741187361455355</v>
      </c>
      <c r="R139" s="93">
        <f>IF(TrRoad_act!R81=0,0,TrRoad_ene!R84/TrRoad_tech!R112)</f>
        <v>1.5793190146293044</v>
      </c>
      <c r="S139" s="93">
        <f>IF(TrRoad_act!S81=0,0,TrRoad_ene!S84/TrRoad_tech!S112)</f>
        <v>1.5586433010400769</v>
      </c>
      <c r="T139" s="93">
        <f>IF(TrRoad_act!T81=0,0,TrRoad_ene!T84/TrRoad_tech!T112)</f>
        <v>1.6198567031624782</v>
      </c>
      <c r="U139" s="93">
        <f>IF(TrRoad_act!U81=0,0,TrRoad_ene!U84/TrRoad_tech!U112)</f>
        <v>1.6504616125065403</v>
      </c>
      <c r="V139" s="93">
        <f>IF(TrRoad_act!V81=0,0,TrRoad_ene!V84/TrRoad_tech!V112)</f>
        <v>1.6021239716138407</v>
      </c>
      <c r="W139" s="93">
        <f>IF(TrRoad_act!W81=0,0,TrRoad_ene!W84/TrRoad_tech!W112)</f>
        <v>1.6794814098905511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1.8316582599946403</v>
      </c>
      <c r="C140" s="94">
        <f>IF(TrRoad_act!C82=0,0,TrRoad_ene!C85/TrRoad_tech!C113)</f>
        <v>1.9286929900446157</v>
      </c>
      <c r="D140" s="94">
        <f>IF(TrRoad_act!D82=0,0,TrRoad_ene!D85/TrRoad_tech!D113)</f>
        <v>1.7531194356157522</v>
      </c>
      <c r="E140" s="94">
        <f>IF(TrRoad_act!E82=0,0,TrRoad_ene!E85/TrRoad_tech!E113)</f>
        <v>1.702688747771262</v>
      </c>
      <c r="F140" s="94">
        <f>IF(TrRoad_act!F82=0,0,TrRoad_ene!F85/TrRoad_tech!F113)</f>
        <v>1.7083358526086594</v>
      </c>
      <c r="G140" s="94">
        <f>IF(TrRoad_act!G82=0,0,TrRoad_ene!G85/TrRoad_tech!G113)</f>
        <v>1.635981977134197</v>
      </c>
      <c r="H140" s="94">
        <f>IF(TrRoad_act!H82=0,0,TrRoad_ene!H85/TrRoad_tech!H113)</f>
        <v>1.7124552242514892</v>
      </c>
      <c r="I140" s="94">
        <f>IF(TrRoad_act!I82=0,0,TrRoad_ene!I85/TrRoad_tech!I113)</f>
        <v>1.7918876996033173</v>
      </c>
      <c r="J140" s="94">
        <f>IF(TrRoad_act!J82=0,0,TrRoad_ene!J85/TrRoad_tech!J113)</f>
        <v>1.6364877537525255</v>
      </c>
      <c r="K140" s="94">
        <f>IF(TrRoad_act!K82=0,0,TrRoad_ene!K85/TrRoad_tech!K113)</f>
        <v>1.6686826570889528</v>
      </c>
      <c r="L140" s="94">
        <f>IF(TrRoad_act!L82=0,0,TrRoad_ene!L85/TrRoad_tech!L113)</f>
        <v>1.4857634762809453</v>
      </c>
      <c r="M140" s="94">
        <f>IF(TrRoad_act!M82=0,0,TrRoad_ene!M85/TrRoad_tech!M113)</f>
        <v>1.4305808216653653</v>
      </c>
      <c r="N140" s="94">
        <f>IF(TrRoad_act!N82=0,0,TrRoad_ene!N85/TrRoad_tech!N113)</f>
        <v>1.4519323019578252</v>
      </c>
      <c r="O140" s="94">
        <f>IF(TrRoad_act!O82=0,0,TrRoad_ene!O85/TrRoad_tech!O113)</f>
        <v>1.4910021555922839</v>
      </c>
      <c r="P140" s="94">
        <f>IF(TrRoad_act!P82=0,0,TrRoad_ene!P85/TrRoad_tech!P113)</f>
        <v>1.6079632262998043</v>
      </c>
      <c r="Q140" s="94">
        <f>IF(TrRoad_act!Q82=0,0,TrRoad_ene!Q85/TrRoad_tech!Q113)</f>
        <v>1.6578001196761909</v>
      </c>
      <c r="R140" s="94">
        <f>IF(TrRoad_act!R82=0,0,TrRoad_ene!R85/TrRoad_tech!R113)</f>
        <v>1.6574558784159714</v>
      </c>
      <c r="S140" s="94">
        <f>IF(TrRoad_act!S82=0,0,TrRoad_ene!S85/TrRoad_tech!S113)</f>
        <v>1.6236068652130833</v>
      </c>
      <c r="T140" s="94">
        <f>IF(TrRoad_act!T82=0,0,TrRoad_ene!T85/TrRoad_tech!T113)</f>
        <v>1.7086834098185759</v>
      </c>
      <c r="U140" s="94">
        <f>IF(TrRoad_act!U82=0,0,TrRoad_ene!U85/TrRoad_tech!U113)</f>
        <v>1.758299912146668</v>
      </c>
      <c r="V140" s="94">
        <f>IF(TrRoad_act!V82=0,0,TrRoad_ene!V85/TrRoad_tech!V113)</f>
        <v>1.8755810504205328</v>
      </c>
      <c r="W140" s="94">
        <f>IF(TrRoad_act!W82=0,0,TrRoad_ene!W85/TrRoad_tech!W113)</f>
        <v>1.9598685339204158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3.2746078639060054</v>
      </c>
      <c r="C144" s="141">
        <v>3.2394790073953819</v>
      </c>
      <c r="D144" s="141">
        <v>3.200888753353718</v>
      </c>
      <c r="E144" s="141">
        <v>3.2394790073953823</v>
      </c>
      <c r="F144" s="141">
        <v>3.2394790073953823</v>
      </c>
      <c r="G144" s="141">
        <v>3.2394790073953823</v>
      </c>
      <c r="H144" s="141">
        <v>3.1490234519217193</v>
      </c>
      <c r="I144" s="141">
        <v>3.1715215700280104</v>
      </c>
      <c r="J144" s="141">
        <v>3.116761999542887</v>
      </c>
      <c r="K144" s="141">
        <v>2.960703012198393</v>
      </c>
      <c r="L144" s="141">
        <v>2.7666712148769004</v>
      </c>
      <c r="M144" s="141">
        <v>2.6578011933776167</v>
      </c>
      <c r="N144" s="141">
        <v>2.6141987453041913</v>
      </c>
      <c r="O144" s="141">
        <v>2.5259635994226599</v>
      </c>
      <c r="P144" s="141">
        <v>2.4922124229600731</v>
      </c>
      <c r="Q144" s="141">
        <v>2.4461873839946175</v>
      </c>
      <c r="R144" s="141">
        <v>2.4030361659818622</v>
      </c>
      <c r="S144" s="141">
        <v>2.368515191571658</v>
      </c>
      <c r="T144" s="141">
        <v>2.3408984120434946</v>
      </c>
      <c r="U144" s="141">
        <v>2.3188049884209638</v>
      </c>
      <c r="V144" s="141">
        <v>2.3011302495229393</v>
      </c>
      <c r="W144" s="141">
        <v>2.2869904584045195</v>
      </c>
      <c r="DA144" s="174" t="s">
        <v>885</v>
      </c>
    </row>
    <row r="145" spans="1:105" ht="11.45" customHeight="1" x14ac:dyDescent="0.25">
      <c r="A145" s="109" t="s">
        <v>20</v>
      </c>
      <c r="B145" s="130">
        <v>6.7216462760579709</v>
      </c>
      <c r="C145" s="130">
        <v>6.6581228243225521</v>
      </c>
      <c r="D145" s="130">
        <v>6.601214847029043</v>
      </c>
      <c r="E145" s="130">
        <v>6.673308485082754</v>
      </c>
      <c r="F145" s="130">
        <v>6.7257849604144617</v>
      </c>
      <c r="G145" s="130">
        <v>6.7456858455452773</v>
      </c>
      <c r="H145" s="130">
        <v>6.6342164662119911</v>
      </c>
      <c r="I145" s="130">
        <v>6.6531125486280525</v>
      </c>
      <c r="J145" s="130">
        <v>6.4254847976875462</v>
      </c>
      <c r="K145" s="130">
        <v>5.8944635137137293</v>
      </c>
      <c r="L145" s="130">
        <v>5.5371525498242953</v>
      </c>
      <c r="M145" s="130">
        <v>5.338031697638062</v>
      </c>
      <c r="N145" s="130">
        <v>5.2050180442869411</v>
      </c>
      <c r="O145" s="130">
        <v>5.0782521814392956</v>
      </c>
      <c r="P145" s="130">
        <v>4.8908660822933916</v>
      </c>
      <c r="Q145" s="130">
        <v>4.7690086289187992</v>
      </c>
      <c r="R145" s="130">
        <v>4.6689758493296862</v>
      </c>
      <c r="S145" s="130">
        <v>4.6528547615325904</v>
      </c>
      <c r="T145" s="130">
        <v>4.7381486567088542</v>
      </c>
      <c r="U145" s="130">
        <v>4.7388692176275722</v>
      </c>
      <c r="V145" s="130">
        <v>4.5720169901487546</v>
      </c>
      <c r="W145" s="130">
        <v>4.1117258765975215</v>
      </c>
      <c r="DA145" s="176" t="s">
        <v>886</v>
      </c>
    </row>
    <row r="146" spans="1:105" ht="11.45" customHeight="1" x14ac:dyDescent="0.25">
      <c r="A146" s="111" t="s">
        <v>110</v>
      </c>
      <c r="B146" s="96">
        <v>6.7231817734690029</v>
      </c>
      <c r="C146" s="96">
        <v>6.636678795581191</v>
      </c>
      <c r="D146" s="96">
        <v>6.5418690985014623</v>
      </c>
      <c r="E146" s="96">
        <v>6.6366787955811937</v>
      </c>
      <c r="F146" s="96">
        <v>6.6366787955811937</v>
      </c>
      <c r="G146" s="96">
        <v>6.6366787955811937</v>
      </c>
      <c r="H146" s="96">
        <v>6.4144448656263018</v>
      </c>
      <c r="I146" s="96">
        <v>6.4697189190237854</v>
      </c>
      <c r="J146" s="96">
        <v>6.3351839588676464</v>
      </c>
      <c r="K146" s="96">
        <v>5.9517735438772128</v>
      </c>
      <c r="L146" s="96">
        <v>5.4750703869603647</v>
      </c>
      <c r="M146" s="96">
        <v>5.1856007237020174</v>
      </c>
      <c r="N146" s="96">
        <v>5.077159506923226</v>
      </c>
      <c r="O146" s="96">
        <v>4.8836429301509705</v>
      </c>
      <c r="P146" s="96">
        <v>4.8051664119392266</v>
      </c>
      <c r="Q146" s="96">
        <v>4.6955867656924219</v>
      </c>
      <c r="R146" s="96">
        <v>4.6578100919021033</v>
      </c>
      <c r="S146" s="96">
        <v>4.5861922674000235</v>
      </c>
      <c r="T146" s="96">
        <v>4.6283240037361599</v>
      </c>
      <c r="U146" s="96">
        <v>4.6981092807587679</v>
      </c>
      <c r="V146" s="96">
        <v>4.5493854275438395</v>
      </c>
      <c r="W146" s="96">
        <v>4.3330641482167032</v>
      </c>
      <c r="DA146" s="171" t="s">
        <v>887</v>
      </c>
    </row>
    <row r="147" spans="1:105" ht="11.45" customHeight="1" x14ac:dyDescent="0.25">
      <c r="A147" s="111" t="s">
        <v>111</v>
      </c>
      <c r="B147" s="96">
        <v>6.7123999169600914</v>
      </c>
      <c r="C147" s="96">
        <v>6.7872530910512667</v>
      </c>
      <c r="D147" s="96">
        <v>6.8714026844795253</v>
      </c>
      <c r="E147" s="96">
        <v>6.8286617959968323</v>
      </c>
      <c r="F147" s="96">
        <v>7.0752267656593162</v>
      </c>
      <c r="G147" s="96">
        <v>7.0234936383010478</v>
      </c>
      <c r="H147" s="96">
        <v>7.1202989753319752</v>
      </c>
      <c r="I147" s="96">
        <v>7.0236046535958083</v>
      </c>
      <c r="J147" s="96">
        <v>6.5198172459738615</v>
      </c>
      <c r="K147" s="96">
        <v>5.8683794963208022</v>
      </c>
      <c r="L147" s="96">
        <v>5.5685271851734486</v>
      </c>
      <c r="M147" s="96">
        <v>5.4147216722453786</v>
      </c>
      <c r="N147" s="96">
        <v>5.2873490064542699</v>
      </c>
      <c r="O147" s="96">
        <v>5.1032669407390969</v>
      </c>
      <c r="P147" s="96">
        <v>4.927491544161378</v>
      </c>
      <c r="Q147" s="96">
        <v>4.8146566635665611</v>
      </c>
      <c r="R147" s="96">
        <v>4.6901797096599349</v>
      </c>
      <c r="S147" s="96">
        <v>4.7042875002731579</v>
      </c>
      <c r="T147" s="96">
        <v>4.8526289287716766</v>
      </c>
      <c r="U147" s="96">
        <v>4.8690062826224398</v>
      </c>
      <c r="V147" s="96">
        <v>4.7363459536840216</v>
      </c>
      <c r="W147" s="96">
        <v>4.4097651859324367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6.5095799660869362</v>
      </c>
      <c r="J148" s="96">
        <v>0</v>
      </c>
      <c r="K148" s="96">
        <v>5.5599552042885154</v>
      </c>
      <c r="L148" s="96">
        <v>5.3190702595887238</v>
      </c>
      <c r="M148" s="96">
        <v>5.3777523778560656</v>
      </c>
      <c r="N148" s="96">
        <v>5.2659986693301182</v>
      </c>
      <c r="O148" s="96">
        <v>5.1336237659928816</v>
      </c>
      <c r="P148" s="96">
        <v>4.8554675887489527</v>
      </c>
      <c r="Q148" s="96">
        <v>5.1099156711073013</v>
      </c>
      <c r="R148" s="96">
        <v>0</v>
      </c>
      <c r="S148" s="96">
        <v>4.9908684275888824</v>
      </c>
      <c r="T148" s="96">
        <v>5.0367177815669546</v>
      </c>
      <c r="U148" s="96">
        <v>5.0954765952544125</v>
      </c>
      <c r="V148" s="96">
        <v>4.947386074691881</v>
      </c>
      <c r="W148" s="96">
        <v>4.3355713279409791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3.8350265058328903</v>
      </c>
      <c r="P150" s="96">
        <v>2.6523161533689006</v>
      </c>
      <c r="Q150" s="96">
        <v>2.8742633665534063</v>
      </c>
      <c r="R150" s="96">
        <v>2.8321206140821245</v>
      </c>
      <c r="S150" s="96">
        <v>2.7939951342142857</v>
      </c>
      <c r="T150" s="96">
        <v>2.8774873399230536</v>
      </c>
      <c r="U150" s="96">
        <v>3.0592034945474578</v>
      </c>
      <c r="V150" s="96">
        <v>2.7107009379661484</v>
      </c>
      <c r="W150" s="96">
        <v>2.924418510910793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1.3232559726529953</v>
      </c>
      <c r="L151" s="96">
        <v>1.3047135028115466</v>
      </c>
      <c r="M151" s="96">
        <v>1.3047135028115466</v>
      </c>
      <c r="N151" s="96">
        <v>1.2037833190025795</v>
      </c>
      <c r="O151" s="96">
        <v>1.2037833190025795</v>
      </c>
      <c r="P151" s="96">
        <v>1.2765085462186896</v>
      </c>
      <c r="Q151" s="96">
        <v>1.2833142988310242</v>
      </c>
      <c r="R151" s="96">
        <v>1.0981451910084754</v>
      </c>
      <c r="S151" s="96">
        <v>1.1350972318300012</v>
      </c>
      <c r="T151" s="96">
        <v>1.2624423928644488</v>
      </c>
      <c r="U151" s="96">
        <v>1.3779652015578374</v>
      </c>
      <c r="V151" s="96">
        <v>1.4977863296927472</v>
      </c>
      <c r="W151" s="96">
        <v>1.3601921714881591</v>
      </c>
      <c r="DA151" s="171" t="s">
        <v>892</v>
      </c>
    </row>
    <row r="152" spans="1:105" ht="11.45" customHeight="1" x14ac:dyDescent="0.25">
      <c r="A152" s="109" t="s">
        <v>21</v>
      </c>
      <c r="B152" s="130">
        <v>47.332512308985024</v>
      </c>
      <c r="C152" s="130">
        <v>47.19631012048341</v>
      </c>
      <c r="D152" s="130">
        <v>47.035688821925802</v>
      </c>
      <c r="E152" s="130">
        <v>47.204275520212278</v>
      </c>
      <c r="F152" s="130">
        <v>47.204275520212278</v>
      </c>
      <c r="G152" s="130">
        <v>47.204275520212278</v>
      </c>
      <c r="H152" s="130">
        <v>46.798928293360134</v>
      </c>
      <c r="I152" s="130">
        <v>46.869485481776849</v>
      </c>
      <c r="J152" s="130">
        <v>46.637346252008264</v>
      </c>
      <c r="K152" s="130">
        <v>45.912017116167554</v>
      </c>
      <c r="L152" s="130">
        <v>44.933940588500022</v>
      </c>
      <c r="M152" s="130">
        <v>44.364275492360761</v>
      </c>
      <c r="N152" s="130">
        <v>44.132549526455513</v>
      </c>
      <c r="O152" s="130">
        <v>43.64818249400205</v>
      </c>
      <c r="P152" s="130">
        <v>43.460515516609632</v>
      </c>
      <c r="Q152" s="130">
        <v>43.199999999908329</v>
      </c>
      <c r="R152" s="130">
        <v>42.966871477839248</v>
      </c>
      <c r="S152" s="130">
        <v>42.674133885754117</v>
      </c>
      <c r="T152" s="130">
        <v>42.571133006973255</v>
      </c>
      <c r="U152" s="130">
        <v>42.310637653191549</v>
      </c>
      <c r="V152" s="130">
        <v>42.075801080057765</v>
      </c>
      <c r="W152" s="130">
        <v>42.061737718377707</v>
      </c>
      <c r="DA152" s="176" t="s">
        <v>893</v>
      </c>
    </row>
    <row r="153" spans="1:105" ht="11.45" customHeight="1" x14ac:dyDescent="0.25">
      <c r="A153" s="111" t="s">
        <v>110</v>
      </c>
      <c r="B153" s="97">
        <v>14.331568234902953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13.791270453898496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12.602931699515656</v>
      </c>
      <c r="T153" s="97">
        <v>0</v>
      </c>
      <c r="U153" s="97">
        <v>12.487951890888157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47.36001309571342</v>
      </c>
      <c r="C154" s="97">
        <v>47.206107984324078</v>
      </c>
      <c r="D154" s="97">
        <v>47.035688821925802</v>
      </c>
      <c r="E154" s="97">
        <v>47.204275520212278</v>
      </c>
      <c r="F154" s="97">
        <v>47.204275520212278</v>
      </c>
      <c r="G154" s="97">
        <v>47.204275520212278</v>
      </c>
      <c r="H154" s="97">
        <v>46.798928293360134</v>
      </c>
      <c r="I154" s="97">
        <v>46.899098924057853</v>
      </c>
      <c r="J154" s="97">
        <v>46.651424681231354</v>
      </c>
      <c r="K154" s="97">
        <v>45.912017116167554</v>
      </c>
      <c r="L154" s="97">
        <v>44.933940588500022</v>
      </c>
      <c r="M154" s="97">
        <v>44.364275492360761</v>
      </c>
      <c r="N154" s="97">
        <v>44.132549526455513</v>
      </c>
      <c r="O154" s="97">
        <v>43.64818249400205</v>
      </c>
      <c r="P154" s="97">
        <v>43.460515516609632</v>
      </c>
      <c r="Q154" s="97">
        <v>43.199999999908329</v>
      </c>
      <c r="R154" s="97">
        <v>42.966871477839248</v>
      </c>
      <c r="S154" s="97">
        <v>42.758131657224055</v>
      </c>
      <c r="T154" s="97">
        <v>42.571133006973255</v>
      </c>
      <c r="U154" s="97">
        <v>42.403533560704368</v>
      </c>
      <c r="V154" s="97">
        <v>42.253258285089316</v>
      </c>
      <c r="W154" s="97">
        <v>42.11846593436907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39.338423320270067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30.433074216232733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</v>
      </c>
      <c r="U157" s="97">
        <v>26.248944005540601</v>
      </c>
      <c r="V157" s="97">
        <v>26.459567037281328</v>
      </c>
      <c r="W157" s="97">
        <v>26.650572374054654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8.2103811199347998</v>
      </c>
      <c r="C159" s="141">
        <v>8.2914594957282777</v>
      </c>
      <c r="D159" s="141">
        <v>8.3777241892112286</v>
      </c>
      <c r="E159" s="141">
        <v>8.3644910954016556</v>
      </c>
      <c r="F159" s="141">
        <v>8.5943898784207882</v>
      </c>
      <c r="G159" s="141">
        <v>8.5782203128179333</v>
      </c>
      <c r="H159" s="141">
        <v>8.6898452317463057</v>
      </c>
      <c r="I159" s="141">
        <v>8.6432296082129039</v>
      </c>
      <c r="J159" s="141">
        <v>8.2018427649430059</v>
      </c>
      <c r="K159" s="141">
        <v>7.7488178575760402</v>
      </c>
      <c r="L159" s="141">
        <v>8.7004264458521572</v>
      </c>
      <c r="M159" s="141">
        <v>8.795830947616583</v>
      </c>
      <c r="N159" s="141">
        <v>7.2572088871166418</v>
      </c>
      <c r="O159" s="141">
        <v>6.5265203172382362</v>
      </c>
      <c r="P159" s="141">
        <v>6.3026048912966104</v>
      </c>
      <c r="Q159" s="141">
        <v>6.269572208535811</v>
      </c>
      <c r="R159" s="141">
        <v>6.08818737331978</v>
      </c>
      <c r="S159" s="141">
        <v>5.8197124102259785</v>
      </c>
      <c r="T159" s="141">
        <v>5.8137875860741408</v>
      </c>
      <c r="U159" s="141">
        <v>5.7570495050685562</v>
      </c>
      <c r="V159" s="141">
        <v>6.0784171978810182</v>
      </c>
      <c r="W159" s="141">
        <v>6.1889481263681629</v>
      </c>
      <c r="DA159" s="174" t="s">
        <v>899</v>
      </c>
    </row>
    <row r="160" spans="1:105" ht="11.45" customHeight="1" x14ac:dyDescent="0.25">
      <c r="A160" s="111" t="s">
        <v>110</v>
      </c>
      <c r="B160" s="96">
        <v>7.4289313343803132</v>
      </c>
      <c r="C160" s="96">
        <v>7.3333479179860248</v>
      </c>
      <c r="D160" s="96">
        <v>7.228585804871944</v>
      </c>
      <c r="E160" s="96">
        <v>7.3333479179860275</v>
      </c>
      <c r="F160" s="96">
        <v>7.3333479179860275</v>
      </c>
      <c r="G160" s="96">
        <v>7.3333479179860275</v>
      </c>
      <c r="H160" s="96">
        <v>7.08778552484661</v>
      </c>
      <c r="I160" s="96">
        <v>7.1488618367921237</v>
      </c>
      <c r="J160" s="96">
        <v>7.0002043982832332</v>
      </c>
      <c r="K160" s="96">
        <v>6.5765464128498685</v>
      </c>
      <c r="L160" s="96">
        <v>6.0498025081122453</v>
      </c>
      <c r="M160" s="96">
        <v>5.7542498150740844</v>
      </c>
      <c r="N160" s="96">
        <v>6.6054852385877165</v>
      </c>
      <c r="O160" s="96">
        <v>5.3963463683725914</v>
      </c>
      <c r="P160" s="96">
        <v>6.086104926736005</v>
      </c>
      <c r="Q160" s="96">
        <v>5.3151983026827772</v>
      </c>
      <c r="R160" s="96">
        <v>6.4269268026332211</v>
      </c>
      <c r="S160" s="96">
        <v>8.6242360924784993</v>
      </c>
      <c r="T160" s="96">
        <v>5.371551126078483</v>
      </c>
      <c r="U160" s="96">
        <v>5.5462938810602882</v>
      </c>
      <c r="V160" s="96">
        <v>4.7005635999617077</v>
      </c>
      <c r="W160" s="96">
        <v>5.3373148262851737</v>
      </c>
      <c r="DA160" s="171" t="s">
        <v>900</v>
      </c>
    </row>
    <row r="161" spans="1:105" ht="11.45" customHeight="1" x14ac:dyDescent="0.25">
      <c r="A161" s="111" t="s">
        <v>111</v>
      </c>
      <c r="B161" s="96">
        <v>8.3216100455348769</v>
      </c>
      <c r="C161" s="96">
        <v>8.4144082895553858</v>
      </c>
      <c r="D161" s="96">
        <v>8.5187316479165176</v>
      </c>
      <c r="E161" s="96">
        <v>8.46574419017373</v>
      </c>
      <c r="F161" s="96">
        <v>8.7714198879574727</v>
      </c>
      <c r="G161" s="96">
        <v>8.7072844196246404</v>
      </c>
      <c r="H161" s="96">
        <v>8.8272975706680565</v>
      </c>
      <c r="I161" s="96">
        <v>8.7074220493850092</v>
      </c>
      <c r="J161" s="96">
        <v>8.0828581968219186</v>
      </c>
      <c r="K161" s="96">
        <v>7.275246762965546</v>
      </c>
      <c r="L161" s="96">
        <v>6.9035087802037749</v>
      </c>
      <c r="M161" s="96">
        <v>6.712830406257881</v>
      </c>
      <c r="N161" s="96">
        <v>6.5549218089921739</v>
      </c>
      <c r="O161" s="96">
        <v>6.5303259811172012</v>
      </c>
      <c r="P161" s="96">
        <v>6.3064147073416228</v>
      </c>
      <c r="Q161" s="96">
        <v>6.2762085667638612</v>
      </c>
      <c r="R161" s="96">
        <v>6.0912024103815767</v>
      </c>
      <c r="S161" s="96">
        <v>5.8313289695715307</v>
      </c>
      <c r="T161" s="96">
        <v>5.8380886582352867</v>
      </c>
      <c r="U161" s="96">
        <v>5.83204313247969</v>
      </c>
      <c r="V161" s="96">
        <v>6.3483405856457003</v>
      </c>
      <c r="W161" s="96">
        <v>6.331004795152591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6.7110416905744845</v>
      </c>
      <c r="P162" s="96">
        <v>6.7110416905744845</v>
      </c>
      <c r="Q162" s="96">
        <v>0</v>
      </c>
      <c r="R162" s="96">
        <v>0</v>
      </c>
      <c r="S162" s="96">
        <v>5.1193202639638686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1.3462223264458864</v>
      </c>
      <c r="N164" s="96">
        <v>1.3327601031814273</v>
      </c>
      <c r="O164" s="96">
        <v>1.3110134101701103</v>
      </c>
      <c r="P164" s="96">
        <v>1.3222178350973721</v>
      </c>
      <c r="Q164" s="96">
        <v>1.3952120197311848</v>
      </c>
      <c r="R164" s="96">
        <v>1.3327601031814273</v>
      </c>
      <c r="S164" s="96">
        <v>1.3327601031814273</v>
      </c>
      <c r="T164" s="96">
        <v>1.5411553193152503</v>
      </c>
      <c r="U164" s="96">
        <v>2.3177751668821744</v>
      </c>
      <c r="V164" s="96">
        <v>1.6392073742835711</v>
      </c>
      <c r="W164" s="96">
        <v>2.6347853131117249</v>
      </c>
      <c r="DA164" s="171" t="s">
        <v>904</v>
      </c>
    </row>
    <row r="165" spans="1:105" ht="11.45" customHeight="1" x14ac:dyDescent="0.25">
      <c r="A165" s="109" t="s">
        <v>158</v>
      </c>
      <c r="B165" s="130">
        <v>24.757391627682612</v>
      </c>
      <c r="C165" s="130">
        <v>24.60565378545893</v>
      </c>
      <c r="D165" s="130">
        <v>24.550981739004609</v>
      </c>
      <c r="E165" s="130">
        <v>24.33716631315804</v>
      </c>
      <c r="F165" s="130">
        <v>24.381999194906747</v>
      </c>
      <c r="G165" s="130">
        <v>23.933647004424625</v>
      </c>
      <c r="H165" s="130">
        <v>23.659696667149284</v>
      </c>
      <c r="I165" s="130">
        <v>23.425993523929595</v>
      </c>
      <c r="J165" s="130">
        <v>22.990323937693248</v>
      </c>
      <c r="K165" s="130">
        <v>22.661060404013707</v>
      </c>
      <c r="L165" s="130">
        <v>22.735697851104931</v>
      </c>
      <c r="M165" s="130">
        <v>22.53781650470459</v>
      </c>
      <c r="N165" s="130">
        <v>21.517721550875528</v>
      </c>
      <c r="O165" s="130">
        <v>21.185748302736609</v>
      </c>
      <c r="P165" s="130">
        <v>20.74018613807932</v>
      </c>
      <c r="Q165" s="130">
        <v>20.418596495748758</v>
      </c>
      <c r="R165" s="130">
        <v>19.732957008951001</v>
      </c>
      <c r="S165" s="130">
        <v>19.478817156992942</v>
      </c>
      <c r="T165" s="130">
        <v>19.300626114587793</v>
      </c>
      <c r="U165" s="130">
        <v>18.950891981817012</v>
      </c>
      <c r="V165" s="130">
        <v>18.955564617745022</v>
      </c>
      <c r="W165" s="130">
        <v>18.786774037110821</v>
      </c>
      <c r="DA165" s="176" t="s">
        <v>905</v>
      </c>
    </row>
    <row r="166" spans="1:105" ht="11.45" customHeight="1" x14ac:dyDescent="0.25">
      <c r="A166" s="128" t="s">
        <v>27</v>
      </c>
      <c r="B166" s="97">
        <v>24.608064372177505</v>
      </c>
      <c r="C166" s="97">
        <v>24.494845360775969</v>
      </c>
      <c r="D166" s="97">
        <v>24.369657296818115</v>
      </c>
      <c r="E166" s="97">
        <v>24.213774855215977</v>
      </c>
      <c r="F166" s="97">
        <v>24.02759413618967</v>
      </c>
      <c r="G166" s="97">
        <v>23.811584889217819</v>
      </c>
      <c r="H166" s="97">
        <v>23.566287583692876</v>
      </c>
      <c r="I166" s="97">
        <v>23.292310079869843</v>
      </c>
      <c r="J166" s="97">
        <v>22.990323937693248</v>
      </c>
      <c r="K166" s="97">
        <v>22.661060404013707</v>
      </c>
      <c r="L166" s="97">
        <v>22.305306122391805</v>
      </c>
      <c r="M166" s="97">
        <v>21.923898610375414</v>
      </c>
      <c r="N166" s="97">
        <v>21.517721550875528</v>
      </c>
      <c r="O166" s="97">
        <v>21.08769994481133</v>
      </c>
      <c r="P166" s="97">
        <v>20.634795171085287</v>
      </c>
      <c r="Q166" s="97">
        <v>20.159999999957218</v>
      </c>
      <c r="R166" s="97">
        <v>19.732957008951001</v>
      </c>
      <c r="S166" s="97">
        <v>19.434026915246648</v>
      </c>
      <c r="T166" s="97">
        <v>19.120150316857078</v>
      </c>
      <c r="U166" s="97">
        <v>18.736523363269825</v>
      </c>
      <c r="V166" s="97">
        <v>18.955564617745022</v>
      </c>
      <c r="W166" s="97">
        <v>18.766008971567572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0</v>
      </c>
      <c r="K167" s="98">
        <v>0</v>
      </c>
      <c r="L167" s="98">
        <v>30.614693877473673</v>
      </c>
      <c r="M167" s="98">
        <v>30.129147390351896</v>
      </c>
      <c r="N167" s="98">
        <v>0</v>
      </c>
      <c r="O167" s="98">
        <v>29.064634207446638</v>
      </c>
      <c r="P167" s="98">
        <v>28.488068946000222</v>
      </c>
      <c r="Q167" s="98">
        <v>27.883636363577196</v>
      </c>
      <c r="R167" s="98">
        <v>0</v>
      </c>
      <c r="S167" s="98">
        <v>26.556973620783872</v>
      </c>
      <c r="T167" s="98">
        <v>25.983387081987935</v>
      </c>
      <c r="U167" s="98">
        <v>25.282336867904011</v>
      </c>
      <c r="V167" s="98">
        <v>0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104.17438165001981</v>
      </c>
      <c r="C171" s="152">
        <v>102.62160147622969</v>
      </c>
      <c r="D171" s="152">
        <v>100.51190584560658</v>
      </c>
      <c r="E171" s="152">
        <v>99.853627375997235</v>
      </c>
      <c r="F171" s="152">
        <v>98.981982041958446</v>
      </c>
      <c r="G171" s="152">
        <v>98.081784363866333</v>
      </c>
      <c r="H171" s="152">
        <v>97.208025522680103</v>
      </c>
      <c r="I171" s="152">
        <v>96.859963632138118</v>
      </c>
      <c r="J171" s="152">
        <v>96.287698352034411</v>
      </c>
      <c r="K171" s="152">
        <v>95.632309697580652</v>
      </c>
      <c r="L171" s="152">
        <v>94.576832906968264</v>
      </c>
      <c r="M171" s="152">
        <v>93.522580537156756</v>
      </c>
      <c r="N171" s="152">
        <v>93.189502552155346</v>
      </c>
      <c r="O171" s="152">
        <v>91.081969156492008</v>
      </c>
      <c r="P171" s="152">
        <v>90.233714490250833</v>
      </c>
      <c r="Q171" s="152">
        <v>88.605735675091864</v>
      </c>
      <c r="R171" s="152">
        <v>87.167938563007681</v>
      </c>
      <c r="S171" s="152">
        <v>84.988360338418289</v>
      </c>
      <c r="T171" s="152">
        <v>83.668334094607673</v>
      </c>
      <c r="U171" s="152">
        <v>81.693473397380103</v>
      </c>
      <c r="V171" s="152">
        <v>80.139826522662446</v>
      </c>
      <c r="W171" s="152">
        <v>73.692374830125758</v>
      </c>
      <c r="DA171" s="174" t="s">
        <v>908</v>
      </c>
    </row>
    <row r="172" spans="1:105" ht="11.45" customHeight="1" x14ac:dyDescent="0.25">
      <c r="A172" s="109" t="s">
        <v>20</v>
      </c>
      <c r="B172" s="116">
        <v>225.54889031278628</v>
      </c>
      <c r="C172" s="116">
        <v>217.56899177096338</v>
      </c>
      <c r="D172" s="116">
        <v>215.26550054588566</v>
      </c>
      <c r="E172" s="116">
        <v>213.01695889043276</v>
      </c>
      <c r="F172" s="116">
        <v>211.02288902678021</v>
      </c>
      <c r="G172" s="116">
        <v>210.03356595946858</v>
      </c>
      <c r="H172" s="116">
        <v>208.89482555736367</v>
      </c>
      <c r="I172" s="116">
        <v>206.20669633906104</v>
      </c>
      <c r="J172" s="116">
        <v>206.5554168940578</v>
      </c>
      <c r="K172" s="116">
        <v>207.76126914540626</v>
      </c>
      <c r="L172" s="116">
        <v>204.86695903115987</v>
      </c>
      <c r="M172" s="116">
        <v>203.23588100837082</v>
      </c>
      <c r="N172" s="116">
        <v>201.05319318015407</v>
      </c>
      <c r="O172" s="116">
        <v>200.53915543112498</v>
      </c>
      <c r="P172" s="116">
        <v>195.57476324256913</v>
      </c>
      <c r="Q172" s="116">
        <v>190.97838872658539</v>
      </c>
      <c r="R172" s="116">
        <v>186.20795446874712</v>
      </c>
      <c r="S172" s="116">
        <v>181.62129882592035</v>
      </c>
      <c r="T172" s="116">
        <v>176.46726276990501</v>
      </c>
      <c r="U172" s="116">
        <v>171.27822421747831</v>
      </c>
      <c r="V172" s="116">
        <v>166.56447552437214</v>
      </c>
      <c r="W172" s="116">
        <v>155.08829279019901</v>
      </c>
      <c r="DA172" s="176" t="s">
        <v>909</v>
      </c>
    </row>
    <row r="173" spans="1:105" ht="11.45" customHeight="1" x14ac:dyDescent="0.25">
      <c r="A173" s="111" t="s">
        <v>110</v>
      </c>
      <c r="B173" s="87">
        <v>222.69537680757054</v>
      </c>
      <c r="C173" s="87">
        <v>212.94180787926621</v>
      </c>
      <c r="D173" s="87">
        <v>209.77256187937181</v>
      </c>
      <c r="E173" s="87">
        <v>207.4515401846167</v>
      </c>
      <c r="F173" s="87">
        <v>205.22928148519412</v>
      </c>
      <c r="G173" s="87">
        <v>203.05637469631381</v>
      </c>
      <c r="H173" s="87">
        <v>200.99371805945043</v>
      </c>
      <c r="I173" s="87">
        <v>198.71969513970529</v>
      </c>
      <c r="J173" s="87">
        <v>197.17764313009508</v>
      </c>
      <c r="K173" s="87">
        <v>196.14632672023129</v>
      </c>
      <c r="L173" s="87">
        <v>194.16315897195679</v>
      </c>
      <c r="M173" s="87">
        <v>192.38404816725438</v>
      </c>
      <c r="N173" s="87">
        <v>190.88767770414205</v>
      </c>
      <c r="O173" s="87">
        <v>189.43973123065834</v>
      </c>
      <c r="P173" s="87">
        <v>187.33979601213485</v>
      </c>
      <c r="Q173" s="87">
        <v>184.19093402043916</v>
      </c>
      <c r="R173" s="87">
        <v>180.0685109333071</v>
      </c>
      <c r="S173" s="87">
        <v>175.38719024954287</v>
      </c>
      <c r="T173" s="87">
        <v>170.02044656743786</v>
      </c>
      <c r="U173" s="87">
        <v>165.02750122021212</v>
      </c>
      <c r="V173" s="87">
        <v>160.95260634224056</v>
      </c>
      <c r="W173" s="87">
        <v>156.12087022670624</v>
      </c>
      <c r="DA173" s="171" t="s">
        <v>910</v>
      </c>
    </row>
    <row r="174" spans="1:105" ht="11.45" customHeight="1" x14ac:dyDescent="0.25">
      <c r="A174" s="111" t="s">
        <v>111</v>
      </c>
      <c r="B174" s="87">
        <v>243.52268272120679</v>
      </c>
      <c r="C174" s="87">
        <v>231.02639509312496</v>
      </c>
      <c r="D174" s="87">
        <v>226.6229937359889</v>
      </c>
      <c r="E174" s="87">
        <v>222.95476951490122</v>
      </c>
      <c r="F174" s="87">
        <v>220.64560716006773</v>
      </c>
      <c r="G174" s="87">
        <v>219.29670418818353</v>
      </c>
      <c r="H174" s="87">
        <v>218.68941653326593</v>
      </c>
      <c r="I174" s="87">
        <v>215.2272931780486</v>
      </c>
      <c r="J174" s="87">
        <v>212.9442368523012</v>
      </c>
      <c r="K174" s="87">
        <v>210.93154484679434</v>
      </c>
      <c r="L174" s="87">
        <v>205.97545557994385</v>
      </c>
      <c r="M174" s="87">
        <v>202.14552448443183</v>
      </c>
      <c r="N174" s="87">
        <v>198.74581638482326</v>
      </c>
      <c r="O174" s="87">
        <v>194.7834694130602</v>
      </c>
      <c r="P174" s="87">
        <v>190.13543574508242</v>
      </c>
      <c r="Q174" s="87">
        <v>185.05414054889761</v>
      </c>
      <c r="R174" s="87">
        <v>179.87880427577005</v>
      </c>
      <c r="S174" s="87">
        <v>176.08825334111879</v>
      </c>
      <c r="T174" s="87">
        <v>172.83204727154725</v>
      </c>
      <c r="U174" s="87">
        <v>169.36053350325153</v>
      </c>
      <c r="V174" s="87">
        <v>166.05054412054574</v>
      </c>
      <c r="W174" s="87">
        <v>162.7163098113198</v>
      </c>
      <c r="DA174" s="171" t="s">
        <v>911</v>
      </c>
    </row>
    <row r="175" spans="1:105" ht="11.45" customHeight="1" x14ac:dyDescent="0.25">
      <c r="A175" s="111" t="s">
        <v>112</v>
      </c>
      <c r="B175" s="87">
        <v>196.37022906076695</v>
      </c>
      <c r="C175" s="87">
        <v>196.37022906076697</v>
      </c>
      <c r="D175" s="87">
        <v>196.370229060767</v>
      </c>
      <c r="E175" s="87">
        <v>196.370229060767</v>
      </c>
      <c r="F175" s="87">
        <v>196.370229060767</v>
      </c>
      <c r="G175" s="87">
        <v>196.37022906076697</v>
      </c>
      <c r="H175" s="87">
        <v>196.37022906076703</v>
      </c>
      <c r="I175" s="87">
        <v>190.60004570023008</v>
      </c>
      <c r="J175" s="87">
        <v>189.27634129133003</v>
      </c>
      <c r="K175" s="87">
        <v>185.8760437789156</v>
      </c>
      <c r="L175" s="87">
        <v>183.57777834452111</v>
      </c>
      <c r="M175" s="87">
        <v>181.64757333370071</v>
      </c>
      <c r="N175" s="87">
        <v>176.27900932474293</v>
      </c>
      <c r="O175" s="87">
        <v>172.83629002134697</v>
      </c>
      <c r="P175" s="87">
        <v>160.29529053839488</v>
      </c>
      <c r="Q175" s="87">
        <v>159.17657397618578</v>
      </c>
      <c r="R175" s="87">
        <v>158.28055171329399</v>
      </c>
      <c r="S175" s="87">
        <v>155.87516904447733</v>
      </c>
      <c r="T175" s="87">
        <v>154.09556738476383</v>
      </c>
      <c r="U175" s="87">
        <v>152.74162214595296</v>
      </c>
      <c r="V175" s="87">
        <v>152.44925619141196</v>
      </c>
      <c r="W175" s="87">
        <v>140.28855913124906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80.781595923912093</v>
      </c>
      <c r="P177" s="87">
        <v>47.188399875920048</v>
      </c>
      <c r="Q177" s="87">
        <v>49.940203612248098</v>
      </c>
      <c r="R177" s="87">
        <v>51.517636142180777</v>
      </c>
      <c r="S177" s="87">
        <v>50.713591243982783</v>
      </c>
      <c r="T177" s="87">
        <v>50.510556081959756</v>
      </c>
      <c r="U177" s="87">
        <v>50.714130921520294</v>
      </c>
      <c r="V177" s="87">
        <v>45.985401146724996</v>
      </c>
      <c r="W177" s="87">
        <v>41.683389222993988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1737.5999590296924</v>
      </c>
      <c r="C179" s="116">
        <v>1670.1910938620399</v>
      </c>
      <c r="D179" s="116">
        <v>1649.977307289364</v>
      </c>
      <c r="E179" s="116">
        <v>1624.2263666134654</v>
      </c>
      <c r="F179" s="116">
        <v>1602.4344320225705</v>
      </c>
      <c r="G179" s="116">
        <v>1581.2287858809607</v>
      </c>
      <c r="H179" s="116">
        <v>1557.226775246465</v>
      </c>
      <c r="I179" s="116">
        <v>1536.6571457278546</v>
      </c>
      <c r="J179" s="116">
        <v>1516.962817876853</v>
      </c>
      <c r="K179" s="116">
        <v>1504.9707566442669</v>
      </c>
      <c r="L179" s="116">
        <v>1493.2134461920855</v>
      </c>
      <c r="M179" s="116">
        <v>1478.0328954155164</v>
      </c>
      <c r="N179" s="116">
        <v>1463.6443133378266</v>
      </c>
      <c r="O179" s="116">
        <v>1441.1908335951111</v>
      </c>
      <c r="P179" s="116">
        <v>1425.3004633920048</v>
      </c>
      <c r="Q179" s="116">
        <v>1415.4812943662364</v>
      </c>
      <c r="R179" s="116">
        <v>1405.7717513588029</v>
      </c>
      <c r="S179" s="116">
        <v>1395.7220190746459</v>
      </c>
      <c r="T179" s="116">
        <v>1386.243415128107</v>
      </c>
      <c r="U179" s="116">
        <v>1377.8119385957962</v>
      </c>
      <c r="V179" s="116">
        <v>1359.0011377455494</v>
      </c>
      <c r="W179" s="116">
        <v>1361.5431492412331</v>
      </c>
      <c r="DA179" s="176" t="s">
        <v>916</v>
      </c>
    </row>
    <row r="180" spans="1:105" ht="11.45" customHeight="1" x14ac:dyDescent="0.25">
      <c r="A180" s="111" t="s">
        <v>110</v>
      </c>
      <c r="B180" s="101">
        <v>492.31782723929877</v>
      </c>
      <c r="C180" s="101">
        <v>491.45392824034906</v>
      </c>
      <c r="D180" s="101">
        <v>491.36737527712114</v>
      </c>
      <c r="E180" s="101">
        <v>491.26154797505529</v>
      </c>
      <c r="F180" s="101">
        <v>491.11846754902064</v>
      </c>
      <c r="G180" s="101">
        <v>490.9448921136302</v>
      </c>
      <c r="H180" s="101">
        <v>490.73174478591363</v>
      </c>
      <c r="I180" s="101">
        <v>487.66139751947975</v>
      </c>
      <c r="J180" s="101">
        <v>486.7451133467394</v>
      </c>
      <c r="K180" s="101">
        <v>485.65204593287427</v>
      </c>
      <c r="L180" s="101">
        <v>484.02554518808142</v>
      </c>
      <c r="M180" s="101">
        <v>482.01421887425278</v>
      </c>
      <c r="N180" s="101">
        <v>479.23828539754868</v>
      </c>
      <c r="O180" s="101">
        <v>479.23828539754851</v>
      </c>
      <c r="P180" s="101">
        <v>479.23828539754874</v>
      </c>
      <c r="Q180" s="101">
        <v>477.53094756033244</v>
      </c>
      <c r="R180" s="101">
        <v>474.41502474973674</v>
      </c>
      <c r="S180" s="101">
        <v>437.55301602226763</v>
      </c>
      <c r="T180" s="101">
        <v>429.84655492755923</v>
      </c>
      <c r="U180" s="101">
        <v>406.43281171150494</v>
      </c>
      <c r="V180" s="101">
        <v>406.43281171150494</v>
      </c>
      <c r="W180" s="101">
        <v>411.33773017650134</v>
      </c>
      <c r="DA180" s="175" t="s">
        <v>917</v>
      </c>
    </row>
    <row r="181" spans="1:105" ht="11.45" customHeight="1" x14ac:dyDescent="0.25">
      <c r="A181" s="111" t="s">
        <v>111</v>
      </c>
      <c r="B181" s="101">
        <v>1762.6620202024328</v>
      </c>
      <c r="C181" s="101">
        <v>1656.802771882144</v>
      </c>
      <c r="D181" s="101">
        <v>1628.1205045080103</v>
      </c>
      <c r="E181" s="101">
        <v>1595.4868326400117</v>
      </c>
      <c r="F181" s="101">
        <v>1570.6993351113822</v>
      </c>
      <c r="G181" s="101">
        <v>1548.9951046173926</v>
      </c>
      <c r="H181" s="101">
        <v>1526.2046165467498</v>
      </c>
      <c r="I181" s="101">
        <v>1508.8821508382011</v>
      </c>
      <c r="J181" s="101">
        <v>1493.9489516229542</v>
      </c>
      <c r="K181" s="101">
        <v>1484.5754983778986</v>
      </c>
      <c r="L181" s="101">
        <v>1476.0543088541074</v>
      </c>
      <c r="M181" s="101">
        <v>1463.4323821528412</v>
      </c>
      <c r="N181" s="101">
        <v>1451.1035252081954</v>
      </c>
      <c r="O181" s="101">
        <v>1434.237321799546</v>
      </c>
      <c r="P181" s="101">
        <v>1420.948601804751</v>
      </c>
      <c r="Q181" s="101">
        <v>1409.1436863605329</v>
      </c>
      <c r="R181" s="101">
        <v>1398.0337194771716</v>
      </c>
      <c r="S181" s="101">
        <v>1387.6628396310659</v>
      </c>
      <c r="T181" s="101">
        <v>1377.270107642328</v>
      </c>
      <c r="U181" s="101">
        <v>1369.1865925790278</v>
      </c>
      <c r="V181" s="101">
        <v>1361.0211239841833</v>
      </c>
      <c r="W181" s="101">
        <v>1356.5008566957208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1039.2703188786054</v>
      </c>
      <c r="D182" s="101">
        <v>1039.2703188786054</v>
      </c>
      <c r="E182" s="101">
        <v>1039.2703188786056</v>
      </c>
      <c r="F182" s="101">
        <v>1039.2703188786056</v>
      </c>
      <c r="G182" s="101">
        <v>1039.2703188786054</v>
      </c>
      <c r="H182" s="101">
        <v>1039.2703188786056</v>
      </c>
      <c r="I182" s="101">
        <v>1039.2703188786054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304.72924689273697</v>
      </c>
      <c r="C186" s="152">
        <v>292.32254260266689</v>
      </c>
      <c r="D186" s="152">
        <v>288.75043985581271</v>
      </c>
      <c r="E186" s="152">
        <v>284.05956295899205</v>
      </c>
      <c r="F186" s="152">
        <v>284.13245367110386</v>
      </c>
      <c r="G186" s="152">
        <v>280.16183444449359</v>
      </c>
      <c r="H186" s="152">
        <v>278.68675627416371</v>
      </c>
      <c r="I186" s="152">
        <v>274.79441752526651</v>
      </c>
      <c r="J186" s="152">
        <v>266.39487845674176</v>
      </c>
      <c r="K186" s="152">
        <v>252.20027827145373</v>
      </c>
      <c r="L186" s="152">
        <v>212.59014099879005</v>
      </c>
      <c r="M186" s="152">
        <v>203.50702140923559</v>
      </c>
      <c r="N186" s="152">
        <v>238.66592342394156</v>
      </c>
      <c r="O186" s="152">
        <v>262.96042331867164</v>
      </c>
      <c r="P186" s="152">
        <v>258.38962905752692</v>
      </c>
      <c r="Q186" s="152">
        <v>251.83432855748396</v>
      </c>
      <c r="R186" s="152">
        <v>244.42248235920673</v>
      </c>
      <c r="S186" s="152">
        <v>239.00120979281081</v>
      </c>
      <c r="T186" s="152">
        <v>233.24521757135165</v>
      </c>
      <c r="U186" s="152">
        <v>226.17705625325016</v>
      </c>
      <c r="V186" s="152">
        <v>220.73845879881824</v>
      </c>
      <c r="W186" s="152">
        <v>216.13648355713858</v>
      </c>
      <c r="DA186" s="174" t="s">
        <v>922</v>
      </c>
    </row>
    <row r="187" spans="1:105" ht="11.45" customHeight="1" x14ac:dyDescent="0.25">
      <c r="A187" s="111" t="s">
        <v>110</v>
      </c>
      <c r="B187" s="87">
        <v>246.07227924669988</v>
      </c>
      <c r="C187" s="87">
        <v>242.91287023091664</v>
      </c>
      <c r="D187" s="87">
        <v>240.88677275999095</v>
      </c>
      <c r="E187" s="87">
        <v>238.9417999902534</v>
      </c>
      <c r="F187" s="87">
        <v>236.28363906464102</v>
      </c>
      <c r="G187" s="87">
        <v>231.73868317622259</v>
      </c>
      <c r="H187" s="87">
        <v>225.89827937459518</v>
      </c>
      <c r="I187" s="87">
        <v>220.18533780071871</v>
      </c>
      <c r="J187" s="87">
        <v>217.77778751528135</v>
      </c>
      <c r="K187" s="87">
        <v>216.47497396544654</v>
      </c>
      <c r="L187" s="87">
        <v>215.24910719710263</v>
      </c>
      <c r="M187" s="87">
        <v>214.01450909404332</v>
      </c>
      <c r="N187" s="87">
        <v>213.0586891057429</v>
      </c>
      <c r="O187" s="87">
        <v>212.74325294547941</v>
      </c>
      <c r="P187" s="87">
        <v>211.26239855880522</v>
      </c>
      <c r="Q187" s="87">
        <v>208.67553801459843</v>
      </c>
      <c r="R187" s="87">
        <v>205.69766183617853</v>
      </c>
      <c r="S187" s="87">
        <v>205.83574485398142</v>
      </c>
      <c r="T187" s="87">
        <v>201.56030315031936</v>
      </c>
      <c r="U187" s="87">
        <v>195.16996857769811</v>
      </c>
      <c r="V187" s="87">
        <v>177.7494045348092</v>
      </c>
      <c r="W187" s="87">
        <v>174.69070000365244</v>
      </c>
      <c r="DA187" s="171" t="s">
        <v>923</v>
      </c>
    </row>
    <row r="188" spans="1:105" ht="11.45" customHeight="1" x14ac:dyDescent="0.25">
      <c r="A188" s="111" t="s">
        <v>111</v>
      </c>
      <c r="B188" s="87">
        <v>301.90406232025578</v>
      </c>
      <c r="C188" s="87">
        <v>285.63680874169779</v>
      </c>
      <c r="D188" s="87">
        <v>281.26051929545059</v>
      </c>
      <c r="E188" s="87">
        <v>277.48094175385518</v>
      </c>
      <c r="F188" s="87">
        <v>275.4088557612273</v>
      </c>
      <c r="G188" s="87">
        <v>273.23045031691527</v>
      </c>
      <c r="H188" s="87">
        <v>272.02912476957835</v>
      </c>
      <c r="I188" s="87">
        <v>270.81431185492551</v>
      </c>
      <c r="J188" s="87">
        <v>268.57291811141681</v>
      </c>
      <c r="K188" s="87">
        <v>267.14599881226246</v>
      </c>
      <c r="L188" s="87">
        <v>266.66202120175979</v>
      </c>
      <c r="M188" s="87">
        <v>266.60586188581129</v>
      </c>
      <c r="N188" s="87">
        <v>264.31876395717569</v>
      </c>
      <c r="O188" s="87">
        <v>261.10291027510402</v>
      </c>
      <c r="P188" s="87">
        <v>255.51624221939542</v>
      </c>
      <c r="Q188" s="87">
        <v>248.22421194965929</v>
      </c>
      <c r="R188" s="87">
        <v>239.97013545186476</v>
      </c>
      <c r="S188" s="87">
        <v>233.51731807431526</v>
      </c>
      <c r="T188" s="87">
        <v>227.22825932927503</v>
      </c>
      <c r="U188" s="87">
        <v>221.47028245405133</v>
      </c>
      <c r="V188" s="87">
        <v>218.1381165773054</v>
      </c>
      <c r="W188" s="87">
        <v>214.11575289249581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177.29705079911366</v>
      </c>
      <c r="P189" s="87">
        <v>177.29705079911366</v>
      </c>
      <c r="Q189" s="87">
        <v>177.29705079911366</v>
      </c>
      <c r="R189" s="87">
        <v>177.29705079911366</v>
      </c>
      <c r="S189" s="87">
        <v>167.98836984986028</v>
      </c>
      <c r="T189" s="87">
        <v>167.98836984986028</v>
      </c>
      <c r="U189" s="87">
        <v>167.98836984986028</v>
      </c>
      <c r="V189" s="87">
        <v>165.78952075016508</v>
      </c>
      <c r="W189" s="87">
        <v>165.78952075016508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804.20464377651274</v>
      </c>
      <c r="C192" s="116">
        <v>799.08349021825188</v>
      </c>
      <c r="D192" s="116">
        <v>796.14534843920956</v>
      </c>
      <c r="E192" s="116">
        <v>792.39813563950418</v>
      </c>
      <c r="F192" s="116">
        <v>788.8272205294794</v>
      </c>
      <c r="G192" s="116">
        <v>783.94837454897709</v>
      </c>
      <c r="H192" s="116">
        <v>777.97679038115064</v>
      </c>
      <c r="I192" s="116">
        <v>771.78391976253931</v>
      </c>
      <c r="J192" s="116">
        <v>758.21430282525637</v>
      </c>
      <c r="K192" s="116">
        <v>750.20868117286727</v>
      </c>
      <c r="L192" s="116">
        <v>744.9175179892427</v>
      </c>
      <c r="M192" s="116">
        <v>739.37861333285764</v>
      </c>
      <c r="N192" s="116">
        <v>736.14866821764588</v>
      </c>
      <c r="O192" s="116">
        <v>731.78643226363147</v>
      </c>
      <c r="P192" s="116">
        <v>726.24179039163096</v>
      </c>
      <c r="Q192" s="116">
        <v>718.12343194739026</v>
      </c>
      <c r="R192" s="116">
        <v>705.06750166115683</v>
      </c>
      <c r="S192" s="116">
        <v>690.55763659541026</v>
      </c>
      <c r="T192" s="116">
        <v>679.39776099084736</v>
      </c>
      <c r="U192" s="116">
        <v>666.03186126776404</v>
      </c>
      <c r="V192" s="116">
        <v>658.50186757414065</v>
      </c>
      <c r="W192" s="116">
        <v>645.26105781261481</v>
      </c>
      <c r="DA192" s="176" t="s">
        <v>928</v>
      </c>
    </row>
    <row r="193" spans="1:105" ht="11.45" customHeight="1" x14ac:dyDescent="0.25">
      <c r="A193" s="128" t="s">
        <v>27</v>
      </c>
      <c r="B193" s="101">
        <v>747.39547529366575</v>
      </c>
      <c r="C193" s="101">
        <v>742.96010630236367</v>
      </c>
      <c r="D193" s="101">
        <v>740.184399942906</v>
      </c>
      <c r="E193" s="101">
        <v>736.75532859510975</v>
      </c>
      <c r="F193" s="101">
        <v>733.10723784811876</v>
      </c>
      <c r="G193" s="101">
        <v>728.92423384943356</v>
      </c>
      <c r="H193" s="101">
        <v>723.76873487405589</v>
      </c>
      <c r="I193" s="101">
        <v>718.25030468767704</v>
      </c>
      <c r="J193" s="101">
        <v>705.21614942014969</v>
      </c>
      <c r="K193" s="101">
        <v>697.89473946989244</v>
      </c>
      <c r="L193" s="101">
        <v>692.80792406627779</v>
      </c>
      <c r="M193" s="101">
        <v>687.35353349035768</v>
      </c>
      <c r="N193" s="101">
        <v>684.75350138922374</v>
      </c>
      <c r="O193" s="101">
        <v>680.83052475959198</v>
      </c>
      <c r="P193" s="101">
        <v>675.95994858350184</v>
      </c>
      <c r="Q193" s="101">
        <v>668.39082329902351</v>
      </c>
      <c r="R193" s="101">
        <v>656.46077440846818</v>
      </c>
      <c r="S193" s="101">
        <v>643.06746228121949</v>
      </c>
      <c r="T193" s="101">
        <v>632.59000276640131</v>
      </c>
      <c r="U193" s="101">
        <v>619.95841433561361</v>
      </c>
      <c r="V193" s="101">
        <v>615.05055612004617</v>
      </c>
      <c r="W193" s="101">
        <v>602.63167424876565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1055.4151964587643</v>
      </c>
      <c r="D194" s="88">
        <v>1046.02952066338</v>
      </c>
      <c r="E194" s="88">
        <v>1038.5258468527688</v>
      </c>
      <c r="F194" s="88">
        <v>1019.5196279269884</v>
      </c>
      <c r="G194" s="88">
        <v>1010.8027524643708</v>
      </c>
      <c r="H194" s="88">
        <v>1001.8697612765836</v>
      </c>
      <c r="I194" s="88">
        <v>988.57492658978981</v>
      </c>
      <c r="J194" s="88">
        <v>983.04204305083886</v>
      </c>
      <c r="K194" s="88">
        <v>975.82487039119189</v>
      </c>
      <c r="L194" s="88">
        <v>961.15215601346972</v>
      </c>
      <c r="M194" s="88">
        <v>942.14214771930244</v>
      </c>
      <c r="N194" s="88">
        <v>934.84420675279046</v>
      </c>
      <c r="O194" s="88">
        <v>925.39959438000949</v>
      </c>
      <c r="P194" s="88">
        <v>917.53608297944788</v>
      </c>
      <c r="Q194" s="88">
        <v>894.44089933501266</v>
      </c>
      <c r="R194" s="88">
        <v>890.67675091020465</v>
      </c>
      <c r="S194" s="88">
        <v>879.79360824721221</v>
      </c>
      <c r="T194" s="88">
        <v>854.08993282119832</v>
      </c>
      <c r="U194" s="88">
        <v>825.85564538884637</v>
      </c>
      <c r="V194" s="88">
        <v>764.03035353916243</v>
      </c>
      <c r="W194" s="88">
        <v>759.68124826806491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1.1280368189675676</v>
      </c>
      <c r="D198" s="150">
        <f>IF(TrRoad_act!D59=0,0,TrRoad_emi!D56/TrRoad_tech!D171)</f>
        <v>1.1295365396846486</v>
      </c>
      <c r="E198" s="150">
        <f>IF(TrRoad_act!E59=0,0,TrRoad_emi!E56/TrRoad_tech!E171)</f>
        <v>1.1306912220914409</v>
      </c>
      <c r="F198" s="150">
        <f>IF(TrRoad_act!F59=0,0,TrRoad_emi!F56/TrRoad_tech!F171)</f>
        <v>1.1324392353099586</v>
      </c>
      <c r="G198" s="150">
        <f>IF(TrRoad_act!G59=0,0,TrRoad_emi!G56/TrRoad_tech!G171)</f>
        <v>1.1348404705481414</v>
      </c>
      <c r="H198" s="150">
        <f>IF(TrRoad_act!H59=0,0,TrRoad_emi!H56/TrRoad_tech!H171)</f>
        <v>1.1374524025612931</v>
      </c>
      <c r="I198" s="150">
        <f>IF(TrRoad_act!I59=0,0,TrRoad_emi!I56/TrRoad_tech!I171)</f>
        <v>1.1392824278204425</v>
      </c>
      <c r="J198" s="150">
        <f>IF(TrRoad_act!J59=0,0,TrRoad_emi!J56/TrRoad_tech!J171)</f>
        <v>1.1340402543898551</v>
      </c>
      <c r="K198" s="150">
        <f>IF(TrRoad_act!K59=0,0,TrRoad_emi!K56/TrRoad_tech!K171)</f>
        <v>1.1325025647065252</v>
      </c>
      <c r="L198" s="150">
        <f>IF(TrRoad_act!L59=0,0,TrRoad_emi!L56/TrRoad_tech!L171)</f>
        <v>1.1293694268863921</v>
      </c>
      <c r="M198" s="150">
        <f>IF(TrRoad_act!M59=0,0,TrRoad_emi!M56/TrRoad_tech!M171)</f>
        <v>1.135451981578788</v>
      </c>
      <c r="N198" s="150">
        <f>IF(TrRoad_act!N59=0,0,TrRoad_emi!N56/TrRoad_tech!N171)</f>
        <v>1.1323250015860893</v>
      </c>
      <c r="O198" s="150">
        <f>IF(TrRoad_act!O59=0,0,TrRoad_emi!O56/TrRoad_tech!O171)</f>
        <v>1.141024241916744</v>
      </c>
      <c r="P198" s="150">
        <f>IF(TrRoad_act!P59=0,0,TrRoad_emi!P56/TrRoad_tech!P171)</f>
        <v>1.1489453160242713</v>
      </c>
      <c r="Q198" s="150">
        <f>IF(TrRoad_act!Q59=0,0,TrRoad_emi!Q56/TrRoad_tech!Q171)</f>
        <v>1.154982338356549</v>
      </c>
      <c r="R198" s="150">
        <f>IF(TrRoad_act!R59=0,0,TrRoad_emi!R56/TrRoad_tech!R171)</f>
        <v>1.161396985508836</v>
      </c>
      <c r="S198" s="150">
        <f>IF(TrRoad_act!S59=0,0,TrRoad_emi!S56/TrRoad_tech!S171)</f>
        <v>1.168909618247622</v>
      </c>
      <c r="T198" s="150">
        <f>IF(TrRoad_act!T59=0,0,TrRoad_emi!T56/TrRoad_tech!T171)</f>
        <v>1.179246927769096</v>
      </c>
      <c r="U198" s="150">
        <f>IF(TrRoad_act!U59=0,0,TrRoad_emi!U56/TrRoad_tech!U171)</f>
        <v>1.1963541534819204</v>
      </c>
      <c r="V198" s="150">
        <f>IF(TrRoad_act!V59=0,0,TrRoad_emi!V56/TrRoad_tech!V171)</f>
        <v>1.2127977161905528</v>
      </c>
      <c r="W198" s="150">
        <f>IF(TrRoad_act!W59=0,0,TrRoad_emi!W56/TrRoad_tech!W171)</f>
        <v>1.2178519772157306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1.1604238603068944</v>
      </c>
      <c r="C199" s="151">
        <f>IF(TrRoad_act!C60=0,0,TrRoad_emi!C57/TrRoad_tech!C172)</f>
        <v>1.1734984782917051</v>
      </c>
      <c r="D199" s="151">
        <f>IF(TrRoad_act!D60=0,0,TrRoad_emi!D57/TrRoad_tech!D172)</f>
        <v>1.1501440020943319</v>
      </c>
      <c r="E199" s="151">
        <f>IF(TrRoad_act!E60=0,0,TrRoad_emi!E57/TrRoad_tech!E172)</f>
        <v>1.1228844814045067</v>
      </c>
      <c r="F199" s="151">
        <f>IF(TrRoad_act!F60=0,0,TrRoad_emi!F57/TrRoad_tech!F172)</f>
        <v>1.146480410744338</v>
      </c>
      <c r="G199" s="151">
        <f>IF(TrRoad_act!G60=0,0,TrRoad_emi!G57/TrRoad_tech!G172)</f>
        <v>1.1771981805099707</v>
      </c>
      <c r="H199" s="151">
        <f>IF(TrRoad_act!H60=0,0,TrRoad_emi!H57/TrRoad_tech!H172)</f>
        <v>1.1870588889790454</v>
      </c>
      <c r="I199" s="151">
        <f>IF(TrRoad_act!I60=0,0,TrRoad_emi!I57/TrRoad_tech!I172)</f>
        <v>1.1838792149137887</v>
      </c>
      <c r="J199" s="151">
        <f>IF(TrRoad_act!J60=0,0,TrRoad_emi!J57/TrRoad_tech!J172)</f>
        <v>1.1053400613266384</v>
      </c>
      <c r="K199" s="151">
        <f>IF(TrRoad_act!K60=0,0,TrRoad_emi!K57/TrRoad_tech!K172)</f>
        <v>1.093576236899557</v>
      </c>
      <c r="L199" s="151">
        <f>IF(TrRoad_act!L60=0,0,TrRoad_emi!L57/TrRoad_tech!L172)</f>
        <v>1.0666002303827382</v>
      </c>
      <c r="M199" s="151">
        <f>IF(TrRoad_act!M60=0,0,TrRoad_emi!M57/TrRoad_tech!M172)</f>
        <v>1.0578183455406536</v>
      </c>
      <c r="N199" s="151">
        <f>IF(TrRoad_act!N60=0,0,TrRoad_emi!N57/TrRoad_tech!N172)</f>
        <v>1.0870331053272093</v>
      </c>
      <c r="O199" s="151">
        <f>IF(TrRoad_act!O60=0,0,TrRoad_emi!O57/TrRoad_tech!O172)</f>
        <v>1.0783127091332856</v>
      </c>
      <c r="P199" s="151">
        <f>IF(TrRoad_act!P60=0,0,TrRoad_emi!P57/TrRoad_tech!P172)</f>
        <v>1.1644686444062624</v>
      </c>
      <c r="Q199" s="151">
        <f>IF(TrRoad_act!Q60=0,0,TrRoad_emi!Q57/TrRoad_tech!Q172)</f>
        <v>1.1435943539895641</v>
      </c>
      <c r="R199" s="151">
        <f>IF(TrRoad_act!R60=0,0,TrRoad_emi!R57/TrRoad_tech!R172)</f>
        <v>1.1867495567818234</v>
      </c>
      <c r="S199" s="151">
        <f>IF(TrRoad_act!S60=0,0,TrRoad_emi!S57/TrRoad_tech!S172)</f>
        <v>1.1525571251528144</v>
      </c>
      <c r="T199" s="151">
        <f>IF(TrRoad_act!T60=0,0,TrRoad_emi!T57/TrRoad_tech!T172)</f>
        <v>1.19201160613769</v>
      </c>
      <c r="U199" s="151">
        <f>IF(TrRoad_act!U60=0,0,TrRoad_emi!U57/TrRoad_tech!U172)</f>
        <v>1.1999115473383111</v>
      </c>
      <c r="V199" s="151">
        <f>IF(TrRoad_act!V60=0,0,TrRoad_emi!V57/TrRoad_tech!V172)</f>
        <v>1.1631826371798466</v>
      </c>
      <c r="W199" s="151">
        <f>IF(TrRoad_act!W60=0,0,TrRoad_emi!W57/TrRoad_tech!W172)</f>
        <v>1.2577023065674382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1.0817824821496616</v>
      </c>
      <c r="C200" s="91">
        <f>IF(TrRoad_act!C61=0,0,TrRoad_emi!C58/TrRoad_tech!C173)</f>
        <v>1.0985665860306155</v>
      </c>
      <c r="D200" s="91">
        <f>IF(TrRoad_act!D61=0,0,TrRoad_emi!D58/TrRoad_tech!D173)</f>
        <v>1.1014475865902602</v>
      </c>
      <c r="E200" s="91">
        <f>IF(TrRoad_act!E61=0,0,TrRoad_emi!E58/TrRoad_tech!E173)</f>
        <v>1.0757441660292177</v>
      </c>
      <c r="F200" s="91">
        <f>IF(TrRoad_act!F61=0,0,TrRoad_emi!F58/TrRoad_tech!F173)</f>
        <v>1.0987313015890052</v>
      </c>
      <c r="G200" s="91">
        <f>IF(TrRoad_act!G61=0,0,TrRoad_emi!G58/TrRoad_tech!G173)</f>
        <v>1.1437138740417128</v>
      </c>
      <c r="H200" s="91">
        <f>IF(TrRoad_act!H61=0,0,TrRoad_emi!H58/TrRoad_tech!H173)</f>
        <v>1.1435403214312405</v>
      </c>
      <c r="I200" s="91">
        <f>IF(TrRoad_act!I61=0,0,TrRoad_emi!I58/TrRoad_tech!I173)</f>
        <v>1.1204997458233037</v>
      </c>
      <c r="J200" s="91">
        <f>IF(TrRoad_act!J61=0,0,TrRoad_emi!J58/TrRoad_tech!J173)</f>
        <v>1.0492051391601069</v>
      </c>
      <c r="K200" s="91">
        <f>IF(TrRoad_act!K61=0,0,TrRoad_emi!K58/TrRoad_tech!K173)</f>
        <v>1.0198198812385169</v>
      </c>
      <c r="L200" s="91">
        <f>IF(TrRoad_act!L61=0,0,TrRoad_emi!L58/TrRoad_tech!L173)</f>
        <v>1.0206844995657223</v>
      </c>
      <c r="M200" s="91">
        <f>IF(TrRoad_act!M61=0,0,TrRoad_emi!M58/TrRoad_tech!M173)</f>
        <v>1.0178939219906591</v>
      </c>
      <c r="N200" s="91">
        <f>IF(TrRoad_act!N61=0,0,TrRoad_emi!N58/TrRoad_tech!N173)</f>
        <v>1.04417421830276</v>
      </c>
      <c r="O200" s="91">
        <f>IF(TrRoad_act!O61=0,0,TrRoad_emi!O58/TrRoad_tech!O173)</f>
        <v>1.0134163727563685</v>
      </c>
      <c r="P200" s="91">
        <f>IF(TrRoad_act!P61=0,0,TrRoad_emi!P58/TrRoad_tech!P173)</f>
        <v>1.0824862271601632</v>
      </c>
      <c r="Q200" s="91">
        <f>IF(TrRoad_act!Q61=0,0,TrRoad_emi!Q58/TrRoad_tech!Q173)</f>
        <v>0.98484198102359333</v>
      </c>
      <c r="R200" s="91">
        <f>IF(TrRoad_act!R61=0,0,TrRoad_emi!R58/TrRoad_tech!R173)</f>
        <v>1.0490765814983589</v>
      </c>
      <c r="S200" s="91">
        <f>IF(TrRoad_act!S61=0,0,TrRoad_emi!S58/TrRoad_tech!S173)</f>
        <v>1.0132281788693975</v>
      </c>
      <c r="T200" s="91">
        <f>IF(TrRoad_act!T61=0,0,TrRoad_emi!T58/TrRoad_tech!T173)</f>
        <v>1.0169878294760153</v>
      </c>
      <c r="U200" s="91">
        <f>IF(TrRoad_act!U61=0,0,TrRoad_emi!U58/TrRoad_tech!U173)</f>
        <v>1.0208084749220079</v>
      </c>
      <c r="V200" s="91">
        <f>IF(TrRoad_act!V61=0,0,TrRoad_emi!V58/TrRoad_tech!V173)</f>
        <v>0.97025020855797184</v>
      </c>
      <c r="W200" s="91">
        <f>IF(TrRoad_act!W61=0,0,TrRoad_emi!W58/TrRoad_tech!W173)</f>
        <v>1.0247646288011962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1.6192811763587596</v>
      </c>
      <c r="C201" s="91">
        <f>IF(TrRoad_act!C62=0,0,TrRoad_emi!C59/TrRoad_tech!C174)</f>
        <v>1.7013850117576195</v>
      </c>
      <c r="D201" s="91">
        <f>IF(TrRoad_act!D62=0,0,TrRoad_emi!D59/TrRoad_tech!D174)</f>
        <v>1.5517341192641618</v>
      </c>
      <c r="E201" s="91">
        <f>IF(TrRoad_act!E62=0,0,TrRoad_emi!E59/TrRoad_tech!E174)</f>
        <v>1.508131911211269</v>
      </c>
      <c r="F201" s="91">
        <f>IF(TrRoad_act!F62=0,0,TrRoad_emi!F59/TrRoad_tech!F174)</f>
        <v>1.5127419616733597</v>
      </c>
      <c r="G201" s="91">
        <f>IF(TrRoad_act!G62=0,0,TrRoad_emi!G59/TrRoad_tech!G174)</f>
        <v>1.4491540083450423</v>
      </c>
      <c r="H201" s="91">
        <f>IF(TrRoad_act!H62=0,0,TrRoad_emi!H59/TrRoad_tech!H174)</f>
        <v>1.5095994215616295</v>
      </c>
      <c r="I201" s="91">
        <f>IF(TrRoad_act!I62=0,0,TrRoad_emi!I59/TrRoad_tech!I174)</f>
        <v>1.5608377466187271</v>
      </c>
      <c r="J201" s="91">
        <f>IF(TrRoad_act!J62=0,0,TrRoad_emi!J59/TrRoad_tech!J174)</f>
        <v>1.424815316758949</v>
      </c>
      <c r="K201" s="91">
        <f>IF(TrRoad_act!K62=0,0,TrRoad_emi!K59/TrRoad_tech!K174)</f>
        <v>1.448655916033599</v>
      </c>
      <c r="L201" s="91">
        <f>IF(TrRoad_act!L62=0,0,TrRoad_emi!L59/TrRoad_tech!L174)</f>
        <v>1.2910237988944411</v>
      </c>
      <c r="M201" s="91">
        <f>IF(TrRoad_act!M62=0,0,TrRoad_emi!M59/TrRoad_tech!M174)</f>
        <v>1.2356211291899704</v>
      </c>
      <c r="N201" s="91">
        <f>IF(TrRoad_act!N62=0,0,TrRoad_emi!N59/TrRoad_tech!N174)</f>
        <v>1.2568663313601562</v>
      </c>
      <c r="O201" s="91">
        <f>IF(TrRoad_act!O62=0,0,TrRoad_emi!O59/TrRoad_tech!O174)</f>
        <v>1.277769433554282</v>
      </c>
      <c r="P201" s="91">
        <f>IF(TrRoad_act!P62=0,0,TrRoad_emi!P59/TrRoad_tech!P174)</f>
        <v>1.3549710464216316</v>
      </c>
      <c r="Q201" s="91">
        <f>IF(TrRoad_act!Q62=0,0,TrRoad_emi!Q59/TrRoad_tech!Q174)</f>
        <v>1.3732961355211477</v>
      </c>
      <c r="R201" s="91">
        <f>IF(TrRoad_act!R62=0,0,TrRoad_emi!R59/TrRoad_tech!R174)</f>
        <v>1.3730498036769025</v>
      </c>
      <c r="S201" s="91">
        <f>IF(TrRoad_act!S62=0,0,TrRoad_emi!S59/TrRoad_tech!S174)</f>
        <v>1.3169241503965281</v>
      </c>
      <c r="T201" s="91">
        <f>IF(TrRoad_act!T62=0,0,TrRoad_emi!T59/TrRoad_tech!T174)</f>
        <v>1.3594520008546498</v>
      </c>
      <c r="U201" s="91">
        <f>IF(TrRoad_act!U62=0,0,TrRoad_emi!U59/TrRoad_tech!U174)</f>
        <v>1.3529247661729633</v>
      </c>
      <c r="V201" s="91">
        <f>IF(TrRoad_act!V62=0,0,TrRoad_emi!V59/TrRoad_tech!V174)</f>
        <v>1.2987923351368833</v>
      </c>
      <c r="W201" s="91">
        <f>IF(TrRoad_act!W62=0,0,TrRoad_emi!W59/TrRoad_tech!W174)</f>
        <v>1.3408090221297297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1.0950702058549462</v>
      </c>
      <c r="C202" s="91">
        <f>IF(TrRoad_act!C63=0,0,TrRoad_emi!C60/TrRoad_tech!C175)</f>
        <v>1.0458626454564601</v>
      </c>
      <c r="D202" s="91">
        <f>IF(TrRoad_act!D63=0,0,TrRoad_emi!D60/TrRoad_tech!D175)</f>
        <v>1.0698567257517018</v>
      </c>
      <c r="E202" s="91">
        <f>IF(TrRoad_act!E63=0,0,TrRoad_emi!E60/TrRoad_tech!E175)</f>
        <v>1.0934466421455407</v>
      </c>
      <c r="F202" s="91">
        <f>IF(TrRoad_act!F63=0,0,TrRoad_emi!F60/TrRoad_tech!F175)</f>
        <v>1.0348676963474457</v>
      </c>
      <c r="G202" s="91">
        <f>IF(TrRoad_act!G63=0,0,TrRoad_emi!G60/TrRoad_tech!G175)</f>
        <v>1.0406464884326632</v>
      </c>
      <c r="H202" s="91">
        <f>IF(TrRoad_act!H63=0,0,TrRoad_emi!H60/TrRoad_tech!H175)</f>
        <v>1.0291499725101239</v>
      </c>
      <c r="I202" s="91">
        <f>IF(TrRoad_act!I63=0,0,TrRoad_emi!I60/TrRoad_tech!I175)</f>
        <v>1.0452764993289019</v>
      </c>
      <c r="J202" s="91">
        <f>IF(TrRoad_act!J63=0,0,TrRoad_emi!J60/TrRoad_tech!J175)</f>
        <v>1.0821287224949003</v>
      </c>
      <c r="K202" s="91">
        <f>IF(TrRoad_act!K63=0,0,TrRoad_emi!K60/TrRoad_tech!K175)</f>
        <v>1.0283507286597111</v>
      </c>
      <c r="L202" s="91">
        <f>IF(TrRoad_act!L63=0,0,TrRoad_emi!L60/TrRoad_tech!L175)</f>
        <v>1.0415412214251294</v>
      </c>
      <c r="M202" s="91">
        <f>IF(TrRoad_act!M63=0,0,TrRoad_emi!M60/TrRoad_tech!M175)</f>
        <v>1.031907075678157</v>
      </c>
      <c r="N202" s="91">
        <f>IF(TrRoad_act!N63=0,0,TrRoad_emi!N60/TrRoad_tech!N175)</f>
        <v>1.0645350507679405</v>
      </c>
      <c r="O202" s="91">
        <f>IF(TrRoad_act!O63=0,0,TrRoad_emi!O60/TrRoad_tech!O175)</f>
        <v>1.0370097135412384</v>
      </c>
      <c r="P202" s="91">
        <f>IF(TrRoad_act!P63=0,0,TrRoad_emi!P60/TrRoad_tech!P175)</f>
        <v>1.0575067122523294</v>
      </c>
      <c r="Q202" s="91">
        <f>IF(TrRoad_act!Q63=0,0,TrRoad_emi!Q60/TrRoad_tech!Q175)</f>
        <v>1.1117718234357263</v>
      </c>
      <c r="R202" s="91">
        <f>IF(TrRoad_act!R63=0,0,TrRoad_emi!R60/TrRoad_tech!R175)</f>
        <v>1.1466211427409689</v>
      </c>
      <c r="S202" s="91">
        <f>IF(TrRoad_act!S63=0,0,TrRoad_emi!S60/TrRoad_tech!S175)</f>
        <v>1.1698540553264916</v>
      </c>
      <c r="T202" s="91">
        <f>IF(TrRoad_act!T63=0,0,TrRoad_emi!T60/TrRoad_tech!T175)</f>
        <v>1.1475206432262661</v>
      </c>
      <c r="U202" s="91">
        <f>IF(TrRoad_act!U63=0,0,TrRoad_emi!U60/TrRoad_tech!U175)</f>
        <v>1.1548376944081955</v>
      </c>
      <c r="V202" s="91">
        <f>IF(TrRoad_act!V63=0,0,TrRoad_emi!V60/TrRoad_tech!V175)</f>
        <v>0.94328047695407302</v>
      </c>
      <c r="W202" s="91">
        <f>IF(TrRoad_act!W63=0,0,TrRoad_emi!W60/TrRoad_tech!W175)</f>
        <v>1.0533268023815372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1.0466201001640461</v>
      </c>
      <c r="P204" s="91">
        <f>IF(TrRoad_act!P65=0,0,TrRoad_emi!P62/TrRoad_tech!P177)</f>
        <v>1.1221303967535927</v>
      </c>
      <c r="Q204" s="91">
        <f>IF(TrRoad_act!Q65=0,0,TrRoad_emi!Q62/TrRoad_tech!Q177)</f>
        <v>1.0239163759431238</v>
      </c>
      <c r="R204" s="91">
        <f>IF(TrRoad_act!R65=0,0,TrRoad_emi!R62/TrRoad_tech!R177)</f>
        <v>1.0926467412158907</v>
      </c>
      <c r="S204" s="91">
        <f>IF(TrRoad_act!S65=0,0,TrRoad_emi!S62/TrRoad_tech!S177)</f>
        <v>1.054165516002362</v>
      </c>
      <c r="T204" s="91">
        <f>IF(TrRoad_act!T65=0,0,TrRoad_emi!T62/TrRoad_tech!T177)</f>
        <v>1.0565147379692292</v>
      </c>
      <c r="U204" s="91">
        <f>IF(TrRoad_act!U65=0,0,TrRoad_emi!U62/TrRoad_tech!U177)</f>
        <v>1.0582552519577848</v>
      </c>
      <c r="V204" s="91">
        <f>IF(TrRoad_act!V65=0,0,TrRoad_emi!V62/TrRoad_tech!V177)</f>
        <v>1.0033630571080896</v>
      </c>
      <c r="W204" s="91">
        <f>IF(TrRoad_act!W65=0,0,TrRoad_emi!W62/TrRoad_tech!W177)</f>
        <v>1.0570670984962389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1.0996526706253986</v>
      </c>
      <c r="C206" s="151">
        <f>IF(TrRoad_act!C67=0,0,TrRoad_emi!C64/TrRoad_tech!C179)</f>
        <v>1.0780812338821559</v>
      </c>
      <c r="D206" s="151">
        <f>IF(TrRoad_act!D67=0,0,TrRoad_emi!D64/TrRoad_tech!D179)</f>
        <v>1.0748533250401406</v>
      </c>
      <c r="E206" s="151">
        <f>IF(TrRoad_act!E67=0,0,TrRoad_emi!E64/TrRoad_tech!E179)</f>
        <v>1.0740216962070066</v>
      </c>
      <c r="F206" s="151">
        <f>IF(TrRoad_act!F67=0,0,TrRoad_emi!F64/TrRoad_tech!F179)</f>
        <v>1.0759258850643592</v>
      </c>
      <c r="G206" s="151">
        <f>IF(TrRoad_act!G67=0,0,TrRoad_emi!G64/TrRoad_tech!G179)</f>
        <v>1.0797446531557564</v>
      </c>
      <c r="H206" s="151">
        <f>IF(TrRoad_act!H67=0,0,TrRoad_emi!H64/TrRoad_tech!H179)</f>
        <v>1.0867038115872132</v>
      </c>
      <c r="I206" s="151">
        <f>IF(TrRoad_act!I67=0,0,TrRoad_emi!I64/TrRoad_tech!I179)</f>
        <v>1.0893396219003306</v>
      </c>
      <c r="J206" s="151">
        <f>IF(TrRoad_act!J67=0,0,TrRoad_emi!J64/TrRoad_tech!J179)</f>
        <v>1.0914326182992853</v>
      </c>
      <c r="K206" s="151">
        <f>IF(TrRoad_act!K67=0,0,TrRoad_emi!K64/TrRoad_tech!K179)</f>
        <v>1.0876809614241383</v>
      </c>
      <c r="L206" s="151">
        <f>IF(TrRoad_act!L67=0,0,TrRoad_emi!L64/TrRoad_tech!L179)</f>
        <v>1.0879754291949739</v>
      </c>
      <c r="M206" s="151">
        <f>IF(TrRoad_act!M67=0,0,TrRoad_emi!M64/TrRoad_tech!M179)</f>
        <v>1.0940990057611066</v>
      </c>
      <c r="N206" s="151">
        <f>IF(TrRoad_act!N67=0,0,TrRoad_emi!N64/TrRoad_tech!N179)</f>
        <v>1.1107472603553228</v>
      </c>
      <c r="O206" s="151">
        <f>IF(TrRoad_act!O67=0,0,TrRoad_emi!O64/TrRoad_tech!O179)</f>
        <v>1.1203410284415973</v>
      </c>
      <c r="P206" s="151">
        <f>IF(TrRoad_act!P67=0,0,TrRoad_emi!P64/TrRoad_tech!P179)</f>
        <v>1.1305631575128809</v>
      </c>
      <c r="Q206" s="151">
        <f>IF(TrRoad_act!Q67=0,0,TrRoad_emi!Q64/TrRoad_tech!Q179)</f>
        <v>1.1447483959289415</v>
      </c>
      <c r="R206" s="151">
        <f>IF(TrRoad_act!R67=0,0,TrRoad_emi!R64/TrRoad_tech!R179)</f>
        <v>1.1682101436424452</v>
      </c>
      <c r="S206" s="151">
        <f>IF(TrRoad_act!S67=0,0,TrRoad_emi!S64/TrRoad_tech!S179)</f>
        <v>1.1654781765895292</v>
      </c>
      <c r="T206" s="151">
        <f>IF(TrRoad_act!T67=0,0,TrRoad_emi!T64/TrRoad_tech!T179)</f>
        <v>1.1844769325176592</v>
      </c>
      <c r="U206" s="151">
        <f>IF(TrRoad_act!U67=0,0,TrRoad_emi!U64/TrRoad_tech!U179)</f>
        <v>1.1840571684384309</v>
      </c>
      <c r="V206" s="151">
        <f>IF(TrRoad_act!V67=0,0,TrRoad_emi!V64/TrRoad_tech!V179)</f>
        <v>1.1975342656867938</v>
      </c>
      <c r="W206" s="151">
        <f>IF(TrRoad_act!W67=0,0,TrRoad_emi!W64/TrRoad_tech!W179)</f>
        <v>1.2008032332927168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1.1000000000067305</v>
      </c>
      <c r="C207" s="93">
        <f>IF(TrRoad_act!C68=0,0,TrRoad_emi!C65/TrRoad_tech!C180)</f>
        <v>1.10000000000673</v>
      </c>
      <c r="D207" s="93">
        <f>IF(TrRoad_act!D68=0,0,TrRoad_emi!D65/TrRoad_tech!D180)</f>
        <v>1.1000000000067307</v>
      </c>
      <c r="E207" s="93">
        <f>IF(TrRoad_act!E68=0,0,TrRoad_emi!E65/TrRoad_tech!E180)</f>
        <v>1.10000000000673</v>
      </c>
      <c r="F207" s="93">
        <f>IF(TrRoad_act!F68=0,0,TrRoad_emi!F65/TrRoad_tech!F180)</f>
        <v>1.1000000000067307</v>
      </c>
      <c r="G207" s="93">
        <f>IF(TrRoad_act!G68=0,0,TrRoad_emi!G65/TrRoad_tech!G180)</f>
        <v>1.0999946505897034</v>
      </c>
      <c r="H207" s="93">
        <f>IF(TrRoad_act!H68=0,0,TrRoad_emi!H65/TrRoad_tech!H180)</f>
        <v>1.0996440637052241</v>
      </c>
      <c r="I207" s="93">
        <f>IF(TrRoad_act!I68=0,0,TrRoad_emi!I65/TrRoad_tech!I180)</f>
        <v>1.0994216271408943</v>
      </c>
      <c r="J207" s="93">
        <f>IF(TrRoad_act!J68=0,0,TrRoad_emi!J65/TrRoad_tech!J180)</f>
        <v>1.0908049259196613</v>
      </c>
      <c r="K207" s="93">
        <f>IF(TrRoad_act!K68=0,0,TrRoad_emi!K65/TrRoad_tech!K180)</f>
        <v>1.0869736434087487</v>
      </c>
      <c r="L207" s="93">
        <f>IF(TrRoad_act!L68=0,0,TrRoad_emi!L65/TrRoad_tech!L180)</f>
        <v>1.0811554719098431</v>
      </c>
      <c r="M207" s="93">
        <f>IF(TrRoad_act!M68=0,0,TrRoad_emi!M65/TrRoad_tech!M180)</f>
        <v>1.0842723520445876</v>
      </c>
      <c r="N207" s="93">
        <f>IF(TrRoad_act!N68=0,0,TrRoad_emi!N65/TrRoad_tech!N180)</f>
        <v>1.0798788598555509</v>
      </c>
      <c r="O207" s="93">
        <f>IF(TrRoad_act!O68=0,0,TrRoad_emi!O65/TrRoad_tech!O180)</f>
        <v>1.0788008464491368</v>
      </c>
      <c r="P207" s="93">
        <f>IF(TrRoad_act!P68=0,0,TrRoad_emi!P65/TrRoad_tech!P180)</f>
        <v>1.081255411498105</v>
      </c>
      <c r="Q207" s="93">
        <f>IF(TrRoad_act!Q68=0,0,TrRoad_emi!Q65/TrRoad_tech!Q180)</f>
        <v>1.079003067424237</v>
      </c>
      <c r="R207" s="93">
        <f>IF(TrRoad_act!R68=0,0,TrRoad_emi!R65/TrRoad_tech!R180)</f>
        <v>1.0768280429664907</v>
      </c>
      <c r="S207" s="93">
        <f>IF(TrRoad_act!S68=0,0,TrRoad_emi!S65/TrRoad_tech!S180)</f>
        <v>1.1321610070547923</v>
      </c>
      <c r="T207" s="93">
        <f>IF(TrRoad_act!T68=0,0,TrRoad_emi!T65/TrRoad_tech!T180)</f>
        <v>1.1583003033127419</v>
      </c>
      <c r="U207" s="93">
        <f>IF(TrRoad_act!U68=0,0,TrRoad_emi!U65/TrRoad_tech!U180)</f>
        <v>1.2029839550587798</v>
      </c>
      <c r="V207" s="93">
        <f>IF(TrRoad_act!V68=0,0,TrRoad_emi!V65/TrRoad_tech!V180)</f>
        <v>1.2028959139894433</v>
      </c>
      <c r="W207" s="93">
        <f>IF(TrRoad_act!W68=0,0,TrRoad_emi!W65/TrRoad_tech!W180)</f>
        <v>1.1943959160930404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1.1005194885804295</v>
      </c>
      <c r="D208" s="93">
        <f>IF(TrRoad_act!D69=0,0,TrRoad_emi!D66/TrRoad_tech!D181)</f>
        <v>1.1014665666997401</v>
      </c>
      <c r="E208" s="93">
        <f>IF(TrRoad_act!E69=0,0,TrRoad_emi!E66/TrRoad_tech!E181)</f>
        <v>1.1036708736630036</v>
      </c>
      <c r="F208" s="93">
        <f>IF(TrRoad_act!F69=0,0,TrRoad_emi!F66/TrRoad_tech!F181)</f>
        <v>1.1063604092621848</v>
      </c>
      <c r="G208" s="93">
        <f>IF(TrRoad_act!G69=0,0,TrRoad_emi!G66/TrRoad_tech!G181)</f>
        <v>1.1094857922095658</v>
      </c>
      <c r="H208" s="93">
        <f>IF(TrRoad_act!H69=0,0,TrRoad_emi!H66/TrRoad_tech!H181)</f>
        <v>1.1146652114440414</v>
      </c>
      <c r="I208" s="93">
        <f>IF(TrRoad_act!I69=0,0,TrRoad_emi!I66/TrRoad_tech!I181)</f>
        <v>1.1142799191657649</v>
      </c>
      <c r="J208" s="93">
        <f>IF(TrRoad_act!J69=0,0,TrRoad_emi!J66/TrRoad_tech!J181)</f>
        <v>1.1123170763424446</v>
      </c>
      <c r="K208" s="93">
        <f>IF(TrRoad_act!K69=0,0,TrRoad_emi!K66/TrRoad_tech!K181)</f>
        <v>1.1060260209268904</v>
      </c>
      <c r="L208" s="93">
        <f>IF(TrRoad_act!L69=0,0,TrRoad_emi!L66/TrRoad_tech!L181)</f>
        <v>1.1034137437730609</v>
      </c>
      <c r="M208" s="93">
        <f>IF(TrRoad_act!M69=0,0,TrRoad_emi!M66/TrRoad_tech!M181)</f>
        <v>1.1073257532255958</v>
      </c>
      <c r="N208" s="93">
        <f>IF(TrRoad_act!N69=0,0,TrRoad_emi!N66/TrRoad_tech!N181)</f>
        <v>1.1221933638045682</v>
      </c>
      <c r="O208" s="93">
        <f>IF(TrRoad_act!O69=0,0,TrRoad_emi!O66/TrRoad_tech!O181)</f>
        <v>1.1276213926649976</v>
      </c>
      <c r="P208" s="93">
        <f>IF(TrRoad_act!P69=0,0,TrRoad_emi!P66/TrRoad_tech!P181)</f>
        <v>1.1358541075964474</v>
      </c>
      <c r="Q208" s="93">
        <f>IF(TrRoad_act!Q69=0,0,TrRoad_emi!Q66/TrRoad_tech!Q181)</f>
        <v>1.1514891902922031</v>
      </c>
      <c r="R208" s="93">
        <f>IF(TrRoad_act!R69=0,0,TrRoad_emi!R66/TrRoad_tech!R181)</f>
        <v>1.1759895235302795</v>
      </c>
      <c r="S208" s="93">
        <f>IF(TrRoad_act!S69=0,0,TrRoad_emi!S66/TrRoad_tech!S181)</f>
        <v>1.1737340150181295</v>
      </c>
      <c r="T208" s="93">
        <f>IF(TrRoad_act!T69=0,0,TrRoad_emi!T66/TrRoad_tech!T181)</f>
        <v>1.1931958673956111</v>
      </c>
      <c r="U208" s="93">
        <f>IF(TrRoad_act!U69=0,0,TrRoad_emi!U66/TrRoad_tech!U181)</f>
        <v>1.1927015925827025</v>
      </c>
      <c r="V208" s="93">
        <f>IF(TrRoad_act!V69=0,0,TrRoad_emi!V66/TrRoad_tech!V181)</f>
        <v>1.1974906412225741</v>
      </c>
      <c r="W208" s="93">
        <f>IF(TrRoad_act!W69=0,0,TrRoad_emi!W66/TrRoad_tech!W181)</f>
        <v>1.2072389133138519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1.1040000000061809</v>
      </c>
      <c r="D209" s="93">
        <f>IF(TrRoad_act!D70=0,0,TrRoad_emi!D67/TrRoad_tech!D182)</f>
        <v>1.1040000000061809</v>
      </c>
      <c r="E209" s="93">
        <f>IF(TrRoad_act!E70=0,0,TrRoad_emi!E67/TrRoad_tech!E182)</f>
        <v>1.1040000000061805</v>
      </c>
      <c r="F209" s="93">
        <f>IF(TrRoad_act!F70=0,0,TrRoad_emi!F67/TrRoad_tech!F182)</f>
        <v>1.1040000000061807</v>
      </c>
      <c r="G209" s="93">
        <f>IF(TrRoad_act!G70=0,0,TrRoad_emi!G67/TrRoad_tech!G182)</f>
        <v>1.1040000000061807</v>
      </c>
      <c r="H209" s="93">
        <f>IF(TrRoad_act!H70=0,0,TrRoad_emi!H67/TrRoad_tech!H182)</f>
        <v>1.1040000000061809</v>
      </c>
      <c r="I209" s="93">
        <f>IF(TrRoad_act!I70=0,0,TrRoad_emi!I67/TrRoad_tech!I182)</f>
        <v>1.1040000000061811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1.1429546084489768</v>
      </c>
      <c r="C213" s="150">
        <f>IF(TrRoad_act!C74=0,0,TrRoad_emi!C71/TrRoad_tech!C186)</f>
        <v>1.1378759081111065</v>
      </c>
      <c r="D213" s="150">
        <f>IF(TrRoad_act!D74=0,0,TrRoad_emi!D71/TrRoad_tech!D186)</f>
        <v>1.1328570300926168</v>
      </c>
      <c r="E213" s="150">
        <f>IF(TrRoad_act!E74=0,0,TrRoad_emi!E71/TrRoad_tech!E186)</f>
        <v>1.1365443363517378</v>
      </c>
      <c r="F213" s="150">
        <f>IF(TrRoad_act!F74=0,0,TrRoad_emi!F71/TrRoad_tech!F186)</f>
        <v>1.1443007847961226</v>
      </c>
      <c r="G213" s="150">
        <f>IF(TrRoad_act!G74=0,0,TrRoad_emi!G71/TrRoad_tech!G186)</f>
        <v>1.1539993540607645</v>
      </c>
      <c r="H213" s="150">
        <f>IF(TrRoad_act!H74=0,0,TrRoad_emi!H71/TrRoad_tech!H186)</f>
        <v>1.1641110584228214</v>
      </c>
      <c r="I213" s="150">
        <f>IF(TrRoad_act!I74=0,0,TrRoad_emi!I71/TrRoad_tech!I186)</f>
        <v>1.1823272856961862</v>
      </c>
      <c r="J213" s="150">
        <f>IF(TrRoad_act!J74=0,0,TrRoad_emi!J71/TrRoad_tech!J186)</f>
        <v>1.1794688436036471</v>
      </c>
      <c r="K213" s="150">
        <f>IF(TrRoad_act!K74=0,0,TrRoad_emi!K71/TrRoad_tech!K186)</f>
        <v>1.2211968688085686</v>
      </c>
      <c r="L213" s="150">
        <f>IF(TrRoad_act!L74=0,0,TrRoad_emi!L71/TrRoad_tech!L186)</f>
        <v>1.4231942003917042</v>
      </c>
      <c r="M213" s="150">
        <f>IF(TrRoad_act!M74=0,0,TrRoad_emi!M71/TrRoad_tech!M186)</f>
        <v>1.4670764941057046</v>
      </c>
      <c r="N213" s="150">
        <f>IF(TrRoad_act!N74=0,0,TrRoad_emi!N71/TrRoad_tech!N186)</f>
        <v>1.2498666234518883</v>
      </c>
      <c r="O213" s="150">
        <f>IF(TrRoad_act!O74=0,0,TrRoad_emi!O71/TrRoad_tech!O186)</f>
        <v>1.1174107924423271</v>
      </c>
      <c r="P213" s="150">
        <f>IF(TrRoad_act!P74=0,0,TrRoad_emi!P71/TrRoad_tech!P186)</f>
        <v>1.1335845878707194</v>
      </c>
      <c r="Q213" s="150">
        <f>IF(TrRoad_act!Q74=0,0,TrRoad_emi!Q71/TrRoad_tech!Q186)</f>
        <v>1.184541453137276</v>
      </c>
      <c r="R213" s="150">
        <f>IF(TrRoad_act!R74=0,0,TrRoad_emi!R71/TrRoad_tech!R186)</f>
        <v>1.2094487007764207</v>
      </c>
      <c r="S213" s="150">
        <f>IF(TrRoad_act!S74=0,0,TrRoad_emi!S71/TrRoad_tech!S186)</f>
        <v>1.1995164785636128</v>
      </c>
      <c r="T213" s="150">
        <f>IF(TrRoad_act!T74=0,0,TrRoad_emi!T71/TrRoad_tech!T186)</f>
        <v>1.2215987637181995</v>
      </c>
      <c r="U213" s="150">
        <f>IF(TrRoad_act!U74=0,0,TrRoad_emi!U71/TrRoad_tech!U186)</f>
        <v>1.2273044678284097</v>
      </c>
      <c r="V213" s="150">
        <f>IF(TrRoad_act!V74=0,0,TrRoad_emi!V71/TrRoad_tech!V186)</f>
        <v>1.2404247248291178</v>
      </c>
      <c r="W213" s="150">
        <f>IF(TrRoad_act!W74=0,0,TrRoad_emi!W71/TrRoad_tech!W186)</f>
        <v>1.2788703816476936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</v>
      </c>
      <c r="C214" s="91">
        <f>IF(TrRoad_act!C75=0,0,TrRoad_emi!C72/TrRoad_tech!C187)</f>
        <v>1.1000127162213384</v>
      </c>
      <c r="D214" s="91">
        <f>IF(TrRoad_act!D75=0,0,TrRoad_emi!D72/TrRoad_tech!D187)</f>
        <v>1.1000606019554677</v>
      </c>
      <c r="E214" s="91">
        <f>IF(TrRoad_act!E75=0,0,TrRoad_emi!E72/TrRoad_tech!E187)</f>
        <v>1.1001313659033838</v>
      </c>
      <c r="F214" s="91">
        <f>IF(TrRoad_act!F75=0,0,TrRoad_emi!F72/TrRoad_tech!F187)</f>
        <v>1.1002554945770007</v>
      </c>
      <c r="G214" s="91">
        <f>IF(TrRoad_act!G75=0,0,TrRoad_emi!G72/TrRoad_tech!G187)</f>
        <v>1.1004989434088164</v>
      </c>
      <c r="H214" s="91">
        <f>IF(TrRoad_act!H75=0,0,TrRoad_emi!H72/TrRoad_tech!H187)</f>
        <v>1.1008477963325509</v>
      </c>
      <c r="I214" s="91">
        <f>IF(TrRoad_act!I75=0,0,TrRoad_emi!I72/TrRoad_tech!I187)</f>
        <v>1.1003973859395062</v>
      </c>
      <c r="J214" s="91">
        <f>IF(TrRoad_act!J75=0,0,TrRoad_emi!J72/TrRoad_tech!J187)</f>
        <v>1.0931362135606253</v>
      </c>
      <c r="K214" s="91">
        <f>IF(TrRoad_act!K75=0,0,TrRoad_emi!K72/TrRoad_tech!K187)</f>
        <v>1.0910597813813097</v>
      </c>
      <c r="L214" s="91">
        <f>IF(TrRoad_act!L75=0,0,TrRoad_emi!L72/TrRoad_tech!L187)</f>
        <v>1.0871801255967584</v>
      </c>
      <c r="M214" s="91">
        <f>IF(TrRoad_act!M75=0,0,TrRoad_emi!M72/TrRoad_tech!M187)</f>
        <v>1.0921037668345515</v>
      </c>
      <c r="N214" s="91">
        <f>IF(TrRoad_act!N75=0,0,TrRoad_emi!N72/TrRoad_tech!N187)</f>
        <v>1.0887361941395504</v>
      </c>
      <c r="O214" s="91">
        <f>IF(TrRoad_act!O75=0,0,TrRoad_emi!O72/TrRoad_tech!O187)</f>
        <v>1.089064418747985</v>
      </c>
      <c r="P214" s="91">
        <f>IF(TrRoad_act!P75=0,0,TrRoad_emi!P72/TrRoad_tech!P187)</f>
        <v>1.0957544239057944</v>
      </c>
      <c r="Q214" s="91">
        <f>IF(TrRoad_act!Q75=0,0,TrRoad_emi!Q72/TrRoad_tech!Q187)</f>
        <v>1.0988991345970225</v>
      </c>
      <c r="R214" s="91">
        <f>IF(TrRoad_act!R75=0,0,TrRoad_emi!R72/TrRoad_tech!R187)</f>
        <v>1.1052236964234212</v>
      </c>
      <c r="S214" s="91">
        <f>IF(TrRoad_act!S75=0,0,TrRoad_emi!S72/TrRoad_tech!S187)</f>
        <v>1.1252927701678215</v>
      </c>
      <c r="T214" s="91">
        <f>IF(TrRoad_act!T75=0,0,TrRoad_emi!T72/TrRoad_tech!T187)</f>
        <v>1.1350817316020323</v>
      </c>
      <c r="U214" s="91">
        <f>IF(TrRoad_act!U75=0,0,TrRoad_emi!U72/TrRoad_tech!U187)</f>
        <v>1.1582698161875018</v>
      </c>
      <c r="V214" s="91">
        <f>IF(TrRoad_act!V75=0,0,TrRoad_emi!V72/TrRoad_tech!V187)</f>
        <v>1.1969929438578895</v>
      </c>
      <c r="W214" s="91">
        <f>IF(TrRoad_act!W75=0,0,TrRoad_emi!W72/TrRoad_tech!W187)</f>
        <v>1.2274896867832401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1.1571870136827906</v>
      </c>
      <c r="C215" s="91">
        <f>IF(TrRoad_act!C76=0,0,TrRoad_emi!C73/TrRoad_tech!C188)</f>
        <v>1.1671835328998672</v>
      </c>
      <c r="D215" s="91">
        <f>IF(TrRoad_act!D76=0,0,TrRoad_emi!D73/TrRoad_tech!D188)</f>
        <v>1.1652598994410848</v>
      </c>
      <c r="E215" s="91">
        <f>IF(TrRoad_act!E76=0,0,TrRoad_emi!E73/TrRoad_tech!E188)</f>
        <v>1.1653232300879568</v>
      </c>
      <c r="F215" s="91">
        <f>IF(TrRoad_act!F76=0,0,TrRoad_emi!F73/TrRoad_tech!F188)</f>
        <v>1.1821846641559837</v>
      </c>
      <c r="G215" s="91">
        <f>IF(TrRoad_act!G76=0,0,TrRoad_emi!G73/TrRoad_tech!G188)</f>
        <v>1.1845215992997884</v>
      </c>
      <c r="H215" s="91">
        <f>IF(TrRoad_act!H76=0,0,TrRoad_emi!H73/TrRoad_tech!H188)</f>
        <v>1.1935997513534788</v>
      </c>
      <c r="I215" s="91">
        <f>IF(TrRoad_act!I76=0,0,TrRoad_emi!I73/TrRoad_tech!I188)</f>
        <v>1.2005190386198596</v>
      </c>
      <c r="J215" s="91">
        <f>IF(TrRoad_act!J76=0,0,TrRoad_emi!J73/TrRoad_tech!J188)</f>
        <v>1.1705831931711788</v>
      </c>
      <c r="K215" s="91">
        <f>IF(TrRoad_act!K76=0,0,TrRoad_emi!K73/TrRoad_tech!K188)</f>
        <v>1.1534860605449602</v>
      </c>
      <c r="L215" s="91">
        <f>IF(TrRoad_act!L76=0,0,TrRoad_emi!L73/TrRoad_tech!L188)</f>
        <v>1.1351326930931291</v>
      </c>
      <c r="M215" s="91">
        <f>IF(TrRoad_act!M76=0,0,TrRoad_emi!M73/TrRoad_tech!M188)</f>
        <v>1.1203924246366364</v>
      </c>
      <c r="N215" s="91">
        <f>IF(TrRoad_act!N76=0,0,TrRoad_emi!N73/TrRoad_tech!N188)</f>
        <v>1.1292049240988935</v>
      </c>
      <c r="O215" s="91">
        <f>IF(TrRoad_act!O76=0,0,TrRoad_emi!O73/TrRoad_tech!O188)</f>
        <v>1.1259631738639688</v>
      </c>
      <c r="P215" s="91">
        <f>IF(TrRoad_act!P76=0,0,TrRoad_emi!P73/TrRoad_tech!P188)</f>
        <v>1.1469695269064561</v>
      </c>
      <c r="Q215" s="91">
        <f>IF(TrRoad_act!Q76=0,0,TrRoad_emi!Q73/TrRoad_tech!Q188)</f>
        <v>1.2024490099942216</v>
      </c>
      <c r="R215" s="91">
        <f>IF(TrRoad_act!R76=0,0,TrRoad_emi!R73/TrRoad_tech!R188)</f>
        <v>1.2325729287676266</v>
      </c>
      <c r="S215" s="91">
        <f>IF(TrRoad_act!S76=0,0,TrRoad_emi!S73/TrRoad_tech!S188)</f>
        <v>1.2285785894441241</v>
      </c>
      <c r="T215" s="91">
        <f>IF(TrRoad_act!T76=0,0,TrRoad_emi!T73/TrRoad_tech!T188)</f>
        <v>1.254918837978495</v>
      </c>
      <c r="U215" s="91">
        <f>IF(TrRoad_act!U76=0,0,TrRoad_emi!U73/TrRoad_tech!U188)</f>
        <v>1.2550628346210282</v>
      </c>
      <c r="V215" s="91">
        <f>IF(TrRoad_act!V76=0,0,TrRoad_emi!V73/TrRoad_tech!V188)</f>
        <v>1.2594067276741518</v>
      </c>
      <c r="W215" s="91">
        <f>IF(TrRoad_act!W76=0,0,TrRoad_emi!W73/TrRoad_tech!W188)</f>
        <v>1.2980024598065008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1.2560000000062248</v>
      </c>
      <c r="P216" s="91">
        <f>IF(TrRoad_act!P77=0,0,TrRoad_emi!P74/TrRoad_tech!P189)</f>
        <v>1.2668628131422308</v>
      </c>
      <c r="Q216" s="91">
        <f>IF(TrRoad_act!Q77=0,0,TrRoad_emi!Q74/TrRoad_tech!Q189)</f>
        <v>1.2668628131422313</v>
      </c>
      <c r="R216" s="91">
        <f>IF(TrRoad_act!R77=0,0,TrRoad_emi!R74/TrRoad_tech!R189)</f>
        <v>1.2668628131422308</v>
      </c>
      <c r="S216" s="91">
        <f>IF(TrRoad_act!S77=0,0,TrRoad_emi!S74/TrRoad_tech!S189)</f>
        <v>1.2781794962439492</v>
      </c>
      <c r="T216" s="91">
        <f>IF(TrRoad_act!T77=0,0,TrRoad_emi!T74/TrRoad_tech!T189)</f>
        <v>1.2781794962439492</v>
      </c>
      <c r="U216" s="91">
        <f>IF(TrRoad_act!U77=0,0,TrRoad_emi!U74/TrRoad_tech!U189)</f>
        <v>1.278179496243949</v>
      </c>
      <c r="V216" s="91">
        <f>IF(TrRoad_act!V77=0,0,TrRoad_emi!V74/TrRoad_tech!V189)</f>
        <v>1.2837822739765667</v>
      </c>
      <c r="W216" s="91">
        <f>IF(TrRoad_act!W77=0,0,TrRoad_emi!W74/TrRoad_tech!W189)</f>
        <v>1.2837822739765663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1.7538363158297767</v>
      </c>
      <c r="C219" s="151">
        <f>IF(TrRoad_act!C80=0,0,TrRoad_emi!C77/TrRoad_tech!C192)</f>
        <v>1.8452840056100652</v>
      </c>
      <c r="D219" s="151">
        <f>IF(TrRoad_act!D80=0,0,TrRoad_emi!D77/TrRoad_tech!D192)</f>
        <v>1.6804702270813392</v>
      </c>
      <c r="E219" s="151">
        <f>IF(TrRoad_act!E80=0,0,TrRoad_emi!E77/TrRoad_tech!E192)</f>
        <v>1.6333578584203607</v>
      </c>
      <c r="F219" s="151">
        <f>IF(TrRoad_act!F80=0,0,TrRoad_emi!F77/TrRoad_tech!F192)</f>
        <v>1.6401414281761086</v>
      </c>
      <c r="G219" s="151">
        <f>IF(TrRoad_act!G80=0,0,TrRoad_emi!G77/TrRoad_tech!G192)</f>
        <v>1.5727764832960778</v>
      </c>
      <c r="H219" s="151">
        <f>IF(TrRoad_act!H80=0,0,TrRoad_emi!H77/TrRoad_tech!H192)</f>
        <v>1.6434607509957508</v>
      </c>
      <c r="I219" s="151">
        <f>IF(TrRoad_act!I80=0,0,TrRoad_emi!I77/TrRoad_tech!I192)</f>
        <v>1.7041035391955783</v>
      </c>
      <c r="J219" s="151">
        <f>IF(TrRoad_act!J80=0,0,TrRoad_emi!J77/TrRoad_tech!J192)</f>
        <v>1.5643289684696706</v>
      </c>
      <c r="K219" s="151">
        <f>IF(TrRoad_act!K80=0,0,TrRoad_emi!K77/TrRoad_tech!K192)</f>
        <v>1.6025040211151818</v>
      </c>
      <c r="L219" s="151">
        <f>IF(TrRoad_act!L80=0,0,TrRoad_emi!L77/TrRoad_tech!L192)</f>
        <v>1.4317279314861115</v>
      </c>
      <c r="M219" s="151">
        <f>IF(TrRoad_act!M80=0,0,TrRoad_emi!M77/TrRoad_tech!M192)</f>
        <v>1.376413906914798</v>
      </c>
      <c r="N219" s="151">
        <f>IF(TrRoad_act!N80=0,0,TrRoad_emi!N77/TrRoad_tech!N192)</f>
        <v>1.3995401394661373</v>
      </c>
      <c r="O219" s="151">
        <f>IF(TrRoad_act!O80=0,0,TrRoad_emi!O77/TrRoad_tech!O192)</f>
        <v>1.4234988876911761</v>
      </c>
      <c r="P219" s="151">
        <f>IF(TrRoad_act!P80=0,0,TrRoad_emi!P77/TrRoad_tech!P192)</f>
        <v>1.5140964195243929</v>
      </c>
      <c r="Q219" s="151">
        <f>IF(TrRoad_act!Q80=0,0,TrRoad_emi!Q77/TrRoad_tech!Q192)</f>
        <v>1.5472831646538014</v>
      </c>
      <c r="R219" s="151">
        <f>IF(TrRoad_act!R80=0,0,TrRoad_emi!R77/TrRoad_tech!R192)</f>
        <v>1.5572646904466012</v>
      </c>
      <c r="S219" s="151">
        <f>IF(TrRoad_act!S80=0,0,TrRoad_emi!S77/TrRoad_tech!S192)</f>
        <v>1.5128261119694402</v>
      </c>
      <c r="T219" s="151">
        <f>IF(TrRoad_act!T80=0,0,TrRoad_emi!T77/TrRoad_tech!T192)</f>
        <v>1.5792537192817815</v>
      </c>
      <c r="U219" s="151">
        <f>IF(TrRoad_act!U80=0,0,TrRoad_emi!U77/TrRoad_tech!U192)</f>
        <v>1.5935147063975219</v>
      </c>
      <c r="V219" s="151">
        <f>IF(TrRoad_act!V80=0,0,TrRoad_emi!V77/TrRoad_tech!V192)</f>
        <v>1.5244917818674895</v>
      </c>
      <c r="W219" s="151">
        <f>IF(TrRoad_act!W80=0,0,TrRoad_emi!W77/TrRoad_tech!W192)</f>
        <v>1.6014477498853508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1.8463387050212567</v>
      </c>
      <c r="C220" s="93">
        <f>IF(TrRoad_act!C81=0,0,TrRoad_emi!C78/TrRoad_tech!C193)</f>
        <v>1.9399728032620807</v>
      </c>
      <c r="D220" s="93">
        <f>IF(TrRoad_act!D81=0,0,TrRoad_emi!D78/TrRoad_tech!D193)</f>
        <v>1.7708767851033094</v>
      </c>
      <c r="E220" s="93">
        <f>IF(TrRoad_act!E81=0,0,TrRoad_emi!E78/TrRoad_tech!E193)</f>
        <v>1.722579409778336</v>
      </c>
      <c r="F220" s="93">
        <f>IF(TrRoad_act!F81=0,0,TrRoad_emi!F78/TrRoad_tech!F193)</f>
        <v>1.7294918039367571</v>
      </c>
      <c r="G220" s="93">
        <f>IF(TrRoad_act!G81=0,0,TrRoad_emi!G78/TrRoad_tech!G193)</f>
        <v>1.6597992643314148</v>
      </c>
      <c r="H220" s="93">
        <f>IF(TrRoad_act!H81=0,0,TrRoad_emi!H78/TrRoad_tech!H193)</f>
        <v>1.7323754220207486</v>
      </c>
      <c r="I220" s="93">
        <f>IF(TrRoad_act!I81=0,0,TrRoad_emi!I78/TrRoad_tech!I193)</f>
        <v>1.7949323472336982</v>
      </c>
      <c r="J220" s="93">
        <f>IF(TrRoad_act!J81=0,0,TrRoad_emi!J78/TrRoad_tech!J193)</f>
        <v>1.6502512369514188</v>
      </c>
      <c r="K220" s="93">
        <f>IF(TrRoad_act!K81=0,0,TrRoad_emi!K78/TrRoad_tech!K193)</f>
        <v>1.6838075025297268</v>
      </c>
      <c r="L220" s="93">
        <f>IF(TrRoad_act!L81=0,0,TrRoad_emi!L78/TrRoad_tech!L193)</f>
        <v>1.5043947287432617</v>
      </c>
      <c r="M220" s="93">
        <f>IF(TrRoad_act!M81=0,0,TrRoad_emi!M78/TrRoad_tech!M193)</f>
        <v>1.4434642170017011</v>
      </c>
      <c r="N220" s="93">
        <f>IF(TrRoad_act!N81=0,0,TrRoad_emi!N78/TrRoad_tech!N193)</f>
        <v>1.4700678032303098</v>
      </c>
      <c r="O220" s="93">
        <f>IF(TrRoad_act!O81=0,0,TrRoad_emi!O78/TrRoad_tech!O193)</f>
        <v>1.4960981831561884</v>
      </c>
      <c r="P220" s="93">
        <f>IF(TrRoad_act!P81=0,0,TrRoad_emi!P78/TrRoad_tech!P193)</f>
        <v>1.5911832826598851</v>
      </c>
      <c r="Q220" s="93">
        <f>IF(TrRoad_act!Q81=0,0,TrRoad_emi!Q78/TrRoad_tech!Q193)</f>
        <v>1.6222600852426505</v>
      </c>
      <c r="R220" s="93">
        <f>IF(TrRoad_act!R81=0,0,TrRoad_emi!R78/TrRoad_tech!R193)</f>
        <v>1.6390158680354283</v>
      </c>
      <c r="S220" s="93">
        <f>IF(TrRoad_act!S81=0,0,TrRoad_emi!S78/TrRoad_tech!S193)</f>
        <v>1.5930967492413661</v>
      </c>
      <c r="T220" s="93">
        <f>IF(TrRoad_act!T81=0,0,TrRoad_emi!T78/TrRoad_tech!T193)</f>
        <v>1.6608202458962023</v>
      </c>
      <c r="U220" s="93">
        <f>IF(TrRoad_act!U81=0,0,TrRoad_emi!U78/TrRoad_tech!U193)</f>
        <v>1.674231599946002</v>
      </c>
      <c r="V220" s="93">
        <f>IF(TrRoad_act!V81=0,0,TrRoad_emi!V78/TrRoad_tech!V193)</f>
        <v>1.6153745154950492</v>
      </c>
      <c r="W220" s="93">
        <f>IF(TrRoad_act!W81=0,0,TrRoad_emi!W78/TrRoad_tech!W193)</f>
        <v>1.6977044379044031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1.9585263645830131</v>
      </c>
      <c r="C221" s="94">
        <f>IF(TrRoad_act!C82=0,0,TrRoad_emi!C79/TrRoad_tech!C194)</f>
        <v>2.062282114896191</v>
      </c>
      <c r="D221" s="94">
        <f>IF(TrRoad_act!D82=0,0,TrRoad_emi!D79/TrRoad_tech!D194)</f>
        <v>1.8745476216324279</v>
      </c>
      <c r="E221" s="94">
        <f>IF(TrRoad_act!E82=0,0,TrRoad_emi!E79/TrRoad_tech!E194)</f>
        <v>1.820623899132042</v>
      </c>
      <c r="F221" s="94">
        <f>IF(TrRoad_act!F82=0,0,TrRoad_emi!F79/TrRoad_tech!F194)</f>
        <v>1.8266621454300385</v>
      </c>
      <c r="G221" s="94">
        <f>IF(TrRoad_act!G82=0,0,TrRoad_emi!G79/TrRoad_tech!G194)</f>
        <v>1.7484725140971407</v>
      </c>
      <c r="H221" s="94">
        <f>IF(TrRoad_act!H82=0,0,TrRoad_emi!H79/TrRoad_tech!H194)</f>
        <v>1.8295638101802281</v>
      </c>
      <c r="I221" s="94">
        <f>IF(TrRoad_act!I82=0,0,TrRoad_emi!I79/TrRoad_tech!I194)</f>
        <v>1.9030444790157357</v>
      </c>
      <c r="J221" s="94">
        <f>IF(TrRoad_act!J82=0,0,TrRoad_emi!J79/TrRoad_tech!J194)</f>
        <v>1.7238525194059888</v>
      </c>
      <c r="K221" s="94">
        <f>IF(TrRoad_act!K82=0,0,TrRoad_emi!K79/TrRoad_tech!K194)</f>
        <v>1.7423864183153157</v>
      </c>
      <c r="L221" s="94">
        <f>IF(TrRoad_act!L82=0,0,TrRoad_emi!L79/TrRoad_tech!L194)</f>
        <v>1.5434189219257661</v>
      </c>
      <c r="M221" s="94">
        <f>IF(TrRoad_act!M82=0,0,TrRoad_emi!M79/TrRoad_tech!M194)</f>
        <v>1.4820150784651152</v>
      </c>
      <c r="N221" s="94">
        <f>IF(TrRoad_act!N82=0,0,TrRoad_emi!N79/TrRoad_tech!N194)</f>
        <v>1.5124578133316393</v>
      </c>
      <c r="O221" s="94">
        <f>IF(TrRoad_act!O82=0,0,TrRoad_emi!O79/TrRoad_tech!O194)</f>
        <v>1.5440906200048137</v>
      </c>
      <c r="P221" s="94">
        <f>IF(TrRoad_act!P82=0,0,TrRoad_emi!P79/TrRoad_tech!P194)</f>
        <v>1.6576313006897812</v>
      </c>
      <c r="Q221" s="94">
        <f>IF(TrRoad_act!Q82=0,0,TrRoad_emi!Q79/TrRoad_tech!Q194)</f>
        <v>1.708500700554858</v>
      </c>
      <c r="R221" s="94">
        <f>IF(TrRoad_act!R82=0,0,TrRoad_emi!R79/TrRoad_tech!R194)</f>
        <v>1.7201062357436465</v>
      </c>
      <c r="S221" s="94">
        <f>IF(TrRoad_act!S82=0,0,TrRoad_emi!S79/TrRoad_tech!S194)</f>
        <v>1.6594963179137423</v>
      </c>
      <c r="T221" s="94">
        <f>IF(TrRoad_act!T82=0,0,TrRoad_emi!T79/TrRoad_tech!T194)</f>
        <v>1.7518932355641852</v>
      </c>
      <c r="U221" s="94">
        <f>IF(TrRoad_act!U82=0,0,TrRoad_emi!U79/TrRoad_tech!U194)</f>
        <v>1.783622989345089</v>
      </c>
      <c r="V221" s="94">
        <f>IF(TrRoad_act!V82=0,0,TrRoad_emi!V79/TrRoad_tech!V194)</f>
        <v>1.8910932513810648</v>
      </c>
      <c r="W221" s="94">
        <f>IF(TrRoad_act!W82=0,0,TrRoad_emi!W79/TrRoad_tech!W194)</f>
        <v>1.9811338715340221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95.011188457889531</v>
      </c>
      <c r="C225" s="152">
        <v>93.991941407569485</v>
      </c>
      <c r="D225" s="152">
        <v>92.872263555511537</v>
      </c>
      <c r="E225" s="152">
        <v>93.991941407569499</v>
      </c>
      <c r="F225" s="152">
        <v>93.991941407569499</v>
      </c>
      <c r="G225" s="152">
        <v>93.991941407569499</v>
      </c>
      <c r="H225" s="152">
        <v>91.367416522345565</v>
      </c>
      <c r="I225" s="152">
        <v>92.020188710095383</v>
      </c>
      <c r="J225" s="152">
        <v>90.431365838025087</v>
      </c>
      <c r="K225" s="152">
        <v>85.903388604302577</v>
      </c>
      <c r="L225" s="152">
        <v>80.273648364154994</v>
      </c>
      <c r="M225" s="152">
        <v>77.114836512483507</v>
      </c>
      <c r="N225" s="152">
        <v>75.849732236398353</v>
      </c>
      <c r="O225" s="152">
        <v>73.28963147857516</v>
      </c>
      <c r="P225" s="152">
        <v>72.310357159073192</v>
      </c>
      <c r="Q225" s="152">
        <v>70.974962561409058</v>
      </c>
      <c r="R225" s="152">
        <v>69.722950510748731</v>
      </c>
      <c r="S225" s="152">
        <v>68.721340870220473</v>
      </c>
      <c r="T225" s="152">
        <v>67.920053157797867</v>
      </c>
      <c r="U225" s="152">
        <v>67.27902298785979</v>
      </c>
      <c r="V225" s="152">
        <v>66.766198851909323</v>
      </c>
      <c r="W225" s="152">
        <v>66.355939543148949</v>
      </c>
      <c r="DA225" s="174" t="s">
        <v>931</v>
      </c>
    </row>
    <row r="226" spans="1:105" ht="11.45" customHeight="1" x14ac:dyDescent="0.25">
      <c r="A226" s="109" t="s">
        <v>20</v>
      </c>
      <c r="B226" s="116">
        <v>196.94649747549386</v>
      </c>
      <c r="C226" s="116">
        <v>195.12481820090696</v>
      </c>
      <c r="D226" s="116">
        <v>194.0180092329912</v>
      </c>
      <c r="E226" s="116">
        <v>196.24123017372528</v>
      </c>
      <c r="F226" s="116">
        <v>198.03449519684952</v>
      </c>
      <c r="G226" s="116">
        <v>199.70052793313835</v>
      </c>
      <c r="H226" s="116">
        <v>196.94394676242607</v>
      </c>
      <c r="I226" s="116">
        <v>197.69177343874188</v>
      </c>
      <c r="J226" s="116">
        <v>192.84065075706619</v>
      </c>
      <c r="K226" s="116">
        <v>179.08849189092982</v>
      </c>
      <c r="L226" s="116">
        <v>168.17363421188165</v>
      </c>
      <c r="M226" s="116">
        <v>162.80267092148796</v>
      </c>
      <c r="N226" s="116">
        <v>158.76521761702853</v>
      </c>
      <c r="O226" s="116">
        <v>156.51930580255919</v>
      </c>
      <c r="P226" s="116">
        <v>149.40232015059723</v>
      </c>
      <c r="Q226" s="116">
        <v>145.20644586396236</v>
      </c>
      <c r="R226" s="116">
        <v>142.09959686312101</v>
      </c>
      <c r="S226" s="116">
        <v>141.44696806097664</v>
      </c>
      <c r="T226" s="116">
        <v>143.433623426183</v>
      </c>
      <c r="U226" s="116">
        <v>142.86854205809715</v>
      </c>
      <c r="V226" s="116">
        <v>137.30919953707701</v>
      </c>
      <c r="W226" s="116">
        <v>118.42143613969512</v>
      </c>
      <c r="DA226" s="176" t="s">
        <v>932</v>
      </c>
    </row>
    <row r="227" spans="1:105" ht="11.45" customHeight="1" x14ac:dyDescent="0.25">
      <c r="A227" s="111" t="s">
        <v>110</v>
      </c>
      <c r="B227" s="87">
        <v>195.06991892267894</v>
      </c>
      <c r="C227" s="87">
        <v>192.56007619468156</v>
      </c>
      <c r="D227" s="87">
        <v>189.80921796332905</v>
      </c>
      <c r="E227" s="87">
        <v>192.56007619468164</v>
      </c>
      <c r="F227" s="87">
        <v>192.56007619468164</v>
      </c>
      <c r="G227" s="87">
        <v>192.56007619468164</v>
      </c>
      <c r="H227" s="87">
        <v>186.11206450039114</v>
      </c>
      <c r="I227" s="87">
        <v>187.71581484926969</v>
      </c>
      <c r="J227" s="87">
        <v>183.81234701898035</v>
      </c>
      <c r="K227" s="87">
        <v>172.68787633139044</v>
      </c>
      <c r="L227" s="87">
        <v>158.85656114415079</v>
      </c>
      <c r="M227" s="87">
        <v>150.45773665226957</v>
      </c>
      <c r="N227" s="87">
        <v>147.31136636545213</v>
      </c>
      <c r="O227" s="87">
        <v>141.69657500429568</v>
      </c>
      <c r="P227" s="87">
        <v>139.41961618320457</v>
      </c>
      <c r="Q227" s="87">
        <v>136.24021490726517</v>
      </c>
      <c r="R227" s="87">
        <v>135.14414269893578</v>
      </c>
      <c r="S227" s="87">
        <v>133.06618561109241</v>
      </c>
      <c r="T227" s="87">
        <v>134.28861788617891</v>
      </c>
      <c r="U227" s="87">
        <v>136.31340448119801</v>
      </c>
      <c r="V227" s="87">
        <v>131.99825267272101</v>
      </c>
      <c r="W227" s="87">
        <v>125.7217937219731</v>
      </c>
      <c r="DA227" s="171" t="s">
        <v>933</v>
      </c>
    </row>
    <row r="228" spans="1:105" ht="11.45" customHeight="1" x14ac:dyDescent="0.25">
      <c r="A228" s="111" t="s">
        <v>111</v>
      </c>
      <c r="B228" s="87">
        <v>208.24675695495426</v>
      </c>
      <c r="C228" s="87">
        <v>210.56901590035562</v>
      </c>
      <c r="D228" s="87">
        <v>213.1796887069975</v>
      </c>
      <c r="E228" s="87">
        <v>211.8536873474234</v>
      </c>
      <c r="F228" s="87">
        <v>219.50316532044658</v>
      </c>
      <c r="G228" s="87">
        <v>217.89818705145572</v>
      </c>
      <c r="H228" s="87">
        <v>220.90149402690656</v>
      </c>
      <c r="I228" s="87">
        <v>217.90163121083125</v>
      </c>
      <c r="J228" s="87">
        <v>202.27203596473532</v>
      </c>
      <c r="K228" s="87">
        <v>182.06170874920187</v>
      </c>
      <c r="L228" s="87">
        <v>172.7590342759319</v>
      </c>
      <c r="M228" s="87">
        <v>167.98734312741502</v>
      </c>
      <c r="N228" s="87">
        <v>164.03570959785048</v>
      </c>
      <c r="O228" s="87">
        <v>158.3247129836746</v>
      </c>
      <c r="P228" s="87">
        <v>152.87142403447291</v>
      </c>
      <c r="Q228" s="87">
        <v>149.37081348594177</v>
      </c>
      <c r="R228" s="87">
        <v>145.50901706627525</v>
      </c>
      <c r="S228" s="87">
        <v>145.94669981452452</v>
      </c>
      <c r="T228" s="87">
        <v>150.5488721804511</v>
      </c>
      <c r="U228" s="87">
        <v>151.0569662852597</v>
      </c>
      <c r="V228" s="87">
        <v>146.94128730013239</v>
      </c>
      <c r="W228" s="87">
        <v>136.80938416422291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171.97469232670068</v>
      </c>
      <c r="J229" s="87">
        <v>0</v>
      </c>
      <c r="K229" s="87">
        <v>146.88683303517865</v>
      </c>
      <c r="L229" s="87">
        <v>140.52296401955874</v>
      </c>
      <c r="M229" s="87">
        <v>142.07326976688509</v>
      </c>
      <c r="N229" s="87">
        <v>139.12088117342097</v>
      </c>
      <c r="O229" s="87">
        <v>135.6237072556263</v>
      </c>
      <c r="P229" s="87">
        <v>128.2751804306227</v>
      </c>
      <c r="Q229" s="87">
        <v>134.99737001960784</v>
      </c>
      <c r="R229" s="87">
        <v>0</v>
      </c>
      <c r="S229" s="87">
        <v>131.85229565488984</v>
      </c>
      <c r="T229" s="87">
        <v>133.06357634962518</v>
      </c>
      <c r="U229" s="87">
        <v>134.61590829086052</v>
      </c>
      <c r="V229" s="87">
        <v>130.70354807055102</v>
      </c>
      <c r="W229" s="87">
        <v>114.54019292604499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80.781595923912079</v>
      </c>
      <c r="P231" s="87">
        <v>44.614010687509662</v>
      </c>
      <c r="Q231" s="87">
        <v>50.935931382991825</v>
      </c>
      <c r="R231" s="87">
        <v>52.412546143565173</v>
      </c>
      <c r="S231" s="87">
        <v>49.662671777578261</v>
      </c>
      <c r="T231" s="87">
        <v>50.296690964662822</v>
      </c>
      <c r="U231" s="87">
        <v>50.707455429497578</v>
      </c>
      <c r="V231" s="87">
        <v>41.251499400239901</v>
      </c>
      <c r="W231" s="87">
        <v>39.542313664596271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1468.428779006794</v>
      </c>
      <c r="C233" s="116">
        <v>1464.0015787543755</v>
      </c>
      <c r="D233" s="116">
        <v>1459.2440527209244</v>
      </c>
      <c r="E233" s="116">
        <v>1464.4743181428635</v>
      </c>
      <c r="F233" s="116">
        <v>1464.4743181428635</v>
      </c>
      <c r="G233" s="116">
        <v>1464.4743181428635</v>
      </c>
      <c r="H233" s="116">
        <v>1451.8987495717242</v>
      </c>
      <c r="I233" s="116">
        <v>1454.0629385134707</v>
      </c>
      <c r="J233" s="116">
        <v>1446.0662133809847</v>
      </c>
      <c r="K233" s="116">
        <v>1424.3830504712002</v>
      </c>
      <c r="L233" s="116">
        <v>1394.0390203984555</v>
      </c>
      <c r="M233" s="116">
        <v>1376.3656233587928</v>
      </c>
      <c r="N233" s="116">
        <v>1369.176513428067</v>
      </c>
      <c r="O233" s="116">
        <v>1354.1494195522282</v>
      </c>
      <c r="P233" s="116">
        <v>1348.3272039642145</v>
      </c>
      <c r="Q233" s="116">
        <v>1340.2449215971562</v>
      </c>
      <c r="R233" s="116">
        <v>1333.0122985003227</v>
      </c>
      <c r="S233" s="116">
        <v>1323.8598018290543</v>
      </c>
      <c r="T233" s="116">
        <v>1320.7348337813437</v>
      </c>
      <c r="U233" s="116">
        <v>1311.8727892896197</v>
      </c>
      <c r="V233" s="116">
        <v>1296.1441182149083</v>
      </c>
      <c r="W233" s="116">
        <v>1301.898939384916</v>
      </c>
      <c r="DA233" s="176" t="s">
        <v>939</v>
      </c>
    </row>
    <row r="234" spans="1:105" ht="11.45" customHeight="1" x14ac:dyDescent="0.25">
      <c r="A234" s="111" t="s">
        <v>110</v>
      </c>
      <c r="B234" s="101">
        <v>415.82363050922936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400.14714757512883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365.66806426595781</v>
      </c>
      <c r="T234" s="101">
        <v>0</v>
      </c>
      <c r="U234" s="101">
        <v>362.33197984901983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1469.3059499638753</v>
      </c>
      <c r="C235" s="101">
        <v>1464.5311688539712</v>
      </c>
      <c r="D235" s="101">
        <v>1459.2440527209244</v>
      </c>
      <c r="E235" s="101">
        <v>1464.4743181428635</v>
      </c>
      <c r="F235" s="101">
        <v>1464.4743181428635</v>
      </c>
      <c r="G235" s="101">
        <v>1464.4743181428635</v>
      </c>
      <c r="H235" s="101">
        <v>1451.8987495717242</v>
      </c>
      <c r="I235" s="101">
        <v>1455.0064620505684</v>
      </c>
      <c r="J235" s="101">
        <v>1447.3225697783616</v>
      </c>
      <c r="K235" s="101">
        <v>1424.3830504712002</v>
      </c>
      <c r="L235" s="101">
        <v>1394.0390203984555</v>
      </c>
      <c r="M235" s="101">
        <v>1376.3656233587928</v>
      </c>
      <c r="N235" s="101">
        <v>1369.176513428067</v>
      </c>
      <c r="O235" s="101">
        <v>1354.1494195522284</v>
      </c>
      <c r="P235" s="101">
        <v>1348.3272039642145</v>
      </c>
      <c r="Q235" s="101">
        <v>1340.2449215971562</v>
      </c>
      <c r="R235" s="101">
        <v>1333.0122985003227</v>
      </c>
      <c r="S235" s="101">
        <v>1326.5363150624707</v>
      </c>
      <c r="T235" s="101">
        <v>1320.7348337813437</v>
      </c>
      <c r="U235" s="101">
        <v>1315.5351970516017</v>
      </c>
      <c r="V235" s="101">
        <v>1310.8730286491686</v>
      </c>
      <c r="W235" s="101">
        <v>1306.6912054194618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1039.2703188786054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257.91028114481622</v>
      </c>
      <c r="C240" s="152">
        <v>260.75467226058635</v>
      </c>
      <c r="D240" s="152">
        <v>263.76905800328348</v>
      </c>
      <c r="E240" s="152">
        <v>262.31085507782018</v>
      </c>
      <c r="F240" s="152">
        <v>271.75043129773712</v>
      </c>
      <c r="G240" s="152">
        <v>269.8465410228643</v>
      </c>
      <c r="H240" s="152">
        <v>273.5845007235871</v>
      </c>
      <c r="I240" s="152">
        <v>269.9680268483088</v>
      </c>
      <c r="J240" s="152">
        <v>250.58774602015345</v>
      </c>
      <c r="K240" s="152">
        <v>225.3901979314015</v>
      </c>
      <c r="L240" s="152">
        <v>213.98286550799742</v>
      </c>
      <c r="M240" s="152">
        <v>207.39963700101404</v>
      </c>
      <c r="N240" s="152">
        <v>202.27356572533748</v>
      </c>
      <c r="O240" s="152">
        <v>202.37612757038062</v>
      </c>
      <c r="P240" s="152">
        <v>195.4519856641875</v>
      </c>
      <c r="Q240" s="152">
        <v>194.4270284809063</v>
      </c>
      <c r="R240" s="152">
        <v>188.85656899903316</v>
      </c>
      <c r="S240" s="152">
        <v>180.51321567832795</v>
      </c>
      <c r="T240" s="152">
        <v>180.08508366841784</v>
      </c>
      <c r="U240" s="152">
        <v>176.9279749437855</v>
      </c>
      <c r="V240" s="152">
        <v>185.44830401968443</v>
      </c>
      <c r="W240" s="152">
        <v>188.77501726761892</v>
      </c>
      <c r="DA240" s="174" t="s">
        <v>945</v>
      </c>
    </row>
    <row r="241" spans="1:105" ht="11.45" customHeight="1" x14ac:dyDescent="0.25">
      <c r="A241" s="111" t="s">
        <v>110</v>
      </c>
      <c r="B241" s="87">
        <v>215.54690649572962</v>
      </c>
      <c r="C241" s="87">
        <v>212.77359916675556</v>
      </c>
      <c r="D241" s="87">
        <v>209.73397632151631</v>
      </c>
      <c r="E241" s="87">
        <v>212.77359916675564</v>
      </c>
      <c r="F241" s="87">
        <v>212.77359916675564</v>
      </c>
      <c r="G241" s="87">
        <v>212.77359916675564</v>
      </c>
      <c r="H241" s="87">
        <v>205.6487232175146</v>
      </c>
      <c r="I241" s="87">
        <v>207.42082333628917</v>
      </c>
      <c r="J241" s="87">
        <v>203.10759851889446</v>
      </c>
      <c r="K241" s="87">
        <v>190.81536373274645</v>
      </c>
      <c r="L241" s="87">
        <v>175.53214006688293</v>
      </c>
      <c r="M241" s="87">
        <v>166.95681936146261</v>
      </c>
      <c r="N241" s="87">
        <v>191.65500998664905</v>
      </c>
      <c r="O241" s="87">
        <v>156.57242121745941</v>
      </c>
      <c r="P241" s="87">
        <v>176.58543746330008</v>
      </c>
      <c r="Q241" s="87">
        <v>154.21794871794873</v>
      </c>
      <c r="R241" s="87">
        <v>186.47422196124489</v>
      </c>
      <c r="S241" s="87">
        <v>250.22810508688366</v>
      </c>
      <c r="T241" s="87">
        <v>155.85299906483118</v>
      </c>
      <c r="U241" s="87">
        <v>160.92307692307691</v>
      </c>
      <c r="V241" s="87">
        <v>136.38461538461539</v>
      </c>
      <c r="W241" s="87">
        <v>154.85964912280701</v>
      </c>
      <c r="DA241" s="171" t="s">
        <v>946</v>
      </c>
    </row>
    <row r="242" spans="1:105" ht="11.45" customHeight="1" x14ac:dyDescent="0.25">
      <c r="A242" s="111" t="s">
        <v>111</v>
      </c>
      <c r="B242" s="87">
        <v>258.17119451536257</v>
      </c>
      <c r="C242" s="87">
        <v>261.05018468392473</v>
      </c>
      <c r="D242" s="87">
        <v>264.28673216651191</v>
      </c>
      <c r="E242" s="87">
        <v>262.64283931585754</v>
      </c>
      <c r="F242" s="87">
        <v>272.12617963093157</v>
      </c>
      <c r="G242" s="87">
        <v>270.13642880390574</v>
      </c>
      <c r="H242" s="87">
        <v>273.85973936434908</v>
      </c>
      <c r="I242" s="87">
        <v>270.14069865546588</v>
      </c>
      <c r="J242" s="87">
        <v>250.76411227554422</v>
      </c>
      <c r="K242" s="87">
        <v>225.70862332063453</v>
      </c>
      <c r="L242" s="87">
        <v>214.17575425669261</v>
      </c>
      <c r="M242" s="87">
        <v>208.26011253586086</v>
      </c>
      <c r="N242" s="87">
        <v>203.36112652747332</v>
      </c>
      <c r="O242" s="87">
        <v>202.59806093946449</v>
      </c>
      <c r="P242" s="87">
        <v>195.65139548653147</v>
      </c>
      <c r="Q242" s="87">
        <v>194.71427450249257</v>
      </c>
      <c r="R242" s="87">
        <v>188.9746087257312</v>
      </c>
      <c r="S242" s="87">
        <v>180.91224624183346</v>
      </c>
      <c r="T242" s="87">
        <v>181.1219600937593</v>
      </c>
      <c r="U242" s="87">
        <v>180.93440256615881</v>
      </c>
      <c r="V242" s="87">
        <v>196.95211181710232</v>
      </c>
      <c r="W242" s="87">
        <v>196.41428299371549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177.29705079911366</v>
      </c>
      <c r="P243" s="87">
        <v>177.29705079911366</v>
      </c>
      <c r="Q243" s="87">
        <v>0</v>
      </c>
      <c r="R243" s="87">
        <v>0</v>
      </c>
      <c r="S243" s="87">
        <v>135.24582721214438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768.07797224685146</v>
      </c>
      <c r="C246" s="116">
        <v>763.3704289029896</v>
      </c>
      <c r="D246" s="116">
        <v>761.67427305544584</v>
      </c>
      <c r="E246" s="116">
        <v>755.04082308668183</v>
      </c>
      <c r="F246" s="116">
        <v>756.43172683863554</v>
      </c>
      <c r="G246" s="116">
        <v>742.52196419090637</v>
      </c>
      <c r="H246" s="116">
        <v>734.02287742461283</v>
      </c>
      <c r="I246" s="116">
        <v>726.77242717317426</v>
      </c>
      <c r="J246" s="116">
        <v>713.25613202389559</v>
      </c>
      <c r="K246" s="116">
        <v>703.04099825347726</v>
      </c>
      <c r="L246" s="116">
        <v>705.35656444387541</v>
      </c>
      <c r="M246" s="116">
        <v>699.21745635145817</v>
      </c>
      <c r="N246" s="116">
        <v>667.56983872601393</v>
      </c>
      <c r="O246" s="116">
        <v>657.27063826478161</v>
      </c>
      <c r="P246" s="116">
        <v>643.44743390276676</v>
      </c>
      <c r="Q246" s="116">
        <v>633.47037638025074</v>
      </c>
      <c r="R246" s="116">
        <v>612.19896804161351</v>
      </c>
      <c r="S246" s="116">
        <v>604.3144854961746</v>
      </c>
      <c r="T246" s="116">
        <v>598.78625309668121</v>
      </c>
      <c r="U246" s="116">
        <v>587.93603561158363</v>
      </c>
      <c r="V246" s="116">
        <v>588.08100034706979</v>
      </c>
      <c r="W246" s="116">
        <v>582.84440964084502</v>
      </c>
      <c r="DA246" s="176" t="s">
        <v>951</v>
      </c>
    </row>
    <row r="247" spans="1:105" ht="11.45" customHeight="1" x14ac:dyDescent="0.25">
      <c r="A247" s="128" t="s">
        <v>27</v>
      </c>
      <c r="B247" s="101">
        <v>713.99127432008925</v>
      </c>
      <c r="C247" s="101">
        <v>710.70627859652302</v>
      </c>
      <c r="D247" s="101">
        <v>707.07400651030434</v>
      </c>
      <c r="E247" s="101">
        <v>702.55115166726057</v>
      </c>
      <c r="F247" s="101">
        <v>697.14920672673441</v>
      </c>
      <c r="G247" s="101">
        <v>690.88180124624785</v>
      </c>
      <c r="H247" s="101">
        <v>683.76461668795901</v>
      </c>
      <c r="I247" s="101">
        <v>675.8152898278255</v>
      </c>
      <c r="J247" s="101">
        <v>667.05330565797522</v>
      </c>
      <c r="K247" s="101">
        <v>657.4998809577055</v>
      </c>
      <c r="L247" s="101">
        <v>647.17783981548394</v>
      </c>
      <c r="M247" s="101">
        <v>636.11148240430418</v>
      </c>
      <c r="N247" s="101">
        <v>624.32644836319525</v>
      </c>
      <c r="O247" s="101">
        <v>611.8495761535271</v>
      </c>
      <c r="P247" s="101">
        <v>598.70875972653823</v>
      </c>
      <c r="Q247" s="101">
        <v>584.93280383875879</v>
      </c>
      <c r="R247" s="101">
        <v>572.5423547271771</v>
      </c>
      <c r="S247" s="101">
        <v>563.86904034906979</v>
      </c>
      <c r="T247" s="101">
        <v>554.76206025205727</v>
      </c>
      <c r="U247" s="101">
        <v>543.6313068001532</v>
      </c>
      <c r="V247" s="101">
        <v>549.9866845351138</v>
      </c>
      <c r="W247" s="101">
        <v>544.48681768976257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0</v>
      </c>
      <c r="K248" s="88">
        <v>0</v>
      </c>
      <c r="L248" s="88">
        <v>888.27077026061306</v>
      </c>
      <c r="M248" s="88">
        <v>874.1828700569024</v>
      </c>
      <c r="N248" s="88">
        <v>0</v>
      </c>
      <c r="O248" s="88">
        <v>843.29652676318142</v>
      </c>
      <c r="P248" s="88">
        <v>826.56776014737818</v>
      </c>
      <c r="Q248" s="88">
        <v>809.03043647828326</v>
      </c>
      <c r="R248" s="88">
        <v>0</v>
      </c>
      <c r="S248" s="88">
        <v>770.5379484876006</v>
      </c>
      <c r="T248" s="88">
        <v>753.89560809162901</v>
      </c>
      <c r="U248" s="88">
        <v>733.55496982988586</v>
      </c>
      <c r="V248" s="88">
        <v>0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1389</v>
      </c>
      <c r="C4" s="28">
        <f t="shared" ref="C4:V4" si="1">SUM(C5,C6,C9)</f>
        <v>1515</v>
      </c>
      <c r="D4" s="28">
        <f t="shared" si="1"/>
        <v>1628</v>
      </c>
      <c r="E4" s="28">
        <f t="shared" si="1"/>
        <v>1601</v>
      </c>
      <c r="F4" s="28">
        <f t="shared" si="1"/>
        <v>1632</v>
      </c>
      <c r="G4" s="28">
        <f t="shared" si="1"/>
        <v>1891</v>
      </c>
      <c r="H4" s="28">
        <f t="shared" si="1"/>
        <v>1985.11</v>
      </c>
      <c r="I4" s="28">
        <f t="shared" si="1"/>
        <v>2182</v>
      </c>
      <c r="J4" s="28">
        <f t="shared" si="1"/>
        <v>2117</v>
      </c>
      <c r="K4" s="28">
        <f t="shared" si="1"/>
        <v>1815</v>
      </c>
      <c r="L4" s="28">
        <f t="shared" si="1"/>
        <v>1809</v>
      </c>
      <c r="M4" s="28">
        <f t="shared" si="1"/>
        <v>1776</v>
      </c>
      <c r="N4" s="28">
        <f t="shared" si="1"/>
        <v>1722</v>
      </c>
      <c r="O4" s="28">
        <f t="shared" si="1"/>
        <v>1718.82473</v>
      </c>
      <c r="P4" s="28">
        <f t="shared" si="1"/>
        <v>1888.072934</v>
      </c>
      <c r="Q4" s="28">
        <f t="shared" si="1"/>
        <v>2097.6676819999998</v>
      </c>
      <c r="R4" s="28">
        <f t="shared" si="1"/>
        <v>2174.5483549999999</v>
      </c>
      <c r="S4" s="28">
        <f t="shared" si="1"/>
        <v>2306.8992669999998</v>
      </c>
      <c r="T4" s="28">
        <f t="shared" si="1"/>
        <v>2598</v>
      </c>
      <c r="U4" s="28">
        <f t="shared" si="1"/>
        <v>2704.0478929999999</v>
      </c>
      <c r="V4" s="28">
        <f t="shared" si="1"/>
        <v>954.308179</v>
      </c>
      <c r="W4" s="28">
        <f t="shared" ref="W4" si="2">SUM(W5,W6,W9)</f>
        <v>991.65362000000005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50</v>
      </c>
      <c r="G5" s="108">
        <v>110</v>
      </c>
      <c r="H5" s="108">
        <v>113.10999999999999</v>
      </c>
      <c r="I5" s="108">
        <v>175</v>
      </c>
      <c r="J5" s="108">
        <v>141</v>
      </c>
      <c r="K5" s="108">
        <v>132</v>
      </c>
      <c r="L5" s="108">
        <v>131</v>
      </c>
      <c r="M5" s="108">
        <v>138</v>
      </c>
      <c r="N5" s="108">
        <v>144.00000000000003</v>
      </c>
      <c r="O5" s="108">
        <v>149.82472999999999</v>
      </c>
      <c r="P5" s="108">
        <v>160.072934</v>
      </c>
      <c r="Q5" s="108">
        <v>179.66768199999999</v>
      </c>
      <c r="R5" s="108">
        <v>183.54835499999999</v>
      </c>
      <c r="S5" s="108">
        <v>184.89926700000001</v>
      </c>
      <c r="T5" s="108">
        <v>317</v>
      </c>
      <c r="U5" s="108">
        <v>305.04789299999999</v>
      </c>
      <c r="V5" s="108">
        <v>120.308179</v>
      </c>
      <c r="W5" s="108">
        <v>121.65362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1389</v>
      </c>
      <c r="C6" s="110">
        <f t="shared" ref="C6:V6" si="4">SUM(C7:C8)</f>
        <v>1515</v>
      </c>
      <c r="D6" s="110">
        <f t="shared" si="4"/>
        <v>1628</v>
      </c>
      <c r="E6" s="110">
        <f t="shared" si="4"/>
        <v>1601</v>
      </c>
      <c r="F6" s="110">
        <f t="shared" si="4"/>
        <v>1582</v>
      </c>
      <c r="G6" s="110">
        <f t="shared" si="4"/>
        <v>1781</v>
      </c>
      <c r="H6" s="110">
        <f t="shared" si="4"/>
        <v>1872</v>
      </c>
      <c r="I6" s="110">
        <f t="shared" si="4"/>
        <v>2007.0000000000002</v>
      </c>
      <c r="J6" s="110">
        <f t="shared" si="4"/>
        <v>1976</v>
      </c>
      <c r="K6" s="110">
        <f t="shared" si="4"/>
        <v>1683</v>
      </c>
      <c r="L6" s="110">
        <f t="shared" si="4"/>
        <v>1678</v>
      </c>
      <c r="M6" s="110">
        <f t="shared" si="4"/>
        <v>1638</v>
      </c>
      <c r="N6" s="110">
        <f t="shared" si="4"/>
        <v>1578</v>
      </c>
      <c r="O6" s="110">
        <f t="shared" si="4"/>
        <v>1569</v>
      </c>
      <c r="P6" s="110">
        <f t="shared" si="4"/>
        <v>1728</v>
      </c>
      <c r="Q6" s="110">
        <f t="shared" si="4"/>
        <v>1918</v>
      </c>
      <c r="R6" s="110">
        <f t="shared" si="4"/>
        <v>1991</v>
      </c>
      <c r="S6" s="110">
        <f t="shared" si="4"/>
        <v>2122</v>
      </c>
      <c r="T6" s="110">
        <f t="shared" si="4"/>
        <v>2281</v>
      </c>
      <c r="U6" s="110">
        <f t="shared" si="4"/>
        <v>2399</v>
      </c>
      <c r="V6" s="110">
        <f t="shared" si="4"/>
        <v>834</v>
      </c>
      <c r="W6" s="110">
        <f t="shared" ref="W6" si="5">SUM(W7:W8)</f>
        <v>870</v>
      </c>
      <c r="DA6" s="176" t="s">
        <v>377</v>
      </c>
    </row>
    <row r="7" spans="1:105" ht="11.45" customHeight="1" x14ac:dyDescent="0.25">
      <c r="A7" s="111" t="s">
        <v>90</v>
      </c>
      <c r="B7" s="84">
        <v>1212.4690547862733</v>
      </c>
      <c r="C7" s="84">
        <v>1337.5864927761081</v>
      </c>
      <c r="D7" s="84">
        <v>1401.8916497730586</v>
      </c>
      <c r="E7" s="84">
        <v>1390.0417728072835</v>
      </c>
      <c r="F7" s="84">
        <v>1379.1461412886667</v>
      </c>
      <c r="G7" s="84">
        <v>1603.4600091520738</v>
      </c>
      <c r="H7" s="84">
        <v>1707.8043182429678</v>
      </c>
      <c r="I7" s="84">
        <v>1952.5333377468189</v>
      </c>
      <c r="J7" s="84">
        <v>1900.8347473586352</v>
      </c>
      <c r="K7" s="84">
        <v>1597.7425744120424</v>
      </c>
      <c r="L7" s="84">
        <v>1583.103362411227</v>
      </c>
      <c r="M7" s="84">
        <v>1562.8703868035034</v>
      </c>
      <c r="N7" s="84">
        <v>1514.7766286465915</v>
      </c>
      <c r="O7" s="84">
        <v>1510.4626781997642</v>
      </c>
      <c r="P7" s="84">
        <v>1668.671771772837</v>
      </c>
      <c r="Q7" s="84">
        <v>1868.8408525894029</v>
      </c>
      <c r="R7" s="84">
        <v>1938.655329749206</v>
      </c>
      <c r="S7" s="84">
        <v>2074.5048323800424</v>
      </c>
      <c r="T7" s="84">
        <v>2237.2413892468339</v>
      </c>
      <c r="U7" s="84">
        <v>2355.7309394589397</v>
      </c>
      <c r="V7" s="84">
        <v>800.26675937330685</v>
      </c>
      <c r="W7" s="84">
        <v>836.28819492156947</v>
      </c>
      <c r="DA7" s="171" t="s">
        <v>1029</v>
      </c>
    </row>
    <row r="8" spans="1:105" ht="11.45" customHeight="1" x14ac:dyDescent="0.25">
      <c r="A8" s="111" t="s">
        <v>93</v>
      </c>
      <c r="B8" s="84">
        <v>176.53094521372668</v>
      </c>
      <c r="C8" s="84">
        <v>177.41350722389188</v>
      </c>
      <c r="D8" s="84">
        <v>226.10835022694141</v>
      </c>
      <c r="E8" s="84">
        <v>210.95822719271655</v>
      </c>
      <c r="F8" s="84">
        <v>202.85385871133326</v>
      </c>
      <c r="G8" s="84">
        <v>177.53999084792622</v>
      </c>
      <c r="H8" s="84">
        <v>164.19568175703216</v>
      </c>
      <c r="I8" s="84">
        <v>54.466662253181312</v>
      </c>
      <c r="J8" s="84">
        <v>75.165252641364759</v>
      </c>
      <c r="K8" s="84">
        <v>85.257425587957641</v>
      </c>
      <c r="L8" s="84">
        <v>94.896637588773046</v>
      </c>
      <c r="M8" s="84">
        <v>75.129613196496621</v>
      </c>
      <c r="N8" s="84">
        <v>63.223371353408538</v>
      </c>
      <c r="O8" s="84">
        <v>58.537321800235759</v>
      </c>
      <c r="P8" s="84">
        <v>59.328228227162981</v>
      </c>
      <c r="Q8" s="84">
        <v>49.159147410597143</v>
      </c>
      <c r="R8" s="84">
        <v>52.344670250794024</v>
      </c>
      <c r="S8" s="84">
        <v>47.495167619957556</v>
      </c>
      <c r="T8" s="84">
        <v>43.758610753166067</v>
      </c>
      <c r="U8" s="84">
        <v>43.269060541060298</v>
      </c>
      <c r="V8" s="84">
        <v>33.733240626693146</v>
      </c>
      <c r="W8" s="84">
        <v>33.71180507843053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491.00000000000006</v>
      </c>
      <c r="C10" s="28">
        <f t="shared" ref="C10:V10" si="7">SUM(C11:C12)</f>
        <v>516</v>
      </c>
      <c r="D10" s="28">
        <f t="shared" si="7"/>
        <v>426</v>
      </c>
      <c r="E10" s="28">
        <f t="shared" si="7"/>
        <v>398</v>
      </c>
      <c r="F10" s="28">
        <f t="shared" si="7"/>
        <v>399</v>
      </c>
      <c r="G10" s="28">
        <f t="shared" si="7"/>
        <v>303</v>
      </c>
      <c r="H10" s="28">
        <f t="shared" si="7"/>
        <v>205</v>
      </c>
      <c r="I10" s="28">
        <f t="shared" si="7"/>
        <v>129</v>
      </c>
      <c r="J10" s="28">
        <f t="shared" si="7"/>
        <v>103</v>
      </c>
      <c r="K10" s="28">
        <f t="shared" si="7"/>
        <v>79</v>
      </c>
      <c r="L10" s="28">
        <f t="shared" si="7"/>
        <v>92</v>
      </c>
      <c r="M10" s="28">
        <f t="shared" si="7"/>
        <v>105</v>
      </c>
      <c r="N10" s="28">
        <f t="shared" si="7"/>
        <v>91</v>
      </c>
      <c r="O10" s="28">
        <f t="shared" si="7"/>
        <v>99</v>
      </c>
      <c r="P10" s="28">
        <f t="shared" si="7"/>
        <v>100</v>
      </c>
      <c r="Q10" s="28">
        <f t="shared" si="7"/>
        <v>96</v>
      </c>
      <c r="R10" s="28">
        <f t="shared" si="7"/>
        <v>101</v>
      </c>
      <c r="S10" s="28">
        <f t="shared" si="7"/>
        <v>100</v>
      </c>
      <c r="T10" s="28">
        <f t="shared" si="7"/>
        <v>89</v>
      </c>
      <c r="U10" s="28">
        <f t="shared" si="7"/>
        <v>72</v>
      </c>
      <c r="V10" s="28">
        <f t="shared" si="7"/>
        <v>74</v>
      </c>
      <c r="W10" s="28">
        <f t="shared" ref="W10" si="8">SUM(W11:W12)</f>
        <v>70</v>
      </c>
      <c r="DA10" s="173" t="s">
        <v>383</v>
      </c>
    </row>
    <row r="11" spans="1:105" ht="11.45" customHeight="1" x14ac:dyDescent="0.25">
      <c r="A11" s="83" t="s">
        <v>90</v>
      </c>
      <c r="B11" s="84">
        <v>491.00000000000006</v>
      </c>
      <c r="C11" s="84">
        <v>516</v>
      </c>
      <c r="D11" s="84">
        <v>422.12374886260244</v>
      </c>
      <c r="E11" s="84">
        <v>394.37852593266609</v>
      </c>
      <c r="F11" s="84">
        <v>378.70982671030441</v>
      </c>
      <c r="G11" s="84">
        <v>280.62119901517246</v>
      </c>
      <c r="H11" s="84">
        <v>190.62544570402378</v>
      </c>
      <c r="I11" s="84">
        <v>121.98755832437158</v>
      </c>
      <c r="J11" s="84">
        <v>97.39328139372914</v>
      </c>
      <c r="K11" s="84">
        <v>75.05374181561875</v>
      </c>
      <c r="L11" s="84">
        <v>87.232486599390882</v>
      </c>
      <c r="M11" s="84">
        <v>99.595809968009149</v>
      </c>
      <c r="N11" s="84">
        <v>86.141486582033252</v>
      </c>
      <c r="O11" s="84">
        <v>94.238918186849929</v>
      </c>
      <c r="P11" s="84">
        <v>95.057039360364584</v>
      </c>
      <c r="Q11" s="84">
        <v>91.028226229118161</v>
      </c>
      <c r="R11" s="84">
        <v>95.248403812795985</v>
      </c>
      <c r="S11" s="84">
        <v>94.420297072714888</v>
      </c>
      <c r="T11" s="84">
        <v>83.372944602714881</v>
      </c>
      <c r="U11" s="84">
        <v>67.246190767865144</v>
      </c>
      <c r="V11" s="84">
        <v>68.062432398138057</v>
      </c>
      <c r="W11" s="84">
        <v>64.776168416511837</v>
      </c>
      <c r="DA11" s="171" t="s">
        <v>1031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3.8762511373975599</v>
      </c>
      <c r="E12" s="86">
        <v>3.6214740673339065</v>
      </c>
      <c r="F12" s="86">
        <v>20.290173289695588</v>
      </c>
      <c r="G12" s="86">
        <v>22.378800984827535</v>
      </c>
      <c r="H12" s="86">
        <v>14.374554295976225</v>
      </c>
      <c r="I12" s="86">
        <v>7.0124416756284234</v>
      </c>
      <c r="J12" s="86">
        <v>5.6067186062708601</v>
      </c>
      <c r="K12" s="86">
        <v>3.9462581843812501</v>
      </c>
      <c r="L12" s="86">
        <v>4.7675134006091184</v>
      </c>
      <c r="M12" s="86">
        <v>5.4041900319908507</v>
      </c>
      <c r="N12" s="86">
        <v>4.8585134179667477</v>
      </c>
      <c r="O12" s="86">
        <v>4.7610818131500707</v>
      </c>
      <c r="P12" s="86">
        <v>4.942960639635416</v>
      </c>
      <c r="Q12" s="86">
        <v>4.971773770881839</v>
      </c>
      <c r="R12" s="86">
        <v>5.7515961872040151</v>
      </c>
      <c r="S12" s="86">
        <v>5.579702927285112</v>
      </c>
      <c r="T12" s="86">
        <v>5.6270553972851189</v>
      </c>
      <c r="U12" s="86">
        <v>4.7538092321348557</v>
      </c>
      <c r="V12" s="86">
        <v>5.937567601861943</v>
      </c>
      <c r="W12" s="86">
        <v>5.2238315834881632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12.513622058197871</v>
      </c>
      <c r="C14" s="62">
        <f t="shared" ref="C14:V14" si="10">C15+C21</f>
        <v>13.665646787971863</v>
      </c>
      <c r="D14" s="62">
        <f t="shared" si="10"/>
        <v>12.525750067825212</v>
      </c>
      <c r="E14" s="62">
        <f t="shared" si="10"/>
        <v>14.073268375318937</v>
      </c>
      <c r="F14" s="62">
        <f t="shared" si="10"/>
        <v>16.703500684646212</v>
      </c>
      <c r="G14" s="62">
        <f t="shared" si="10"/>
        <v>16.843211378901934</v>
      </c>
      <c r="H14" s="62">
        <f t="shared" si="10"/>
        <v>17.174145071717607</v>
      </c>
      <c r="I14" s="62">
        <f t="shared" si="10"/>
        <v>19.356189103475266</v>
      </c>
      <c r="J14" s="62">
        <f t="shared" si="10"/>
        <v>20.320015762715915</v>
      </c>
      <c r="K14" s="62">
        <f t="shared" si="10"/>
        <v>19.048299136460948</v>
      </c>
      <c r="L14" s="62">
        <f t="shared" si="10"/>
        <v>19.601884864546101</v>
      </c>
      <c r="M14" s="62">
        <f t="shared" si="10"/>
        <v>20.430029493927165</v>
      </c>
      <c r="N14" s="62">
        <f t="shared" si="10"/>
        <v>21.119978365681643</v>
      </c>
      <c r="O14" s="62">
        <f t="shared" si="10"/>
        <v>21.097827936888386</v>
      </c>
      <c r="P14" s="62">
        <f t="shared" si="10"/>
        <v>19.730300339524742</v>
      </c>
      <c r="Q14" s="62">
        <f t="shared" si="10"/>
        <v>22.095202133553823</v>
      </c>
      <c r="R14" s="62">
        <f t="shared" si="10"/>
        <v>23.893280721367955</v>
      </c>
      <c r="S14" s="62">
        <f t="shared" si="10"/>
        <v>25.634943774477406</v>
      </c>
      <c r="T14" s="62">
        <f t="shared" si="10"/>
        <v>27.977114050642935</v>
      </c>
      <c r="U14" s="62">
        <f t="shared" si="10"/>
        <v>29.75956624872352</v>
      </c>
      <c r="V14" s="62">
        <f t="shared" si="10"/>
        <v>24.666094021110343</v>
      </c>
      <c r="W14" s="62">
        <f t="shared" ref="W14" si="11">W15+W21</f>
        <v>26.740302339893766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11.530372058534091</v>
      </c>
      <c r="C15" s="29">
        <f t="shared" ref="C15:V15" si="13">SUM(C16,C17,C20)</f>
        <v>12.632396788314127</v>
      </c>
      <c r="D15" s="29">
        <f t="shared" si="13"/>
        <v>11.621166131507493</v>
      </c>
      <c r="E15" s="29">
        <f t="shared" si="13"/>
        <v>13.228358210634205</v>
      </c>
      <c r="F15" s="29">
        <f t="shared" si="13"/>
        <v>15.856637571721324</v>
      </c>
      <c r="G15" s="29">
        <f t="shared" si="13"/>
        <v>16.199474014976253</v>
      </c>
      <c r="H15" s="29">
        <f t="shared" si="13"/>
        <v>16.741071609302541</v>
      </c>
      <c r="I15" s="29">
        <f t="shared" si="13"/>
        <v>19.08046640313345</v>
      </c>
      <c r="J15" s="29">
        <f t="shared" si="13"/>
        <v>20.103003708628528</v>
      </c>
      <c r="K15" s="29">
        <f t="shared" si="13"/>
        <v>18.902292826085581</v>
      </c>
      <c r="L15" s="29">
        <f t="shared" si="13"/>
        <v>19.418877397320291</v>
      </c>
      <c r="M15" s="29">
        <f t="shared" si="13"/>
        <v>20.219029493927167</v>
      </c>
      <c r="N15" s="29">
        <f t="shared" si="13"/>
        <v>20.941978365681642</v>
      </c>
      <c r="O15" s="29">
        <f t="shared" si="13"/>
        <v>20.904827936888385</v>
      </c>
      <c r="P15" s="29">
        <f t="shared" si="13"/>
        <v>19.526300339524742</v>
      </c>
      <c r="Q15" s="29">
        <f t="shared" si="13"/>
        <v>21.899202133553821</v>
      </c>
      <c r="R15" s="29">
        <f t="shared" si="13"/>
        <v>23.686780721367956</v>
      </c>
      <c r="S15" s="29">
        <f t="shared" si="13"/>
        <v>25.433943774477406</v>
      </c>
      <c r="T15" s="29">
        <f t="shared" si="13"/>
        <v>27.798114050642937</v>
      </c>
      <c r="U15" s="29">
        <f t="shared" si="13"/>
        <v>29.61006624872352</v>
      </c>
      <c r="V15" s="29">
        <f t="shared" si="13"/>
        <v>24.516094021110344</v>
      </c>
      <c r="W15" s="29">
        <f t="shared" ref="W15" si="14">SUM(W16,W17,W20)</f>
        <v>26.599291584373692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0.6347132193939673</v>
      </c>
      <c r="G16" s="115">
        <v>1.3943936429060024</v>
      </c>
      <c r="H16" s="115">
        <v>1.4312284592033289</v>
      </c>
      <c r="I16" s="115">
        <v>2.2322487044705985</v>
      </c>
      <c r="J16" s="115">
        <v>1.7525142379569387</v>
      </c>
      <c r="K16" s="115">
        <v>1.7966468993603282</v>
      </c>
      <c r="L16" s="115">
        <v>1.8016380210775551</v>
      </c>
      <c r="M16" s="115">
        <v>1.8787496497266798</v>
      </c>
      <c r="N16" s="115">
        <v>1.9649357174319635</v>
      </c>
      <c r="O16" s="115">
        <v>2.0990239476433925</v>
      </c>
      <c r="P16" s="115">
        <v>2.1891601750747691</v>
      </c>
      <c r="Q16" s="115">
        <v>2.3786737435463863</v>
      </c>
      <c r="R16" s="115">
        <v>2.3797876920503058</v>
      </c>
      <c r="S16" s="115">
        <v>2.3663218451417647</v>
      </c>
      <c r="T16" s="115">
        <v>3.6301236667261083</v>
      </c>
      <c r="U16" s="115">
        <v>3.485237778600931</v>
      </c>
      <c r="V16" s="115">
        <v>3.062315073552587</v>
      </c>
      <c r="W16" s="115">
        <v>3.1055359839080454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11.530372058534091</v>
      </c>
      <c r="C17" s="116">
        <f t="shared" ref="C17:V17" si="16">SUM(C18:C19)</f>
        <v>12.632396788314127</v>
      </c>
      <c r="D17" s="116">
        <f t="shared" si="16"/>
        <v>11.621166131507493</v>
      </c>
      <c r="E17" s="116">
        <f t="shared" si="16"/>
        <v>13.228358210634205</v>
      </c>
      <c r="F17" s="116">
        <f t="shared" si="16"/>
        <v>15.221924352327356</v>
      </c>
      <c r="G17" s="116">
        <f t="shared" si="16"/>
        <v>14.805080372070252</v>
      </c>
      <c r="H17" s="116">
        <f t="shared" si="16"/>
        <v>15.30984315009921</v>
      </c>
      <c r="I17" s="116">
        <f t="shared" si="16"/>
        <v>16.84821769866285</v>
      </c>
      <c r="J17" s="116">
        <f t="shared" si="16"/>
        <v>18.35048947067159</v>
      </c>
      <c r="K17" s="116">
        <f t="shared" si="16"/>
        <v>17.105645926725252</v>
      </c>
      <c r="L17" s="116">
        <f t="shared" si="16"/>
        <v>17.617239376242736</v>
      </c>
      <c r="M17" s="116">
        <f t="shared" si="16"/>
        <v>18.340279844200488</v>
      </c>
      <c r="N17" s="116">
        <f t="shared" si="16"/>
        <v>18.977042648249679</v>
      </c>
      <c r="O17" s="116">
        <f t="shared" si="16"/>
        <v>18.805803989244993</v>
      </c>
      <c r="P17" s="116">
        <f t="shared" si="16"/>
        <v>17.337140164449973</v>
      </c>
      <c r="Q17" s="116">
        <f t="shared" si="16"/>
        <v>19.520528390007435</v>
      </c>
      <c r="R17" s="116">
        <f t="shared" si="16"/>
        <v>21.306993029317649</v>
      </c>
      <c r="S17" s="116">
        <f t="shared" si="16"/>
        <v>23.06762192933564</v>
      </c>
      <c r="T17" s="116">
        <f t="shared" si="16"/>
        <v>24.167990383916827</v>
      </c>
      <c r="U17" s="116">
        <f t="shared" si="16"/>
        <v>26.124828470122587</v>
      </c>
      <c r="V17" s="116">
        <f t="shared" si="16"/>
        <v>21.453778947557758</v>
      </c>
      <c r="W17" s="116">
        <f t="shared" ref="W17" si="17">SUM(W18:W19)</f>
        <v>23.493755600465647</v>
      </c>
      <c r="DA17" s="176" t="s">
        <v>1036</v>
      </c>
    </row>
    <row r="18" spans="1:105" ht="11.45" customHeight="1" x14ac:dyDescent="0.25">
      <c r="A18" s="111" t="s">
        <v>92</v>
      </c>
      <c r="B18" s="87">
        <v>10.428132075072236</v>
      </c>
      <c r="C18" s="87">
        <v>11.523902058905964</v>
      </c>
      <c r="D18" s="87">
        <v>10.648456279638538</v>
      </c>
      <c r="E18" s="87">
        <v>12.243555093486984</v>
      </c>
      <c r="F18" s="87">
        <v>13.215327605083797</v>
      </c>
      <c r="G18" s="87">
        <v>12.57307640614162</v>
      </c>
      <c r="H18" s="87">
        <v>13.139525963229573</v>
      </c>
      <c r="I18" s="87">
        <v>15.053575121089157</v>
      </c>
      <c r="J18" s="87">
        <v>16.254981280744616</v>
      </c>
      <c r="K18" s="87">
        <v>15.3893151847147</v>
      </c>
      <c r="L18" s="87">
        <v>15.831330389567714</v>
      </c>
      <c r="M18" s="87">
        <v>16.531775481573032</v>
      </c>
      <c r="N18" s="87">
        <v>17.178724660233737</v>
      </c>
      <c r="O18" s="87">
        <v>17.168451519254134</v>
      </c>
      <c r="P18" s="87">
        <v>15.805518268058909</v>
      </c>
      <c r="Q18" s="87">
        <v>17.885863805469906</v>
      </c>
      <c r="R18" s="87">
        <v>19.467704066242813</v>
      </c>
      <c r="S18" s="87">
        <v>21.16916865966045</v>
      </c>
      <c r="T18" s="87">
        <v>22.290587186248981</v>
      </c>
      <c r="U18" s="87">
        <v>24.109989016528296</v>
      </c>
      <c r="V18" s="87">
        <v>19.535756577199454</v>
      </c>
      <c r="W18" s="87">
        <v>21.528022905122917</v>
      </c>
      <c r="DA18" s="171" t="s">
        <v>1037</v>
      </c>
    </row>
    <row r="19" spans="1:105" ht="11.45" customHeight="1" x14ac:dyDescent="0.25">
      <c r="A19" s="111" t="s">
        <v>93</v>
      </c>
      <c r="B19" s="87">
        <v>1.102239983461855</v>
      </c>
      <c r="C19" s="87">
        <v>1.1084947294081626</v>
      </c>
      <c r="D19" s="87">
        <v>0.97270985186895587</v>
      </c>
      <c r="E19" s="87">
        <v>0.98480311714722113</v>
      </c>
      <c r="F19" s="87">
        <v>2.0065967472435595</v>
      </c>
      <c r="G19" s="87">
        <v>2.2320039659286319</v>
      </c>
      <c r="H19" s="87">
        <v>2.1703171868696369</v>
      </c>
      <c r="I19" s="87">
        <v>1.7946425775736934</v>
      </c>
      <c r="J19" s="87">
        <v>2.0955081899269743</v>
      </c>
      <c r="K19" s="87">
        <v>1.7163307420105518</v>
      </c>
      <c r="L19" s="87">
        <v>1.7859089866750217</v>
      </c>
      <c r="M19" s="87">
        <v>1.8085043626274562</v>
      </c>
      <c r="N19" s="87">
        <v>1.7983179880159417</v>
      </c>
      <c r="O19" s="87">
        <v>1.6373524699908586</v>
      </c>
      <c r="P19" s="87">
        <v>1.5316218963910642</v>
      </c>
      <c r="Q19" s="87">
        <v>1.6346645845375285</v>
      </c>
      <c r="R19" s="87">
        <v>1.8392889630748357</v>
      </c>
      <c r="S19" s="87">
        <v>1.8984532696751906</v>
      </c>
      <c r="T19" s="87">
        <v>1.8774031976678458</v>
      </c>
      <c r="U19" s="87">
        <v>2.0148394535942913</v>
      </c>
      <c r="V19" s="87">
        <v>1.9180223703583046</v>
      </c>
      <c r="W19" s="87">
        <v>1.9657326953427301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0.98324999966378024</v>
      </c>
      <c r="C21" s="29">
        <f t="shared" ref="C21:V21" si="19">SUM(C22:C23)</f>
        <v>1.0332499996577356</v>
      </c>
      <c r="D21" s="29">
        <f t="shared" si="19"/>
        <v>0.90458393631771872</v>
      </c>
      <c r="E21" s="29">
        <f t="shared" si="19"/>
        <v>0.84491016468473279</v>
      </c>
      <c r="F21" s="29">
        <f t="shared" si="19"/>
        <v>0.84686311292488647</v>
      </c>
      <c r="G21" s="29">
        <f t="shared" si="19"/>
        <v>0.64373736392567993</v>
      </c>
      <c r="H21" s="29">
        <f t="shared" si="19"/>
        <v>0.433073462415068</v>
      </c>
      <c r="I21" s="29">
        <f t="shared" si="19"/>
        <v>0.27572270034181529</v>
      </c>
      <c r="J21" s="29">
        <f t="shared" si="19"/>
        <v>0.21701205408738633</v>
      </c>
      <c r="K21" s="29">
        <f t="shared" si="19"/>
        <v>0.14600631037536765</v>
      </c>
      <c r="L21" s="29">
        <f t="shared" si="19"/>
        <v>0.18300746722581115</v>
      </c>
      <c r="M21" s="29">
        <f t="shared" si="19"/>
        <v>0.21099999999999999</v>
      </c>
      <c r="N21" s="29">
        <f t="shared" si="19"/>
        <v>0.17799999999999999</v>
      </c>
      <c r="O21" s="29">
        <f t="shared" si="19"/>
        <v>0.19299999999999998</v>
      </c>
      <c r="P21" s="29">
        <f t="shared" si="19"/>
        <v>0.20399999999999999</v>
      </c>
      <c r="Q21" s="29">
        <f t="shared" si="19"/>
        <v>0.19600000000000001</v>
      </c>
      <c r="R21" s="29">
        <f t="shared" si="19"/>
        <v>0.20649999999999999</v>
      </c>
      <c r="S21" s="29">
        <f t="shared" si="19"/>
        <v>0.20100000000000001</v>
      </c>
      <c r="T21" s="29">
        <f t="shared" si="19"/>
        <v>0.17899999999999999</v>
      </c>
      <c r="U21" s="29">
        <f t="shared" si="19"/>
        <v>0.14949999999999999</v>
      </c>
      <c r="V21" s="29">
        <f t="shared" si="19"/>
        <v>0.15</v>
      </c>
      <c r="W21" s="29">
        <f t="shared" ref="W21" si="20">SUM(W22:W23)</f>
        <v>0.14101075552007594</v>
      </c>
      <c r="DA21" s="173" t="s">
        <v>1040</v>
      </c>
    </row>
    <row r="22" spans="1:105" ht="11.45" customHeight="1" x14ac:dyDescent="0.25">
      <c r="A22" s="83" t="s">
        <v>92</v>
      </c>
      <c r="B22" s="87">
        <v>0.98324999966378024</v>
      </c>
      <c r="C22" s="87">
        <v>1.0332499996577356</v>
      </c>
      <c r="D22" s="87">
        <v>0.8951391528832453</v>
      </c>
      <c r="E22" s="87">
        <v>0.83630421584697345</v>
      </c>
      <c r="F22" s="87">
        <v>0.799744214598751</v>
      </c>
      <c r="G22" s="87">
        <v>0.59183215294702562</v>
      </c>
      <c r="H22" s="87">
        <v>0.39990482557405016</v>
      </c>
      <c r="I22" s="87">
        <v>0.25931630782286202</v>
      </c>
      <c r="J22" s="87">
        <v>0.20407584655244987</v>
      </c>
      <c r="K22" s="87">
        <v>0.13801697372114069</v>
      </c>
      <c r="L22" s="87">
        <v>0.17262160140096031</v>
      </c>
      <c r="M22" s="87">
        <v>0.19911493117111509</v>
      </c>
      <c r="N22" s="87">
        <v>0.16760111373322656</v>
      </c>
      <c r="O22" s="87">
        <v>0.18283860471617508</v>
      </c>
      <c r="P22" s="87">
        <v>0.19296291113353184</v>
      </c>
      <c r="Q22" s="87">
        <v>0.18489175358141996</v>
      </c>
      <c r="R22" s="87">
        <v>0.19363784867454337</v>
      </c>
      <c r="S22" s="87">
        <v>0.18873173012908412</v>
      </c>
      <c r="T22" s="87">
        <v>0.16662914540099547</v>
      </c>
      <c r="U22" s="87">
        <v>0.13871338641803285</v>
      </c>
      <c r="V22" s="87">
        <v>0.13686621110320418</v>
      </c>
      <c r="W22" s="87">
        <v>0.1294334009234816</v>
      </c>
      <c r="DA22" s="171" t="s">
        <v>1041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9.4447834344734138E-3</v>
      </c>
      <c r="E23" s="88">
        <v>8.6059488377593363E-3</v>
      </c>
      <c r="F23" s="88">
        <v>4.7118898326135472E-2</v>
      </c>
      <c r="G23" s="88">
        <v>5.1905210978654304E-2</v>
      </c>
      <c r="H23" s="88">
        <v>3.316863684101784E-2</v>
      </c>
      <c r="I23" s="88">
        <v>1.6406392518953261E-2</v>
      </c>
      <c r="J23" s="88">
        <v>1.2936207534936461E-2</v>
      </c>
      <c r="K23" s="88">
        <v>7.9893366542269639E-3</v>
      </c>
      <c r="L23" s="88">
        <v>1.0385865824850848E-2</v>
      </c>
      <c r="M23" s="88">
        <v>1.1885068828884904E-2</v>
      </c>
      <c r="N23" s="88">
        <v>1.0398886266773433E-2</v>
      </c>
      <c r="O23" s="88">
        <v>1.0161395283824898E-2</v>
      </c>
      <c r="P23" s="88">
        <v>1.1037088866468148E-2</v>
      </c>
      <c r="Q23" s="88">
        <v>1.1108246418580048E-2</v>
      </c>
      <c r="R23" s="88">
        <v>1.2862151325456622E-2</v>
      </c>
      <c r="S23" s="88">
        <v>1.2268269870915893E-2</v>
      </c>
      <c r="T23" s="88">
        <v>1.2370854599004527E-2</v>
      </c>
      <c r="U23" s="88">
        <v>1.0786613581967142E-2</v>
      </c>
      <c r="V23" s="88">
        <v>1.3133788896795812E-2</v>
      </c>
      <c r="W23" s="88">
        <v>1.1577354596594341E-2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81.785398000000001</v>
      </c>
      <c r="C25" s="62">
        <f t="shared" ref="C25:V25" si="22">C26+C32</f>
        <v>89.382229000000009</v>
      </c>
      <c r="D25" s="62">
        <f t="shared" si="22"/>
        <v>82.366697000000002</v>
      </c>
      <c r="E25" s="62">
        <f t="shared" si="22"/>
        <v>92.419279999999986</v>
      </c>
      <c r="F25" s="62">
        <f t="shared" si="22"/>
        <v>111.483935</v>
      </c>
      <c r="G25" s="62">
        <f t="shared" si="22"/>
        <v>115.14346699999999</v>
      </c>
      <c r="H25" s="62">
        <f t="shared" si="22"/>
        <v>118.351789</v>
      </c>
      <c r="I25" s="62">
        <f t="shared" si="22"/>
        <v>137.16766900000002</v>
      </c>
      <c r="J25" s="62">
        <f t="shared" si="22"/>
        <v>144.92151700000002</v>
      </c>
      <c r="K25" s="62">
        <f t="shared" si="22"/>
        <v>137.923959</v>
      </c>
      <c r="L25" s="62">
        <f t="shared" si="22"/>
        <v>139.64427600000002</v>
      </c>
      <c r="M25" s="62">
        <f t="shared" si="22"/>
        <v>143.81680600000001</v>
      </c>
      <c r="N25" s="62">
        <f t="shared" si="22"/>
        <v>147.90432300000001</v>
      </c>
      <c r="O25" s="62">
        <f t="shared" si="22"/>
        <v>147.17719700000001</v>
      </c>
      <c r="P25" s="62">
        <f t="shared" si="22"/>
        <v>139.54090400000001</v>
      </c>
      <c r="Q25" s="62">
        <f t="shared" si="22"/>
        <v>152.94515000000001</v>
      </c>
      <c r="R25" s="62">
        <f t="shared" si="22"/>
        <v>164.90877200000003</v>
      </c>
      <c r="S25" s="62">
        <f t="shared" si="22"/>
        <v>176.62176799999997</v>
      </c>
      <c r="T25" s="62">
        <f t="shared" si="22"/>
        <v>195.21373499999999</v>
      </c>
      <c r="U25" s="62">
        <f t="shared" si="22"/>
        <v>208.119744</v>
      </c>
      <c r="V25" s="62">
        <f t="shared" si="22"/>
        <v>200.51297299999999</v>
      </c>
      <c r="W25" s="62">
        <f t="shared" ref="W25" si="23">W26+W32</f>
        <v>193.84179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76.869147999999996</v>
      </c>
      <c r="C26" s="29">
        <f t="shared" ref="C26:V26" si="25">SUM(C27,C28,C31)</f>
        <v>84.215979000000004</v>
      </c>
      <c r="D26" s="29">
        <f t="shared" si="25"/>
        <v>77.644847999999996</v>
      </c>
      <c r="E26" s="29">
        <f t="shared" si="25"/>
        <v>88.189055999999994</v>
      </c>
      <c r="F26" s="29">
        <f t="shared" si="25"/>
        <v>107.249618</v>
      </c>
      <c r="G26" s="29">
        <f t="shared" si="25"/>
        <v>111.37684299999999</v>
      </c>
      <c r="H26" s="29">
        <f t="shared" si="25"/>
        <v>115.07679</v>
      </c>
      <c r="I26" s="29">
        <f t="shared" si="25"/>
        <v>134.38429500000001</v>
      </c>
      <c r="J26" s="29">
        <f t="shared" si="25"/>
        <v>142.62976800000001</v>
      </c>
      <c r="K26" s="29">
        <f t="shared" si="25"/>
        <v>136.12383499999999</v>
      </c>
      <c r="L26" s="29">
        <f t="shared" si="25"/>
        <v>138.33577700000001</v>
      </c>
      <c r="M26" s="29">
        <f t="shared" si="25"/>
        <v>142.56170400000002</v>
      </c>
      <c r="N26" s="29">
        <f t="shared" si="25"/>
        <v>146.80679000000001</v>
      </c>
      <c r="O26" s="29">
        <f t="shared" si="25"/>
        <v>146.00347600000001</v>
      </c>
      <c r="P26" s="29">
        <f t="shared" si="25"/>
        <v>138.316562</v>
      </c>
      <c r="Q26" s="29">
        <f t="shared" si="25"/>
        <v>151.76116400000001</v>
      </c>
      <c r="R26" s="29">
        <f t="shared" si="25"/>
        <v>163.68105500000001</v>
      </c>
      <c r="S26" s="29">
        <f t="shared" si="25"/>
        <v>175.41858199999999</v>
      </c>
      <c r="T26" s="29">
        <f t="shared" si="25"/>
        <v>194.12106199999999</v>
      </c>
      <c r="U26" s="29">
        <f t="shared" si="25"/>
        <v>207.16665</v>
      </c>
      <c r="V26" s="29">
        <f t="shared" si="25"/>
        <v>199.56911399999998</v>
      </c>
      <c r="W26" s="29">
        <f t="shared" ref="W26" si="26">SUM(W27,W28,W31)</f>
        <v>192.93509499999999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5.7701210000000005</v>
      </c>
      <c r="G27" s="115">
        <v>12.676305999999999</v>
      </c>
      <c r="H27" s="115">
        <v>13.011168</v>
      </c>
      <c r="I27" s="115">
        <v>20.293171000000001</v>
      </c>
      <c r="J27" s="115">
        <v>20.293171000000001</v>
      </c>
      <c r="K27" s="115">
        <v>20.293171000000001</v>
      </c>
      <c r="L27" s="115">
        <v>20.293171000000001</v>
      </c>
      <c r="M27" s="115">
        <v>20.293171000000001</v>
      </c>
      <c r="N27" s="115">
        <v>20.293171000000001</v>
      </c>
      <c r="O27" s="115">
        <v>20.293171000000001</v>
      </c>
      <c r="P27" s="115">
        <v>20.293171000000001</v>
      </c>
      <c r="Q27" s="115">
        <v>21.624307000000002</v>
      </c>
      <c r="R27" s="115">
        <v>21.634434000000002</v>
      </c>
      <c r="S27" s="115">
        <v>21.634433999999999</v>
      </c>
      <c r="T27" s="115">
        <v>33.001124999999995</v>
      </c>
      <c r="U27" s="115">
        <v>33.001125000000002</v>
      </c>
      <c r="V27" s="115">
        <v>33.001125000000002</v>
      </c>
      <c r="W27" s="115">
        <v>33.001125000000002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76.869147999999996</v>
      </c>
      <c r="C28" s="116">
        <f t="shared" ref="C28:V28" si="28">SUM(C29:C30)</f>
        <v>84.215979000000004</v>
      </c>
      <c r="D28" s="116">
        <f t="shared" si="28"/>
        <v>77.644847999999996</v>
      </c>
      <c r="E28" s="116">
        <f t="shared" si="28"/>
        <v>88.189055999999994</v>
      </c>
      <c r="F28" s="116">
        <f t="shared" si="28"/>
        <v>101.47949699999999</v>
      </c>
      <c r="G28" s="116">
        <f t="shared" si="28"/>
        <v>98.700536999999997</v>
      </c>
      <c r="H28" s="116">
        <f t="shared" si="28"/>
        <v>102.065622</v>
      </c>
      <c r="I28" s="116">
        <f t="shared" si="28"/>
        <v>114.09112400000001</v>
      </c>
      <c r="J28" s="116">
        <f t="shared" si="28"/>
        <v>122.336597</v>
      </c>
      <c r="K28" s="116">
        <f t="shared" si="28"/>
        <v>115.830664</v>
      </c>
      <c r="L28" s="116">
        <f t="shared" si="28"/>
        <v>118.04260600000001</v>
      </c>
      <c r="M28" s="116">
        <f t="shared" si="28"/>
        <v>122.26853300000001</v>
      </c>
      <c r="N28" s="116">
        <f t="shared" si="28"/>
        <v>126.51361900000001</v>
      </c>
      <c r="O28" s="116">
        <f t="shared" si="28"/>
        <v>125.71030500000001</v>
      </c>
      <c r="P28" s="116">
        <f t="shared" si="28"/>
        <v>118.023391</v>
      </c>
      <c r="Q28" s="116">
        <f t="shared" si="28"/>
        <v>130.13685699999999</v>
      </c>
      <c r="R28" s="116">
        <f t="shared" si="28"/>
        <v>142.04662100000002</v>
      </c>
      <c r="S28" s="116">
        <f t="shared" si="28"/>
        <v>153.78414799999999</v>
      </c>
      <c r="T28" s="116">
        <f t="shared" si="28"/>
        <v>161.11993699999999</v>
      </c>
      <c r="U28" s="116">
        <f t="shared" si="28"/>
        <v>174.165525</v>
      </c>
      <c r="V28" s="116">
        <f t="shared" si="28"/>
        <v>166.56798899999998</v>
      </c>
      <c r="W28" s="116">
        <f t="shared" ref="W28" si="29">SUM(W29:W30)</f>
        <v>159.93396999999999</v>
      </c>
      <c r="DA28" s="176" t="s">
        <v>1046</v>
      </c>
    </row>
    <row r="29" spans="1:105" ht="11.45" customHeight="1" x14ac:dyDescent="0.25">
      <c r="A29" s="111" t="s">
        <v>92</v>
      </c>
      <c r="B29" s="87">
        <v>69.520881000000003</v>
      </c>
      <c r="C29" s="87">
        <v>76.826014000000001</v>
      </c>
      <c r="D29" s="87">
        <v>70.989708999999991</v>
      </c>
      <c r="E29" s="87">
        <v>81.623700999999997</v>
      </c>
      <c r="F29" s="87">
        <v>88.102184999999992</v>
      </c>
      <c r="G29" s="87">
        <v>83.820509999999999</v>
      </c>
      <c r="H29" s="87">
        <v>87.59684</v>
      </c>
      <c r="I29" s="87">
        <v>100.357168</v>
      </c>
      <c r="J29" s="87">
        <v>108.366542</v>
      </c>
      <c r="K29" s="87">
        <v>102.59543499999999</v>
      </c>
      <c r="L29" s="87">
        <v>105.542203</v>
      </c>
      <c r="M29" s="87">
        <v>110.211837</v>
      </c>
      <c r="N29" s="87">
        <v>114.524832</v>
      </c>
      <c r="O29" s="87">
        <v>114.456344</v>
      </c>
      <c r="P29" s="87">
        <v>107.504256</v>
      </c>
      <c r="Q29" s="87">
        <v>119.239093</v>
      </c>
      <c r="R29" s="87">
        <v>129.784694</v>
      </c>
      <c r="S29" s="87">
        <v>141.127792</v>
      </c>
      <c r="T29" s="87">
        <v>148.603915</v>
      </c>
      <c r="U29" s="87">
        <v>160.733261</v>
      </c>
      <c r="V29" s="87">
        <v>153.781173</v>
      </c>
      <c r="W29" s="87">
        <v>146.82908499999999</v>
      </c>
      <c r="DA29" s="171" t="s">
        <v>1047</v>
      </c>
    </row>
    <row r="30" spans="1:105" ht="11.45" customHeight="1" x14ac:dyDescent="0.25">
      <c r="A30" s="111" t="s">
        <v>93</v>
      </c>
      <c r="B30" s="87">
        <v>7.3482669999999999</v>
      </c>
      <c r="C30" s="87">
        <v>7.3899650000000001</v>
      </c>
      <c r="D30" s="87">
        <v>6.6551390000000001</v>
      </c>
      <c r="E30" s="87">
        <v>6.5653550000000003</v>
      </c>
      <c r="F30" s="87">
        <v>13.377312</v>
      </c>
      <c r="G30" s="87">
        <v>14.880027</v>
      </c>
      <c r="H30" s="87">
        <v>14.468781999999999</v>
      </c>
      <c r="I30" s="87">
        <v>13.733955999999999</v>
      </c>
      <c r="J30" s="87">
        <v>13.970054999999999</v>
      </c>
      <c r="K30" s="87">
        <v>13.235228999999999</v>
      </c>
      <c r="L30" s="87">
        <v>12.500402999999999</v>
      </c>
      <c r="M30" s="87">
        <v>12.056695999999999</v>
      </c>
      <c r="N30" s="87">
        <v>11.988786999999999</v>
      </c>
      <c r="O30" s="87">
        <v>11.253960999999999</v>
      </c>
      <c r="P30" s="87">
        <v>10.519134999999999</v>
      </c>
      <c r="Q30" s="87">
        <v>10.897763999999999</v>
      </c>
      <c r="R30" s="87">
        <v>12.261927</v>
      </c>
      <c r="S30" s="87">
        <v>12.656355999999999</v>
      </c>
      <c r="T30" s="87">
        <v>12.516022</v>
      </c>
      <c r="U30" s="87">
        <v>13.432264</v>
      </c>
      <c r="V30" s="87">
        <v>12.786816</v>
      </c>
      <c r="W30" s="87">
        <v>13.104884999999999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4.9162499999999998</v>
      </c>
      <c r="C32" s="29">
        <f t="shared" ref="C32:V32" si="31">SUM(C33:C34)</f>
        <v>5.1662499999999998</v>
      </c>
      <c r="D32" s="29">
        <f t="shared" si="31"/>
        <v>4.7218489999999997</v>
      </c>
      <c r="E32" s="29">
        <f t="shared" si="31"/>
        <v>4.2302239999999998</v>
      </c>
      <c r="F32" s="29">
        <f t="shared" si="31"/>
        <v>4.2343170000000008</v>
      </c>
      <c r="G32" s="29">
        <f t="shared" si="31"/>
        <v>3.7666239999999998</v>
      </c>
      <c r="H32" s="29">
        <f t="shared" si="31"/>
        <v>3.2749989999999998</v>
      </c>
      <c r="I32" s="29">
        <f t="shared" si="31"/>
        <v>2.7833739999999998</v>
      </c>
      <c r="J32" s="29">
        <f t="shared" si="31"/>
        <v>2.2917489999999998</v>
      </c>
      <c r="K32" s="29">
        <f t="shared" si="31"/>
        <v>1.8001240000000001</v>
      </c>
      <c r="L32" s="29">
        <f t="shared" si="31"/>
        <v>1.3084990000000001</v>
      </c>
      <c r="M32" s="29">
        <f t="shared" si="31"/>
        <v>1.2551019999999999</v>
      </c>
      <c r="N32" s="29">
        <f t="shared" si="31"/>
        <v>1.0975330000000001</v>
      </c>
      <c r="O32" s="29">
        <f t="shared" si="31"/>
        <v>1.173721</v>
      </c>
      <c r="P32" s="29">
        <f t="shared" si="31"/>
        <v>1.224342</v>
      </c>
      <c r="Q32" s="29">
        <f t="shared" si="31"/>
        <v>1.183986</v>
      </c>
      <c r="R32" s="29">
        <f t="shared" si="31"/>
        <v>1.2277169999999999</v>
      </c>
      <c r="S32" s="29">
        <f t="shared" si="31"/>
        <v>1.2031860000000001</v>
      </c>
      <c r="T32" s="29">
        <f t="shared" si="31"/>
        <v>1.092673</v>
      </c>
      <c r="U32" s="29">
        <f t="shared" si="31"/>
        <v>0.95309400000000011</v>
      </c>
      <c r="V32" s="29">
        <f t="shared" si="31"/>
        <v>0.943859</v>
      </c>
      <c r="W32" s="29">
        <f t="shared" ref="W32" si="32">SUM(W33:W34)</f>
        <v>0.90669500000000003</v>
      </c>
      <c r="DA32" s="173" t="s">
        <v>1050</v>
      </c>
    </row>
    <row r="33" spans="1:105" ht="11.45" customHeight="1" x14ac:dyDescent="0.25">
      <c r="A33" s="83" t="s">
        <v>92</v>
      </c>
      <c r="B33" s="87">
        <v>4.9162499999999998</v>
      </c>
      <c r="C33" s="87">
        <v>5.1662499999999998</v>
      </c>
      <c r="D33" s="87">
        <v>4.6746249999999998</v>
      </c>
      <c r="E33" s="87">
        <v>4.1829999999999998</v>
      </c>
      <c r="F33" s="87">
        <v>3.9987220000000003</v>
      </c>
      <c r="G33" s="87">
        <v>3.5070969999999999</v>
      </c>
      <c r="H33" s="87">
        <v>3.0154719999999999</v>
      </c>
      <c r="I33" s="87">
        <v>2.523847</v>
      </c>
      <c r="J33" s="87">
        <v>2.032222</v>
      </c>
      <c r="K33" s="87">
        <v>1.540597</v>
      </c>
      <c r="L33" s="87">
        <v>1.048972</v>
      </c>
      <c r="M33" s="87">
        <v>0.99557499999999999</v>
      </c>
      <c r="N33" s="87">
        <v>0.83800600000000003</v>
      </c>
      <c r="O33" s="87">
        <v>0.91419400000000006</v>
      </c>
      <c r="P33" s="87">
        <v>0.96481499999999998</v>
      </c>
      <c r="Q33" s="87">
        <v>0.92445900000000003</v>
      </c>
      <c r="R33" s="87">
        <v>0.96819</v>
      </c>
      <c r="S33" s="87">
        <v>0.94365900000000003</v>
      </c>
      <c r="T33" s="87">
        <v>0.83314600000000005</v>
      </c>
      <c r="U33" s="87">
        <v>0.69356700000000004</v>
      </c>
      <c r="V33" s="87">
        <v>0.68433200000000005</v>
      </c>
      <c r="W33" s="87">
        <v>0.64716800000000008</v>
      </c>
      <c r="DA33" s="171" t="s">
        <v>1051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4.7224000000000002E-2</v>
      </c>
      <c r="E34" s="88">
        <v>4.7224000000000002E-2</v>
      </c>
      <c r="F34" s="88">
        <v>0.235595</v>
      </c>
      <c r="G34" s="88">
        <v>0.25952699999999995</v>
      </c>
      <c r="H34" s="88">
        <v>0.25952700000000001</v>
      </c>
      <c r="I34" s="88">
        <v>0.25952700000000001</v>
      </c>
      <c r="J34" s="88">
        <v>0.25952700000000001</v>
      </c>
      <c r="K34" s="88">
        <v>0.25952700000000001</v>
      </c>
      <c r="L34" s="88">
        <v>0.25952700000000001</v>
      </c>
      <c r="M34" s="88">
        <v>0.25952700000000001</v>
      </c>
      <c r="N34" s="88">
        <v>0.25952700000000001</v>
      </c>
      <c r="O34" s="88">
        <v>0.25952700000000001</v>
      </c>
      <c r="P34" s="88">
        <v>0.25952700000000001</v>
      </c>
      <c r="Q34" s="88">
        <v>0.25952700000000001</v>
      </c>
      <c r="R34" s="88">
        <v>0.25952700000000001</v>
      </c>
      <c r="S34" s="88">
        <v>0.25952700000000001</v>
      </c>
      <c r="T34" s="88">
        <v>0.25952700000000001</v>
      </c>
      <c r="U34" s="88">
        <v>0.25952700000000001</v>
      </c>
      <c r="V34" s="88">
        <v>0.25952700000000001</v>
      </c>
      <c r="W34" s="88">
        <v>0.25952700000000001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10.575490999999996</v>
      </c>
      <c r="D36" s="54">
        <f t="shared" ref="D36:V36" si="34">D37+D43</f>
        <v>4.7224000000000002E-2</v>
      </c>
      <c r="E36" s="54">
        <f t="shared" si="34"/>
        <v>13.316218000000006</v>
      </c>
      <c r="F36" s="54">
        <f t="shared" si="34"/>
        <v>22.043314999999996</v>
      </c>
      <c r="G36" s="54">
        <f t="shared" si="34"/>
        <v>8.6439739999999983</v>
      </c>
      <c r="H36" s="54">
        <f t="shared" si="34"/>
        <v>6.6720600000000019</v>
      </c>
      <c r="I36" s="54">
        <f t="shared" si="34"/>
        <v>22.603199000000004</v>
      </c>
      <c r="J36" s="54">
        <f t="shared" si="34"/>
        <v>11.017482999999993</v>
      </c>
      <c r="K36" s="54">
        <f t="shared" si="34"/>
        <v>0</v>
      </c>
      <c r="L36" s="54">
        <f t="shared" si="34"/>
        <v>5.5076360000000051</v>
      </c>
      <c r="M36" s="54">
        <f t="shared" si="34"/>
        <v>7.3837550000000007</v>
      </c>
      <c r="N36" s="54">
        <f t="shared" si="34"/>
        <v>7.0661770000000006</v>
      </c>
      <c r="O36" s="54">
        <f t="shared" si="34"/>
        <v>2.7752179999999971</v>
      </c>
      <c r="P36" s="54">
        <f t="shared" si="34"/>
        <v>0.25727099999999992</v>
      </c>
      <c r="Q36" s="54">
        <f t="shared" si="34"/>
        <v>16.382905999999998</v>
      </c>
      <c r="R36" s="54">
        <f t="shared" si="34"/>
        <v>14.942282000000008</v>
      </c>
      <c r="S36" s="54">
        <f t="shared" si="34"/>
        <v>14.691655999999996</v>
      </c>
      <c r="T36" s="54">
        <f t="shared" si="34"/>
        <v>21.570626999999995</v>
      </c>
      <c r="U36" s="54">
        <f t="shared" si="34"/>
        <v>15.884669000000006</v>
      </c>
      <c r="V36" s="54">
        <f t="shared" si="34"/>
        <v>0.19741500000000001</v>
      </c>
      <c r="W36" s="54">
        <f t="shared" ref="W36" si="35">W37+W43</f>
        <v>0.69869700000000012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10.118840999999996</v>
      </c>
      <c r="D37" s="28">
        <f t="shared" ref="D37:V37" si="37">SUM(D38,D39,D42)</f>
        <v>0</v>
      </c>
      <c r="E37" s="28">
        <f t="shared" si="37"/>
        <v>13.316218000000006</v>
      </c>
      <c r="F37" s="28">
        <f t="shared" si="37"/>
        <v>21.832571999999995</v>
      </c>
      <c r="G37" s="28">
        <f t="shared" si="37"/>
        <v>8.620041999999998</v>
      </c>
      <c r="H37" s="28">
        <f t="shared" si="37"/>
        <v>6.6720600000000019</v>
      </c>
      <c r="I37" s="28">
        <f t="shared" si="37"/>
        <v>22.603199000000004</v>
      </c>
      <c r="J37" s="28">
        <f t="shared" si="37"/>
        <v>11.017482999999993</v>
      </c>
      <c r="K37" s="28">
        <f t="shared" si="37"/>
        <v>0</v>
      </c>
      <c r="L37" s="28">
        <f t="shared" si="37"/>
        <v>5.5076360000000051</v>
      </c>
      <c r="M37" s="28">
        <f t="shared" si="37"/>
        <v>7.2305020000000013</v>
      </c>
      <c r="N37" s="28">
        <f t="shared" si="37"/>
        <v>7.0170960000000004</v>
      </c>
      <c r="O37" s="28">
        <f t="shared" si="37"/>
        <v>2.4923799999999972</v>
      </c>
      <c r="P37" s="28">
        <f t="shared" si="37"/>
        <v>0</v>
      </c>
      <c r="Q37" s="28">
        <f t="shared" si="37"/>
        <v>16.216611999999998</v>
      </c>
      <c r="R37" s="28">
        <f t="shared" si="37"/>
        <v>14.691901000000007</v>
      </c>
      <c r="S37" s="28">
        <f t="shared" si="37"/>
        <v>14.509536999999996</v>
      </c>
      <c r="T37" s="28">
        <f t="shared" si="37"/>
        <v>21.474489999999996</v>
      </c>
      <c r="U37" s="28">
        <f t="shared" si="37"/>
        <v>15.817598000000006</v>
      </c>
      <c r="V37" s="28">
        <f t="shared" si="37"/>
        <v>0</v>
      </c>
      <c r="W37" s="28">
        <f t="shared" ref="W37" si="38">SUM(W38,W39,W42)</f>
        <v>0.5292110000000001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5.7701210000000005</v>
      </c>
      <c r="G38" s="108">
        <v>6.906184999999998</v>
      </c>
      <c r="H38" s="108">
        <v>0.3348620000000011</v>
      </c>
      <c r="I38" s="108">
        <v>7.2820030000000013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1.3311360000000008</v>
      </c>
      <c r="R38" s="108">
        <v>1.0127000000000663E-2</v>
      </c>
      <c r="S38" s="108">
        <v>0</v>
      </c>
      <c r="T38" s="108">
        <v>11.366690999999996</v>
      </c>
      <c r="U38" s="108">
        <v>7.1054273576010019E-15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10.118840999999996</v>
      </c>
      <c r="D39" s="110">
        <f t="shared" ref="D39:V39" si="40">SUM(D40:D41)</f>
        <v>0</v>
      </c>
      <c r="E39" s="110">
        <f t="shared" si="40"/>
        <v>13.316218000000006</v>
      </c>
      <c r="F39" s="110">
        <f t="shared" si="40"/>
        <v>16.062450999999996</v>
      </c>
      <c r="G39" s="110">
        <f t="shared" si="40"/>
        <v>1.7138570000000009</v>
      </c>
      <c r="H39" s="110">
        <f t="shared" si="40"/>
        <v>6.3371980000000008</v>
      </c>
      <c r="I39" s="110">
        <f t="shared" si="40"/>
        <v>15.321196</v>
      </c>
      <c r="J39" s="110">
        <f t="shared" si="40"/>
        <v>11.017482999999993</v>
      </c>
      <c r="K39" s="110">
        <f t="shared" si="40"/>
        <v>0</v>
      </c>
      <c r="L39" s="110">
        <f t="shared" si="40"/>
        <v>5.5076360000000051</v>
      </c>
      <c r="M39" s="110">
        <f t="shared" si="40"/>
        <v>7.2305020000000013</v>
      </c>
      <c r="N39" s="110">
        <f t="shared" si="40"/>
        <v>7.0170960000000004</v>
      </c>
      <c r="O39" s="110">
        <f t="shared" si="40"/>
        <v>2.4923799999999972</v>
      </c>
      <c r="P39" s="110">
        <f t="shared" si="40"/>
        <v>0</v>
      </c>
      <c r="Q39" s="110">
        <f t="shared" si="40"/>
        <v>14.885475999999999</v>
      </c>
      <c r="R39" s="110">
        <f t="shared" si="40"/>
        <v>14.681774000000006</v>
      </c>
      <c r="S39" s="110">
        <f t="shared" si="40"/>
        <v>14.509536999999996</v>
      </c>
      <c r="T39" s="110">
        <f t="shared" si="40"/>
        <v>10.107799000000002</v>
      </c>
      <c r="U39" s="110">
        <f t="shared" si="40"/>
        <v>15.817597999999998</v>
      </c>
      <c r="V39" s="110">
        <f t="shared" si="40"/>
        <v>0</v>
      </c>
      <c r="W39" s="110">
        <f t="shared" ref="W39" si="41">SUM(W40:W41)</f>
        <v>0.5292110000000001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9.8660009999999971</v>
      </c>
      <c r="D40" s="84">
        <v>0</v>
      </c>
      <c r="E40" s="84">
        <v>13.194860000000006</v>
      </c>
      <c r="F40" s="84">
        <v>9.0393519999999938</v>
      </c>
      <c r="G40" s="84">
        <v>0</v>
      </c>
      <c r="H40" s="84">
        <v>6.3371980000000008</v>
      </c>
      <c r="I40" s="84">
        <v>15.321196</v>
      </c>
      <c r="J40" s="84">
        <v>10.570241999999993</v>
      </c>
      <c r="K40" s="84">
        <v>0</v>
      </c>
      <c r="L40" s="84">
        <v>5.5076360000000051</v>
      </c>
      <c r="M40" s="84">
        <v>7.2305020000000013</v>
      </c>
      <c r="N40" s="84">
        <v>6.8738630000000001</v>
      </c>
      <c r="O40" s="84">
        <v>2.4923799999999972</v>
      </c>
      <c r="P40" s="84">
        <v>0</v>
      </c>
      <c r="Q40" s="84">
        <v>14.295704999999998</v>
      </c>
      <c r="R40" s="84">
        <v>13.106469000000004</v>
      </c>
      <c r="S40" s="84">
        <v>13.903965999999997</v>
      </c>
      <c r="T40" s="84">
        <v>10.036991</v>
      </c>
      <c r="U40" s="84">
        <v>14.690213999999997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0.25283999999999995</v>
      </c>
      <c r="D41" s="84">
        <v>0</v>
      </c>
      <c r="E41" s="84">
        <v>0.12135799999999985</v>
      </c>
      <c r="F41" s="84">
        <v>7.0230990000000002</v>
      </c>
      <c r="G41" s="84">
        <v>1.7138570000000009</v>
      </c>
      <c r="H41" s="84">
        <v>0</v>
      </c>
      <c r="I41" s="84">
        <v>0</v>
      </c>
      <c r="J41" s="84">
        <v>0.447241</v>
      </c>
      <c r="K41" s="84">
        <v>0</v>
      </c>
      <c r="L41" s="84">
        <v>0</v>
      </c>
      <c r="M41" s="84">
        <v>0</v>
      </c>
      <c r="N41" s="84">
        <v>0.14323300000000039</v>
      </c>
      <c r="O41" s="84">
        <v>0</v>
      </c>
      <c r="P41" s="84">
        <v>0</v>
      </c>
      <c r="Q41" s="84">
        <v>0.58977100000000071</v>
      </c>
      <c r="R41" s="84">
        <v>1.575305000000002</v>
      </c>
      <c r="S41" s="84">
        <v>0.60557099999999942</v>
      </c>
      <c r="T41" s="84">
        <v>7.0808000000001314E-2</v>
      </c>
      <c r="U41" s="84">
        <v>1.1273840000000011</v>
      </c>
      <c r="V41" s="84">
        <v>0</v>
      </c>
      <c r="W41" s="84">
        <v>0.5292110000000001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0.45664999999999978</v>
      </c>
      <c r="D43" s="28">
        <f t="shared" ref="D43:V43" si="43">SUM(D44:D45)</f>
        <v>4.7224000000000002E-2</v>
      </c>
      <c r="E43" s="28">
        <f t="shared" si="43"/>
        <v>0</v>
      </c>
      <c r="F43" s="28">
        <f t="shared" si="43"/>
        <v>0.21074300000000074</v>
      </c>
      <c r="G43" s="28">
        <f t="shared" si="43"/>
        <v>2.3931999999999953E-2</v>
      </c>
      <c r="H43" s="28">
        <f t="shared" si="43"/>
        <v>5.5511151231257827E-17</v>
      </c>
      <c r="I43" s="28">
        <f t="shared" si="43"/>
        <v>0</v>
      </c>
      <c r="J43" s="28">
        <f t="shared" si="43"/>
        <v>0</v>
      </c>
      <c r="K43" s="28">
        <f t="shared" si="43"/>
        <v>0</v>
      </c>
      <c r="L43" s="28">
        <f t="shared" si="43"/>
        <v>0</v>
      </c>
      <c r="M43" s="28">
        <f t="shared" si="43"/>
        <v>0.15325299999999986</v>
      </c>
      <c r="N43" s="28">
        <f t="shared" si="43"/>
        <v>4.9081000000000041E-2</v>
      </c>
      <c r="O43" s="28">
        <f t="shared" si="43"/>
        <v>0.28283799999999992</v>
      </c>
      <c r="P43" s="28">
        <f t="shared" si="43"/>
        <v>0.25727099999999992</v>
      </c>
      <c r="Q43" s="28">
        <f t="shared" si="43"/>
        <v>0.16629399999999994</v>
      </c>
      <c r="R43" s="28">
        <f t="shared" si="43"/>
        <v>0.25038100000000008</v>
      </c>
      <c r="S43" s="28">
        <f t="shared" si="43"/>
        <v>0.18211900000000003</v>
      </c>
      <c r="T43" s="28">
        <f t="shared" si="43"/>
        <v>9.6136999999999917E-2</v>
      </c>
      <c r="U43" s="28">
        <f t="shared" si="43"/>
        <v>6.7070999999999992E-2</v>
      </c>
      <c r="V43" s="28">
        <f t="shared" si="43"/>
        <v>0.19741500000000001</v>
      </c>
      <c r="W43" s="28">
        <f t="shared" ref="W43" si="44">SUM(W44:W45)</f>
        <v>0.16948600000000003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0.45664999999999978</v>
      </c>
      <c r="D44" s="84">
        <v>0</v>
      </c>
      <c r="E44" s="84">
        <v>0</v>
      </c>
      <c r="F44" s="84">
        <v>2.2372000000000725E-2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0.15325299999999986</v>
      </c>
      <c r="N44" s="84">
        <v>4.9081000000000041E-2</v>
      </c>
      <c r="O44" s="84">
        <v>0.28283799999999992</v>
      </c>
      <c r="P44" s="84">
        <v>0.25727099999999992</v>
      </c>
      <c r="Q44" s="84">
        <v>0.16629399999999994</v>
      </c>
      <c r="R44" s="84">
        <v>0.25038100000000008</v>
      </c>
      <c r="S44" s="84">
        <v>0.18211900000000003</v>
      </c>
      <c r="T44" s="84">
        <v>9.6136999999999917E-2</v>
      </c>
      <c r="U44" s="84">
        <v>6.7070999999999992E-2</v>
      </c>
      <c r="V44" s="84">
        <v>0.19741500000000001</v>
      </c>
      <c r="W44" s="84">
        <v>0.16948600000000003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4.7224000000000002E-2</v>
      </c>
      <c r="E45" s="86">
        <v>0</v>
      </c>
      <c r="F45" s="86">
        <v>0.18837100000000001</v>
      </c>
      <c r="G45" s="86">
        <v>2.3931999999999953E-2</v>
      </c>
      <c r="H45" s="86">
        <v>5.5511151231257827E-17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120.46445621604599</v>
      </c>
      <c r="C50" s="29">
        <f t="shared" si="45"/>
        <v>119.92973506037141</v>
      </c>
      <c r="D50" s="29">
        <f t="shared" si="45"/>
        <v>140.08921149368479</v>
      </c>
      <c r="E50" s="29">
        <f t="shared" si="45"/>
        <v>121.02786865213287</v>
      </c>
      <c r="F50" s="29">
        <f t="shared" si="45"/>
        <v>102.92219851896618</v>
      </c>
      <c r="G50" s="29">
        <f t="shared" si="45"/>
        <v>116.73218514698621</v>
      </c>
      <c r="H50" s="29">
        <f t="shared" si="45"/>
        <v>118.5772360532124</v>
      </c>
      <c r="I50" s="29">
        <f t="shared" si="45"/>
        <v>114.35779157063297</v>
      </c>
      <c r="J50" s="29">
        <f t="shared" si="45"/>
        <v>105.30764609526237</v>
      </c>
      <c r="K50" s="29">
        <f t="shared" ref="K50:V50" si="46">IF(K4=0,0,K4/K15)</f>
        <v>96.020097492895673</v>
      </c>
      <c r="L50" s="29">
        <f t="shared" si="46"/>
        <v>93.156775388552234</v>
      </c>
      <c r="M50" s="29">
        <f t="shared" si="46"/>
        <v>87.838043885015637</v>
      </c>
      <c r="N50" s="29">
        <f t="shared" si="46"/>
        <v>82.227188374041205</v>
      </c>
      <c r="O50" s="29">
        <f t="shared" si="46"/>
        <v>82.221424409190405</v>
      </c>
      <c r="P50" s="29">
        <f t="shared" si="46"/>
        <v>96.693838626367992</v>
      </c>
      <c r="Q50" s="29">
        <f t="shared" si="46"/>
        <v>95.787402171422784</v>
      </c>
      <c r="R50" s="29">
        <f t="shared" si="46"/>
        <v>91.804301334977509</v>
      </c>
      <c r="S50" s="29">
        <f t="shared" si="46"/>
        <v>90.701594980914436</v>
      </c>
      <c r="T50" s="29">
        <f t="shared" si="46"/>
        <v>93.459577698937863</v>
      </c>
      <c r="U50" s="29">
        <f t="shared" si="46"/>
        <v>91.32191296993706</v>
      </c>
      <c r="V50" s="29">
        <f t="shared" si="46"/>
        <v>38.92578394332569</v>
      </c>
      <c r="W50" s="29">
        <f t="shared" ref="W50" si="47">IF(W4=0,0,W4/W15)</f>
        <v>37.281204157428299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78.77573441394631</v>
      </c>
      <c r="G51" s="115">
        <f t="shared" si="48"/>
        <v>78.887336126083596</v>
      </c>
      <c r="H51" s="115">
        <f t="shared" si="48"/>
        <v>79.030010389089739</v>
      </c>
      <c r="I51" s="115">
        <f t="shared" si="48"/>
        <v>78.396282479421629</v>
      </c>
      <c r="J51" s="115">
        <f t="shared" si="48"/>
        <v>80.455837074611281</v>
      </c>
      <c r="K51" s="115">
        <f t="shared" ref="K51:V51" si="49">IF(K5=0,0,K5/K16)</f>
        <v>73.47019608972515</v>
      </c>
      <c r="L51" s="115">
        <f t="shared" si="49"/>
        <v>72.711609361823548</v>
      </c>
      <c r="M51" s="115">
        <f t="shared" si="49"/>
        <v>73.453107506940171</v>
      </c>
      <c r="N51" s="115">
        <f t="shared" si="49"/>
        <v>73.284840171869931</v>
      </c>
      <c r="O51" s="115">
        <f t="shared" si="49"/>
        <v>71.378285211186181</v>
      </c>
      <c r="P51" s="115">
        <f t="shared" si="49"/>
        <v>73.120704379035601</v>
      </c>
      <c r="Q51" s="115">
        <f t="shared" si="49"/>
        <v>75.532713339716693</v>
      </c>
      <c r="R51" s="115">
        <f t="shared" si="49"/>
        <v>77.128037771245019</v>
      </c>
      <c r="S51" s="115">
        <f t="shared" si="49"/>
        <v>78.137835467990968</v>
      </c>
      <c r="T51" s="115">
        <f t="shared" si="49"/>
        <v>87.324848711253992</v>
      </c>
      <c r="U51" s="115">
        <f t="shared" si="49"/>
        <v>87.525704809286921</v>
      </c>
      <c r="V51" s="115">
        <f t="shared" si="49"/>
        <v>39.286675639300128</v>
      </c>
      <c r="W51" s="115">
        <f t="shared" ref="W51" si="50">IF(W5=0,0,W5/W16)</f>
        <v>39.173147769136314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120.46445621604599</v>
      </c>
      <c r="C52" s="116">
        <f t="shared" si="51"/>
        <v>119.92973506037141</v>
      </c>
      <c r="D52" s="116">
        <f t="shared" si="51"/>
        <v>140.08921149368479</v>
      </c>
      <c r="E52" s="116">
        <f t="shared" si="51"/>
        <v>121.02786865213287</v>
      </c>
      <c r="F52" s="116">
        <f t="shared" si="51"/>
        <v>103.9290409926469</v>
      </c>
      <c r="G52" s="116">
        <f t="shared" si="51"/>
        <v>120.29654383773911</v>
      </c>
      <c r="H52" s="116">
        <f t="shared" si="51"/>
        <v>122.2742768587978</v>
      </c>
      <c r="I52" s="116">
        <f t="shared" si="51"/>
        <v>119.12239240351724</v>
      </c>
      <c r="J52" s="116">
        <f t="shared" si="51"/>
        <v>107.6810514050927</v>
      </c>
      <c r="K52" s="116">
        <f t="shared" ref="K52:V52" si="52">IF(K6=0,0,K6/K17)</f>
        <v>98.388567564732568</v>
      </c>
      <c r="L52" s="116">
        <f t="shared" si="52"/>
        <v>95.24761310008779</v>
      </c>
      <c r="M52" s="116">
        <f t="shared" si="52"/>
        <v>89.311614321848197</v>
      </c>
      <c r="N52" s="116">
        <f t="shared" si="52"/>
        <v>83.153103950343109</v>
      </c>
      <c r="O52" s="116">
        <f t="shared" si="52"/>
        <v>83.431689541021939</v>
      </c>
      <c r="P52" s="116">
        <f t="shared" si="52"/>
        <v>99.67041758959104</v>
      </c>
      <c r="Q52" s="116">
        <f t="shared" si="52"/>
        <v>98.255537026437509</v>
      </c>
      <c r="R52" s="116">
        <f t="shared" si="52"/>
        <v>93.443499852863155</v>
      </c>
      <c r="S52" s="116">
        <f t="shared" si="52"/>
        <v>91.990410043152409</v>
      </c>
      <c r="T52" s="116">
        <f t="shared" si="52"/>
        <v>94.381037221776893</v>
      </c>
      <c r="U52" s="116">
        <f t="shared" si="52"/>
        <v>91.828354116988507</v>
      </c>
      <c r="V52" s="116">
        <f t="shared" si="52"/>
        <v>38.874270217785586</v>
      </c>
      <c r="W52" s="116">
        <f t="shared" ref="W52" si="53">IF(W6=0,0,W6/W17)</f>
        <v>37.031116471763951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116.26905432897239</v>
      </c>
      <c r="C53" s="87">
        <f t="shared" si="54"/>
        <v>116.07062312217305</v>
      </c>
      <c r="D53" s="87">
        <f t="shared" si="54"/>
        <v>131.65210176555712</v>
      </c>
      <c r="E53" s="87">
        <f t="shared" si="54"/>
        <v>113.53252892590997</v>
      </c>
      <c r="F53" s="87">
        <f t="shared" si="54"/>
        <v>104.35958778336482</v>
      </c>
      <c r="G53" s="87">
        <f t="shared" si="54"/>
        <v>127.53123876419183</v>
      </c>
      <c r="H53" s="87">
        <f t="shared" si="54"/>
        <v>129.97457617741983</v>
      </c>
      <c r="I53" s="87">
        <f t="shared" si="54"/>
        <v>129.70562288631601</v>
      </c>
      <c r="J53" s="87">
        <f t="shared" si="54"/>
        <v>116.93859959164227</v>
      </c>
      <c r="K53" s="87">
        <f t="shared" ref="K53:V53" si="55">IF(K7=0,0,K7/K18)</f>
        <v>103.82155120190052</v>
      </c>
      <c r="L53" s="87">
        <f t="shared" si="55"/>
        <v>99.998125454727159</v>
      </c>
      <c r="M53" s="87">
        <f t="shared" si="55"/>
        <v>94.537358588346436</v>
      </c>
      <c r="N53" s="87">
        <f t="shared" si="55"/>
        <v>88.177478748063308</v>
      </c>
      <c r="O53" s="87">
        <f t="shared" si="55"/>
        <v>87.97896982764027</v>
      </c>
      <c r="P53" s="87">
        <f t="shared" si="55"/>
        <v>105.57526450398188</v>
      </c>
      <c r="Q53" s="87">
        <f t="shared" si="55"/>
        <v>104.48703361018933</v>
      </c>
      <c r="R53" s="87">
        <f t="shared" si="55"/>
        <v>99.58315182686863</v>
      </c>
      <c r="S53" s="87">
        <f t="shared" si="55"/>
        <v>97.996518698118649</v>
      </c>
      <c r="T53" s="87">
        <f t="shared" si="55"/>
        <v>100.36709085110974</v>
      </c>
      <c r="U53" s="87">
        <f t="shared" si="55"/>
        <v>97.707673688444999</v>
      </c>
      <c r="V53" s="87">
        <f t="shared" si="55"/>
        <v>40.964206132017082</v>
      </c>
      <c r="W53" s="87">
        <f t="shared" ref="W53" si="56">IF(W7=0,0,W7/W18)</f>
        <v>38.846493178087528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160.15654291480877</v>
      </c>
      <c r="C54" s="87">
        <f t="shared" si="57"/>
        <v>160.0490309219737</v>
      </c>
      <c r="D54" s="87">
        <f t="shared" si="57"/>
        <v>232.45199973301277</v>
      </c>
      <c r="E54" s="87">
        <f t="shared" si="57"/>
        <v>214.21360627271429</v>
      </c>
      <c r="F54" s="87">
        <f t="shared" si="57"/>
        <v>101.09348527051658</v>
      </c>
      <c r="G54" s="87">
        <f t="shared" si="57"/>
        <v>79.542865316576695</v>
      </c>
      <c r="H54" s="87">
        <f t="shared" si="57"/>
        <v>75.655154348134829</v>
      </c>
      <c r="I54" s="87">
        <f t="shared" si="57"/>
        <v>30.34958767489999</v>
      </c>
      <c r="J54" s="87">
        <f t="shared" si="57"/>
        <v>35.869701203116833</v>
      </c>
      <c r="K54" s="87">
        <f t="shared" ref="K54:V54" si="58">IF(K8=0,0,K8/K19)</f>
        <v>49.67424022719829</v>
      </c>
      <c r="L54" s="87">
        <f t="shared" si="58"/>
        <v>53.136323461505263</v>
      </c>
      <c r="M54" s="87">
        <f t="shared" si="58"/>
        <v>41.542400863963515</v>
      </c>
      <c r="N54" s="87">
        <f t="shared" si="58"/>
        <v>35.156947644816682</v>
      </c>
      <c r="O54" s="87">
        <f t="shared" si="58"/>
        <v>35.751203771392348</v>
      </c>
      <c r="P54" s="87">
        <f t="shared" si="58"/>
        <v>38.735557624866246</v>
      </c>
      <c r="Q54" s="87">
        <f t="shared" si="58"/>
        <v>30.072926198804886</v>
      </c>
      <c r="R54" s="87">
        <f t="shared" si="58"/>
        <v>28.459187926233568</v>
      </c>
      <c r="S54" s="87">
        <f t="shared" si="58"/>
        <v>25.017822865918411</v>
      </c>
      <c r="T54" s="87">
        <f t="shared" si="58"/>
        <v>23.308051678789106</v>
      </c>
      <c r="U54" s="87">
        <f t="shared" si="58"/>
        <v>21.475190226135492</v>
      </c>
      <c r="V54" s="87">
        <f t="shared" si="58"/>
        <v>17.587511568173973</v>
      </c>
      <c r="W54" s="87">
        <f t="shared" ref="W54" si="59">IF(W8=0,0,W8/W19)</f>
        <v>17.149740225770014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499.36435308202005</v>
      </c>
      <c r="C56" s="29">
        <f t="shared" si="63"/>
        <v>499.39511267449814</v>
      </c>
      <c r="D56" s="29">
        <f t="shared" si="63"/>
        <v>470.9347390515403</v>
      </c>
      <c r="E56" s="29">
        <f t="shared" si="63"/>
        <v>471.05599699881526</v>
      </c>
      <c r="F56" s="29">
        <f t="shared" si="63"/>
        <v>471.15052469570696</v>
      </c>
      <c r="G56" s="29">
        <f t="shared" si="63"/>
        <v>470.68885073289243</v>
      </c>
      <c r="H56" s="29">
        <f t="shared" si="63"/>
        <v>473.36079855090054</v>
      </c>
      <c r="I56" s="29">
        <f t="shared" si="63"/>
        <v>467.8613688320832</v>
      </c>
      <c r="J56" s="29">
        <f t="shared" si="63"/>
        <v>474.62801286846491</v>
      </c>
      <c r="K56" s="29">
        <f t="shared" ref="K56:V56" si="64">IF(K10=0,0,K10/K21)</f>
        <v>541.07250431093621</v>
      </c>
      <c r="L56" s="29">
        <f t="shared" si="64"/>
        <v>502.7117275301236</v>
      </c>
      <c r="M56" s="29">
        <f t="shared" si="64"/>
        <v>497.63033175355451</v>
      </c>
      <c r="N56" s="29">
        <f t="shared" si="64"/>
        <v>511.23595505617982</v>
      </c>
      <c r="O56" s="29">
        <f t="shared" si="64"/>
        <v>512.9533678756477</v>
      </c>
      <c r="P56" s="29">
        <f t="shared" si="64"/>
        <v>490.1960784313726</v>
      </c>
      <c r="Q56" s="29">
        <f t="shared" si="64"/>
        <v>489.79591836734693</v>
      </c>
      <c r="R56" s="29">
        <f t="shared" si="64"/>
        <v>489.1041162227603</v>
      </c>
      <c r="S56" s="29">
        <f t="shared" si="64"/>
        <v>497.51243781094524</v>
      </c>
      <c r="T56" s="29">
        <f t="shared" si="64"/>
        <v>497.20670391061452</v>
      </c>
      <c r="U56" s="29">
        <f t="shared" si="64"/>
        <v>481.60535117056855</v>
      </c>
      <c r="V56" s="29">
        <f t="shared" si="64"/>
        <v>493.33333333333337</v>
      </c>
      <c r="W56" s="29">
        <f t="shared" ref="W56" si="65">IF(W10=0,0,W10/W21)</f>
        <v>496.41603395305532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499.36435308202005</v>
      </c>
      <c r="C57" s="87">
        <f t="shared" si="66"/>
        <v>499.39511267449814</v>
      </c>
      <c r="D57" s="87">
        <f t="shared" si="66"/>
        <v>471.57332745745828</v>
      </c>
      <c r="E57" s="87">
        <f t="shared" si="66"/>
        <v>471.57304538188447</v>
      </c>
      <c r="F57" s="87">
        <f t="shared" si="66"/>
        <v>473.53868874226407</v>
      </c>
      <c r="G57" s="87">
        <f t="shared" si="66"/>
        <v>474.15673112354648</v>
      </c>
      <c r="H57" s="87">
        <f t="shared" si="66"/>
        <v>476.67703291748791</v>
      </c>
      <c r="I57" s="87">
        <f t="shared" si="66"/>
        <v>470.41992595275116</v>
      </c>
      <c r="J57" s="87">
        <f t="shared" si="66"/>
        <v>477.2406095039666</v>
      </c>
      <c r="K57" s="87">
        <f t="shared" ref="K57:V57" si="67">IF(K11=0,0,K11/K22)</f>
        <v>543.80080791557327</v>
      </c>
      <c r="L57" s="87">
        <f t="shared" si="67"/>
        <v>505.33934276724654</v>
      </c>
      <c r="M57" s="87">
        <f t="shared" si="67"/>
        <v>500.19257411900793</v>
      </c>
      <c r="N57" s="87">
        <f t="shared" si="67"/>
        <v>513.96726825542498</v>
      </c>
      <c r="O57" s="87">
        <f t="shared" si="67"/>
        <v>515.42133748580807</v>
      </c>
      <c r="P57" s="87">
        <f t="shared" si="67"/>
        <v>492.61818658293549</v>
      </c>
      <c r="Q57" s="87">
        <f t="shared" si="67"/>
        <v>492.332537638205</v>
      </c>
      <c r="R57" s="87">
        <f t="shared" si="67"/>
        <v>491.88939282673323</v>
      </c>
      <c r="S57" s="87">
        <f t="shared" si="67"/>
        <v>500.28840941655966</v>
      </c>
      <c r="T57" s="87">
        <f t="shared" si="67"/>
        <v>500.35031027781292</v>
      </c>
      <c r="U57" s="87">
        <f t="shared" si="67"/>
        <v>484.78515667701328</v>
      </c>
      <c r="V57" s="87">
        <f t="shared" si="67"/>
        <v>497.29171173457468</v>
      </c>
      <c r="W57" s="87">
        <f t="shared" ref="W57" si="68">IF(W11=0,0,W11/W22)</f>
        <v>500.45944829036978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410.41186008027057</v>
      </c>
      <c r="E58" s="88">
        <f t="shared" si="69"/>
        <v>420.81055042349072</v>
      </c>
      <c r="F58" s="88">
        <f t="shared" si="69"/>
        <v>430.61646198211776</v>
      </c>
      <c r="G58" s="88">
        <f t="shared" si="69"/>
        <v>431.14748139701578</v>
      </c>
      <c r="H58" s="88">
        <f t="shared" si="69"/>
        <v>433.37790349587112</v>
      </c>
      <c r="I58" s="88">
        <f t="shared" si="69"/>
        <v>427.42130346615784</v>
      </c>
      <c r="J58" s="88">
        <f t="shared" si="69"/>
        <v>433.41285234710006</v>
      </c>
      <c r="K58" s="88">
        <f t="shared" ref="K58:V58" si="70">IF(K12=0,0,K12/K23)</f>
        <v>493.94065554783958</v>
      </c>
      <c r="L58" s="88">
        <f t="shared" si="70"/>
        <v>459.03860891420527</v>
      </c>
      <c r="M58" s="88">
        <f t="shared" si="70"/>
        <v>454.70414263456053</v>
      </c>
      <c r="N58" s="88">
        <f t="shared" si="70"/>
        <v>467.2147856343704</v>
      </c>
      <c r="O58" s="88">
        <f t="shared" si="70"/>
        <v>468.54606874007266</v>
      </c>
      <c r="P58" s="88">
        <f t="shared" si="70"/>
        <v>447.850035406769</v>
      </c>
      <c r="Q58" s="88">
        <f t="shared" si="70"/>
        <v>447.57503421655048</v>
      </c>
      <c r="R58" s="88">
        <f t="shared" si="70"/>
        <v>447.17217529702998</v>
      </c>
      <c r="S58" s="88">
        <f t="shared" si="70"/>
        <v>454.80764492414585</v>
      </c>
      <c r="T58" s="88">
        <f t="shared" si="70"/>
        <v>454.86391843437588</v>
      </c>
      <c r="U58" s="88">
        <f t="shared" si="70"/>
        <v>440.71377879728487</v>
      </c>
      <c r="V58" s="88">
        <f t="shared" si="70"/>
        <v>452.08337430415861</v>
      </c>
      <c r="W58" s="88">
        <f t="shared" ref="W58" si="71">IF(W12=0,0,W12/W23)</f>
        <v>451.21115881039304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320.00000000000006</v>
      </c>
      <c r="C61" s="29">
        <f t="shared" ref="C61" si="73">IF(C26=0,0,(C62*C27+C64*C29+C65*C30+C66*C31)/(C27+C29+C30+C31))</f>
        <v>319.99999999999994</v>
      </c>
      <c r="D61" s="29">
        <f t="shared" ref="D61" si="74">IF(D26=0,0,(D62*D27+D64*D29+D65*D30+D66*D31)/(D27+D29+D30+D31))</f>
        <v>320</v>
      </c>
      <c r="E61" s="29">
        <f t="shared" ref="E61" si="75">IF(E26=0,0,(E62*E27+E64*E29+E65*E30+E66*E31)/(E27+E29+E30+E31))</f>
        <v>320</v>
      </c>
      <c r="F61" s="29">
        <f t="shared" ref="F61" si="76">IF(F26=0,0,(F62*F27+F64*F29+F65*F30+F66*F31)/(F27+F29+F30+F31))</f>
        <v>324.30406829048098</v>
      </c>
      <c r="G61" s="29">
        <f t="shared" ref="G61" si="77">IF(G26=0,0,(G62*G27+G64*G29+G65*G30+G66*G31)/(G27+G29+G30+G31))</f>
        <v>329.10516452688461</v>
      </c>
      <c r="H61" s="29">
        <f t="shared" ref="H61" si="78">IF(H26=0,0,(H62*H27+H64*H29+H65*H30+H66*H31)/(H27+H29+H30+H31))</f>
        <v>329.04520746538026</v>
      </c>
      <c r="I61" s="29">
        <f t="shared" ref="I61" si="79">IF(I26=0,0,(I62*I27+I64*I29+I65*I30+I66*I31)/(I27+I29+I30+I31))</f>
        <v>332.08068011221098</v>
      </c>
      <c r="J61" s="29">
        <f t="shared" ref="J61" si="80">IF(J26=0,0,(J62*J27+J64*J29+J65*J30+J66*J31)/(J27+J29+J30+J31))</f>
        <v>331.3822920892643</v>
      </c>
      <c r="K61" s="29">
        <f t="shared" ref="K61" si="81">IF(K26=0,0,(K62*K27+K64*K29+K65*K30+K66*K31)/(K27+K29+K30+K31))</f>
        <v>331.92629990185043</v>
      </c>
      <c r="L61" s="29">
        <f t="shared" ref="L61" si="82">IF(L26=0,0,(L62*L27+L64*L29+L65*L30+L66*L31)/(L27+L29+L30+L31))</f>
        <v>331.73560242481597</v>
      </c>
      <c r="M61" s="29">
        <f t="shared" ref="M61" si="83">IF(M26=0,0,(M62*M27+M64*M29+M65*M30+M66*M31)/(M27+M29+M30+M31))</f>
        <v>331.38772639810765</v>
      </c>
      <c r="N61" s="29">
        <f t="shared" ref="N61" si="84">IF(N26=0,0,(N62*N27+N64*N29+N65*N30+N66*N31)/(N27+N29+N30+N31))</f>
        <v>331.05843728345263</v>
      </c>
      <c r="O61" s="29">
        <f t="shared" ref="O61" si="85">IF(O26=0,0,(O62*O27+O64*O29+O65*O30+O66*O31)/(O27+O29+O30+O31))</f>
        <v>331.11928102314494</v>
      </c>
      <c r="P61" s="29">
        <f t="shared" ref="P61" si="86">IF(P26=0,0,(P62*P27+P64*P29+P65*P30+P66*P31)/(P27+P29+P30+P31))</f>
        <v>331.73723274006767</v>
      </c>
      <c r="Q61" s="29">
        <f t="shared" ref="Q61" si="87">IF(Q26=0,0,(Q62*Q27+Q64*Q29+Q65*Q30+Q66*Q31)/(Q27+Q29+Q30+Q31))</f>
        <v>331.39912553649106</v>
      </c>
      <c r="R61" s="29">
        <f t="shared" ref="R61" si="88">IF(R26=0,0,(R62*R27+R64*R29+R65*R30+R66*R31)/(R27+R29+R30+R31))</f>
        <v>330.57394650834812</v>
      </c>
      <c r="S61" s="29">
        <f t="shared" ref="S61" si="89">IF(S26=0,0,(S62*S27+S64*S29+S65*S30+S66*S31)/(S27+S29+S30+S31))</f>
        <v>329.86642749170102</v>
      </c>
      <c r="T61" s="29">
        <f t="shared" ref="T61" si="90">IF(T26=0,0,(T62*T27+T64*T29+T65*T30+T66*T31)/(T27+T29+T30+T31))</f>
        <v>333.60022437956786</v>
      </c>
      <c r="U61" s="29">
        <f t="shared" ref="U61" si="91">IF(U26=0,0,(U62*U27+U64*U29+U65*U30+U66*U31)/(U27+U29+U30+U31))</f>
        <v>332.74379828992738</v>
      </c>
      <c r="V61" s="29">
        <f t="shared" ref="V61" si="92">IF(V26=0,0,(V62*V27+V64*V29+V65*V30+V66*V31)/(V27+V29+V30+V31))</f>
        <v>333.22895084857669</v>
      </c>
      <c r="W61" s="29">
        <f t="shared" ref="W61" si="93">IF(W26=0,0,(W62*W27+W64*W29+W65*W30+W66*W31)/(W27+W29+W30+W31))</f>
        <v>333.68382460433128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319.99999999999994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320.00000000000006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319.99999999999994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319.99999999999994</v>
      </c>
      <c r="P63" s="116">
        <f t="shared" ref="P63" si="108">IF(P28=0,0,(P64*P29+P65*P30)/(P29+P30))</f>
        <v>319.99999999999994</v>
      </c>
      <c r="Q63" s="116">
        <f t="shared" ref="Q63" si="109">IF(Q28=0,0,(Q64*Q29+Q65*Q30)/(Q29+Q30))</f>
        <v>320.00000000000006</v>
      </c>
      <c r="R63" s="116">
        <f t="shared" ref="R63" si="110">IF(R28=0,0,(R64*R29+R65*R30)/(R29+R30))</f>
        <v>319.99999999999994</v>
      </c>
      <c r="S63" s="116">
        <f t="shared" ref="S63" si="111">IF(S28=0,0,(S64*S29+S65*S30)/(S29+S30))</f>
        <v>320.00000000000006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2099.9999999999995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2099.9999999999995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2100.0000000000005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0.37645142567514367</v>
      </c>
      <c r="C72" s="30">
        <f t="shared" ref="C72:J72" si="138">IF(C50=0,0,C50/C61)</f>
        <v>0.37478042206366075</v>
      </c>
      <c r="D72" s="30">
        <f t="shared" si="138"/>
        <v>0.43777878591776498</v>
      </c>
      <c r="E72" s="30">
        <f t="shared" si="138"/>
        <v>0.37821208953791519</v>
      </c>
      <c r="F72" s="30">
        <f t="shared" si="138"/>
        <v>0.31736326670678144</v>
      </c>
      <c r="G72" s="30">
        <f t="shared" si="138"/>
        <v>0.35469569526445505</v>
      </c>
      <c r="H72" s="30">
        <f t="shared" si="138"/>
        <v>0.36036761321220045</v>
      </c>
      <c r="I72" s="30">
        <f t="shared" si="138"/>
        <v>0.34436749386321164</v>
      </c>
      <c r="J72" s="30">
        <f t="shared" si="138"/>
        <v>0.31778296127813521</v>
      </c>
      <c r="K72" s="30">
        <f t="shared" ref="K72:V72" si="139">IF(K50=0,0,K50/K61)</f>
        <v>0.28928137818934058</v>
      </c>
      <c r="L72" s="30">
        <f t="shared" si="139"/>
        <v>0.28081633297006503</v>
      </c>
      <c r="M72" s="30">
        <f t="shared" si="139"/>
        <v>0.26506124665429742</v>
      </c>
      <c r="N72" s="30">
        <f t="shared" si="139"/>
        <v>0.24837665835907449</v>
      </c>
      <c r="O72" s="30">
        <f t="shared" si="139"/>
        <v>0.24831361120116471</v>
      </c>
      <c r="P72" s="30">
        <f t="shared" si="139"/>
        <v>0.29147719665863475</v>
      </c>
      <c r="Q72" s="30">
        <f t="shared" si="139"/>
        <v>0.28903939325837308</v>
      </c>
      <c r="R72" s="30">
        <f t="shared" si="139"/>
        <v>0.27771184724219983</v>
      </c>
      <c r="S72" s="30">
        <f t="shared" si="139"/>
        <v>0.27496461422463603</v>
      </c>
      <c r="T72" s="30">
        <f t="shared" si="139"/>
        <v>0.28015442097724808</v>
      </c>
      <c r="U72" s="30">
        <f t="shared" si="139"/>
        <v>0.27445113459444903</v>
      </c>
      <c r="V72" s="30">
        <f t="shared" si="139"/>
        <v>0.11681393181534831</v>
      </c>
      <c r="W72" s="30">
        <f t="shared" ref="W72" si="140">IF(W50=0,0,W50/W61)</f>
        <v>0.11172613536671978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0.19693933603486577</v>
      </c>
      <c r="G73" s="118">
        <f t="shared" si="141"/>
        <v>0.19721834031520899</v>
      </c>
      <c r="H73" s="118">
        <f t="shared" si="141"/>
        <v>0.19757502597272436</v>
      </c>
      <c r="I73" s="118">
        <f t="shared" si="141"/>
        <v>0.19599070619855408</v>
      </c>
      <c r="J73" s="118">
        <f t="shared" si="141"/>
        <v>0.2011395926865282</v>
      </c>
      <c r="K73" s="118">
        <f t="shared" ref="K73:V73" si="142">IF(K51=0,0,K51/K62)</f>
        <v>0.18367549022431287</v>
      </c>
      <c r="L73" s="118">
        <f t="shared" si="142"/>
        <v>0.18177902340455887</v>
      </c>
      <c r="M73" s="118">
        <f t="shared" si="142"/>
        <v>0.18363276876735043</v>
      </c>
      <c r="N73" s="118">
        <f t="shared" si="142"/>
        <v>0.18321210042967484</v>
      </c>
      <c r="O73" s="118">
        <f t="shared" si="142"/>
        <v>0.17844571302796544</v>
      </c>
      <c r="P73" s="118">
        <f t="shared" si="142"/>
        <v>0.18280176094758901</v>
      </c>
      <c r="Q73" s="118">
        <f t="shared" si="142"/>
        <v>0.18883178334929174</v>
      </c>
      <c r="R73" s="118">
        <f t="shared" si="142"/>
        <v>0.19282009442811254</v>
      </c>
      <c r="S73" s="118">
        <f t="shared" si="142"/>
        <v>0.19534458866997742</v>
      </c>
      <c r="T73" s="118">
        <f t="shared" si="142"/>
        <v>0.21831212177813497</v>
      </c>
      <c r="U73" s="118">
        <f t="shared" si="142"/>
        <v>0.2188142620232173</v>
      </c>
      <c r="V73" s="118">
        <f t="shared" si="142"/>
        <v>9.821668909825032E-2</v>
      </c>
      <c r="W73" s="118">
        <f t="shared" ref="W73" si="143">IF(W51=0,0,W51/W62)</f>
        <v>9.7932869422840782E-2</v>
      </c>
      <c r="DA73" s="203"/>
    </row>
    <row r="74" spans="1:105" ht="11.45" customHeight="1" x14ac:dyDescent="0.25">
      <c r="A74" s="109" t="s">
        <v>24</v>
      </c>
      <c r="B74" s="119">
        <f t="shared" si="141"/>
        <v>0.37645142567514367</v>
      </c>
      <c r="C74" s="119">
        <f t="shared" si="141"/>
        <v>0.37478042206366075</v>
      </c>
      <c r="D74" s="119">
        <f t="shared" si="141"/>
        <v>0.43777878591776498</v>
      </c>
      <c r="E74" s="119">
        <f t="shared" si="141"/>
        <v>0.37821208953791519</v>
      </c>
      <c r="F74" s="119">
        <f t="shared" si="141"/>
        <v>0.32477825310202157</v>
      </c>
      <c r="G74" s="119">
        <f t="shared" si="141"/>
        <v>0.37592669949293467</v>
      </c>
      <c r="H74" s="119">
        <f t="shared" si="141"/>
        <v>0.38210711518374313</v>
      </c>
      <c r="I74" s="119">
        <f t="shared" si="141"/>
        <v>0.37225747626099143</v>
      </c>
      <c r="J74" s="119">
        <f t="shared" si="141"/>
        <v>0.3365032856409147</v>
      </c>
      <c r="K74" s="119">
        <f t="shared" ref="K74:V74" si="144">IF(K52=0,0,K52/K63)</f>
        <v>0.30746427363978929</v>
      </c>
      <c r="L74" s="119">
        <f t="shared" si="144"/>
        <v>0.29764879093777435</v>
      </c>
      <c r="M74" s="119">
        <f t="shared" si="144"/>
        <v>0.27909879475577559</v>
      </c>
      <c r="N74" s="119">
        <f t="shared" si="144"/>
        <v>0.25985344984482217</v>
      </c>
      <c r="O74" s="119">
        <f t="shared" si="144"/>
        <v>0.26072402981569359</v>
      </c>
      <c r="P74" s="119">
        <f t="shared" si="144"/>
        <v>0.31147005496747204</v>
      </c>
      <c r="Q74" s="119">
        <f t="shared" si="144"/>
        <v>0.30704855320761715</v>
      </c>
      <c r="R74" s="119">
        <f t="shared" si="144"/>
        <v>0.29201093704019743</v>
      </c>
      <c r="S74" s="119">
        <f t="shared" si="144"/>
        <v>0.28747003138485122</v>
      </c>
      <c r="T74" s="119">
        <f t="shared" si="144"/>
        <v>0.29494074131805281</v>
      </c>
      <c r="U74" s="119">
        <f t="shared" si="144"/>
        <v>0.28696360661558906</v>
      </c>
      <c r="V74" s="119">
        <f t="shared" si="144"/>
        <v>0.12148209443057996</v>
      </c>
      <c r="W74" s="119">
        <f t="shared" ref="W74" si="145">IF(W52=0,0,W52/W63)</f>
        <v>0.11572223897426234</v>
      </c>
      <c r="DA74" s="176"/>
    </row>
    <row r="75" spans="1:105" ht="11.45" customHeight="1" x14ac:dyDescent="0.25">
      <c r="A75" s="111" t="s">
        <v>92</v>
      </c>
      <c r="B75" s="120">
        <f t="shared" si="141"/>
        <v>0.36334079477803871</v>
      </c>
      <c r="C75" s="120">
        <f t="shared" si="141"/>
        <v>0.36272069725679079</v>
      </c>
      <c r="D75" s="120">
        <f t="shared" si="141"/>
        <v>0.41141281801736601</v>
      </c>
      <c r="E75" s="120">
        <f t="shared" si="141"/>
        <v>0.35478915289346868</v>
      </c>
      <c r="F75" s="120">
        <f t="shared" si="141"/>
        <v>0.32612371182301503</v>
      </c>
      <c r="G75" s="120">
        <f t="shared" si="141"/>
        <v>0.39853512113809947</v>
      </c>
      <c r="H75" s="120">
        <f t="shared" si="141"/>
        <v>0.40617055055443696</v>
      </c>
      <c r="I75" s="120">
        <f t="shared" si="141"/>
        <v>0.40533007151973754</v>
      </c>
      <c r="J75" s="120">
        <f t="shared" si="141"/>
        <v>0.36543312372388209</v>
      </c>
      <c r="K75" s="120">
        <f t="shared" ref="K75:V75" si="146">IF(K53=0,0,K53/K64)</f>
        <v>0.32444234750593914</v>
      </c>
      <c r="L75" s="120">
        <f t="shared" si="146"/>
        <v>0.31249414204602238</v>
      </c>
      <c r="M75" s="120">
        <f t="shared" si="146"/>
        <v>0.29542924558858263</v>
      </c>
      <c r="N75" s="120">
        <f t="shared" si="146"/>
        <v>0.27555462108769785</v>
      </c>
      <c r="O75" s="120">
        <f t="shared" si="146"/>
        <v>0.27493428071137582</v>
      </c>
      <c r="P75" s="120">
        <f t="shared" si="146"/>
        <v>0.32992270157494341</v>
      </c>
      <c r="Q75" s="120">
        <f t="shared" si="146"/>
        <v>0.32652198003184163</v>
      </c>
      <c r="R75" s="120">
        <f t="shared" si="146"/>
        <v>0.31119734945896449</v>
      </c>
      <c r="S75" s="120">
        <f t="shared" si="146"/>
        <v>0.30623912093162076</v>
      </c>
      <c r="T75" s="120">
        <f t="shared" si="146"/>
        <v>0.31364715890971795</v>
      </c>
      <c r="U75" s="120">
        <f t="shared" si="146"/>
        <v>0.3053364802763906</v>
      </c>
      <c r="V75" s="120">
        <f t="shared" si="146"/>
        <v>0.12801314416255338</v>
      </c>
      <c r="W75" s="120">
        <f t="shared" ref="W75" si="147">IF(W53=0,0,W53/W64)</f>
        <v>0.12139529118152352</v>
      </c>
      <c r="DA75" s="171"/>
    </row>
    <row r="76" spans="1:105" ht="11.45" customHeight="1" x14ac:dyDescent="0.25">
      <c r="A76" s="111" t="s">
        <v>93</v>
      </c>
      <c r="B76" s="120">
        <f t="shared" si="141"/>
        <v>0.50048919660877744</v>
      </c>
      <c r="C76" s="120">
        <f t="shared" si="141"/>
        <v>0.50015322163116782</v>
      </c>
      <c r="D76" s="120">
        <f t="shared" si="141"/>
        <v>0.72641249916566486</v>
      </c>
      <c r="E76" s="120">
        <f t="shared" si="141"/>
        <v>0.66941751960223217</v>
      </c>
      <c r="F76" s="120">
        <f t="shared" si="141"/>
        <v>0.31591714147036432</v>
      </c>
      <c r="G76" s="120">
        <f t="shared" si="141"/>
        <v>0.24857145411430218</v>
      </c>
      <c r="H76" s="120">
        <f t="shared" si="141"/>
        <v>0.23642235733792133</v>
      </c>
      <c r="I76" s="120">
        <f t="shared" si="141"/>
        <v>9.4842461484062474E-2</v>
      </c>
      <c r="J76" s="120">
        <f t="shared" si="141"/>
        <v>0.1120928162597401</v>
      </c>
      <c r="K76" s="120">
        <f t="shared" ref="K76:V76" si="148">IF(K54=0,0,K54/K65)</f>
        <v>0.15523200070999466</v>
      </c>
      <c r="L76" s="120">
        <f t="shared" si="148"/>
        <v>0.16605101081720394</v>
      </c>
      <c r="M76" s="120">
        <f t="shared" si="148"/>
        <v>0.12982000269988597</v>
      </c>
      <c r="N76" s="120">
        <f t="shared" si="148"/>
        <v>0.10986546139005213</v>
      </c>
      <c r="O76" s="120">
        <f t="shared" si="148"/>
        <v>0.11172251178560108</v>
      </c>
      <c r="P76" s="120">
        <f t="shared" si="148"/>
        <v>0.12104861757770702</v>
      </c>
      <c r="Q76" s="120">
        <f t="shared" si="148"/>
        <v>9.3977894371265275E-2</v>
      </c>
      <c r="R76" s="120">
        <f t="shared" si="148"/>
        <v>8.8934962269479903E-2</v>
      </c>
      <c r="S76" s="120">
        <f t="shared" si="148"/>
        <v>7.8180696455995041E-2</v>
      </c>
      <c r="T76" s="120">
        <f t="shared" si="148"/>
        <v>7.2837661496215955E-2</v>
      </c>
      <c r="U76" s="120">
        <f t="shared" si="148"/>
        <v>6.7109969456673413E-2</v>
      </c>
      <c r="V76" s="120">
        <f t="shared" si="148"/>
        <v>5.4960973650543664E-2</v>
      </c>
      <c r="W76" s="120">
        <f t="shared" ref="W76" si="149">IF(W54=0,0,W54/W65)</f>
        <v>5.3592938205531293E-2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0.23779254908667621</v>
      </c>
      <c r="C78" s="30">
        <f t="shared" si="141"/>
        <v>0.23780719651166579</v>
      </c>
      <c r="D78" s="30">
        <f t="shared" si="141"/>
        <v>0.22425463764359063</v>
      </c>
      <c r="E78" s="30">
        <f t="shared" si="141"/>
        <v>0.22431237952324537</v>
      </c>
      <c r="F78" s="30">
        <f t="shared" si="141"/>
        <v>0.22435739271224142</v>
      </c>
      <c r="G78" s="30">
        <f t="shared" si="141"/>
        <v>0.22413754796804403</v>
      </c>
      <c r="H78" s="30">
        <f t="shared" si="141"/>
        <v>0.2254099040718574</v>
      </c>
      <c r="I78" s="30">
        <f t="shared" si="141"/>
        <v>0.22279112801527773</v>
      </c>
      <c r="J78" s="30">
        <f t="shared" si="141"/>
        <v>0.22601333946117377</v>
      </c>
      <c r="K78" s="30">
        <f t="shared" ref="K78:V78" si="152">IF(K56=0,0,K56/K67)</f>
        <v>0.25765357348139817</v>
      </c>
      <c r="L78" s="30">
        <f t="shared" si="152"/>
        <v>0.23938653691910652</v>
      </c>
      <c r="M78" s="30">
        <f t="shared" si="152"/>
        <v>0.23696682464454977</v>
      </c>
      <c r="N78" s="30">
        <f t="shared" si="152"/>
        <v>0.24344569288389514</v>
      </c>
      <c r="O78" s="30">
        <f t="shared" si="152"/>
        <v>0.24426350851221318</v>
      </c>
      <c r="P78" s="30">
        <f t="shared" si="152"/>
        <v>0.23342670401493934</v>
      </c>
      <c r="Q78" s="30">
        <f t="shared" si="152"/>
        <v>0.23323615160349853</v>
      </c>
      <c r="R78" s="30">
        <f t="shared" si="152"/>
        <v>0.23290672201083823</v>
      </c>
      <c r="S78" s="30">
        <f t="shared" si="152"/>
        <v>0.23691068467187873</v>
      </c>
      <c r="T78" s="30">
        <f t="shared" si="152"/>
        <v>0.23676509710029264</v>
      </c>
      <c r="U78" s="30">
        <f t="shared" si="152"/>
        <v>0.22933588150979456</v>
      </c>
      <c r="V78" s="30">
        <f t="shared" si="152"/>
        <v>0.23492063492063495</v>
      </c>
      <c r="W78" s="30">
        <f t="shared" ref="W78" si="153">IF(W56=0,0,W56/W67)</f>
        <v>0.23638858759669296</v>
      </c>
      <c r="DA78" s="173"/>
    </row>
    <row r="79" spans="1:105" ht="11.45" customHeight="1" x14ac:dyDescent="0.25">
      <c r="A79" s="83" t="s">
        <v>92</v>
      </c>
      <c r="B79" s="120">
        <f t="shared" si="141"/>
        <v>0.23779254908667621</v>
      </c>
      <c r="C79" s="120">
        <f t="shared" si="141"/>
        <v>0.23780719651166579</v>
      </c>
      <c r="D79" s="120">
        <f t="shared" si="141"/>
        <v>0.2245587273606944</v>
      </c>
      <c r="E79" s="120">
        <f t="shared" si="141"/>
        <v>0.22455859303899262</v>
      </c>
      <c r="F79" s="120">
        <f t="shared" si="141"/>
        <v>0.22549461368679241</v>
      </c>
      <c r="G79" s="120">
        <f t="shared" si="141"/>
        <v>0.22578891958264119</v>
      </c>
      <c r="H79" s="120">
        <f t="shared" si="141"/>
        <v>0.22698906329404187</v>
      </c>
      <c r="I79" s="120">
        <f t="shared" si="141"/>
        <v>0.22400948854892913</v>
      </c>
      <c r="J79" s="120">
        <f t="shared" si="141"/>
        <v>0.22725743309712695</v>
      </c>
      <c r="K79" s="120">
        <f t="shared" ref="K79:V79" si="154">IF(K57=0,0,K57/K68)</f>
        <v>0.25895276567408249</v>
      </c>
      <c r="L79" s="120">
        <f t="shared" si="154"/>
        <v>0.2406377822701174</v>
      </c>
      <c r="M79" s="120">
        <f t="shared" si="154"/>
        <v>0.23818694005667043</v>
      </c>
      <c r="N79" s="120">
        <f t="shared" si="154"/>
        <v>0.24474631821686904</v>
      </c>
      <c r="O79" s="120">
        <f t="shared" si="154"/>
        <v>0.24543873213609907</v>
      </c>
      <c r="P79" s="120">
        <f t="shared" si="154"/>
        <v>0.2345800888490169</v>
      </c>
      <c r="Q79" s="120">
        <f t="shared" si="154"/>
        <v>0.23444406554200237</v>
      </c>
      <c r="R79" s="120">
        <f t="shared" si="154"/>
        <v>0.23423304420320629</v>
      </c>
      <c r="S79" s="120">
        <f t="shared" si="154"/>
        <v>0.23823257591264746</v>
      </c>
      <c r="T79" s="120">
        <f t="shared" si="154"/>
        <v>0.23826205251324425</v>
      </c>
      <c r="U79" s="120">
        <f t="shared" si="154"/>
        <v>0.23085007460810156</v>
      </c>
      <c r="V79" s="120">
        <f t="shared" si="154"/>
        <v>0.23680557701646412</v>
      </c>
      <c r="W79" s="120">
        <f t="shared" ref="W79" si="155">IF(W57=0,0,W57/W68)</f>
        <v>0.23831402299541418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0.19543421908584313</v>
      </c>
      <c r="E80" s="122">
        <f t="shared" si="141"/>
        <v>0.20038597639213845</v>
      </c>
      <c r="F80" s="122">
        <f t="shared" si="141"/>
        <v>0.20505545808672274</v>
      </c>
      <c r="G80" s="122">
        <f t="shared" si="141"/>
        <v>0.20530832447476943</v>
      </c>
      <c r="H80" s="122">
        <f t="shared" si="141"/>
        <v>0.20637043023612911</v>
      </c>
      <c r="I80" s="122">
        <f t="shared" si="141"/>
        <v>0.20353395403150373</v>
      </c>
      <c r="J80" s="122">
        <f t="shared" si="141"/>
        <v>0.20638707254623812</v>
      </c>
      <c r="K80" s="122">
        <f t="shared" ref="K80:V80" si="156">IF(K58=0,0,K58/K69)</f>
        <v>0.23520983597516171</v>
      </c>
      <c r="L80" s="122">
        <f t="shared" si="156"/>
        <v>0.21858981376866918</v>
      </c>
      <c r="M80" s="122">
        <f t="shared" si="156"/>
        <v>0.21652578220693358</v>
      </c>
      <c r="N80" s="122">
        <f t="shared" si="156"/>
        <v>0.22248323125446209</v>
      </c>
      <c r="O80" s="122">
        <f t="shared" si="156"/>
        <v>0.22311717559051078</v>
      </c>
      <c r="P80" s="122">
        <f t="shared" si="156"/>
        <v>0.21326192162227095</v>
      </c>
      <c r="Q80" s="122">
        <f t="shared" si="156"/>
        <v>0.21313096867454784</v>
      </c>
      <c r="R80" s="122">
        <f t="shared" si="156"/>
        <v>0.21293913109382381</v>
      </c>
      <c r="S80" s="122">
        <f t="shared" si="156"/>
        <v>0.21657506901149803</v>
      </c>
      <c r="T80" s="122">
        <f t="shared" si="156"/>
        <v>0.21660186592113137</v>
      </c>
      <c r="U80" s="122">
        <f t="shared" si="156"/>
        <v>0.20986370418918326</v>
      </c>
      <c r="V80" s="122">
        <f t="shared" si="156"/>
        <v>0.21527779728769458</v>
      </c>
      <c r="W80" s="122">
        <f t="shared" ref="W80" si="157">IF(W58=0,0,W58/W69)</f>
        <v>0.21486245657637765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153005.57757508097</v>
      </c>
      <c r="C82" s="54">
        <f t="shared" si="158"/>
        <v>152889.97534366546</v>
      </c>
      <c r="D82" s="54">
        <f t="shared" si="158"/>
        <v>152072.99216848786</v>
      </c>
      <c r="E82" s="54">
        <f t="shared" si="158"/>
        <v>152276.32562511784</v>
      </c>
      <c r="F82" s="54">
        <f t="shared" si="158"/>
        <v>149828.768464678</v>
      </c>
      <c r="G82" s="54">
        <f t="shared" si="158"/>
        <v>146280.21734747605</v>
      </c>
      <c r="H82" s="54">
        <f t="shared" si="158"/>
        <v>145110.98832411913</v>
      </c>
      <c r="I82" s="54">
        <f t="shared" si="158"/>
        <v>141113.34868186223</v>
      </c>
      <c r="J82" s="54">
        <f t="shared" si="158"/>
        <v>140213.93222592273</v>
      </c>
      <c r="K82" s="54">
        <f t="shared" ref="K82:V82" si="159">IF(K14=0,0,K14/K25*1000000)</f>
        <v>138107.25326163924</v>
      </c>
      <c r="L82" s="54">
        <f t="shared" si="159"/>
        <v>140370.12777055107</v>
      </c>
      <c r="M82" s="54">
        <f t="shared" si="159"/>
        <v>142055.92560529514</v>
      </c>
      <c r="N82" s="54">
        <f t="shared" si="159"/>
        <v>142794.86858326406</v>
      </c>
      <c r="O82" s="54">
        <f t="shared" si="159"/>
        <v>143349.84200635637</v>
      </c>
      <c r="P82" s="54">
        <f t="shared" si="159"/>
        <v>141394.38525871054</v>
      </c>
      <c r="Q82" s="54">
        <f t="shared" si="159"/>
        <v>144464.87602616899</v>
      </c>
      <c r="R82" s="54">
        <f t="shared" si="159"/>
        <v>144887.87001196001</v>
      </c>
      <c r="S82" s="54">
        <f t="shared" si="159"/>
        <v>145140.34178662175</v>
      </c>
      <c r="T82" s="54">
        <f t="shared" si="159"/>
        <v>143315.29515913897</v>
      </c>
      <c r="U82" s="54">
        <f t="shared" si="159"/>
        <v>142992.51804155362</v>
      </c>
      <c r="V82" s="54">
        <f t="shared" si="159"/>
        <v>123014.95335720919</v>
      </c>
      <c r="W82" s="54">
        <f t="shared" ref="W82" si="160">IF(W14=0,0,W14/W25*1000000)</f>
        <v>137949.10963159063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149999.99815965298</v>
      </c>
      <c r="C83" s="28">
        <f t="shared" si="161"/>
        <v>149999.99926752769</v>
      </c>
      <c r="D83" s="28">
        <f t="shared" si="161"/>
        <v>149670.79504756702</v>
      </c>
      <c r="E83" s="28">
        <f t="shared" si="161"/>
        <v>149999.99785272911</v>
      </c>
      <c r="F83" s="28">
        <f t="shared" si="161"/>
        <v>147847.96316683688</v>
      </c>
      <c r="G83" s="28">
        <f t="shared" si="161"/>
        <v>145447.4159855317</v>
      </c>
      <c r="H83" s="28">
        <f t="shared" si="161"/>
        <v>145477.3947839746</v>
      </c>
      <c r="I83" s="28">
        <f t="shared" si="161"/>
        <v>141984.34722698398</v>
      </c>
      <c r="J83" s="28">
        <f t="shared" si="161"/>
        <v>140945.35797484103</v>
      </c>
      <c r="K83" s="28">
        <f t="shared" ref="K83:V83" si="162">IF(K15=0,0,K15/K26*1000000)</f>
        <v>138861.00715635571</v>
      </c>
      <c r="L83" s="28">
        <f t="shared" si="162"/>
        <v>140374.94723668115</v>
      </c>
      <c r="M83" s="28">
        <f t="shared" si="162"/>
        <v>141826.51389974382</v>
      </c>
      <c r="N83" s="28">
        <f t="shared" si="162"/>
        <v>142649.93033143523</v>
      </c>
      <c r="O83" s="28">
        <f t="shared" si="162"/>
        <v>143180.34412337129</v>
      </c>
      <c r="P83" s="28">
        <f t="shared" si="162"/>
        <v>141171.0937373121</v>
      </c>
      <c r="Q83" s="28">
        <f t="shared" si="162"/>
        <v>144300.43600320449</v>
      </c>
      <c r="R83" s="28">
        <f t="shared" si="162"/>
        <v>144713.02571557809</v>
      </c>
      <c r="S83" s="28">
        <f t="shared" si="162"/>
        <v>144990.02035301714</v>
      </c>
      <c r="T83" s="28">
        <f t="shared" si="162"/>
        <v>143199.88652567202</v>
      </c>
      <c r="U83" s="28">
        <f t="shared" si="162"/>
        <v>142928.73031795185</v>
      </c>
      <c r="V83" s="28">
        <f t="shared" si="162"/>
        <v>122845.1313418686</v>
      </c>
      <c r="W83" s="28">
        <f t="shared" ref="W83" si="163">IF(W15=0,0,W15/W26*1000000)</f>
        <v>137866.52751990865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109999.98429737733</v>
      </c>
      <c r="G84" s="108">
        <f t="shared" si="161"/>
        <v>109999.99865150009</v>
      </c>
      <c r="H84" s="108">
        <f t="shared" si="161"/>
        <v>109999.99840162919</v>
      </c>
      <c r="I84" s="108">
        <f t="shared" si="161"/>
        <v>109999.99479975793</v>
      </c>
      <c r="J84" s="108">
        <f t="shared" si="161"/>
        <v>86359.802416139835</v>
      </c>
      <c r="K84" s="108">
        <f t="shared" ref="K84:V84" si="164">IF(K16=0,0,K16/K27*1000000)</f>
        <v>88534.55674129627</v>
      </c>
      <c r="L84" s="108">
        <f t="shared" si="164"/>
        <v>88780.507545003944</v>
      </c>
      <c r="M84" s="108">
        <f t="shared" si="164"/>
        <v>92580.38823635201</v>
      </c>
      <c r="N84" s="108">
        <f t="shared" si="164"/>
        <v>96827.436058759049</v>
      </c>
      <c r="O84" s="108">
        <f t="shared" si="164"/>
        <v>103434.99040358908</v>
      </c>
      <c r="P84" s="108">
        <f t="shared" si="164"/>
        <v>107876.69285764995</v>
      </c>
      <c r="Q84" s="108">
        <f t="shared" si="164"/>
        <v>109999.99877667229</v>
      </c>
      <c r="R84" s="108">
        <f t="shared" si="164"/>
        <v>109999.99778363999</v>
      </c>
      <c r="S84" s="108">
        <f t="shared" si="164"/>
        <v>109377.5711969985</v>
      </c>
      <c r="T84" s="108">
        <f t="shared" si="164"/>
        <v>109999.99747663477</v>
      </c>
      <c r="U84" s="108">
        <f t="shared" si="164"/>
        <v>105609.6656886979</v>
      </c>
      <c r="V84" s="108">
        <f t="shared" si="164"/>
        <v>92794.263030505375</v>
      </c>
      <c r="W84" s="108">
        <f t="shared" ref="W84" si="165">IF(W16=0,0,W16/W27*1000000)</f>
        <v>94103.942938552704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149999.99815965298</v>
      </c>
      <c r="C85" s="110">
        <f t="shared" si="161"/>
        <v>149999.99926752769</v>
      </c>
      <c r="D85" s="110">
        <f t="shared" si="161"/>
        <v>149670.79504756702</v>
      </c>
      <c r="E85" s="110">
        <f t="shared" si="161"/>
        <v>149999.99785272911</v>
      </c>
      <c r="F85" s="110">
        <f t="shared" si="161"/>
        <v>149999.99805209279</v>
      </c>
      <c r="G85" s="110">
        <f t="shared" si="161"/>
        <v>149999.99819727681</v>
      </c>
      <c r="H85" s="110">
        <f t="shared" si="161"/>
        <v>149999.99853132927</v>
      </c>
      <c r="I85" s="110">
        <f t="shared" si="161"/>
        <v>147673.34309602249</v>
      </c>
      <c r="J85" s="110">
        <f t="shared" si="161"/>
        <v>149999.99935155621</v>
      </c>
      <c r="K85" s="110">
        <f t="shared" ref="K85:V85" si="166">IF(K17=0,0,K17/K28*1000000)</f>
        <v>147678.04427612753</v>
      </c>
      <c r="L85" s="110">
        <f t="shared" si="166"/>
        <v>149244.7513082076</v>
      </c>
      <c r="M85" s="110">
        <f t="shared" si="166"/>
        <v>149999.99913469551</v>
      </c>
      <c r="N85" s="110">
        <f t="shared" si="166"/>
        <v>149999.99840530747</v>
      </c>
      <c r="O85" s="110">
        <f t="shared" si="166"/>
        <v>149596.35957644833</v>
      </c>
      <c r="P85" s="110">
        <f t="shared" si="166"/>
        <v>146895.79766819254</v>
      </c>
      <c r="Q85" s="110">
        <f t="shared" si="166"/>
        <v>149999.99877058223</v>
      </c>
      <c r="R85" s="110">
        <f t="shared" si="166"/>
        <v>149999.99915040322</v>
      </c>
      <c r="S85" s="110">
        <f t="shared" si="166"/>
        <v>149999.99823997231</v>
      </c>
      <c r="T85" s="110">
        <f t="shared" si="166"/>
        <v>149999.99896919541</v>
      </c>
      <c r="U85" s="110">
        <f t="shared" si="166"/>
        <v>149999.99839303782</v>
      </c>
      <c r="V85" s="110">
        <f t="shared" si="166"/>
        <v>128798.93115331879</v>
      </c>
      <c r="W85" s="110">
        <f t="shared" ref="W85" si="167">IF(W17=0,0,W17/W28*1000000)</f>
        <v>146896.59489141454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149999.99892222648</v>
      </c>
      <c r="C86" s="84">
        <f t="shared" si="161"/>
        <v>149999.99946510259</v>
      </c>
      <c r="D86" s="84">
        <f t="shared" si="161"/>
        <v>149999.99900884985</v>
      </c>
      <c r="E86" s="84">
        <f t="shared" si="161"/>
        <v>149999.99930763963</v>
      </c>
      <c r="F86" s="84">
        <f t="shared" si="161"/>
        <v>149999.99835513497</v>
      </c>
      <c r="G86" s="84">
        <f t="shared" si="161"/>
        <v>149999.99888024566</v>
      </c>
      <c r="H86" s="84">
        <f t="shared" si="161"/>
        <v>149999.99958023115</v>
      </c>
      <c r="I86" s="84">
        <f t="shared" si="161"/>
        <v>149999.99921369998</v>
      </c>
      <c r="J86" s="84">
        <f t="shared" si="161"/>
        <v>149999.99982231247</v>
      </c>
      <c r="K86" s="84">
        <f t="shared" ref="K86:V86" si="168">IF(K18=0,0,K18/K29*1000000)</f>
        <v>149999.99936366273</v>
      </c>
      <c r="L86" s="84">
        <f t="shared" si="168"/>
        <v>149999.99942741118</v>
      </c>
      <c r="M86" s="84">
        <f t="shared" si="168"/>
        <v>149999.99937913229</v>
      </c>
      <c r="N86" s="84">
        <f t="shared" si="168"/>
        <v>149999.99877959859</v>
      </c>
      <c r="O86" s="84">
        <f t="shared" si="168"/>
        <v>149999.99929452696</v>
      </c>
      <c r="P86" s="84">
        <f t="shared" si="168"/>
        <v>147022.25619847933</v>
      </c>
      <c r="Q86" s="84">
        <f t="shared" si="168"/>
        <v>149999.99878789674</v>
      </c>
      <c r="R86" s="84">
        <f t="shared" si="168"/>
        <v>149999.99973989854</v>
      </c>
      <c r="S86" s="84">
        <f t="shared" si="168"/>
        <v>149999.9990055853</v>
      </c>
      <c r="T86" s="84">
        <f t="shared" si="168"/>
        <v>149999.9995710004</v>
      </c>
      <c r="U86" s="84">
        <f t="shared" si="168"/>
        <v>149999.99916960744</v>
      </c>
      <c r="V86" s="84">
        <f t="shared" si="168"/>
        <v>127036.07467735633</v>
      </c>
      <c r="W86" s="84">
        <f t="shared" ref="W86" si="169">IF(W18=0,0,W18/W29*1000000)</f>
        <v>146619.6081322915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149999.99094505617</v>
      </c>
      <c r="C87" s="84">
        <f t="shared" si="161"/>
        <v>149999.9972135406</v>
      </c>
      <c r="D87" s="84">
        <f t="shared" si="161"/>
        <v>146159.20897654517</v>
      </c>
      <c r="E87" s="84">
        <f t="shared" si="161"/>
        <v>149999.97976457039</v>
      </c>
      <c r="F87" s="84">
        <f t="shared" si="161"/>
        <v>149999.99605627495</v>
      </c>
      <c r="G87" s="84">
        <f t="shared" si="161"/>
        <v>149999.9943500527</v>
      </c>
      <c r="H87" s="84">
        <f t="shared" si="161"/>
        <v>149999.99218107213</v>
      </c>
      <c r="I87" s="84">
        <f t="shared" si="161"/>
        <v>130671.9329502507</v>
      </c>
      <c r="J87" s="84">
        <f t="shared" si="161"/>
        <v>149999.99569987194</v>
      </c>
      <c r="K87" s="84">
        <f t="shared" ref="K87:V87" si="170">IF(K19=0,0,K19/K30*1000000)</f>
        <v>129678.96075017305</v>
      </c>
      <c r="L87" s="84">
        <f t="shared" si="170"/>
        <v>142868.11286604294</v>
      </c>
      <c r="M87" s="84">
        <f t="shared" si="170"/>
        <v>149999.99690026659</v>
      </c>
      <c r="N87" s="84">
        <f t="shared" si="170"/>
        <v>149999.99482983074</v>
      </c>
      <c r="O87" s="84">
        <f t="shared" si="170"/>
        <v>145491.21593640308</v>
      </c>
      <c r="P87" s="84">
        <f t="shared" si="170"/>
        <v>145603.40716143147</v>
      </c>
      <c r="Q87" s="84">
        <f t="shared" si="170"/>
        <v>149999.99858113358</v>
      </c>
      <c r="R87" s="84">
        <f t="shared" si="170"/>
        <v>149999.99291097032</v>
      </c>
      <c r="S87" s="84">
        <f t="shared" si="170"/>
        <v>149999.98970281737</v>
      </c>
      <c r="T87" s="84">
        <f t="shared" si="170"/>
        <v>149999.99182390748</v>
      </c>
      <c r="U87" s="84">
        <f t="shared" si="170"/>
        <v>149999.98910044436</v>
      </c>
      <c r="V87" s="84">
        <f t="shared" si="170"/>
        <v>149999.99768185485</v>
      </c>
      <c r="W87" s="84">
        <f t="shared" ref="W87" si="171">IF(W19=0,0,W19/W30*1000000)</f>
        <v>149999.99582924461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199999.99993161051</v>
      </c>
      <c r="C89" s="28">
        <f t="shared" si="161"/>
        <v>199999.99993374993</v>
      </c>
      <c r="D89" s="28">
        <f t="shared" si="161"/>
        <v>191574.09233495581</v>
      </c>
      <c r="E89" s="28">
        <f t="shared" si="161"/>
        <v>199731.77890455278</v>
      </c>
      <c r="F89" s="28">
        <f t="shared" si="161"/>
        <v>199999.93220273455</v>
      </c>
      <c r="G89" s="28">
        <f t="shared" si="161"/>
        <v>170905.6608585513</v>
      </c>
      <c r="H89" s="28">
        <f t="shared" si="161"/>
        <v>132236.21210726112</v>
      </c>
      <c r="I89" s="28">
        <f t="shared" si="161"/>
        <v>99060.600674510613</v>
      </c>
      <c r="J89" s="28">
        <f t="shared" si="161"/>
        <v>94692.767003448607</v>
      </c>
      <c r="K89" s="28">
        <f t="shared" ref="K89:V89" si="174">IF(K21=0,0,K21/K32*1000000)</f>
        <v>81109.029364292481</v>
      </c>
      <c r="L89" s="28">
        <f t="shared" si="174"/>
        <v>139860.6091604282</v>
      </c>
      <c r="M89" s="28">
        <f t="shared" si="174"/>
        <v>168113.82660532769</v>
      </c>
      <c r="N89" s="28">
        <f t="shared" si="174"/>
        <v>162181.91161450269</v>
      </c>
      <c r="O89" s="28">
        <f t="shared" si="174"/>
        <v>164434.30764210573</v>
      </c>
      <c r="P89" s="28">
        <f t="shared" si="174"/>
        <v>166620.11104740339</v>
      </c>
      <c r="Q89" s="28">
        <f t="shared" si="174"/>
        <v>165542.49796872601</v>
      </c>
      <c r="R89" s="28">
        <f t="shared" si="174"/>
        <v>168198.37144879479</v>
      </c>
      <c r="S89" s="28">
        <f t="shared" si="174"/>
        <v>167056.46508519881</v>
      </c>
      <c r="T89" s="28">
        <f t="shared" si="174"/>
        <v>163818.45254710238</v>
      </c>
      <c r="U89" s="28">
        <f t="shared" si="174"/>
        <v>156857.56074427074</v>
      </c>
      <c r="V89" s="28">
        <f t="shared" si="174"/>
        <v>158922.04238133025</v>
      </c>
      <c r="W89" s="28">
        <f t="shared" ref="W89" si="175">IF(W21=0,0,W21/W32*1000000)</f>
        <v>155521.70853492734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199999.99993161051</v>
      </c>
      <c r="C90" s="84">
        <f t="shared" si="161"/>
        <v>199999.99993374993</v>
      </c>
      <c r="D90" s="84">
        <f t="shared" si="161"/>
        <v>191488.97566826118</v>
      </c>
      <c r="E90" s="84">
        <f t="shared" si="161"/>
        <v>199929.28899043115</v>
      </c>
      <c r="F90" s="84">
        <f t="shared" si="161"/>
        <v>199999.95363487408</v>
      </c>
      <c r="G90" s="84">
        <f t="shared" si="161"/>
        <v>168752.71854386281</v>
      </c>
      <c r="H90" s="84">
        <f t="shared" si="161"/>
        <v>132617.65507159414</v>
      </c>
      <c r="I90" s="84">
        <f t="shared" si="161"/>
        <v>102746.44533637025</v>
      </c>
      <c r="J90" s="84">
        <f t="shared" si="161"/>
        <v>100420.05575790926</v>
      </c>
      <c r="K90" s="84">
        <f t="shared" ref="K90:V90" si="176">IF(K22=0,0,K22/K33*1000000)</f>
        <v>89586.682124618368</v>
      </c>
      <c r="L90" s="84">
        <f t="shared" si="176"/>
        <v>164562.63980445647</v>
      </c>
      <c r="M90" s="84">
        <f t="shared" si="176"/>
        <v>199999.93086519357</v>
      </c>
      <c r="N90" s="84">
        <f t="shared" si="176"/>
        <v>199999.89705709333</v>
      </c>
      <c r="O90" s="84">
        <f t="shared" si="176"/>
        <v>199999.78638688842</v>
      </c>
      <c r="P90" s="84">
        <f t="shared" si="176"/>
        <v>199999.90789273783</v>
      </c>
      <c r="Q90" s="84">
        <f t="shared" si="176"/>
        <v>199999.94978838429</v>
      </c>
      <c r="R90" s="84">
        <f t="shared" si="176"/>
        <v>199999.84370272711</v>
      </c>
      <c r="S90" s="84">
        <f t="shared" si="176"/>
        <v>199999.92595745297</v>
      </c>
      <c r="T90" s="84">
        <f t="shared" si="176"/>
        <v>199999.93446646261</v>
      </c>
      <c r="U90" s="84">
        <f t="shared" si="176"/>
        <v>199999.98041722405</v>
      </c>
      <c r="V90" s="84">
        <f t="shared" si="176"/>
        <v>199999.72396907376</v>
      </c>
      <c r="W90" s="84">
        <f t="shared" ref="W90" si="177">IF(W22=0,0,W22/W33*1000000)</f>
        <v>199999.69238819223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199999.64921381953</v>
      </c>
      <c r="E91" s="86">
        <f t="shared" si="161"/>
        <v>182236.76176857817</v>
      </c>
      <c r="F91" s="86">
        <f t="shared" si="161"/>
        <v>199999.56843793576</v>
      </c>
      <c r="G91" s="86">
        <f t="shared" si="161"/>
        <v>199999.27166982362</v>
      </c>
      <c r="H91" s="86">
        <f t="shared" si="161"/>
        <v>127804.18546439424</v>
      </c>
      <c r="I91" s="86">
        <f t="shared" si="161"/>
        <v>63216.515117707444</v>
      </c>
      <c r="J91" s="86">
        <f t="shared" si="161"/>
        <v>49845.324513196931</v>
      </c>
      <c r="K91" s="86">
        <f t="shared" ref="K91:V91" si="178">IF(K23=0,0,K23/K34*1000000)</f>
        <v>30784.221503839537</v>
      </c>
      <c r="L91" s="86">
        <f t="shared" si="178"/>
        <v>40018.440566302728</v>
      </c>
      <c r="M91" s="86">
        <f t="shared" si="178"/>
        <v>45795.115070435459</v>
      </c>
      <c r="N91" s="86">
        <f t="shared" si="178"/>
        <v>40068.61045969565</v>
      </c>
      <c r="O91" s="86">
        <f t="shared" si="178"/>
        <v>39153.518839368917</v>
      </c>
      <c r="P91" s="86">
        <f t="shared" si="178"/>
        <v>42527.709511797024</v>
      </c>
      <c r="Q91" s="86">
        <f t="shared" si="178"/>
        <v>42801.891204306477</v>
      </c>
      <c r="R91" s="86">
        <f t="shared" si="178"/>
        <v>49559.97381951251</v>
      </c>
      <c r="S91" s="86">
        <f t="shared" si="178"/>
        <v>47271.651392401924</v>
      </c>
      <c r="T91" s="86">
        <f t="shared" si="178"/>
        <v>47666.927136693012</v>
      </c>
      <c r="U91" s="86">
        <f t="shared" si="178"/>
        <v>41562.587252837438</v>
      </c>
      <c r="V91" s="86">
        <f t="shared" si="178"/>
        <v>50606.637832656379</v>
      </c>
      <c r="W91" s="86">
        <f t="shared" ref="W91" si="179">IF(W23=0,0,W23/W34*1000000)</f>
        <v>44609.441779060915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18069668.210710492</v>
      </c>
      <c r="C94" s="28">
        <f t="shared" si="180"/>
        <v>17989460.171210498</v>
      </c>
      <c r="D94" s="28">
        <f t="shared" si="180"/>
        <v>20967263.661846567</v>
      </c>
      <c r="E94" s="28">
        <f t="shared" si="180"/>
        <v>18154180.037940312</v>
      </c>
      <c r="F94" s="28">
        <f t="shared" si="180"/>
        <v>15216837.415681984</v>
      </c>
      <c r="G94" s="28">
        <f t="shared" si="180"/>
        <v>16978394.691973809</v>
      </c>
      <c r="H94" s="28">
        <f t="shared" si="180"/>
        <v>17250307.381705727</v>
      </c>
      <c r="I94" s="28">
        <f t="shared" si="180"/>
        <v>16237016.386475816</v>
      </c>
      <c r="J94" s="28">
        <f t="shared" si="180"/>
        <v>14842623.876384625</v>
      </c>
      <c r="K94" s="28">
        <f t="shared" ref="K94:V94" si="181">IF(K4=0,0,K4/K26*1000000)</f>
        <v>13333447.445114957</v>
      </c>
      <c r="L94" s="28">
        <f t="shared" si="181"/>
        <v>13076877.429907378</v>
      </c>
      <c r="M94" s="28">
        <f t="shared" si="181"/>
        <v>12457763.551984478</v>
      </c>
      <c r="N94" s="28">
        <f t="shared" si="181"/>
        <v>11729702.692906778</v>
      </c>
      <c r="O94" s="28">
        <f t="shared" si="181"/>
        <v>11772491.841221642</v>
      </c>
      <c r="P94" s="28">
        <f t="shared" si="181"/>
        <v>13650374.956543526</v>
      </c>
      <c r="Q94" s="28">
        <f t="shared" si="181"/>
        <v>13822163.896950604</v>
      </c>
      <c r="R94" s="28">
        <f t="shared" si="181"/>
        <v>13285278.219889281</v>
      </c>
      <c r="S94" s="28">
        <f t="shared" si="181"/>
        <v>13150826.102333901</v>
      </c>
      <c r="T94" s="28">
        <f t="shared" si="181"/>
        <v>13383400.921225129</v>
      </c>
      <c r="U94" s="28">
        <f t="shared" si="181"/>
        <v>13052525.070999604</v>
      </c>
      <c r="V94" s="28">
        <f t="shared" si="181"/>
        <v>4781843.0411030436</v>
      </c>
      <c r="W94" s="28">
        <f t="shared" ref="W94" si="182">IF(W4=0,0,W4/W26*1000000)</f>
        <v>5139830.1589454217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8665329.5485484619</v>
      </c>
      <c r="G95" s="108">
        <f t="shared" si="180"/>
        <v>8677606.8674896304</v>
      </c>
      <c r="H95" s="108">
        <f t="shared" si="180"/>
        <v>8693301.0164806098</v>
      </c>
      <c r="I95" s="108">
        <f t="shared" si="180"/>
        <v>8623590.6650567316</v>
      </c>
      <c r="J95" s="108">
        <f t="shared" si="180"/>
        <v>6948150.1929885671</v>
      </c>
      <c r="K95" s="108">
        <f t="shared" ref="K95:V95" si="183">IF(K5=0,0,K5/K27*1000000)</f>
        <v>6504651.2444999348</v>
      </c>
      <c r="L95" s="108">
        <f t="shared" si="183"/>
        <v>6455373.5835567536</v>
      </c>
      <c r="M95" s="108">
        <f t="shared" si="183"/>
        <v>6800317.2101590233</v>
      </c>
      <c r="N95" s="108">
        <f t="shared" si="183"/>
        <v>7095983.1758181127</v>
      </c>
      <c r="O95" s="108">
        <f t="shared" si="183"/>
        <v>7383012.2458436871</v>
      </c>
      <c r="P95" s="108">
        <f t="shared" si="183"/>
        <v>7888019.767832242</v>
      </c>
      <c r="Q95" s="108">
        <f t="shared" si="183"/>
        <v>8308598.3749675751</v>
      </c>
      <c r="R95" s="108">
        <f t="shared" si="183"/>
        <v>8484083.9838934522</v>
      </c>
      <c r="S95" s="108">
        <f t="shared" si="183"/>
        <v>8546526.6620795354</v>
      </c>
      <c r="T95" s="108">
        <f t="shared" si="183"/>
        <v>9605733.1378854532</v>
      </c>
      <c r="U95" s="108">
        <f t="shared" si="183"/>
        <v>9243560.424076451</v>
      </c>
      <c r="V95" s="108">
        <f t="shared" si="183"/>
        <v>3645578.1128673637</v>
      </c>
      <c r="W95" s="108">
        <f t="shared" ref="W95" si="184">IF(W5=0,0,W5/W27*1000000)</f>
        <v>3686347.6623902973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18069668.210710492</v>
      </c>
      <c r="C96" s="110">
        <f t="shared" si="180"/>
        <v>17989460.171210498</v>
      </c>
      <c r="D96" s="110">
        <f t="shared" si="180"/>
        <v>20967263.661846567</v>
      </c>
      <c r="E96" s="110">
        <f t="shared" si="180"/>
        <v>18154180.037940312</v>
      </c>
      <c r="F96" s="110">
        <f t="shared" si="180"/>
        <v>15589355.946452908</v>
      </c>
      <c r="G96" s="110">
        <f t="shared" si="180"/>
        <v>18044481.358799499</v>
      </c>
      <c r="H96" s="110">
        <f t="shared" si="180"/>
        <v>18341141.349239022</v>
      </c>
      <c r="I96" s="110">
        <f t="shared" si="180"/>
        <v>17591201.923823629</v>
      </c>
      <c r="J96" s="110">
        <f t="shared" si="180"/>
        <v>16152157.640938796</v>
      </c>
      <c r="K96" s="110">
        <f t="shared" ref="K96:V96" si="185">IF(K6=0,0,K6/K28*1000000)</f>
        <v>14529831.237089343</v>
      </c>
      <c r="L96" s="110">
        <f t="shared" si="185"/>
        <v>14215206.329822978</v>
      </c>
      <c r="M96" s="110">
        <f t="shared" si="185"/>
        <v>13396742.070995487</v>
      </c>
      <c r="N96" s="110">
        <f t="shared" si="185"/>
        <v>12472965.459947834</v>
      </c>
      <c r="O96" s="110">
        <f t="shared" si="185"/>
        <v>12481077.028649323</v>
      </c>
      <c r="P96" s="110">
        <f t="shared" si="185"/>
        <v>14641165.495744823</v>
      </c>
      <c r="Q96" s="110">
        <f t="shared" si="185"/>
        <v>14738330.433168523</v>
      </c>
      <c r="R96" s="110">
        <f t="shared" si="185"/>
        <v>14016524.898540176</v>
      </c>
      <c r="S96" s="110">
        <f t="shared" si="185"/>
        <v>13798561.344567193</v>
      </c>
      <c r="T96" s="110">
        <f t="shared" si="185"/>
        <v>14157155.485978127</v>
      </c>
      <c r="U96" s="110">
        <f t="shared" si="185"/>
        <v>13774252.969983583</v>
      </c>
      <c r="V96" s="110">
        <f t="shared" si="185"/>
        <v>5006964.4534160774</v>
      </c>
      <c r="W96" s="110">
        <f t="shared" ref="W96" si="186">IF(W6=0,0,W6/W28*1000000)</f>
        <v>5439744.9147294974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17440358.02403415</v>
      </c>
      <c r="C97" s="84">
        <f t="shared" si="180"/>
        <v>17410593.406240083</v>
      </c>
      <c r="D97" s="84">
        <f t="shared" si="180"/>
        <v>19747815.134346567</v>
      </c>
      <c r="E97" s="84">
        <f t="shared" si="180"/>
        <v>17029879.260281075</v>
      </c>
      <c r="F97" s="84">
        <f t="shared" si="180"/>
        <v>15653937.995847287</v>
      </c>
      <c r="G97" s="84">
        <f t="shared" si="180"/>
        <v>19129685.671825115</v>
      </c>
      <c r="H97" s="84">
        <f t="shared" si="180"/>
        <v>19496186.372053694</v>
      </c>
      <c r="I97" s="84">
        <f t="shared" si="180"/>
        <v>19455843.330959864</v>
      </c>
      <c r="J97" s="84">
        <f t="shared" si="180"/>
        <v>17540789.917967811</v>
      </c>
      <c r="K97" s="84">
        <f t="shared" ref="K97:V97" si="187">IF(K7=0,0,K7/K29*1000000)</f>
        <v>15573232.614219554</v>
      </c>
      <c r="L97" s="84">
        <f t="shared" si="187"/>
        <v>14999718.760951266</v>
      </c>
      <c r="M97" s="84">
        <f t="shared" si="187"/>
        <v>14180603.729556775</v>
      </c>
      <c r="N97" s="84">
        <f t="shared" si="187"/>
        <v>13226621.704597579</v>
      </c>
      <c r="O97" s="84">
        <f t="shared" si="187"/>
        <v>13196845.412079249</v>
      </c>
      <c r="P97" s="84">
        <f t="shared" si="187"/>
        <v>15521913.586126648</v>
      </c>
      <c r="Q97" s="84">
        <f t="shared" si="187"/>
        <v>15673054.914879324</v>
      </c>
      <c r="R97" s="84">
        <f t="shared" si="187"/>
        <v>14937472.748128574</v>
      </c>
      <c r="S97" s="84">
        <f t="shared" si="187"/>
        <v>14699477.707268618</v>
      </c>
      <c r="T97" s="84">
        <f t="shared" si="187"/>
        <v>15055063.584609019</v>
      </c>
      <c r="U97" s="84">
        <f t="shared" si="187"/>
        <v>14656150.972131025</v>
      </c>
      <c r="V97" s="84">
        <f t="shared" si="187"/>
        <v>5203931.9492855398</v>
      </c>
      <c r="W97" s="84">
        <f t="shared" ref="W97" si="188">IF(W7=0,0,W7/W29*1000000)</f>
        <v>5695657.6070849281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24023479.987012811</v>
      </c>
      <c r="C98" s="84">
        <f t="shared" si="180"/>
        <v>24007354.192325927</v>
      </c>
      <c r="D98" s="84">
        <f t="shared" si="180"/>
        <v>33975000.405993238</v>
      </c>
      <c r="E98" s="84">
        <f t="shared" si="180"/>
        <v>32132036.606202796</v>
      </c>
      <c r="F98" s="84">
        <f t="shared" si="180"/>
        <v>15164022.391892577</v>
      </c>
      <c r="G98" s="84">
        <f t="shared" si="180"/>
        <v>11931429.348073509</v>
      </c>
      <c r="H98" s="84">
        <f t="shared" si="180"/>
        <v>11348272.560678028</v>
      </c>
      <c r="I98" s="84">
        <f t="shared" si="180"/>
        <v>3965839.2857222864</v>
      </c>
      <c r="J98" s="84">
        <f t="shared" si="180"/>
        <v>5380455.0262232162</v>
      </c>
      <c r="K98" s="84">
        <f t="shared" ref="K98:V98" si="189">IF(K8=0,0,K8/K30*1000000)</f>
        <v>6441703.8487175135</v>
      </c>
      <c r="L98" s="84">
        <f t="shared" si="189"/>
        <v>7591486.2575848997</v>
      </c>
      <c r="M98" s="84">
        <f t="shared" si="189"/>
        <v>6231360.0008241581</v>
      </c>
      <c r="N98" s="84">
        <f t="shared" si="189"/>
        <v>5273541.9649551325</v>
      </c>
      <c r="O98" s="84">
        <f t="shared" si="189"/>
        <v>5201486.1078899922</v>
      </c>
      <c r="P98" s="84">
        <f t="shared" si="189"/>
        <v>5640029.1684784908</v>
      </c>
      <c r="Q98" s="84">
        <f t="shared" si="189"/>
        <v>4510938.8871512674</v>
      </c>
      <c r="R98" s="84">
        <f t="shared" si="189"/>
        <v>4268877.9871870074</v>
      </c>
      <c r="S98" s="84">
        <f t="shared" si="189"/>
        <v>3752673.1722746706</v>
      </c>
      <c r="T98" s="84">
        <f t="shared" si="189"/>
        <v>3496207.5612495784</v>
      </c>
      <c r="U98" s="84">
        <f t="shared" si="189"/>
        <v>3221278.2998502934</v>
      </c>
      <c r="V98" s="84">
        <f t="shared" si="189"/>
        <v>2638126.6944556911</v>
      </c>
      <c r="W98" s="84">
        <f t="shared" ref="W98" si="190">IF(W8=0,0,W8/W30*1000000)</f>
        <v>2572460.9623381305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99872870.582252741</v>
      </c>
      <c r="C100" s="28">
        <f t="shared" si="180"/>
        <v>99879022.501814663</v>
      </c>
      <c r="D100" s="28">
        <f t="shared" si="180"/>
        <v>90218895.182798088</v>
      </c>
      <c r="E100" s="28">
        <f t="shared" si="180"/>
        <v>94084852.244231045</v>
      </c>
      <c r="F100" s="28">
        <f t="shared" si="180"/>
        <v>94230072.996424198</v>
      </c>
      <c r="G100" s="28">
        <f t="shared" si="180"/>
        <v>80443389.093256995</v>
      </c>
      <c r="H100" s="28">
        <f t="shared" si="180"/>
        <v>62595438.960439384</v>
      </c>
      <c r="I100" s="28">
        <f t="shared" si="180"/>
        <v>46346628.228904918</v>
      </c>
      <c r="J100" s="28">
        <f t="shared" si="180"/>
        <v>44943839.835863359</v>
      </c>
      <c r="K100" s="28">
        <f t="shared" ref="K100:V100" si="193">IF(K10=0,0,K10/K32*1000000)</f>
        <v>43885865.640366994</v>
      </c>
      <c r="L100" s="28">
        <f t="shared" si="193"/>
        <v>70309568.444454283</v>
      </c>
      <c r="M100" s="28">
        <f t="shared" si="193"/>
        <v>83658539.305968761</v>
      </c>
      <c r="N100" s="28">
        <f t="shared" si="193"/>
        <v>82913224.477077216</v>
      </c>
      <c r="O100" s="28">
        <f t="shared" si="193"/>
        <v>84347131.899318501</v>
      </c>
      <c r="P100" s="28">
        <f t="shared" si="193"/>
        <v>81676525.02323696</v>
      </c>
      <c r="Q100" s="28">
        <f t="shared" si="193"/>
        <v>81082039.82141681</v>
      </c>
      <c r="R100" s="28">
        <f t="shared" si="193"/>
        <v>82266515.817570344</v>
      </c>
      <c r="S100" s="28">
        <f t="shared" si="193"/>
        <v>83112669.196616307</v>
      </c>
      <c r="T100" s="28">
        <f t="shared" si="193"/>
        <v>81451632.830682188</v>
      </c>
      <c r="U100" s="28">
        <f t="shared" si="193"/>
        <v>75543440.62600331</v>
      </c>
      <c r="V100" s="28">
        <f t="shared" si="193"/>
        <v>78401540.908122927</v>
      </c>
      <c r="W100" s="28">
        <f t="shared" ref="W100" si="194">IF(W10=0,0,W10/W32*1000000)</f>
        <v>77203469.744511664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99872870.582252741</v>
      </c>
      <c r="C101" s="84">
        <f t="shared" si="180"/>
        <v>99879022.501814663</v>
      </c>
      <c r="D101" s="84">
        <f t="shared" si="180"/>
        <v>90301093.427302182</v>
      </c>
      <c r="E101" s="84">
        <f t="shared" si="180"/>
        <v>94281263.670252472</v>
      </c>
      <c r="F101" s="84">
        <f t="shared" si="180"/>
        <v>94707715.792771891</v>
      </c>
      <c r="G101" s="84">
        <f t="shared" si="180"/>
        <v>80015237.392969877</v>
      </c>
      <c r="H101" s="84">
        <f t="shared" si="180"/>
        <v>63215790.332002349</v>
      </c>
      <c r="I101" s="84">
        <f t="shared" si="180"/>
        <v>48333975.207043685</v>
      </c>
      <c r="J101" s="84">
        <f t="shared" si="180"/>
        <v>47924528.616326921</v>
      </c>
      <c r="K101" s="84">
        <f t="shared" ref="K101:V101" si="195">IF(K11=0,0,K11/K33*1000000)</f>
        <v>48717310.117843114</v>
      </c>
      <c r="L101" s="84">
        <f t="shared" si="195"/>
        <v>83159976.242827162</v>
      </c>
      <c r="M101" s="84">
        <f t="shared" si="195"/>
        <v>100038480.2430848</v>
      </c>
      <c r="N101" s="84">
        <f t="shared" si="195"/>
        <v>102793400.74180049</v>
      </c>
      <c r="O101" s="84">
        <f t="shared" si="195"/>
        <v>103084157.39640594</v>
      </c>
      <c r="P101" s="84">
        <f t="shared" si="195"/>
        <v>98523591.942874625</v>
      </c>
      <c r="Q101" s="84">
        <f t="shared" si="195"/>
        <v>98466482.806828812</v>
      </c>
      <c r="R101" s="84">
        <f t="shared" si="195"/>
        <v>98377801.684375986</v>
      </c>
      <c r="S101" s="84">
        <f t="shared" si="195"/>
        <v>100057644.84068385</v>
      </c>
      <c r="T101" s="84">
        <f t="shared" si="195"/>
        <v>100070029.26583681</v>
      </c>
      <c r="U101" s="84">
        <f t="shared" si="195"/>
        <v>96957021.841963559</v>
      </c>
      <c r="V101" s="84">
        <f t="shared" si="195"/>
        <v>99458205.079023123</v>
      </c>
      <c r="W101" s="84">
        <f t="shared" ref="W101" si="196">IF(W11=0,0,W11/W33*1000000)</f>
        <v>100091735.71083835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82082228.049245283</v>
      </c>
      <c r="E102" s="86">
        <f t="shared" si="180"/>
        <v>76687152.027229935</v>
      </c>
      <c r="F102" s="86">
        <f t="shared" si="180"/>
        <v>86123106.558694318</v>
      </c>
      <c r="G102" s="86">
        <f t="shared" si="180"/>
        <v>86229182.261681989</v>
      </c>
      <c r="H102" s="86">
        <f t="shared" si="180"/>
        <v>55387509.954556659</v>
      </c>
      <c r="I102" s="86">
        <f t="shared" si="180"/>
        <v>27020085.292198587</v>
      </c>
      <c r="J102" s="86">
        <f t="shared" si="180"/>
        <v>21603604.27343151</v>
      </c>
      <c r="K102" s="86">
        <f t="shared" ref="K102:V102" si="197">IF(K12=0,0,K12/K34*1000000)</f>
        <v>15205578.550136402</v>
      </c>
      <c r="L102" s="86">
        <f t="shared" si="197"/>
        <v>18370009.288471404</v>
      </c>
      <c r="M102" s="86">
        <f t="shared" si="197"/>
        <v>20823228.534953397</v>
      </c>
      <c r="N102" s="86">
        <f t="shared" si="197"/>
        <v>18720647.246593796</v>
      </c>
      <c r="O102" s="86">
        <f t="shared" si="197"/>
        <v>18345227.329526678</v>
      </c>
      <c r="P102" s="86">
        <f t="shared" si="197"/>
        <v>19046036.210627086</v>
      </c>
      <c r="Q102" s="86">
        <f t="shared" si="197"/>
        <v>19157057.920300543</v>
      </c>
      <c r="R102" s="86">
        <f t="shared" si="197"/>
        <v>22161841.300535262</v>
      </c>
      <c r="S102" s="86">
        <f t="shared" si="197"/>
        <v>21499508.441453535</v>
      </c>
      <c r="T102" s="86">
        <f t="shared" si="197"/>
        <v>21681965.257122066</v>
      </c>
      <c r="U102" s="86">
        <f t="shared" si="197"/>
        <v>18317204.884789851</v>
      </c>
      <c r="V102" s="86">
        <f t="shared" si="197"/>
        <v>22878419.593575787</v>
      </c>
      <c r="W102" s="86">
        <f t="shared" ref="W102" si="198">IF(W12=0,0,W12/W34*1000000)</f>
        <v>20128277.919014834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3.0637254901960783E-2</v>
      </c>
      <c r="G106" s="123">
        <f t="shared" si="199"/>
        <v>5.8170280274986781E-2</v>
      </c>
      <c r="H106" s="123">
        <f t="shared" si="199"/>
        <v>5.6979210220088554E-2</v>
      </c>
      <c r="I106" s="123">
        <f t="shared" si="199"/>
        <v>8.0201649862511451E-2</v>
      </c>
      <c r="J106" s="123">
        <f t="shared" si="199"/>
        <v>6.6603684459140292E-2</v>
      </c>
      <c r="K106" s="123">
        <f t="shared" ref="K106:V106" si="202">IF(K5=0,0,K5/K$4)</f>
        <v>7.2727272727272724E-2</v>
      </c>
      <c r="L106" s="123">
        <f t="shared" si="202"/>
        <v>7.2415699281370927E-2</v>
      </c>
      <c r="M106" s="123">
        <f t="shared" si="202"/>
        <v>7.77027027027027E-2</v>
      </c>
      <c r="N106" s="123">
        <f t="shared" si="202"/>
        <v>8.3623693379790962E-2</v>
      </c>
      <c r="O106" s="123">
        <f t="shared" si="202"/>
        <v>8.716696204388448E-2</v>
      </c>
      <c r="P106" s="123">
        <f t="shared" si="202"/>
        <v>8.4781117888743596E-2</v>
      </c>
      <c r="Q106" s="123">
        <f t="shared" si="202"/>
        <v>8.5651165597735515E-2</v>
      </c>
      <c r="R106" s="123">
        <f t="shared" si="202"/>
        <v>8.4407575751517375E-2</v>
      </c>
      <c r="S106" s="123">
        <f t="shared" si="202"/>
        <v>8.0150559517256997E-2</v>
      </c>
      <c r="T106" s="123">
        <f t="shared" si="202"/>
        <v>0.12201693610469592</v>
      </c>
      <c r="U106" s="123">
        <f t="shared" si="202"/>
        <v>0.11281157178823681</v>
      </c>
      <c r="V106" s="123">
        <f t="shared" si="202"/>
        <v>0.12606847729846399</v>
      </c>
      <c r="W106" s="123">
        <f t="shared" ref="W106" si="203">IF(W5=0,0,W5/W$4)</f>
        <v>0.12267753331047185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1</v>
      </c>
      <c r="E107" s="124">
        <f t="shared" si="199"/>
        <v>1</v>
      </c>
      <c r="F107" s="124">
        <f t="shared" si="199"/>
        <v>0.96936274509803921</v>
      </c>
      <c r="G107" s="124">
        <f t="shared" si="199"/>
        <v>0.94182971972501317</v>
      </c>
      <c r="H107" s="124">
        <f t="shared" si="199"/>
        <v>0.94302078977991144</v>
      </c>
      <c r="I107" s="124">
        <f t="shared" si="199"/>
        <v>0.91979835013748867</v>
      </c>
      <c r="J107" s="124">
        <f t="shared" si="199"/>
        <v>0.93339631554085967</v>
      </c>
      <c r="K107" s="124">
        <f t="shared" ref="K107:V107" si="204">IF(K6=0,0,K6/K$4)</f>
        <v>0.92727272727272725</v>
      </c>
      <c r="L107" s="124">
        <f t="shared" si="204"/>
        <v>0.92758430071862907</v>
      </c>
      <c r="M107" s="124">
        <f t="shared" si="204"/>
        <v>0.92229729729729726</v>
      </c>
      <c r="N107" s="124">
        <f t="shared" si="204"/>
        <v>0.91637630662020908</v>
      </c>
      <c r="O107" s="124">
        <f t="shared" si="204"/>
        <v>0.91283303795611548</v>
      </c>
      <c r="P107" s="124">
        <f t="shared" si="204"/>
        <v>0.91521888211125635</v>
      </c>
      <c r="Q107" s="124">
        <f t="shared" si="204"/>
        <v>0.91434883440226455</v>
      </c>
      <c r="R107" s="124">
        <f t="shared" si="204"/>
        <v>0.91559242424848264</v>
      </c>
      <c r="S107" s="124">
        <f t="shared" si="204"/>
        <v>0.91984944048274309</v>
      </c>
      <c r="T107" s="124">
        <f t="shared" si="204"/>
        <v>0.87798306389530412</v>
      </c>
      <c r="U107" s="124">
        <f t="shared" si="204"/>
        <v>0.88718842821176325</v>
      </c>
      <c r="V107" s="124">
        <f t="shared" si="204"/>
        <v>0.87393152270153607</v>
      </c>
      <c r="W107" s="124">
        <f t="shared" ref="W107" si="205">IF(W6=0,0,W6/W$4)</f>
        <v>0.87732246668952807</v>
      </c>
      <c r="DA107" s="176"/>
    </row>
    <row r="108" spans="1:105" ht="11.45" customHeight="1" x14ac:dyDescent="0.25">
      <c r="A108" s="111" t="s">
        <v>92</v>
      </c>
      <c r="B108" s="125">
        <f t="shared" si="199"/>
        <v>0.87290788681517162</v>
      </c>
      <c r="C108" s="125">
        <f t="shared" si="199"/>
        <v>0.88289537476970836</v>
      </c>
      <c r="D108" s="125">
        <f t="shared" si="199"/>
        <v>0.8611128069859082</v>
      </c>
      <c r="E108" s="125">
        <f t="shared" si="199"/>
        <v>0.86823346209074548</v>
      </c>
      <c r="F108" s="125">
        <f t="shared" si="199"/>
        <v>0.84506503755433016</v>
      </c>
      <c r="G108" s="125">
        <f t="shared" si="199"/>
        <v>0.84794289220099084</v>
      </c>
      <c r="H108" s="125">
        <f t="shared" si="199"/>
        <v>0.86030714582212975</v>
      </c>
      <c r="I108" s="125">
        <f t="shared" si="199"/>
        <v>0.8948365434220068</v>
      </c>
      <c r="J108" s="125">
        <f t="shared" si="199"/>
        <v>0.8978907639861291</v>
      </c>
      <c r="K108" s="125">
        <f t="shared" ref="K108:V108" si="206">IF(K7=0,0,K7/K$4)</f>
        <v>0.88029893906999579</v>
      </c>
      <c r="L108" s="125">
        <f t="shared" si="206"/>
        <v>0.87512623682212654</v>
      </c>
      <c r="M108" s="125">
        <f t="shared" si="206"/>
        <v>0.87999458716413481</v>
      </c>
      <c r="N108" s="125">
        <f t="shared" si="206"/>
        <v>0.87966122453344453</v>
      </c>
      <c r="O108" s="125">
        <f t="shared" si="206"/>
        <v>0.87877644057388227</v>
      </c>
      <c r="P108" s="125">
        <f t="shared" si="206"/>
        <v>0.8837962462804082</v>
      </c>
      <c r="Q108" s="125">
        <f t="shared" si="206"/>
        <v>0.89091368886780753</v>
      </c>
      <c r="R108" s="125">
        <f t="shared" si="206"/>
        <v>0.89152091067168104</v>
      </c>
      <c r="S108" s="125">
        <f t="shared" si="206"/>
        <v>0.89926112598658281</v>
      </c>
      <c r="T108" s="125">
        <f t="shared" si="206"/>
        <v>0.86113987268931247</v>
      </c>
      <c r="U108" s="125">
        <f t="shared" si="206"/>
        <v>0.8711868401285523</v>
      </c>
      <c r="V108" s="125">
        <f t="shared" si="206"/>
        <v>0.83858315058337862</v>
      </c>
      <c r="W108" s="125">
        <f t="shared" ref="W108" si="207">IF(W7=0,0,W7/W$4)</f>
        <v>0.84332692187577496</v>
      </c>
      <c r="DA108" s="171"/>
    </row>
    <row r="109" spans="1:105" ht="11.45" customHeight="1" x14ac:dyDescent="0.25">
      <c r="A109" s="111" t="s">
        <v>93</v>
      </c>
      <c r="B109" s="125">
        <f t="shared" si="199"/>
        <v>0.12709211318482844</v>
      </c>
      <c r="C109" s="125">
        <f t="shared" si="199"/>
        <v>0.11710462523029168</v>
      </c>
      <c r="D109" s="125">
        <f t="shared" si="199"/>
        <v>0.13888719301409178</v>
      </c>
      <c r="E109" s="125">
        <f t="shared" si="199"/>
        <v>0.13176653790925455</v>
      </c>
      <c r="F109" s="125">
        <f t="shared" si="199"/>
        <v>0.1242977075437091</v>
      </c>
      <c r="G109" s="125">
        <f t="shared" si="199"/>
        <v>9.3886827524022332E-2</v>
      </c>
      <c r="H109" s="125">
        <f t="shared" si="199"/>
        <v>8.2713643957781774E-2</v>
      </c>
      <c r="I109" s="125">
        <f t="shared" si="199"/>
        <v>2.4961806715481812E-2</v>
      </c>
      <c r="J109" s="125">
        <f t="shared" si="199"/>
        <v>3.550555155473064E-2</v>
      </c>
      <c r="K109" s="125">
        <f t="shared" ref="K109:V109" si="208">IF(K8=0,0,K8/K$4)</f>
        <v>4.697378820273148E-2</v>
      </c>
      <c r="L109" s="125">
        <f t="shared" si="208"/>
        <v>5.245806389650251E-2</v>
      </c>
      <c r="M109" s="125">
        <f t="shared" si="208"/>
        <v>4.2302710133162509E-2</v>
      </c>
      <c r="N109" s="125">
        <f t="shared" si="208"/>
        <v>3.6715082086764543E-2</v>
      </c>
      <c r="O109" s="125">
        <f t="shared" si="208"/>
        <v>3.4056597382233239E-2</v>
      </c>
      <c r="P109" s="125">
        <f t="shared" si="208"/>
        <v>3.1422635830848145E-2</v>
      </c>
      <c r="Q109" s="125">
        <f t="shared" si="208"/>
        <v>2.3435145534457039E-2</v>
      </c>
      <c r="R109" s="125">
        <f t="shared" si="208"/>
        <v>2.4071513576801574E-2</v>
      </c>
      <c r="S109" s="125">
        <f t="shared" si="208"/>
        <v>2.0588314496160252E-2</v>
      </c>
      <c r="T109" s="125">
        <f t="shared" si="208"/>
        <v>1.6843191205991558E-2</v>
      </c>
      <c r="U109" s="125">
        <f t="shared" si="208"/>
        <v>1.6001588083210883E-2</v>
      </c>
      <c r="V109" s="125">
        <f t="shared" si="208"/>
        <v>3.5348372118157383E-2</v>
      </c>
      <c r="W109" s="125">
        <f t="shared" ref="W109" si="209">IF(W8=0,0,W8/W$4)</f>
        <v>3.3995544813753144E-2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1</v>
      </c>
      <c r="C112" s="125">
        <f t="shared" si="212"/>
        <v>1</v>
      </c>
      <c r="D112" s="125">
        <f t="shared" si="212"/>
        <v>0.99090081892629678</v>
      </c>
      <c r="E112" s="125">
        <f t="shared" si="212"/>
        <v>0.99090081892629667</v>
      </c>
      <c r="F112" s="125">
        <f t="shared" si="212"/>
        <v>0.94914743536417145</v>
      </c>
      <c r="G112" s="125">
        <f t="shared" si="212"/>
        <v>0.9261425710071699</v>
      </c>
      <c r="H112" s="125">
        <f t="shared" si="212"/>
        <v>0.92988022294645745</v>
      </c>
      <c r="I112" s="125">
        <f t="shared" si="212"/>
        <v>0.94563998701063234</v>
      </c>
      <c r="J112" s="125">
        <f t="shared" si="212"/>
        <v>0.9455658387740693</v>
      </c>
      <c r="K112" s="125">
        <f t="shared" ref="K112:V112" si="215">IF(K11=0,0,K11/K$10)</f>
        <v>0.95004736475466767</v>
      </c>
      <c r="L112" s="125">
        <f t="shared" si="215"/>
        <v>0.94817920216729223</v>
      </c>
      <c r="M112" s="125">
        <f t="shared" si="215"/>
        <v>0.94853152350484904</v>
      </c>
      <c r="N112" s="125">
        <f t="shared" si="215"/>
        <v>0.9466097426597061</v>
      </c>
      <c r="O112" s="125">
        <f t="shared" si="215"/>
        <v>0.95190826451363564</v>
      </c>
      <c r="P112" s="125">
        <f t="shared" si="215"/>
        <v>0.95057039360364581</v>
      </c>
      <c r="Q112" s="125">
        <f t="shared" si="215"/>
        <v>0.94821068988664747</v>
      </c>
      <c r="R112" s="125">
        <f t="shared" si="215"/>
        <v>0.94305350309698999</v>
      </c>
      <c r="S112" s="125">
        <f t="shared" si="215"/>
        <v>0.94420297072714887</v>
      </c>
      <c r="T112" s="125">
        <f t="shared" si="215"/>
        <v>0.93677465845747054</v>
      </c>
      <c r="U112" s="125">
        <f t="shared" si="215"/>
        <v>0.93397487177590477</v>
      </c>
      <c r="V112" s="125">
        <f t="shared" si="215"/>
        <v>0.91976259997483856</v>
      </c>
      <c r="W112" s="125">
        <f t="shared" ref="W112" si="216">IF(W11=0,0,W11/W$10)</f>
        <v>0.92537383452159772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9.0991810737031924E-3</v>
      </c>
      <c r="E113" s="127">
        <f t="shared" si="212"/>
        <v>9.0991810737032826E-3</v>
      </c>
      <c r="F113" s="127">
        <f t="shared" si="212"/>
        <v>5.0852564635828539E-2</v>
      </c>
      <c r="G113" s="127">
        <f t="shared" si="212"/>
        <v>7.3857428992830154E-2</v>
      </c>
      <c r="H113" s="127">
        <f t="shared" si="212"/>
        <v>7.0119777053542554E-2</v>
      </c>
      <c r="I113" s="127">
        <f t="shared" si="212"/>
        <v>5.4360012989367622E-2</v>
      </c>
      <c r="J113" s="127">
        <f t="shared" si="212"/>
        <v>5.4434161225930679E-2</v>
      </c>
      <c r="K113" s="127">
        <f t="shared" ref="K113:V113" si="217">IF(K12=0,0,K12/K$10)</f>
        <v>4.9952635245332278E-2</v>
      </c>
      <c r="L113" s="127">
        <f t="shared" si="217"/>
        <v>5.1820797832707807E-2</v>
      </c>
      <c r="M113" s="127">
        <f t="shared" si="217"/>
        <v>5.1468476495150961E-2</v>
      </c>
      <c r="N113" s="127">
        <f t="shared" si="217"/>
        <v>5.3390257340293928E-2</v>
      </c>
      <c r="O113" s="127">
        <f t="shared" si="217"/>
        <v>4.8091735486364348E-2</v>
      </c>
      <c r="P113" s="127">
        <f t="shared" si="217"/>
        <v>4.9429606396354159E-2</v>
      </c>
      <c r="Q113" s="127">
        <f t="shared" si="217"/>
        <v>5.1789310113352492E-2</v>
      </c>
      <c r="R113" s="127">
        <f t="shared" si="217"/>
        <v>5.6946496903010048E-2</v>
      </c>
      <c r="S113" s="127">
        <f t="shared" si="217"/>
        <v>5.5797029272851122E-2</v>
      </c>
      <c r="T113" s="127">
        <f t="shared" si="217"/>
        <v>6.3225341542529429E-2</v>
      </c>
      <c r="U113" s="127">
        <f t="shared" si="217"/>
        <v>6.6025128224095217E-2</v>
      </c>
      <c r="V113" s="127">
        <f t="shared" si="217"/>
        <v>8.0237400025161387E-2</v>
      </c>
      <c r="W113" s="127">
        <f t="shared" ref="W113" si="218">IF(W12=0,0,W12/W$10)</f>
        <v>7.4626165478402326E-2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4.0028235275170368E-2</v>
      </c>
      <c r="G117" s="123">
        <f t="shared" si="219"/>
        <v>8.6076476410092043E-2</v>
      </c>
      <c r="H117" s="123">
        <f t="shared" si="219"/>
        <v>8.5492045706801453E-2</v>
      </c>
      <c r="I117" s="123">
        <f t="shared" si="219"/>
        <v>0.1169913070942549</v>
      </c>
      <c r="J117" s="123">
        <f t="shared" si="219"/>
        <v>8.7176735544486406E-2</v>
      </c>
      <c r="K117" s="123">
        <f t="shared" ref="K117:V117" si="222">IF(K16=0,0,K16/K$15)</f>
        <v>9.5049151755860845E-2</v>
      </c>
      <c r="L117" s="123">
        <f t="shared" si="222"/>
        <v>9.2777660840794654E-2</v>
      </c>
      <c r="M117" s="123">
        <f t="shared" si="222"/>
        <v>9.2919872850028076E-2</v>
      </c>
      <c r="N117" s="123">
        <f t="shared" si="222"/>
        <v>9.3827607073263569E-2</v>
      </c>
      <c r="O117" s="123">
        <f t="shared" si="222"/>
        <v>0.10040857327218095</v>
      </c>
      <c r="P117" s="123">
        <f t="shared" si="222"/>
        <v>0.11211341303828638</v>
      </c>
      <c r="Q117" s="123">
        <f t="shared" si="222"/>
        <v>0.10861919667391887</v>
      </c>
      <c r="R117" s="123">
        <f t="shared" si="222"/>
        <v>0.10046902194283786</v>
      </c>
      <c r="S117" s="123">
        <f t="shared" si="222"/>
        <v>9.303794433627452E-2</v>
      </c>
      <c r="T117" s="123">
        <f t="shared" si="222"/>
        <v>0.13058884714670591</v>
      </c>
      <c r="U117" s="123">
        <f t="shared" si="222"/>
        <v>0.11770449107830613</v>
      </c>
      <c r="V117" s="123">
        <f t="shared" si="222"/>
        <v>0.12491039848826185</v>
      </c>
      <c r="W117" s="123">
        <f t="shared" ref="W117" si="223">IF(W16=0,0,W16/W$15)</f>
        <v>0.11675258245345366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1</v>
      </c>
      <c r="E118" s="124">
        <f t="shared" si="219"/>
        <v>1</v>
      </c>
      <c r="F118" s="124">
        <f t="shared" si="219"/>
        <v>0.95997176472482959</v>
      </c>
      <c r="G118" s="124">
        <f t="shared" si="219"/>
        <v>0.91392352358990803</v>
      </c>
      <c r="H118" s="124">
        <f t="shared" si="219"/>
        <v>0.91450795429319842</v>
      </c>
      <c r="I118" s="124">
        <f t="shared" si="219"/>
        <v>0.88300869290574502</v>
      </c>
      <c r="J118" s="124">
        <f t="shared" si="219"/>
        <v>0.91282326445551365</v>
      </c>
      <c r="K118" s="124">
        <f t="shared" ref="K118:V118" si="224">IF(K17=0,0,K17/K$15)</f>
        <v>0.90495084824413907</v>
      </c>
      <c r="L118" s="124">
        <f t="shared" si="224"/>
        <v>0.90722233915920536</v>
      </c>
      <c r="M118" s="124">
        <f t="shared" si="224"/>
        <v>0.90708012714997199</v>
      </c>
      <c r="N118" s="124">
        <f t="shared" si="224"/>
        <v>0.90617239292673646</v>
      </c>
      <c r="O118" s="124">
        <f t="shared" si="224"/>
        <v>0.89959142672781911</v>
      </c>
      <c r="P118" s="124">
        <f t="shared" si="224"/>
        <v>0.88788658696171363</v>
      </c>
      <c r="Q118" s="124">
        <f t="shared" si="224"/>
        <v>0.89138080332608116</v>
      </c>
      <c r="R118" s="124">
        <f t="shared" si="224"/>
        <v>0.89953097805716209</v>
      </c>
      <c r="S118" s="124">
        <f t="shared" si="224"/>
        <v>0.90696205566372545</v>
      </c>
      <c r="T118" s="124">
        <f t="shared" si="224"/>
        <v>0.86941115285329407</v>
      </c>
      <c r="U118" s="124">
        <f t="shared" si="224"/>
        <v>0.88229550892169384</v>
      </c>
      <c r="V118" s="124">
        <f t="shared" si="224"/>
        <v>0.8750896015117382</v>
      </c>
      <c r="W118" s="124">
        <f t="shared" ref="W118" si="225">IF(W17=0,0,W17/W$15)</f>
        <v>0.88324741754654634</v>
      </c>
      <c r="DA118" s="176"/>
    </row>
    <row r="119" spans="1:105" ht="11.45" customHeight="1" x14ac:dyDescent="0.25">
      <c r="A119" s="111" t="s">
        <v>92</v>
      </c>
      <c r="B119" s="125">
        <f t="shared" si="219"/>
        <v>0.90440551459516494</v>
      </c>
      <c r="C119" s="125">
        <f t="shared" si="219"/>
        <v>0.91224984870380266</v>
      </c>
      <c r="D119" s="125">
        <f t="shared" si="219"/>
        <v>0.91629842987686672</v>
      </c>
      <c r="E119" s="125">
        <f t="shared" si="219"/>
        <v>0.92555364003104001</v>
      </c>
      <c r="F119" s="125">
        <f t="shared" si="219"/>
        <v>0.83342559513701497</v>
      </c>
      <c r="G119" s="125">
        <f t="shared" si="219"/>
        <v>0.77614102745051694</v>
      </c>
      <c r="H119" s="125">
        <f t="shared" si="219"/>
        <v>0.78486767573040606</v>
      </c>
      <c r="I119" s="125">
        <f t="shared" si="219"/>
        <v>0.78895215677835917</v>
      </c>
      <c r="J119" s="125">
        <f t="shared" si="219"/>
        <v>0.80858470288038198</v>
      </c>
      <c r="K119" s="125">
        <f t="shared" ref="K119:V119" si="226">IF(K18=0,0,K18/K$15)</f>
        <v>0.81415071315989274</v>
      </c>
      <c r="L119" s="125">
        <f t="shared" si="226"/>
        <v>0.81525466512046474</v>
      </c>
      <c r="M119" s="125">
        <f t="shared" si="226"/>
        <v>0.81763447086015628</v>
      </c>
      <c r="N119" s="125">
        <f t="shared" si="226"/>
        <v>0.8203009457972279</v>
      </c>
      <c r="O119" s="125">
        <f t="shared" si="226"/>
        <v>0.82126729629565187</v>
      </c>
      <c r="P119" s="125">
        <f t="shared" si="226"/>
        <v>0.80944766767034204</v>
      </c>
      <c r="Q119" s="125">
        <f t="shared" si="226"/>
        <v>0.81673586537042353</v>
      </c>
      <c r="R119" s="125">
        <f t="shared" si="226"/>
        <v>0.82188053730243327</v>
      </c>
      <c r="S119" s="125">
        <f t="shared" si="226"/>
        <v>0.83231955088708676</v>
      </c>
      <c r="T119" s="125">
        <f t="shared" si="226"/>
        <v>0.80187408202008681</v>
      </c>
      <c r="U119" s="125">
        <f t="shared" si="226"/>
        <v>0.81424974919019877</v>
      </c>
      <c r="V119" s="125">
        <f t="shared" si="226"/>
        <v>0.79685436678361499</v>
      </c>
      <c r="W119" s="125">
        <f t="shared" ref="W119" si="227">IF(W18=0,0,W18/W$15)</f>
        <v>0.80934572399552185</v>
      </c>
      <c r="DA119" s="171"/>
    </row>
    <row r="120" spans="1:105" ht="11.45" customHeight="1" x14ac:dyDescent="0.25">
      <c r="A120" s="111" t="s">
        <v>93</v>
      </c>
      <c r="B120" s="125">
        <f t="shared" si="219"/>
        <v>9.5594485404835047E-2</v>
      </c>
      <c r="C120" s="125">
        <f t="shared" si="219"/>
        <v>8.7750151296197385E-2</v>
      </c>
      <c r="D120" s="125">
        <f t="shared" si="219"/>
        <v>8.370157012313327E-2</v>
      </c>
      <c r="E120" s="125">
        <f t="shared" si="219"/>
        <v>7.4446359968959958E-2</v>
      </c>
      <c r="F120" s="125">
        <f t="shared" si="219"/>
        <v>0.12654616958781462</v>
      </c>
      <c r="G120" s="125">
        <f t="shared" si="219"/>
        <v>0.13778249613939109</v>
      </c>
      <c r="H120" s="125">
        <f t="shared" si="219"/>
        <v>0.12964027856279242</v>
      </c>
      <c r="I120" s="125">
        <f t="shared" si="219"/>
        <v>9.4056536127385862E-2</v>
      </c>
      <c r="J120" s="125">
        <f t="shared" si="219"/>
        <v>0.10423856157513163</v>
      </c>
      <c r="K120" s="125">
        <f t="shared" ref="K120:V120" si="228">IF(K19=0,0,K19/K$15)</f>
        <v>9.0800135084246364E-2</v>
      </c>
      <c r="L120" s="125">
        <f t="shared" si="228"/>
        <v>9.196767403874069E-2</v>
      </c>
      <c r="M120" s="125">
        <f t="shared" si="228"/>
        <v>8.9445656289815725E-2</v>
      </c>
      <c r="N120" s="125">
        <f t="shared" si="228"/>
        <v>8.5871447129508491E-2</v>
      </c>
      <c r="O120" s="125">
        <f t="shared" si="228"/>
        <v>7.8324130432167197E-2</v>
      </c>
      <c r="P120" s="125">
        <f t="shared" si="228"/>
        <v>7.8438919291371659E-2</v>
      </c>
      <c r="Q120" s="125">
        <f t="shared" si="228"/>
        <v>7.4644937955657548E-2</v>
      </c>
      <c r="R120" s="125">
        <f t="shared" si="228"/>
        <v>7.7650440754728836E-2</v>
      </c>
      <c r="S120" s="125">
        <f t="shared" si="228"/>
        <v>7.4642504776638724E-2</v>
      </c>
      <c r="T120" s="125">
        <f t="shared" si="228"/>
        <v>6.7537070833207258E-2</v>
      </c>
      <c r="U120" s="125">
        <f t="shared" si="228"/>
        <v>6.8045759731495042E-2</v>
      </c>
      <c r="V120" s="125">
        <f t="shared" si="228"/>
        <v>7.823523472812316E-2</v>
      </c>
      <c r="W120" s="125">
        <f t="shared" ref="W120" si="229">IF(W19=0,0,W19/W$15)</f>
        <v>7.3901693551024522E-2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1</v>
      </c>
      <c r="C123" s="125">
        <f t="shared" si="232"/>
        <v>1</v>
      </c>
      <c r="D123" s="125">
        <f t="shared" si="232"/>
        <v>0.98955897506546464</v>
      </c>
      <c r="E123" s="125">
        <f t="shared" si="232"/>
        <v>0.98981436228670472</v>
      </c>
      <c r="F123" s="125">
        <f t="shared" si="232"/>
        <v>0.94436066749513181</v>
      </c>
      <c r="G123" s="125">
        <f t="shared" si="232"/>
        <v>0.91936896335778517</v>
      </c>
      <c r="H123" s="125">
        <f t="shared" si="232"/>
        <v>0.92341106135654138</v>
      </c>
      <c r="I123" s="125">
        <f t="shared" si="232"/>
        <v>0.94049676541462079</v>
      </c>
      <c r="J123" s="125">
        <f t="shared" si="232"/>
        <v>0.940389451685816</v>
      </c>
      <c r="K123" s="125">
        <f t="shared" ref="K123:V123" si="235">IF(K22=0,0,K22/K$21)</f>
        <v>0.94528088112296538</v>
      </c>
      <c r="L123" s="125">
        <f t="shared" si="235"/>
        <v>0.94324895053579516</v>
      </c>
      <c r="M123" s="125">
        <f t="shared" si="235"/>
        <v>0.94367265957874458</v>
      </c>
      <c r="N123" s="125">
        <f t="shared" si="235"/>
        <v>0.94157929063610435</v>
      </c>
      <c r="O123" s="125">
        <f t="shared" si="235"/>
        <v>0.94735028350349793</v>
      </c>
      <c r="P123" s="125">
        <f t="shared" si="235"/>
        <v>0.94589662320358747</v>
      </c>
      <c r="Q123" s="125">
        <f t="shared" si="235"/>
        <v>0.9433252733745916</v>
      </c>
      <c r="R123" s="125">
        <f t="shared" si="235"/>
        <v>0.93771355290335778</v>
      </c>
      <c r="S123" s="125">
        <f t="shared" si="235"/>
        <v>0.93896383148798068</v>
      </c>
      <c r="T123" s="125">
        <f t="shared" si="235"/>
        <v>0.93088908045248864</v>
      </c>
      <c r="U123" s="125">
        <f t="shared" si="235"/>
        <v>0.92784873858215955</v>
      </c>
      <c r="V123" s="125">
        <f t="shared" si="235"/>
        <v>0.91244140735469459</v>
      </c>
      <c r="W123" s="125">
        <f t="shared" ref="W123" si="236">IF(W22=0,0,W22/W$21)</f>
        <v>0.91789736496414942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1.0441024934535323E-2</v>
      </c>
      <c r="E124" s="127">
        <f t="shared" si="232"/>
        <v>1.0185637713295276E-2</v>
      </c>
      <c r="F124" s="127">
        <f t="shared" si="232"/>
        <v>5.5639332504868161E-2</v>
      </c>
      <c r="G124" s="127">
        <f t="shared" si="232"/>
        <v>8.0631036642214868E-2</v>
      </c>
      <c r="H124" s="127">
        <f t="shared" si="232"/>
        <v>7.6588938643458657E-2</v>
      </c>
      <c r="I124" s="127">
        <f t="shared" si="232"/>
        <v>5.9503234585379247E-2</v>
      </c>
      <c r="J124" s="127">
        <f t="shared" si="232"/>
        <v>5.9610548314184032E-2</v>
      </c>
      <c r="K124" s="127">
        <f t="shared" ref="K124:V124" si="237">IF(K23=0,0,K23/K$21)</f>
        <v>5.4719118877034678E-2</v>
      </c>
      <c r="L124" s="127">
        <f t="shared" si="237"/>
        <v>5.6751049464204804E-2</v>
      </c>
      <c r="M124" s="127">
        <f t="shared" si="237"/>
        <v>5.6327340421255472E-2</v>
      </c>
      <c r="N124" s="127">
        <f t="shared" si="237"/>
        <v>5.8420709363895693E-2</v>
      </c>
      <c r="O124" s="127">
        <f t="shared" si="237"/>
        <v>5.2649716496502068E-2</v>
      </c>
      <c r="P124" s="127">
        <f t="shared" si="237"/>
        <v>5.4103376796412493E-2</v>
      </c>
      <c r="Q124" s="127">
        <f t="shared" si="237"/>
        <v>5.6674726625408407E-2</v>
      </c>
      <c r="R124" s="127">
        <f t="shared" si="237"/>
        <v>6.2286447096642245E-2</v>
      </c>
      <c r="S124" s="127">
        <f t="shared" si="237"/>
        <v>6.1036168512019366E-2</v>
      </c>
      <c r="T124" s="127">
        <f t="shared" si="237"/>
        <v>6.9110919547511321E-2</v>
      </c>
      <c r="U124" s="127">
        <f t="shared" si="237"/>
        <v>7.2151261417840409E-2</v>
      </c>
      <c r="V124" s="127">
        <f t="shared" si="237"/>
        <v>8.7558592645305411E-2</v>
      </c>
      <c r="W124" s="127">
        <f t="shared" ref="W124" si="238">IF(W23=0,0,W23/W$21)</f>
        <v>8.2102635035850538E-2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42.364918314703353</v>
      </c>
      <c r="C4" s="146">
        <f t="shared" ref="C4:V4" si="0">SUM(C5,C8)</f>
        <v>46.034909716251072</v>
      </c>
      <c r="D4" s="146">
        <f t="shared" si="0"/>
        <v>40.277128116938947</v>
      </c>
      <c r="E4" s="146">
        <f t="shared" si="0"/>
        <v>44.277128116938947</v>
      </c>
      <c r="F4" s="146">
        <f t="shared" si="0"/>
        <v>48.942218400687864</v>
      </c>
      <c r="G4" s="146">
        <f t="shared" si="0"/>
        <v>44.882459157351676</v>
      </c>
      <c r="H4" s="146">
        <f t="shared" si="0"/>
        <v>44.685468615649185</v>
      </c>
      <c r="I4" s="146">
        <f t="shared" si="0"/>
        <v>47.444969905417025</v>
      </c>
      <c r="J4" s="146">
        <f t="shared" si="0"/>
        <v>50.287188306104888</v>
      </c>
      <c r="K4" s="146">
        <f t="shared" si="0"/>
        <v>43.897592433361979</v>
      </c>
      <c r="L4" s="146">
        <f t="shared" si="0"/>
        <v>43.655975924333625</v>
      </c>
      <c r="M4" s="146">
        <f t="shared" si="0"/>
        <v>43.659759243336197</v>
      </c>
      <c r="N4" s="146">
        <f t="shared" si="0"/>
        <v>42.330266552020632</v>
      </c>
      <c r="O4" s="146">
        <f t="shared" si="0"/>
        <v>41.899398108340492</v>
      </c>
      <c r="P4" s="146">
        <f t="shared" si="0"/>
        <v>38.496216680997421</v>
      </c>
      <c r="Q4" s="146">
        <f t="shared" si="0"/>
        <v>39.338607050730865</v>
      </c>
      <c r="R4" s="146">
        <f t="shared" si="0"/>
        <v>40.304471195184867</v>
      </c>
      <c r="S4" s="146">
        <f t="shared" si="0"/>
        <v>41.55012897678418</v>
      </c>
      <c r="T4" s="146">
        <f t="shared" si="0"/>
        <v>42.350472914875326</v>
      </c>
      <c r="U4" s="146">
        <f t="shared" si="0"/>
        <v>44.266981943250208</v>
      </c>
      <c r="V4" s="146">
        <f t="shared" si="0"/>
        <v>35.863284608770421</v>
      </c>
      <c r="W4" s="146">
        <f t="shared" ref="W4" si="1">SUM(W5,W8)</f>
        <v>38.528374892519338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40.129320722269988</v>
      </c>
      <c r="C5" s="101">
        <f t="shared" ref="C5:V5" si="2">SUM(C6:C7)</f>
        <v>43.799312123817707</v>
      </c>
      <c r="D5" s="101">
        <f t="shared" si="2"/>
        <v>38.299484092863281</v>
      </c>
      <c r="E5" s="101">
        <f t="shared" si="2"/>
        <v>42.299484092863281</v>
      </c>
      <c r="F5" s="101">
        <f t="shared" si="2"/>
        <v>44.599999999999987</v>
      </c>
      <c r="G5" s="101">
        <f t="shared" si="2"/>
        <v>39.817970765262253</v>
      </c>
      <c r="H5" s="101">
        <f t="shared" si="2"/>
        <v>39.817970765262253</v>
      </c>
      <c r="I5" s="101">
        <f t="shared" si="2"/>
        <v>43.060791057609627</v>
      </c>
      <c r="J5" s="101">
        <f t="shared" si="2"/>
        <v>45.636457437661207</v>
      </c>
      <c r="K5" s="101">
        <f t="shared" si="2"/>
        <v>40.044453998280297</v>
      </c>
      <c r="L5" s="101">
        <f t="shared" si="2"/>
        <v>39.738349097162512</v>
      </c>
      <c r="M5" s="101">
        <f t="shared" si="2"/>
        <v>39.757953568357692</v>
      </c>
      <c r="N5" s="101">
        <f t="shared" si="2"/>
        <v>38.461822871883058</v>
      </c>
      <c r="O5" s="101">
        <f t="shared" si="2"/>
        <v>38.303611349957002</v>
      </c>
      <c r="P5" s="101">
        <f t="shared" si="2"/>
        <v>35.138349097162511</v>
      </c>
      <c r="Q5" s="101">
        <f t="shared" si="2"/>
        <v>35.809716251074803</v>
      </c>
      <c r="R5" s="101">
        <f t="shared" si="2"/>
        <v>36.470679277730007</v>
      </c>
      <c r="S5" s="101">
        <f t="shared" si="2"/>
        <v>37.647979363714533</v>
      </c>
      <c r="T5" s="101">
        <f t="shared" si="2"/>
        <v>38.043164230438521</v>
      </c>
      <c r="U5" s="101">
        <f t="shared" si="2"/>
        <v>39.809888220120371</v>
      </c>
      <c r="V5" s="101">
        <f t="shared" si="2"/>
        <v>31.716766981943248</v>
      </c>
      <c r="W5" s="101">
        <f t="shared" ref="W5" si="3">SUM(W6:W7)</f>
        <v>34.30068787618228</v>
      </c>
      <c r="DA5" s="175"/>
    </row>
    <row r="6" spans="1:105" ht="11.45" customHeight="1" x14ac:dyDescent="0.25">
      <c r="A6" s="164" t="s">
        <v>182</v>
      </c>
      <c r="B6" s="165">
        <v>40.129320722269988</v>
      </c>
      <c r="C6" s="165">
        <v>43.799312123817707</v>
      </c>
      <c r="D6" s="165">
        <v>38.299484092863281</v>
      </c>
      <c r="E6" s="165">
        <v>42.299484092863281</v>
      </c>
      <c r="F6" s="165">
        <v>44.599999999999987</v>
      </c>
      <c r="G6" s="165">
        <v>39.817970765262253</v>
      </c>
      <c r="H6" s="165">
        <v>39.817970765262253</v>
      </c>
      <c r="I6" s="165">
        <v>43.060791057609627</v>
      </c>
      <c r="J6" s="165">
        <v>45.636457437661207</v>
      </c>
      <c r="K6" s="165">
        <v>40.044453998280297</v>
      </c>
      <c r="L6" s="165">
        <v>39.738349097162512</v>
      </c>
      <c r="M6" s="165">
        <v>39.757953568357692</v>
      </c>
      <c r="N6" s="165">
        <v>38.461822871883058</v>
      </c>
      <c r="O6" s="165">
        <v>38.303611349957002</v>
      </c>
      <c r="P6" s="165">
        <v>35.138349097162511</v>
      </c>
      <c r="Q6" s="165">
        <v>35.809716251074803</v>
      </c>
      <c r="R6" s="165">
        <v>36.470679277730007</v>
      </c>
      <c r="S6" s="165">
        <v>37.647979363714533</v>
      </c>
      <c r="T6" s="165">
        <v>38.043164230438521</v>
      </c>
      <c r="U6" s="165">
        <v>39.809888220120371</v>
      </c>
      <c r="V6" s="165">
        <v>31.716766981943248</v>
      </c>
      <c r="W6" s="165">
        <v>34.30068787618228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2.2355975924333622</v>
      </c>
      <c r="C8" s="88">
        <v>2.2355975924333622</v>
      </c>
      <c r="D8" s="88">
        <v>1.9776440240756661</v>
      </c>
      <c r="E8" s="88">
        <v>1.9776440240756661</v>
      </c>
      <c r="F8" s="88">
        <v>4.3422184006878757</v>
      </c>
      <c r="G8" s="88">
        <v>5.064488392089423</v>
      </c>
      <c r="H8" s="88">
        <v>4.8674978503869299</v>
      </c>
      <c r="I8" s="88">
        <v>4.3841788478073944</v>
      </c>
      <c r="J8" s="88">
        <v>4.6507308684436799</v>
      </c>
      <c r="K8" s="88">
        <v>3.8531384350816849</v>
      </c>
      <c r="L8" s="88">
        <v>3.9176268271711092</v>
      </c>
      <c r="M8" s="88">
        <v>3.9018056749785042</v>
      </c>
      <c r="N8" s="88">
        <v>3.8684436801375748</v>
      </c>
      <c r="O8" s="88">
        <v>3.595786758383491</v>
      </c>
      <c r="P8" s="88">
        <v>3.357867583834909</v>
      </c>
      <c r="Q8" s="88">
        <v>3.528890799656061</v>
      </c>
      <c r="R8" s="88">
        <v>3.833791917454858</v>
      </c>
      <c r="S8" s="88">
        <v>3.9021496130696471</v>
      </c>
      <c r="T8" s="88">
        <v>4.3073086844368014</v>
      </c>
      <c r="U8" s="88">
        <v>4.4570937231298364</v>
      </c>
      <c r="V8" s="88">
        <v>4.1465176268271708</v>
      </c>
      <c r="W8" s="88">
        <v>4.2276870163370592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42.364918314703353</v>
      </c>
      <c r="C10" s="62">
        <f t="shared" ref="C10:V10" si="5">SUM(C11,C17)</f>
        <v>46.034909716251072</v>
      </c>
      <c r="D10" s="62">
        <f t="shared" si="5"/>
        <v>40.277128116938947</v>
      </c>
      <c r="E10" s="62">
        <f t="shared" si="5"/>
        <v>44.27712811693894</v>
      </c>
      <c r="F10" s="62">
        <f t="shared" si="5"/>
        <v>48.942218400687864</v>
      </c>
      <c r="G10" s="62">
        <f t="shared" si="5"/>
        <v>44.882459157351676</v>
      </c>
      <c r="H10" s="62">
        <f t="shared" si="5"/>
        <v>44.685468615649185</v>
      </c>
      <c r="I10" s="62">
        <f t="shared" si="5"/>
        <v>47.444969905417025</v>
      </c>
      <c r="J10" s="62">
        <f t="shared" si="5"/>
        <v>50.287188306104888</v>
      </c>
      <c r="K10" s="62">
        <f t="shared" si="5"/>
        <v>43.897592433361986</v>
      </c>
      <c r="L10" s="62">
        <f t="shared" si="5"/>
        <v>43.655975924333625</v>
      </c>
      <c r="M10" s="62">
        <f t="shared" si="5"/>
        <v>43.65975924333619</v>
      </c>
      <c r="N10" s="62">
        <f t="shared" si="5"/>
        <v>42.330266552020639</v>
      </c>
      <c r="O10" s="62">
        <f t="shared" si="5"/>
        <v>41.899398108340492</v>
      </c>
      <c r="P10" s="62">
        <f t="shared" si="5"/>
        <v>38.496216680997421</v>
      </c>
      <c r="Q10" s="62">
        <f t="shared" si="5"/>
        <v>39.338607050730865</v>
      </c>
      <c r="R10" s="62">
        <f t="shared" si="5"/>
        <v>40.304471195184867</v>
      </c>
      <c r="S10" s="62">
        <f t="shared" si="5"/>
        <v>41.55012897678418</v>
      </c>
      <c r="T10" s="62">
        <f t="shared" si="5"/>
        <v>42.350472914875326</v>
      </c>
      <c r="U10" s="62">
        <f t="shared" si="5"/>
        <v>44.266981943250208</v>
      </c>
      <c r="V10" s="62">
        <f t="shared" si="5"/>
        <v>35.863284608770414</v>
      </c>
      <c r="W10" s="62">
        <f t="shared" ref="W10" si="6">SUM(W11,W17)</f>
        <v>38.528374892519338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36.603175542466076</v>
      </c>
      <c r="C11" s="29">
        <f t="shared" ref="C11:V11" si="8">SUM(C12,C13,C16)</f>
        <v>39.872723377060964</v>
      </c>
      <c r="D11" s="29">
        <f t="shared" si="8"/>
        <v>34.942364167774983</v>
      </c>
      <c r="E11" s="29">
        <f t="shared" si="8"/>
        <v>39.337872736383574</v>
      </c>
      <c r="F11" s="29">
        <f t="shared" si="8"/>
        <v>44.197594755177931</v>
      </c>
      <c r="G11" s="29">
        <f t="shared" si="8"/>
        <v>41.366559193167909</v>
      </c>
      <c r="H11" s="29">
        <f t="shared" si="8"/>
        <v>42.328689682359808</v>
      </c>
      <c r="I11" s="29">
        <f t="shared" si="8"/>
        <v>45.953527050161497</v>
      </c>
      <c r="J11" s="29">
        <f t="shared" si="8"/>
        <v>49.120165215364544</v>
      </c>
      <c r="K11" s="29">
        <f t="shared" si="8"/>
        <v>43.114448172304861</v>
      </c>
      <c r="L11" s="29">
        <f t="shared" si="8"/>
        <v>42.680969431625144</v>
      </c>
      <c r="M11" s="29">
        <f t="shared" si="8"/>
        <v>42.543846575308187</v>
      </c>
      <c r="N11" s="29">
        <f t="shared" si="8"/>
        <v>41.399378070056635</v>
      </c>
      <c r="O11" s="29">
        <f t="shared" si="8"/>
        <v>40.901595586618072</v>
      </c>
      <c r="P11" s="29">
        <f t="shared" si="8"/>
        <v>37.45049124087371</v>
      </c>
      <c r="Q11" s="29">
        <f t="shared" si="8"/>
        <v>38.346363538327232</v>
      </c>
      <c r="R11" s="29">
        <f t="shared" si="8"/>
        <v>39.271595889167706</v>
      </c>
      <c r="S11" s="29">
        <f t="shared" si="8"/>
        <v>40.549886693754928</v>
      </c>
      <c r="T11" s="29">
        <f t="shared" si="8"/>
        <v>41.468943630958087</v>
      </c>
      <c r="U11" s="29">
        <f t="shared" si="8"/>
        <v>43.534873061690917</v>
      </c>
      <c r="V11" s="29">
        <f t="shared" si="8"/>
        <v>35.138951380144114</v>
      </c>
      <c r="W11" s="29">
        <f t="shared" ref="W11" si="9">SUM(W12,W13,W16)</f>
        <v>37.845985448661658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0.30061787931204664</v>
      </c>
      <c r="G12" s="115">
        <v>0.64439162123526028</v>
      </c>
      <c r="H12" s="115">
        <v>0.65440912206254431</v>
      </c>
      <c r="I12" s="115">
        <v>0.98553424279841695</v>
      </c>
      <c r="J12" s="115">
        <v>0.76646003298620913</v>
      </c>
      <c r="K12" s="115">
        <v>0.76313507388753477</v>
      </c>
      <c r="L12" s="115">
        <v>0.75684797040316987</v>
      </c>
      <c r="M12" s="115">
        <v>0.7803587185401778</v>
      </c>
      <c r="N12" s="115">
        <v>0.79953066706918718</v>
      </c>
      <c r="O12" s="115">
        <v>0.82354634979874419</v>
      </c>
      <c r="P12" s="115">
        <v>0.83131417661546481</v>
      </c>
      <c r="Q12" s="115">
        <v>0.88487248949653874</v>
      </c>
      <c r="R12" s="115">
        <v>0.8717212913592427</v>
      </c>
      <c r="S12" s="115">
        <v>0.85680791475351969</v>
      </c>
      <c r="T12" s="115">
        <v>1.3030429852345815</v>
      </c>
      <c r="U12" s="115">
        <v>1.2429122926826963</v>
      </c>
      <c r="V12" s="115">
        <v>1.0867659019779798</v>
      </c>
      <c r="W12" s="115">
        <v>1.0980730735881272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36.603175542466076</v>
      </c>
      <c r="C13" s="116">
        <f t="shared" ref="C13:V13" si="11">SUM(C14:C15)</f>
        <v>39.872723377060964</v>
      </c>
      <c r="D13" s="116">
        <f t="shared" si="11"/>
        <v>34.942364167774983</v>
      </c>
      <c r="E13" s="116">
        <f t="shared" si="11"/>
        <v>39.337872736383574</v>
      </c>
      <c r="F13" s="116">
        <f t="shared" si="11"/>
        <v>43.896976875865882</v>
      </c>
      <c r="G13" s="116">
        <f t="shared" si="11"/>
        <v>40.722167571932651</v>
      </c>
      <c r="H13" s="116">
        <f t="shared" si="11"/>
        <v>41.674280560297262</v>
      </c>
      <c r="I13" s="116">
        <f t="shared" si="11"/>
        <v>44.967992807363082</v>
      </c>
      <c r="J13" s="116">
        <f t="shared" si="11"/>
        <v>48.353705182378334</v>
      </c>
      <c r="K13" s="116">
        <f t="shared" si="11"/>
        <v>42.351313098417329</v>
      </c>
      <c r="L13" s="116">
        <f t="shared" si="11"/>
        <v>41.924121461221972</v>
      </c>
      <c r="M13" s="116">
        <f t="shared" si="11"/>
        <v>41.763487856768009</v>
      </c>
      <c r="N13" s="116">
        <f t="shared" si="11"/>
        <v>40.59984740298745</v>
      </c>
      <c r="O13" s="116">
        <f t="shared" si="11"/>
        <v>40.078049236819325</v>
      </c>
      <c r="P13" s="116">
        <f t="shared" si="11"/>
        <v>36.619177064258245</v>
      </c>
      <c r="Q13" s="116">
        <f t="shared" si="11"/>
        <v>37.461491048830695</v>
      </c>
      <c r="R13" s="116">
        <f t="shared" si="11"/>
        <v>38.399874597808463</v>
      </c>
      <c r="S13" s="116">
        <f t="shared" si="11"/>
        <v>39.693078779001411</v>
      </c>
      <c r="T13" s="116">
        <f t="shared" si="11"/>
        <v>40.165900645723504</v>
      </c>
      <c r="U13" s="116">
        <f t="shared" si="11"/>
        <v>42.29196076900822</v>
      </c>
      <c r="V13" s="116">
        <f t="shared" si="11"/>
        <v>34.052185478166138</v>
      </c>
      <c r="W13" s="116">
        <f t="shared" ref="W13" si="12">SUM(W14:W15)</f>
        <v>36.747912375073533</v>
      </c>
      <c r="DA13" s="176" t="s">
        <v>396</v>
      </c>
    </row>
    <row r="14" spans="1:105" ht="11.45" customHeight="1" x14ac:dyDescent="0.25">
      <c r="A14" s="111" t="s">
        <v>95</v>
      </c>
      <c r="B14" s="87">
        <v>34.367577950032711</v>
      </c>
      <c r="C14" s="87">
        <v>37.6371257846276</v>
      </c>
      <c r="D14" s="87">
        <v>32.986191473457723</v>
      </c>
      <c r="E14" s="87">
        <v>37.379606086531872</v>
      </c>
      <c r="F14" s="87">
        <v>39.959520213378958</v>
      </c>
      <c r="G14" s="87">
        <v>36.414206102751443</v>
      </c>
      <c r="H14" s="87">
        <v>37.531038929585769</v>
      </c>
      <c r="I14" s="87">
        <v>41.602651257319238</v>
      </c>
      <c r="J14" s="87">
        <v>44.495098714071339</v>
      </c>
      <c r="K14" s="87">
        <v>39.27649062515809</v>
      </c>
      <c r="L14" s="87">
        <v>38.782844924906364</v>
      </c>
      <c r="M14" s="87">
        <v>38.663766672764559</v>
      </c>
      <c r="N14" s="87">
        <v>37.549662002700636</v>
      </c>
      <c r="O14" s="87">
        <v>37.323594607425477</v>
      </c>
      <c r="P14" s="87">
        <v>34.111352777096478</v>
      </c>
      <c r="Q14" s="87">
        <v>34.835744272087418</v>
      </c>
      <c r="R14" s="87">
        <v>35.458471716913941</v>
      </c>
      <c r="S14" s="87">
        <v>36.667108002922802</v>
      </c>
      <c r="T14" s="87">
        <v>37.180912739044217</v>
      </c>
      <c r="U14" s="87">
        <v>39.094423452725614</v>
      </c>
      <c r="V14" s="87">
        <v>31.012550329721503</v>
      </c>
      <c r="W14" s="87">
        <v>33.63593299644441</v>
      </c>
      <c r="DA14" s="171" t="s">
        <v>1106</v>
      </c>
    </row>
    <row r="15" spans="1:105" ht="11.45" customHeight="1" x14ac:dyDescent="0.25">
      <c r="A15" s="111" t="s">
        <v>93</v>
      </c>
      <c r="B15" s="87">
        <v>2.2355975924333622</v>
      </c>
      <c r="C15" s="87">
        <v>2.2355975924333622</v>
      </c>
      <c r="D15" s="87">
        <v>1.9561726943172577</v>
      </c>
      <c r="E15" s="87">
        <v>1.9582666498517043</v>
      </c>
      <c r="F15" s="87">
        <v>3.9374566624869227</v>
      </c>
      <c r="G15" s="87">
        <v>4.3079614691812109</v>
      </c>
      <c r="H15" s="87">
        <v>4.1432416307114934</v>
      </c>
      <c r="I15" s="87">
        <v>3.3653415500438451</v>
      </c>
      <c r="J15" s="87">
        <v>3.8586064683069976</v>
      </c>
      <c r="K15" s="87">
        <v>3.0748224732592386</v>
      </c>
      <c r="L15" s="87">
        <v>3.1412765363156048</v>
      </c>
      <c r="M15" s="87">
        <v>3.0997211840034526</v>
      </c>
      <c r="N15" s="87">
        <v>3.0501854002868121</v>
      </c>
      <c r="O15" s="87">
        <v>2.7544546293938494</v>
      </c>
      <c r="P15" s="87">
        <v>2.5078242871617706</v>
      </c>
      <c r="Q15" s="87">
        <v>2.6257467767432767</v>
      </c>
      <c r="R15" s="87">
        <v>2.941402880894521</v>
      </c>
      <c r="S15" s="87">
        <v>3.0259707760786085</v>
      </c>
      <c r="T15" s="87">
        <v>2.9849879066792862</v>
      </c>
      <c r="U15" s="87">
        <v>3.197537316282606</v>
      </c>
      <c r="V15" s="87">
        <v>3.0396351484446384</v>
      </c>
      <c r="W15" s="87">
        <v>3.1119793786291203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5.7617427722372794</v>
      </c>
      <c r="C17" s="29">
        <f t="shared" si="13"/>
        <v>6.1621863391901064</v>
      </c>
      <c r="D17" s="29">
        <f t="shared" si="13"/>
        <v>5.3347639491639658</v>
      </c>
      <c r="E17" s="29">
        <f t="shared" si="13"/>
        <v>4.9392553805553634</v>
      </c>
      <c r="F17" s="29">
        <f t="shared" si="13"/>
        <v>4.7446236455099333</v>
      </c>
      <c r="G17" s="29">
        <f t="shared" si="13"/>
        <v>3.5158999641837636</v>
      </c>
      <c r="H17" s="29">
        <f t="shared" si="13"/>
        <v>2.3567789332893776</v>
      </c>
      <c r="I17" s="29">
        <f t="shared" si="13"/>
        <v>1.4914428552555248</v>
      </c>
      <c r="J17" s="29">
        <f t="shared" si="13"/>
        <v>1.1670230907403412</v>
      </c>
      <c r="K17" s="29">
        <f t="shared" si="13"/>
        <v>0.78314426105712265</v>
      </c>
      <c r="L17" s="29">
        <f t="shared" si="13"/>
        <v>0.97500649270848294</v>
      </c>
      <c r="M17" s="29">
        <f t="shared" si="13"/>
        <v>1.1159126680280014</v>
      </c>
      <c r="N17" s="29">
        <f t="shared" si="13"/>
        <v>0.93088848196400098</v>
      </c>
      <c r="O17" s="29">
        <f t="shared" si="13"/>
        <v>0.99780252172241868</v>
      </c>
      <c r="P17" s="29">
        <f t="shared" si="13"/>
        <v>1.0457254401237086</v>
      </c>
      <c r="Q17" s="29">
        <f t="shared" si="13"/>
        <v>0.99224351240362973</v>
      </c>
      <c r="R17" s="29">
        <f t="shared" si="13"/>
        <v>1.0328753060171618</v>
      </c>
      <c r="S17" s="29">
        <f t="shared" si="13"/>
        <v>1.0002422830292543</v>
      </c>
      <c r="T17" s="29">
        <f t="shared" si="13"/>
        <v>0.88152928391723606</v>
      </c>
      <c r="U17" s="29">
        <f t="shared" si="13"/>
        <v>0.73210888155929177</v>
      </c>
      <c r="V17" s="29">
        <f t="shared" si="13"/>
        <v>0.72433322862630001</v>
      </c>
      <c r="W17" s="29">
        <f t="shared" si="13"/>
        <v>0.68238944385767786</v>
      </c>
      <c r="DA17" s="173" t="s">
        <v>401</v>
      </c>
    </row>
    <row r="18" spans="1:105" ht="11.45" customHeight="1" x14ac:dyDescent="0.25">
      <c r="A18" s="83" t="s">
        <v>95</v>
      </c>
      <c r="B18" s="87">
        <v>5.7617427722372794</v>
      </c>
      <c r="C18" s="87">
        <v>6.1621863391901064</v>
      </c>
      <c r="D18" s="87">
        <v>5.3132926194055576</v>
      </c>
      <c r="E18" s="87">
        <v>4.9198780063314018</v>
      </c>
      <c r="F18" s="87">
        <v>4.640479786621027</v>
      </c>
      <c r="G18" s="87">
        <v>3.4037646625108113</v>
      </c>
      <c r="H18" s="87">
        <v>2.2869318356764858</v>
      </c>
      <c r="I18" s="87">
        <v>1.4581398002903925</v>
      </c>
      <c r="J18" s="87">
        <v>1.1413587235898679</v>
      </c>
      <c r="K18" s="87">
        <v>0.76796337312221141</v>
      </c>
      <c r="L18" s="87">
        <v>0.95550417225614803</v>
      </c>
      <c r="M18" s="87">
        <v>1.0941868955931273</v>
      </c>
      <c r="N18" s="87">
        <v>0.91216086918242556</v>
      </c>
      <c r="O18" s="87">
        <v>0.98001674253152149</v>
      </c>
      <c r="P18" s="87">
        <v>1.0269963200660348</v>
      </c>
      <c r="Q18" s="87">
        <v>0.97397197898738397</v>
      </c>
      <c r="R18" s="87">
        <v>1.0122075608160672</v>
      </c>
      <c r="S18" s="87">
        <v>0.98087136079173554</v>
      </c>
      <c r="T18" s="87">
        <v>0.86225149139430224</v>
      </c>
      <c r="U18" s="87">
        <v>0.71546476739475806</v>
      </c>
      <c r="V18" s="87">
        <v>0.70421665222174756</v>
      </c>
      <c r="W18" s="87">
        <v>0.66475487973786618</v>
      </c>
      <c r="DA18" s="171" t="s">
        <v>1108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2.1471329758408354E-2</v>
      </c>
      <c r="E19" s="88">
        <v>1.9377374223961932E-2</v>
      </c>
      <c r="F19" s="88">
        <v>0.10414385888890672</v>
      </c>
      <c r="G19" s="88">
        <v>0.11213530167295228</v>
      </c>
      <c r="H19" s="88">
        <v>6.9847097612891929E-2</v>
      </c>
      <c r="I19" s="88">
        <v>3.330305496513223E-2</v>
      </c>
      <c r="J19" s="88">
        <v>2.5664367150473256E-2</v>
      </c>
      <c r="K19" s="88">
        <v>1.5180887934911283E-2</v>
      </c>
      <c r="L19" s="88">
        <v>1.9502320452334878E-2</v>
      </c>
      <c r="M19" s="88">
        <v>2.1725772434873985E-2</v>
      </c>
      <c r="N19" s="88">
        <v>1.8727612781575382E-2</v>
      </c>
      <c r="O19" s="88">
        <v>1.7785779190897185E-2</v>
      </c>
      <c r="P19" s="88">
        <v>1.8729120057673753E-2</v>
      </c>
      <c r="Q19" s="88">
        <v>1.8271533416245756E-2</v>
      </c>
      <c r="R19" s="88">
        <v>2.0667745201094573E-2</v>
      </c>
      <c r="S19" s="88">
        <v>1.9370922237518715E-2</v>
      </c>
      <c r="T19" s="88">
        <v>1.9277792522933823E-2</v>
      </c>
      <c r="U19" s="88">
        <v>1.6644114164533728E-2</v>
      </c>
      <c r="V19" s="88">
        <v>2.0116576404552427E-2</v>
      </c>
      <c r="W19" s="88">
        <v>1.7634564119811649E-2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338.55040625067801</v>
      </c>
      <c r="C23" s="62">
        <f>IF(C10=0,0,C10/TrRail_act!C14*100)</f>
        <v>336.86594151379484</v>
      </c>
      <c r="D23" s="62">
        <f>IF(D10=0,0,D10/TrRail_act!D14*100)</f>
        <v>321.5546206721661</v>
      </c>
      <c r="E23" s="62">
        <f>IF(E10=0,0,E10/TrRail_act!E14*100)</f>
        <v>314.61865812628264</v>
      </c>
      <c r="F23" s="62">
        <f>IF(F10=0,0,F10/TrRail_act!F14*100)</f>
        <v>293.00575564782861</v>
      </c>
      <c r="G23" s="62">
        <f>IF(G10=0,0,G10/TrRail_act!G14*100)</f>
        <v>266.47210052574735</v>
      </c>
      <c r="H23" s="62">
        <f>IF(H10=0,0,H10/TrRail_act!H14*100)</f>
        <v>260.19035258551088</v>
      </c>
      <c r="I23" s="62">
        <f>IF(I10=0,0,I10/TrRail_act!I14*100)</f>
        <v>245.11524273597129</v>
      </c>
      <c r="J23" s="62">
        <f>IF(J10=0,0,J10/TrRail_act!J14*100)</f>
        <v>247.47612843083564</v>
      </c>
      <c r="K23" s="62">
        <f>IF(K10=0,0,K10/TrRail_act!K14*100)</f>
        <v>230.45413198775435</v>
      </c>
      <c r="L23" s="62">
        <f>IF(L10=0,0,L10/TrRail_act!L14*100)</f>
        <v>222.7131534850208</v>
      </c>
      <c r="M23" s="62">
        <f>IF(M10=0,0,M10/TrRail_act!M14*100)</f>
        <v>213.70384832931384</v>
      </c>
      <c r="N23" s="62">
        <f>IF(N10=0,0,N10/TrRail_act!N14*100)</f>
        <v>200.42760375552325</v>
      </c>
      <c r="O23" s="62">
        <f>IF(O10=0,0,O10/TrRail_act!O14*100)</f>
        <v>198.59579020967229</v>
      </c>
      <c r="P23" s="62">
        <f>IF(P10=0,0,P10/TrRail_act!P14*100)</f>
        <v>195.11216767379784</v>
      </c>
      <c r="Q23" s="62">
        <f>IF(Q10=0,0,Q10/TrRail_act!Q14*100)</f>
        <v>178.0413992727913</v>
      </c>
      <c r="R23" s="62">
        <f>IF(R10=0,0,R10/TrRail_act!R14*100)</f>
        <v>168.68537922940089</v>
      </c>
      <c r="S23" s="62">
        <f>IF(S10=0,0,S10/TrRail_act!S14*100)</f>
        <v>162.08394815420741</v>
      </c>
      <c r="T23" s="62">
        <f>IF(T10=0,0,T10/TrRail_act!T14*100)</f>
        <v>151.37541648582612</v>
      </c>
      <c r="U23" s="62">
        <f>IF(U10=0,0,U10/TrRail_act!U14*100)</f>
        <v>148.74874711975667</v>
      </c>
      <c r="V23" s="62">
        <f>IF(V10=0,0,V10/TrRail_act!V14*100)</f>
        <v>145.39506975882367</v>
      </c>
      <c r="W23" s="62">
        <f>IF(W10=0,0,W10/TrRail_act!W14*100)</f>
        <v>144.08354252240068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317.45008189371129</v>
      </c>
      <c r="C24" s="29">
        <f>IF(C11=0,0,C11/TrRail_act!C15*100)</f>
        <v>315.63862381164353</v>
      </c>
      <c r="D24" s="29">
        <f>IF(D11=0,0,D11/TrRail_act!D15*100)</f>
        <v>300.67863906565003</v>
      </c>
      <c r="E24" s="29">
        <f>IF(E11=0,0,E11/TrRail_act!E15*100)</f>
        <v>297.37532133624921</v>
      </c>
      <c r="F24" s="29">
        <f>IF(F11=0,0,F11/TrRail_act!F15*100)</f>
        <v>278.73245229492903</v>
      </c>
      <c r="G24" s="29">
        <f>IF(G11=0,0,G11/TrRail_act!G15*100)</f>
        <v>255.35742182076368</v>
      </c>
      <c r="H24" s="29">
        <f>IF(H11=0,0,H11/TrRail_act!H15*100)</f>
        <v>252.84337030634853</v>
      </c>
      <c r="I24" s="29">
        <f>IF(I11=0,0,I11/TrRail_act!I15*100)</f>
        <v>240.84069057460184</v>
      </c>
      <c r="J24" s="29">
        <f>IF(J11=0,0,J11/TrRail_act!J15*100)</f>
        <v>244.34241731886758</v>
      </c>
      <c r="K24" s="29">
        <f>IF(K11=0,0,K11/TrRail_act!K15*100)</f>
        <v>228.09110285714107</v>
      </c>
      <c r="L24" s="29">
        <f>IF(L11=0,0,L11/TrRail_act!L15*100)</f>
        <v>219.7911267389479</v>
      </c>
      <c r="M24" s="29">
        <f>IF(M11=0,0,M11/TrRail_act!M15*100)</f>
        <v>210.41487964635655</v>
      </c>
      <c r="N24" s="29">
        <f>IF(N11=0,0,N11/TrRail_act!N15*100)</f>
        <v>197.68608938064446</v>
      </c>
      <c r="O24" s="29">
        <f>IF(O11=0,0,O11/TrRail_act!O15*100)</f>
        <v>195.65621735849666</v>
      </c>
      <c r="P24" s="29">
        <f>IF(P11=0,0,P11/TrRail_act!P15*100)</f>
        <v>191.79512037447864</v>
      </c>
      <c r="Q24" s="29">
        <f>IF(Q11=0,0,Q11/TrRail_act!Q15*100)</f>
        <v>175.10392983483709</v>
      </c>
      <c r="R24" s="29">
        <f>IF(R11=0,0,R11/TrRail_act!R15*100)</f>
        <v>165.79541285549459</v>
      </c>
      <c r="S24" s="29">
        <f>IF(S11=0,0,S11/TrRail_act!S15*100)</f>
        <v>159.43216299175023</v>
      </c>
      <c r="T24" s="29">
        <f>IF(T11=0,0,T11/TrRail_act!T15*100)</f>
        <v>149.1789822698384</v>
      </c>
      <c r="U24" s="29">
        <f>IF(U11=0,0,U11/TrRail_act!U15*100)</f>
        <v>147.02727341438384</v>
      </c>
      <c r="V24" s="29">
        <f>IF(V11=0,0,V11/TrRail_act!V15*100)</f>
        <v>143.33013794891889</v>
      </c>
      <c r="W24" s="29">
        <f>IF(W11=0,0,W11/TrRail_act!W15*100)</f>
        <v>142.28193006047977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47.362788441539102</v>
      </c>
      <c r="G25" s="115">
        <f>IF(G12=0,0,G12/TrRail_act!G16*100)</f>
        <v>46.21303492837994</v>
      </c>
      <c r="H25" s="115">
        <f>IF(H12=0,0,H12/TrRail_act!H16*100)</f>
        <v>45.723596247297301</v>
      </c>
      <c r="I25" s="115">
        <f>IF(I12=0,0,I12/TrRail_act!I16*100)</f>
        <v>44.14984050946719</v>
      </c>
      <c r="J25" s="115">
        <f>IF(J12=0,0,J12/TrRail_act!J16*100)</f>
        <v>43.734881941943001</v>
      </c>
      <c r="K25" s="115">
        <f>IF(K12=0,0,K12/TrRail_act!K16*100)</f>
        <v>42.475517819290964</v>
      </c>
      <c r="L25" s="115">
        <f>IF(L12=0,0,L12/TrRail_act!L16*100)</f>
        <v>42.008880893316238</v>
      </c>
      <c r="M25" s="115">
        <f>IF(M12=0,0,M12/TrRail_act!M16*100)</f>
        <v>41.53606728036938</v>
      </c>
      <c r="N25" s="115">
        <f>IF(N12=0,0,N12/TrRail_act!N16*100)</f>
        <v>40.689914686579115</v>
      </c>
      <c r="O25" s="115">
        <f>IF(O12=0,0,O12/TrRail_act!O16*100)</f>
        <v>39.234728632960703</v>
      </c>
      <c r="P25" s="115">
        <f>IF(P12=0,0,P12/TrRail_act!P16*100)</f>
        <v>37.974113821391434</v>
      </c>
      <c r="Q25" s="115">
        <f>IF(Q12=0,0,Q12/TrRail_act!Q16*100)</f>
        <v>37.200246225330353</v>
      </c>
      <c r="R25" s="115">
        <f>IF(R12=0,0,R12/TrRail_act!R16*100)</f>
        <v>36.630212613975296</v>
      </c>
      <c r="S25" s="115">
        <f>IF(S12=0,0,S12/TrRail_act!S16*100)</f>
        <v>36.208426867740343</v>
      </c>
      <c r="T25" s="115">
        <f>IF(T12=0,0,T12/TrRail_act!T16*100)</f>
        <v>35.895278091441831</v>
      </c>
      <c r="U25" s="115">
        <f>IF(U12=0,0,U12/TrRail_act!U16*100)</f>
        <v>35.662194996108269</v>
      </c>
      <c r="V25" s="115">
        <f>IF(V12=0,0,V12/TrRail_act!V16*100)</f>
        <v>35.488376469284212</v>
      </c>
      <c r="W25" s="115">
        <f>IF(W12=0,0,W12/TrRail_act!W16*100)</f>
        <v>35.358568674715478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317.45008189371129</v>
      </c>
      <c r="C26" s="116">
        <f>IF(C13=0,0,C13/TrRail_act!C17*100)</f>
        <v>315.63862381164353</v>
      </c>
      <c r="D26" s="116">
        <f>IF(D13=0,0,D13/TrRail_act!D17*100)</f>
        <v>300.67863906565003</v>
      </c>
      <c r="E26" s="116">
        <f>IF(E13=0,0,E13/TrRail_act!E17*100)</f>
        <v>297.37532133624921</v>
      </c>
      <c r="F26" s="116">
        <f>IF(F13=0,0,F13/TrRail_act!F17*100)</f>
        <v>288.37994369059027</v>
      </c>
      <c r="G26" s="116">
        <f>IF(G13=0,0,G13/TrRail_act!G17*100)</f>
        <v>275.05536308168189</v>
      </c>
      <c r="H26" s="116">
        <f>IF(H13=0,0,H13/TrRail_act!H17*100)</f>
        <v>272.20579696159206</v>
      </c>
      <c r="I26" s="116">
        <f>IF(I13=0,0,I13/TrRail_act!I17*100)</f>
        <v>266.90059216727678</v>
      </c>
      <c r="J26" s="116">
        <f>IF(J13=0,0,J13/TrRail_act!J17*100)</f>
        <v>263.50090148635525</v>
      </c>
      <c r="K26" s="116">
        <f>IF(K13=0,0,K13/TrRail_act!K17*100)</f>
        <v>247.5867516481745</v>
      </c>
      <c r="L26" s="116">
        <f>IF(L13=0,0,L13/TrRail_act!L17*100)</f>
        <v>237.97213948149925</v>
      </c>
      <c r="M26" s="116">
        <f>IF(M13=0,0,M13/TrRail_act!M17*100)</f>
        <v>227.71456167270173</v>
      </c>
      <c r="N26" s="116">
        <f>IF(N13=0,0,N13/TrRail_act!N17*100)</f>
        <v>213.94190947203313</v>
      </c>
      <c r="O26" s="116">
        <f>IF(O13=0,0,O13/TrRail_act!O17*100)</f>
        <v>213.1153193968197</v>
      </c>
      <c r="P26" s="116">
        <f>IF(P13=0,0,P13/TrRail_act!P17*100)</f>
        <v>211.21809431607605</v>
      </c>
      <c r="Q26" s="116">
        <f>IF(Q13=0,0,Q13/TrRail_act!Q17*100)</f>
        <v>191.90818148143595</v>
      </c>
      <c r="R26" s="116">
        <f>IF(R13=0,0,R13/TrRail_act!R17*100)</f>
        <v>180.22193251282164</v>
      </c>
      <c r="S26" s="116">
        <f>IF(S13=0,0,S13/TrRail_act!S17*100)</f>
        <v>172.07269522881674</v>
      </c>
      <c r="T26" s="116">
        <f>IF(T13=0,0,T13/TrRail_act!T17*100)</f>
        <v>166.19462358133373</v>
      </c>
      <c r="U26" s="116">
        <f>IF(U13=0,0,U13/TrRail_act!U17*100)</f>
        <v>161.88416631089089</v>
      </c>
      <c r="V26" s="116">
        <f>IF(V13=0,0,V13/TrRail_act!V17*100)</f>
        <v>158.72348438661689</v>
      </c>
      <c r="W26" s="116">
        <f>IF(W13=0,0,W13/TrRail_act!W17*100)</f>
        <v>156.41565784546253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329.56600187473788</v>
      </c>
      <c r="C27" s="87">
        <f>IF(C14=0,0,C14/TrRail_act!C18*100)</f>
        <v>326.60053506390807</v>
      </c>
      <c r="D27" s="87">
        <f>IF(D14=0,0,D14/TrRail_act!D18*100)</f>
        <v>309.77439928576615</v>
      </c>
      <c r="E27" s="87">
        <f>IF(E14=0,0,E14/TrRail_act!E18*100)</f>
        <v>305.30026451562361</v>
      </c>
      <c r="F27" s="87">
        <f>IF(F14=0,0,F14/TrRail_act!F18*100)</f>
        <v>302.3725283814149</v>
      </c>
      <c r="G27" s="87">
        <f>IF(G14=0,0,G14/TrRail_act!G18*100)</f>
        <v>289.62049482944406</v>
      </c>
      <c r="H27" s="87">
        <f>IF(H14=0,0,H14/TrRail_act!H18*100)</f>
        <v>285.63464948899104</v>
      </c>
      <c r="I27" s="87">
        <f>IF(I14=0,0,I14/TrRail_act!I18*100)</f>
        <v>276.36392632761641</v>
      </c>
      <c r="J27" s="87">
        <f>IF(J14=0,0,J14/TrRail_act!J18*100)</f>
        <v>273.73208215735997</v>
      </c>
      <c r="K27" s="87">
        <f>IF(K14=0,0,K14/TrRail_act!K18*100)</f>
        <v>255.21922290713178</v>
      </c>
      <c r="L27" s="87">
        <f>IF(L14=0,0,L14/TrRail_act!L18*100)</f>
        <v>244.97527352763026</v>
      </c>
      <c r="M27" s="87">
        <f>IF(M14=0,0,M14/TrRail_act!M18*100)</f>
        <v>233.87546434961396</v>
      </c>
      <c r="N27" s="87">
        <f>IF(N14=0,0,N14/TrRail_act!N18*100)</f>
        <v>218.58236129497243</v>
      </c>
      <c r="O27" s="87">
        <f>IF(O14=0,0,O14/TrRail_act!O18*100)</f>
        <v>217.3963945762242</v>
      </c>
      <c r="P27" s="87">
        <f>IF(P14=0,0,P14/TrRail_act!P18*100)</f>
        <v>215.81926134008208</v>
      </c>
      <c r="Q27" s="87">
        <f>IF(Q14=0,0,Q14/TrRail_act!Q18*100)</f>
        <v>194.76691006354332</v>
      </c>
      <c r="R27" s="87">
        <f>IF(R14=0,0,R14/TrRail_act!R18*100)</f>
        <v>182.1399770422814</v>
      </c>
      <c r="S27" s="87">
        <f>IF(S14=0,0,S14/TrRail_act!S18*100)</f>
        <v>173.20995733193303</v>
      </c>
      <c r="T27" s="87">
        <f>IF(T14=0,0,T14/TrRail_act!T18*100)</f>
        <v>166.80095696169479</v>
      </c>
      <c r="U27" s="87">
        <f>IF(U14=0,0,U14/TrRail_act!U18*100)</f>
        <v>162.15031631049243</v>
      </c>
      <c r="V27" s="87">
        <f>IF(V14=0,0,V14/TrRail_act!V18*100)</f>
        <v>158.74762877582549</v>
      </c>
      <c r="W27" s="87">
        <f>IF(W14=0,0,W14/TrRail_act!W18*100)</f>
        <v>156.24255485365651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202.82312617728851</v>
      </c>
      <c r="C28" s="87">
        <f>IF(C15=0,0,C15/TrRail_act!C19*100)</f>
        <v>201.67868489794012</v>
      </c>
      <c r="D28" s="87">
        <f>IF(D15=0,0,D15/TrRail_act!D19*100)</f>
        <v>201.10546742779309</v>
      </c>
      <c r="E28" s="87">
        <f>IF(E15=0,0,E15/TrRail_act!E19*100)</f>
        <v>198.84854299856539</v>
      </c>
      <c r="F28" s="87">
        <f>IF(F15=0,0,F15/TrRail_act!F19*100)</f>
        <v>196.22560775580669</v>
      </c>
      <c r="G28" s="87">
        <f>IF(G15=0,0,G15/TrRail_act!G19*100)</f>
        <v>193.0086834495776</v>
      </c>
      <c r="H28" s="87">
        <f>IF(H15=0,0,H15/TrRail_act!H19*100)</f>
        <v>190.90488965290413</v>
      </c>
      <c r="I28" s="87">
        <f>IF(I15=0,0,I15/TrRail_act!I19*100)</f>
        <v>187.52154841849861</v>
      </c>
      <c r="J28" s="87">
        <f>IF(J15=0,0,J15/TrRail_act!J19*100)</f>
        <v>184.1370263717015</v>
      </c>
      <c r="K28" s="87">
        <f>IF(K15=0,0,K15/TrRail_act!K19*100)</f>
        <v>179.15092924673226</v>
      </c>
      <c r="L28" s="87">
        <f>IF(L15=0,0,L15/TrRail_act!L19*100)</f>
        <v>175.89230804891048</v>
      </c>
      <c r="M28" s="87">
        <f>IF(M15=0,0,M15/TrRail_act!M19*100)</f>
        <v>171.39694258188425</v>
      </c>
      <c r="N28" s="87">
        <f>IF(N15=0,0,N15/TrRail_act!N19*100)</f>
        <v>169.61323973920972</v>
      </c>
      <c r="O28" s="87">
        <f>IF(O15=0,0,O15/TrRail_act!O19*100)</f>
        <v>168.22612600994992</v>
      </c>
      <c r="P28" s="87">
        <f>IF(P15=0,0,P15/TrRail_act!P19*100)</f>
        <v>163.73651310881075</v>
      </c>
      <c r="Q28" s="87">
        <f>IF(Q15=0,0,Q15/TrRail_act!Q19*100)</f>
        <v>160.62908572073459</v>
      </c>
      <c r="R28" s="87">
        <f>IF(R15=0,0,R15/TrRail_act!R19*100)</f>
        <v>159.92065085723254</v>
      </c>
      <c r="S28" s="87">
        <f>IF(S15=0,0,S15/TrRail_act!S19*100)</f>
        <v>159.39137530608414</v>
      </c>
      <c r="T28" s="87">
        <f>IF(T15=0,0,T15/TrRail_act!T19*100)</f>
        <v>158.99556953920757</v>
      </c>
      <c r="U28" s="87">
        <f>IF(U15=0,0,U15/TrRail_act!U19*100)</f>
        <v>158.69935992063728</v>
      </c>
      <c r="V28" s="87">
        <f>IF(V15=0,0,V15/TrRail_act!V19*100)</f>
        <v>158.47756498673192</v>
      </c>
      <c r="W28" s="87">
        <f>IF(W15=0,0,W15/TrRail_act!W19*100)</f>
        <v>158.31142179209363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585.98960327561576</v>
      </c>
      <c r="C30" s="29">
        <f>IF(C17=0,0,C17/TrRail_act!C21*100)</f>
        <v>596.38870953122023</v>
      </c>
      <c r="D30" s="29">
        <f>IF(D17=0,0,D17/TrRail_act!D21*100)</f>
        <v>589.74780946035139</v>
      </c>
      <c r="E30" s="29">
        <f>IF(E17=0,0,E17/TrRail_act!E21*100)</f>
        <v>584.58941399981643</v>
      </c>
      <c r="F30" s="29">
        <f>IF(F17=0,0,F17/TrRail_act!F21*100)</f>
        <v>560.25862658287292</v>
      </c>
      <c r="G30" s="29">
        <f>IF(G17=0,0,G17/TrRail_act!G21*100)</f>
        <v>546.16993842688885</v>
      </c>
      <c r="H30" s="29">
        <f>IF(H17=0,0,H17/TrRail_act!H21*100)</f>
        <v>544.19841847307282</v>
      </c>
      <c r="I30" s="29">
        <f>IF(I17=0,0,I17/TrRail_act!I21*100)</f>
        <v>540.92131456951961</v>
      </c>
      <c r="J30" s="29">
        <f>IF(J17=0,0,J17/TrRail_act!J21*100)</f>
        <v>537.76878692204116</v>
      </c>
      <c r="K30" s="29">
        <f>IF(K17=0,0,K17/TrRail_act!K21*100)</f>
        <v>536.37699565432263</v>
      </c>
      <c r="L30" s="29">
        <f>IF(L17=0,0,L17/TrRail_act!L21*100)</f>
        <v>532.76869380713947</v>
      </c>
      <c r="M30" s="29">
        <f>IF(M17=0,0,M17/TrRail_act!M21*100)</f>
        <v>528.86856304644618</v>
      </c>
      <c r="N30" s="29">
        <f>IF(N17=0,0,N17/TrRail_act!N21*100)</f>
        <v>522.97105728314671</v>
      </c>
      <c r="O30" s="29">
        <f>IF(O17=0,0,O17/TrRail_act!O21*100)</f>
        <v>516.99612524477652</v>
      </c>
      <c r="P30" s="29">
        <f>IF(P17=0,0,P17/TrRail_act!P21*100)</f>
        <v>512.61050986456314</v>
      </c>
      <c r="Q30" s="29">
        <f>IF(Q17=0,0,Q17/TrRail_act!Q21*100)</f>
        <v>506.2466900018519</v>
      </c>
      <c r="R30" s="29">
        <f>IF(R17=0,0,R17/TrRail_act!R21*100)</f>
        <v>500.18174625528422</v>
      </c>
      <c r="S30" s="29">
        <f>IF(S17=0,0,S17/TrRail_act!S21*100)</f>
        <v>497.63297663146977</v>
      </c>
      <c r="T30" s="29">
        <f>IF(T17=0,0,T17/TrRail_act!T21*100)</f>
        <v>492.47446028895865</v>
      </c>
      <c r="U30" s="29">
        <f>IF(U17=0,0,U17/TrRail_act!U21*100)</f>
        <v>489.70493749785408</v>
      </c>
      <c r="V30" s="29">
        <f>IF(V17=0,0,V17/TrRail_act!V21*100)</f>
        <v>482.88881908420001</v>
      </c>
      <c r="W30" s="29">
        <f>IF(W17=0,0,W17/TrRail_act!W21*100)</f>
        <v>483.92723047322789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585.98960327561576</v>
      </c>
      <c r="C31" s="87">
        <f>IF(C18=0,0,C18/TrRail_act!C22*100)</f>
        <v>596.38870953122023</v>
      </c>
      <c r="D31" s="87">
        <f>IF(D18=0,0,D18/TrRail_act!D22*100)</f>
        <v>593.57169243367696</v>
      </c>
      <c r="E31" s="87">
        <f>IF(E18=0,0,E18/TrRail_act!E22*100)</f>
        <v>588.28807903936706</v>
      </c>
      <c r="F31" s="87">
        <f>IF(F18=0,0,F18/TrRail_act!F22*100)</f>
        <v>580.24549623647556</v>
      </c>
      <c r="G31" s="87">
        <f>IF(G18=0,0,G18/TrRail_act!G22*100)</f>
        <v>575.12330912772813</v>
      </c>
      <c r="H31" s="87">
        <f>IF(H18=0,0,H18/TrRail_act!H22*100)</f>
        <v>571.86902718507349</v>
      </c>
      <c r="I31" s="87">
        <f>IF(I18=0,0,I18/TrRail_act!I22*100)</f>
        <v>562.3016201844282</v>
      </c>
      <c r="J31" s="87">
        <f>IF(J18=0,0,J18/TrRail_act!J22*100)</f>
        <v>559.28163125199899</v>
      </c>
      <c r="K31" s="87">
        <f>IF(K18=0,0,K18/TrRail_act!K22*100)</f>
        <v>556.42675854772699</v>
      </c>
      <c r="L31" s="87">
        <f>IF(L18=0,0,L18/TrRail_act!L22*100)</f>
        <v>553.52526248249285</v>
      </c>
      <c r="M31" s="87">
        <f>IF(M18=0,0,M18/TrRail_act!M22*100)</f>
        <v>549.52528630452457</v>
      </c>
      <c r="N31" s="87">
        <f>IF(N18=0,0,N18/TrRail_act!N22*100)</f>
        <v>544.24511201896132</v>
      </c>
      <c r="O31" s="87">
        <f>IF(O18=0,0,O18/TrRail_act!O22*100)</f>
        <v>536.00099609862252</v>
      </c>
      <c r="P31" s="87">
        <f>IF(P18=0,0,P18/TrRail_act!P22*100)</f>
        <v>532.22472341088667</v>
      </c>
      <c r="Q31" s="87">
        <f>IF(Q18=0,0,Q18/TrRail_act!Q22*100)</f>
        <v>526.77956702838037</v>
      </c>
      <c r="R31" s="87">
        <f>IF(R18=0,0,R18/TrRail_act!R22*100)</f>
        <v>522.73229006862914</v>
      </c>
      <c r="S31" s="87">
        <f>IF(S18=0,0,S18/TrRail_act!S22*100)</f>
        <v>519.71725163588712</v>
      </c>
      <c r="T31" s="87">
        <f>IF(T18=0,0,T18/TrRail_act!T22*100)</f>
        <v>517.46739102531046</v>
      </c>
      <c r="U31" s="87">
        <f>IF(U18=0,0,U18/TrRail_act!U22*100)</f>
        <v>515.78638938177278</v>
      </c>
      <c r="V31" s="87">
        <f>IF(V18=0,0,V18/TrRail_act!V22*100)</f>
        <v>514.52922276830759</v>
      </c>
      <c r="W31" s="87">
        <f>IF(W18=0,0,W18/TrRail_act!W22*100)</f>
        <v>513.58835895137747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227.33533179848365</v>
      </c>
      <c r="E32" s="88">
        <f>IF(E19=0,0,E19/TrRail_act!E23*100)</f>
        <v>225.1625542896798</v>
      </c>
      <c r="F32" s="88">
        <f>IF(F19=0,0,F19/TrRail_act!F23*100)</f>
        <v>221.02354381902254</v>
      </c>
      <c r="G32" s="88">
        <f>IF(G19=0,0,G19/TrRail_act!G23*100)</f>
        <v>216.03862032092928</v>
      </c>
      <c r="H32" s="88">
        <f>IF(H19=0,0,H19/TrRail_act!H23*100)</f>
        <v>210.58175513114801</v>
      </c>
      <c r="I32" s="88">
        <f>IF(I19=0,0,I19/TrRail_act!I23*100)</f>
        <v>202.98828597852534</v>
      </c>
      <c r="J32" s="88">
        <f>IF(J19=0,0,J19/TrRail_act!J23*100)</f>
        <v>198.39173947358375</v>
      </c>
      <c r="K32" s="88">
        <f>IF(K19=0,0,K19/TrRail_act!K23*100)</f>
        <v>190.01437280627601</v>
      </c>
      <c r="L32" s="88">
        <f>IF(L19=0,0,L19/TrRail_act!L23*100)</f>
        <v>187.77751206520091</v>
      </c>
      <c r="M32" s="88">
        <f>IF(M19=0,0,M19/TrRail_act!M23*100)</f>
        <v>182.79887771514376</v>
      </c>
      <c r="N32" s="88">
        <f>IF(N19=0,0,N19/TrRail_act!N23*100)</f>
        <v>180.09248587912663</v>
      </c>
      <c r="O32" s="88">
        <f>IF(O19=0,0,O19/TrRail_act!O23*100)</f>
        <v>175.03284434972159</v>
      </c>
      <c r="P32" s="88">
        <f>IF(P19=0,0,P19/TrRail_act!P23*100)</f>
        <v>169.69257278135012</v>
      </c>
      <c r="Q32" s="88">
        <f>IF(Q19=0,0,Q19/TrRail_act!Q23*100)</f>
        <v>164.48620896349706</v>
      </c>
      <c r="R32" s="88">
        <f>IF(R19=0,0,R19/TrRail_act!R23*100)</f>
        <v>160.68653429842027</v>
      </c>
      <c r="S32" s="88">
        <f>IF(S19=0,0,S19/TrRail_act!S23*100)</f>
        <v>157.89449075815423</v>
      </c>
      <c r="T32" s="88">
        <f>IF(T19=0,0,T19/TrRail_act!T23*100)</f>
        <v>155.83234261346092</v>
      </c>
      <c r="U32" s="88">
        <f>IF(U19=0,0,U19/TrRail_act!U23*100)</f>
        <v>154.30342468519541</v>
      </c>
      <c r="V32" s="88">
        <f>IF(V19=0,0,V19/TrRail_act!V23*100)</f>
        <v>153.16658858023956</v>
      </c>
      <c r="W32" s="88">
        <f>IF(W19=0,0,W19/TrRail_act!W23*100)</f>
        <v>152.31946100190393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26.352178216318269</v>
      </c>
      <c r="C35" s="29">
        <f>IF(C11=0,0,C11/TrRail_act!C4*1000)</f>
        <v>26.318629291789414</v>
      </c>
      <c r="D35" s="29">
        <f>IF(D11=0,0,D11/TrRail_act!D4*1000)</f>
        <v>21.463368653424435</v>
      </c>
      <c r="E35" s="29">
        <f>IF(E11=0,0,E11/TrRail_act!E4*1000)</f>
        <v>24.570813701676187</v>
      </c>
      <c r="F35" s="29">
        <f>IF(F11=0,0,F11/TrRail_act!F4*1000)</f>
        <v>27.081859531359026</v>
      </c>
      <c r="G35" s="29">
        <f>IF(G11=0,0,G11/TrRail_act!G4*1000)</f>
        <v>21.8754940207128</v>
      </c>
      <c r="H35" s="29">
        <f>IF(H11=0,0,H11/TrRail_act!H4*1000)</f>
        <v>21.323095285581054</v>
      </c>
      <c r="I35" s="29">
        <f>IF(I11=0,0,I11/TrRail_act!I4*1000)</f>
        <v>21.060278208140009</v>
      </c>
      <c r="J35" s="29">
        <f>IF(J11=0,0,J11/TrRail_act!J4*1000)</f>
        <v>23.20272329492893</v>
      </c>
      <c r="K35" s="29">
        <f>IF(K11=0,0,K11/TrRail_act!K4*1000)</f>
        <v>23.754516899341521</v>
      </c>
      <c r="L35" s="29">
        <f>IF(L11=0,0,L11/TrRail_act!L4*1000)</f>
        <v>23.593681277846954</v>
      </c>
      <c r="M35" s="29">
        <f>IF(M11=0,0,M11/TrRail_act!M4*1000)</f>
        <v>23.954868567178035</v>
      </c>
      <c r="N35" s="29">
        <f>IF(N11=0,0,N11/TrRail_act!N4*1000)</f>
        <v>24.0414506794754</v>
      </c>
      <c r="O35" s="29">
        <f>IF(O11=0,0,O11/TrRail_act!O4*1000)</f>
        <v>23.796257333706198</v>
      </c>
      <c r="P35" s="29">
        <f>IF(P11=0,0,P11/TrRail_act!P4*1000)</f>
        <v>19.835299032401526</v>
      </c>
      <c r="Q35" s="29">
        <f>IF(Q11=0,0,Q11/TrRail_act!Q4*1000)</f>
        <v>18.280475914929614</v>
      </c>
      <c r="R35" s="29">
        <f>IF(R11=0,0,R11/TrRail_act!R4*1000)</f>
        <v>18.059656295464492</v>
      </c>
      <c r="S35" s="29">
        <f>IF(S11=0,0,S11/TrRail_act!S4*1000)</f>
        <v>17.577658146507588</v>
      </c>
      <c r="T35" s="29">
        <f>IF(T11=0,0,T11/TrRail_act!T4*1000)</f>
        <v>15.961872067343377</v>
      </c>
      <c r="U35" s="29">
        <f>IF(U11=0,0,U11/TrRail_act!U4*1000)</f>
        <v>16.099889789078865</v>
      </c>
      <c r="V35" s="29">
        <f>IF(V11=0,0,V11/TrRail_act!V4*1000)</f>
        <v>36.821387632835233</v>
      </c>
      <c r="W35" s="29">
        <f>IF(W11=0,0,W11/TrRail_act!W4*1000)</f>
        <v>38.164521043811298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6.0123575862409329</v>
      </c>
      <c r="G36" s="115">
        <f>IF(G12=0,0,G12/TrRail_act!G5*1000)</f>
        <v>5.858105647593276</v>
      </c>
      <c r="H36" s="115">
        <f>IF(H12=0,0,H12/TrRail_act!H5*1000)</f>
        <v>5.7855991695035307</v>
      </c>
      <c r="I36" s="115">
        <f>IF(I12=0,0,I12/TrRail_act!I5*1000)</f>
        <v>5.6316242445623823</v>
      </c>
      <c r="J36" s="115">
        <f>IF(J12=0,0,J12/TrRail_act!J5*1000)</f>
        <v>5.43588675876744</v>
      </c>
      <c r="K36" s="115">
        <f>IF(K12=0,0,K12/TrRail_act!K5*1000)</f>
        <v>5.7813263173298086</v>
      </c>
      <c r="L36" s="115">
        <f>IF(L12=0,0,L12/TrRail_act!L5*1000)</f>
        <v>5.7774654229249602</v>
      </c>
      <c r="M36" s="115">
        <f>IF(M12=0,0,M12/TrRail_act!M5*1000)</f>
        <v>5.6547733227549113</v>
      </c>
      <c r="N36" s="115">
        <f>IF(N12=0,0,N12/TrRail_act!N5*1000)</f>
        <v>5.5522962990915774</v>
      </c>
      <c r="O36" s="115">
        <f>IF(O12=0,0,O12/TrRail_act!O5*1000)</f>
        <v>5.4967317464796652</v>
      </c>
      <c r="P36" s="115">
        <f>IF(P12=0,0,P12/TrRail_act!P5*1000)</f>
        <v>5.1933462818608973</v>
      </c>
      <c r="Q36" s="115">
        <f>IF(Q12=0,0,Q12/TrRail_act!Q5*1000)</f>
        <v>4.9250509587836664</v>
      </c>
      <c r="R36" s="115">
        <f>IF(R12=0,0,R12/TrRail_act!R5*1000)</f>
        <v>4.7492732438775755</v>
      </c>
      <c r="S36" s="115">
        <f>IF(S12=0,0,S12/TrRail_act!S5*1000)</f>
        <v>4.6339173143045489</v>
      </c>
      <c r="T36" s="115">
        <f>IF(T12=0,0,T12/TrRail_act!T5*1000)</f>
        <v>4.1105456947463139</v>
      </c>
      <c r="U36" s="115">
        <f>IF(U12=0,0,U12/TrRail_act!U5*1000)</f>
        <v>4.0744824704712723</v>
      </c>
      <c r="V36" s="115">
        <f>IF(V12=0,0,V12/TrRail_act!V5*1000)</f>
        <v>9.0331838700507632</v>
      </c>
      <c r="W36" s="115">
        <f>IF(W12=0,0,W12/TrRail_act!W5*1000)</f>
        <v>9.0262260472654017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26.352178216318269</v>
      </c>
      <c r="C37" s="116">
        <f>IF(C13=0,0,C13/TrRail_act!C6*1000)</f>
        <v>26.318629291789414</v>
      </c>
      <c r="D37" s="116">
        <f>IF(D13=0,0,D13/TrRail_act!D6*1000)</f>
        <v>21.463368653424435</v>
      </c>
      <c r="E37" s="116">
        <f>IF(E13=0,0,E13/TrRail_act!E6*1000)</f>
        <v>24.570813701676187</v>
      </c>
      <c r="F37" s="116">
        <f>IF(F13=0,0,F13/TrRail_act!F6*1000)</f>
        <v>27.747772993594111</v>
      </c>
      <c r="G37" s="116">
        <f>IF(G13=0,0,G13/TrRail_act!G6*1000)</f>
        <v>22.864776851169371</v>
      </c>
      <c r="H37" s="116">
        <f>IF(H13=0,0,H13/TrRail_act!H6*1000)</f>
        <v>22.261902008705803</v>
      </c>
      <c r="I37" s="116">
        <f>IF(I13=0,0,I13/TrRail_act!I6*1000)</f>
        <v>22.405576884585489</v>
      </c>
      <c r="J37" s="116">
        <f>IF(J13=0,0,J13/TrRail_act!J6*1000)</f>
        <v>24.470498574078103</v>
      </c>
      <c r="K37" s="116">
        <f>IF(K13=0,0,K13/TrRail_act!K6*1000)</f>
        <v>25.164178905773813</v>
      </c>
      <c r="L37" s="116">
        <f>IF(L13=0,0,L13/TrRail_act!L6*1000)</f>
        <v>24.984577748046465</v>
      </c>
      <c r="M37" s="116">
        <f>IF(M13=0,0,M13/TrRail_act!M6*1000)</f>
        <v>25.496634833191703</v>
      </c>
      <c r="N37" s="116">
        <f>IF(N13=0,0,N13/TrRail_act!N6*1000)</f>
        <v>25.728673892894452</v>
      </c>
      <c r="O37" s="116">
        <f>IF(O13=0,0,O13/TrRail_act!O6*1000)</f>
        <v>25.543689762153807</v>
      </c>
      <c r="P37" s="116">
        <f>IF(P13=0,0,P13/TrRail_act!P6*1000)</f>
        <v>21.191653393667966</v>
      </c>
      <c r="Q37" s="116">
        <f>IF(Q13=0,0,Q13/TrRail_act!Q6*1000)</f>
        <v>19.531538607315273</v>
      </c>
      <c r="R37" s="116">
        <f>IF(R13=0,0,R13/TrRail_act!R6*1000)</f>
        <v>19.286727572982656</v>
      </c>
      <c r="S37" s="116">
        <f>IF(S13=0,0,S13/TrRail_act!S6*1000)</f>
        <v>18.70550366588191</v>
      </c>
      <c r="T37" s="116">
        <f>IF(T13=0,0,T13/TrRail_act!T6*1000)</f>
        <v>17.608899888524114</v>
      </c>
      <c r="U37" s="116">
        <f>IF(U13=0,0,U13/TrRail_act!U6*1000)</f>
        <v>17.628995735309804</v>
      </c>
      <c r="V37" s="116">
        <f>IF(V13=0,0,V13/TrRail_act!V6*1000)</f>
        <v>40.829958606913834</v>
      </c>
      <c r="W37" s="116">
        <f>IF(W13=0,0,W13/TrRail_act!W6*1000)</f>
        <v>42.238979741463829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28.34511760474647</v>
      </c>
      <c r="C38" s="87">
        <f>IF(C14=0,0,C14/TrRail_act!C7*1000)</f>
        <v>28.138087509027716</v>
      </c>
      <c r="D38" s="87">
        <f>IF(D14=0,0,D14/TrRail_act!D7*1000)</f>
        <v>23.529772417716877</v>
      </c>
      <c r="E38" s="87">
        <f>IF(E14=0,0,E14/TrRail_act!E7*1000)</f>
        <v>26.890994801574365</v>
      </c>
      <c r="F38" s="87">
        <f>IF(F14=0,0,F14/TrRail_act!F7*1000)</f>
        <v>28.974101450946307</v>
      </c>
      <c r="G38" s="87">
        <f>IF(G14=0,0,G14/TrRail_act!G7*1000)</f>
        <v>22.709768809268684</v>
      </c>
      <c r="H38" s="87">
        <f>IF(H14=0,0,H14/TrRail_act!H7*1000)</f>
        <v>21.976193951891776</v>
      </c>
      <c r="I38" s="87">
        <f>IF(I14=0,0,I14/TrRail_act!I7*1000)</f>
        <v>21.30701199976836</v>
      </c>
      <c r="J38" s="87">
        <f>IF(J14=0,0,J14/TrRail_act!J7*1000)</f>
        <v>23.408188836983804</v>
      </c>
      <c r="K38" s="87">
        <f>IF(K14=0,0,K14/TrRail_act!K7*1000)</f>
        <v>24.582489854231714</v>
      </c>
      <c r="L38" s="87">
        <f>IF(L14=0,0,L14/TrRail_act!L7*1000)</f>
        <v>24.497986578612377</v>
      </c>
      <c r="M38" s="87">
        <f>IF(M14=0,0,M14/TrRail_act!M7*1000)</f>
        <v>24.73894636383924</v>
      </c>
      <c r="N38" s="87">
        <f>IF(N14=0,0,N14/TrRail_act!N7*1000)</f>
        <v>24.788910320229959</v>
      </c>
      <c r="O38" s="87">
        <f>IF(O14=0,0,O14/TrRail_act!O7*1000)</f>
        <v>24.710040933887473</v>
      </c>
      <c r="P38" s="87">
        <f>IF(P14=0,0,P14/TrRail_act!P7*1000)</f>
        <v>20.442218388374698</v>
      </c>
      <c r="Q38" s="87">
        <f>IF(Q14=0,0,Q14/TrRail_act!Q7*1000)</f>
        <v>18.640294717348556</v>
      </c>
      <c r="R38" s="87">
        <f>IF(R14=0,0,R14/TrRail_act!R7*1000)</f>
        <v>18.290240236515391</v>
      </c>
      <c r="S38" s="87">
        <f>IF(S14=0,0,S14/TrRail_act!S7*1000)</f>
        <v>17.675113323720378</v>
      </c>
      <c r="T38" s="87">
        <f>IF(T14=0,0,T14/TrRail_act!T7*1000)</f>
        <v>16.619088542591797</v>
      </c>
      <c r="U38" s="87">
        <f>IF(U14=0,0,U14/TrRail_act!U7*1000)</f>
        <v>16.59545357998514</v>
      </c>
      <c r="V38" s="87">
        <f>IF(V14=0,0,V14/TrRail_act!V7*1000)</f>
        <v>38.752765832742561</v>
      </c>
      <c r="W38" s="87">
        <f>IF(W14=0,0,W14/TrRail_act!W7*1000)</f>
        <v>40.220504367634803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12.664054960600339</v>
      </c>
      <c r="C39" s="87">
        <f>IF(C15=0,0,C15/TrRail_act!C8*1000)</f>
        <v>12.60105629732063</v>
      </c>
      <c r="D39" s="87">
        <f>IF(D15=0,0,D15/TrRail_act!D8*1000)</f>
        <v>8.6514836464636442</v>
      </c>
      <c r="E39" s="87">
        <f>IF(E15=0,0,E15/TrRail_act!E8*1000)</f>
        <v>9.2827223470302016</v>
      </c>
      <c r="F39" s="87">
        <f>IF(F15=0,0,F15/TrRail_act!F8*1000)</f>
        <v>19.41031187427415</v>
      </c>
      <c r="G39" s="87">
        <f>IF(G15=0,0,G15/TrRail_act!G8*1000)</f>
        <v>24.264738601182206</v>
      </c>
      <c r="H39" s="87">
        <f>IF(H15=0,0,H15/TrRail_act!H8*1000)</f>
        <v>25.23356026404176</v>
      </c>
      <c r="I39" s="87">
        <f>IF(I15=0,0,I15/TrRail_act!I8*1000)</f>
        <v>61.787181568066082</v>
      </c>
      <c r="J39" s="87">
        <f>IF(J15=0,0,J15/TrRail_act!J8*1000)</f>
        <v>51.334976371562661</v>
      </c>
      <c r="K39" s="87">
        <f>IF(K15=0,0,K15/TrRail_act!K8*1000)</f>
        <v>36.065157398953275</v>
      </c>
      <c r="L39" s="87">
        <f>IF(L15=0,0,L15/TrRail_act!L8*1000)</f>
        <v>33.102084711663593</v>
      </c>
      <c r="M39" s="87">
        <f>IF(M15=0,0,M15/TrRail_act!M8*1000)</f>
        <v>41.258314160307648</v>
      </c>
      <c r="N39" s="87">
        <f>IF(N15=0,0,N15/TrRail_act!N8*1000)</f>
        <v>48.244586376717614</v>
      </c>
      <c r="O39" s="87">
        <f>IF(O15=0,0,O15/TrRail_act!O8*1000)</f>
        <v>47.054674602191248</v>
      </c>
      <c r="P39" s="87">
        <f>IF(P15=0,0,P15/TrRail_act!P8*1000)</f>
        <v>42.270338456080545</v>
      </c>
      <c r="Q39" s="87">
        <f>IF(Q15=0,0,Q15/TrRail_act!Q8*1000)</f>
        <v>53.41318788163624</v>
      </c>
      <c r="R39" s="87">
        <f>IF(R15=0,0,R15/TrRail_act!R8*1000)</f>
        <v>56.192977562026051</v>
      </c>
      <c r="S39" s="87">
        <f>IF(S15=0,0,S15/TrRail_act!S8*1000)</f>
        <v>63.711129525671787</v>
      </c>
      <c r="T39" s="87">
        <f>IF(T15=0,0,T15/TrRail_act!T8*1000)</f>
        <v>68.214869149229401</v>
      </c>
      <c r="U39" s="87">
        <f>IF(U15=0,0,U15/TrRail_act!U8*1000)</f>
        <v>73.898930928909209</v>
      </c>
      <c r="V39" s="87">
        <f>IF(V15=0,0,V15/TrRail_act!V8*1000)</f>
        <v>90.108008954211527</v>
      </c>
      <c r="W39" s="87">
        <f>IF(W15=0,0,W15/TrRail_act!W8*1000)</f>
        <v>92.31126519001576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11.734710330422155</v>
      </c>
      <c r="C41" s="29">
        <f>IF(C17=0,0,C17/TrRail_act!C10*1000)</f>
        <v>11.942221587577725</v>
      </c>
      <c r="D41" s="29">
        <f>IF(D17=0,0,D17/TrRail_act!D10*1000)</f>
        <v>12.522920068460014</v>
      </c>
      <c r="E41" s="29">
        <f>IF(E17=0,0,E17/TrRail_act!E10*1000)</f>
        <v>12.410189398380309</v>
      </c>
      <c r="F41" s="29">
        <f>IF(F17=0,0,F17/TrRail_act!F10*1000)</f>
        <v>11.891287332105096</v>
      </c>
      <c r="G41" s="29">
        <f>IF(G17=0,0,G17/TrRail_act!G10*1000)</f>
        <v>11.603630244830903</v>
      </c>
      <c r="H41" s="29">
        <f>IF(H17=0,0,H17/TrRail_act!H10*1000)</f>
        <v>11.496482601411598</v>
      </c>
      <c r="I41" s="29">
        <f>IF(I17=0,0,I17/TrRail_act!I10*1000)</f>
        <v>11.561572521360658</v>
      </c>
      <c r="J41" s="29">
        <f>IF(J17=0,0,J17/TrRail_act!J10*1000)</f>
        <v>11.330321269323701</v>
      </c>
      <c r="K41" s="29">
        <f>IF(K17=0,0,K17/TrRail_act!K10*1000)</f>
        <v>9.9132184943939574</v>
      </c>
      <c r="L41" s="29">
        <f>IF(L17=0,0,L17/TrRail_act!L10*1000)</f>
        <v>10.597896659874815</v>
      </c>
      <c r="M41" s="29">
        <f>IF(M17=0,0,M17/TrRail_act!M10*1000)</f>
        <v>10.627739695504774</v>
      </c>
      <c r="N41" s="29">
        <f>IF(N17=0,0,N17/TrRail_act!N10*1000)</f>
        <v>10.229543757846164</v>
      </c>
      <c r="O41" s="29">
        <f>IF(O17=0,0,O17/TrRail_act!O10*1000)</f>
        <v>10.078813350731501</v>
      </c>
      <c r="P41" s="29">
        <f>IF(P17=0,0,P17/TrRail_act!P10*1000)</f>
        <v>10.457254401237087</v>
      </c>
      <c r="Q41" s="29">
        <f>IF(Q17=0,0,Q17/TrRail_act!Q10*1000)</f>
        <v>10.335869920871142</v>
      </c>
      <c r="R41" s="29">
        <f>IF(R17=0,0,R17/TrRail_act!R10*1000)</f>
        <v>10.226488178387742</v>
      </c>
      <c r="S41" s="29">
        <f>IF(S17=0,0,S17/TrRail_act!S10*1000)</f>
        <v>10.002422830292543</v>
      </c>
      <c r="T41" s="29">
        <f>IF(T17=0,0,T17/TrRail_act!T10*1000)</f>
        <v>9.904823414800406</v>
      </c>
      <c r="U41" s="29">
        <f>IF(U17=0,0,U17/TrRail_act!U10*1000)</f>
        <v>10.168178910545718</v>
      </c>
      <c r="V41" s="29">
        <f>IF(V17=0,0,V17/TrRail_act!V10*1000)</f>
        <v>9.7882868733283779</v>
      </c>
      <c r="W41" s="29">
        <f>IF(W17=0,0,W17/TrRail_act!W10*1000)</f>
        <v>9.7484206265382536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11.734710330422155</v>
      </c>
      <c r="C42" s="87">
        <f>IF(C18=0,0,C18/TrRail_act!C11*1000)</f>
        <v>11.942221587577725</v>
      </c>
      <c r="D42" s="87">
        <f>IF(D18=0,0,D18/TrRail_act!D11*1000)</f>
        <v>12.587049730611076</v>
      </c>
      <c r="E42" s="87">
        <f>IF(E18=0,0,E18/TrRail_act!E11*1000)</f>
        <v>12.475014948383354</v>
      </c>
      <c r="F42" s="87">
        <f>IF(F18=0,0,F18/TrRail_act!F11*1000)</f>
        <v>12.253391539720411</v>
      </c>
      <c r="G42" s="87">
        <f>IF(G18=0,0,G18/TrRail_act!G11*1000)</f>
        <v>12.129392485158538</v>
      </c>
      <c r="H42" s="87">
        <f>IF(H18=0,0,H18/TrRail_act!H11*1000)</f>
        <v>11.996991415444661</v>
      </c>
      <c r="I42" s="87">
        <f>IF(I18=0,0,I18/TrRail_act!I11*1000)</f>
        <v>11.953184573242455</v>
      </c>
      <c r="J42" s="87">
        <f>IF(J18=0,0,J18/TrRail_act!J11*1000)</f>
        <v>11.719070425153131</v>
      </c>
      <c r="K42" s="87">
        <f>IF(K18=0,0,K18/TrRail_act!K11*1000)</f>
        <v>10.232179696101408</v>
      </c>
      <c r="L42" s="87">
        <f>IF(L18=0,0,L18/TrRail_act!L11*1000)</f>
        <v>10.953535884449041</v>
      </c>
      <c r="M42" s="87">
        <f>IF(M18=0,0,M18/TrRail_act!M11*1000)</f>
        <v>10.986274381869956</v>
      </c>
      <c r="N42" s="87">
        <f>IF(N18=0,0,N18/TrRail_act!N11*1000)</f>
        <v>10.589100622425029</v>
      </c>
      <c r="O42" s="87">
        <f>IF(O18=0,0,O18/TrRail_act!O11*1000)</f>
        <v>10.399278359588308</v>
      </c>
      <c r="P42" s="87">
        <f>IF(P18=0,0,P18/TrRail_act!P11*1000)</f>
        <v>10.804000702911182</v>
      </c>
      <c r="Q42" s="87">
        <f>IF(Q18=0,0,Q18/TrRail_act!Q11*1000)</f>
        <v>10.699669974189053</v>
      </c>
      <c r="R42" s="87">
        <f>IF(R18=0,0,R18/TrRail_act!R11*1000)</f>
        <v>10.627029118571789</v>
      </c>
      <c r="S42" s="87">
        <f>IF(S18=0,0,S18/TrRail_act!S11*1000)</f>
        <v>10.388352835157336</v>
      </c>
      <c r="T42" s="87">
        <f>IF(T18=0,0,T18/TrRail_act!T11*1000)</f>
        <v>10.342101931304759</v>
      </c>
      <c r="U42" s="87">
        <f>IF(U18=0,0,U18/TrRail_act!U11*1000)</f>
        <v>10.639483950318512</v>
      </c>
      <c r="V42" s="87">
        <f>IF(V18=0,0,V18/TrRail_act!V11*1000)</f>
        <v>10.346627756445161</v>
      </c>
      <c r="W42" s="87">
        <f>IF(W18=0,0,W18/TrRail_act!W11*1000)</f>
        <v>10.262337152507714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5.5391998602092105</v>
      </c>
      <c r="E43" s="88">
        <f>IF(E19=0,0,E19/TrRail_act!E12*1000)</f>
        <v>5.3506870030488347</v>
      </c>
      <c r="F43" s="88">
        <f>IF(F19=0,0,F19/TrRail_act!F12*1000)</f>
        <v>5.1327239744076714</v>
      </c>
      <c r="G43" s="88">
        <f>IF(G19=0,0,G19/TrRail_act!G12*1000)</f>
        <v>5.0107823805653489</v>
      </c>
      <c r="H43" s="88">
        <f>IF(H19=0,0,H19/TrRail_act!H12*1000)</f>
        <v>4.8590791877591482</v>
      </c>
      <c r="I43" s="88">
        <f>IF(I19=0,0,I19/TrRail_act!I12*1000)</f>
        <v>4.749138246793013</v>
      </c>
      <c r="J43" s="88">
        <f>IF(J19=0,0,J19/TrRail_act!J12*1000)</f>
        <v>4.5774309275605214</v>
      </c>
      <c r="K43" s="88">
        <f>IF(K19=0,0,K19/TrRail_act!K12*1000)</f>
        <v>3.8469069243860323</v>
      </c>
      <c r="L43" s="88">
        <f>IF(L19=0,0,L19/TrRail_act!L12*1000)</f>
        <v>4.0906692469586297</v>
      </c>
      <c r="M43" s="88">
        <f>IF(M19=0,0,M19/TrRail_act!M12*1000)</f>
        <v>4.0201718122910677</v>
      </c>
      <c r="N43" s="88">
        <f>IF(N19=0,0,N19/TrRail_act!N12*1000)</f>
        <v>3.8545973161915752</v>
      </c>
      <c r="O43" s="88">
        <f>IF(O19=0,0,O19/TrRail_act!O12*1000)</f>
        <v>3.735659223870718</v>
      </c>
      <c r="P43" s="88">
        <f>IF(P19=0,0,P19/TrRail_act!P12*1000)</f>
        <v>3.7890489977794322</v>
      </c>
      <c r="Q43" s="88">
        <f>IF(Q19=0,0,Q19/TrRail_act!Q12*1000)</f>
        <v>3.6750532623299454</v>
      </c>
      <c r="R43" s="88">
        <f>IF(R19=0,0,R19/TrRail_act!R12*1000)</f>
        <v>3.593392951868835</v>
      </c>
      <c r="S43" s="88">
        <f>IF(S19=0,0,S19/TrRail_act!S12*1000)</f>
        <v>3.4716762684252669</v>
      </c>
      <c r="T43" s="88">
        <f>IF(T19=0,0,T19/TrRail_act!T12*1000)</f>
        <v>3.4259112736360771</v>
      </c>
      <c r="U43" s="88">
        <f>IF(U19=0,0,U19/TrRail_act!U12*1000)</f>
        <v>3.5012162566437564</v>
      </c>
      <c r="V43" s="88">
        <f>IF(V19=0,0,V19/TrRail_act!V12*1000)</f>
        <v>3.3880163988775696</v>
      </c>
      <c r="W43" s="88">
        <f>IF(W19=0,0,W19/TrRail_act!W12*1000)</f>
        <v>3.3757910908828226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518001.00446663296</v>
      </c>
      <c r="C45" s="54">
        <f>IF(C10=0,0,1000000*C10/TrRail_act!C25)</f>
        <v>515034.25492164749</v>
      </c>
      <c r="D45" s="54">
        <f>IF(D10=0,0,1000000*D10/TrRail_act!D25)</f>
        <v>488997.73311219399</v>
      </c>
      <c r="E45" s="54">
        <f>IF(E10=0,0,1000000*E10/TrRail_act!E25)</f>
        <v>479089.73232575442</v>
      </c>
      <c r="F45" s="54">
        <f>IF(F10=0,0,1000000*F10/TrRail_act!F25)</f>
        <v>439006.91521776537</v>
      </c>
      <c r="G45" s="54">
        <f>IF(G10=0,0,1000000*G10/TrRail_act!G25)</f>
        <v>389795.96781944804</v>
      </c>
      <c r="H45" s="54">
        <f>IF(H10=0,0,1000000*H10/TrRail_act!H25)</f>
        <v>377564.79216084507</v>
      </c>
      <c r="I45" s="54">
        <f>IF(I10=0,0,1000000*I10/TrRail_act!I25)</f>
        <v>345890.32715440413</v>
      </c>
      <c r="J45" s="54">
        <f>IF(J10=0,0,1000000*J10/TrRail_act!J25)</f>
        <v>346996.01099334948</v>
      </c>
      <c r="K45" s="54">
        <f>IF(K10=0,0,1000000*K10/TrRail_act!K25)</f>
        <v>318273.8717162403</v>
      </c>
      <c r="L45" s="54">
        <f>IF(L10=0,0,1000000*L10/TrRail_act!L25)</f>
        <v>312622.73810874723</v>
      </c>
      <c r="M45" s="54">
        <f>IF(M10=0,0,1000000*M10/TrRail_act!M25)</f>
        <v>303578.9797983428</v>
      </c>
      <c r="N45" s="54">
        <f>IF(N10=0,0,1000000*N10/TrRail_act!N25)</f>
        <v>286200.33338728466</v>
      </c>
      <c r="O45" s="54">
        <f>IF(O10=0,0,1000000*O10/TrRail_act!O25)</f>
        <v>284686.75149684021</v>
      </c>
      <c r="P45" s="54">
        <f>IF(P10=0,0,1000000*P10/TrRail_act!P25)</f>
        <v>275877.65004731098</v>
      </c>
      <c r="Q45" s="54">
        <f>IF(Q10=0,0,1000000*Q10/TrRail_act!Q25)</f>
        <v>257207.2867346945</v>
      </c>
      <c r="R45" s="54">
        <f>IF(R10=0,0,1000000*R10/TrRail_act!R25)</f>
        <v>244404.65298707614</v>
      </c>
      <c r="S45" s="54">
        <f>IF(S10=0,0,1000000*S10/TrRail_act!S25)</f>
        <v>235249.1963322674</v>
      </c>
      <c r="T45" s="54">
        <f>IF(T10=0,0,1000000*T10/TrRail_act!T25)</f>
        <v>216944.12493503766</v>
      </c>
      <c r="U45" s="54">
        <f>IF(U10=0,0,1000000*U10/TrRail_act!U25)</f>
        <v>212699.57906180303</v>
      </c>
      <c r="V45" s="54">
        <f>IF(V10=0,0,1000000*V10/TrRail_act!V25)</f>
        <v>178857.67724749868</v>
      </c>
      <c r="W45" s="54">
        <f>IF(W10=0,0,1000000*W10/TrRail_act!W25)</f>
        <v>198761.96403530601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476175.11699838378</v>
      </c>
      <c r="C46" s="28">
        <f>IF(C11=0,0,1000000*C11/TrRail_act!C26)</f>
        <v>473457.93340549973</v>
      </c>
      <c r="D46" s="28">
        <f>IF(D11=0,0,1000000*D11/TrRail_act!D26)</f>
        <v>450028.10962776287</v>
      </c>
      <c r="E46" s="28">
        <f>IF(E11=0,0,1000000*E11/TrRail_act!E26)</f>
        <v>446062.97561892006</v>
      </c>
      <c r="F46" s="28">
        <f>IF(F11=0,0,1000000*F11/TrRail_act!F26)</f>
        <v>412100.25340302777</v>
      </c>
      <c r="G46" s="28">
        <f>IF(G11=0,0,1000000*G11/TrRail_act!G26)</f>
        <v>371410.77156557504</v>
      </c>
      <c r="H46" s="28">
        <f>IF(H11=0,0,1000000*H11/TrRail_act!H26)</f>
        <v>367829.94800567348</v>
      </c>
      <c r="I46" s="28">
        <f>IF(I11=0,0,1000000*I11/TrRail_act!I26)</f>
        <v>341956.0823693088</v>
      </c>
      <c r="J46" s="28">
        <f>IF(J11=0,0,1000000*J11/TrRail_act!J26)</f>
        <v>344389.29477445787</v>
      </c>
      <c r="K46" s="28">
        <f>IF(K11=0,0,1000000*K11/TrRail_act!K26)</f>
        <v>316729.60266146529</v>
      </c>
      <c r="L46" s="28">
        <f>IF(L11=0,0,1000000*L11/TrRail_act!L26)</f>
        <v>308531.67819070508</v>
      </c>
      <c r="M46" s="28">
        <f>IF(M11=0,0,1000000*M11/TrRail_act!M26)</f>
        <v>298424.08852876915</v>
      </c>
      <c r="N46" s="28">
        <f>IF(N11=0,0,1000000*N11/TrRail_act!N26)</f>
        <v>281999.06877642806</v>
      </c>
      <c r="O46" s="28">
        <f>IF(O11=0,0,1000000*O11/TrRail_act!O26)</f>
        <v>280141.24531266687</v>
      </c>
      <c r="P46" s="28">
        <f>IF(P11=0,0,1000000*P11/TrRail_act!P26)</f>
        <v>270759.26916744583</v>
      </c>
      <c r="Q46" s="28">
        <f>IF(Q11=0,0,1000000*Q11/TrRail_act!Q26)</f>
        <v>252675.73421041519</v>
      </c>
      <c r="R46" s="28">
        <f>IF(R11=0,0,1000000*R11/TrRail_act!R26)</f>
        <v>239927.55844082078</v>
      </c>
      <c r="S46" s="28">
        <f>IF(S11=0,0,1000000*S11/TrRail_act!S26)</f>
        <v>231160.72557099411</v>
      </c>
      <c r="T46" s="28">
        <f>IF(T11=0,0,1000000*T11/TrRail_act!T26)</f>
        <v>213624.13333056096</v>
      </c>
      <c r="U46" s="28">
        <f>IF(U11=0,0,1000000*U11/TrRail_act!U26)</f>
        <v>210144.2151122824</v>
      </c>
      <c r="V46" s="28">
        <f>IF(V11=0,0,1000000*V11/TrRail_act!V26)</f>
        <v>176074.09621583085</v>
      </c>
      <c r="W46" s="28">
        <f>IF(W11=0,0,1000000*W11/TrRail_act!W26)</f>
        <v>196159.15626268854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52099.05984849306</v>
      </c>
      <c r="G47" s="108">
        <f>IF(G12=0,0,1000000*G12/TrRail_act!G27)</f>
        <v>50834.337798035194</v>
      </c>
      <c r="H47" s="108">
        <f>IF(H12=0,0,1000000*H12/TrRail_act!H27)</f>
        <v>50295.955141194419</v>
      </c>
      <c r="I47" s="108">
        <f>IF(I12=0,0,1000000*I12/TrRail_act!I27)</f>
        <v>48564.822264515336</v>
      </c>
      <c r="J47" s="108">
        <f>IF(J12=0,0,1000000*J12/TrRail_act!J27)</f>
        <v>37769.357631993989</v>
      </c>
      <c r="K47" s="108">
        <f>IF(K12=0,0,1000000*K12/TrRail_act!K27)</f>
        <v>37605.511424879573</v>
      </c>
      <c r="L47" s="108">
        <f>IF(L12=0,0,1000000*L12/TrRail_act!L27)</f>
        <v>37295.697671062342</v>
      </c>
      <c r="M47" s="108">
        <f>IF(M12=0,0,1000000*M12/TrRail_act!M27)</f>
        <v>38454.25234627835</v>
      </c>
      <c r="N47" s="108">
        <f>IF(N12=0,0,1000000*N12/TrRail_act!N27)</f>
        <v>39399.001125510993</v>
      </c>
      <c r="O47" s="108">
        <f>IF(O12=0,0,1000000*O12/TrRail_act!O27)</f>
        <v>40582.437796377126</v>
      </c>
      <c r="P47" s="108">
        <f>IF(P12=0,0,1000000*P12/TrRail_act!P27)</f>
        <v>40965.218132516835</v>
      </c>
      <c r="Q47" s="108">
        <f>IF(Q12=0,0,1000000*Q12/TrRail_act!Q27)</f>
        <v>40920.27039278247</v>
      </c>
      <c r="R47" s="108">
        <f>IF(R12=0,0,1000000*R12/TrRail_act!R27)</f>
        <v>40293.233063515443</v>
      </c>
      <c r="S47" s="108">
        <f>IF(S12=0,0,1000000*S12/TrRail_act!S27)</f>
        <v>39603.897876575822</v>
      </c>
      <c r="T47" s="108">
        <f>IF(T12=0,0,1000000*T12/TrRail_act!T27)</f>
        <v>39484.804994817045</v>
      </c>
      <c r="U47" s="108">
        <f>IF(U12=0,0,1000000*U12/TrRail_act!U27)</f>
        <v>37662.724912641504</v>
      </c>
      <c r="V47" s="108">
        <f>IF(V12=0,0,1000000*V12/TrRail_act!V27)</f>
        <v>32931.177406163573</v>
      </c>
      <c r="W47" s="108">
        <f>IF(W12=0,0,1000000*W12/TrRail_act!W27)</f>
        <v>33273.807289543227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476175.11699838378</v>
      </c>
      <c r="C48" s="110">
        <f>IF(C13=0,0,1000000*C13/TrRail_act!C28)</f>
        <v>473457.93340549973</v>
      </c>
      <c r="D48" s="110">
        <f>IF(D13=0,0,1000000*D13/TrRail_act!D28)</f>
        <v>450028.10962776287</v>
      </c>
      <c r="E48" s="110">
        <f>IF(E13=0,0,1000000*E13/TrRail_act!E28)</f>
        <v>446062.97561892006</v>
      </c>
      <c r="F48" s="110">
        <f>IF(F13=0,0,1000000*F13/TrRail_act!F28)</f>
        <v>432569.90991851175</v>
      </c>
      <c r="G48" s="110">
        <f>IF(G13=0,0,1000000*G13/TrRail_act!G28)</f>
        <v>412583.03966403601</v>
      </c>
      <c r="H48" s="110">
        <f>IF(H13=0,0,1000000*H13/TrRail_act!H28)</f>
        <v>408308.69144458126</v>
      </c>
      <c r="I48" s="110">
        <f>IF(I13=0,0,1000000*I13/TrRail_act!I28)</f>
        <v>394141.02719649847</v>
      </c>
      <c r="J48" s="110">
        <f>IF(J13=0,0,1000000*J13/TrRail_act!J28)</f>
        <v>395251.35052087758</v>
      </c>
      <c r="K48" s="110">
        <f>IF(K13=0,0,1000000*K13/TrRail_act!K28)</f>
        <v>365631.27272081707</v>
      </c>
      <c r="L48" s="110">
        <f>IF(L13=0,0,1000000*L13/TrRail_act!L28)</f>
        <v>355160.92775198445</v>
      </c>
      <c r="M48" s="110">
        <f>IF(M13=0,0,1000000*M13/TrRail_act!M28)</f>
        <v>341571.84053862828</v>
      </c>
      <c r="N48" s="110">
        <f>IF(N13=0,0,1000000*N13/TrRail_act!N28)</f>
        <v>320912.86079633411</v>
      </c>
      <c r="O48" s="110">
        <f>IF(O13=0,0,1000000*O13/TrRail_act!O28)</f>
        <v>318812.75951736275</v>
      </c>
      <c r="P48" s="110">
        <f>IF(P13=0,0,1000000*P13/TrRail_act!P28)</f>
        <v>310270.50446515513</v>
      </c>
      <c r="Q48" s="110">
        <f>IF(Q13=0,0,1000000*Q13/TrRail_act!Q28)</f>
        <v>287862.26986280066</v>
      </c>
      <c r="R48" s="110">
        <f>IF(R13=0,0,1000000*R13/TrRail_act!R28)</f>
        <v>270332.89723807271</v>
      </c>
      <c r="S48" s="110">
        <f>IF(S13=0,0,1000000*S13/TrRail_act!S28)</f>
        <v>258109.03981469802</v>
      </c>
      <c r="T48" s="110">
        <f>IF(T13=0,0,1000000*T13/TrRail_act!T28)</f>
        <v>249291.93365885879</v>
      </c>
      <c r="U48" s="110">
        <f>IF(U13=0,0,1000000*U13/TrRail_act!U28)</f>
        <v>242826.24686491897</v>
      </c>
      <c r="V48" s="110">
        <f>IF(V13=0,0,1000000*V13/TrRail_act!V28)</f>
        <v>204434.15137926739</v>
      </c>
      <c r="W48" s="110">
        <f>IF(W13=0,0,1000000*W13/TrRail_act!W28)</f>
        <v>229769.27525199013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494348.99926013179</v>
      </c>
      <c r="C49" s="84">
        <f>IF(C14=0,0,1000000*C14/TrRail_act!C29)</f>
        <v>489900.80084888433</v>
      </c>
      <c r="D49" s="84">
        <f>IF(D14=0,0,1000000*D14/TrRail_act!D29)</f>
        <v>464661.59585831978</v>
      </c>
      <c r="E49" s="84">
        <f>IF(E14=0,0,1000000*E14/TrRail_act!E29)</f>
        <v>457950.39465965738</v>
      </c>
      <c r="F49" s="84">
        <f>IF(F14=0,0,1000000*F14/TrRail_act!F29)</f>
        <v>453558.78759850236</v>
      </c>
      <c r="G49" s="84">
        <f>IF(G14=0,0,1000000*G14/TrRail_act!G29)</f>
        <v>434430.73900112801</v>
      </c>
      <c r="H49" s="84">
        <f>IF(H14=0,0,1000000*H14/TrRail_act!H29)</f>
        <v>428451.97303448129</v>
      </c>
      <c r="I49" s="84">
        <f>IF(I14=0,0,1000000*I14/TrRail_act!I29)</f>
        <v>414545.88731837505</v>
      </c>
      <c r="J49" s="84">
        <f>IF(J14=0,0,1000000*J14/TrRail_act!J29)</f>
        <v>410598.12274965225</v>
      </c>
      <c r="K49" s="84">
        <f>IF(K14=0,0,1000000*K14/TrRail_act!K29)</f>
        <v>382828.83273664262</v>
      </c>
      <c r="L49" s="84">
        <f>IF(L14=0,0,1000000*L14/TrRail_act!L29)</f>
        <v>367462.90888874442</v>
      </c>
      <c r="M49" s="84">
        <f>IF(M14=0,0,1000000*M14/TrRail_act!M29)</f>
        <v>350813.19507236377</v>
      </c>
      <c r="N49" s="84">
        <f>IF(N14=0,0,1000000*N14/TrRail_act!N29)</f>
        <v>327873.53927487653</v>
      </c>
      <c r="O49" s="84">
        <f>IF(O14=0,0,1000000*O14/TrRail_act!O29)</f>
        <v>326094.59033066331</v>
      </c>
      <c r="P49" s="84">
        <f>IF(P14=0,0,1000000*P14/TrRail_act!P29)</f>
        <v>317302.34733308124</v>
      </c>
      <c r="Q49" s="84">
        <f>IF(Q14=0,0,1000000*Q14/TrRail_act!Q29)</f>
        <v>292150.36273453891</v>
      </c>
      <c r="R49" s="84">
        <f>IF(R14=0,0,1000000*R14/TrRail_act!R29)</f>
        <v>273209.96508967335</v>
      </c>
      <c r="S49" s="84">
        <f>IF(S14=0,0,1000000*S14/TrRail_act!S29)</f>
        <v>259814.93427547428</v>
      </c>
      <c r="T49" s="84">
        <f>IF(T14=0,0,1000000*T14/TrRail_act!T29)</f>
        <v>250201.43472696678</v>
      </c>
      <c r="U49" s="84">
        <f>IF(U14=0,0,1000000*U14/TrRail_act!U29)</f>
        <v>243225.47311925446</v>
      </c>
      <c r="V49" s="84">
        <f>IF(V14=0,0,1000000*V14/TrRail_act!V29)</f>
        <v>201666.75624019009</v>
      </c>
      <c r="W49" s="84">
        <f>IF(W14=0,0,1000000*W14/TrRail_act!W29)</f>
        <v>229082.22166231176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304234.6709004126</v>
      </c>
      <c r="C50" s="84">
        <f>IF(C15=0,0,1000000*C15/TrRail_act!C30)</f>
        <v>302518.0217272155</v>
      </c>
      <c r="D50" s="84">
        <f>IF(D15=0,0,1000000*D15/TrRail_act!D30)</f>
        <v>293934.1604010461</v>
      </c>
      <c r="E50" s="84">
        <f>IF(E15=0,0,1000000*E15/TrRail_act!E30)</f>
        <v>298272.77425999113</v>
      </c>
      <c r="F50" s="84">
        <f>IF(F15=0,0,1000000*F15/TrRail_act!F30)</f>
        <v>294338.40389511158</v>
      </c>
      <c r="G50" s="84">
        <f>IF(G15=0,0,1000000*G15/TrRail_act!G30)</f>
        <v>289513.01426947751</v>
      </c>
      <c r="H50" s="84">
        <f>IF(H15=0,0,1000000*H15/TrRail_act!H30)</f>
        <v>286357.31955264055</v>
      </c>
      <c r="I50" s="84">
        <f>IF(I15=0,0,1000000*I15/TrRail_act!I30)</f>
        <v>245038.03201669245</v>
      </c>
      <c r="J50" s="84">
        <f>IF(J15=0,0,1000000*J15/TrRail_act!J30)</f>
        <v>276205.53163942433</v>
      </c>
      <c r="K50" s="84">
        <f>IF(K15=0,0,1000000*K15/TrRail_act!K30)</f>
        <v>232321.06322144021</v>
      </c>
      <c r="L50" s="84">
        <f>IF(L15=0,0,1000000*L15/TrRail_act!L30)</f>
        <v>251294.02118600535</v>
      </c>
      <c r="M50" s="84">
        <f>IF(M15=0,0,1000000*M15/TrRail_act!M30)</f>
        <v>257095.40855997804</v>
      </c>
      <c r="N50" s="84">
        <f>IF(N15=0,0,1000000*N15/TrRail_act!N30)</f>
        <v>254419.85083952299</v>
      </c>
      <c r="O50" s="84">
        <f>IF(O15=0,0,1000000*O15/TrRail_act!O30)</f>
        <v>244754.23625458183</v>
      </c>
      <c r="P50" s="84">
        <f>IF(P15=0,0,1000000*P15/TrRail_act!P30)</f>
        <v>238405.94185375233</v>
      </c>
      <c r="Q50" s="84">
        <f>IF(Q15=0,0,1000000*Q15/TrRail_act!Q30)</f>
        <v>240943.62630198975</v>
      </c>
      <c r="R50" s="84">
        <f>IF(R15=0,0,1000000*R15/TrRail_act!R30)</f>
        <v>239880.96494902644</v>
      </c>
      <c r="S50" s="84">
        <f>IF(S15=0,0,1000000*S15/TrRail_act!S30)</f>
        <v>239087.04654630515</v>
      </c>
      <c r="T50" s="84">
        <f>IF(T15=0,0,1000000*T15/TrRail_act!T30)</f>
        <v>238493.34130918645</v>
      </c>
      <c r="U50" s="84">
        <f>IF(U15=0,0,1000000*U15/TrRail_act!U30)</f>
        <v>238049.02258343089</v>
      </c>
      <c r="V50" s="84">
        <f>IF(V15=0,0,1000000*V15/TrRail_act!V30)</f>
        <v>237716.34380635794</v>
      </c>
      <c r="W50" s="84">
        <f>IF(W15=0,0,1000000*W15/TrRail_act!W30)</f>
        <v>237467.12608535829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1171979.2061504764</v>
      </c>
      <c r="C52" s="28">
        <f>IF(C17=0,0,1000000*C17/TrRail_act!C32)</f>
        <v>1192777.4186673325</v>
      </c>
      <c r="D52" s="28">
        <f>IF(D17=0,0,1000000*D17/TrRail_act!D32)</f>
        <v>1129804.0130389528</v>
      </c>
      <c r="E52" s="28">
        <f>IF(E17=0,0,1000000*E17/TrRail_act!E32)</f>
        <v>1167610.8358695339</v>
      </c>
      <c r="F52" s="28">
        <f>IF(F17=0,0,1000000*F17/TrRail_act!F32)</f>
        <v>1120516.8733257176</v>
      </c>
      <c r="G52" s="28">
        <f>IF(G17=0,0,1000000*G17/TrRail_act!G32)</f>
        <v>933435.34267921722</v>
      </c>
      <c r="H52" s="28">
        <f>IF(H17=0,0,1000000*H17/TrRail_act!H32)</f>
        <v>719627.37493641302</v>
      </c>
      <c r="I52" s="28">
        <f>IF(I17=0,0,1000000*I17/TrRail_act!I32)</f>
        <v>535839.90338902536</v>
      </c>
      <c r="J52" s="28">
        <f>IF(J17=0,0,1000000*J17/TrRail_act!J32)</f>
        <v>509228.14441736042</v>
      </c>
      <c r="K52" s="28">
        <f>IF(K17=0,0,1000000*K17/TrRail_act!K32)</f>
        <v>435050.17490857438</v>
      </c>
      <c r="L52" s="28">
        <f>IF(L17=0,0,1000000*L17/TrRail_act!L32)</f>
        <v>745133.54057472176</v>
      </c>
      <c r="M52" s="28">
        <f>IF(M17=0,0,1000000*M17/TrRail_act!M32)</f>
        <v>889101.17904999072</v>
      </c>
      <c r="N52" s="28">
        <f>IF(N17=0,0,1000000*N17/TrRail_act!N32)</f>
        <v>848164.4578923831</v>
      </c>
      <c r="O52" s="28">
        <f>IF(O17=0,0,1000000*O17/TrRail_act!O32)</f>
        <v>850118.99908276217</v>
      </c>
      <c r="P52" s="28">
        <f>IF(P17=0,0,1000000*P17/TrRail_act!P32)</f>
        <v>854112.20077699574</v>
      </c>
      <c r="Q52" s="28">
        <f>IF(Q17=0,0,1000000*Q17/TrRail_act!Q32)</f>
        <v>838053.41651305824</v>
      </c>
      <c r="R52" s="28">
        <f>IF(R17=0,0,1000000*R17/TrRail_act!R32)</f>
        <v>841297.55148553115</v>
      </c>
      <c r="S52" s="28">
        <f>IF(S17=0,0,1000000*S17/TrRail_act!S32)</f>
        <v>831328.05985878676</v>
      </c>
      <c r="T52" s="28">
        <f>IF(T17=0,0,1000000*T17/TrRail_act!T32)</f>
        <v>806764.04003506631</v>
      </c>
      <c r="U52" s="28">
        <f>IF(U17=0,0,1000000*U17/TrRail_act!U32)</f>
        <v>768139.21980338939</v>
      </c>
      <c r="V52" s="28">
        <f>IF(V17=0,0,1000000*V17/TrRail_act!V32)</f>
        <v>767416.77371969749</v>
      </c>
      <c r="W52" s="28">
        <f>IF(W17=0,0,1000000*W17/TrRail_act!W32)</f>
        <v>752611.89689771959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1171979.2061504764</v>
      </c>
      <c r="C53" s="84">
        <f>IF(C18=0,0,1000000*C18/TrRail_act!C33)</f>
        <v>1192777.4186673325</v>
      </c>
      <c r="D53" s="84">
        <f>IF(D18=0,0,1000000*D18/TrRail_act!D33)</f>
        <v>1136624.3536980094</v>
      </c>
      <c r="E53" s="84">
        <f>IF(E18=0,0,1000000*E18/TrRail_act!E33)</f>
        <v>1176160.1736388721</v>
      </c>
      <c r="F53" s="84">
        <f>IF(F18=0,0,1000000*F18/TrRail_act!F33)</f>
        <v>1160490.7234413961</v>
      </c>
      <c r="G53" s="84">
        <f>IF(G18=0,0,1000000*G18/TrRail_act!G33)</f>
        <v>970536.21913246519</v>
      </c>
      <c r="H53" s="84">
        <f>IF(H18=0,0,1000000*H18/TrRail_act!H33)</f>
        <v>758399.29393358179</v>
      </c>
      <c r="I53" s="84">
        <f>IF(I18=0,0,1000000*I18/TrRail_act!I33)</f>
        <v>577744.92680831777</v>
      </c>
      <c r="J53" s="84">
        <f>IF(J18=0,0,1000000*J18/TrRail_act!J33)</f>
        <v>561630.92594700179</v>
      </c>
      <c r="K53" s="84">
        <f>IF(K18=0,0,1000000*K18/TrRail_act!K33)</f>
        <v>498484.27143647004</v>
      </c>
      <c r="L53" s="84">
        <f>IF(L18=0,0,1000000*L18/TrRail_act!L33)</f>
        <v>910895.78392573691</v>
      </c>
      <c r="M53" s="84">
        <f>IF(M18=0,0,1000000*M18/TrRail_act!M33)</f>
        <v>1099050.1926958063</v>
      </c>
      <c r="N53" s="84">
        <f>IF(N18=0,0,1000000*N18/TrRail_act!N33)</f>
        <v>1088489.6637761849</v>
      </c>
      <c r="O53" s="84">
        <f>IF(O18=0,0,1000000*O18/TrRail_act!O33)</f>
        <v>1072000.8472288393</v>
      </c>
      <c r="P53" s="84">
        <f>IF(P18=0,0,1000000*P18/TrRail_act!P33)</f>
        <v>1064448.956604152</v>
      </c>
      <c r="Q53" s="84">
        <f>IF(Q18=0,0,1000000*Q18/TrRail_act!Q33)</f>
        <v>1053558.8695522288</v>
      </c>
      <c r="R53" s="84">
        <f>IF(R18=0,0,1000000*R18/TrRail_act!R33)</f>
        <v>1045463.7631209445</v>
      </c>
      <c r="S53" s="84">
        <f>IF(S18=0,0,1000000*S18/TrRail_act!S33)</f>
        <v>1039434.1184598838</v>
      </c>
      <c r="T53" s="84">
        <f>IF(T18=0,0,1000000*T18/TrRail_act!T33)</f>
        <v>1034934.4429359346</v>
      </c>
      <c r="U53" s="84">
        <f>IF(U18=0,0,1000000*U18/TrRail_act!U33)</f>
        <v>1031572.6777582526</v>
      </c>
      <c r="V53" s="84">
        <f>IF(V18=0,0,1000000*V18/TrRail_act!V33)</f>
        <v>1029057.0252768357</v>
      </c>
      <c r="W53" s="84">
        <f>IF(W18=0,0,1000000*W18/TrRail_act!W33)</f>
        <v>1027175.1380443195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454669.86613604001</v>
      </c>
      <c r="E54" s="86">
        <f>IF(E19=0,0,1000000*E19/TrRail_act!E34)</f>
        <v>410328.94765292923</v>
      </c>
      <c r="F54" s="86">
        <f>IF(F19=0,0,1000000*F19/TrRail_act!F34)</f>
        <v>442046.1337842769</v>
      </c>
      <c r="G54" s="86">
        <f>IF(G19=0,0,1000000*G19/TrRail_act!G34)</f>
        <v>432075.66716739413</v>
      </c>
      <c r="H54" s="86">
        <f>IF(H19=0,0,1000000*H19/TrRail_act!H34)</f>
        <v>269132.29688198888</v>
      </c>
      <c r="I54" s="86">
        <f>IF(I19=0,0,1000000*I19/TrRail_act!I34)</f>
        <v>128322.12049278968</v>
      </c>
      <c r="J54" s="86">
        <f>IF(J19=0,0,1000000*J19/TrRail_act!J34)</f>
        <v>98889.006347984046</v>
      </c>
      <c r="K54" s="86">
        <f>IF(K19=0,0,1000000*K19/TrRail_act!K34)</f>
        <v>58494.445413815454</v>
      </c>
      <c r="L54" s="86">
        <f>IF(L19=0,0,1000000*L19/TrRail_act!L34)</f>
        <v>75145.632062694363</v>
      </c>
      <c r="M54" s="86">
        <f>IF(M19=0,0,1000000*M19/TrRail_act!M34)</f>
        <v>83712.9563971147</v>
      </c>
      <c r="N54" s="86">
        <f>IF(N19=0,0,1000000*N19/TrRail_act!N34)</f>
        <v>72160.556634089633</v>
      </c>
      <c r="O54" s="86">
        <f>IF(O19=0,0,1000000*O19/TrRail_act!O34)</f>
        <v>68531.517687551517</v>
      </c>
      <c r="P54" s="86">
        <f>IF(P19=0,0,1000000*P19/TrRail_act!P34)</f>
        <v>72166.36441554733</v>
      </c>
      <c r="Q54" s="86">
        <f>IF(Q19=0,0,1000000*Q19/TrRail_act!Q34)</f>
        <v>70403.208206644224</v>
      </c>
      <c r="R54" s="86">
        <f>IF(R19=0,0,1000000*R19/TrRail_act!R34)</f>
        <v>79636.204329779081</v>
      </c>
      <c r="S54" s="86">
        <f>IF(S19=0,0,1000000*S19/TrRail_act!S34)</f>
        <v>74639.333239002939</v>
      </c>
      <c r="T54" s="86">
        <f>IF(T19=0,0,1000000*T19/TrRail_act!T34)</f>
        <v>74280.489208960222</v>
      </c>
      <c r="U54" s="86">
        <f>IF(U19=0,0,1000000*U19/TrRail_act!U34)</f>
        <v>64132.49551890065</v>
      </c>
      <c r="V54" s="86">
        <f>IF(V19=0,0,1000000*V19/TrRail_act!V34)</f>
        <v>77512.460763436655</v>
      </c>
      <c r="W54" s="86">
        <f>IF(W19=0,0,1000000*W19/TrRail_act!W34)</f>
        <v>67948.861273823728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0.86399731189290219</v>
      </c>
      <c r="C57" s="31">
        <f t="shared" ref="C57:V57" si="17">IF(C11=0,0,C11/C$10)</f>
        <v>0.86614101391373521</v>
      </c>
      <c r="D57" s="31">
        <f t="shared" si="17"/>
        <v>0.86754855178166546</v>
      </c>
      <c r="E57" s="31">
        <f t="shared" si="17"/>
        <v>0.88844679881878397</v>
      </c>
      <c r="F57" s="31">
        <f t="shared" si="17"/>
        <v>0.90305662880530058</v>
      </c>
      <c r="G57" s="31">
        <f t="shared" si="17"/>
        <v>0.92166427530502482</v>
      </c>
      <c r="H57" s="31">
        <f t="shared" si="17"/>
        <v>0.94725849350354552</v>
      </c>
      <c r="I57" s="31">
        <f t="shared" si="17"/>
        <v>0.96856478446021221</v>
      </c>
      <c r="J57" s="31">
        <f t="shared" si="17"/>
        <v>0.97679283471494738</v>
      </c>
      <c r="K57" s="31">
        <f t="shared" si="17"/>
        <v>0.98215974458631272</v>
      </c>
      <c r="L57" s="31">
        <f t="shared" si="17"/>
        <v>0.9776661391238074</v>
      </c>
      <c r="M57" s="31">
        <f t="shared" si="17"/>
        <v>0.9744407049565138</v>
      </c>
      <c r="N57" s="31">
        <f t="shared" si="17"/>
        <v>0.97800891518554423</v>
      </c>
      <c r="O57" s="31">
        <f t="shared" si="17"/>
        <v>0.97618575524301388</v>
      </c>
      <c r="P57" s="31">
        <f t="shared" si="17"/>
        <v>0.97283563086759373</v>
      </c>
      <c r="Q57" s="31">
        <f t="shared" si="17"/>
        <v>0.97477685188181573</v>
      </c>
      <c r="R57" s="31">
        <f t="shared" si="17"/>
        <v>0.97437318303929121</v>
      </c>
      <c r="S57" s="31">
        <f t="shared" si="17"/>
        <v>0.97592685491811282</v>
      </c>
      <c r="T57" s="31">
        <f t="shared" si="17"/>
        <v>0.97918490105909517</v>
      </c>
      <c r="U57" s="31">
        <f t="shared" si="17"/>
        <v>0.98346151353851397</v>
      </c>
      <c r="V57" s="31">
        <f t="shared" si="17"/>
        <v>0.97980293114453987</v>
      </c>
      <c r="W57" s="31">
        <f t="shared" ref="W57" si="18">IF(W11=0,0,W11/W$10)</f>
        <v>0.98228865230466356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0</v>
      </c>
      <c r="E58" s="123">
        <f t="shared" si="19"/>
        <v>0</v>
      </c>
      <c r="F58" s="123">
        <f t="shared" si="19"/>
        <v>6.1423018640246515E-3</v>
      </c>
      <c r="G58" s="123">
        <f t="shared" si="19"/>
        <v>1.4357315381853581E-2</v>
      </c>
      <c r="H58" s="123">
        <f t="shared" si="19"/>
        <v>1.4644785930103581E-2</v>
      </c>
      <c r="I58" s="123">
        <f t="shared" si="19"/>
        <v>2.0772154451001005E-2</v>
      </c>
      <c r="J58" s="123">
        <f t="shared" si="19"/>
        <v>1.5241656151476667E-2</v>
      </c>
      <c r="K58" s="123">
        <f t="shared" si="19"/>
        <v>1.7384440275306653E-2</v>
      </c>
      <c r="L58" s="123">
        <f t="shared" si="19"/>
        <v>1.7336640731957766E-2</v>
      </c>
      <c r="M58" s="123">
        <f t="shared" si="19"/>
        <v>1.7873637694401267E-2</v>
      </c>
      <c r="N58" s="123">
        <f t="shared" si="19"/>
        <v>1.8887919500497962E-2</v>
      </c>
      <c r="O58" s="123">
        <f t="shared" si="19"/>
        <v>1.9655326495843124E-2</v>
      </c>
      <c r="P58" s="123">
        <f t="shared" si="19"/>
        <v>2.1594698084339798E-2</v>
      </c>
      <c r="Q58" s="123">
        <f t="shared" si="19"/>
        <v>2.2493742301434611E-2</v>
      </c>
      <c r="R58" s="123">
        <f t="shared" si="19"/>
        <v>2.1628401651462091E-2</v>
      </c>
      <c r="S58" s="123">
        <f t="shared" si="19"/>
        <v>2.0621065105050688E-2</v>
      </c>
      <c r="T58" s="123">
        <f t="shared" si="19"/>
        <v>3.0768085821702741E-2</v>
      </c>
      <c r="U58" s="123">
        <f t="shared" si="19"/>
        <v>2.8077637962219706E-2</v>
      </c>
      <c r="V58" s="123">
        <f t="shared" si="19"/>
        <v>3.0303021985671936E-2</v>
      </c>
      <c r="W58" s="123">
        <f t="shared" ref="W58" si="20">IF(W12=0,0,W12/W$10)</f>
        <v>2.8500373468939872E-2</v>
      </c>
      <c r="DA58" s="203"/>
    </row>
    <row r="59" spans="1:105" ht="11.45" customHeight="1" x14ac:dyDescent="0.25">
      <c r="A59" s="109" t="s">
        <v>24</v>
      </c>
      <c r="B59" s="124">
        <f t="shared" si="14"/>
        <v>0.86399731189290219</v>
      </c>
      <c r="C59" s="124">
        <f t="shared" ref="C59:V59" si="21">IF(C13=0,0,C13/C$10)</f>
        <v>0.86614101391373521</v>
      </c>
      <c r="D59" s="124">
        <f t="shared" si="21"/>
        <v>0.86754855178166546</v>
      </c>
      <c r="E59" s="124">
        <f t="shared" si="21"/>
        <v>0.88844679881878397</v>
      </c>
      <c r="F59" s="124">
        <f t="shared" si="21"/>
        <v>0.89691432694127582</v>
      </c>
      <c r="G59" s="124">
        <f t="shared" si="21"/>
        <v>0.90730695992317134</v>
      </c>
      <c r="H59" s="124">
        <f t="shared" si="21"/>
        <v>0.93261370757344186</v>
      </c>
      <c r="I59" s="124">
        <f t="shared" si="21"/>
        <v>0.94779263000921121</v>
      </c>
      <c r="J59" s="124">
        <f t="shared" si="21"/>
        <v>0.96155117856347061</v>
      </c>
      <c r="K59" s="124">
        <f t="shared" si="21"/>
        <v>0.96477530431100611</v>
      </c>
      <c r="L59" s="124">
        <f t="shared" si="21"/>
        <v>0.96032949839184956</v>
      </c>
      <c r="M59" s="124">
        <f t="shared" si="21"/>
        <v>0.9565670672621126</v>
      </c>
      <c r="N59" s="124">
        <f t="shared" si="21"/>
        <v>0.95912099568504638</v>
      </c>
      <c r="O59" s="124">
        <f t="shared" si="21"/>
        <v>0.95653042874717076</v>
      </c>
      <c r="P59" s="124">
        <f t="shared" si="21"/>
        <v>0.95124093278325395</v>
      </c>
      <c r="Q59" s="124">
        <f t="shared" si="21"/>
        <v>0.9522831095803812</v>
      </c>
      <c r="R59" s="124">
        <f t="shared" si="21"/>
        <v>0.95274478138782914</v>
      </c>
      <c r="S59" s="124">
        <f t="shared" si="21"/>
        <v>0.95530578981306213</v>
      </c>
      <c r="T59" s="124">
        <f t="shared" si="21"/>
        <v>0.94841681523739241</v>
      </c>
      <c r="U59" s="124">
        <f t="shared" si="21"/>
        <v>0.95538387557629423</v>
      </c>
      <c r="V59" s="124">
        <f t="shared" si="21"/>
        <v>0.94949990915886806</v>
      </c>
      <c r="W59" s="124">
        <f t="shared" ref="W59" si="22">IF(W13=0,0,W13/W$10)</f>
        <v>0.9537882788357237</v>
      </c>
      <c r="DA59" s="176"/>
    </row>
    <row r="60" spans="1:105" ht="11.45" customHeight="1" x14ac:dyDescent="0.25">
      <c r="A60" s="111" t="s">
        <v>92</v>
      </c>
      <c r="B60" s="125">
        <f t="shared" si="14"/>
        <v>0.81122729175910979</v>
      </c>
      <c r="C60" s="125">
        <f t="shared" ref="C60:V60" si="23">IF(C14=0,0,C14/C$10)</f>
        <v>0.81757792111713612</v>
      </c>
      <c r="D60" s="125">
        <f t="shared" si="23"/>
        <v>0.81898072220261031</v>
      </c>
      <c r="E60" s="125">
        <f t="shared" si="23"/>
        <v>0.8442192995853246</v>
      </c>
      <c r="F60" s="125">
        <f t="shared" si="23"/>
        <v>0.81646319924103283</v>
      </c>
      <c r="G60" s="125">
        <f t="shared" si="23"/>
        <v>0.81132377294854297</v>
      </c>
      <c r="H60" s="125">
        <f t="shared" si="23"/>
        <v>0.83989359611285619</v>
      </c>
      <c r="I60" s="125">
        <f t="shared" si="23"/>
        <v>0.87686115810075071</v>
      </c>
      <c r="J60" s="125">
        <f t="shared" si="23"/>
        <v>0.8848197764254323</v>
      </c>
      <c r="K60" s="125">
        <f t="shared" si="23"/>
        <v>0.89472994868183531</v>
      </c>
      <c r="L60" s="125">
        <f t="shared" si="23"/>
        <v>0.88837425126233405</v>
      </c>
      <c r="M60" s="125">
        <f t="shared" si="23"/>
        <v>0.88556985523610809</v>
      </c>
      <c r="N60" s="125">
        <f t="shared" si="23"/>
        <v>0.88706415199523947</v>
      </c>
      <c r="O60" s="125">
        <f t="shared" si="23"/>
        <v>0.89079071042779123</v>
      </c>
      <c r="P60" s="125">
        <f t="shared" si="23"/>
        <v>0.88609623796965464</v>
      </c>
      <c r="Q60" s="125">
        <f t="shared" si="23"/>
        <v>0.88553578491387408</v>
      </c>
      <c r="R60" s="125">
        <f t="shared" si="23"/>
        <v>0.87976521376988381</v>
      </c>
      <c r="S60" s="125">
        <f t="shared" si="23"/>
        <v>0.88247880105041965</v>
      </c>
      <c r="T60" s="125">
        <f t="shared" si="23"/>
        <v>0.87793382647173857</v>
      </c>
      <c r="U60" s="125">
        <f t="shared" si="23"/>
        <v>0.8831508663238945</v>
      </c>
      <c r="V60" s="125">
        <f t="shared" si="23"/>
        <v>0.86474372517840548</v>
      </c>
      <c r="W60" s="125">
        <f t="shared" ref="W60" si="24">IF(W14=0,0,W14/W$10)</f>
        <v>0.87301717475177387</v>
      </c>
      <c r="DA60" s="171"/>
    </row>
    <row r="61" spans="1:105" ht="11.45" customHeight="1" x14ac:dyDescent="0.25">
      <c r="A61" s="111" t="s">
        <v>93</v>
      </c>
      <c r="B61" s="125">
        <f t="shared" si="14"/>
        <v>5.2770020133792304E-2</v>
      </c>
      <c r="C61" s="125">
        <f t="shared" ref="C61:V61" si="25">IF(C15=0,0,C15/C$10)</f>
        <v>4.8563092796599094E-2</v>
      </c>
      <c r="D61" s="125">
        <f t="shared" si="25"/>
        <v>4.8567829579055061E-2</v>
      </c>
      <c r="E61" s="125">
        <f t="shared" si="25"/>
        <v>4.4227499233459484E-2</v>
      </c>
      <c r="F61" s="125">
        <f t="shared" si="25"/>
        <v>8.0451127700243014E-2</v>
      </c>
      <c r="G61" s="125">
        <f t="shared" si="25"/>
        <v>9.5983186974628459E-2</v>
      </c>
      <c r="H61" s="125">
        <f t="shared" si="25"/>
        <v>9.2720111460585633E-2</v>
      </c>
      <c r="I61" s="125">
        <f t="shared" si="25"/>
        <v>7.093147190846058E-2</v>
      </c>
      <c r="J61" s="125">
        <f t="shared" si="25"/>
        <v>7.6731402138038432E-2</v>
      </c>
      <c r="K61" s="125">
        <f t="shared" si="25"/>
        <v>7.004535562917083E-2</v>
      </c>
      <c r="L61" s="125">
        <f t="shared" si="25"/>
        <v>7.1955247129515496E-2</v>
      </c>
      <c r="M61" s="125">
        <f t="shared" si="25"/>
        <v>7.0997212026004577E-2</v>
      </c>
      <c r="N61" s="125">
        <f t="shared" si="25"/>
        <v>7.2056843689806888E-2</v>
      </c>
      <c r="O61" s="125">
        <f t="shared" si="25"/>
        <v>6.5739718319379581E-2</v>
      </c>
      <c r="P61" s="125">
        <f t="shared" si="25"/>
        <v>6.5144694813599385E-2</v>
      </c>
      <c r="Q61" s="125">
        <f t="shared" si="25"/>
        <v>6.6747324666507055E-2</v>
      </c>
      <c r="R61" s="125">
        <f t="shared" si="25"/>
        <v>7.297956761794526E-2</v>
      </c>
      <c r="S61" s="125">
        <f t="shared" si="25"/>
        <v>7.2826988762642514E-2</v>
      </c>
      <c r="T61" s="125">
        <f t="shared" si="25"/>
        <v>7.048298876565387E-2</v>
      </c>
      <c r="U61" s="125">
        <f t="shared" si="25"/>
        <v>7.2233009252399769E-2</v>
      </c>
      <c r="V61" s="125">
        <f t="shared" si="25"/>
        <v>8.4756183980462613E-2</v>
      </c>
      <c r="W61" s="125">
        <f t="shared" ref="W61" si="26">IF(W15=0,0,W15/W$10)</f>
        <v>8.0771104083949871E-2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0.1360026881070979</v>
      </c>
      <c r="C63" s="31">
        <f t="shared" ref="C63:V63" si="29">IF(C17=0,0,C17/C$10)</f>
        <v>0.13385898608626476</v>
      </c>
      <c r="D63" s="31">
        <f t="shared" si="29"/>
        <v>0.13245144821833454</v>
      </c>
      <c r="E63" s="31">
        <f t="shared" si="29"/>
        <v>0.11155320118121596</v>
      </c>
      <c r="F63" s="31">
        <f t="shared" si="29"/>
        <v>9.6943371194699451E-2</v>
      </c>
      <c r="G63" s="31">
        <f t="shared" si="29"/>
        <v>7.8335724694975073E-2</v>
      </c>
      <c r="H63" s="31">
        <f t="shared" si="29"/>
        <v>5.2741506496454552E-2</v>
      </c>
      <c r="I63" s="31">
        <f t="shared" si="29"/>
        <v>3.1435215539787696E-2</v>
      </c>
      <c r="J63" s="31">
        <f t="shared" si="29"/>
        <v>2.3207165285052615E-2</v>
      </c>
      <c r="K63" s="31">
        <f t="shared" si="29"/>
        <v>1.784025541368725E-2</v>
      </c>
      <c r="L63" s="31">
        <f t="shared" si="29"/>
        <v>2.233386087619265E-2</v>
      </c>
      <c r="M63" s="31">
        <f t="shared" si="29"/>
        <v>2.5559295043486151E-2</v>
      </c>
      <c r="N63" s="31">
        <f t="shared" si="29"/>
        <v>2.199108481445565E-2</v>
      </c>
      <c r="O63" s="31">
        <f t="shared" si="29"/>
        <v>2.3814244756986049E-2</v>
      </c>
      <c r="P63" s="31">
        <f t="shared" si="29"/>
        <v>2.7164369132406243E-2</v>
      </c>
      <c r="Q63" s="31">
        <f t="shared" si="29"/>
        <v>2.5223148118184196E-2</v>
      </c>
      <c r="R63" s="31">
        <f t="shared" si="29"/>
        <v>2.5626816960708777E-2</v>
      </c>
      <c r="S63" s="31">
        <f t="shared" si="29"/>
        <v>2.4073145081887282E-2</v>
      </c>
      <c r="T63" s="31">
        <f t="shared" si="29"/>
        <v>2.0815098940904737E-2</v>
      </c>
      <c r="U63" s="31">
        <f t="shared" si="29"/>
        <v>1.6538486461486066E-2</v>
      </c>
      <c r="V63" s="31">
        <f t="shared" si="29"/>
        <v>2.0197068855460142E-2</v>
      </c>
      <c r="W63" s="31">
        <f t="shared" ref="W63" si="30">IF(W17=0,0,W17/W$10)</f>
        <v>1.7711347695336364E-2</v>
      </c>
      <c r="DA63" s="173"/>
    </row>
    <row r="64" spans="1:105" ht="11.45" customHeight="1" x14ac:dyDescent="0.25">
      <c r="A64" s="83" t="s">
        <v>92</v>
      </c>
      <c r="B64" s="125">
        <f t="shared" si="14"/>
        <v>0.1360026881070979</v>
      </c>
      <c r="C64" s="125">
        <f t="shared" ref="C64:V64" si="31">IF(C18=0,0,C18/C$10)</f>
        <v>0.13385898608626476</v>
      </c>
      <c r="D64" s="125">
        <f t="shared" si="31"/>
        <v>0.13191835832930202</v>
      </c>
      <c r="E64" s="125">
        <f t="shared" si="31"/>
        <v>0.11111556271982378</v>
      </c>
      <c r="F64" s="125">
        <f t="shared" si="31"/>
        <v>9.4815477071954854E-2</v>
      </c>
      <c r="G64" s="125">
        <f t="shared" si="31"/>
        <v>7.583730317845741E-2</v>
      </c>
      <c r="H64" s="125">
        <f t="shared" si="31"/>
        <v>5.1178423467972432E-2</v>
      </c>
      <c r="I64" s="125">
        <f t="shared" si="31"/>
        <v>3.0733285387202016E-2</v>
      </c>
      <c r="J64" s="125">
        <f t="shared" si="31"/>
        <v>2.2696809307417701E-2</v>
      </c>
      <c r="K64" s="125">
        <f t="shared" si="31"/>
        <v>1.7494430344625517E-2</v>
      </c>
      <c r="L64" s="125">
        <f t="shared" si="31"/>
        <v>2.1887133480013553E-2</v>
      </c>
      <c r="M64" s="125">
        <f t="shared" si="31"/>
        <v>2.5061679554729419E-2</v>
      </c>
      <c r="N64" s="125">
        <f t="shared" si="31"/>
        <v>2.1548668210285189E-2</v>
      </c>
      <c r="O64" s="125">
        <f t="shared" si="31"/>
        <v>2.3389757055637499E-2</v>
      </c>
      <c r="P64" s="125">
        <f t="shared" si="31"/>
        <v>2.6677850672348871E-2</v>
      </c>
      <c r="Q64" s="125">
        <f t="shared" si="31"/>
        <v>2.4758679882369874E-2</v>
      </c>
      <c r="R64" s="125">
        <f t="shared" si="31"/>
        <v>2.5114026578197474E-2</v>
      </c>
      <c r="S64" s="125">
        <f t="shared" si="31"/>
        <v>2.3606939014311844E-2</v>
      </c>
      <c r="T64" s="125">
        <f t="shared" si="31"/>
        <v>2.035990231153811E-2</v>
      </c>
      <c r="U64" s="125">
        <f t="shared" si="31"/>
        <v>1.6162492584472467E-2</v>
      </c>
      <c r="V64" s="125">
        <f t="shared" si="31"/>
        <v>1.9636144873621822E-2</v>
      </c>
      <c r="W64" s="125">
        <f t="shared" ref="W64" si="32">IF(W18=0,0,W18/W$10)</f>
        <v>1.7253644400842219E-2</v>
      </c>
      <c r="DA64" s="171"/>
    </row>
    <row r="65" spans="1:105" ht="11.45" customHeight="1" x14ac:dyDescent="0.25">
      <c r="A65" s="85" t="s">
        <v>93</v>
      </c>
      <c r="B65" s="127">
        <f t="shared" si="14"/>
        <v>0</v>
      </c>
      <c r="C65" s="127">
        <f t="shared" ref="C65:V65" si="33">IF(C19=0,0,C19/C$10)</f>
        <v>0</v>
      </c>
      <c r="D65" s="127">
        <f t="shared" si="33"/>
        <v>5.3308988903253936E-4</v>
      </c>
      <c r="E65" s="127">
        <f t="shared" si="33"/>
        <v>4.3763846139218771E-4</v>
      </c>
      <c r="F65" s="127">
        <f t="shared" si="33"/>
        <v>2.1278941227446083E-3</v>
      </c>
      <c r="G65" s="127">
        <f t="shared" si="33"/>
        <v>2.4984215165176548E-3</v>
      </c>
      <c r="H65" s="127">
        <f t="shared" si="33"/>
        <v>1.5630830284821262E-3</v>
      </c>
      <c r="I65" s="127">
        <f t="shared" si="33"/>
        <v>7.0193015258567708E-4</v>
      </c>
      <c r="J65" s="127">
        <f t="shared" si="33"/>
        <v>5.1035597763491561E-4</v>
      </c>
      <c r="K65" s="127">
        <f t="shared" si="33"/>
        <v>3.4582506906173448E-4</v>
      </c>
      <c r="L65" s="127">
        <f t="shared" si="33"/>
        <v>4.4672739617909632E-4</v>
      </c>
      <c r="M65" s="127">
        <f t="shared" si="33"/>
        <v>4.97615488756732E-4</v>
      </c>
      <c r="N65" s="127">
        <f t="shared" si="33"/>
        <v>4.4241660417046008E-4</v>
      </c>
      <c r="O65" s="127">
        <f t="shared" si="33"/>
        <v>4.2448770134854871E-4</v>
      </c>
      <c r="P65" s="127">
        <f t="shared" si="33"/>
        <v>4.8651846005737129E-4</v>
      </c>
      <c r="Q65" s="127">
        <f t="shared" si="33"/>
        <v>4.6446823581432054E-4</v>
      </c>
      <c r="R65" s="127">
        <f t="shared" si="33"/>
        <v>5.1279038251130133E-4</v>
      </c>
      <c r="S65" s="127">
        <f t="shared" si="33"/>
        <v>4.6620606757543574E-4</v>
      </c>
      <c r="T65" s="127">
        <f t="shared" si="33"/>
        <v>4.5519662936662571E-4</v>
      </c>
      <c r="U65" s="127">
        <f t="shared" si="33"/>
        <v>3.7599387701360131E-4</v>
      </c>
      <c r="V65" s="127">
        <f t="shared" si="33"/>
        <v>5.609239818383197E-4</v>
      </c>
      <c r="W65" s="127">
        <f t="shared" ref="W65" si="34">IF(W19=0,0,W19/W$10)</f>
        <v>4.5770329449414625E-4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124.49795904</v>
      </c>
      <c r="C4" s="26">
        <f t="shared" ref="C4:W4" si="0">SUM(C5:C6)</f>
        <v>135.88380935999999</v>
      </c>
      <c r="D4" s="26">
        <f t="shared" si="0"/>
        <v>118.82103948</v>
      </c>
      <c r="E4" s="26">
        <f t="shared" si="0"/>
        <v>131.23071468000001</v>
      </c>
      <c r="F4" s="26">
        <f t="shared" si="0"/>
        <v>138.36787847999997</v>
      </c>
      <c r="G4" s="26">
        <f t="shared" si="0"/>
        <v>123.53202108000001</v>
      </c>
      <c r="H4" s="26">
        <f t="shared" si="0"/>
        <v>123.53202108000001</v>
      </c>
      <c r="I4" s="26">
        <f t="shared" si="0"/>
        <v>133.59260771999999</v>
      </c>
      <c r="J4" s="26">
        <f t="shared" si="0"/>
        <v>141.58340351999996</v>
      </c>
      <c r="K4" s="26">
        <f t="shared" si="0"/>
        <v>124.23466691999997</v>
      </c>
      <c r="L4" s="26">
        <f t="shared" si="0"/>
        <v>123.28500132000001</v>
      </c>
      <c r="M4" s="26">
        <f t="shared" si="0"/>
        <v>123.34582259999999</v>
      </c>
      <c r="N4" s="26">
        <f t="shared" si="0"/>
        <v>119.32468236</v>
      </c>
      <c r="O4" s="26">
        <f t="shared" si="0"/>
        <v>118.83384395999998</v>
      </c>
      <c r="P4" s="26">
        <f t="shared" si="0"/>
        <v>109.01387484</v>
      </c>
      <c r="Q4" s="26">
        <f t="shared" si="0"/>
        <v>111.09673692</v>
      </c>
      <c r="R4" s="26">
        <f t="shared" si="0"/>
        <v>113.14732103999999</v>
      </c>
      <c r="S4" s="26">
        <f t="shared" si="0"/>
        <v>116.79979896000002</v>
      </c>
      <c r="T4" s="26">
        <f t="shared" si="0"/>
        <v>118.02582792</v>
      </c>
      <c r="U4" s="26">
        <f t="shared" si="0"/>
        <v>123.50694563999998</v>
      </c>
      <c r="V4" s="26">
        <f t="shared" si="0"/>
        <v>98.398694160000005</v>
      </c>
      <c r="W4" s="26">
        <f t="shared" si="0"/>
        <v>106.41509891999998</v>
      </c>
      <c r="DA4" s="202" t="s">
        <v>1135</v>
      </c>
    </row>
    <row r="5" spans="1:105" ht="11.45" customHeight="1" x14ac:dyDescent="0.25">
      <c r="A5" s="107" t="s">
        <v>92</v>
      </c>
      <c r="B5" s="129">
        <v>124.49795904</v>
      </c>
      <c r="C5" s="129">
        <v>135.88380935999999</v>
      </c>
      <c r="D5" s="129">
        <v>118.82103948</v>
      </c>
      <c r="E5" s="129">
        <v>131.23071468000001</v>
      </c>
      <c r="F5" s="129">
        <v>138.36787847999997</v>
      </c>
      <c r="G5" s="129">
        <v>123.53202108000001</v>
      </c>
      <c r="H5" s="129">
        <v>123.53202108000001</v>
      </c>
      <c r="I5" s="129">
        <v>133.59260771999999</v>
      </c>
      <c r="J5" s="129">
        <v>141.58340351999996</v>
      </c>
      <c r="K5" s="129">
        <v>124.23466691999997</v>
      </c>
      <c r="L5" s="129">
        <v>123.28500132000001</v>
      </c>
      <c r="M5" s="129">
        <v>123.34582259999999</v>
      </c>
      <c r="N5" s="129">
        <v>119.32468236</v>
      </c>
      <c r="O5" s="129">
        <v>118.83384395999998</v>
      </c>
      <c r="P5" s="129">
        <v>109.01387484</v>
      </c>
      <c r="Q5" s="129">
        <v>111.09673692</v>
      </c>
      <c r="R5" s="129">
        <v>113.14732103999999</v>
      </c>
      <c r="S5" s="129">
        <v>116.79979896000002</v>
      </c>
      <c r="T5" s="129">
        <v>118.02582792</v>
      </c>
      <c r="U5" s="129">
        <v>123.50694563999998</v>
      </c>
      <c r="V5" s="129">
        <v>98.398694160000005</v>
      </c>
      <c r="W5" s="129">
        <v>106.41509891999998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124.49795904000001</v>
      </c>
      <c r="C8" s="79">
        <f t="shared" si="1"/>
        <v>135.88380935999999</v>
      </c>
      <c r="D8" s="79">
        <f t="shared" si="1"/>
        <v>118.82103948</v>
      </c>
      <c r="E8" s="79">
        <f t="shared" si="1"/>
        <v>131.23071468000001</v>
      </c>
      <c r="F8" s="79">
        <f t="shared" si="1"/>
        <v>138.36787847999994</v>
      </c>
      <c r="G8" s="79">
        <f t="shared" si="1"/>
        <v>123.53202108000001</v>
      </c>
      <c r="H8" s="79">
        <f t="shared" si="1"/>
        <v>123.53202108000002</v>
      </c>
      <c r="I8" s="79">
        <f t="shared" si="1"/>
        <v>133.59260771999999</v>
      </c>
      <c r="J8" s="79">
        <f t="shared" si="1"/>
        <v>141.58340351999996</v>
      </c>
      <c r="K8" s="79">
        <f t="shared" si="1"/>
        <v>124.23466691999998</v>
      </c>
      <c r="L8" s="79">
        <f t="shared" si="1"/>
        <v>123.28500132000001</v>
      </c>
      <c r="M8" s="79">
        <f t="shared" si="1"/>
        <v>123.34582259999998</v>
      </c>
      <c r="N8" s="79">
        <f t="shared" si="1"/>
        <v>119.32468236000001</v>
      </c>
      <c r="O8" s="79">
        <f t="shared" si="1"/>
        <v>118.83384395999998</v>
      </c>
      <c r="P8" s="79">
        <f t="shared" si="1"/>
        <v>109.01387484000001</v>
      </c>
      <c r="Q8" s="79">
        <f t="shared" si="1"/>
        <v>111.09673692</v>
      </c>
      <c r="R8" s="79">
        <f t="shared" si="1"/>
        <v>113.14732104000001</v>
      </c>
      <c r="S8" s="79">
        <f t="shared" si="1"/>
        <v>116.79979896000003</v>
      </c>
      <c r="T8" s="79">
        <f t="shared" si="1"/>
        <v>118.02582792</v>
      </c>
      <c r="U8" s="79">
        <f t="shared" si="1"/>
        <v>123.50694563999998</v>
      </c>
      <c r="V8" s="79">
        <f t="shared" si="1"/>
        <v>98.398694160000005</v>
      </c>
      <c r="W8" s="79">
        <f t="shared" si="1"/>
        <v>106.41509891999998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106.62261994264695</v>
      </c>
      <c r="C9" s="32">
        <f t="shared" si="2"/>
        <v>116.76612661219342</v>
      </c>
      <c r="D9" s="32">
        <f t="shared" si="2"/>
        <v>102.33698056765495</v>
      </c>
      <c r="E9" s="32">
        <f t="shared" si="2"/>
        <v>115.96719265945093</v>
      </c>
      <c r="F9" s="32">
        <f t="shared" si="2"/>
        <v>123.97116674896689</v>
      </c>
      <c r="G9" s="32">
        <f t="shared" si="2"/>
        <v>112.97211760025081</v>
      </c>
      <c r="H9" s="32">
        <f t="shared" si="2"/>
        <v>116.43700075867878</v>
      </c>
      <c r="I9" s="32">
        <f t="shared" si="2"/>
        <v>129.06884739055084</v>
      </c>
      <c r="J9" s="32">
        <f t="shared" si="2"/>
        <v>138.04243075839076</v>
      </c>
      <c r="K9" s="32">
        <f t="shared" si="2"/>
        <v>121.85212291351422</v>
      </c>
      <c r="L9" s="32">
        <f t="shared" si="2"/>
        <v>120.3206272125141</v>
      </c>
      <c r="M9" s="32">
        <f t="shared" si="2"/>
        <v>119.95119660439822</v>
      </c>
      <c r="N9" s="32">
        <f t="shared" si="2"/>
        <v>116.49477733082411</v>
      </c>
      <c r="O9" s="32">
        <f t="shared" si="2"/>
        <v>115.79342159365542</v>
      </c>
      <c r="P9" s="32">
        <f t="shared" si="2"/>
        <v>105.82770214909633</v>
      </c>
      <c r="Q9" s="32">
        <f t="shared" si="2"/>
        <v>108.07506794171633</v>
      </c>
      <c r="R9" s="32">
        <f t="shared" si="2"/>
        <v>110.0070292738221</v>
      </c>
      <c r="S9" s="32">
        <f t="shared" si="2"/>
        <v>113.75672520989816</v>
      </c>
      <c r="T9" s="32">
        <f t="shared" si="2"/>
        <v>115.35076268277028</v>
      </c>
      <c r="U9" s="32">
        <f t="shared" si="2"/>
        <v>121.28727429489686</v>
      </c>
      <c r="V9" s="32">
        <f t="shared" si="2"/>
        <v>96.213919178874193</v>
      </c>
      <c r="W9" s="32">
        <f t="shared" si="2"/>
        <v>104.35275088370948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106.62261994264695</v>
      </c>
      <c r="C11" s="130">
        <f t="shared" si="3"/>
        <v>116.76612661219342</v>
      </c>
      <c r="D11" s="130">
        <f t="shared" si="3"/>
        <v>102.33698056765495</v>
      </c>
      <c r="E11" s="130">
        <f t="shared" si="3"/>
        <v>115.96719265945093</v>
      </c>
      <c r="F11" s="130">
        <f t="shared" si="3"/>
        <v>123.97116674896689</v>
      </c>
      <c r="G11" s="130">
        <f t="shared" si="3"/>
        <v>112.97211760025081</v>
      </c>
      <c r="H11" s="130">
        <f t="shared" si="3"/>
        <v>116.43700075867878</v>
      </c>
      <c r="I11" s="130">
        <f t="shared" si="3"/>
        <v>129.06884739055084</v>
      </c>
      <c r="J11" s="130">
        <f t="shared" si="3"/>
        <v>138.04243075839076</v>
      </c>
      <c r="K11" s="130">
        <f t="shared" si="3"/>
        <v>121.85212291351422</v>
      </c>
      <c r="L11" s="130">
        <f t="shared" si="3"/>
        <v>120.3206272125141</v>
      </c>
      <c r="M11" s="130">
        <f t="shared" si="3"/>
        <v>119.95119660439822</v>
      </c>
      <c r="N11" s="130">
        <f t="shared" si="3"/>
        <v>116.49477733082411</v>
      </c>
      <c r="O11" s="130">
        <f t="shared" si="3"/>
        <v>115.79342159365542</v>
      </c>
      <c r="P11" s="130">
        <f t="shared" si="3"/>
        <v>105.82770214909633</v>
      </c>
      <c r="Q11" s="130">
        <f t="shared" si="3"/>
        <v>108.07506794171633</v>
      </c>
      <c r="R11" s="130">
        <f t="shared" si="3"/>
        <v>110.0070292738221</v>
      </c>
      <c r="S11" s="130">
        <f t="shared" si="3"/>
        <v>113.75672520989816</v>
      </c>
      <c r="T11" s="130">
        <f t="shared" si="3"/>
        <v>115.35076268277028</v>
      </c>
      <c r="U11" s="130">
        <f t="shared" si="3"/>
        <v>121.28727429489686</v>
      </c>
      <c r="V11" s="130">
        <f t="shared" si="3"/>
        <v>96.213919178874193</v>
      </c>
      <c r="W11" s="130">
        <f t="shared" si="3"/>
        <v>104.35275088370948</v>
      </c>
      <c r="DA11" s="176" t="s">
        <v>408</v>
      </c>
    </row>
    <row r="12" spans="1:105" ht="11.45" customHeight="1" x14ac:dyDescent="0.25">
      <c r="A12" s="111" t="s">
        <v>92</v>
      </c>
      <c r="B12" s="96">
        <v>106.62261994264695</v>
      </c>
      <c r="C12" s="96">
        <v>116.76612661219342</v>
      </c>
      <c r="D12" s="96">
        <v>102.33698056765495</v>
      </c>
      <c r="E12" s="96">
        <v>115.96719265945093</v>
      </c>
      <c r="F12" s="96">
        <v>123.97116674896689</v>
      </c>
      <c r="G12" s="96">
        <v>112.97211760025081</v>
      </c>
      <c r="H12" s="96">
        <v>116.43700075867878</v>
      </c>
      <c r="I12" s="96">
        <v>129.06884739055084</v>
      </c>
      <c r="J12" s="96">
        <v>138.04243075839076</v>
      </c>
      <c r="K12" s="96">
        <v>121.85212291351422</v>
      </c>
      <c r="L12" s="96">
        <v>120.3206272125141</v>
      </c>
      <c r="M12" s="96">
        <v>119.95119660439822</v>
      </c>
      <c r="N12" s="96">
        <v>116.49477733082411</v>
      </c>
      <c r="O12" s="96">
        <v>115.79342159365542</v>
      </c>
      <c r="P12" s="96">
        <v>105.82770214909633</v>
      </c>
      <c r="Q12" s="96">
        <v>108.07506794171633</v>
      </c>
      <c r="R12" s="96">
        <v>110.0070292738221</v>
      </c>
      <c r="S12" s="96">
        <v>113.75672520989816</v>
      </c>
      <c r="T12" s="96">
        <v>115.35076268277028</v>
      </c>
      <c r="U12" s="96">
        <v>121.28727429489686</v>
      </c>
      <c r="V12" s="96">
        <v>96.213919178874193</v>
      </c>
      <c r="W12" s="96">
        <v>104.35275088370948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17.875339097353056</v>
      </c>
      <c r="C15" s="32">
        <f t="shared" si="4"/>
        <v>19.117682747806565</v>
      </c>
      <c r="D15" s="32">
        <f t="shared" si="4"/>
        <v>16.484058912345048</v>
      </c>
      <c r="E15" s="32">
        <f t="shared" si="4"/>
        <v>15.263522020549063</v>
      </c>
      <c r="F15" s="32">
        <f t="shared" si="4"/>
        <v>14.396711731033063</v>
      </c>
      <c r="G15" s="32">
        <f t="shared" si="4"/>
        <v>10.559903479749197</v>
      </c>
      <c r="H15" s="32">
        <f t="shared" si="4"/>
        <v>7.0950203213212406</v>
      </c>
      <c r="I15" s="32">
        <f t="shared" si="4"/>
        <v>4.5237603294491588</v>
      </c>
      <c r="J15" s="32">
        <f t="shared" si="4"/>
        <v>3.5409727616092099</v>
      </c>
      <c r="K15" s="32">
        <f t="shared" si="4"/>
        <v>2.3825440064857637</v>
      </c>
      <c r="L15" s="32">
        <f t="shared" si="4"/>
        <v>2.964374107485912</v>
      </c>
      <c r="M15" s="32">
        <f t="shared" si="4"/>
        <v>3.3946259956017557</v>
      </c>
      <c r="N15" s="32">
        <f t="shared" si="4"/>
        <v>2.8299050291758978</v>
      </c>
      <c r="O15" s="32">
        <f t="shared" si="4"/>
        <v>3.040422366344552</v>
      </c>
      <c r="P15" s="32">
        <f t="shared" si="4"/>
        <v>3.1861726909036836</v>
      </c>
      <c r="Q15" s="32">
        <f t="shared" si="4"/>
        <v>3.0216689782836652</v>
      </c>
      <c r="R15" s="32">
        <f t="shared" si="4"/>
        <v>3.1402917661779104</v>
      </c>
      <c r="S15" s="32">
        <f t="shared" si="4"/>
        <v>3.043073750101863</v>
      </c>
      <c r="T15" s="32">
        <f t="shared" si="4"/>
        <v>2.6750652372297217</v>
      </c>
      <c r="U15" s="32">
        <f t="shared" si="4"/>
        <v>2.2196713451031247</v>
      </c>
      <c r="V15" s="32">
        <f t="shared" si="4"/>
        <v>2.1847749811258117</v>
      </c>
      <c r="W15" s="32">
        <f t="shared" si="4"/>
        <v>2.0623480362904951</v>
      </c>
      <c r="DA15" s="173" t="s">
        <v>413</v>
      </c>
    </row>
    <row r="16" spans="1:105" ht="11.45" customHeight="1" x14ac:dyDescent="0.25">
      <c r="A16" s="83" t="s">
        <v>92</v>
      </c>
      <c r="B16" s="96">
        <v>17.875339097353056</v>
      </c>
      <c r="C16" s="96">
        <v>19.117682747806565</v>
      </c>
      <c r="D16" s="96">
        <v>16.484058912345048</v>
      </c>
      <c r="E16" s="96">
        <v>15.263522020549063</v>
      </c>
      <c r="F16" s="96">
        <v>14.396711731033063</v>
      </c>
      <c r="G16" s="96">
        <v>10.559903479749197</v>
      </c>
      <c r="H16" s="96">
        <v>7.0950203213212406</v>
      </c>
      <c r="I16" s="96">
        <v>4.5237603294491588</v>
      </c>
      <c r="J16" s="96">
        <v>3.5409727616092099</v>
      </c>
      <c r="K16" s="96">
        <v>2.3825440064857637</v>
      </c>
      <c r="L16" s="96">
        <v>2.964374107485912</v>
      </c>
      <c r="M16" s="96">
        <v>3.3946259956017557</v>
      </c>
      <c r="N16" s="96">
        <v>2.8299050291758978</v>
      </c>
      <c r="O16" s="96">
        <v>3.040422366344552</v>
      </c>
      <c r="P16" s="96">
        <v>3.1861726909036836</v>
      </c>
      <c r="Q16" s="96">
        <v>3.0216689782836652</v>
      </c>
      <c r="R16" s="96">
        <v>3.1402917661779104</v>
      </c>
      <c r="S16" s="96">
        <v>3.043073750101863</v>
      </c>
      <c r="T16" s="96">
        <v>2.6750652372297217</v>
      </c>
      <c r="U16" s="96">
        <v>2.2196713451031247</v>
      </c>
      <c r="V16" s="96">
        <v>2.1847749811258117</v>
      </c>
      <c r="W16" s="96">
        <v>2.0623480362904951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2.9387040974605441</v>
      </c>
      <c r="C22" s="134">
        <f>IF(C4=0,0,C4/TrRail_ene!C4)</f>
        <v>2.9517557479216863</v>
      </c>
      <c r="D22" s="134">
        <f>IF(D4=0,0,D4/TrRail_ene!D4)</f>
        <v>2.9500871843449192</v>
      </c>
      <c r="E22" s="134">
        <f>IF(E4=0,0,E4/TrRail_ene!E4)</f>
        <v>2.9638488371109037</v>
      </c>
      <c r="F22" s="134">
        <f>IF(F4=0,0,F4/TrRail_ene!F4)</f>
        <v>2.8271680974325282</v>
      </c>
      <c r="G22" s="134">
        <f>IF(G4=0,0,G4/TrRail_ene!G4)</f>
        <v>2.752345201204637</v>
      </c>
      <c r="H22" s="134">
        <f>IF(H4=0,0,H4/TrRail_ene!H4)</f>
        <v>2.7644785857015308</v>
      </c>
      <c r="I22" s="134">
        <f>IF(I4=0,0,I4/TrRail_ene!I4)</f>
        <v>2.815738064252562</v>
      </c>
      <c r="J22" s="134">
        <f>IF(J4=0,0,J4/TrRail_ene!J4)</f>
        <v>2.8154965168894055</v>
      </c>
      <c r="K22" s="134">
        <f>IF(K4=0,0,K4/TrRail_ene!K4)</f>
        <v>2.8301020633100178</v>
      </c>
      <c r="L22" s="134">
        <f>IF(L4=0,0,L4/TrRail_ene!L4)</f>
        <v>2.8240120329386924</v>
      </c>
      <c r="M22" s="134">
        <f>IF(M4=0,0,M4/TrRail_ene!M4)</f>
        <v>2.8251603934079483</v>
      </c>
      <c r="N22" s="134">
        <f>IF(N4=0,0,N4/TrRail_ene!N4)</f>
        <v>2.8188974953266399</v>
      </c>
      <c r="O22" s="134">
        <f>IF(O4=0,0,O4/TrRail_ene!O4)</f>
        <v>2.8361706689133781</v>
      </c>
      <c r="P22" s="134">
        <f>IF(P4=0,0,P4/TrRail_ene!P4)</f>
        <v>2.8318074927558179</v>
      </c>
      <c r="Q22" s="134">
        <f>IF(Q4=0,0,Q4/TrRail_ene!Q4)</f>
        <v>2.8241146611198058</v>
      </c>
      <c r="R22" s="134">
        <f>IF(R4=0,0,R4/TrRail_ene!R4)</f>
        <v>2.8073143669856058</v>
      </c>
      <c r="S22" s="134">
        <f>IF(S4=0,0,S4/TrRail_ene!S4)</f>
        <v>2.811057434388736</v>
      </c>
      <c r="T22" s="134">
        <f>IF(T4=0,0,T4/TrRail_ene!T4)</f>
        <v>2.7868833520993386</v>
      </c>
      <c r="U22" s="134">
        <f>IF(U4=0,0,U4/TrRail_ene!U4)</f>
        <v>2.7900466717684651</v>
      </c>
      <c r="V22" s="134">
        <f>IF(V4=0,0,V4/TrRail_ene!V4)</f>
        <v>2.7437167351909664</v>
      </c>
      <c r="W22" s="134">
        <f>IF(W4=0,0,W4/TrRail_ene!W4)</f>
        <v>2.7619929264304766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1.5512094000000003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9948.9946604579945</v>
      </c>
      <c r="C26" s="54">
        <f>IF(C8=0,0,C8/TrRail_act!C14*1000)</f>
        <v>9943.4597914239439</v>
      </c>
      <c r="D26" s="54">
        <f>IF(D8=0,0,D8/TrRail_act!D14*1000)</f>
        <v>9486.1416551184884</v>
      </c>
      <c r="E26" s="54">
        <f>IF(E8=0,0,E8/TrRail_act!E14*1000)</f>
        <v>9324.8214402097601</v>
      </c>
      <c r="F26" s="54">
        <f>IF(F8=0,0,F8/TrRail_act!F14*1000)</f>
        <v>8283.7652473165181</v>
      </c>
      <c r="G26" s="54">
        <f>IF(G8=0,0,G8/TrRail_act!G14*1000)</f>
        <v>7334.2320713696035</v>
      </c>
      <c r="H26" s="54">
        <f>IF(H8=0,0,H8/TrRail_act!H14*1000)</f>
        <v>7192.9065792877591</v>
      </c>
      <c r="I26" s="54">
        <f>IF(I8=0,0,I8/TrRail_act!I14*1000)</f>
        <v>6901.8031910018062</v>
      </c>
      <c r="J26" s="54">
        <f>IF(J8=0,0,J8/TrRail_act!J14*1000)</f>
        <v>6967.6817761029306</v>
      </c>
      <c r="K26" s="54">
        <f>IF(K8=0,0,K8/TrRail_act!K14*1000)</f>
        <v>6522.0871443686283</v>
      </c>
      <c r="L26" s="54">
        <f>IF(L8=0,0,L8/TrRail_act!L14*1000)</f>
        <v>6289.4462533542064</v>
      </c>
      <c r="M26" s="54">
        <f>IF(M8=0,0,M8/TrRail_act!M14*1000)</f>
        <v>6037.4764821883673</v>
      </c>
      <c r="N26" s="54">
        <f>IF(N8=0,0,N8/TrRail_act!N14*1000)</f>
        <v>5649.848702207647</v>
      </c>
      <c r="O26" s="54">
        <f>IF(O8=0,0,O8/TrRail_act!O14*1000)</f>
        <v>5632.5155516234718</v>
      </c>
      <c r="P26" s="54">
        <f>IF(P8=0,0,P8/TrRail_act!P14*1000)</f>
        <v>5525.2009834649034</v>
      </c>
      <c r="Q26" s="54">
        <f>IF(Q8=0,0,Q8/TrRail_act!Q14*1000)</f>
        <v>5028.0932597257506</v>
      </c>
      <c r="R26" s="54">
        <f>IF(R8=0,0,R8/TrRail_act!R14*1000)</f>
        <v>4735.5288861111258</v>
      </c>
      <c r="S26" s="54">
        <f>IF(S8=0,0,S8/TrRail_act!S14*1000)</f>
        <v>4556.2728745396325</v>
      </c>
      <c r="T26" s="54">
        <f>IF(T8=0,0,T8/TrRail_act!T14*1000)</f>
        <v>4218.6562812145266</v>
      </c>
      <c r="U26" s="54">
        <f>IF(U8=0,0,U8/TrRail_act!U14*1000)</f>
        <v>4150.1594683120611</v>
      </c>
      <c r="V26" s="54">
        <f>IF(V8=0,0,V8/TrRail_act!V14*1000)</f>
        <v>3989.2288611154249</v>
      </c>
      <c r="W26" s="54">
        <f>IF(W8=0,0,W8/TrRail_act!W14*1000)</f>
        <v>3979.5772526191545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9247.1101020310343</v>
      </c>
      <c r="C27" s="28">
        <f>IF(C9=0,0,C9/TrRail_act!C15*1000)</f>
        <v>9243.3865535486075</v>
      </c>
      <c r="D27" s="28">
        <f>IF(D9=0,0,D9/TrRail_act!D15*1000)</f>
        <v>8806.0853282354583</v>
      </c>
      <c r="E27" s="28">
        <f>IF(E9=0,0,E9/TrRail_act!E15*1000)</f>
        <v>8766.5597508710889</v>
      </c>
      <c r="F27" s="28">
        <f>IF(F9=0,0,F9/TrRail_act!F15*1000)</f>
        <v>7818.2506340472</v>
      </c>
      <c r="G27" s="28">
        <f>IF(G9=0,0,G9/TrRail_act!G15*1000)</f>
        <v>6973.8139334529751</v>
      </c>
      <c r="H27" s="28">
        <f>IF(H9=0,0,H9/TrRail_act!H15*1000)</f>
        <v>6955.1701035660126</v>
      </c>
      <c r="I27" s="28">
        <f>IF(I9=0,0,I9/TrRail_act!I15*1000)</f>
        <v>6764.4492887948891</v>
      </c>
      <c r="J27" s="28">
        <f>IF(J9=0,0,J9/TrRail_act!J15*1000)</f>
        <v>6866.7564687928088</v>
      </c>
      <c r="K27" s="28">
        <f>IF(K9=0,0,K9/TrRail_act!K15*1000)</f>
        <v>6446.4202324363323</v>
      </c>
      <c r="L27" s="28">
        <f>IF(L9=0,0,L9/TrRail_act!L15*1000)</f>
        <v>6196.0650325295192</v>
      </c>
      <c r="M27" s="28">
        <f>IF(M9=0,0,M9/TrRail_act!M15*1000)</f>
        <v>5932.5892293903544</v>
      </c>
      <c r="N27" s="28">
        <f>IF(N9=0,0,N9/TrRail_act!N15*1000)</f>
        <v>5562.7398374992217</v>
      </c>
      <c r="O27" s="28">
        <f>IF(O9=0,0,O9/TrRail_act!O15*1000)</f>
        <v>5539.0755639431918</v>
      </c>
      <c r="P27" s="28">
        <f>IF(P9=0,0,P9/TrRail_act!P15*1000)</f>
        <v>5419.7518377243241</v>
      </c>
      <c r="Q27" s="28">
        <f>IF(Q9=0,0,Q9/TrRail_act!Q15*1000)</f>
        <v>4935.1144065712051</v>
      </c>
      <c r="R27" s="28">
        <f>IF(R9=0,0,R9/TrRail_act!R15*1000)</f>
        <v>4644.2372464141672</v>
      </c>
      <c r="S27" s="28">
        <f>IF(S9=0,0,S9/TrRail_act!S15*1000)</f>
        <v>4472.6341387941338</v>
      </c>
      <c r="T27" s="28">
        <f>IF(T9=0,0,T9/TrRail_act!T15*1000)</f>
        <v>4149.5895179299896</v>
      </c>
      <c r="U27" s="28">
        <f>IF(U9=0,0,U9/TrRail_act!U15*1000)</f>
        <v>4096.1500483007367</v>
      </c>
      <c r="V27" s="28">
        <f>IF(V9=0,0,V9/TrRail_act!V15*1000)</f>
        <v>3924.5207289556897</v>
      </c>
      <c r="W27" s="28">
        <f>IF(W9=0,0,W9/TrRail_act!W15*1000)</f>
        <v>3923.1402292312805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9247.1101020310343</v>
      </c>
      <c r="C29" s="110">
        <f>IF(C11=0,0,C11/TrRail_act!C17*1000)</f>
        <v>9243.3865535486075</v>
      </c>
      <c r="D29" s="110">
        <f>IF(D11=0,0,D11/TrRail_act!D17*1000)</f>
        <v>8806.0853282354583</v>
      </c>
      <c r="E29" s="110">
        <f>IF(E11=0,0,E11/TrRail_act!E17*1000)</f>
        <v>8766.5597508710889</v>
      </c>
      <c r="F29" s="110">
        <f>IF(F11=0,0,F11/TrRail_act!F17*1000)</f>
        <v>8144.250613754517</v>
      </c>
      <c r="G29" s="110">
        <f>IF(G11=0,0,G11/TrRail_act!G17*1000)</f>
        <v>7630.6318345540649</v>
      </c>
      <c r="H29" s="110">
        <f>IF(H11=0,0,H11/TrRail_act!H17*1000)</f>
        <v>7605.3686257343697</v>
      </c>
      <c r="I29" s="110">
        <f>IF(I11=0,0,I11/TrRail_act!I17*1000)</f>
        <v>7660.6825540243535</v>
      </c>
      <c r="J29" s="110">
        <f>IF(J11=0,0,J11/TrRail_act!J17*1000)</f>
        <v>7522.547612640803</v>
      </c>
      <c r="K29" s="110">
        <f>IF(K11=0,0,K11/TrRail_act!K17*1000)</f>
        <v>7123.5031658837743</v>
      </c>
      <c r="L29" s="110">
        <f>IF(L11=0,0,L11/TrRail_act!L17*1000)</f>
        <v>6829.7095045872684</v>
      </c>
      <c r="M29" s="110">
        <f>IF(M11=0,0,M11/TrRail_act!M17*1000)</f>
        <v>6540.3144130501832</v>
      </c>
      <c r="N29" s="110">
        <f>IF(N11=0,0,N11/TrRail_act!N17*1000)</f>
        <v>6138.7213745640629</v>
      </c>
      <c r="O29" s="110">
        <f>IF(O11=0,0,O11/TrRail_act!O17*1000)</f>
        <v>6157.3236464592255</v>
      </c>
      <c r="P29" s="110">
        <f>IF(P11=0,0,P11/TrRail_act!P17*1000)</f>
        <v>6104.1037417519055</v>
      </c>
      <c r="Q29" s="110">
        <f>IF(Q11=0,0,Q11/TrRail_act!Q17*1000)</f>
        <v>5536.4827110438264</v>
      </c>
      <c r="R29" s="110">
        <f>IF(R11=0,0,R11/TrRail_act!R17*1000)</f>
        <v>5162.9542058072866</v>
      </c>
      <c r="S29" s="110">
        <f>IF(S11=0,0,S11/TrRail_act!S17*1000)</f>
        <v>4931.4457102849883</v>
      </c>
      <c r="T29" s="110">
        <f>IF(T11=0,0,T11/TrRail_act!T17*1000)</f>
        <v>4772.8735757662844</v>
      </c>
      <c r="U29" s="110">
        <f>IF(U11=0,0,U11/TrRail_act!U17*1000)</f>
        <v>4642.6055747545252</v>
      </c>
      <c r="V29" s="110">
        <f>IF(V11=0,0,V11/TrRail_act!V17*1000)</f>
        <v>4484.7073056016043</v>
      </c>
      <c r="W29" s="110">
        <f>IF(W11=0,0,W11/TrRail_act!W17*1000)</f>
        <v>4441.7228415213949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10224.517600570221</v>
      </c>
      <c r="C30" s="84">
        <f>IF(C12=0,0,C12/TrRail_act!C18*1000)</f>
        <v>10132.516400723278</v>
      </c>
      <c r="D30" s="84">
        <f>IF(D12=0,0,D12/TrRail_act!D18*1000)</f>
        <v>9610.4992010286751</v>
      </c>
      <c r="E30" s="84">
        <f>IF(E12=0,0,E12/TrRail_act!E18*1000)</f>
        <v>9471.6928027824379</v>
      </c>
      <c r="F30" s="84">
        <f>IF(F12=0,0,F12/TrRail_act!F18*1000)</f>
        <v>9380.8621665403516</v>
      </c>
      <c r="G30" s="84">
        <f>IF(G12=0,0,G12/TrRail_act!G18*1000)</f>
        <v>8985.2406802417008</v>
      </c>
      <c r="H30" s="84">
        <f>IF(H12=0,0,H12/TrRail_act!H18*1000)</f>
        <v>8861.583065060564</v>
      </c>
      <c r="I30" s="84">
        <f>IF(I12=0,0,I12/TrRail_act!I18*1000)</f>
        <v>8573.9664068061229</v>
      </c>
      <c r="J30" s="84">
        <f>IF(J12=0,0,J12/TrRail_act!J18*1000)</f>
        <v>8492.3155784813825</v>
      </c>
      <c r="K30" s="84">
        <f>IF(K12=0,0,K12/TrRail_act!K18*1000)</f>
        <v>7917.9691526847637</v>
      </c>
      <c r="L30" s="84">
        <f>IF(L12=0,0,L12/TrRail_act!L18*1000)</f>
        <v>7600.1589412726253</v>
      </c>
      <c r="M30" s="84">
        <f>IF(M12=0,0,M12/TrRail_act!M18*1000)</f>
        <v>7255.7963745697216</v>
      </c>
      <c r="N30" s="84">
        <f>IF(N12=0,0,N12/TrRail_act!N18*1000)</f>
        <v>6781.3402702991498</v>
      </c>
      <c r="O30" s="84">
        <f>IF(O12=0,0,O12/TrRail_act!O18*1000)</f>
        <v>6744.5466158549607</v>
      </c>
      <c r="P30" s="84">
        <f>IF(P12=0,0,P12/TrRail_act!P18*1000)</f>
        <v>6695.6173378358399</v>
      </c>
      <c r="Q30" s="84">
        <f>IF(Q12=0,0,Q12/TrRail_act!Q18*1000)</f>
        <v>6042.4852339904601</v>
      </c>
      <c r="R30" s="84">
        <f>IF(R12=0,0,R12/TrRail_act!R18*1000)</f>
        <v>5650.7448900754225</v>
      </c>
      <c r="S30" s="84">
        <f>IF(S12=0,0,S12/TrRail_act!S18*1000)</f>
        <v>5373.6982797378687</v>
      </c>
      <c r="T30" s="84">
        <f>IF(T12=0,0,T12/TrRail_act!T18*1000)</f>
        <v>5174.8642473595291</v>
      </c>
      <c r="U30" s="84">
        <f>IF(U12=0,0,U12/TrRail_act!U18*1000)</f>
        <v>5030.5818974761842</v>
      </c>
      <c r="V30" s="84">
        <f>IF(V12=0,0,V12/TrRail_act!V18*1000)</f>
        <v>4925.0162796954201</v>
      </c>
      <c r="W30" s="84">
        <f>IF(W12=0,0,W12/TrRail_act!W18*1000)</f>
        <v>4847.2983953801522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18179.851618068122</v>
      </c>
      <c r="C33" s="28">
        <f>IF(C15=0,0,C15/TrRail_act!C21*1000)</f>
        <v>18502.475445573971</v>
      </c>
      <c r="D33" s="28">
        <f>IF(D15=0,0,D15/TrRail_act!D21*1000)</f>
        <v>18222.807470411812</v>
      </c>
      <c r="E33" s="28">
        <f>IF(E15=0,0,E15/TrRail_act!E21*1000)</f>
        <v>18065.26025905304</v>
      </c>
      <c r="F33" s="28">
        <f>IF(F15=0,0,F15/TrRail_act!F21*1000)</f>
        <v>17000.045829496412</v>
      </c>
      <c r="G33" s="28">
        <f>IF(G15=0,0,G15/TrRail_act!G21*1000)</f>
        <v>16404.055553575647</v>
      </c>
      <c r="H33" s="28">
        <f>IF(H15=0,0,H15/TrRail_act!H21*1000)</f>
        <v>16382.948707490194</v>
      </c>
      <c r="I33" s="28">
        <f>IF(I15=0,0,I15/TrRail_act!I21*1000)</f>
        <v>16406.920155072552</v>
      </c>
      <c r="J33" s="28">
        <f>IF(J15=0,0,J15/TrRail_act!J21*1000)</f>
        <v>16316.940441397473</v>
      </c>
      <c r="K33" s="28">
        <f>IF(K15=0,0,K15/TrRail_act!K21*1000)</f>
        <v>16318.089268610929</v>
      </c>
      <c r="L33" s="28">
        <f>IF(L15=0,0,L15/TrRail_act!L21*1000)</f>
        <v>16198.104658910988</v>
      </c>
      <c r="M33" s="28">
        <f>IF(M15=0,0,M15/TrRail_act!M21*1000)</f>
        <v>16088.274860671827</v>
      </c>
      <c r="N33" s="28">
        <f>IF(N15=0,0,N15/TrRail_act!N21*1000)</f>
        <v>15898.342860538753</v>
      </c>
      <c r="O33" s="28">
        <f>IF(O15=0,0,O15/TrRail_act!O21*1000)</f>
        <v>15753.483763443275</v>
      </c>
      <c r="P33" s="28">
        <f>IF(P15=0,0,P15/TrRail_act!P21*1000)</f>
        <v>15618.493582861194</v>
      </c>
      <c r="Q33" s="28">
        <f>IF(Q15=0,0,Q15/TrRail_act!Q21*1000)</f>
        <v>15416.678460630945</v>
      </c>
      <c r="R33" s="28">
        <f>IF(R15=0,0,R15/TrRail_act!R21*1000)</f>
        <v>15207.224049287703</v>
      </c>
      <c r="S33" s="28">
        <f>IF(S15=0,0,S15/TrRail_act!S21*1000)</f>
        <v>15139.67039851673</v>
      </c>
      <c r="T33" s="28">
        <f>IF(T15=0,0,T15/TrRail_act!T21*1000)</f>
        <v>14944.49853200962</v>
      </c>
      <c r="U33" s="28">
        <f>IF(U15=0,0,U15/TrRail_act!U21*1000)</f>
        <v>14847.299967244982</v>
      </c>
      <c r="V33" s="28">
        <f>IF(V15=0,0,V15/TrRail_act!V21*1000)</f>
        <v>14565.166540838745</v>
      </c>
      <c r="W33" s="28">
        <f>IF(W15=0,0,W15/TrRail_act!W21*1000)</f>
        <v>14625.466182945705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18179.851618068122</v>
      </c>
      <c r="C34" s="84">
        <f>IF(C16=0,0,C16/TrRail_act!C22*1000)</f>
        <v>18502.475445573971</v>
      </c>
      <c r="D34" s="84">
        <f>IF(D16=0,0,D16/TrRail_act!D22*1000)</f>
        <v>18415.079777540574</v>
      </c>
      <c r="E34" s="84">
        <f>IF(E16=0,0,E16/TrRail_act!E22*1000)</f>
        <v>18251.159962276186</v>
      </c>
      <c r="F34" s="84">
        <f>IF(F16=0,0,F16/TrRail_act!F22*1000)</f>
        <v>18001.645361393712</v>
      </c>
      <c r="G34" s="84">
        <f>IF(G16=0,0,G16/TrRail_act!G22*1000)</f>
        <v>17842.733665560758</v>
      </c>
      <c r="H34" s="84">
        <f>IF(H16=0,0,H16/TrRail_act!H22*1000)</f>
        <v>17741.772210766834</v>
      </c>
      <c r="I34" s="84">
        <f>IF(I16=0,0,I16/TrRail_act!I22*1000)</f>
        <v>17444.951177306299</v>
      </c>
      <c r="J34" s="84">
        <f>IF(J16=0,0,J16/TrRail_act!J22*1000)</f>
        <v>17351.258472908692</v>
      </c>
      <c r="K34" s="84">
        <f>IF(K16=0,0,K16/TrRail_act!K22*1000)</f>
        <v>17262.688365415292</v>
      </c>
      <c r="L34" s="84">
        <f>IF(L16=0,0,L16/TrRail_act!L22*1000)</f>
        <v>17172.671806006205</v>
      </c>
      <c r="M34" s="84">
        <f>IF(M16=0,0,M16/TrRail_act!M22*1000)</f>
        <v>17048.5757930654</v>
      </c>
      <c r="N34" s="84">
        <f>IF(N16=0,0,N16/TrRail_act!N22*1000)</f>
        <v>16884.762673357316</v>
      </c>
      <c r="O34" s="84">
        <f>IF(O16=0,0,O16/TrRail_act!O22*1000)</f>
        <v>16628.995671150933</v>
      </c>
      <c r="P34" s="84">
        <f>IF(P16=0,0,P16/TrRail_act!P22*1000)</f>
        <v>16511.839877347349</v>
      </c>
      <c r="Q34" s="84">
        <f>IF(Q16=0,0,Q16/TrRail_act!Q22*1000)</f>
        <v>16342.908322047073</v>
      </c>
      <c r="R34" s="84">
        <f>IF(R16=0,0,R16/TrRail_act!R22*1000)</f>
        <v>16217.344840759682</v>
      </c>
      <c r="S34" s="84">
        <f>IF(S16=0,0,S16/TrRail_act!S22*1000)</f>
        <v>16123.805721595068</v>
      </c>
      <c r="T34" s="84">
        <f>IF(T16=0,0,T16/TrRail_act!T22*1000)</f>
        <v>16054.005623038744</v>
      </c>
      <c r="U34" s="84">
        <f>IF(U16=0,0,U16/TrRail_act!U22*1000)</f>
        <v>16001.853912021325</v>
      </c>
      <c r="V34" s="84">
        <f>IF(V16=0,0,V16/TrRail_act!V22*1000)</f>
        <v>15962.851338657856</v>
      </c>
      <c r="W34" s="84">
        <f>IF(W16=0,0,W16/TrRail_act!W22*1000)</f>
        <v>15933.661802719018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76.762145387074838</v>
      </c>
      <c r="C38" s="29">
        <f>IF(C9=0,0,C9/TrRail_act!C4*1000)</f>
        <v>77.073350899137566</v>
      </c>
      <c r="D38" s="29">
        <f>IF(D9=0,0,D9/TrRail_act!D4*1000)</f>
        <v>62.860553174235221</v>
      </c>
      <c r="E38" s="29">
        <f>IF(E9=0,0,E9/TrRail_act!E4*1000)</f>
        <v>72.434224022142985</v>
      </c>
      <c r="F38" s="29">
        <f>IF(F9=0,0,F9/TrRail_act!F4*1000)</f>
        <v>75.96272472363168</v>
      </c>
      <c r="G38" s="29">
        <f>IF(G9=0,0,G9/TrRail_act!G4*1000)</f>
        <v>59.741997673321421</v>
      </c>
      <c r="H38" s="29">
        <f>IF(H9=0,0,H9/TrRail_act!H4*1000)</f>
        <v>58.655188255904598</v>
      </c>
      <c r="I38" s="29">
        <f>IF(I9=0,0,I9/TrRail_act!I4*1000)</f>
        <v>59.151625751856479</v>
      </c>
      <c r="J38" s="29">
        <f>IF(J9=0,0,J9/TrRail_act!J4*1000)</f>
        <v>65.206627661025394</v>
      </c>
      <c r="K38" s="29">
        <f>IF(K9=0,0,K9/TrRail_act!K4*1000)</f>
        <v>67.136155875214442</v>
      </c>
      <c r="L38" s="29">
        <f>IF(L9=0,0,L9/TrRail_act!L4*1000)</f>
        <v>66.512231737155389</v>
      </c>
      <c r="M38" s="29">
        <f>IF(M9=0,0,M9/TrRail_act!M4*1000)</f>
        <v>67.540088178152146</v>
      </c>
      <c r="N38" s="29">
        <f>IF(N9=0,0,N9/TrRail_act!N4*1000)</f>
        <v>67.65085791569345</v>
      </c>
      <c r="O38" s="29">
        <f>IF(O9=0,0,O9/TrRail_act!O4*1000)</f>
        <v>67.367788915659489</v>
      </c>
      <c r="P38" s="29">
        <f>IF(P9=0,0,P9/TrRail_act!P4*1000)</f>
        <v>56.050643088714665</v>
      </c>
      <c r="Q38" s="29">
        <f>IF(Q9=0,0,Q9/TrRail_act!Q4*1000)</f>
        <v>51.521539312019748</v>
      </c>
      <c r="R38" s="29">
        <f>IF(R9=0,0,R9/TrRail_act!R4*1000)</f>
        <v>50.588449330583913</v>
      </c>
      <c r="S38" s="29">
        <f>IF(S9=0,0,S9/TrRail_act!S4*1000)</f>
        <v>49.311526878168699</v>
      </c>
      <c r="T38" s="29">
        <f>IF(T9=0,0,T9/TrRail_act!T4*1000)</f>
        <v>44.399831671582099</v>
      </c>
      <c r="U38" s="29">
        <f>IF(U9=0,0,U9/TrRail_act!U4*1000)</f>
        <v>44.853966754388722</v>
      </c>
      <c r="V38" s="29">
        <f>IF(V9=0,0,V9/TrRail_act!V4*1000)</f>
        <v>100.82059579505521</v>
      </c>
      <c r="W38" s="29">
        <f>IF(W9=0,0,W9/TrRail_act!W4*1000)</f>
        <v>105.23104920819981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76.762145387074838</v>
      </c>
      <c r="C40" s="116">
        <f>IF(C11=0,0,C11/TrRail_act!C6*1000)</f>
        <v>77.073350899137566</v>
      </c>
      <c r="D40" s="116">
        <f>IF(D11=0,0,D11/TrRail_act!D6*1000)</f>
        <v>62.860553174235221</v>
      </c>
      <c r="E40" s="116">
        <f>IF(E11=0,0,E11/TrRail_act!E6*1000)</f>
        <v>72.434224022142985</v>
      </c>
      <c r="F40" s="116">
        <f>IF(F11=0,0,F11/TrRail_act!F6*1000)</f>
        <v>78.363569373556814</v>
      </c>
      <c r="G40" s="116">
        <f>IF(G11=0,0,G11/TrRail_act!G6*1000)</f>
        <v>63.431845929394051</v>
      </c>
      <c r="H40" s="116">
        <f>IF(H11=0,0,H11/TrRail_act!H6*1000)</f>
        <v>62.199252542029257</v>
      </c>
      <c r="I40" s="116">
        <f>IF(I11=0,0,I11/TrRail_act!I6*1000)</f>
        <v>64.309341001769212</v>
      </c>
      <c r="J40" s="116">
        <f>IF(J11=0,0,J11/TrRail_act!J6*1000)</f>
        <v>69.85952973602771</v>
      </c>
      <c r="K40" s="116">
        <f>IF(K11=0,0,K11/TrRail_act!K6*1000)</f>
        <v>72.401736728172452</v>
      </c>
      <c r="L40" s="116">
        <f>IF(L11=0,0,L11/TrRail_act!L6*1000)</f>
        <v>71.7047837976842</v>
      </c>
      <c r="M40" s="116">
        <f>IF(M11=0,0,M11/TrRail_act!M6*1000)</f>
        <v>73.230278757263875</v>
      </c>
      <c r="N40" s="116">
        <f>IF(N11=0,0,N11/TrRail_act!N6*1000)</f>
        <v>73.824320234996264</v>
      </c>
      <c r="O40" s="116">
        <f>IF(O11=0,0,O11/TrRail_act!O6*1000)</f>
        <v>73.800778581042337</v>
      </c>
      <c r="P40" s="116">
        <f>IF(P11=0,0,P11/TrRail_act!P6*1000)</f>
        <v>61.242883188134449</v>
      </c>
      <c r="Q40" s="116">
        <f>IF(Q11=0,0,Q11/TrRail_act!Q6*1000)</f>
        <v>56.347793504544491</v>
      </c>
      <c r="R40" s="116">
        <f>IF(R11=0,0,R11/TrRail_act!R6*1000)</f>
        <v>55.252149308800654</v>
      </c>
      <c r="S40" s="116">
        <f>IF(S11=0,0,S11/TrRail_act!S6*1000)</f>
        <v>53.608258817105636</v>
      </c>
      <c r="T40" s="116">
        <f>IF(T11=0,0,T11/TrRail_act!T6*1000)</f>
        <v>50.570259834620906</v>
      </c>
      <c r="U40" s="116">
        <f>IF(U11=0,0,U11/TrRail_act!U6*1000)</f>
        <v>50.557429885325909</v>
      </c>
      <c r="V40" s="116">
        <f>IF(V11=0,0,V11/TrRail_act!V6*1000)</f>
        <v>115.36441148546066</v>
      </c>
      <c r="W40" s="116">
        <f>IF(W11=0,0,W11/TrRail_act!W6*1000)</f>
        <v>119.94569067093043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87.938425745176431</v>
      </c>
      <c r="C41" s="87">
        <f>IF(C12=0,0,C12/TrRail_act!C7*1000)</f>
        <v>87.296131684052753</v>
      </c>
      <c r="D41" s="87">
        <f>IF(D12=0,0,D12/TrRail_act!D7*1000)</f>
        <v>72.999208308446299</v>
      </c>
      <c r="E41" s="87">
        <f>IF(E12=0,0,E12/TrRail_act!E7*1000)</f>
        <v>83.427127823106588</v>
      </c>
      <c r="F41" s="87">
        <f>IF(F12=0,0,F12/TrRail_act!F7*1000)</f>
        <v>89.8897970545231</v>
      </c>
      <c r="G41" s="87">
        <f>IF(G12=0,0,G12/TrRail_act!G7*1000)</f>
        <v>70.455213697528777</v>
      </c>
      <c r="H41" s="87">
        <f>IF(H12=0,0,H12/TrRail_act!H7*1000)</f>
        <v>68.179357268795357</v>
      </c>
      <c r="I41" s="87">
        <f>IF(I12=0,0,I12/TrRail_act!I7*1000)</f>
        <v>66.103274599906968</v>
      </c>
      <c r="J41" s="87">
        <f>IF(J12=0,0,J12/TrRail_act!J7*1000)</f>
        <v>72.622005121808712</v>
      </c>
      <c r="K41" s="87">
        <f>IF(K12=0,0,K12/TrRail_act!K7*1000)</f>
        <v>76.265178674577726</v>
      </c>
      <c r="L41" s="87">
        <f>IF(L12=0,0,L12/TrRail_act!L7*1000)</f>
        <v>76.003014123634728</v>
      </c>
      <c r="M41" s="87">
        <f>IF(M12=0,0,M12/TrRail_act!M7*1000)</f>
        <v>76.75057229136651</v>
      </c>
      <c r="N41" s="87">
        <f>IF(N12=0,0,N12/TrRail_act!N7*1000)</f>
        <v>76.905581408995445</v>
      </c>
      <c r="O41" s="87">
        <f>IF(O12=0,0,O12/TrRail_act!O7*1000)</f>
        <v>76.66089554206205</v>
      </c>
      <c r="P41" s="87">
        <f>IF(P12=0,0,P12/TrRail_act!P7*1000)</f>
        <v>63.420322641799366</v>
      </c>
      <c r="Q41" s="87">
        <f>IF(Q12=0,0,Q12/TrRail_act!Q7*1000)</f>
        <v>57.830000768642847</v>
      </c>
      <c r="R41" s="87">
        <f>IF(R12=0,0,R12/TrRail_act!R7*1000)</f>
        <v>56.743985166281803</v>
      </c>
      <c r="S41" s="87">
        <f>IF(S12=0,0,S12/TrRail_act!S7*1000)</f>
        <v>54.835603867640593</v>
      </c>
      <c r="T41" s="87">
        <f>IF(T12=0,0,T12/TrRail_act!T7*1000)</f>
        <v>51.559372733401403</v>
      </c>
      <c r="U41" s="87">
        <f>IF(U12=0,0,U12/TrRail_act!U7*1000)</f>
        <v>51.486047181073197</v>
      </c>
      <c r="V41" s="87">
        <f>IF(V12=0,0,V12/TrRail_act!V7*1000)</f>
        <v>120.2273092714982</v>
      </c>
      <c r="W41" s="87">
        <f>IF(W12=0,0,W12/TrRail_act!W7*1000)</f>
        <v>124.78084889563233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36.405985941655914</v>
      </c>
      <c r="C44" s="29">
        <f>IF(C15=0,0,C15/TrRail_act!C10*1000)</f>
        <v>37.04977276706699</v>
      </c>
      <c r="D44" s="29">
        <f>IF(D15=0,0,D15/TrRail_act!D10*1000)</f>
        <v>38.694973972640959</v>
      </c>
      <c r="E44" s="29">
        <f>IF(E15=0,0,E15/TrRail_act!E10*1000)</f>
        <v>38.350557840575533</v>
      </c>
      <c r="F44" s="29">
        <f>IF(F15=0,0,F15/TrRail_act!F10*1000)</f>
        <v>36.08198428830341</v>
      </c>
      <c r="G44" s="29">
        <f>IF(G15=0,0,G15/TrRail_act!G10*1000)</f>
        <v>34.851166599832332</v>
      </c>
      <c r="H44" s="29">
        <f>IF(H15=0,0,H15/TrRail_act!H10*1000)</f>
        <v>34.609855225957268</v>
      </c>
      <c r="I44" s="29">
        <f>IF(I15=0,0,I15/TrRail_act!I10*1000)</f>
        <v>35.06790953061364</v>
      </c>
      <c r="J44" s="29">
        <f>IF(J15=0,0,J15/TrRail_act!J10*1000)</f>
        <v>34.378376326303005</v>
      </c>
      <c r="K44" s="29">
        <f>IF(K15=0,0,K15/TrRail_act!K10*1000)</f>
        <v>30.158784892224858</v>
      </c>
      <c r="L44" s="29">
        <f>IF(L15=0,0,L15/TrRail_act!L10*1000)</f>
        <v>32.221457690064256</v>
      </c>
      <c r="M44" s="29">
        <f>IF(M15=0,0,M15/TrRail_act!M10*1000)</f>
        <v>32.32977138668339</v>
      </c>
      <c r="N44" s="29">
        <f>IF(N15=0,0,N15/TrRail_act!N10*1000)</f>
        <v>31.097857463471403</v>
      </c>
      <c r="O44" s="29">
        <f>IF(O15=0,0,O15/TrRail_act!O10*1000)</f>
        <v>30.711337033783352</v>
      </c>
      <c r="P44" s="29">
        <f>IF(P15=0,0,P15/TrRail_act!P10*1000)</f>
        <v>31.86172690903684</v>
      </c>
      <c r="Q44" s="29">
        <f>IF(Q15=0,0,Q15/TrRail_act!Q10*1000)</f>
        <v>31.475718523788178</v>
      </c>
      <c r="R44" s="29">
        <f>IF(R15=0,0,R15/TrRail_act!R10*1000)</f>
        <v>31.091997684929808</v>
      </c>
      <c r="S44" s="29">
        <f>IF(S15=0,0,S15/TrRail_act!S10*1000)</f>
        <v>30.43073750101863</v>
      </c>
      <c r="T44" s="29">
        <f>IF(T15=0,0,T15/TrRail_act!T10*1000)</f>
        <v>30.056912777862042</v>
      </c>
      <c r="U44" s="29">
        <f>IF(U15=0,0,U15/TrRail_act!U10*1000)</f>
        <v>30.828768681987842</v>
      </c>
      <c r="V44" s="29">
        <f>IF(V15=0,0,V15/TrRail_act!V10*1000)</f>
        <v>29.523986231429888</v>
      </c>
      <c r="W44" s="29">
        <f>IF(W15=0,0,W15/TrRail_act!W10*1000)</f>
        <v>29.46211480414993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36.405985941655914</v>
      </c>
      <c r="C45" s="87">
        <f>IF(C16=0,0,C16/TrRail_act!C11*1000)</f>
        <v>37.04977276706699</v>
      </c>
      <c r="D45" s="87">
        <f>IF(D16=0,0,D16/TrRail_act!D11*1000)</f>
        <v>39.050299720782739</v>
      </c>
      <c r="E45" s="87">
        <f>IF(E16=0,0,E16/TrRail_act!E11*1000)</f>
        <v>38.702720906145558</v>
      </c>
      <c r="F45" s="87">
        <f>IF(F16=0,0,F16/TrRail_act!F11*1000)</f>
        <v>38.015152276589554</v>
      </c>
      <c r="G45" s="87">
        <f>IF(G16=0,0,G16/TrRail_act!G11*1000)</f>
        <v>37.630455278534569</v>
      </c>
      <c r="H45" s="87">
        <f>IF(H16=0,0,H16/TrRail_act!H11*1000)</f>
        <v>37.21969171071413</v>
      </c>
      <c r="I45" s="87">
        <f>IF(I16=0,0,I16/TrRail_act!I11*1000)</f>
        <v>37.083784539897366</v>
      </c>
      <c r="J45" s="87">
        <f>IF(J16=0,0,J16/TrRail_act!J11*1000)</f>
        <v>36.357464405519067</v>
      </c>
      <c r="K45" s="87">
        <f>IF(K16=0,0,K16/TrRail_act!K11*1000)</f>
        <v>31.744506654163299</v>
      </c>
      <c r="L45" s="87">
        <f>IF(L16=0,0,L16/TrRail_act!L11*1000)</f>
        <v>33.982455654389327</v>
      </c>
      <c r="M45" s="87">
        <f>IF(M16=0,0,M16/TrRail_act!M11*1000)</f>
        <v>34.084024184271733</v>
      </c>
      <c r="N45" s="87">
        <f>IF(N16=0,0,N16/TrRail_act!N11*1000)</f>
        <v>32.851824846103113</v>
      </c>
      <c r="O45" s="87">
        <f>IF(O16=0,0,O16/TrRail_act!O11*1000)</f>
        <v>32.262916689219928</v>
      </c>
      <c r="P45" s="87">
        <f>IF(P16=0,0,P16/TrRail_act!P11*1000)</f>
        <v>33.518534895924866</v>
      </c>
      <c r="Q45" s="87">
        <f>IF(Q16=0,0,Q16/TrRail_act!Q11*1000)</f>
        <v>33.194857281719635</v>
      </c>
      <c r="R45" s="87">
        <f>IF(R16=0,0,R16/TrRail_act!R11*1000)</f>
        <v>32.96949492560455</v>
      </c>
      <c r="S45" s="87">
        <f>IF(S16=0,0,S16/TrRail_act!S11*1000)</f>
        <v>32.229021136825416</v>
      </c>
      <c r="T45" s="87">
        <f>IF(T16=0,0,T16/TrRail_act!T11*1000)</f>
        <v>32.085531463196197</v>
      </c>
      <c r="U45" s="87">
        <f>IF(U16=0,0,U16/TrRail_act!U11*1000)</f>
        <v>33.008135029766422</v>
      </c>
      <c r="V45" s="87">
        <f>IF(V16=0,0,V16/TrRail_act!V11*1000)</f>
        <v>32.099572468197294</v>
      </c>
      <c r="W45" s="87">
        <f>IF(W16=0,0,W16/TrRail_act!W11*1000)</f>
        <v>31.838067713878399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1522.2516743147721</v>
      </c>
      <c r="C48" s="62">
        <f>IF(C8=0,0,1000000*C8/TrRail_act!C25/1000)</f>
        <v>1520.2553223415357</v>
      </c>
      <c r="D48" s="62">
        <f>IF(D8=0,0,1000000*D8/TrRail_act!D25/1000)</f>
        <v>1442.5859456280004</v>
      </c>
      <c r="E48" s="62">
        <f>IF(E8=0,0,1000000*E8/TrRail_act!E25/1000)</f>
        <v>1419.9495460254618</v>
      </c>
      <c r="F48" s="62">
        <f>IF(F8=0,0,1000000*F8/TrRail_act!F25/1000)</f>
        <v>1241.1463452559328</v>
      </c>
      <c r="G48" s="62">
        <f>IF(G8=0,0,1000000*G8/TrRail_act!G25/1000)</f>
        <v>1072.8530614767751</v>
      </c>
      <c r="H48" s="62">
        <f>IF(H8=0,0,1000000*H8/TrRail_act!H25/1000)</f>
        <v>1043.7697826435056</v>
      </c>
      <c r="I48" s="62">
        <f>IF(I8=0,0,1000000*I8/TrRail_act!I25/1000)</f>
        <v>973.93656022542723</v>
      </c>
      <c r="J48" s="62">
        <f>IF(J8=0,0,1000000*J8/TrRail_act!J25/1000)</f>
        <v>976.96606032629325</v>
      </c>
      <c r="K48" s="62">
        <f>IF(K8=0,0,1000000*K8/TrRail_act!K25/1000)</f>
        <v>900.74754104179954</v>
      </c>
      <c r="L48" s="62">
        <f>IF(L8=0,0,1000000*L8/TrRail_act!L25/1000)</f>
        <v>882.85037418934382</v>
      </c>
      <c r="M48" s="62">
        <f>IF(M8=0,0,1000000*M8/TrRail_act!M25/1000)</f>
        <v>857.65930999746979</v>
      </c>
      <c r="N48" s="62">
        <f>IF(N8=0,0,1000000*N8/TrRail_act!N25/1000)</f>
        <v>806.76940294706606</v>
      </c>
      <c r="O48" s="62">
        <f>IF(O8=0,0,1000000*O8/TrRail_act!O25/1000)</f>
        <v>807.42021442356986</v>
      </c>
      <c r="P48" s="62">
        <f>IF(P8=0,0,1000000*P8/TrRail_act!P25/1000)</f>
        <v>781.23239648784283</v>
      </c>
      <c r="Q48" s="62">
        <f>IF(Q8=0,0,1000000*Q8/TrRail_act!Q25/1000)</f>
        <v>726.38286941429647</v>
      </c>
      <c r="R48" s="62">
        <f>IF(R8=0,0,1000000*R8/TrRail_act!R25/1000)</f>
        <v>686.12069368875052</v>
      </c>
      <c r="S48" s="62">
        <f>IF(S8=0,0,1000000*S8/TrRail_act!S25/1000)</f>
        <v>661.29900228379586</v>
      </c>
      <c r="T48" s="62">
        <f>IF(T8=0,0,1000000*T8/TrRail_act!T25/1000)</f>
        <v>604.59797011721537</v>
      </c>
      <c r="U48" s="62">
        <f>IF(U8=0,0,1000000*U8/TrRail_act!U25/1000)</f>
        <v>593.44175264793705</v>
      </c>
      <c r="V48" s="62">
        <f>IF(V8=0,0,1000000*V8/TrRail_act!V25/1000)</f>
        <v>490.73480228134673</v>
      </c>
      <c r="W48" s="62">
        <f>IF(W8=0,0,1000000*W8/TrRail_act!W25/1000)</f>
        <v>548.97913870894388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1387.0664982867634</v>
      </c>
      <c r="C49" s="29">
        <f>IF(C9=0,0,1000000*C9/TrRail_act!C26/1000)</f>
        <v>1386.5079762617663</v>
      </c>
      <c r="D49" s="29">
        <f>IF(D9=0,0,1000000*D9/TrRail_act!D26/1000)</f>
        <v>1318.0137923337161</v>
      </c>
      <c r="E49" s="29">
        <f>IF(E9=0,0,1000000*E9/TrRail_act!E26/1000)</f>
        <v>1314.9839438064848</v>
      </c>
      <c r="F49" s="29">
        <f>IF(F9=0,0,1000000*F9/TrRail_act!F26/1000)</f>
        <v>1155.9124317717094</v>
      </c>
      <c r="G49" s="29">
        <f>IF(G9=0,0,1000000*G9/TrRail_act!G26/1000)</f>
        <v>1014.3232161846321</v>
      </c>
      <c r="H49" s="29">
        <f>IF(H9=0,0,1000000*H9/TrRail_act!H26/1000)</f>
        <v>1011.8200269461703</v>
      </c>
      <c r="I49" s="29">
        <f>IF(I9=0,0,1000000*I9/TrRail_act!I26/1000)</f>
        <v>960.44591661957838</v>
      </c>
      <c r="J49" s="29">
        <f>IF(J9=0,0,1000000*J9/TrRail_act!J26/1000)</f>
        <v>967.83744862005767</v>
      </c>
      <c r="K49" s="29">
        <f>IF(K9=0,0,1000000*K9/TrRail_act!K26/1000)</f>
        <v>895.15640602921781</v>
      </c>
      <c r="L49" s="29">
        <f>IF(L9=0,0,1000000*L9/TrRail_act!L26/1000)</f>
        <v>869.77230201637644</v>
      </c>
      <c r="M49" s="29">
        <f>IF(M9=0,0,1000000*M9/TrRail_act!M26/1000)</f>
        <v>841.39844880360158</v>
      </c>
      <c r="N49" s="29">
        <f>IF(N9=0,0,1000000*N9/TrRail_act!N26/1000)</f>
        <v>793.52445027116323</v>
      </c>
      <c r="O49" s="29">
        <f>IF(O9=0,0,1000000*O9/TrRail_act!O26/1000)</f>
        <v>793.08674537074319</v>
      </c>
      <c r="P49" s="29">
        <f>IF(P9=0,0,1000000*P9/TrRail_act!P26/1000)</f>
        <v>765.11229471635011</v>
      </c>
      <c r="Q49" s="29">
        <f>IF(Q9=0,0,1000000*Q9/TrRail_act!Q26/1000)</f>
        <v>712.13916059392056</v>
      </c>
      <c r="R49" s="29">
        <f>IF(R9=0,0,1000000*R9/TrRail_act!R26/1000)</f>
        <v>672.08162406957911</v>
      </c>
      <c r="S49" s="29">
        <f>IF(S9=0,0,1000000*S9/TrRail_act!S26/1000)</f>
        <v>648.48731481536072</v>
      </c>
      <c r="T49" s="29">
        <f>IF(T9=0,0,1000000*T9/TrRail_act!T26/1000)</f>
        <v>594.22074809569233</v>
      </c>
      <c r="U49" s="29">
        <f>IF(U9=0,0,1000000*U9/TrRail_act!U26/1000)</f>
        <v>585.45752559544144</v>
      </c>
      <c r="V49" s="29">
        <f>IF(V9=0,0,1000000*V9/TrRail_act!V26/1000)</f>
        <v>482.10826440244756</v>
      </c>
      <c r="W49" s="29">
        <f>IF(W9=0,0,1000000*W9/TrRail_act!W26/1000)</f>
        <v>540.86972037777514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1387.0664982867634</v>
      </c>
      <c r="C51" s="116">
        <f>IF(C11=0,0,1000000*C11/TrRail_act!C28/1000)</f>
        <v>1386.5079762617663</v>
      </c>
      <c r="D51" s="116">
        <f>IF(D11=0,0,1000000*D11/TrRail_act!D28/1000)</f>
        <v>1318.0137923337161</v>
      </c>
      <c r="E51" s="116">
        <f>IF(E11=0,0,1000000*E11/TrRail_act!E28/1000)</f>
        <v>1314.9839438064848</v>
      </c>
      <c r="F51" s="116">
        <f>IF(F11=0,0,1000000*F11/TrRail_act!F28/1000)</f>
        <v>1221.6375761989329</v>
      </c>
      <c r="G51" s="116">
        <f>IF(G11=0,0,1000000*G11/TrRail_act!G28/1000)</f>
        <v>1144.5947614271927</v>
      </c>
      <c r="H51" s="116">
        <f>IF(H11=0,0,1000000*H11/TrRail_act!H28/1000)</f>
        <v>1140.8052826903734</v>
      </c>
      <c r="I51" s="116">
        <f>IF(I11=0,0,1000000*I11/TrRail_act!I28/1000)</f>
        <v>1131.2786031501523</v>
      </c>
      <c r="J51" s="116">
        <f>IF(J11=0,0,1000000*J11/TrRail_act!J28/1000)</f>
        <v>1128.3821370181709</v>
      </c>
      <c r="K51" s="116">
        <f>IF(K11=0,0,1000000*K11/TrRail_act!K28/1000)</f>
        <v>1051.9850159325188</v>
      </c>
      <c r="L51" s="116">
        <f>IF(L11=0,0,1000000*L11/TrRail_act!L28/1000)</f>
        <v>1019.2982965194287</v>
      </c>
      <c r="M51" s="116">
        <f>IF(M11=0,0,1000000*M11/TrRail_act!M28/1000)</f>
        <v>981.04715629816394</v>
      </c>
      <c r="N51" s="116">
        <f>IF(N11=0,0,1000000*N11/TrRail_act!N28/1000)</f>
        <v>920.80819639523634</v>
      </c>
      <c r="O51" s="116">
        <f>IF(O11=0,0,1000000*O11/TrRail_act!O28/1000)</f>
        <v>921.11320224428232</v>
      </c>
      <c r="P51" s="116">
        <f>IF(P11=0,0,1000000*P11/TrRail_act!P28/1000)</f>
        <v>896.6671881940448</v>
      </c>
      <c r="Q51" s="116">
        <f>IF(Q11=0,0,1000000*Q11/TrRail_act!Q28/1000)</f>
        <v>830.4723998499237</v>
      </c>
      <c r="R51" s="116">
        <f>IF(R11=0,0,1000000*R11/TrRail_act!R28/1000)</f>
        <v>774.44312648466371</v>
      </c>
      <c r="S51" s="116">
        <f>IF(S11=0,0,1000000*S11/TrRail_act!S28/1000)</f>
        <v>739.71684786326716</v>
      </c>
      <c r="T51" s="116">
        <f>IF(T11=0,0,1000000*T11/TrRail_act!T28/1000)</f>
        <v>715.93103144504255</v>
      </c>
      <c r="U51" s="116">
        <f>IF(U11=0,0,1000000*U11/TrRail_act!U28/1000)</f>
        <v>696.39082875268718</v>
      </c>
      <c r="V51" s="116">
        <f>IF(V11=0,0,1000000*V11/TrRail_act!V28/1000)</f>
        <v>577.62550749696697</v>
      </c>
      <c r="W51" s="116">
        <f>IF(W11=0,0,1000000*W11/TrRail_act!W28/1000)</f>
        <v>652.47396087091113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1533.677629065819</v>
      </c>
      <c r="C52" s="87">
        <f>IF(C12=0,0,1000000*C12/TrRail_act!C29/1000)</f>
        <v>1519.8774546886348</v>
      </c>
      <c r="D52" s="87">
        <f>IF(D12=0,0,1000000*D12/TrRail_act!D29/1000)</f>
        <v>1441.5748706288537</v>
      </c>
      <c r="E52" s="87">
        <f>IF(E12=0,0,1000000*E12/TrRail_act!E29/1000)</f>
        <v>1420.7539138595412</v>
      </c>
      <c r="F52" s="87">
        <f>IF(F12=0,0,1000000*F12/TrRail_act!F29/1000)</f>
        <v>1407.1293095508006</v>
      </c>
      <c r="G52" s="87">
        <f>IF(G12=0,0,1000000*G12/TrRail_act!G29/1000)</f>
        <v>1347.786091974993</v>
      </c>
      <c r="H52" s="87">
        <f>IF(H12=0,0,1000000*H12/TrRail_act!H29/1000)</f>
        <v>1329.2374560392677</v>
      </c>
      <c r="I52" s="87">
        <f>IF(I12=0,0,1000000*I12/TrRail_act!I29/1000)</f>
        <v>1286.0949542792084</v>
      </c>
      <c r="J52" s="87">
        <f>IF(J12=0,0,1000000*J12/TrRail_act!J29/1000)</f>
        <v>1273.8473352632288</v>
      </c>
      <c r="K52" s="87">
        <f>IF(K12=0,0,1000000*K12/TrRail_act!K29/1000)</f>
        <v>1187.6953678642158</v>
      </c>
      <c r="L52" s="87">
        <f>IF(L12=0,0,1000000*L12/TrRail_act!L29/1000)</f>
        <v>1140.0238368391279</v>
      </c>
      <c r="M52" s="87">
        <f>IF(M12=0,0,1000000*M12/TrRail_act!M29/1000)</f>
        <v>1088.3694516805688</v>
      </c>
      <c r="N52" s="87">
        <f>IF(N12=0,0,1000000*N12/TrRail_act!N29/1000)</f>
        <v>1017.2010322689154</v>
      </c>
      <c r="O52" s="87">
        <f>IF(O12=0,0,1000000*O12/TrRail_act!O29/1000)</f>
        <v>1011.6819876201482</v>
      </c>
      <c r="P52" s="87">
        <f>IF(P12=0,0,1000000*P12/TrRail_act!P29/1000)</f>
        <v>984.40476765028097</v>
      </c>
      <c r="Q52" s="87">
        <f>IF(Q12=0,0,1000000*Q12/TrRail_act!Q29/1000)</f>
        <v>906.37277777445297</v>
      </c>
      <c r="R52" s="87">
        <f>IF(R12=0,0,1000000*R12/TrRail_act!R29/1000)</f>
        <v>847.61173204154636</v>
      </c>
      <c r="S52" s="87">
        <f>IF(S12=0,0,1000000*S12/TrRail_act!S29/1000)</f>
        <v>806.0547366169958</v>
      </c>
      <c r="T52" s="87">
        <f>IF(T12=0,0,1000000*T12/TrRail_act!T29/1000)</f>
        <v>776.22963488391463</v>
      </c>
      <c r="U52" s="87">
        <f>IF(U12=0,0,1000000*U12/TrRail_act!U29/1000)</f>
        <v>754.58728044406973</v>
      </c>
      <c r="V52" s="87">
        <f>IF(V12=0,0,1000000*V12/TrRail_act!V29/1000)</f>
        <v>625.65473589458315</v>
      </c>
      <c r="W52" s="87">
        <f>IF(W12=0,0,1000000*W12/TrRail_act!W29/1000)</f>
        <v>710.70899123092317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3635.9703223703141</v>
      </c>
      <c r="C55" s="29">
        <f>IF(C15=0,0,1000000*C15/TrRail_act!C32/1000)</f>
        <v>3700.4950878890036</v>
      </c>
      <c r="D55" s="29">
        <f>IF(D15=0,0,1000000*D15/TrRail_act!D32/1000)</f>
        <v>3491.0178009387955</v>
      </c>
      <c r="E55" s="29">
        <f>IF(E15=0,0,1000000*E15/TrRail_act!E32/1000)</f>
        <v>3608.2065679143852</v>
      </c>
      <c r="F55" s="29">
        <f>IF(F15=0,0,1000000*F15/TrRail_act!F32/1000)</f>
        <v>3400.0080133426618</v>
      </c>
      <c r="G55" s="29">
        <f>IF(G15=0,0,1000000*G15/TrRail_act!G32/1000)</f>
        <v>2803.5459551442345</v>
      </c>
      <c r="H55" s="29">
        <f>IF(H15=0,0,1000000*H15/TrRail_act!H32/1000)</f>
        <v>2166.4190802260528</v>
      </c>
      <c r="I55" s="29">
        <f>IF(I15=0,0,1000000*I15/TrRail_act!I32/1000)</f>
        <v>1625.279365780222</v>
      </c>
      <c r="J55" s="29">
        <f>IF(J15=0,0,1000000*J15/TrRail_act!J32/1000)</f>
        <v>1545.0962394263988</v>
      </c>
      <c r="K55" s="29">
        <f>IF(K15=0,0,1000000*K15/TrRail_act!K32/1000)</f>
        <v>1323.54438165691</v>
      </c>
      <c r="L55" s="29">
        <f>IF(L15=0,0,1000000*L15/TrRail_act!L32/1000)</f>
        <v>2265.4767848396609</v>
      </c>
      <c r="M55" s="29">
        <f>IF(M15=0,0,1000000*M15/TrRail_act!M32/1000)</f>
        <v>2704.6614503058363</v>
      </c>
      <c r="N55" s="29">
        <f>IF(N15=0,0,1000000*N15/TrRail_act!N32/1000)</f>
        <v>2578.4236366249556</v>
      </c>
      <c r="O55" s="29">
        <f>IF(O15=0,0,1000000*O15/TrRail_act!O32/1000)</f>
        <v>2590.4131955929493</v>
      </c>
      <c r="P55" s="29">
        <f>IF(P15=0,0,1000000*P15/TrRail_act!P32/1000)</f>
        <v>2602.3551351694896</v>
      </c>
      <c r="Q55" s="29">
        <f>IF(Q15=0,0,1000000*Q15/TrRail_act!Q32/1000)</f>
        <v>2552.1154627534997</v>
      </c>
      <c r="R55" s="29">
        <f>IF(R15=0,0,1000000*R15/TrRail_act!R32/1000)</f>
        <v>2557.8303193471379</v>
      </c>
      <c r="S55" s="29">
        <f>IF(S15=0,0,1000000*S15/TrRail_act!S32/1000)</f>
        <v>2529.1798193312279</v>
      </c>
      <c r="T55" s="29">
        <f>IF(T15=0,0,1000000*T15/TrRail_act!T32/1000)</f>
        <v>2448.1846236062588</v>
      </c>
      <c r="U55" s="29">
        <f>IF(U15=0,0,1000000*U15/TrRail_act!U32/1000)</f>
        <v>2328.9112565005385</v>
      </c>
      <c r="V55" s="29">
        <f>IF(V15=0,0,1000000*V15/TrRail_act!V32/1000)</f>
        <v>2314.7260142943082</v>
      </c>
      <c r="W55" s="29">
        <f>IF(W15=0,0,1000000*W15/TrRail_act!W32/1000)</f>
        <v>2274.577488891518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3635.9703223703141</v>
      </c>
      <c r="C56" s="87">
        <f>IF(C16=0,0,1000000*C16/TrRail_act!C33/1000)</f>
        <v>3700.4950878890036</v>
      </c>
      <c r="D56" s="87">
        <f>IF(D16=0,0,1000000*D16/TrRail_act!D33/1000)</f>
        <v>3526.2847634505547</v>
      </c>
      <c r="E56" s="87">
        <f>IF(E16=0,0,1000000*E16/TrRail_act!E33/1000)</f>
        <v>3648.941434508502</v>
      </c>
      <c r="F56" s="87">
        <f>IF(F16=0,0,1000000*F16/TrRail_act!F33/1000)</f>
        <v>3600.3282376301881</v>
      </c>
      <c r="G56" s="87">
        <f>IF(G16=0,0,1000000*G16/TrRail_act!G33/1000)</f>
        <v>3011.0098123174798</v>
      </c>
      <c r="H56" s="87">
        <f>IF(H16=0,0,1000000*H16/TrRail_act!H33/1000)</f>
        <v>2352.8722274062702</v>
      </c>
      <c r="I56" s="87">
        <f>IF(I16=0,0,1000000*I16/TrRail_act!I33/1000)</f>
        <v>1792.4067225347492</v>
      </c>
      <c r="J56" s="87">
        <f>IF(J16=0,0,1000000*J16/TrRail_act!J33/1000)</f>
        <v>1742.4143433193863</v>
      </c>
      <c r="K56" s="87">
        <f>IF(K16=0,0,1000000*K16/TrRail_act!K33/1000)</f>
        <v>1546.5069752088077</v>
      </c>
      <c r="L56" s="87">
        <f>IF(L16=0,0,1000000*L16/TrRail_act!L33/1000)</f>
        <v>2825.9802048919432</v>
      </c>
      <c r="M56" s="87">
        <f>IF(M16=0,0,1000000*M16/TrRail_act!M33/1000)</f>
        <v>3409.7139799630922</v>
      </c>
      <c r="N56" s="87">
        <f>IF(N16=0,0,1000000*N16/TrRail_act!N33/1000)</f>
        <v>3376.9507965049147</v>
      </c>
      <c r="O56" s="87">
        <f>IF(O16=0,0,1000000*O16/TrRail_act!O33/1000)</f>
        <v>3325.795582058679</v>
      </c>
      <c r="P56" s="87">
        <f>IF(P16=0,0,1000000*P16/TrRail_act!P33/1000)</f>
        <v>3302.3664546091049</v>
      </c>
      <c r="Q56" s="87">
        <f>IF(Q16=0,0,1000000*Q16/TrRail_act!Q33/1000)</f>
        <v>3268.5808438055828</v>
      </c>
      <c r="R56" s="87">
        <f>IF(R16=0,0,1000000*R16/TrRail_act!R33/1000)</f>
        <v>3243.4664334251647</v>
      </c>
      <c r="S56" s="87">
        <f>IF(S16=0,0,1000000*S16/TrRail_act!S33/1000)</f>
        <v>3224.7599504713703</v>
      </c>
      <c r="T56" s="87">
        <f>IF(T16=0,0,1000000*T16/TrRail_act!T33/1000)</f>
        <v>3210.8000725319712</v>
      </c>
      <c r="U56" s="87">
        <f>IF(U16=0,0,1000000*U16/TrRail_act!U33/1000)</f>
        <v>3200.3704690435447</v>
      </c>
      <c r="V56" s="87">
        <f>IF(V16=0,0,1000000*V16/TrRail_act!V33/1000)</f>
        <v>3192.5658614909303</v>
      </c>
      <c r="W56" s="87">
        <f>IF(W16=0,0,1000000*W16/TrRail_act!W33/1000)</f>
        <v>3186.7274591612918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0.85642062540471131</v>
      </c>
      <c r="C60" s="31">
        <f t="shared" ref="C60:V60" si="8">IF(C9=0,0,C9/C$8)</f>
        <v>0.85930860462442826</v>
      </c>
      <c r="D60" s="31">
        <f t="shared" si="8"/>
        <v>0.86126986445763543</v>
      </c>
      <c r="E60" s="31">
        <f t="shared" si="8"/>
        <v>0.88368940870459733</v>
      </c>
      <c r="F60" s="31">
        <f t="shared" si="8"/>
        <v>0.89595336801298153</v>
      </c>
      <c r="G60" s="31">
        <f t="shared" si="8"/>
        <v>0.91451687273123672</v>
      </c>
      <c r="H60" s="31">
        <f t="shared" si="8"/>
        <v>0.94256533440243429</v>
      </c>
      <c r="I60" s="31">
        <f t="shared" si="8"/>
        <v>0.96613764483937159</v>
      </c>
      <c r="J60" s="31">
        <f t="shared" si="8"/>
        <v>0.97499019889637695</v>
      </c>
      <c r="K60" s="31">
        <f t="shared" si="8"/>
        <v>0.98082222888704662</v>
      </c>
      <c r="L60" s="31">
        <f t="shared" si="8"/>
        <v>0.97595511152413794</v>
      </c>
      <c r="M60" s="31">
        <f t="shared" si="8"/>
        <v>0.97247879235756329</v>
      </c>
      <c r="N60" s="31">
        <f t="shared" si="8"/>
        <v>0.97628399277327937</v>
      </c>
      <c r="O60" s="31">
        <f t="shared" si="8"/>
        <v>0.97441450797999951</v>
      </c>
      <c r="P60" s="31">
        <f t="shared" si="8"/>
        <v>0.9707727782763429</v>
      </c>
      <c r="Q60" s="31">
        <f t="shared" si="8"/>
        <v>0.97280146058241512</v>
      </c>
      <c r="R60" s="31">
        <f t="shared" si="8"/>
        <v>0.97224599100258191</v>
      </c>
      <c r="S60" s="31">
        <f t="shared" si="8"/>
        <v>0.97394624154152853</v>
      </c>
      <c r="T60" s="31">
        <f t="shared" si="8"/>
        <v>0.97733491656552562</v>
      </c>
      <c r="U60" s="31">
        <f t="shared" si="8"/>
        <v>0.98202796341856713</v>
      </c>
      <c r="V60" s="31">
        <f t="shared" si="8"/>
        <v>0.97779670757039427</v>
      </c>
      <c r="W60" s="31">
        <f t="shared" ref="W60" si="9">IF(W9=0,0,W9/W$8)</f>
        <v>0.98061977992577054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0.85642062540471131</v>
      </c>
      <c r="C62" s="124">
        <f t="shared" ref="C62:V62" si="12">IF(C11=0,0,C11/C$8)</f>
        <v>0.85930860462442826</v>
      </c>
      <c r="D62" s="124">
        <f t="shared" si="12"/>
        <v>0.86126986445763543</v>
      </c>
      <c r="E62" s="124">
        <f t="shared" si="12"/>
        <v>0.88368940870459733</v>
      </c>
      <c r="F62" s="124">
        <f t="shared" si="12"/>
        <v>0.89595336801298153</v>
      </c>
      <c r="G62" s="124">
        <f t="shared" si="12"/>
        <v>0.91451687273123672</v>
      </c>
      <c r="H62" s="124">
        <f t="shared" si="12"/>
        <v>0.94256533440243429</v>
      </c>
      <c r="I62" s="124">
        <f t="shared" si="12"/>
        <v>0.96613764483937159</v>
      </c>
      <c r="J62" s="124">
        <f t="shared" si="12"/>
        <v>0.97499019889637695</v>
      </c>
      <c r="K62" s="124">
        <f t="shared" si="12"/>
        <v>0.98082222888704662</v>
      </c>
      <c r="L62" s="124">
        <f t="shared" si="12"/>
        <v>0.97595511152413794</v>
      </c>
      <c r="M62" s="124">
        <f t="shared" si="12"/>
        <v>0.97247879235756329</v>
      </c>
      <c r="N62" s="124">
        <f t="shared" si="12"/>
        <v>0.97628399277327937</v>
      </c>
      <c r="O62" s="124">
        <f t="shared" si="12"/>
        <v>0.97441450797999951</v>
      </c>
      <c r="P62" s="124">
        <f t="shared" si="12"/>
        <v>0.9707727782763429</v>
      </c>
      <c r="Q62" s="124">
        <f t="shared" si="12"/>
        <v>0.97280146058241512</v>
      </c>
      <c r="R62" s="124">
        <f t="shared" si="12"/>
        <v>0.97224599100258191</v>
      </c>
      <c r="S62" s="124">
        <f t="shared" si="12"/>
        <v>0.97394624154152853</v>
      </c>
      <c r="T62" s="124">
        <f t="shared" si="12"/>
        <v>0.97733491656552562</v>
      </c>
      <c r="U62" s="124">
        <f t="shared" si="12"/>
        <v>0.98202796341856713</v>
      </c>
      <c r="V62" s="124">
        <f t="shared" si="12"/>
        <v>0.97779670757039427</v>
      </c>
      <c r="W62" s="124">
        <f t="shared" ref="W62" si="13">IF(W11=0,0,W11/W$8)</f>
        <v>0.98061977992577054</v>
      </c>
      <c r="DA62" s="176"/>
    </row>
    <row r="63" spans="1:105" ht="11.45" customHeight="1" x14ac:dyDescent="0.25">
      <c r="A63" s="111" t="s">
        <v>92</v>
      </c>
      <c r="B63" s="125">
        <f t="shared" si="5"/>
        <v>0.85642062540471131</v>
      </c>
      <c r="C63" s="125">
        <f t="shared" ref="C63:V63" si="14">IF(C12=0,0,C12/C$8)</f>
        <v>0.85930860462442826</v>
      </c>
      <c r="D63" s="125">
        <f t="shared" si="14"/>
        <v>0.86126986445763543</v>
      </c>
      <c r="E63" s="125">
        <f t="shared" si="14"/>
        <v>0.88368940870459733</v>
      </c>
      <c r="F63" s="125">
        <f t="shared" si="14"/>
        <v>0.89595336801298153</v>
      </c>
      <c r="G63" s="125">
        <f t="shared" si="14"/>
        <v>0.91451687273123672</v>
      </c>
      <c r="H63" s="125">
        <f t="shared" si="14"/>
        <v>0.94256533440243429</v>
      </c>
      <c r="I63" s="125">
        <f t="shared" si="14"/>
        <v>0.96613764483937159</v>
      </c>
      <c r="J63" s="125">
        <f t="shared" si="14"/>
        <v>0.97499019889637695</v>
      </c>
      <c r="K63" s="125">
        <f t="shared" si="14"/>
        <v>0.98082222888704662</v>
      </c>
      <c r="L63" s="125">
        <f t="shared" si="14"/>
        <v>0.97595511152413794</v>
      </c>
      <c r="M63" s="125">
        <f t="shared" si="14"/>
        <v>0.97247879235756329</v>
      </c>
      <c r="N63" s="125">
        <f t="shared" si="14"/>
        <v>0.97628399277327937</v>
      </c>
      <c r="O63" s="125">
        <f t="shared" si="14"/>
        <v>0.97441450797999951</v>
      </c>
      <c r="P63" s="125">
        <f t="shared" si="14"/>
        <v>0.9707727782763429</v>
      </c>
      <c r="Q63" s="125">
        <f t="shared" si="14"/>
        <v>0.97280146058241512</v>
      </c>
      <c r="R63" s="125">
        <f t="shared" si="14"/>
        <v>0.97224599100258191</v>
      </c>
      <c r="S63" s="125">
        <f t="shared" si="14"/>
        <v>0.97394624154152853</v>
      </c>
      <c r="T63" s="125">
        <f t="shared" si="14"/>
        <v>0.97733491656552562</v>
      </c>
      <c r="U63" s="125">
        <f t="shared" si="14"/>
        <v>0.98202796341856713</v>
      </c>
      <c r="V63" s="125">
        <f t="shared" si="14"/>
        <v>0.97779670757039427</v>
      </c>
      <c r="W63" s="125">
        <f t="shared" ref="W63" si="15">IF(W12=0,0,W12/W$8)</f>
        <v>0.98061977992577054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0.14357937459528858</v>
      </c>
      <c r="C66" s="31">
        <f t="shared" ref="C66:V66" si="20">IF(C15=0,0,C15/C$8)</f>
        <v>0.14069139537557168</v>
      </c>
      <c r="D66" s="31">
        <f t="shared" si="20"/>
        <v>0.13873013554236455</v>
      </c>
      <c r="E66" s="31">
        <f t="shared" si="20"/>
        <v>0.11631059129540254</v>
      </c>
      <c r="F66" s="31">
        <f t="shared" si="20"/>
        <v>0.10404663198701859</v>
      </c>
      <c r="G66" s="31">
        <f t="shared" si="20"/>
        <v>8.5483127268763351E-2</v>
      </c>
      <c r="H66" s="31">
        <f t="shared" si="20"/>
        <v>5.7434665597565722E-2</v>
      </c>
      <c r="I66" s="31">
        <f t="shared" si="20"/>
        <v>3.3862355160628486E-2</v>
      </c>
      <c r="J66" s="31">
        <f t="shared" si="20"/>
        <v>2.5009801103623101E-2</v>
      </c>
      <c r="K66" s="31">
        <f t="shared" si="20"/>
        <v>1.9177771112953407E-2</v>
      </c>
      <c r="L66" s="31">
        <f t="shared" si="20"/>
        <v>2.40448884758621E-2</v>
      </c>
      <c r="M66" s="31">
        <f t="shared" si="20"/>
        <v>2.7521207642436658E-2</v>
      </c>
      <c r="N66" s="31">
        <f t="shared" si="20"/>
        <v>2.3716007226720577E-2</v>
      </c>
      <c r="O66" s="31">
        <f t="shared" si="20"/>
        <v>2.5585492020000399E-2</v>
      </c>
      <c r="P66" s="31">
        <f t="shared" si="20"/>
        <v>2.922722172365709E-2</v>
      </c>
      <c r="Q66" s="31">
        <f t="shared" si="20"/>
        <v>2.719853941758477E-2</v>
      </c>
      <c r="R66" s="31">
        <f t="shared" si="20"/>
        <v>2.7754008997418065E-2</v>
      </c>
      <c r="S66" s="31">
        <f t="shared" si="20"/>
        <v>2.6053758458471427E-2</v>
      </c>
      <c r="T66" s="31">
        <f t="shared" si="20"/>
        <v>2.2665083434474431E-2</v>
      </c>
      <c r="U66" s="31">
        <f t="shared" si="20"/>
        <v>1.7972036581432902E-2</v>
      </c>
      <c r="V66" s="31">
        <f t="shared" si="20"/>
        <v>2.220329242960567E-2</v>
      </c>
      <c r="W66" s="31">
        <f t="shared" ref="W66" si="21">IF(W15=0,0,W15/W$8)</f>
        <v>1.9380220074229439E-2</v>
      </c>
      <c r="DA66" s="173"/>
    </row>
    <row r="67" spans="1:105" ht="11.45" customHeight="1" x14ac:dyDescent="0.25">
      <c r="A67" s="83" t="s">
        <v>92</v>
      </c>
      <c r="B67" s="125">
        <f t="shared" si="5"/>
        <v>0.14357937459528858</v>
      </c>
      <c r="C67" s="125">
        <f t="shared" ref="C67:V67" si="22">IF(C16=0,0,C16/C$8)</f>
        <v>0.14069139537557168</v>
      </c>
      <c r="D67" s="125">
        <f t="shared" si="22"/>
        <v>0.13873013554236455</v>
      </c>
      <c r="E67" s="125">
        <f t="shared" si="22"/>
        <v>0.11631059129540254</v>
      </c>
      <c r="F67" s="125">
        <f t="shared" si="22"/>
        <v>0.10404663198701859</v>
      </c>
      <c r="G67" s="125">
        <f t="shared" si="22"/>
        <v>8.5483127268763351E-2</v>
      </c>
      <c r="H67" s="125">
        <f t="shared" si="22"/>
        <v>5.7434665597565722E-2</v>
      </c>
      <c r="I67" s="125">
        <f t="shared" si="22"/>
        <v>3.3862355160628486E-2</v>
      </c>
      <c r="J67" s="125">
        <f t="shared" si="22"/>
        <v>2.5009801103623101E-2</v>
      </c>
      <c r="K67" s="125">
        <f t="shared" si="22"/>
        <v>1.9177771112953407E-2</v>
      </c>
      <c r="L67" s="125">
        <f t="shared" si="22"/>
        <v>2.40448884758621E-2</v>
      </c>
      <c r="M67" s="125">
        <f t="shared" si="22"/>
        <v>2.7521207642436658E-2</v>
      </c>
      <c r="N67" s="125">
        <f t="shared" si="22"/>
        <v>2.3716007226720577E-2</v>
      </c>
      <c r="O67" s="125">
        <f t="shared" si="22"/>
        <v>2.5585492020000399E-2</v>
      </c>
      <c r="P67" s="125">
        <f t="shared" si="22"/>
        <v>2.922722172365709E-2</v>
      </c>
      <c r="Q67" s="125">
        <f t="shared" si="22"/>
        <v>2.719853941758477E-2</v>
      </c>
      <c r="R67" s="125">
        <f t="shared" si="22"/>
        <v>2.7754008997418065E-2</v>
      </c>
      <c r="S67" s="125">
        <f t="shared" si="22"/>
        <v>2.6053758458471427E-2</v>
      </c>
      <c r="T67" s="125">
        <f t="shared" si="22"/>
        <v>2.2665083434474431E-2</v>
      </c>
      <c r="U67" s="125">
        <f t="shared" si="22"/>
        <v>1.7972036581432902E-2</v>
      </c>
      <c r="V67" s="125">
        <f t="shared" si="22"/>
        <v>2.220329242960567E-2</v>
      </c>
      <c r="W67" s="125">
        <f t="shared" ref="W67" si="23">IF(W16=0,0,W16/W$8)</f>
        <v>1.9380220074229439E-2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12784.691902882583</v>
      </c>
      <c r="C4" s="11">
        <f t="shared" si="0"/>
        <v>13640.128901171171</v>
      </c>
      <c r="D4" s="11">
        <f t="shared" ref="D4:V4" si="1">SUM(D5:D7)</f>
        <v>13660.077519855662</v>
      </c>
      <c r="E4" s="11">
        <f t="shared" si="1"/>
        <v>13405.534309865503</v>
      </c>
      <c r="F4" s="11">
        <f t="shared" si="1"/>
        <v>14353.499669649684</v>
      </c>
      <c r="G4" s="11">
        <f t="shared" si="1"/>
        <v>17340.60363195169</v>
      </c>
      <c r="H4" s="11">
        <f t="shared" si="1"/>
        <v>20349.923963557667</v>
      </c>
      <c r="I4" s="11">
        <f t="shared" si="1"/>
        <v>22499.817451214265</v>
      </c>
      <c r="J4" s="11">
        <f t="shared" si="1"/>
        <v>22225.145435138642</v>
      </c>
      <c r="K4" s="11">
        <f t="shared" si="1"/>
        <v>19343.971165564701</v>
      </c>
      <c r="L4" s="11">
        <f t="shared" si="1"/>
        <v>17247.253108973338</v>
      </c>
      <c r="M4" s="11">
        <f t="shared" si="1"/>
        <v>17747.997444338213</v>
      </c>
      <c r="N4" s="11">
        <f t="shared" si="1"/>
        <v>18393.113648298899</v>
      </c>
      <c r="O4" s="11">
        <f t="shared" si="1"/>
        <v>19596.5480166661</v>
      </c>
      <c r="P4" s="11">
        <f t="shared" si="1"/>
        <v>21144.159098273427</v>
      </c>
      <c r="Q4" s="11">
        <f t="shared" si="1"/>
        <v>24030.199339890554</v>
      </c>
      <c r="R4" s="11">
        <f t="shared" si="1"/>
        <v>26730.627431926223</v>
      </c>
      <c r="S4" s="11">
        <f t="shared" si="1"/>
        <v>29483.928805857791</v>
      </c>
      <c r="T4" s="11">
        <f t="shared" si="1"/>
        <v>32475.835664581253</v>
      </c>
      <c r="U4" s="11">
        <f t="shared" si="1"/>
        <v>34033.47412287163</v>
      </c>
      <c r="V4" s="11">
        <f t="shared" si="1"/>
        <v>7174.3996345475725</v>
      </c>
      <c r="W4" s="11">
        <f t="shared" ref="W4" si="2">SUM(W5:W7)</f>
        <v>7924.945919737771</v>
      </c>
      <c r="DA4" s="189" t="s">
        <v>189</v>
      </c>
    </row>
    <row r="5" spans="1:105" ht="11.45" customHeight="1" x14ac:dyDescent="0.25">
      <c r="A5" s="83" t="s">
        <v>27</v>
      </c>
      <c r="B5" s="84">
        <v>245.73412033339039</v>
      </c>
      <c r="C5" s="84">
        <v>249.05898476026823</v>
      </c>
      <c r="D5" s="84">
        <v>225.64806440419474</v>
      </c>
      <c r="E5" s="84">
        <v>237.33610979187873</v>
      </c>
      <c r="F5" s="84">
        <v>233.52254281072697</v>
      </c>
      <c r="G5" s="84">
        <v>276.98317063780559</v>
      </c>
      <c r="H5" s="84">
        <v>343.41446379437969</v>
      </c>
      <c r="I5" s="84">
        <v>309.37764662229546</v>
      </c>
      <c r="J5" s="84">
        <v>264.86850526378169</v>
      </c>
      <c r="K5" s="84">
        <v>188.63035433972456</v>
      </c>
      <c r="L5" s="84">
        <v>99.506218488245409</v>
      </c>
      <c r="M5" s="84">
        <v>26.751918972235639</v>
      </c>
      <c r="N5" s="84">
        <v>13.479765788634564</v>
      </c>
      <c r="O5" s="84">
        <v>16.108024700834822</v>
      </c>
      <c r="P5" s="84">
        <v>14.907907873068609</v>
      </c>
      <c r="Q5" s="84">
        <v>17.990402728831125</v>
      </c>
      <c r="R5" s="84">
        <v>19.760527936014345</v>
      </c>
      <c r="S5" s="84">
        <v>20.589595722608081</v>
      </c>
      <c r="T5" s="84">
        <v>23.793713005766833</v>
      </c>
      <c r="U5" s="84">
        <v>23.034374435747623</v>
      </c>
      <c r="V5" s="84">
        <v>6.7307216150449038</v>
      </c>
      <c r="W5" s="84">
        <v>8.9693403233563593</v>
      </c>
      <c r="DA5" s="171" t="s">
        <v>190</v>
      </c>
    </row>
    <row r="6" spans="1:105" ht="11.45" customHeight="1" x14ac:dyDescent="0.25">
      <c r="A6" s="83" t="s">
        <v>173</v>
      </c>
      <c r="B6" s="84">
        <v>7572.2651937928022</v>
      </c>
      <c r="C6" s="84">
        <v>8447.616662486691</v>
      </c>
      <c r="D6" s="84">
        <v>8677.7851784785962</v>
      </c>
      <c r="E6" s="84">
        <v>9018.5837317155037</v>
      </c>
      <c r="F6" s="84">
        <v>9637.5015212694016</v>
      </c>
      <c r="G6" s="84">
        <v>11790.650288940091</v>
      </c>
      <c r="H6" s="84">
        <v>13813.669407481617</v>
      </c>
      <c r="I6" s="84">
        <v>15166.859434196955</v>
      </c>
      <c r="J6" s="84">
        <v>14656.251085165026</v>
      </c>
      <c r="K6" s="84">
        <v>12589.985299169346</v>
      </c>
      <c r="L6" s="84">
        <v>11116.322644782629</v>
      </c>
      <c r="M6" s="84">
        <v>11402.989017002197</v>
      </c>
      <c r="N6" s="84">
        <v>11381.565514860031</v>
      </c>
      <c r="O6" s="84">
        <v>11642.453784077117</v>
      </c>
      <c r="P6" s="84">
        <v>12050.718389631178</v>
      </c>
      <c r="Q6" s="84">
        <v>13341.422659063051</v>
      </c>
      <c r="R6" s="84">
        <v>14994.501486452289</v>
      </c>
      <c r="S6" s="84">
        <v>15839.669842287069</v>
      </c>
      <c r="T6" s="84">
        <v>16649.408246377388</v>
      </c>
      <c r="U6" s="84">
        <v>17770.725166633154</v>
      </c>
      <c r="V6" s="84">
        <v>4217.7946136694509</v>
      </c>
      <c r="W6" s="84">
        <v>5274.2220297127587</v>
      </c>
      <c r="DA6" s="171" t="s">
        <v>191</v>
      </c>
    </row>
    <row r="7" spans="1:105" ht="11.45" customHeight="1" x14ac:dyDescent="0.25">
      <c r="A7" s="83" t="s">
        <v>174</v>
      </c>
      <c r="B7" s="84">
        <v>4966.6925887563903</v>
      </c>
      <c r="C7" s="84">
        <v>4943.4532539242109</v>
      </c>
      <c r="D7" s="84">
        <v>4756.6442769728719</v>
      </c>
      <c r="E7" s="84">
        <v>4149.6144683581215</v>
      </c>
      <c r="F7" s="84">
        <v>4482.4756055695543</v>
      </c>
      <c r="G7" s="84">
        <v>5272.9701723737917</v>
      </c>
      <c r="H7" s="84">
        <v>6192.8400922816691</v>
      </c>
      <c r="I7" s="84">
        <v>7023.5803703950141</v>
      </c>
      <c r="J7" s="84">
        <v>7304.0258447098367</v>
      </c>
      <c r="K7" s="84">
        <v>6565.3555120556302</v>
      </c>
      <c r="L7" s="84">
        <v>6031.4242457024648</v>
      </c>
      <c r="M7" s="84">
        <v>6318.2565083637792</v>
      </c>
      <c r="N7" s="84">
        <v>6998.068367650234</v>
      </c>
      <c r="O7" s="84">
        <v>7937.9862078881488</v>
      </c>
      <c r="P7" s="84">
        <v>9078.5328007691805</v>
      </c>
      <c r="Q7" s="84">
        <v>10670.786278098674</v>
      </c>
      <c r="R7" s="84">
        <v>11716.36541753792</v>
      </c>
      <c r="S7" s="84">
        <v>13623.669367848115</v>
      </c>
      <c r="T7" s="84">
        <v>15802.633705198097</v>
      </c>
      <c r="U7" s="84">
        <v>16239.714581802731</v>
      </c>
      <c r="V7" s="84">
        <v>2949.8742992630769</v>
      </c>
      <c r="W7" s="84">
        <v>2641.7545497016567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61.660689695152257</v>
      </c>
      <c r="C8" s="13">
        <f t="shared" si="3"/>
        <v>63.195672120968709</v>
      </c>
      <c r="D8" s="13">
        <f t="shared" ref="D8:V8" si="4">SUM(D9:D11)</f>
        <v>56.517935938840452</v>
      </c>
      <c r="E8" s="13">
        <f t="shared" si="4"/>
        <v>58.983366224411888</v>
      </c>
      <c r="F8" s="13">
        <f t="shared" si="4"/>
        <v>91.370586578214912</v>
      </c>
      <c r="G8" s="13">
        <f t="shared" si="4"/>
        <v>103.48718668102056</v>
      </c>
      <c r="H8" s="13">
        <f t="shared" si="4"/>
        <v>144.99204934096824</v>
      </c>
      <c r="I8" s="13">
        <f t="shared" si="4"/>
        <v>149.58787808867942</v>
      </c>
      <c r="J8" s="13">
        <f t="shared" si="4"/>
        <v>138.02323505510699</v>
      </c>
      <c r="K8" s="13">
        <f t="shared" si="4"/>
        <v>111.73846393698037</v>
      </c>
      <c r="L8" s="13">
        <f t="shared" si="4"/>
        <v>139.9908078895464</v>
      </c>
      <c r="M8" s="13">
        <f t="shared" si="4"/>
        <v>129.8420373115593</v>
      </c>
      <c r="N8" s="13">
        <f t="shared" si="4"/>
        <v>167.08001728281192</v>
      </c>
      <c r="O8" s="13">
        <f t="shared" si="4"/>
        <v>174.52838366081497</v>
      </c>
      <c r="P8" s="13">
        <f t="shared" si="4"/>
        <v>206.14066361950398</v>
      </c>
      <c r="Q8" s="13">
        <f t="shared" si="4"/>
        <v>239.56130436245422</v>
      </c>
      <c r="R8" s="13">
        <f t="shared" si="4"/>
        <v>242.16151755632629</v>
      </c>
      <c r="S8" s="13">
        <f t="shared" si="4"/>
        <v>320.65249670778007</v>
      </c>
      <c r="T8" s="13">
        <f t="shared" si="4"/>
        <v>280.21248005739056</v>
      </c>
      <c r="U8" s="13">
        <f t="shared" si="4"/>
        <v>246.05459583677208</v>
      </c>
      <c r="V8" s="13">
        <f t="shared" si="4"/>
        <v>210.81786582257234</v>
      </c>
      <c r="W8" s="13">
        <f t="shared" ref="W8" si="5">SUM(W9:W11)</f>
        <v>231.44490781927061</v>
      </c>
      <c r="DA8" s="193" t="s">
        <v>193</v>
      </c>
    </row>
    <row r="9" spans="1:105" ht="11.45" customHeight="1" x14ac:dyDescent="0.25">
      <c r="A9" s="92" t="s">
        <v>27</v>
      </c>
      <c r="B9" s="102">
        <v>1.2693048588724356</v>
      </c>
      <c r="C9" s="102">
        <v>1.2459139627850366</v>
      </c>
      <c r="D9" s="102">
        <v>0.9286754519700775</v>
      </c>
      <c r="E9" s="102">
        <v>0.96424985946791919</v>
      </c>
      <c r="F9" s="102">
        <v>1.7736144245242014</v>
      </c>
      <c r="G9" s="102">
        <v>2.3867942625949667</v>
      </c>
      <c r="H9" s="102">
        <v>3.4532236591085872</v>
      </c>
      <c r="I9" s="102">
        <v>2.9678405331469668</v>
      </c>
      <c r="J9" s="102">
        <v>2.2440943342328703</v>
      </c>
      <c r="K9" s="102">
        <v>2.1235112700943977</v>
      </c>
      <c r="L9" s="102">
        <v>2.034461515313887</v>
      </c>
      <c r="M9" s="102">
        <v>1.3762840790321709</v>
      </c>
      <c r="N9" s="102">
        <v>1.3105952480699519</v>
      </c>
      <c r="O9" s="102">
        <v>1.2320437484778846</v>
      </c>
      <c r="P9" s="102">
        <v>1.0351749164059001</v>
      </c>
      <c r="Q9" s="102">
        <v>1.0989406438202862</v>
      </c>
      <c r="R9" s="102">
        <v>1.0231479964892953</v>
      </c>
      <c r="S9" s="102">
        <v>1.1964881658468949</v>
      </c>
      <c r="T9" s="102">
        <v>1.2270904143241157</v>
      </c>
      <c r="U9" s="102">
        <v>0.81174907264704321</v>
      </c>
      <c r="V9" s="102">
        <v>0.73519743306159591</v>
      </c>
      <c r="W9" s="102">
        <v>1.3215274500538283</v>
      </c>
      <c r="DA9" s="175" t="s">
        <v>194</v>
      </c>
    </row>
    <row r="10" spans="1:105" ht="11.45" customHeight="1" x14ac:dyDescent="0.25">
      <c r="A10" s="92" t="s">
        <v>173</v>
      </c>
      <c r="B10" s="102">
        <v>15.941487001853382</v>
      </c>
      <c r="C10" s="102">
        <v>16.56926978072439</v>
      </c>
      <c r="D10" s="102">
        <v>11.612891109374164</v>
      </c>
      <c r="E10" s="102">
        <v>11.619576216224409</v>
      </c>
      <c r="F10" s="102">
        <v>11.025009196122673</v>
      </c>
      <c r="G10" s="102">
        <v>21.471680905264204</v>
      </c>
      <c r="H10" s="102">
        <v>32.627211540657235</v>
      </c>
      <c r="I10" s="102">
        <v>29.947105958311354</v>
      </c>
      <c r="J10" s="102">
        <v>29.702775724675735</v>
      </c>
      <c r="K10" s="102">
        <v>27.786389407255832</v>
      </c>
      <c r="L10" s="102">
        <v>29.380013421750153</v>
      </c>
      <c r="M10" s="102">
        <v>29.690971965735134</v>
      </c>
      <c r="N10" s="102">
        <v>29.687667940108664</v>
      </c>
      <c r="O10" s="102">
        <v>26.487974225162251</v>
      </c>
      <c r="P10" s="102">
        <v>31.566269745650505</v>
      </c>
      <c r="Q10" s="102">
        <v>32.602728593333438</v>
      </c>
      <c r="R10" s="102">
        <v>32.244953592962801</v>
      </c>
      <c r="S10" s="102">
        <v>29.510377038307269</v>
      </c>
      <c r="T10" s="102">
        <v>32.211334454200184</v>
      </c>
      <c r="U10" s="102">
        <v>31.04388671136541</v>
      </c>
      <c r="V10" s="102">
        <v>32.943821551594155</v>
      </c>
      <c r="W10" s="102">
        <v>38.03516480169197</v>
      </c>
      <c r="DA10" s="175" t="s">
        <v>195</v>
      </c>
    </row>
    <row r="11" spans="1:105" ht="11.45" customHeight="1" x14ac:dyDescent="0.25">
      <c r="A11" s="85" t="s">
        <v>174</v>
      </c>
      <c r="B11" s="86">
        <v>44.449897834426444</v>
      </c>
      <c r="C11" s="86">
        <v>45.380488377459287</v>
      </c>
      <c r="D11" s="86">
        <v>43.976369377496212</v>
      </c>
      <c r="E11" s="86">
        <v>46.399540148719559</v>
      </c>
      <c r="F11" s="86">
        <v>78.571962957568033</v>
      </c>
      <c r="G11" s="86">
        <v>79.628711513161392</v>
      </c>
      <c r="H11" s="86">
        <v>108.91161414120242</v>
      </c>
      <c r="I11" s="86">
        <v>116.67293159722109</v>
      </c>
      <c r="J11" s="86">
        <v>106.07636499619839</v>
      </c>
      <c r="K11" s="86">
        <v>81.828563259630144</v>
      </c>
      <c r="L11" s="86">
        <v>108.57633295248237</v>
      </c>
      <c r="M11" s="86">
        <v>98.774781266791976</v>
      </c>
      <c r="N11" s="86">
        <v>136.08175409463331</v>
      </c>
      <c r="O11" s="86">
        <v>146.80836568717484</v>
      </c>
      <c r="P11" s="86">
        <v>173.53921895744756</v>
      </c>
      <c r="Q11" s="86">
        <v>205.85963512530051</v>
      </c>
      <c r="R11" s="86">
        <v>208.89341596687419</v>
      </c>
      <c r="S11" s="86">
        <v>289.94563150362592</v>
      </c>
      <c r="T11" s="86">
        <v>246.77405518886624</v>
      </c>
      <c r="U11" s="86">
        <v>214.19896005275962</v>
      </c>
      <c r="V11" s="86">
        <v>177.13884683791659</v>
      </c>
      <c r="W11" s="86">
        <v>192.0882155675248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91.944636837670075</v>
      </c>
      <c r="C13" s="54">
        <f t="shared" si="6"/>
        <v>98.260070124491051</v>
      </c>
      <c r="D13" s="54">
        <f t="shared" ref="D13:V13" si="7">SUM(D14,D18)</f>
        <v>98.697383077230839</v>
      </c>
      <c r="E13" s="54">
        <f t="shared" si="7"/>
        <v>99.157416292649287</v>
      </c>
      <c r="F13" s="54">
        <f t="shared" si="7"/>
        <v>102.55342669537531</v>
      </c>
      <c r="G13" s="54">
        <f t="shared" si="7"/>
        <v>124.08469310087398</v>
      </c>
      <c r="H13" s="54">
        <f t="shared" si="7"/>
        <v>145.03795768686663</v>
      </c>
      <c r="I13" s="54">
        <f t="shared" si="7"/>
        <v>167.88065348323141</v>
      </c>
      <c r="J13" s="54">
        <f t="shared" si="7"/>
        <v>166.23342081615189</v>
      </c>
      <c r="K13" s="54">
        <f t="shared" si="7"/>
        <v>137.39389278644953</v>
      </c>
      <c r="L13" s="54">
        <f t="shared" si="7"/>
        <v>125.82077289673026</v>
      </c>
      <c r="M13" s="54">
        <f t="shared" si="7"/>
        <v>131.74326548336413</v>
      </c>
      <c r="N13" s="54">
        <f t="shared" si="7"/>
        <v>127.1958392285807</v>
      </c>
      <c r="O13" s="54">
        <f t="shared" si="7"/>
        <v>129.45813874196557</v>
      </c>
      <c r="P13" s="54">
        <f t="shared" si="7"/>
        <v>139.47567911783577</v>
      </c>
      <c r="Q13" s="54">
        <f t="shared" si="7"/>
        <v>153.21722571013706</v>
      </c>
      <c r="R13" s="54">
        <f t="shared" si="7"/>
        <v>165.94694440961817</v>
      </c>
      <c r="S13" s="54">
        <f t="shared" si="7"/>
        <v>183.36117346551637</v>
      </c>
      <c r="T13" s="54">
        <f t="shared" si="7"/>
        <v>199.24237726071652</v>
      </c>
      <c r="U13" s="54">
        <f t="shared" si="7"/>
        <v>203.27218781322864</v>
      </c>
      <c r="V13" s="54">
        <f t="shared" si="7"/>
        <v>69.119845709155229</v>
      </c>
      <c r="W13" s="54">
        <f t="shared" ref="W13" si="8">SUM(W14,W18)</f>
        <v>72.134912263302397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90.448822832559173</v>
      </c>
      <c r="C14" s="11">
        <f t="shared" si="9"/>
        <v>96.803693130989672</v>
      </c>
      <c r="D14" s="11">
        <f t="shared" ref="D14:V14" si="10">SUM(D15:D17)</f>
        <v>97.439536948600363</v>
      </c>
      <c r="E14" s="11">
        <f t="shared" si="10"/>
        <v>97.805213886900418</v>
      </c>
      <c r="F14" s="11">
        <f t="shared" si="10"/>
        <v>100.53590458059979</v>
      </c>
      <c r="G14" s="11">
        <f t="shared" si="10"/>
        <v>121.36998678841452</v>
      </c>
      <c r="H14" s="11">
        <f t="shared" si="10"/>
        <v>140.8613785969381</v>
      </c>
      <c r="I14" s="11">
        <f t="shared" si="10"/>
        <v>163.67817857217631</v>
      </c>
      <c r="J14" s="11">
        <f t="shared" si="10"/>
        <v>162.22087405455571</v>
      </c>
      <c r="K14" s="11">
        <f t="shared" si="10"/>
        <v>134.15312019293609</v>
      </c>
      <c r="L14" s="11">
        <f t="shared" si="10"/>
        <v>122.15693626288922</v>
      </c>
      <c r="M14" s="11">
        <f t="shared" si="10"/>
        <v>128.43493903168354</v>
      </c>
      <c r="N14" s="11">
        <f t="shared" si="10"/>
        <v>123.60815964121903</v>
      </c>
      <c r="O14" s="11">
        <f t="shared" si="10"/>
        <v>125.87109424057672</v>
      </c>
      <c r="P14" s="11">
        <f t="shared" si="10"/>
        <v>135.78320006064101</v>
      </c>
      <c r="Q14" s="11">
        <f t="shared" si="10"/>
        <v>149.02560497890337</v>
      </c>
      <c r="R14" s="11">
        <f t="shared" si="10"/>
        <v>162.1188739081538</v>
      </c>
      <c r="S14" s="11">
        <f t="shared" si="10"/>
        <v>178.47716157088138</v>
      </c>
      <c r="T14" s="11">
        <f t="shared" si="10"/>
        <v>194.82615884508974</v>
      </c>
      <c r="U14" s="11">
        <f t="shared" si="10"/>
        <v>199.49576750978335</v>
      </c>
      <c r="V14" s="11">
        <f t="shared" si="10"/>
        <v>64.473418009110631</v>
      </c>
      <c r="W14" s="11">
        <f t="shared" ref="W14" si="11">SUM(W15:W17)</f>
        <v>66.76104467544728</v>
      </c>
      <c r="DA14" s="189" t="s">
        <v>198</v>
      </c>
    </row>
    <row r="15" spans="1:105" ht="11.45" customHeight="1" x14ac:dyDescent="0.25">
      <c r="A15" s="83" t="s">
        <v>27</v>
      </c>
      <c r="B15" s="84">
        <v>3.6495773332007237</v>
      </c>
      <c r="C15" s="84">
        <v>3.7932714930096725</v>
      </c>
      <c r="D15" s="84">
        <v>3.5875218022389834</v>
      </c>
      <c r="E15" s="84">
        <v>3.9542598171850076</v>
      </c>
      <c r="F15" s="84">
        <v>3.6071049001244506</v>
      </c>
      <c r="G15" s="84">
        <v>4.4929718759787036</v>
      </c>
      <c r="H15" s="84">
        <v>4.6265551392481585</v>
      </c>
      <c r="I15" s="84">
        <v>4.8107460675728264</v>
      </c>
      <c r="J15" s="84">
        <v>4.3539799974274391</v>
      </c>
      <c r="K15" s="84">
        <v>3.4303752829315419</v>
      </c>
      <c r="L15" s="84">
        <v>2.5075498068541004</v>
      </c>
      <c r="M15" s="84">
        <v>1.0332712906974608</v>
      </c>
      <c r="N15" s="84">
        <v>0.61476714331026538</v>
      </c>
      <c r="O15" s="84">
        <v>0.59912591704217988</v>
      </c>
      <c r="P15" s="84">
        <v>0.58398344850149408</v>
      </c>
      <c r="Q15" s="84">
        <v>0.60672390076859484</v>
      </c>
      <c r="R15" s="84">
        <v>0.62905865886548917</v>
      </c>
      <c r="S15" s="84">
        <v>0.63106120206023764</v>
      </c>
      <c r="T15" s="84">
        <v>0.6196582923272036</v>
      </c>
      <c r="U15" s="84">
        <v>0.62600772768000013</v>
      </c>
      <c r="V15" s="84">
        <v>0.56511615809038918</v>
      </c>
      <c r="W15" s="84">
        <v>0.49729297696873542</v>
      </c>
      <c r="DA15" s="171" t="s">
        <v>199</v>
      </c>
    </row>
    <row r="16" spans="1:105" ht="11.45" customHeight="1" x14ac:dyDescent="0.25">
      <c r="A16" s="83" t="s">
        <v>173</v>
      </c>
      <c r="B16" s="84">
        <v>61.862276220095147</v>
      </c>
      <c r="C16" s="84">
        <v>67.999432296803562</v>
      </c>
      <c r="D16" s="84">
        <v>69.55006008245816</v>
      </c>
      <c r="E16" s="84">
        <v>72.630571057038139</v>
      </c>
      <c r="F16" s="84">
        <v>75.050027696044353</v>
      </c>
      <c r="G16" s="84">
        <v>88.194859646517742</v>
      </c>
      <c r="H16" s="84">
        <v>99.603674331228063</v>
      </c>
      <c r="I16" s="84">
        <v>111.33426131587596</v>
      </c>
      <c r="J16" s="84">
        <v>113.52691116061176</v>
      </c>
      <c r="K16" s="84">
        <v>94.18385860270439</v>
      </c>
      <c r="L16" s="84">
        <v>84.086292495798688</v>
      </c>
      <c r="M16" s="84">
        <v>88.191628312352037</v>
      </c>
      <c r="N16" s="84">
        <v>86.677557673172728</v>
      </c>
      <c r="O16" s="84">
        <v>87.555870005180225</v>
      </c>
      <c r="P16" s="84">
        <v>91.066883867126862</v>
      </c>
      <c r="Q16" s="84">
        <v>96.286682660437322</v>
      </c>
      <c r="R16" s="84">
        <v>106.36687702855066</v>
      </c>
      <c r="S16" s="84">
        <v>111.59189824245131</v>
      </c>
      <c r="T16" s="84">
        <v>116.88876186498216</v>
      </c>
      <c r="U16" s="84">
        <v>123.63324442726463</v>
      </c>
      <c r="V16" s="84">
        <v>41.661531934463262</v>
      </c>
      <c r="W16" s="84">
        <v>44.515744792208451</v>
      </c>
      <c r="DA16" s="171" t="s">
        <v>200</v>
      </c>
    </row>
    <row r="17" spans="1:105" ht="11.45" customHeight="1" x14ac:dyDescent="0.25">
      <c r="A17" s="83" t="s">
        <v>174</v>
      </c>
      <c r="B17" s="84">
        <v>24.936969279263305</v>
      </c>
      <c r="C17" s="84">
        <v>25.010989341176447</v>
      </c>
      <c r="D17" s="84">
        <v>24.301955063903218</v>
      </c>
      <c r="E17" s="84">
        <v>21.220383012677274</v>
      </c>
      <c r="F17" s="84">
        <v>21.878771984430983</v>
      </c>
      <c r="G17" s="84">
        <v>28.682155265918066</v>
      </c>
      <c r="H17" s="84">
        <v>36.631149126461871</v>
      </c>
      <c r="I17" s="84">
        <v>47.533171188727508</v>
      </c>
      <c r="J17" s="84">
        <v>44.33998289651651</v>
      </c>
      <c r="K17" s="84">
        <v>36.538886307300153</v>
      </c>
      <c r="L17" s="84">
        <v>35.563093960236436</v>
      </c>
      <c r="M17" s="84">
        <v>39.210039428634062</v>
      </c>
      <c r="N17" s="84">
        <v>36.315834824736044</v>
      </c>
      <c r="O17" s="84">
        <v>37.716098318354319</v>
      </c>
      <c r="P17" s="84">
        <v>44.13233274501264</v>
      </c>
      <c r="Q17" s="84">
        <v>52.132198417697445</v>
      </c>
      <c r="R17" s="84">
        <v>55.122938220737652</v>
      </c>
      <c r="S17" s="84">
        <v>66.254202126369847</v>
      </c>
      <c r="T17" s="84">
        <v>77.317738687780377</v>
      </c>
      <c r="U17" s="84">
        <v>75.236515354838716</v>
      </c>
      <c r="V17" s="84">
        <v>22.246769916556978</v>
      </c>
      <c r="W17" s="84">
        <v>21.748006906270088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1.4958140051109012</v>
      </c>
      <c r="C18" s="13">
        <f t="shared" si="12"/>
        <v>1.4563769935013864</v>
      </c>
      <c r="D18" s="13">
        <f t="shared" ref="D18:V18" si="13">SUM(D19:D21)</f>
        <v>1.2578461286304741</v>
      </c>
      <c r="E18" s="13">
        <f t="shared" si="13"/>
        <v>1.3522024057488711</v>
      </c>
      <c r="F18" s="13">
        <f t="shared" si="13"/>
        <v>2.0175221147755149</v>
      </c>
      <c r="G18" s="13">
        <f t="shared" si="13"/>
        <v>2.7147063124594584</v>
      </c>
      <c r="H18" s="13">
        <f t="shared" si="13"/>
        <v>4.1765790899285253</v>
      </c>
      <c r="I18" s="13">
        <f t="shared" si="13"/>
        <v>4.2024749110551198</v>
      </c>
      <c r="J18" s="13">
        <f t="shared" si="13"/>
        <v>4.0125467615961856</v>
      </c>
      <c r="K18" s="13">
        <f t="shared" si="13"/>
        <v>3.2407725935134373</v>
      </c>
      <c r="L18" s="13">
        <f t="shared" si="13"/>
        <v>3.6638366338410409</v>
      </c>
      <c r="M18" s="13">
        <f t="shared" si="13"/>
        <v>3.3083264516805815</v>
      </c>
      <c r="N18" s="13">
        <f t="shared" si="13"/>
        <v>3.587679587361662</v>
      </c>
      <c r="O18" s="13">
        <f t="shared" si="13"/>
        <v>3.5870445013888417</v>
      </c>
      <c r="P18" s="13">
        <f t="shared" si="13"/>
        <v>3.692479057194765</v>
      </c>
      <c r="Q18" s="13">
        <f t="shared" si="13"/>
        <v>4.1916207312336784</v>
      </c>
      <c r="R18" s="13">
        <f t="shared" si="13"/>
        <v>3.8280705014643752</v>
      </c>
      <c r="S18" s="13">
        <f t="shared" si="13"/>
        <v>4.8840118946350035</v>
      </c>
      <c r="T18" s="13">
        <f t="shared" si="13"/>
        <v>4.4162184156267736</v>
      </c>
      <c r="U18" s="13">
        <f t="shared" si="13"/>
        <v>3.7764203034452937</v>
      </c>
      <c r="V18" s="13">
        <f t="shared" si="13"/>
        <v>4.6464277000446002</v>
      </c>
      <c r="W18" s="13">
        <f t="shared" ref="W18" si="14">SUM(W19:W21)</f>
        <v>5.3738675878551199</v>
      </c>
      <c r="DA18" s="193" t="s">
        <v>202</v>
      </c>
    </row>
    <row r="19" spans="1:105" ht="11.45" customHeight="1" x14ac:dyDescent="0.25">
      <c r="A19" s="92" t="s">
        <v>27</v>
      </c>
      <c r="B19" s="102">
        <v>0.11836118605250538</v>
      </c>
      <c r="C19" s="102">
        <v>0.11707265059003642</v>
      </c>
      <c r="D19" s="102">
        <v>8.4859264028312564E-2</v>
      </c>
      <c r="E19" s="102">
        <v>8.283442258728993E-2</v>
      </c>
      <c r="F19" s="102">
        <v>0.16180323878717298</v>
      </c>
      <c r="G19" s="102">
        <v>0.22249682258064518</v>
      </c>
      <c r="H19" s="102">
        <v>0.33466206246872932</v>
      </c>
      <c r="I19" s="102">
        <v>0.28869405415147348</v>
      </c>
      <c r="J19" s="102">
        <v>0.22689330007967676</v>
      </c>
      <c r="K19" s="102">
        <v>0.21286266057855691</v>
      </c>
      <c r="L19" s="102">
        <v>0.19067317109458023</v>
      </c>
      <c r="M19" s="102">
        <v>0.12150227208453976</v>
      </c>
      <c r="N19" s="102">
        <v>0.1174342239747634</v>
      </c>
      <c r="O19" s="102">
        <v>0.1068150678309229</v>
      </c>
      <c r="P19" s="102">
        <v>8.0186847691313748E-2</v>
      </c>
      <c r="Q19" s="102">
        <v>8.3319187126296462E-2</v>
      </c>
      <c r="R19" s="102">
        <v>6.726532369053094E-2</v>
      </c>
      <c r="S19" s="102">
        <v>8.5647030689028403E-2</v>
      </c>
      <c r="T19" s="102">
        <v>8.5598642622950805E-2</v>
      </c>
      <c r="U19" s="102">
        <v>5.1040190322580656E-2</v>
      </c>
      <c r="V19" s="102">
        <v>4.960382004784282E-2</v>
      </c>
      <c r="W19" s="102">
        <v>8.6880186212562521E-2</v>
      </c>
      <c r="DA19" s="175" t="s">
        <v>203</v>
      </c>
    </row>
    <row r="20" spans="1:105" ht="11.45" customHeight="1" x14ac:dyDescent="0.25">
      <c r="A20" s="92" t="s">
        <v>173</v>
      </c>
      <c r="B20" s="102">
        <v>0.73483876153427286</v>
      </c>
      <c r="C20" s="102">
        <v>0.71302793091750116</v>
      </c>
      <c r="D20" s="102">
        <v>0.53037280707803847</v>
      </c>
      <c r="E20" s="102">
        <v>0.52328217061238758</v>
      </c>
      <c r="F20" s="102">
        <v>0.55415311540982159</v>
      </c>
      <c r="G20" s="102">
        <v>1.0896029010286388</v>
      </c>
      <c r="H20" s="102">
        <v>1.8574012952339569</v>
      </c>
      <c r="I20" s="102">
        <v>1.7518335106751886</v>
      </c>
      <c r="J20" s="102">
        <v>1.7795892485766198</v>
      </c>
      <c r="K20" s="102">
        <v>1.655734190632612</v>
      </c>
      <c r="L20" s="102">
        <v>1.6822817484607464</v>
      </c>
      <c r="M20" s="102">
        <v>1.6256457216395621</v>
      </c>
      <c r="N20" s="102">
        <v>1.49275108752483</v>
      </c>
      <c r="O20" s="102">
        <v>1.3628759464211504</v>
      </c>
      <c r="P20" s="102">
        <v>1.4540107786788705</v>
      </c>
      <c r="Q20" s="102">
        <v>1.5454313134463977</v>
      </c>
      <c r="R20" s="102">
        <v>1.3724922769764922</v>
      </c>
      <c r="S20" s="102">
        <v>1.3812405638380107</v>
      </c>
      <c r="T20" s="102">
        <v>1.4781182624775071</v>
      </c>
      <c r="U20" s="102">
        <v>1.3849955549831781</v>
      </c>
      <c r="V20" s="102">
        <v>1.6809068462826022</v>
      </c>
      <c r="W20" s="102">
        <v>1.9814099973557946</v>
      </c>
      <c r="DA20" s="175" t="s">
        <v>204</v>
      </c>
    </row>
    <row r="21" spans="1:105" ht="11.45" customHeight="1" x14ac:dyDescent="0.25">
      <c r="A21" s="85" t="s">
        <v>174</v>
      </c>
      <c r="B21" s="86">
        <v>0.64261405752412304</v>
      </c>
      <c r="C21" s="86">
        <v>0.62627641199384876</v>
      </c>
      <c r="D21" s="86">
        <v>0.64261405752412304</v>
      </c>
      <c r="E21" s="86">
        <v>0.74608581254919371</v>
      </c>
      <c r="F21" s="86">
        <v>1.3015657605785205</v>
      </c>
      <c r="G21" s="86">
        <v>1.4026065888501744</v>
      </c>
      <c r="H21" s="86">
        <v>1.9845157322258387</v>
      </c>
      <c r="I21" s="86">
        <v>2.1619473462284575</v>
      </c>
      <c r="J21" s="86">
        <v>2.0060642129398887</v>
      </c>
      <c r="K21" s="86">
        <v>1.3721757423022682</v>
      </c>
      <c r="L21" s="86">
        <v>1.7908817142857143</v>
      </c>
      <c r="M21" s="86">
        <v>1.5611784579564796</v>
      </c>
      <c r="N21" s="86">
        <v>1.9774942758620688</v>
      </c>
      <c r="O21" s="86">
        <v>2.1173534871367683</v>
      </c>
      <c r="P21" s="86">
        <v>2.1582814308245806</v>
      </c>
      <c r="Q21" s="86">
        <v>2.5628702306609843</v>
      </c>
      <c r="R21" s="86">
        <v>2.3883129007973523</v>
      </c>
      <c r="S21" s="86">
        <v>3.4171243001079645</v>
      </c>
      <c r="T21" s="86">
        <v>2.8525015105263156</v>
      </c>
      <c r="U21" s="86">
        <v>2.3403845581395353</v>
      </c>
      <c r="V21" s="86">
        <v>2.9159170337141549</v>
      </c>
      <c r="W21" s="86">
        <v>3.3055774042867623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99704</v>
      </c>
      <c r="C23" s="54">
        <f t="shared" si="15"/>
        <v>105491</v>
      </c>
      <c r="D23" s="54">
        <f t="shared" ref="D23:V23" si="16">SUM(D24,D28)</f>
        <v>104152</v>
      </c>
      <c r="E23" s="54">
        <f t="shared" si="16"/>
        <v>106027</v>
      </c>
      <c r="F23" s="54">
        <f t="shared" si="16"/>
        <v>106283</v>
      </c>
      <c r="G23" s="54">
        <f t="shared" si="16"/>
        <v>123177</v>
      </c>
      <c r="H23" s="54">
        <f t="shared" si="16"/>
        <v>130494</v>
      </c>
      <c r="I23" s="54">
        <f t="shared" si="16"/>
        <v>137517</v>
      </c>
      <c r="J23" s="54">
        <f t="shared" si="16"/>
        <v>139159</v>
      </c>
      <c r="K23" s="54">
        <f t="shared" si="16"/>
        <v>116813</v>
      </c>
      <c r="L23" s="54">
        <f t="shared" si="16"/>
        <v>105070</v>
      </c>
      <c r="M23" s="54">
        <f t="shared" si="16"/>
        <v>103856</v>
      </c>
      <c r="N23" s="54">
        <f t="shared" si="16"/>
        <v>100880</v>
      </c>
      <c r="O23" s="54">
        <f t="shared" si="16"/>
        <v>101989</v>
      </c>
      <c r="P23" s="54">
        <f t="shared" si="16"/>
        <v>108168</v>
      </c>
      <c r="Q23" s="54">
        <f t="shared" si="16"/>
        <v>113925</v>
      </c>
      <c r="R23" s="54">
        <f t="shared" si="16"/>
        <v>123173</v>
      </c>
      <c r="S23" s="54">
        <f t="shared" si="16"/>
        <v>126898</v>
      </c>
      <c r="T23" s="54">
        <f t="shared" si="16"/>
        <v>132879</v>
      </c>
      <c r="U23" s="54">
        <f t="shared" si="16"/>
        <v>136233</v>
      </c>
      <c r="V23" s="54">
        <f t="shared" si="16"/>
        <v>47283</v>
      </c>
      <c r="W23" s="54">
        <f t="shared" ref="W23" si="17">SUM(W24,W28)</f>
        <v>45466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97835</v>
      </c>
      <c r="C24" s="11">
        <f t="shared" si="18"/>
        <v>103665</v>
      </c>
      <c r="D24" s="11">
        <f t="shared" ref="D24:V24" si="19">SUM(D25:D27)</f>
        <v>102773</v>
      </c>
      <c r="E24" s="11">
        <f t="shared" si="19"/>
        <v>104651</v>
      </c>
      <c r="F24" s="11">
        <f t="shared" si="19"/>
        <v>104319</v>
      </c>
      <c r="G24" s="11">
        <f t="shared" si="19"/>
        <v>120171</v>
      </c>
      <c r="H24" s="11">
        <f t="shared" si="19"/>
        <v>126110</v>
      </c>
      <c r="I24" s="11">
        <f t="shared" si="19"/>
        <v>133638</v>
      </c>
      <c r="J24" s="11">
        <f t="shared" si="19"/>
        <v>135618</v>
      </c>
      <c r="K24" s="11">
        <f t="shared" si="19"/>
        <v>113500</v>
      </c>
      <c r="L24" s="11">
        <f t="shared" si="19"/>
        <v>101757</v>
      </c>
      <c r="M24" s="11">
        <f t="shared" si="19"/>
        <v>100919</v>
      </c>
      <c r="N24" s="11">
        <f t="shared" si="19"/>
        <v>98074</v>
      </c>
      <c r="O24" s="11">
        <f t="shared" si="19"/>
        <v>99289</v>
      </c>
      <c r="P24" s="11">
        <f t="shared" si="19"/>
        <v>105589</v>
      </c>
      <c r="Q24" s="11">
        <f t="shared" si="19"/>
        <v>111204</v>
      </c>
      <c r="R24" s="11">
        <f t="shared" si="19"/>
        <v>120821</v>
      </c>
      <c r="S24" s="11">
        <f t="shared" si="19"/>
        <v>124238</v>
      </c>
      <c r="T24" s="11">
        <f t="shared" si="19"/>
        <v>130287</v>
      </c>
      <c r="U24" s="11">
        <f t="shared" si="19"/>
        <v>133866</v>
      </c>
      <c r="V24" s="11">
        <f t="shared" si="19"/>
        <v>44459</v>
      </c>
      <c r="W24" s="11">
        <f t="shared" ref="W24" si="20">SUM(W25:W27)</f>
        <v>42287</v>
      </c>
      <c r="DA24" s="189" t="s">
        <v>207</v>
      </c>
    </row>
    <row r="25" spans="1:105" ht="11.45" customHeight="1" x14ac:dyDescent="0.25">
      <c r="A25" s="83" t="s">
        <v>27</v>
      </c>
      <c r="B25" s="84">
        <v>14350</v>
      </c>
      <c r="C25" s="84">
        <v>14915</v>
      </c>
      <c r="D25" s="84">
        <v>14106</v>
      </c>
      <c r="E25" s="84">
        <v>15548</v>
      </c>
      <c r="F25" s="84">
        <v>14183</v>
      </c>
      <c r="G25" s="84">
        <v>17648</v>
      </c>
      <c r="H25" s="84">
        <v>17428</v>
      </c>
      <c r="I25" s="84">
        <v>17195</v>
      </c>
      <c r="J25" s="84">
        <v>16098</v>
      </c>
      <c r="K25" s="84">
        <v>12888</v>
      </c>
      <c r="L25" s="84">
        <v>9958</v>
      </c>
      <c r="M25" s="84">
        <v>4384</v>
      </c>
      <c r="N25" s="84">
        <v>2347</v>
      </c>
      <c r="O25" s="84">
        <v>2253</v>
      </c>
      <c r="P25" s="84">
        <v>2201</v>
      </c>
      <c r="Q25" s="84">
        <v>2194</v>
      </c>
      <c r="R25" s="84">
        <v>2222</v>
      </c>
      <c r="S25" s="84">
        <v>2182</v>
      </c>
      <c r="T25" s="84">
        <v>2198</v>
      </c>
      <c r="U25" s="84">
        <v>2217</v>
      </c>
      <c r="V25" s="84">
        <v>2069</v>
      </c>
      <c r="W25" s="84">
        <v>1842</v>
      </c>
      <c r="DA25" s="171" t="s">
        <v>208</v>
      </c>
    </row>
    <row r="26" spans="1:105" ht="11.45" customHeight="1" x14ac:dyDescent="0.25">
      <c r="A26" s="83" t="s">
        <v>173</v>
      </c>
      <c r="B26" s="84">
        <v>77084</v>
      </c>
      <c r="C26" s="84">
        <v>82330</v>
      </c>
      <c r="D26" s="84">
        <v>82429</v>
      </c>
      <c r="E26" s="84">
        <v>83656</v>
      </c>
      <c r="F26" s="84">
        <v>84520</v>
      </c>
      <c r="G26" s="84">
        <v>95498</v>
      </c>
      <c r="H26" s="84">
        <v>100179</v>
      </c>
      <c r="I26" s="84">
        <v>105661</v>
      </c>
      <c r="J26" s="84">
        <v>109662</v>
      </c>
      <c r="K26" s="84">
        <v>92306</v>
      </c>
      <c r="L26" s="84">
        <v>83699</v>
      </c>
      <c r="M26" s="84">
        <v>87707</v>
      </c>
      <c r="N26" s="84">
        <v>87531</v>
      </c>
      <c r="O26" s="84">
        <v>88612</v>
      </c>
      <c r="P26" s="84">
        <v>93687</v>
      </c>
      <c r="Q26" s="84">
        <v>97848</v>
      </c>
      <c r="R26" s="84">
        <v>106937</v>
      </c>
      <c r="S26" s="84">
        <v>108435</v>
      </c>
      <c r="T26" s="84">
        <v>112435</v>
      </c>
      <c r="U26" s="84">
        <v>116235</v>
      </c>
      <c r="V26" s="84">
        <v>38022</v>
      </c>
      <c r="W26" s="84">
        <v>36010</v>
      </c>
      <c r="DA26" s="171" t="s">
        <v>209</v>
      </c>
    </row>
    <row r="27" spans="1:105" ht="11.45" customHeight="1" x14ac:dyDescent="0.25">
      <c r="A27" s="83" t="s">
        <v>174</v>
      </c>
      <c r="B27" s="84">
        <v>6401</v>
      </c>
      <c r="C27" s="84">
        <v>6420</v>
      </c>
      <c r="D27" s="84">
        <v>6238</v>
      </c>
      <c r="E27" s="84">
        <v>5447</v>
      </c>
      <c r="F27" s="84">
        <v>5616</v>
      </c>
      <c r="G27" s="84">
        <v>7025</v>
      </c>
      <c r="H27" s="84">
        <v>8503</v>
      </c>
      <c r="I27" s="84">
        <v>10782</v>
      </c>
      <c r="J27" s="84">
        <v>9858</v>
      </c>
      <c r="K27" s="84">
        <v>8306</v>
      </c>
      <c r="L27" s="84">
        <v>8100</v>
      </c>
      <c r="M27" s="84">
        <v>8828</v>
      </c>
      <c r="N27" s="84">
        <v>8196</v>
      </c>
      <c r="O27" s="84">
        <v>8424</v>
      </c>
      <c r="P27" s="84">
        <v>9701</v>
      </c>
      <c r="Q27" s="84">
        <v>11162</v>
      </c>
      <c r="R27" s="84">
        <v>11662</v>
      </c>
      <c r="S27" s="84">
        <v>13621</v>
      </c>
      <c r="T27" s="84">
        <v>15654</v>
      </c>
      <c r="U27" s="84">
        <v>15414</v>
      </c>
      <c r="V27" s="84">
        <v>4368</v>
      </c>
      <c r="W27" s="84">
        <v>4435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1869</v>
      </c>
      <c r="C28" s="13">
        <f t="shared" si="21"/>
        <v>1826</v>
      </c>
      <c r="D28" s="13">
        <f t="shared" ref="D28:V28" si="22">SUM(D29:D31)</f>
        <v>1379</v>
      </c>
      <c r="E28" s="13">
        <f t="shared" si="22"/>
        <v>1376</v>
      </c>
      <c r="F28" s="13">
        <f t="shared" si="22"/>
        <v>1964</v>
      </c>
      <c r="G28" s="13">
        <f t="shared" si="22"/>
        <v>3006</v>
      </c>
      <c r="H28" s="13">
        <f t="shared" si="22"/>
        <v>4384</v>
      </c>
      <c r="I28" s="13">
        <f t="shared" si="22"/>
        <v>3879</v>
      </c>
      <c r="J28" s="13">
        <f t="shared" si="22"/>
        <v>3541</v>
      </c>
      <c r="K28" s="13">
        <f t="shared" si="22"/>
        <v>3313</v>
      </c>
      <c r="L28" s="13">
        <f t="shared" si="22"/>
        <v>3313</v>
      </c>
      <c r="M28" s="13">
        <f t="shared" si="22"/>
        <v>2937</v>
      </c>
      <c r="N28" s="13">
        <f t="shared" si="22"/>
        <v>2806</v>
      </c>
      <c r="O28" s="13">
        <f t="shared" si="22"/>
        <v>2700</v>
      </c>
      <c r="P28" s="13">
        <f t="shared" si="22"/>
        <v>2579</v>
      </c>
      <c r="Q28" s="13">
        <f t="shared" si="22"/>
        <v>2721</v>
      </c>
      <c r="R28" s="13">
        <f t="shared" si="22"/>
        <v>2352</v>
      </c>
      <c r="S28" s="13">
        <f t="shared" si="22"/>
        <v>2660</v>
      </c>
      <c r="T28" s="13">
        <f t="shared" si="22"/>
        <v>2592</v>
      </c>
      <c r="U28" s="13">
        <f t="shared" si="22"/>
        <v>2367</v>
      </c>
      <c r="V28" s="13">
        <f t="shared" si="22"/>
        <v>2824</v>
      </c>
      <c r="W28" s="13">
        <f t="shared" ref="W28" si="23">SUM(W29:W31)</f>
        <v>3179</v>
      </c>
      <c r="DA28" s="193" t="s">
        <v>211</v>
      </c>
    </row>
    <row r="29" spans="1:105" ht="11.45" customHeight="1" x14ac:dyDescent="0.25">
      <c r="A29" s="92" t="s">
        <v>27</v>
      </c>
      <c r="B29" s="102">
        <v>643</v>
      </c>
      <c r="C29" s="102">
        <v>636</v>
      </c>
      <c r="D29" s="102">
        <v>461</v>
      </c>
      <c r="E29" s="102">
        <v>450</v>
      </c>
      <c r="F29" s="102">
        <v>879</v>
      </c>
      <c r="G29" s="102">
        <v>1207</v>
      </c>
      <c r="H29" s="102">
        <v>1677</v>
      </c>
      <c r="I29" s="102">
        <v>1323</v>
      </c>
      <c r="J29" s="102">
        <v>1064</v>
      </c>
      <c r="K29" s="102">
        <v>998</v>
      </c>
      <c r="L29" s="102">
        <v>938</v>
      </c>
      <c r="M29" s="102">
        <v>705</v>
      </c>
      <c r="N29" s="102">
        <v>639</v>
      </c>
      <c r="O29" s="102">
        <v>548</v>
      </c>
      <c r="P29" s="102">
        <v>398</v>
      </c>
      <c r="Q29" s="102">
        <v>379</v>
      </c>
      <c r="R29" s="102">
        <v>288</v>
      </c>
      <c r="S29" s="102">
        <v>347</v>
      </c>
      <c r="T29" s="102">
        <v>347</v>
      </c>
      <c r="U29" s="102">
        <v>207</v>
      </c>
      <c r="V29" s="102">
        <v>209</v>
      </c>
      <c r="W29" s="102">
        <v>371</v>
      </c>
      <c r="DA29" s="175" t="s">
        <v>212</v>
      </c>
    </row>
    <row r="30" spans="1:105" ht="11.45" customHeight="1" x14ac:dyDescent="0.25">
      <c r="A30" s="92" t="s">
        <v>173</v>
      </c>
      <c r="B30" s="102">
        <v>1108</v>
      </c>
      <c r="C30" s="102">
        <v>1075</v>
      </c>
      <c r="D30" s="102">
        <v>800</v>
      </c>
      <c r="E30" s="102">
        <v>789</v>
      </c>
      <c r="F30" s="102">
        <v>846</v>
      </c>
      <c r="G30" s="102">
        <v>1550</v>
      </c>
      <c r="H30" s="102">
        <v>2351</v>
      </c>
      <c r="I30" s="102">
        <v>2155</v>
      </c>
      <c r="J30" s="102">
        <v>2091</v>
      </c>
      <c r="K30" s="102">
        <v>2030</v>
      </c>
      <c r="L30" s="102">
        <v>1979</v>
      </c>
      <c r="M30" s="102">
        <v>1906</v>
      </c>
      <c r="N30" s="102">
        <v>1771</v>
      </c>
      <c r="O30" s="102">
        <v>1733</v>
      </c>
      <c r="P30" s="102">
        <v>1761</v>
      </c>
      <c r="Q30" s="102">
        <v>1856</v>
      </c>
      <c r="R30" s="102">
        <v>1617</v>
      </c>
      <c r="S30" s="102">
        <v>1691</v>
      </c>
      <c r="T30" s="102">
        <v>1734</v>
      </c>
      <c r="U30" s="102">
        <v>1747</v>
      </c>
      <c r="V30" s="102">
        <v>2119</v>
      </c>
      <c r="W30" s="102">
        <v>2227</v>
      </c>
      <c r="DA30" s="175" t="s">
        <v>213</v>
      </c>
    </row>
    <row r="31" spans="1:105" ht="11.45" customHeight="1" x14ac:dyDescent="0.25">
      <c r="A31" s="85" t="s">
        <v>174</v>
      </c>
      <c r="B31" s="86">
        <v>118</v>
      </c>
      <c r="C31" s="86">
        <v>115</v>
      </c>
      <c r="D31" s="86">
        <v>118</v>
      </c>
      <c r="E31" s="86">
        <v>137</v>
      </c>
      <c r="F31" s="86">
        <v>239</v>
      </c>
      <c r="G31" s="86">
        <v>249</v>
      </c>
      <c r="H31" s="86">
        <v>356</v>
      </c>
      <c r="I31" s="86">
        <v>401</v>
      </c>
      <c r="J31" s="86">
        <v>386</v>
      </c>
      <c r="K31" s="86">
        <v>285</v>
      </c>
      <c r="L31" s="86">
        <v>396</v>
      </c>
      <c r="M31" s="86">
        <v>326</v>
      </c>
      <c r="N31" s="86">
        <v>396</v>
      </c>
      <c r="O31" s="86">
        <v>419</v>
      </c>
      <c r="P31" s="86">
        <v>420</v>
      </c>
      <c r="Q31" s="86">
        <v>486</v>
      </c>
      <c r="R31" s="86">
        <v>447</v>
      </c>
      <c r="S31" s="86">
        <v>622</v>
      </c>
      <c r="T31" s="86">
        <v>511</v>
      </c>
      <c r="U31" s="86">
        <v>413</v>
      </c>
      <c r="V31" s="86">
        <v>496</v>
      </c>
      <c r="W31" s="86">
        <v>581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9630631</v>
      </c>
      <c r="C34" s="11">
        <f t="shared" si="24"/>
        <v>10242065</v>
      </c>
      <c r="D34" s="11">
        <f t="shared" ref="D34:V34" si="25">SUM(D35:D37)</f>
        <v>10205963</v>
      </c>
      <c r="E34" s="11">
        <f t="shared" si="25"/>
        <v>10310797</v>
      </c>
      <c r="F34" s="11">
        <f t="shared" si="25"/>
        <v>10968461</v>
      </c>
      <c r="G34" s="11">
        <f t="shared" si="25"/>
        <v>12851721</v>
      </c>
      <c r="H34" s="11">
        <f t="shared" si="25"/>
        <v>14608386</v>
      </c>
      <c r="I34" s="11">
        <f t="shared" si="25"/>
        <v>15535512</v>
      </c>
      <c r="J34" s="11">
        <f t="shared" si="25"/>
        <v>15552046</v>
      </c>
      <c r="K34" s="11">
        <f t="shared" si="25"/>
        <v>13516487</v>
      </c>
      <c r="L34" s="11">
        <f t="shared" si="25"/>
        <v>11762833</v>
      </c>
      <c r="M34" s="11">
        <f t="shared" si="25"/>
        <v>11768195</v>
      </c>
      <c r="N34" s="11">
        <f t="shared" si="25"/>
        <v>11846216</v>
      </c>
      <c r="O34" s="11">
        <f t="shared" si="25"/>
        <v>12366546</v>
      </c>
      <c r="P34" s="11">
        <f t="shared" si="25"/>
        <v>13207228</v>
      </c>
      <c r="Q34" s="11">
        <f t="shared" si="25"/>
        <v>14848766</v>
      </c>
      <c r="R34" s="11">
        <f t="shared" si="25"/>
        <v>16411108</v>
      </c>
      <c r="S34" s="11">
        <f t="shared" si="25"/>
        <v>17251344</v>
      </c>
      <c r="T34" s="11">
        <f t="shared" si="25"/>
        <v>18298649</v>
      </c>
      <c r="U34" s="11">
        <f t="shared" si="25"/>
        <v>19057537</v>
      </c>
      <c r="V34" s="11">
        <f t="shared" si="25"/>
        <v>4136195</v>
      </c>
      <c r="W34" s="11">
        <f t="shared" ref="W34" si="26">SUM(W35:W37)</f>
        <v>4587369</v>
      </c>
      <c r="DA34" s="189" t="s">
        <v>215</v>
      </c>
    </row>
    <row r="35" spans="1:105" ht="11.45" customHeight="1" x14ac:dyDescent="0.25">
      <c r="A35" s="83" t="s">
        <v>27</v>
      </c>
      <c r="B35" s="84">
        <v>903082</v>
      </c>
      <c r="C35" s="84">
        <v>915301</v>
      </c>
      <c r="D35" s="84">
        <v>829265</v>
      </c>
      <c r="E35" s="84">
        <v>872219</v>
      </c>
      <c r="F35" s="84">
        <v>858204</v>
      </c>
      <c r="G35" s="84">
        <v>1016875</v>
      </c>
      <c r="H35" s="84">
        <v>1209096</v>
      </c>
      <c r="I35" s="84">
        <v>1033549</v>
      </c>
      <c r="J35" s="84">
        <v>915310</v>
      </c>
      <c r="K35" s="84">
        <v>662381</v>
      </c>
      <c r="L35" s="84">
        <v>369339</v>
      </c>
      <c r="M35" s="84">
        <v>109177</v>
      </c>
      <c r="N35" s="84">
        <v>51605</v>
      </c>
      <c r="O35" s="84">
        <v>60249</v>
      </c>
      <c r="P35" s="84">
        <v>56002</v>
      </c>
      <c r="Q35" s="84">
        <v>65306</v>
      </c>
      <c r="R35" s="84">
        <v>70032</v>
      </c>
      <c r="S35" s="84">
        <v>71535</v>
      </c>
      <c r="T35" s="84">
        <v>84119</v>
      </c>
      <c r="U35" s="84">
        <v>81059</v>
      </c>
      <c r="V35" s="84">
        <v>24217</v>
      </c>
      <c r="W35" s="84">
        <v>32181</v>
      </c>
      <c r="DA35" s="171" t="s">
        <v>216</v>
      </c>
    </row>
    <row r="36" spans="1:105" ht="11.45" customHeight="1" x14ac:dyDescent="0.25">
      <c r="A36" s="83" t="s">
        <v>173</v>
      </c>
      <c r="B36" s="84">
        <v>7527943</v>
      </c>
      <c r="C36" s="84">
        <v>8132771</v>
      </c>
      <c r="D36" s="84">
        <v>8227825</v>
      </c>
      <c r="E36" s="84">
        <v>8436321</v>
      </c>
      <c r="F36" s="84">
        <v>9027604</v>
      </c>
      <c r="G36" s="84">
        <v>10619620</v>
      </c>
      <c r="H36" s="84">
        <v>12046661</v>
      </c>
      <c r="I36" s="84">
        <v>13002871</v>
      </c>
      <c r="J36" s="84">
        <v>13108738</v>
      </c>
      <c r="K36" s="84">
        <v>11449799</v>
      </c>
      <c r="L36" s="84">
        <v>10100869</v>
      </c>
      <c r="M36" s="84">
        <v>10321549</v>
      </c>
      <c r="N36" s="84">
        <v>10314388</v>
      </c>
      <c r="O36" s="84">
        <v>10644938</v>
      </c>
      <c r="P36" s="84">
        <v>11294346</v>
      </c>
      <c r="Q36" s="84">
        <v>12659567</v>
      </c>
      <c r="R36" s="84">
        <v>14039963</v>
      </c>
      <c r="S36" s="84">
        <v>14514139</v>
      </c>
      <c r="T36" s="84">
        <v>15174911</v>
      </c>
      <c r="U36" s="84">
        <v>15860743</v>
      </c>
      <c r="V36" s="84">
        <v>3585178</v>
      </c>
      <c r="W36" s="84">
        <v>4040681</v>
      </c>
      <c r="DA36" s="171" t="s">
        <v>217</v>
      </c>
    </row>
    <row r="37" spans="1:105" ht="11.45" customHeight="1" x14ac:dyDescent="0.25">
      <c r="A37" s="83" t="s">
        <v>174</v>
      </c>
      <c r="B37" s="84">
        <v>1199606</v>
      </c>
      <c r="C37" s="84">
        <v>1193993</v>
      </c>
      <c r="D37" s="84">
        <v>1148873</v>
      </c>
      <c r="E37" s="84">
        <v>1002257</v>
      </c>
      <c r="F37" s="84">
        <v>1082653</v>
      </c>
      <c r="G37" s="84">
        <v>1215226</v>
      </c>
      <c r="H37" s="84">
        <v>1352629</v>
      </c>
      <c r="I37" s="84">
        <v>1499092</v>
      </c>
      <c r="J37" s="84">
        <v>1527998</v>
      </c>
      <c r="K37" s="84">
        <v>1404307</v>
      </c>
      <c r="L37" s="84">
        <v>1292625</v>
      </c>
      <c r="M37" s="84">
        <v>1337469</v>
      </c>
      <c r="N37" s="84">
        <v>1480223</v>
      </c>
      <c r="O37" s="84">
        <v>1661359</v>
      </c>
      <c r="P37" s="84">
        <v>1856880</v>
      </c>
      <c r="Q37" s="84">
        <v>2123893</v>
      </c>
      <c r="R37" s="84">
        <v>2301113</v>
      </c>
      <c r="S37" s="84">
        <v>2665670</v>
      </c>
      <c r="T37" s="84">
        <v>3039619</v>
      </c>
      <c r="U37" s="84">
        <v>3115735</v>
      </c>
      <c r="V37" s="84">
        <v>526800</v>
      </c>
      <c r="W37" s="84">
        <v>514507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30408.484861695775</v>
      </c>
      <c r="C38" s="13">
        <f t="shared" si="27"/>
        <v>29987.735243162348</v>
      </c>
      <c r="D38" s="13">
        <f t="shared" ref="D38:V38" si="28">SUM(D39:D41)</f>
        <v>23992.884518009909</v>
      </c>
      <c r="E38" s="13">
        <f t="shared" si="28"/>
        <v>25115.963969676905</v>
      </c>
      <c r="F38" s="13">
        <f t="shared" si="28"/>
        <v>34052.420603127313</v>
      </c>
      <c r="G38" s="13">
        <f t="shared" si="28"/>
        <v>46642.18110378259</v>
      </c>
      <c r="H38" s="13">
        <f t="shared" si="28"/>
        <v>65131.189245748465</v>
      </c>
      <c r="I38" s="13">
        <f t="shared" si="28"/>
        <v>60475.418079715593</v>
      </c>
      <c r="J38" s="13">
        <f t="shared" si="28"/>
        <v>55728.270368449805</v>
      </c>
      <c r="K38" s="13">
        <f t="shared" si="28"/>
        <v>51188.939924648577</v>
      </c>
      <c r="L38" s="13">
        <f t="shared" si="28"/>
        <v>58695.351308367433</v>
      </c>
      <c r="M38" s="13">
        <f t="shared" si="28"/>
        <v>55155.987210656276</v>
      </c>
      <c r="N38" s="13">
        <f t="shared" si="28"/>
        <v>59568.938046865544</v>
      </c>
      <c r="O38" s="13">
        <f t="shared" si="28"/>
        <v>59820.352873667434</v>
      </c>
      <c r="P38" s="13">
        <f t="shared" si="28"/>
        <v>64941.881261720744</v>
      </c>
      <c r="Q38" s="13">
        <f t="shared" si="28"/>
        <v>70797.458187715529</v>
      </c>
      <c r="R38" s="13">
        <f t="shared" si="28"/>
        <v>70299.096804021043</v>
      </c>
      <c r="S38" s="13">
        <f t="shared" si="28"/>
        <v>82545.651476124345</v>
      </c>
      <c r="T38" s="13">
        <f t="shared" si="28"/>
        <v>75285.73408112381</v>
      </c>
      <c r="U38" s="13">
        <f t="shared" si="28"/>
        <v>68265.045545146917</v>
      </c>
      <c r="V38" s="13">
        <f t="shared" si="28"/>
        <v>65082.245151148287</v>
      </c>
      <c r="W38" s="13">
        <f t="shared" ref="W38" si="29">SUM(W39:W41)</f>
        <v>75718.289718400454</v>
      </c>
      <c r="DA38" s="193" t="s">
        <v>219</v>
      </c>
    </row>
    <row r="39" spans="1:105" ht="11.45" customHeight="1" x14ac:dyDescent="0.25">
      <c r="A39" s="92" t="s">
        <v>27</v>
      </c>
      <c r="B39" s="102">
        <v>6444.9566416142397</v>
      </c>
      <c r="C39" s="102">
        <v>6326.1882385485569</v>
      </c>
      <c r="D39" s="102">
        <v>4715.3943989433455</v>
      </c>
      <c r="E39" s="102">
        <v>4896.025168826618</v>
      </c>
      <c r="F39" s="102">
        <v>9005.612784902185</v>
      </c>
      <c r="G39" s="102">
        <v>12101.824065738769</v>
      </c>
      <c r="H39" s="102">
        <v>16173.487606534194</v>
      </c>
      <c r="I39" s="102">
        <v>12712.031478770465</v>
      </c>
      <c r="J39" s="102">
        <v>9835.8853617727709</v>
      </c>
      <c r="K39" s="102">
        <v>9305.4636802123259</v>
      </c>
      <c r="L39" s="102">
        <v>9354.3824289827535</v>
      </c>
      <c r="M39" s="102">
        <v>7681.266568928826</v>
      </c>
      <c r="N39" s="102">
        <v>7151.2466865051465</v>
      </c>
      <c r="O39" s="102">
        <v>6286.9301957493444</v>
      </c>
      <c r="P39" s="102">
        <v>5121.0734398984087</v>
      </c>
      <c r="Q39" s="102">
        <v>5018.0513408524739</v>
      </c>
      <c r="R39" s="102">
        <v>4395.2621743011887</v>
      </c>
      <c r="S39" s="102">
        <v>4870.9432260306339</v>
      </c>
      <c r="T39" s="102">
        <v>4957.8755418725959</v>
      </c>
      <c r="U39" s="102">
        <v>3271.2872587656275</v>
      </c>
      <c r="V39" s="102">
        <v>3044.1853573144376</v>
      </c>
      <c r="W39" s="102">
        <v>5466.2701050809837</v>
      </c>
      <c r="DA39" s="175" t="s">
        <v>220</v>
      </c>
    </row>
    <row r="40" spans="1:105" ht="11.45" customHeight="1" x14ac:dyDescent="0.25">
      <c r="A40" s="92" t="s">
        <v>173</v>
      </c>
      <c r="B40" s="102">
        <v>17812.291606802948</v>
      </c>
      <c r="C40" s="102">
        <v>17470.082947320203</v>
      </c>
      <c r="D40" s="102">
        <v>13036.71571352813</v>
      </c>
      <c r="E40" s="102">
        <v>13545.161658424693</v>
      </c>
      <c r="F40" s="102">
        <v>13560.604616185745</v>
      </c>
      <c r="G40" s="102">
        <v>23530.584059853758</v>
      </c>
      <c r="H40" s="102">
        <v>32879.378099368929</v>
      </c>
      <c r="I40" s="102">
        <v>29643.393718168507</v>
      </c>
      <c r="J40" s="102">
        <v>28556.002768758633</v>
      </c>
      <c r="K40" s="102">
        <v>27662.323399087792</v>
      </c>
      <c r="L40" s="102">
        <v>28538.73719707421</v>
      </c>
      <c r="M40" s="102">
        <v>29523.374941928225</v>
      </c>
      <c r="N40" s="102">
        <v>29153.88696726285</v>
      </c>
      <c r="O40" s="102">
        <v>28667.36082187486</v>
      </c>
      <c r="P40" s="102">
        <v>32046.243050649413</v>
      </c>
      <c r="Q40" s="102">
        <v>33734.221256163444</v>
      </c>
      <c r="R40" s="102">
        <v>33267.368812621586</v>
      </c>
      <c r="S40" s="102">
        <v>32345.607085995605</v>
      </c>
      <c r="T40" s="102">
        <v>32965.116382534281</v>
      </c>
      <c r="U40" s="102">
        <v>34053.643575339025</v>
      </c>
      <c r="V40" s="102">
        <v>37123.10939356951</v>
      </c>
      <c r="W40" s="102">
        <v>39307.282153838358</v>
      </c>
      <c r="DA40" s="175" t="s">
        <v>221</v>
      </c>
    </row>
    <row r="41" spans="1:105" ht="11.45" customHeight="1" x14ac:dyDescent="0.25">
      <c r="A41" s="85" t="s">
        <v>174</v>
      </c>
      <c r="B41" s="86">
        <v>6151.2366132785864</v>
      </c>
      <c r="C41" s="86">
        <v>6191.4640572935859</v>
      </c>
      <c r="D41" s="86">
        <v>6240.7744055384328</v>
      </c>
      <c r="E41" s="86">
        <v>6674.7771424255952</v>
      </c>
      <c r="F41" s="86">
        <v>11486.203202039384</v>
      </c>
      <c r="G41" s="86">
        <v>11009.772978190063</v>
      </c>
      <c r="H41" s="86">
        <v>16078.32353984534</v>
      </c>
      <c r="I41" s="86">
        <v>18119.99288277662</v>
      </c>
      <c r="J41" s="86">
        <v>17336.382237918398</v>
      </c>
      <c r="K41" s="86">
        <v>14221.152845348459</v>
      </c>
      <c r="L41" s="86">
        <v>20802.23168231047</v>
      </c>
      <c r="M41" s="86">
        <v>17951.345699799225</v>
      </c>
      <c r="N41" s="86">
        <v>23263.804393097547</v>
      </c>
      <c r="O41" s="86">
        <v>24866.06185604323</v>
      </c>
      <c r="P41" s="86">
        <v>27774.564771172925</v>
      </c>
      <c r="Q41" s="86">
        <v>32045.185590699617</v>
      </c>
      <c r="R41" s="86">
        <v>32636.465817098266</v>
      </c>
      <c r="S41" s="86">
        <v>45329.101164098109</v>
      </c>
      <c r="T41" s="86">
        <v>37362.742156716944</v>
      </c>
      <c r="U41" s="86">
        <v>30940.114711042268</v>
      </c>
      <c r="V41" s="86">
        <v>24914.950400264337</v>
      </c>
      <c r="W41" s="86">
        <v>30944.737459481119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71.578715740521815</v>
      </c>
      <c r="C43" s="54">
        <f t="shared" si="30"/>
        <v>75.810120934999006</v>
      </c>
      <c r="D43" s="54">
        <f t="shared" ref="D43:V43" si="31">SUM(D44,D48)</f>
        <v>75.696000208027129</v>
      </c>
      <c r="E43" s="54">
        <f t="shared" si="31"/>
        <v>76.099148011874547</v>
      </c>
      <c r="F43" s="54">
        <f t="shared" si="31"/>
        <v>77.216703632673585</v>
      </c>
      <c r="G43" s="54">
        <f t="shared" si="31"/>
        <v>91.652925139852556</v>
      </c>
      <c r="H43" s="54">
        <f t="shared" si="31"/>
        <v>102.7313088239835</v>
      </c>
      <c r="I43" s="54">
        <f t="shared" si="31"/>
        <v>114.62530487126901</v>
      </c>
      <c r="J43" s="54">
        <f t="shared" si="31"/>
        <v>114.81888902205385</v>
      </c>
      <c r="K43" s="54">
        <f t="shared" si="31"/>
        <v>107.77294855636872</v>
      </c>
      <c r="L43" s="54">
        <f t="shared" si="31"/>
        <v>100.65625960616576</v>
      </c>
      <c r="M43" s="54">
        <f t="shared" si="31"/>
        <v>97.341049190132665</v>
      </c>
      <c r="N43" s="54">
        <f t="shared" si="31"/>
        <v>93.404858194693489</v>
      </c>
      <c r="O43" s="54">
        <f t="shared" si="31"/>
        <v>91.726402278607196</v>
      </c>
      <c r="P43" s="54">
        <f t="shared" si="31"/>
        <v>97.139937890634656</v>
      </c>
      <c r="Q43" s="54">
        <f t="shared" si="31"/>
        <v>104.35898586768599</v>
      </c>
      <c r="R43" s="54">
        <f t="shared" si="31"/>
        <v>111.97904260091236</v>
      </c>
      <c r="S43" s="54">
        <f t="shared" si="31"/>
        <v>120.07286817962364</v>
      </c>
      <c r="T43" s="54">
        <f t="shared" si="31"/>
        <v>128.68000263672357</v>
      </c>
      <c r="U43" s="54">
        <f t="shared" si="31"/>
        <v>131.4592847709377</v>
      </c>
      <c r="V43" s="54">
        <f t="shared" si="31"/>
        <v>127.35950276881975</v>
      </c>
      <c r="W43" s="54">
        <f t="shared" ref="W43" si="32">SUM(W44,W48)</f>
        <v>123.27413272697179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69.900299827430317</v>
      </c>
      <c r="C44" s="11">
        <f t="shared" si="33"/>
        <v>74.172243505499026</v>
      </c>
      <c r="D44" s="11">
        <f t="shared" ref="D44:V44" si="34">SUM(D45:D47)</f>
        <v>74.181193103841466</v>
      </c>
      <c r="E44" s="11">
        <f t="shared" si="34"/>
        <v>74.659072864423152</v>
      </c>
      <c r="F44" s="11">
        <f t="shared" si="34"/>
        <v>75.235913830066593</v>
      </c>
      <c r="G44" s="11">
        <f t="shared" si="34"/>
        <v>88.809547306454249</v>
      </c>
      <c r="H44" s="11">
        <f t="shared" si="34"/>
        <v>98.513612405401489</v>
      </c>
      <c r="I44" s="11">
        <f t="shared" si="34"/>
        <v>110.42560618679042</v>
      </c>
      <c r="J44" s="11">
        <f t="shared" si="34"/>
        <v>110.77746977614204</v>
      </c>
      <c r="K44" s="11">
        <f t="shared" si="34"/>
        <v>103.78743979339902</v>
      </c>
      <c r="L44" s="11">
        <f t="shared" si="34"/>
        <v>96.838592434505216</v>
      </c>
      <c r="M44" s="11">
        <f t="shared" si="34"/>
        <v>93.683876883311072</v>
      </c>
      <c r="N44" s="11">
        <f t="shared" si="34"/>
        <v>89.81252108391439</v>
      </c>
      <c r="O44" s="11">
        <f t="shared" si="34"/>
        <v>88.077114388001917</v>
      </c>
      <c r="P44" s="11">
        <f t="shared" si="34"/>
        <v>93.49681554435702</v>
      </c>
      <c r="Q44" s="11">
        <f t="shared" si="34"/>
        <v>100.49506433135882</v>
      </c>
      <c r="R44" s="11">
        <f t="shared" si="34"/>
        <v>108.28296265589434</v>
      </c>
      <c r="S44" s="11">
        <f t="shared" si="34"/>
        <v>115.92711845984425</v>
      </c>
      <c r="T44" s="11">
        <f t="shared" si="34"/>
        <v>124.6656495388136</v>
      </c>
      <c r="U44" s="11">
        <f t="shared" si="34"/>
        <v>127.50104575307471</v>
      </c>
      <c r="V44" s="11">
        <f t="shared" si="34"/>
        <v>123.15105126076107</v>
      </c>
      <c r="W44" s="11">
        <f t="shared" ref="W44" si="35">SUM(W45:W47)</f>
        <v>118.77422605736872</v>
      </c>
      <c r="DA44" s="189" t="s">
        <v>224</v>
      </c>
    </row>
    <row r="45" spans="1:105" ht="11.45" customHeight="1" x14ac:dyDescent="0.25">
      <c r="A45" s="83" t="s">
        <v>27</v>
      </c>
      <c r="B45" s="84">
        <v>5.6385068762278978</v>
      </c>
      <c r="C45" s="84">
        <v>5.860510805500982</v>
      </c>
      <c r="D45" s="84">
        <v>5.5426326129666013</v>
      </c>
      <c r="E45" s="84">
        <v>6.1092337917485269</v>
      </c>
      <c r="F45" s="84">
        <v>5.5728880157170924</v>
      </c>
      <c r="G45" s="84">
        <v>6.9371069182389933</v>
      </c>
      <c r="H45" s="84">
        <v>6.9131297104323677</v>
      </c>
      <c r="I45" s="84">
        <v>6.9056224899598391</v>
      </c>
      <c r="J45" s="84">
        <v>6.4135458167330679</v>
      </c>
      <c r="K45" s="84">
        <v>5.8496951291102786</v>
      </c>
      <c r="L45" s="84">
        <v>5.2858444414874892</v>
      </c>
      <c r="M45" s="84">
        <v>4.7219937538646999</v>
      </c>
      <c r="N45" s="84">
        <v>4.1581430662419105</v>
      </c>
      <c r="O45" s="84">
        <v>3.5942923786191208</v>
      </c>
      <c r="P45" s="84">
        <v>3.030441690996331</v>
      </c>
      <c r="Q45" s="84">
        <v>2.4665910033735412</v>
      </c>
      <c r="R45" s="84">
        <v>1.9027403157507514</v>
      </c>
      <c r="S45" s="84">
        <v>1.3388896281279616</v>
      </c>
      <c r="T45" s="84">
        <v>0.88450704225352117</v>
      </c>
      <c r="U45" s="84">
        <v>0.89215291750503023</v>
      </c>
      <c r="V45" s="84">
        <v>0.82627795527156545</v>
      </c>
      <c r="W45" s="84">
        <v>0.73357228195937874</v>
      </c>
      <c r="DA45" s="171" t="s">
        <v>225</v>
      </c>
    </row>
    <row r="46" spans="1:105" ht="11.45" customHeight="1" x14ac:dyDescent="0.25">
      <c r="A46" s="83" t="s">
        <v>173</v>
      </c>
      <c r="B46" s="84">
        <v>49.941882436661025</v>
      </c>
      <c r="C46" s="84">
        <v>53.949316592615496</v>
      </c>
      <c r="D46" s="84">
        <v>54.683303220181351</v>
      </c>
      <c r="E46" s="84">
        <v>56.026572853435248</v>
      </c>
      <c r="F46" s="84">
        <v>57.099267425087753</v>
      </c>
      <c r="G46" s="84">
        <v>65.535231085889677</v>
      </c>
      <c r="H46" s="84">
        <v>70.962133180406013</v>
      </c>
      <c r="I46" s="84">
        <v>76.831864884949397</v>
      </c>
      <c r="J46" s="84">
        <v>79.10779619898193</v>
      </c>
      <c r="K46" s="84">
        <v>74.113607955315828</v>
      </c>
      <c r="L46" s="84">
        <v>69.160602335498965</v>
      </c>
      <c r="M46" s="84">
        <v>67.001684124471254</v>
      </c>
      <c r="N46" s="84">
        <v>65.126170064151509</v>
      </c>
      <c r="O46" s="84">
        <v>63.370040054495576</v>
      </c>
      <c r="P46" s="84">
        <v>65.844546442193177</v>
      </c>
      <c r="Q46" s="84">
        <v>69.036265535777488</v>
      </c>
      <c r="R46" s="84">
        <v>75.77129845562915</v>
      </c>
      <c r="S46" s="84">
        <v>77.972637433866822</v>
      </c>
      <c r="T46" s="84">
        <v>81.243099018299205</v>
      </c>
      <c r="U46" s="84">
        <v>85.06172302424892</v>
      </c>
      <c r="V46" s="84">
        <v>81.732264195138171</v>
      </c>
      <c r="W46" s="84">
        <v>78.402805366027437</v>
      </c>
      <c r="DA46" s="171" t="s">
        <v>226</v>
      </c>
    </row>
    <row r="47" spans="1:105" ht="11.45" customHeight="1" x14ac:dyDescent="0.25">
      <c r="A47" s="83" t="s">
        <v>174</v>
      </c>
      <c r="B47" s="84">
        <v>14.319910514541387</v>
      </c>
      <c r="C47" s="84">
        <v>14.36241610738255</v>
      </c>
      <c r="D47" s="84">
        <v>13.955257270693512</v>
      </c>
      <c r="E47" s="84">
        <v>12.523266219239373</v>
      </c>
      <c r="F47" s="84">
        <v>12.563758389261745</v>
      </c>
      <c r="G47" s="84">
        <v>16.337209302325583</v>
      </c>
      <c r="H47" s="84">
        <v>20.638349514563107</v>
      </c>
      <c r="I47" s="84">
        <v>26.688118811881189</v>
      </c>
      <c r="J47" s="84">
        <v>25.256127760427049</v>
      </c>
      <c r="K47" s="84">
        <v>23.824136708972908</v>
      </c>
      <c r="L47" s="84">
        <v>22.392145657518768</v>
      </c>
      <c r="M47" s="84">
        <v>21.960199004975124</v>
      </c>
      <c r="N47" s="84">
        <v>20.528207953520983</v>
      </c>
      <c r="O47" s="84">
        <v>21.112781954887218</v>
      </c>
      <c r="P47" s="84">
        <v>24.621827411167512</v>
      </c>
      <c r="Q47" s="84">
        <v>28.992207792207793</v>
      </c>
      <c r="R47" s="84">
        <v>30.608923884514436</v>
      </c>
      <c r="S47" s="84">
        <v>36.615591397849464</v>
      </c>
      <c r="T47" s="84">
        <v>42.538043478260867</v>
      </c>
      <c r="U47" s="84">
        <v>41.547169811320757</v>
      </c>
      <c r="V47" s="84">
        <v>40.59250911035133</v>
      </c>
      <c r="W47" s="84">
        <v>39.637848409381903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1.6784159130915022</v>
      </c>
      <c r="C48" s="13">
        <f t="shared" si="36"/>
        <v>1.6378774294999796</v>
      </c>
      <c r="D48" s="13">
        <f t="shared" ref="D48:V48" si="37">SUM(D49:D51)</f>
        <v>1.5148071041856603</v>
      </c>
      <c r="E48" s="13">
        <f t="shared" si="37"/>
        <v>1.4400751474514017</v>
      </c>
      <c r="F48" s="13">
        <f t="shared" si="37"/>
        <v>1.9807898026069868</v>
      </c>
      <c r="G48" s="13">
        <f t="shared" si="37"/>
        <v>2.843377833398308</v>
      </c>
      <c r="H48" s="13">
        <f t="shared" si="37"/>
        <v>4.2176964185820101</v>
      </c>
      <c r="I48" s="13">
        <f t="shared" si="37"/>
        <v>4.1996986844785926</v>
      </c>
      <c r="J48" s="13">
        <f t="shared" si="37"/>
        <v>4.0414192459118103</v>
      </c>
      <c r="K48" s="13">
        <f t="shared" si="37"/>
        <v>3.9855087629697006</v>
      </c>
      <c r="L48" s="13">
        <f t="shared" si="37"/>
        <v>3.8176671716605499</v>
      </c>
      <c r="M48" s="13">
        <f t="shared" si="37"/>
        <v>3.6571723068215873</v>
      </c>
      <c r="N48" s="13">
        <f t="shared" si="37"/>
        <v>3.5923371107790985</v>
      </c>
      <c r="O48" s="13">
        <f t="shared" si="37"/>
        <v>3.6492878906052741</v>
      </c>
      <c r="P48" s="13">
        <f t="shared" si="37"/>
        <v>3.6431223462776314</v>
      </c>
      <c r="Q48" s="13">
        <f t="shared" si="37"/>
        <v>3.8639215363271751</v>
      </c>
      <c r="R48" s="13">
        <f t="shared" si="37"/>
        <v>3.6960799450180248</v>
      </c>
      <c r="S48" s="13">
        <f t="shared" si="37"/>
        <v>4.1457497197793884</v>
      </c>
      <c r="T48" s="13">
        <f t="shared" si="37"/>
        <v>4.014353097909976</v>
      </c>
      <c r="U48" s="13">
        <f t="shared" si="37"/>
        <v>3.9582390178629936</v>
      </c>
      <c r="V48" s="13">
        <f t="shared" si="37"/>
        <v>4.2084515080586815</v>
      </c>
      <c r="W48" s="13">
        <f t="shared" ref="W48" si="38">SUM(W49:W51)</f>
        <v>4.4999066696030594</v>
      </c>
      <c r="DA48" s="193" t="s">
        <v>228</v>
      </c>
    </row>
    <row r="49" spans="1:105" ht="11.45" customHeight="1" x14ac:dyDescent="0.25">
      <c r="A49" s="92" t="s">
        <v>27</v>
      </c>
      <c r="B49" s="102">
        <v>0.41645077720207252</v>
      </c>
      <c r="C49" s="102">
        <v>0.41191709844559588</v>
      </c>
      <c r="D49" s="102">
        <v>0.37027202072538862</v>
      </c>
      <c r="E49" s="102">
        <v>0.32862694300518136</v>
      </c>
      <c r="F49" s="102">
        <v>0.56930051813471505</v>
      </c>
      <c r="G49" s="102">
        <v>0.78173575129533679</v>
      </c>
      <c r="H49" s="102">
        <v>1.0953625081645983</v>
      </c>
      <c r="I49" s="102">
        <v>1.053717430444391</v>
      </c>
      <c r="J49" s="102">
        <v>1.0120723527241837</v>
      </c>
      <c r="K49" s="102">
        <v>0.97042727500397641</v>
      </c>
      <c r="L49" s="102">
        <v>0.9287821972837691</v>
      </c>
      <c r="M49" s="102">
        <v>0.88713711956356178</v>
      </c>
      <c r="N49" s="102">
        <v>0.84549204184335447</v>
      </c>
      <c r="O49" s="102">
        <v>0.80384696412314716</v>
      </c>
      <c r="P49" s="102">
        <v>0.76220188640293984</v>
      </c>
      <c r="Q49" s="102">
        <v>0.72055680868273253</v>
      </c>
      <c r="R49" s="102">
        <v>0.67891173096252522</v>
      </c>
      <c r="S49" s="102">
        <v>0.6372666532423179</v>
      </c>
      <c r="T49" s="102">
        <v>0.59562157552211059</v>
      </c>
      <c r="U49" s="102">
        <v>0.55397649780190328</v>
      </c>
      <c r="V49" s="102">
        <v>0.5262131126550984</v>
      </c>
      <c r="W49" s="102">
        <v>0.49844972750829358</v>
      </c>
      <c r="DA49" s="175" t="s">
        <v>229</v>
      </c>
    </row>
    <row r="50" spans="1:105" ht="11.45" customHeight="1" x14ac:dyDescent="0.25">
      <c r="A50" s="92" t="s">
        <v>173</v>
      </c>
      <c r="B50" s="102">
        <v>0.90546966761148406</v>
      </c>
      <c r="C50" s="102">
        <v>0.87852830688519956</v>
      </c>
      <c r="D50" s="102">
        <v>0.78803961518232624</v>
      </c>
      <c r="E50" s="102">
        <v>0.69755092347945291</v>
      </c>
      <c r="F50" s="102">
        <v>0.68943490380761929</v>
      </c>
      <c r="G50" s="102">
        <v>1.2883501566371327</v>
      </c>
      <c r="H50" s="102">
        <v>2.0269492950327961</v>
      </c>
      <c r="I50" s="102">
        <v>1.9453824516389913</v>
      </c>
      <c r="J50" s="102">
        <v>1.8643976376202114</v>
      </c>
      <c r="K50" s="102">
        <v>1.8857817792261038</v>
      </c>
      <c r="L50" s="102">
        <v>1.7952348124649555</v>
      </c>
      <c r="M50" s="102">
        <v>1.7120345721739947</v>
      </c>
      <c r="N50" s="102">
        <v>1.6313521111892653</v>
      </c>
      <c r="O50" s="102">
        <v>1.6517087327499336</v>
      </c>
      <c r="P50" s="102">
        <v>1.6705458201052394</v>
      </c>
      <c r="Q50" s="102">
        <v>1.7139529629385601</v>
      </c>
      <c r="R50" s="102">
        <v>1.6234059961774119</v>
      </c>
      <c r="S50" s="102">
        <v>1.6179055589382862</v>
      </c>
      <c r="T50" s="102">
        <v>1.5638035616168753</v>
      </c>
      <c r="U50" s="102">
        <v>1.5849841061178951</v>
      </c>
      <c r="V50" s="102">
        <v>1.8867263460122512</v>
      </c>
      <c r="W50" s="102">
        <v>2.1858319420947656</v>
      </c>
      <c r="DA50" s="175" t="s">
        <v>230</v>
      </c>
    </row>
    <row r="51" spans="1:105" ht="11.45" customHeight="1" x14ac:dyDescent="0.25">
      <c r="A51" s="85" t="s">
        <v>174</v>
      </c>
      <c r="B51" s="86">
        <v>0.35649546827794559</v>
      </c>
      <c r="C51" s="86">
        <v>0.34743202416918428</v>
      </c>
      <c r="D51" s="86">
        <v>0.35649546827794559</v>
      </c>
      <c r="E51" s="86">
        <v>0.41389728096676737</v>
      </c>
      <c r="F51" s="86">
        <v>0.72205438066465255</v>
      </c>
      <c r="G51" s="86">
        <v>0.77329192546583847</v>
      </c>
      <c r="H51" s="86">
        <v>1.0953846153846154</v>
      </c>
      <c r="I51" s="86">
        <v>1.2005988023952097</v>
      </c>
      <c r="J51" s="86">
        <v>1.164949255567415</v>
      </c>
      <c r="K51" s="86">
        <v>1.1292997087396204</v>
      </c>
      <c r="L51" s="86">
        <v>1.0936501619118257</v>
      </c>
      <c r="M51" s="86">
        <v>1.0580006150840311</v>
      </c>
      <c r="N51" s="86">
        <v>1.1154929577464789</v>
      </c>
      <c r="O51" s="86">
        <v>1.1937321937321936</v>
      </c>
      <c r="P51" s="86">
        <v>1.2103746397694524</v>
      </c>
      <c r="Q51" s="86">
        <v>1.4294117647058824</v>
      </c>
      <c r="R51" s="86">
        <v>1.3937622178780877</v>
      </c>
      <c r="S51" s="86">
        <v>1.8905775075987843</v>
      </c>
      <c r="T51" s="86">
        <v>1.8549279607709896</v>
      </c>
      <c r="U51" s="86">
        <v>1.819278413943195</v>
      </c>
      <c r="V51" s="86">
        <v>1.7955120493913319</v>
      </c>
      <c r="W51" s="86">
        <v>1.815625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6.820864903366501</v>
      </c>
      <c r="C53" s="54">
        <f t="shared" si="39"/>
        <v>6.7584092256422013</v>
      </c>
      <c r="D53" s="54">
        <f t="shared" ref="D53:V53" si="40">SUM(D54,D58)</f>
        <v>2.6245494841425727</v>
      </c>
      <c r="E53" s="54">
        <f t="shared" si="40"/>
        <v>3.9725340304856509</v>
      </c>
      <c r="F53" s="54">
        <f t="shared" si="40"/>
        <v>3.9877374406845822</v>
      </c>
      <c r="G53" s="54">
        <f t="shared" si="40"/>
        <v>16.963225538343981</v>
      </c>
      <c r="H53" s="54">
        <f t="shared" si="40"/>
        <v>13.806921073465835</v>
      </c>
      <c r="I53" s="54">
        <f t="shared" si="40"/>
        <v>14.502334292967319</v>
      </c>
      <c r="J53" s="54">
        <f t="shared" si="40"/>
        <v>4.0765611858702595</v>
      </c>
      <c r="K53" s="54">
        <f t="shared" si="40"/>
        <v>7.9384027340388741E-2</v>
      </c>
      <c r="L53" s="54">
        <f t="shared" si="40"/>
        <v>4.1993585817472534E-2</v>
      </c>
      <c r="M53" s="54">
        <f t="shared" si="40"/>
        <v>0.953646273048111</v>
      </c>
      <c r="N53" s="54">
        <f t="shared" si="40"/>
        <v>1.2593232828551757</v>
      </c>
      <c r="O53" s="54">
        <f t="shared" si="40"/>
        <v>2.5403209771144226</v>
      </c>
      <c r="P53" s="54">
        <f t="shared" si="40"/>
        <v>8.3981783182303307</v>
      </c>
      <c r="Q53" s="54">
        <f t="shared" si="40"/>
        <v>10.170332640259325</v>
      </c>
      <c r="R53" s="54">
        <f t="shared" si="40"/>
        <v>10.628806768824298</v>
      </c>
      <c r="S53" s="54">
        <f t="shared" si="40"/>
        <v>11.045149091958528</v>
      </c>
      <c r="T53" s="54">
        <f t="shared" si="40"/>
        <v>11.478511744079261</v>
      </c>
      <c r="U53" s="54">
        <f t="shared" si="40"/>
        <v>5.8983002627384984</v>
      </c>
      <c r="V53" s="54">
        <f t="shared" si="40"/>
        <v>0.46424057913289785</v>
      </c>
      <c r="W53" s="54">
        <f t="shared" ref="W53" si="41">SUM(W54,W58)</f>
        <v>0.48339336043526104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6.5812567209418891</v>
      </c>
      <c r="C54" s="11">
        <f t="shared" si="42"/>
        <v>6.7443517949177236</v>
      </c>
      <c r="D54" s="11">
        <f t="shared" ref="D54:V54" si="43">SUM(D55:D57)</f>
        <v>2.6038855475428115</v>
      </c>
      <c r="E54" s="11">
        <f t="shared" si="43"/>
        <v>3.9035317253058293</v>
      </c>
      <c r="F54" s="11">
        <f t="shared" si="43"/>
        <v>3.3902444983408722</v>
      </c>
      <c r="G54" s="11">
        <f t="shared" si="43"/>
        <v>16.046041593236659</v>
      </c>
      <c r="H54" s="11">
        <f t="shared" si="43"/>
        <v>12.377967723926858</v>
      </c>
      <c r="I54" s="11">
        <f t="shared" si="43"/>
        <v>14.38440189823794</v>
      </c>
      <c r="J54" s="11">
        <f t="shared" si="43"/>
        <v>4.0742418671195368</v>
      </c>
      <c r="K54" s="11">
        <f t="shared" si="43"/>
        <v>8.109619682349356E-4</v>
      </c>
      <c r="L54" s="11">
        <f t="shared" si="43"/>
        <v>4.1993585817472534E-2</v>
      </c>
      <c r="M54" s="11">
        <f t="shared" si="43"/>
        <v>0.953646273048111</v>
      </c>
      <c r="N54" s="11">
        <f t="shared" si="43"/>
        <v>1.1902498727207278</v>
      </c>
      <c r="O54" s="11">
        <f t="shared" si="43"/>
        <v>2.3729551283297785</v>
      </c>
      <c r="P54" s="11">
        <f t="shared" si="43"/>
        <v>8.2606096006438925</v>
      </c>
      <c r="Q54" s="11">
        <f t="shared" si="43"/>
        <v>9.8391572312905886</v>
      </c>
      <c r="R54" s="11">
        <f t="shared" si="43"/>
        <v>10.628806768824298</v>
      </c>
      <c r="S54" s="11">
        <f t="shared" si="43"/>
        <v>10.485064248238697</v>
      </c>
      <c r="T54" s="11">
        <f t="shared" si="43"/>
        <v>11.469971421509785</v>
      </c>
      <c r="U54" s="11">
        <f t="shared" si="43"/>
        <v>5.8199307944712171</v>
      </c>
      <c r="V54" s="11">
        <f t="shared" si="43"/>
        <v>0.13319463732269177</v>
      </c>
      <c r="W54" s="11">
        <f t="shared" ref="W54" si="44">SUM(W55:W57)</f>
        <v>0.10636392624396995</v>
      </c>
      <c r="DA54" s="189" t="s">
        <v>233</v>
      </c>
    </row>
    <row r="55" spans="1:105" ht="11.45" customHeight="1" x14ac:dyDescent="0.25">
      <c r="A55" s="83" t="s">
        <v>27</v>
      </c>
      <c r="B55" s="84">
        <v>0.93405370006512189</v>
      </c>
      <c r="C55" s="84">
        <v>0.41735428945608444</v>
      </c>
      <c r="D55" s="84">
        <v>0</v>
      </c>
      <c r="E55" s="84">
        <v>0.76195153896492585</v>
      </c>
      <c r="F55" s="84">
        <v>0</v>
      </c>
      <c r="G55" s="84">
        <v>1.5595692627049011</v>
      </c>
      <c r="H55" s="84">
        <v>0.17137315237637463</v>
      </c>
      <c r="I55" s="84">
        <v>0.18784313971047162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0.20299623543450906</v>
      </c>
      <c r="V55" s="84">
        <v>0.12947539794953511</v>
      </c>
      <c r="W55" s="84">
        <v>0.1026446868708133</v>
      </c>
      <c r="DA55" s="171" t="s">
        <v>234</v>
      </c>
    </row>
    <row r="56" spans="1:105" ht="11.45" customHeight="1" x14ac:dyDescent="0.25">
      <c r="A56" s="83" t="s">
        <v>173</v>
      </c>
      <c r="B56" s="84">
        <v>5.6472030208767672</v>
      </c>
      <c r="C56" s="84">
        <v>5.8057447090414769</v>
      </c>
      <c r="D56" s="84">
        <v>2.5322971806528511</v>
      </c>
      <c r="E56" s="84">
        <v>3.1415801863409034</v>
      </c>
      <c r="F56" s="84">
        <v>2.8710051247395012</v>
      </c>
      <c r="G56" s="84">
        <v>10.234274213888916</v>
      </c>
      <c r="H56" s="84">
        <v>7.4267071557339577</v>
      </c>
      <c r="I56" s="84">
        <v>7.6680422576303844</v>
      </c>
      <c r="J56" s="84">
        <v>4.0742418671195368</v>
      </c>
      <c r="K56" s="84">
        <v>8.109619682349356E-4</v>
      </c>
      <c r="L56" s="84">
        <v>4.1993585817472534E-2</v>
      </c>
      <c r="M56" s="84">
        <v>0.90684572201275393</v>
      </c>
      <c r="N56" s="84">
        <v>1.1902498727207278</v>
      </c>
      <c r="O56" s="84">
        <v>1.3096339233845424</v>
      </c>
      <c r="P56" s="84">
        <v>4.2728169407845984</v>
      </c>
      <c r="Q56" s="84">
        <v>4.9900296466713074</v>
      </c>
      <c r="R56" s="84">
        <v>8.5333434729386539</v>
      </c>
      <c r="S56" s="84">
        <v>3.9996495313246703</v>
      </c>
      <c r="T56" s="84">
        <v>5.0687721375193835</v>
      </c>
      <c r="U56" s="84">
        <v>5.6169345590367081</v>
      </c>
      <c r="V56" s="84">
        <v>3.7192393731566575E-3</v>
      </c>
      <c r="W56" s="84">
        <v>3.7192393731566575E-3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0.52125279642016231</v>
      </c>
      <c r="D57" s="84">
        <v>7.1588366889960398E-2</v>
      </c>
      <c r="E57" s="84">
        <v>0</v>
      </c>
      <c r="F57" s="84">
        <v>0.51923937360137096</v>
      </c>
      <c r="G57" s="84">
        <v>4.2521981166428393</v>
      </c>
      <c r="H57" s="84">
        <v>4.7798874158165248</v>
      </c>
      <c r="I57" s="84">
        <v>6.5285165008970836</v>
      </c>
      <c r="J57" s="84">
        <v>0</v>
      </c>
      <c r="K57" s="84">
        <v>0</v>
      </c>
      <c r="L57" s="84">
        <v>0</v>
      </c>
      <c r="M57" s="84">
        <v>4.6800551035357074E-2</v>
      </c>
      <c r="N57" s="84">
        <v>0</v>
      </c>
      <c r="O57" s="84">
        <v>1.0633212049452361</v>
      </c>
      <c r="P57" s="84">
        <v>3.987792659859295</v>
      </c>
      <c r="Q57" s="84">
        <v>4.8491275846192821</v>
      </c>
      <c r="R57" s="84">
        <v>2.0954632958856436</v>
      </c>
      <c r="S57" s="84">
        <v>6.4854147169140255</v>
      </c>
      <c r="T57" s="84">
        <v>6.4011992839904011</v>
      </c>
      <c r="U57" s="84">
        <v>0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0.2396081824246121</v>
      </c>
      <c r="C58" s="13">
        <f t="shared" si="45"/>
        <v>1.4057430724477585E-2</v>
      </c>
      <c r="D58" s="13">
        <f t="shared" ref="D58:V58" si="46">SUM(D59:D61)</f>
        <v>2.0663936599761304E-2</v>
      </c>
      <c r="E58" s="13">
        <f t="shared" si="46"/>
        <v>6.9002305179821768E-2</v>
      </c>
      <c r="F58" s="13">
        <f t="shared" si="46"/>
        <v>0.59749294234371031</v>
      </c>
      <c r="G58" s="13">
        <f t="shared" si="46"/>
        <v>0.91718394510732115</v>
      </c>
      <c r="H58" s="13">
        <f t="shared" si="46"/>
        <v>1.4289533495389768</v>
      </c>
      <c r="I58" s="13">
        <f t="shared" si="46"/>
        <v>0.1179323947293798</v>
      </c>
      <c r="J58" s="13">
        <f t="shared" si="46"/>
        <v>2.3193187507230205E-3</v>
      </c>
      <c r="K58" s="13">
        <f t="shared" si="46"/>
        <v>7.8573065372153805E-2</v>
      </c>
      <c r="L58" s="13">
        <f t="shared" si="46"/>
        <v>0</v>
      </c>
      <c r="M58" s="13">
        <f t="shared" si="46"/>
        <v>0</v>
      </c>
      <c r="N58" s="13">
        <f t="shared" si="46"/>
        <v>6.9073410134447899E-2</v>
      </c>
      <c r="O58" s="13">
        <f t="shared" si="46"/>
        <v>0.16736584878464422</v>
      </c>
      <c r="P58" s="13">
        <f t="shared" si="46"/>
        <v>0.13756871758643802</v>
      </c>
      <c r="Q58" s="13">
        <f t="shared" si="46"/>
        <v>0.33117540896873698</v>
      </c>
      <c r="R58" s="13">
        <f t="shared" si="46"/>
        <v>0</v>
      </c>
      <c r="S58" s="13">
        <f t="shared" si="46"/>
        <v>0.56008484371983247</v>
      </c>
      <c r="T58" s="13">
        <f t="shared" si="46"/>
        <v>8.540322569476233E-3</v>
      </c>
      <c r="U58" s="13">
        <f t="shared" si="46"/>
        <v>7.8369468267280973E-2</v>
      </c>
      <c r="V58" s="13">
        <f t="shared" si="46"/>
        <v>0.33104594181020608</v>
      </c>
      <c r="W58" s="13">
        <f t="shared" ref="W58" si="47">SUM(W59:W61)</f>
        <v>0.37702943419129109</v>
      </c>
      <c r="DA58" s="193" t="s">
        <v>237</v>
      </c>
    </row>
    <row r="59" spans="1:105" ht="11.45" customHeight="1" x14ac:dyDescent="0.25">
      <c r="A59" s="92" t="s">
        <v>27</v>
      </c>
      <c r="B59" s="102">
        <v>8.6269430051626905E-2</v>
      </c>
      <c r="C59" s="102">
        <v>9.1968911915233376E-3</v>
      </c>
      <c r="D59" s="102">
        <v>0</v>
      </c>
      <c r="E59" s="102">
        <v>0</v>
      </c>
      <c r="F59" s="102">
        <v>0.25440414507753373</v>
      </c>
      <c r="G59" s="102">
        <v>0.22616580310862178</v>
      </c>
      <c r="H59" s="102">
        <v>0.32735732681726148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0.15333875237298519</v>
      </c>
      <c r="C60" s="102">
        <v>2.3429161697155619E-3</v>
      </c>
      <c r="D60" s="102">
        <v>1.942501900000003E-5</v>
      </c>
      <c r="E60" s="102">
        <v>1.942501900000003E-5</v>
      </c>
      <c r="F60" s="102">
        <v>2.3350630096291292E-2</v>
      </c>
      <c r="G60" s="102">
        <v>0.62819952972551341</v>
      </c>
      <c r="H60" s="102">
        <v>0.76792226533093855</v>
      </c>
      <c r="I60" s="102">
        <v>1.1371402467854853E-3</v>
      </c>
      <c r="J60" s="102">
        <v>2.3193187507230205E-3</v>
      </c>
      <c r="K60" s="102">
        <v>7.8573065372153805E-2</v>
      </c>
      <c r="L60" s="102">
        <v>0</v>
      </c>
      <c r="M60" s="102">
        <v>0</v>
      </c>
      <c r="N60" s="102">
        <v>0</v>
      </c>
      <c r="O60" s="102">
        <v>7.7545545326929477E-2</v>
      </c>
      <c r="P60" s="102">
        <v>0.10934520407717924</v>
      </c>
      <c r="Q60" s="102">
        <v>0.10055721656030689</v>
      </c>
      <c r="R60" s="102">
        <v>0</v>
      </c>
      <c r="S60" s="102">
        <v>5.1688486527135868E-2</v>
      </c>
      <c r="T60" s="102">
        <v>8.540322569476233E-3</v>
      </c>
      <c r="U60" s="102">
        <v>7.8369468267280973E-2</v>
      </c>
      <c r="V60" s="102">
        <v>0.33104594181020608</v>
      </c>
      <c r="W60" s="102">
        <v>0.34533541611062291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2.5176233632386857E-3</v>
      </c>
      <c r="D61" s="86">
        <v>2.0644511580761304E-2</v>
      </c>
      <c r="E61" s="86">
        <v>6.8982880160821769E-2</v>
      </c>
      <c r="F61" s="86">
        <v>0.31973816716988523</v>
      </c>
      <c r="G61" s="86">
        <v>6.281861227318597E-2</v>
      </c>
      <c r="H61" s="86">
        <v>0.33367375739077698</v>
      </c>
      <c r="I61" s="86">
        <v>0.11679525448259431</v>
      </c>
      <c r="J61" s="86">
        <v>0</v>
      </c>
      <c r="K61" s="86">
        <v>0</v>
      </c>
      <c r="L61" s="86">
        <v>0</v>
      </c>
      <c r="M61" s="86">
        <v>0</v>
      </c>
      <c r="N61" s="86">
        <v>6.9073410134447899E-2</v>
      </c>
      <c r="O61" s="86">
        <v>8.9820303457714745E-2</v>
      </c>
      <c r="P61" s="86">
        <v>2.822351350925878E-2</v>
      </c>
      <c r="Q61" s="86">
        <v>0.23061819240843007</v>
      </c>
      <c r="R61" s="86">
        <v>0</v>
      </c>
      <c r="S61" s="86">
        <v>0.5083963571926966</v>
      </c>
      <c r="T61" s="86">
        <v>0</v>
      </c>
      <c r="U61" s="86">
        <v>0</v>
      </c>
      <c r="V61" s="86">
        <v>0</v>
      </c>
      <c r="W61" s="86">
        <v>3.1694018080668185E-2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98.437481473910154</v>
      </c>
      <c r="C66" s="14">
        <f t="shared" si="48"/>
        <v>98.799643081078472</v>
      </c>
      <c r="D66" s="14">
        <f t="shared" ref="D66:V66" si="49">IF(D34=0,0,D34/D24)</f>
        <v>99.305878002977437</v>
      </c>
      <c r="E66" s="14">
        <f t="shared" si="49"/>
        <v>98.525546817517267</v>
      </c>
      <c r="F66" s="14">
        <f t="shared" si="49"/>
        <v>105.14346379854102</v>
      </c>
      <c r="G66" s="14">
        <f t="shared" si="49"/>
        <v>106.9452779788801</v>
      </c>
      <c r="H66" s="14">
        <f t="shared" si="49"/>
        <v>115.83844262945048</v>
      </c>
      <c r="I66" s="14">
        <f t="shared" si="49"/>
        <v>116.25070713419835</v>
      </c>
      <c r="J66" s="14">
        <f t="shared" si="49"/>
        <v>114.67538232388031</v>
      </c>
      <c r="K66" s="14">
        <f t="shared" si="49"/>
        <v>119.08799118942731</v>
      </c>
      <c r="L66" s="14">
        <f t="shared" si="49"/>
        <v>115.59728569041933</v>
      </c>
      <c r="M66" s="14">
        <f t="shared" si="49"/>
        <v>116.61030133077023</v>
      </c>
      <c r="N66" s="14">
        <f t="shared" si="49"/>
        <v>120.78854742337418</v>
      </c>
      <c r="O66" s="14">
        <f t="shared" si="49"/>
        <v>124.5510177361037</v>
      </c>
      <c r="P66" s="14">
        <f t="shared" si="49"/>
        <v>125.08147629014385</v>
      </c>
      <c r="Q66" s="14">
        <f t="shared" si="49"/>
        <v>133.52726520628755</v>
      </c>
      <c r="R66" s="14">
        <f t="shared" si="49"/>
        <v>135.82993022736113</v>
      </c>
      <c r="S66" s="14">
        <f t="shared" si="49"/>
        <v>138.85722564754744</v>
      </c>
      <c r="T66" s="14">
        <f t="shared" si="49"/>
        <v>140.44877079063912</v>
      </c>
      <c r="U66" s="14">
        <f t="shared" si="49"/>
        <v>142.36278816129561</v>
      </c>
      <c r="V66" s="14">
        <f t="shared" si="49"/>
        <v>93.033918891563019</v>
      </c>
      <c r="W66" s="14">
        <f t="shared" ref="W66" si="50">IF(W34=0,0,W34/W24)</f>
        <v>108.48177927022489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62.932543554006969</v>
      </c>
      <c r="C67" s="87">
        <f t="shared" si="48"/>
        <v>61.367817633255115</v>
      </c>
      <c r="D67" s="87">
        <f t="shared" ref="D67:V67" si="51">IF(D35=0,0,D35/D25)</f>
        <v>58.788104352757692</v>
      </c>
      <c r="E67" s="87">
        <f t="shared" si="51"/>
        <v>56.09846925649601</v>
      </c>
      <c r="F67" s="87">
        <f t="shared" si="51"/>
        <v>60.509342170203766</v>
      </c>
      <c r="G67" s="87">
        <f t="shared" si="51"/>
        <v>57.619843608340886</v>
      </c>
      <c r="H67" s="87">
        <f t="shared" si="51"/>
        <v>69.376635299518014</v>
      </c>
      <c r="I67" s="87">
        <f t="shared" si="51"/>
        <v>60.107531259086947</v>
      </c>
      <c r="J67" s="87">
        <f t="shared" si="51"/>
        <v>56.858615977140019</v>
      </c>
      <c r="K67" s="87">
        <f t="shared" si="51"/>
        <v>51.395173805090003</v>
      </c>
      <c r="L67" s="87">
        <f t="shared" si="51"/>
        <v>37.089676641895963</v>
      </c>
      <c r="M67" s="87">
        <f t="shared" si="51"/>
        <v>24.903512773722628</v>
      </c>
      <c r="N67" s="87">
        <f t="shared" si="51"/>
        <v>21.987643800596505</v>
      </c>
      <c r="O67" s="87">
        <f t="shared" si="51"/>
        <v>26.74167776298269</v>
      </c>
      <c r="P67" s="87">
        <f t="shared" si="51"/>
        <v>25.443889141299408</v>
      </c>
      <c r="Q67" s="87">
        <f t="shared" si="51"/>
        <v>29.765724703737465</v>
      </c>
      <c r="R67" s="87">
        <f t="shared" si="51"/>
        <v>31.517551755175518</v>
      </c>
      <c r="S67" s="87">
        <f t="shared" si="51"/>
        <v>32.784142988084326</v>
      </c>
      <c r="T67" s="87">
        <f t="shared" si="51"/>
        <v>38.270700636942678</v>
      </c>
      <c r="U67" s="87">
        <f t="shared" si="51"/>
        <v>36.562471808750566</v>
      </c>
      <c r="V67" s="87">
        <f t="shared" si="51"/>
        <v>11.704688255195746</v>
      </c>
      <c r="W67" s="87">
        <f t="shared" ref="W67" si="52">IF(W35=0,0,W35/W25)</f>
        <v>17.470684039087949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97.658956463079235</v>
      </c>
      <c r="C68" s="87">
        <f t="shared" si="48"/>
        <v>98.782594437021743</v>
      </c>
      <c r="D68" s="87">
        <f t="shared" ref="D68:V68" si="53">IF(D36=0,0,D36/D26)</f>
        <v>99.817115335622177</v>
      </c>
      <c r="E68" s="87">
        <f t="shared" si="53"/>
        <v>100.845378693698</v>
      </c>
      <c r="F68" s="87">
        <f t="shared" si="53"/>
        <v>106.81026975863701</v>
      </c>
      <c r="G68" s="87">
        <f t="shared" si="53"/>
        <v>111.20253827305284</v>
      </c>
      <c r="H68" s="87">
        <f t="shared" si="53"/>
        <v>120.25136006548279</v>
      </c>
      <c r="I68" s="87">
        <f t="shared" si="53"/>
        <v>123.06216106226518</v>
      </c>
      <c r="J68" s="87">
        <f t="shared" si="53"/>
        <v>119.53765205814229</v>
      </c>
      <c r="K68" s="87">
        <f t="shared" si="53"/>
        <v>124.04176326565987</v>
      </c>
      <c r="L68" s="87">
        <f t="shared" si="53"/>
        <v>120.68088029725564</v>
      </c>
      <c r="M68" s="87">
        <f t="shared" si="53"/>
        <v>117.68215763850091</v>
      </c>
      <c r="N68" s="87">
        <f t="shared" si="53"/>
        <v>117.83697204419006</v>
      </c>
      <c r="O68" s="87">
        <f t="shared" si="53"/>
        <v>120.12975669209588</v>
      </c>
      <c r="P68" s="87">
        <f t="shared" si="53"/>
        <v>120.55403631240193</v>
      </c>
      <c r="Q68" s="87">
        <f t="shared" si="53"/>
        <v>129.37992600768538</v>
      </c>
      <c r="R68" s="87">
        <f t="shared" si="53"/>
        <v>131.29191019011193</v>
      </c>
      <c r="S68" s="87">
        <f t="shared" si="53"/>
        <v>133.85105362659658</v>
      </c>
      <c r="T68" s="87">
        <f t="shared" si="53"/>
        <v>134.96607817850312</v>
      </c>
      <c r="U68" s="87">
        <f t="shared" si="53"/>
        <v>136.45410590613844</v>
      </c>
      <c r="V68" s="87">
        <f t="shared" si="53"/>
        <v>94.292199253064013</v>
      </c>
      <c r="W68" s="87">
        <f t="shared" ref="W68" si="54">IF(W36=0,0,W36/W26)</f>
        <v>112.20996945292974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187.40915481955943</v>
      </c>
      <c r="C69" s="87">
        <f t="shared" si="48"/>
        <v>185.98021806853583</v>
      </c>
      <c r="D69" s="87">
        <f t="shared" ref="D69:V69" si="55">IF(D37=0,0,D37/D27)</f>
        <v>184.1732927220263</v>
      </c>
      <c r="E69" s="87">
        <f t="shared" si="55"/>
        <v>184.00165228566183</v>
      </c>
      <c r="F69" s="87">
        <f t="shared" si="55"/>
        <v>192.78009259259258</v>
      </c>
      <c r="G69" s="87">
        <f t="shared" si="55"/>
        <v>172.9859074733096</v>
      </c>
      <c r="H69" s="87">
        <f t="shared" si="55"/>
        <v>159.07667881924027</v>
      </c>
      <c r="I69" s="87">
        <f t="shared" si="55"/>
        <v>139.03654238545724</v>
      </c>
      <c r="J69" s="87">
        <f t="shared" si="55"/>
        <v>155.00081152363563</v>
      </c>
      <c r="K69" s="87">
        <f t="shared" si="55"/>
        <v>169.07139417288707</v>
      </c>
      <c r="L69" s="87">
        <f t="shared" si="55"/>
        <v>159.58333333333334</v>
      </c>
      <c r="M69" s="87">
        <f t="shared" si="55"/>
        <v>151.50305845038514</v>
      </c>
      <c r="N69" s="87">
        <f t="shared" si="55"/>
        <v>180.60309907271841</v>
      </c>
      <c r="O69" s="87">
        <f t="shared" si="55"/>
        <v>197.21735517568851</v>
      </c>
      <c r="P69" s="87">
        <f t="shared" si="55"/>
        <v>191.41119472219358</v>
      </c>
      <c r="Q69" s="87">
        <f t="shared" si="55"/>
        <v>190.27889267156422</v>
      </c>
      <c r="R69" s="87">
        <f t="shared" si="55"/>
        <v>197.31718401646373</v>
      </c>
      <c r="S69" s="87">
        <f t="shared" si="55"/>
        <v>195.70295866676454</v>
      </c>
      <c r="T69" s="87">
        <f t="shared" si="55"/>
        <v>194.17522677909798</v>
      </c>
      <c r="U69" s="87">
        <f t="shared" si="55"/>
        <v>202.13669391462307</v>
      </c>
      <c r="V69" s="87">
        <f t="shared" si="55"/>
        <v>120.60439560439561</v>
      </c>
      <c r="W69" s="87">
        <f t="shared" ref="W69" si="56">IF(W37=0,0,W37/W27)</f>
        <v>116.01059751972943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16.269922344406513</v>
      </c>
      <c r="C70" s="15">
        <f t="shared" si="48"/>
        <v>16.422637044448162</v>
      </c>
      <c r="D70" s="15">
        <f t="shared" ref="D70:V70" si="57">IF(D38=0,0,D38/D28)</f>
        <v>17.398755995656206</v>
      </c>
      <c r="E70" s="15">
        <f t="shared" si="57"/>
        <v>18.252880791916354</v>
      </c>
      <c r="F70" s="15">
        <f t="shared" si="57"/>
        <v>17.338299696093337</v>
      </c>
      <c r="G70" s="15">
        <f t="shared" si="57"/>
        <v>15.516360979302259</v>
      </c>
      <c r="H70" s="15">
        <f t="shared" si="57"/>
        <v>14.856566889997369</v>
      </c>
      <c r="I70" s="15">
        <f t="shared" si="57"/>
        <v>15.590466120060736</v>
      </c>
      <c r="J70" s="15">
        <f t="shared" si="57"/>
        <v>15.738003492925673</v>
      </c>
      <c r="K70" s="15">
        <f t="shared" si="57"/>
        <v>15.450932666661206</v>
      </c>
      <c r="L70" s="15">
        <f t="shared" si="57"/>
        <v>17.716677122960288</v>
      </c>
      <c r="M70" s="15">
        <f t="shared" si="57"/>
        <v>18.779702829641224</v>
      </c>
      <c r="N70" s="15">
        <f t="shared" si="57"/>
        <v>21.229129738726137</v>
      </c>
      <c r="O70" s="15">
        <f t="shared" si="57"/>
        <v>22.155686249506456</v>
      </c>
      <c r="P70" s="15">
        <f t="shared" si="57"/>
        <v>25.181031896750966</v>
      </c>
      <c r="Q70" s="15">
        <f t="shared" si="57"/>
        <v>26.01891149860916</v>
      </c>
      <c r="R70" s="15">
        <f t="shared" si="57"/>
        <v>29.889071770417111</v>
      </c>
      <c r="S70" s="15">
        <f t="shared" si="57"/>
        <v>31.032199803054265</v>
      </c>
      <c r="T70" s="15">
        <f t="shared" si="57"/>
        <v>29.045422099199001</v>
      </c>
      <c r="U70" s="15">
        <f t="shared" si="57"/>
        <v>28.84032342422768</v>
      </c>
      <c r="V70" s="15">
        <f t="shared" si="57"/>
        <v>23.046120804230981</v>
      </c>
      <c r="W70" s="15">
        <f t="shared" ref="W70" si="58">IF(W38=0,0,W38/W28)</f>
        <v>23.818272953255885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10.245293270650951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12.867018693212081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14.037300363200675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14.733881684854403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16.076075457403384</v>
      </c>
      <c r="C72" s="41">
        <f t="shared" si="48"/>
        <v>16.251239950995537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16.029083470668731</v>
      </c>
      <c r="G72" s="41">
        <f t="shared" si="61"/>
        <v>15.181021974099199</v>
      </c>
      <c r="H72" s="41">
        <f t="shared" si="61"/>
        <v>13.985273542904691</v>
      </c>
      <c r="I72" s="41">
        <f t="shared" si="61"/>
        <v>13.75563513604107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52.530888086642598</v>
      </c>
      <c r="M73" s="40">
        <f t="shared" si="63"/>
        <v>55.065477606746093</v>
      </c>
      <c r="N73" s="40">
        <f t="shared" si="63"/>
        <v>58.746980790650369</v>
      </c>
      <c r="O73" s="40">
        <f t="shared" si="63"/>
        <v>59.346209680294109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922.17600936441943</v>
      </c>
      <c r="C75" s="62">
        <f t="shared" si="65"/>
        <v>931.45453284631913</v>
      </c>
      <c r="D75" s="62">
        <f t="shared" ref="D75:V75" si="66">IF(D13=0,0,D13*1000000/D23)</f>
        <v>947.62830360656392</v>
      </c>
      <c r="E75" s="62">
        <f t="shared" si="66"/>
        <v>935.20910987436491</v>
      </c>
      <c r="F75" s="62">
        <f t="shared" si="66"/>
        <v>964.90903244521996</v>
      </c>
      <c r="G75" s="62">
        <f t="shared" si="66"/>
        <v>1007.3690145146738</v>
      </c>
      <c r="H75" s="62">
        <f t="shared" si="66"/>
        <v>1111.453075902851</v>
      </c>
      <c r="I75" s="62">
        <f t="shared" si="66"/>
        <v>1220.7992719680581</v>
      </c>
      <c r="J75" s="62">
        <f t="shared" si="66"/>
        <v>1194.5574545387067</v>
      </c>
      <c r="K75" s="62">
        <f t="shared" si="66"/>
        <v>1176.1866640395292</v>
      </c>
      <c r="L75" s="62">
        <f t="shared" si="66"/>
        <v>1197.4947453767038</v>
      </c>
      <c r="M75" s="62">
        <f t="shared" si="66"/>
        <v>1268.5185784486609</v>
      </c>
      <c r="N75" s="62">
        <f t="shared" si="66"/>
        <v>1260.8627996488967</v>
      </c>
      <c r="O75" s="62">
        <f t="shared" si="66"/>
        <v>1269.3343276428398</v>
      </c>
      <c r="P75" s="62">
        <f t="shared" si="66"/>
        <v>1289.4356844707841</v>
      </c>
      <c r="Q75" s="62">
        <f t="shared" si="66"/>
        <v>1344.8955515482735</v>
      </c>
      <c r="R75" s="62">
        <f t="shared" si="66"/>
        <v>1347.2672128601087</v>
      </c>
      <c r="S75" s="62">
        <f t="shared" si="66"/>
        <v>1444.9492778886693</v>
      </c>
      <c r="T75" s="62">
        <f t="shared" si="66"/>
        <v>1499.4271273919621</v>
      </c>
      <c r="U75" s="62">
        <f t="shared" si="66"/>
        <v>1492.0921348955733</v>
      </c>
      <c r="V75" s="62">
        <f t="shared" si="66"/>
        <v>1461.8329147718046</v>
      </c>
      <c r="W75" s="62">
        <f t="shared" ref="W75" si="67">IF(W13=0,0,W13*1000000/W23)</f>
        <v>1586.5682545924956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924.50373417038043</v>
      </c>
      <c r="C76" s="14">
        <f t="shared" si="65"/>
        <v>933.81269600144378</v>
      </c>
      <c r="D76" s="14">
        <f t="shared" ref="D76:V76" si="68">IF(D14=0,0,D14*1000000/D24)</f>
        <v>948.10443354383312</v>
      </c>
      <c r="E76" s="14">
        <f t="shared" si="68"/>
        <v>934.58460871755096</v>
      </c>
      <c r="F76" s="14">
        <f t="shared" si="68"/>
        <v>963.73531744552565</v>
      </c>
      <c r="G76" s="14">
        <f t="shared" si="68"/>
        <v>1009.9773388622423</v>
      </c>
      <c r="H76" s="14">
        <f t="shared" si="68"/>
        <v>1116.9723146216645</v>
      </c>
      <c r="I76" s="14">
        <f t="shared" si="68"/>
        <v>1224.7876993981974</v>
      </c>
      <c r="J76" s="14">
        <f t="shared" si="68"/>
        <v>1196.1603478487791</v>
      </c>
      <c r="K76" s="14">
        <f t="shared" si="68"/>
        <v>1181.9658166778511</v>
      </c>
      <c r="L76" s="14">
        <f t="shared" si="68"/>
        <v>1200.4769820541999</v>
      </c>
      <c r="M76" s="14">
        <f t="shared" si="68"/>
        <v>1272.6537027882116</v>
      </c>
      <c r="N76" s="14">
        <f t="shared" si="68"/>
        <v>1260.3560540124706</v>
      </c>
      <c r="O76" s="14">
        <f t="shared" si="68"/>
        <v>1267.7244633401156</v>
      </c>
      <c r="P76" s="14">
        <f t="shared" si="68"/>
        <v>1285.9597122867062</v>
      </c>
      <c r="Q76" s="14">
        <f t="shared" si="68"/>
        <v>1340.1101127558666</v>
      </c>
      <c r="R76" s="14">
        <f t="shared" si="68"/>
        <v>1341.8103964389784</v>
      </c>
      <c r="S76" s="14">
        <f t="shared" si="68"/>
        <v>1436.5746516434695</v>
      </c>
      <c r="T76" s="14">
        <f t="shared" si="68"/>
        <v>1495.3614623491962</v>
      </c>
      <c r="U76" s="14">
        <f t="shared" si="68"/>
        <v>1490.2646490504187</v>
      </c>
      <c r="V76" s="14">
        <f t="shared" si="68"/>
        <v>1450.1769722465783</v>
      </c>
      <c r="W76" s="14">
        <f t="shared" ref="W76" si="69">IF(W14=0,0,W14*1000000/W24)</f>
        <v>1578.7604860937706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254.32594656451036</v>
      </c>
      <c r="C77" s="39">
        <f t="shared" si="65"/>
        <v>254.32594656451039</v>
      </c>
      <c r="D77" s="39">
        <f t="shared" ref="D77:V77" si="70">IF(D15=0,0,D15*1000000/D25)</f>
        <v>254.32594656451039</v>
      </c>
      <c r="E77" s="39">
        <f t="shared" si="70"/>
        <v>254.32594656451039</v>
      </c>
      <c r="F77" s="39">
        <f t="shared" si="70"/>
        <v>254.32594656451039</v>
      </c>
      <c r="G77" s="39">
        <f t="shared" si="70"/>
        <v>254.58816160350767</v>
      </c>
      <c r="H77" s="39">
        <f t="shared" si="70"/>
        <v>265.46678558917597</v>
      </c>
      <c r="I77" s="39">
        <f t="shared" si="70"/>
        <v>279.77586900685236</v>
      </c>
      <c r="J77" s="39">
        <f t="shared" si="70"/>
        <v>270.46713861519686</v>
      </c>
      <c r="K77" s="39">
        <f t="shared" si="70"/>
        <v>266.16816285936858</v>
      </c>
      <c r="L77" s="39">
        <f t="shared" si="70"/>
        <v>251.81259357843948</v>
      </c>
      <c r="M77" s="39">
        <f t="shared" si="70"/>
        <v>235.69144404595366</v>
      </c>
      <c r="N77" s="39">
        <f t="shared" si="70"/>
        <v>261.93742791234143</v>
      </c>
      <c r="O77" s="39">
        <f t="shared" si="70"/>
        <v>265.92362052471367</v>
      </c>
      <c r="P77" s="39">
        <f t="shared" si="70"/>
        <v>265.32641912834811</v>
      </c>
      <c r="Q77" s="39">
        <f t="shared" si="70"/>
        <v>276.53778521813803</v>
      </c>
      <c r="R77" s="39">
        <f t="shared" si="70"/>
        <v>283.10470696016614</v>
      </c>
      <c r="S77" s="39">
        <f t="shared" si="70"/>
        <v>289.21228325400443</v>
      </c>
      <c r="T77" s="39">
        <f t="shared" si="70"/>
        <v>281.91915028535192</v>
      </c>
      <c r="U77" s="39">
        <f t="shared" si="70"/>
        <v>282.36704000000003</v>
      </c>
      <c r="V77" s="39">
        <f t="shared" si="70"/>
        <v>273.13492416161876</v>
      </c>
      <c r="W77" s="39">
        <f t="shared" ref="W77" si="71">IF(W15=0,0,W15*1000000/W25)</f>
        <v>269.97447175284225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802.53069664385805</v>
      </c>
      <c r="C78" s="39">
        <f t="shared" si="65"/>
        <v>825.93747475772579</v>
      </c>
      <c r="D78" s="39">
        <f t="shared" ref="D78:V78" si="72">IF(D16=0,0,D16*1000000/D26)</f>
        <v>843.75717384000961</v>
      </c>
      <c r="E78" s="39">
        <f t="shared" si="72"/>
        <v>868.20516229604743</v>
      </c>
      <c r="F78" s="39">
        <f t="shared" si="72"/>
        <v>887.95584117421151</v>
      </c>
      <c r="G78" s="39">
        <f t="shared" si="72"/>
        <v>923.52572458604095</v>
      </c>
      <c r="H78" s="39">
        <f t="shared" si="72"/>
        <v>994.25702324067981</v>
      </c>
      <c r="I78" s="39">
        <f t="shared" si="72"/>
        <v>1053.6930496197838</v>
      </c>
      <c r="J78" s="39">
        <f t="shared" si="72"/>
        <v>1035.2438507469476</v>
      </c>
      <c r="K78" s="39">
        <f t="shared" si="72"/>
        <v>1020.3438411663856</v>
      </c>
      <c r="L78" s="39">
        <f t="shared" si="72"/>
        <v>1004.6272057706626</v>
      </c>
      <c r="M78" s="39">
        <f t="shared" si="72"/>
        <v>1005.5255374411624</v>
      </c>
      <c r="N78" s="39">
        <f t="shared" si="72"/>
        <v>990.24982775442675</v>
      </c>
      <c r="O78" s="39">
        <f t="shared" si="72"/>
        <v>988.08141115402236</v>
      </c>
      <c r="P78" s="39">
        <f t="shared" si="72"/>
        <v>972.03330096093237</v>
      </c>
      <c r="Q78" s="39">
        <f t="shared" si="72"/>
        <v>984.04344146469339</v>
      </c>
      <c r="R78" s="39">
        <f t="shared" si="72"/>
        <v>994.66860888701433</v>
      </c>
      <c r="S78" s="39">
        <f t="shared" si="72"/>
        <v>1029.1132774699249</v>
      </c>
      <c r="T78" s="39">
        <f t="shared" si="72"/>
        <v>1039.6118812201018</v>
      </c>
      <c r="U78" s="39">
        <f t="shared" si="72"/>
        <v>1063.6490250549716</v>
      </c>
      <c r="V78" s="39">
        <f t="shared" si="72"/>
        <v>1095.7217383215839</v>
      </c>
      <c r="W78" s="39">
        <f t="shared" ref="W78" si="73">IF(W16=0,0,W16*1000000/W26)</f>
        <v>1236.2050761513037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3895.7927322704745</v>
      </c>
      <c r="C79" s="39">
        <f t="shared" si="65"/>
        <v>3895.7927322704745</v>
      </c>
      <c r="D79" s="39">
        <f t="shared" ref="D79:V79" si="74">IF(D17=0,0,D17*1000000/D27)</f>
        <v>3895.7927322704745</v>
      </c>
      <c r="E79" s="39">
        <f t="shared" si="74"/>
        <v>3895.7927322704745</v>
      </c>
      <c r="F79" s="39">
        <f t="shared" si="74"/>
        <v>3895.7927322704745</v>
      </c>
      <c r="G79" s="39">
        <f t="shared" si="74"/>
        <v>4082.8690769990126</v>
      </c>
      <c r="H79" s="39">
        <f t="shared" si="74"/>
        <v>4308.0264761215885</v>
      </c>
      <c r="I79" s="39">
        <f t="shared" si="74"/>
        <v>4408.5671664558995</v>
      </c>
      <c r="J79" s="39">
        <f t="shared" si="74"/>
        <v>4497.8680154713438</v>
      </c>
      <c r="K79" s="39">
        <f t="shared" si="74"/>
        <v>4399.0953897544123</v>
      </c>
      <c r="L79" s="39">
        <f t="shared" si="74"/>
        <v>4390.5054271896834</v>
      </c>
      <c r="M79" s="39">
        <f t="shared" si="74"/>
        <v>4441.5540811773972</v>
      </c>
      <c r="N79" s="39">
        <f t="shared" si="74"/>
        <v>4430.9217697335343</v>
      </c>
      <c r="O79" s="39">
        <f t="shared" si="74"/>
        <v>4477.2196484276255</v>
      </c>
      <c r="P79" s="39">
        <f t="shared" si="74"/>
        <v>4549.2560297920463</v>
      </c>
      <c r="Q79" s="39">
        <f t="shared" si="74"/>
        <v>4670.5069358266837</v>
      </c>
      <c r="R79" s="39">
        <f t="shared" si="74"/>
        <v>4726.7139616478862</v>
      </c>
      <c r="S79" s="39">
        <f t="shared" si="74"/>
        <v>4864.1217330863992</v>
      </c>
      <c r="T79" s="39">
        <f t="shared" si="74"/>
        <v>4939.1681798760947</v>
      </c>
      <c r="U79" s="39">
        <f t="shared" si="74"/>
        <v>4881.0506912442397</v>
      </c>
      <c r="V79" s="39">
        <f t="shared" si="74"/>
        <v>5093.1249808967441</v>
      </c>
      <c r="W79" s="39">
        <f t="shared" ref="W79" si="75">IF(W17=0,0,W17*1000000/W27)</f>
        <v>4903.7219630823192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800.32852065858822</v>
      </c>
      <c r="C80" s="15">
        <f t="shared" si="65"/>
        <v>797.57776204895197</v>
      </c>
      <c r="D80" s="15">
        <f t="shared" ref="D80:V80" si="76">IF(D18=0,0,D18*1000000/D28)</f>
        <v>912.14367558410004</v>
      </c>
      <c r="E80" s="15">
        <f t="shared" si="76"/>
        <v>982.70523673609819</v>
      </c>
      <c r="F80" s="15">
        <f t="shared" si="76"/>
        <v>1027.2515859345799</v>
      </c>
      <c r="G80" s="15">
        <f t="shared" si="76"/>
        <v>903.09591232849584</v>
      </c>
      <c r="H80" s="15">
        <f t="shared" si="76"/>
        <v>952.6868362063243</v>
      </c>
      <c r="I80" s="15">
        <f t="shared" si="76"/>
        <v>1083.3913150438566</v>
      </c>
      <c r="J80" s="15">
        <f t="shared" si="76"/>
        <v>1133.1676818966919</v>
      </c>
      <c r="K80" s="15">
        <f t="shared" si="76"/>
        <v>978.19879067716181</v>
      </c>
      <c r="L80" s="15">
        <f t="shared" si="76"/>
        <v>1105.8969616181832</v>
      </c>
      <c r="M80" s="15">
        <f t="shared" si="76"/>
        <v>1126.4305249167796</v>
      </c>
      <c r="N80" s="15">
        <f t="shared" si="76"/>
        <v>1278.5743361944626</v>
      </c>
      <c r="O80" s="15">
        <f t="shared" si="76"/>
        <v>1328.5350005143857</v>
      </c>
      <c r="P80" s="15">
        <f t="shared" si="76"/>
        <v>1431.7483742515569</v>
      </c>
      <c r="Q80" s="15">
        <f t="shared" si="76"/>
        <v>1540.4706840256076</v>
      </c>
      <c r="R80" s="15">
        <f t="shared" si="76"/>
        <v>1627.5809955205677</v>
      </c>
      <c r="S80" s="15">
        <f t="shared" si="76"/>
        <v>1836.0946972312042</v>
      </c>
      <c r="T80" s="15">
        <f t="shared" si="76"/>
        <v>1703.7879689918109</v>
      </c>
      <c r="U80" s="15">
        <f t="shared" si="76"/>
        <v>1595.4458400698325</v>
      </c>
      <c r="V80" s="15">
        <f t="shared" si="76"/>
        <v>1645.3355878344903</v>
      </c>
      <c r="W80" s="15">
        <f t="shared" ref="W80" si="77">IF(W18=0,0,W18*1000000/W28)</f>
        <v>1690.427048711897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184.07649463842205</v>
      </c>
      <c r="C81" s="41">
        <f t="shared" si="65"/>
        <v>184.07649463842205</v>
      </c>
      <c r="D81" s="41">
        <f t="shared" ref="D81:V81" si="78">IF(D19=0,0,D19*1000000/D29)</f>
        <v>184.07649463842205</v>
      </c>
      <c r="E81" s="41">
        <f t="shared" si="78"/>
        <v>184.07649463842205</v>
      </c>
      <c r="F81" s="41">
        <f t="shared" si="78"/>
        <v>184.07649463842205</v>
      </c>
      <c r="G81" s="41">
        <f t="shared" si="78"/>
        <v>184.33870967741936</v>
      </c>
      <c r="H81" s="41">
        <f t="shared" si="78"/>
        <v>199.5599656939352</v>
      </c>
      <c r="I81" s="41">
        <f t="shared" si="78"/>
        <v>218.21168114245916</v>
      </c>
      <c r="J81" s="41">
        <f t="shared" si="78"/>
        <v>213.24558278165108</v>
      </c>
      <c r="K81" s="41">
        <f t="shared" si="78"/>
        <v>213.28923905667025</v>
      </c>
      <c r="L81" s="41">
        <f t="shared" si="78"/>
        <v>203.27630180658875</v>
      </c>
      <c r="M81" s="41">
        <f t="shared" si="78"/>
        <v>172.34364834686491</v>
      </c>
      <c r="N81" s="41">
        <f t="shared" si="78"/>
        <v>183.77812828601472</v>
      </c>
      <c r="O81" s="41">
        <f t="shared" si="78"/>
        <v>194.91800699073522</v>
      </c>
      <c r="P81" s="41">
        <f t="shared" si="78"/>
        <v>201.47449168671795</v>
      </c>
      <c r="Q81" s="41">
        <f t="shared" si="78"/>
        <v>219.83954386885608</v>
      </c>
      <c r="R81" s="41">
        <f t="shared" si="78"/>
        <v>233.56015170323246</v>
      </c>
      <c r="S81" s="41">
        <f t="shared" si="78"/>
        <v>246.82141408941902</v>
      </c>
      <c r="T81" s="41">
        <f t="shared" si="78"/>
        <v>246.68196721311472</v>
      </c>
      <c r="U81" s="41">
        <f t="shared" si="78"/>
        <v>246.57096774193553</v>
      </c>
      <c r="V81" s="41">
        <f t="shared" si="78"/>
        <v>237.33885190355414</v>
      </c>
      <c r="W81" s="41">
        <f t="shared" ref="W81" si="79">IF(W19=0,0,W19*1000000/W29)</f>
        <v>234.17839949477769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663.21187864104047</v>
      </c>
      <c r="C82" s="41">
        <f t="shared" si="65"/>
        <v>663.28179620232675</v>
      </c>
      <c r="D82" s="41">
        <f t="shared" ref="D82:V82" si="80">IF(D20=0,0,D20*1000000/D30)</f>
        <v>662.9660088475481</v>
      </c>
      <c r="E82" s="41">
        <f t="shared" si="80"/>
        <v>663.22201598528216</v>
      </c>
      <c r="F82" s="41">
        <f t="shared" si="80"/>
        <v>655.02732317945822</v>
      </c>
      <c r="G82" s="41">
        <f t="shared" si="80"/>
        <v>702.9696135668637</v>
      </c>
      <c r="H82" s="41">
        <f t="shared" si="80"/>
        <v>790.04733952954359</v>
      </c>
      <c r="I82" s="41">
        <f t="shared" si="80"/>
        <v>812.91578221586474</v>
      </c>
      <c r="J82" s="41">
        <f t="shared" si="80"/>
        <v>851.07089841062646</v>
      </c>
      <c r="K82" s="41">
        <f t="shared" si="80"/>
        <v>815.63260622296161</v>
      </c>
      <c r="L82" s="41">
        <f t="shared" si="80"/>
        <v>850.06657324949288</v>
      </c>
      <c r="M82" s="41">
        <f t="shared" si="80"/>
        <v>852.909612612572</v>
      </c>
      <c r="N82" s="41">
        <f t="shared" si="80"/>
        <v>842.88598956794465</v>
      </c>
      <c r="O82" s="41">
        <f t="shared" si="80"/>
        <v>786.42582020839609</v>
      </c>
      <c r="P82" s="41">
        <f t="shared" si="80"/>
        <v>825.6733552974847</v>
      </c>
      <c r="Q82" s="41">
        <f t="shared" si="80"/>
        <v>832.66773353792973</v>
      </c>
      <c r="R82" s="41">
        <f t="shared" si="80"/>
        <v>848.78928693660623</v>
      </c>
      <c r="S82" s="41">
        <f t="shared" si="80"/>
        <v>816.81878405559473</v>
      </c>
      <c r="T82" s="41">
        <f t="shared" si="80"/>
        <v>852.4326773226685</v>
      </c>
      <c r="U82" s="41">
        <f t="shared" si="80"/>
        <v>792.78509157594624</v>
      </c>
      <c r="V82" s="41">
        <f t="shared" si="80"/>
        <v>793.25476464492795</v>
      </c>
      <c r="W82" s="41">
        <f t="shared" ref="W82" si="81">IF(W20=0,0,W20*1000000/W30)</f>
        <v>889.72159737574964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5445.8818434247714</v>
      </c>
      <c r="C83" s="40">
        <f t="shared" si="65"/>
        <v>5445.8818434247714</v>
      </c>
      <c r="D83" s="40">
        <f t="shared" ref="D83:V83" si="82">IF(D21=0,0,D21*1000000/D31)</f>
        <v>5445.8818434247714</v>
      </c>
      <c r="E83" s="40">
        <f t="shared" si="82"/>
        <v>5445.8818434247714</v>
      </c>
      <c r="F83" s="40">
        <f t="shared" si="82"/>
        <v>5445.8818434247714</v>
      </c>
      <c r="G83" s="40">
        <f t="shared" si="82"/>
        <v>5632.9581881533104</v>
      </c>
      <c r="H83" s="40">
        <f t="shared" si="82"/>
        <v>5574.4823938928048</v>
      </c>
      <c r="I83" s="40">
        <f t="shared" si="82"/>
        <v>5391.3898908440333</v>
      </c>
      <c r="J83" s="40">
        <f t="shared" si="82"/>
        <v>5197.0575464763961</v>
      </c>
      <c r="K83" s="40">
        <f t="shared" si="82"/>
        <v>4814.6517273763802</v>
      </c>
      <c r="L83" s="40">
        <f t="shared" si="82"/>
        <v>4522.4285714285716</v>
      </c>
      <c r="M83" s="40">
        <f t="shared" si="82"/>
        <v>4788.8909753266244</v>
      </c>
      <c r="N83" s="40">
        <f t="shared" si="82"/>
        <v>4993.6724137931033</v>
      </c>
      <c r="O83" s="40">
        <f t="shared" si="82"/>
        <v>5053.3496113049359</v>
      </c>
      <c r="P83" s="40">
        <f t="shared" si="82"/>
        <v>5138.7653114870964</v>
      </c>
      <c r="Q83" s="40">
        <f t="shared" si="82"/>
        <v>5273.3955363394734</v>
      </c>
      <c r="R83" s="40">
        <f t="shared" si="82"/>
        <v>5342.9818809784165</v>
      </c>
      <c r="S83" s="40">
        <f t="shared" si="82"/>
        <v>5493.7689712346692</v>
      </c>
      <c r="T83" s="40">
        <f t="shared" si="82"/>
        <v>5582.1947368421052</v>
      </c>
      <c r="U83" s="40">
        <f t="shared" si="82"/>
        <v>5666.7906976744189</v>
      </c>
      <c r="V83" s="40">
        <f t="shared" si="82"/>
        <v>5878.8649873269251</v>
      </c>
      <c r="W83" s="40">
        <f t="shared" ref="W83" si="83">IF(W21=0,0,W21*1000000/W31)</f>
        <v>5689.4619695124993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130676.05563328649</v>
      </c>
      <c r="C86" s="11">
        <f t="shared" si="84"/>
        <v>131578.92153736719</v>
      </c>
      <c r="D86" s="11">
        <f t="shared" ref="D86:V86" si="85">IF(D4=0,0,D4*1000000/D24)</f>
        <v>132915.04110861474</v>
      </c>
      <c r="E86" s="11">
        <f t="shared" si="85"/>
        <v>128097.52711264587</v>
      </c>
      <c r="F86" s="11">
        <f t="shared" si="85"/>
        <v>137592.3817295956</v>
      </c>
      <c r="G86" s="11">
        <f t="shared" si="85"/>
        <v>144299.40361611114</v>
      </c>
      <c r="H86" s="11">
        <f t="shared" si="85"/>
        <v>161366.45756528163</v>
      </c>
      <c r="I86" s="11">
        <f t="shared" si="85"/>
        <v>168363.91932844149</v>
      </c>
      <c r="J86" s="11">
        <f t="shared" si="85"/>
        <v>163880.49842306066</v>
      </c>
      <c r="K86" s="11">
        <f t="shared" si="85"/>
        <v>170431.46401378591</v>
      </c>
      <c r="L86" s="11">
        <f t="shared" si="85"/>
        <v>169494.51250502019</v>
      </c>
      <c r="M86" s="11">
        <f t="shared" si="85"/>
        <v>175863.78624776515</v>
      </c>
      <c r="N86" s="11">
        <f t="shared" si="85"/>
        <v>187543.21887859062</v>
      </c>
      <c r="O86" s="11">
        <f t="shared" si="85"/>
        <v>197368.77213655188</v>
      </c>
      <c r="P86" s="11">
        <f t="shared" si="85"/>
        <v>200249.63867707268</v>
      </c>
      <c r="Q86" s="11">
        <f t="shared" si="85"/>
        <v>216091.14186441634</v>
      </c>
      <c r="R86" s="11">
        <f t="shared" si="85"/>
        <v>221241.56754145573</v>
      </c>
      <c r="S86" s="11">
        <f t="shared" si="85"/>
        <v>237318.12171684825</v>
      </c>
      <c r="T86" s="11">
        <f t="shared" si="85"/>
        <v>249263.82267287798</v>
      </c>
      <c r="U86" s="11">
        <f t="shared" si="85"/>
        <v>254235.38555624007</v>
      </c>
      <c r="V86" s="11">
        <f t="shared" si="85"/>
        <v>161371.14272807693</v>
      </c>
      <c r="W86" s="11">
        <f t="shared" ref="W86" si="86">IF(W4=0,0,W4*1000000/W24)</f>
        <v>187408.56338207418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17124.328943093406</v>
      </c>
      <c r="C87" s="36">
        <f t="shared" si="84"/>
        <v>16698.55747638406</v>
      </c>
      <c r="D87" s="36">
        <f t="shared" ref="D87:V87" si="87">IF(D5=0,0,D5*1000000/D25)</f>
        <v>15996.601758414487</v>
      </c>
      <c r="E87" s="36">
        <f t="shared" si="87"/>
        <v>15264.735643933544</v>
      </c>
      <c r="F87" s="36">
        <f t="shared" si="87"/>
        <v>16464.961066821332</v>
      </c>
      <c r="G87" s="36">
        <f t="shared" si="87"/>
        <v>15694.875942758703</v>
      </c>
      <c r="H87" s="36">
        <f t="shared" si="87"/>
        <v>19704.754635895093</v>
      </c>
      <c r="I87" s="36">
        <f t="shared" si="87"/>
        <v>17992.302798621426</v>
      </c>
      <c r="J87" s="36">
        <f t="shared" si="87"/>
        <v>16453.503867796106</v>
      </c>
      <c r="K87" s="36">
        <f t="shared" si="87"/>
        <v>14636.123086570808</v>
      </c>
      <c r="L87" s="36">
        <f t="shared" si="87"/>
        <v>9992.5907298900802</v>
      </c>
      <c r="M87" s="36">
        <f t="shared" si="87"/>
        <v>6102.1712984114138</v>
      </c>
      <c r="N87" s="36">
        <f t="shared" si="87"/>
        <v>5743.4025516125112</v>
      </c>
      <c r="O87" s="36">
        <f t="shared" si="87"/>
        <v>7149.5893035218915</v>
      </c>
      <c r="P87" s="36">
        <f t="shared" si="87"/>
        <v>6773.2430136613393</v>
      </c>
      <c r="Q87" s="36">
        <f t="shared" si="87"/>
        <v>8199.8189283642314</v>
      </c>
      <c r="R87" s="36">
        <f t="shared" si="87"/>
        <v>8893.1268838948436</v>
      </c>
      <c r="S87" s="36">
        <f t="shared" si="87"/>
        <v>9436.1116968872975</v>
      </c>
      <c r="T87" s="36">
        <f t="shared" si="87"/>
        <v>10825.165152760161</v>
      </c>
      <c r="U87" s="36">
        <f t="shared" si="87"/>
        <v>10389.884725190628</v>
      </c>
      <c r="V87" s="36">
        <f t="shared" si="87"/>
        <v>3253.1278951401177</v>
      </c>
      <c r="W87" s="36">
        <f t="shared" ref="W87" si="88">IF(W5=0,0,W5*1000000/W25)</f>
        <v>4869.3487097482957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98233.942112407269</v>
      </c>
      <c r="C88" s="36">
        <f t="shared" si="84"/>
        <v>102606.7856490549</v>
      </c>
      <c r="D88" s="36">
        <f t="shared" ref="D88:V88" si="89">IF(D6=0,0,D6*1000000/D26)</f>
        <v>105275.8759475257</v>
      </c>
      <c r="E88" s="36">
        <f t="shared" si="89"/>
        <v>107805.58156875183</v>
      </c>
      <c r="F88" s="36">
        <f t="shared" si="89"/>
        <v>114026.28397147896</v>
      </c>
      <c r="G88" s="36">
        <f t="shared" si="89"/>
        <v>123464.89234266781</v>
      </c>
      <c r="H88" s="36">
        <f t="shared" si="89"/>
        <v>137889.87120535859</v>
      </c>
      <c r="I88" s="36">
        <f t="shared" si="89"/>
        <v>143542.64519734771</v>
      </c>
      <c r="J88" s="36">
        <f t="shared" si="89"/>
        <v>133649.31412125463</v>
      </c>
      <c r="K88" s="36">
        <f t="shared" si="89"/>
        <v>136394.00796448061</v>
      </c>
      <c r="L88" s="36">
        <f t="shared" si="89"/>
        <v>132813.08790765278</v>
      </c>
      <c r="M88" s="36">
        <f t="shared" si="89"/>
        <v>130012.30251863816</v>
      </c>
      <c r="N88" s="36">
        <f t="shared" si="89"/>
        <v>130028.96705007405</v>
      </c>
      <c r="O88" s="36">
        <f t="shared" si="89"/>
        <v>131386.87518707532</v>
      </c>
      <c r="P88" s="36">
        <f t="shared" si="89"/>
        <v>128627.43379157383</v>
      </c>
      <c r="Q88" s="36">
        <f t="shared" si="89"/>
        <v>136348.44512982434</v>
      </c>
      <c r="R88" s="36">
        <f t="shared" si="89"/>
        <v>140218.08622321824</v>
      </c>
      <c r="S88" s="36">
        <f t="shared" si="89"/>
        <v>146075.25100094129</v>
      </c>
      <c r="T88" s="36">
        <f t="shared" si="89"/>
        <v>148080.29747300563</v>
      </c>
      <c r="U88" s="36">
        <f t="shared" si="89"/>
        <v>152886.1802953771</v>
      </c>
      <c r="V88" s="36">
        <f t="shared" si="89"/>
        <v>110930.3722494727</v>
      </c>
      <c r="W88" s="36">
        <f t="shared" ref="W88" si="90">IF(W6=0,0,W6*1000000/W26)</f>
        <v>146465.48263573338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775924.47879337461</v>
      </c>
      <c r="C89" s="36">
        <f t="shared" si="84"/>
        <v>770008.29500377108</v>
      </c>
      <c r="D89" s="36">
        <f t="shared" ref="D89:V89" si="91">IF(D7=0,0,D7*1000000/D27)</f>
        <v>762527.13641758123</v>
      </c>
      <c r="E89" s="36">
        <f t="shared" si="91"/>
        <v>761816.49868884182</v>
      </c>
      <c r="F89" s="36">
        <f t="shared" si="91"/>
        <v>798161.61067833949</v>
      </c>
      <c r="G89" s="36">
        <f t="shared" si="91"/>
        <v>750600.73628096678</v>
      </c>
      <c r="H89" s="36">
        <f t="shared" si="91"/>
        <v>728312.37119624473</v>
      </c>
      <c r="I89" s="36">
        <f t="shared" si="91"/>
        <v>651417.21112919808</v>
      </c>
      <c r="J89" s="36">
        <f t="shared" si="91"/>
        <v>740923.70102554641</v>
      </c>
      <c r="K89" s="36">
        <f t="shared" si="91"/>
        <v>790435.28919523605</v>
      </c>
      <c r="L89" s="36">
        <f t="shared" si="91"/>
        <v>744620.27724721795</v>
      </c>
      <c r="M89" s="36">
        <f t="shared" si="91"/>
        <v>715706.44634841173</v>
      </c>
      <c r="N89" s="36">
        <f t="shared" si="91"/>
        <v>853839.47872745665</v>
      </c>
      <c r="O89" s="36">
        <f t="shared" si="91"/>
        <v>942306.05506744399</v>
      </c>
      <c r="P89" s="36">
        <f t="shared" si="91"/>
        <v>935834.73876602214</v>
      </c>
      <c r="Q89" s="36">
        <f t="shared" si="91"/>
        <v>955992.32020235399</v>
      </c>
      <c r="R89" s="36">
        <f t="shared" si="91"/>
        <v>1004661.7576348757</v>
      </c>
      <c r="S89" s="36">
        <f t="shared" si="91"/>
        <v>1000195.9744400643</v>
      </c>
      <c r="T89" s="36">
        <f t="shared" si="91"/>
        <v>1009494.9345341828</v>
      </c>
      <c r="U89" s="36">
        <f t="shared" si="91"/>
        <v>1053569.1307773928</v>
      </c>
      <c r="V89" s="36">
        <f t="shared" si="91"/>
        <v>675337.52272506338</v>
      </c>
      <c r="W89" s="36">
        <f t="shared" ref="W89" si="92">IF(W7=0,0,W7*1000000/W27)</f>
        <v>595660.55235663068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32991.273245132295</v>
      </c>
      <c r="C90" s="13">
        <f t="shared" si="84"/>
        <v>34608.801818712323</v>
      </c>
      <c r="D90" s="13">
        <f t="shared" ref="D90:V90" si="93">IF(D8=0,0,D8*1000000/D28)</f>
        <v>40984.72511881106</v>
      </c>
      <c r="E90" s="13">
        <f t="shared" si="93"/>
        <v>42865.818477043525</v>
      </c>
      <c r="F90" s="13">
        <f t="shared" si="93"/>
        <v>46522.701923734683</v>
      </c>
      <c r="G90" s="13">
        <f t="shared" si="93"/>
        <v>34426.875143386744</v>
      </c>
      <c r="H90" s="13">
        <f t="shared" si="93"/>
        <v>33073.003955512831</v>
      </c>
      <c r="I90" s="13">
        <f t="shared" si="93"/>
        <v>38563.515877463113</v>
      </c>
      <c r="J90" s="13">
        <f t="shared" si="93"/>
        <v>38978.603517398195</v>
      </c>
      <c r="K90" s="13">
        <f t="shared" si="93"/>
        <v>33727.275562022449</v>
      </c>
      <c r="L90" s="13">
        <f t="shared" si="93"/>
        <v>42254.997853771929</v>
      </c>
      <c r="M90" s="13">
        <f t="shared" si="93"/>
        <v>44209.069564712052</v>
      </c>
      <c r="N90" s="13">
        <f t="shared" si="93"/>
        <v>59543.840799291487</v>
      </c>
      <c r="O90" s="13">
        <f t="shared" si="93"/>
        <v>64640.142096598138</v>
      </c>
      <c r="P90" s="13">
        <f t="shared" si="93"/>
        <v>79930.462822607209</v>
      </c>
      <c r="Q90" s="13">
        <f t="shared" si="93"/>
        <v>88041.640706524893</v>
      </c>
      <c r="R90" s="13">
        <f t="shared" si="93"/>
        <v>102959.82889299588</v>
      </c>
      <c r="S90" s="13">
        <f t="shared" si="93"/>
        <v>120546.05139390228</v>
      </c>
      <c r="T90" s="13">
        <f t="shared" si="93"/>
        <v>108106.66668880809</v>
      </c>
      <c r="U90" s="13">
        <f t="shared" si="93"/>
        <v>103952.08949589019</v>
      </c>
      <c r="V90" s="13">
        <f t="shared" si="93"/>
        <v>74652.21877569842</v>
      </c>
      <c r="W90" s="13">
        <f t="shared" ref="W90" si="94">IF(W8=0,0,W8*1000000/W28)</f>
        <v>72804.311990962757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1974.0355503459339</v>
      </c>
      <c r="C91" s="34">
        <f t="shared" si="84"/>
        <v>1958.9842182154662</v>
      </c>
      <c r="D91" s="34">
        <f t="shared" ref="D91:V91" si="95">IF(D9=0,0,D9*1000000/D29)</f>
        <v>2014.4803730370445</v>
      </c>
      <c r="E91" s="34">
        <f t="shared" si="95"/>
        <v>2142.7774654842651</v>
      </c>
      <c r="F91" s="34">
        <f t="shared" si="95"/>
        <v>2017.7638504257125</v>
      </c>
      <c r="G91" s="34">
        <f t="shared" si="95"/>
        <v>1977.4600352899477</v>
      </c>
      <c r="H91" s="34">
        <f t="shared" si="95"/>
        <v>2059.1673578465038</v>
      </c>
      <c r="I91" s="34">
        <f t="shared" si="95"/>
        <v>2243.2657091057949</v>
      </c>
      <c r="J91" s="34">
        <f t="shared" si="95"/>
        <v>2109.1112163842768</v>
      </c>
      <c r="K91" s="34">
        <f t="shared" si="95"/>
        <v>2127.7668037018011</v>
      </c>
      <c r="L91" s="34">
        <f t="shared" si="95"/>
        <v>2168.9355173922036</v>
      </c>
      <c r="M91" s="34">
        <f t="shared" si="95"/>
        <v>1952.1759986271927</v>
      </c>
      <c r="N91" s="34">
        <f t="shared" si="95"/>
        <v>2051.0097778872487</v>
      </c>
      <c r="O91" s="34">
        <f t="shared" si="95"/>
        <v>2248.2550154705923</v>
      </c>
      <c r="P91" s="34">
        <f t="shared" si="95"/>
        <v>2600.9420010198496</v>
      </c>
      <c r="Q91" s="34">
        <f t="shared" si="95"/>
        <v>2899.5795351458742</v>
      </c>
      <c r="R91" s="34">
        <f t="shared" si="95"/>
        <v>3552.5972100322756</v>
      </c>
      <c r="S91" s="34">
        <f t="shared" si="95"/>
        <v>3448.092696965115</v>
      </c>
      <c r="T91" s="34">
        <f t="shared" si="95"/>
        <v>3536.2836147669041</v>
      </c>
      <c r="U91" s="34">
        <f t="shared" si="95"/>
        <v>3921.4931045750877</v>
      </c>
      <c r="V91" s="34">
        <f t="shared" si="95"/>
        <v>3517.6910672803633</v>
      </c>
      <c r="W91" s="34">
        <f t="shared" ref="W91" si="96">IF(W9=0,0,W9*1000000/W29)</f>
        <v>3562.0685985278392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14387.623647882114</v>
      </c>
      <c r="C92" s="34">
        <f t="shared" si="84"/>
        <v>15413.274214627339</v>
      </c>
      <c r="D92" s="34">
        <f t="shared" ref="D92:V92" si="97">IF(D10=0,0,D10*1000000/D30)</f>
        <v>14516.113886717705</v>
      </c>
      <c r="E92" s="34">
        <f t="shared" si="97"/>
        <v>14726.966053516362</v>
      </c>
      <c r="F92" s="34">
        <f t="shared" si="97"/>
        <v>13031.925763738383</v>
      </c>
      <c r="G92" s="34">
        <f t="shared" si="97"/>
        <v>13852.697358234969</v>
      </c>
      <c r="H92" s="34">
        <f t="shared" si="97"/>
        <v>13878.014266549229</v>
      </c>
      <c r="I92" s="34">
        <f t="shared" si="97"/>
        <v>13896.56889016768</v>
      </c>
      <c r="J92" s="34">
        <f t="shared" si="97"/>
        <v>14205.057735378161</v>
      </c>
      <c r="K92" s="34">
        <f t="shared" si="97"/>
        <v>13687.876555298439</v>
      </c>
      <c r="L92" s="34">
        <f t="shared" si="97"/>
        <v>14845.888540550861</v>
      </c>
      <c r="M92" s="34">
        <f t="shared" si="97"/>
        <v>15577.634819378349</v>
      </c>
      <c r="N92" s="34">
        <f t="shared" si="97"/>
        <v>16763.223004013926</v>
      </c>
      <c r="O92" s="34">
        <f t="shared" si="97"/>
        <v>15284.462911230383</v>
      </c>
      <c r="P92" s="34">
        <f t="shared" si="97"/>
        <v>17925.195766979276</v>
      </c>
      <c r="Q92" s="34">
        <f t="shared" si="97"/>
        <v>17566.125319683964</v>
      </c>
      <c r="R92" s="34">
        <f t="shared" si="97"/>
        <v>19941.220527497095</v>
      </c>
      <c r="S92" s="34">
        <f t="shared" si="97"/>
        <v>17451.435268070531</v>
      </c>
      <c r="T92" s="34">
        <f t="shared" si="97"/>
        <v>18576.317447635633</v>
      </c>
      <c r="U92" s="34">
        <f t="shared" si="97"/>
        <v>17769.826394599546</v>
      </c>
      <c r="V92" s="34">
        <f t="shared" si="97"/>
        <v>15546.8718978736</v>
      </c>
      <c r="W92" s="34">
        <f t="shared" ref="W92" si="98">IF(W10=0,0,W10*1000000/W30)</f>
        <v>17079.104086974392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376694.04944429192</v>
      </c>
      <c r="C93" s="35">
        <f t="shared" si="84"/>
        <v>394612.94241268944</v>
      </c>
      <c r="D93" s="35">
        <f t="shared" ref="D93:V93" si="99">IF(D11=0,0,D11*1000000/D31)</f>
        <v>372681.09641945944</v>
      </c>
      <c r="E93" s="35">
        <f t="shared" si="99"/>
        <v>338682.77480817196</v>
      </c>
      <c r="F93" s="35">
        <f t="shared" si="99"/>
        <v>328752.9830860587</v>
      </c>
      <c r="G93" s="35">
        <f t="shared" si="99"/>
        <v>319794.02214121039</v>
      </c>
      <c r="H93" s="35">
        <f t="shared" si="99"/>
        <v>305931.50039663602</v>
      </c>
      <c r="I93" s="35">
        <f t="shared" si="99"/>
        <v>290954.94163895532</v>
      </c>
      <c r="J93" s="35">
        <f t="shared" si="99"/>
        <v>274809.23574144661</v>
      </c>
      <c r="K93" s="35">
        <f t="shared" si="99"/>
        <v>287117.76582326367</v>
      </c>
      <c r="L93" s="35">
        <f t="shared" si="99"/>
        <v>274182.65897091507</v>
      </c>
      <c r="M93" s="35">
        <f t="shared" si="99"/>
        <v>302990.12658525142</v>
      </c>
      <c r="N93" s="35">
        <f t="shared" si="99"/>
        <v>343640.79316826595</v>
      </c>
      <c r="O93" s="35">
        <f t="shared" si="99"/>
        <v>350377.96106724301</v>
      </c>
      <c r="P93" s="35">
        <f t="shared" si="99"/>
        <v>413188.61656535132</v>
      </c>
      <c r="Q93" s="35">
        <f t="shared" si="99"/>
        <v>423579.49614259368</v>
      </c>
      <c r="R93" s="35">
        <f t="shared" si="99"/>
        <v>467323.07822566933</v>
      </c>
      <c r="S93" s="35">
        <f t="shared" si="99"/>
        <v>466150.53296402883</v>
      </c>
      <c r="T93" s="35">
        <f t="shared" si="99"/>
        <v>482923.7870623605</v>
      </c>
      <c r="U93" s="35">
        <f t="shared" si="99"/>
        <v>518641.54976455111</v>
      </c>
      <c r="V93" s="35">
        <f t="shared" si="99"/>
        <v>357134.77185063827</v>
      </c>
      <c r="W93" s="35">
        <f t="shared" ref="W93" si="100">IF(W11=0,0,W11*1000000/W31)</f>
        <v>330616.55003016314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1392.9280368962534</v>
      </c>
      <c r="C95" s="62">
        <f t="shared" si="101"/>
        <v>1391.5160495582104</v>
      </c>
      <c r="D95" s="62">
        <f t="shared" ref="D95:V95" si="102">IF(D23=0,0,D23/D43)</f>
        <v>1375.9247478568263</v>
      </c>
      <c r="E95" s="62">
        <f t="shared" si="102"/>
        <v>1393.2744685059483</v>
      </c>
      <c r="F95" s="62">
        <f t="shared" si="102"/>
        <v>1376.4249831953105</v>
      </c>
      <c r="G95" s="62">
        <f t="shared" si="102"/>
        <v>1343.9505592652399</v>
      </c>
      <c r="H95" s="62">
        <f t="shared" si="102"/>
        <v>1270.2456679840827</v>
      </c>
      <c r="I95" s="62">
        <f t="shared" si="102"/>
        <v>1199.7089137903688</v>
      </c>
      <c r="J95" s="62">
        <f t="shared" si="102"/>
        <v>1211.9869926042484</v>
      </c>
      <c r="K95" s="62">
        <f t="shared" si="102"/>
        <v>1083.8805244240214</v>
      </c>
      <c r="L95" s="62">
        <f t="shared" si="102"/>
        <v>1043.8496364866301</v>
      </c>
      <c r="M95" s="62">
        <f t="shared" si="102"/>
        <v>1066.9291204899787</v>
      </c>
      <c r="N95" s="62">
        <f t="shared" si="102"/>
        <v>1080.029475444685</v>
      </c>
      <c r="O95" s="62">
        <f t="shared" si="102"/>
        <v>1111.8827018879633</v>
      </c>
      <c r="P95" s="62">
        <f t="shared" si="102"/>
        <v>1113.5275804044813</v>
      </c>
      <c r="Q95" s="62">
        <f t="shared" si="102"/>
        <v>1091.664498775817</v>
      </c>
      <c r="R95" s="62">
        <f t="shared" si="102"/>
        <v>1099.9647535743125</v>
      </c>
      <c r="S95" s="62">
        <f t="shared" si="102"/>
        <v>1056.8415823145515</v>
      </c>
      <c r="T95" s="62">
        <f t="shared" si="102"/>
        <v>1032.6313123813854</v>
      </c>
      <c r="U95" s="62">
        <f t="shared" si="102"/>
        <v>1036.3132603176741</v>
      </c>
      <c r="V95" s="62">
        <f t="shared" si="102"/>
        <v>371.25616049104002</v>
      </c>
      <c r="W95" s="62">
        <f t="shared" ref="W95" si="103">IF(W23=0,0,W23/W43)</f>
        <v>368.82027879034723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1399.6363426413734</v>
      </c>
      <c r="C96" s="11">
        <f t="shared" si="104"/>
        <v>1397.6252449787962</v>
      </c>
      <c r="D96" s="11">
        <f t="shared" ref="D96:V96" si="105">IF(D24=0,0,D24/D44)</f>
        <v>1385.4320171978727</v>
      </c>
      <c r="E96" s="11">
        <f t="shared" si="105"/>
        <v>1401.7184514203727</v>
      </c>
      <c r="F96" s="11">
        <f t="shared" si="105"/>
        <v>1386.5585554742197</v>
      </c>
      <c r="G96" s="11">
        <f t="shared" si="105"/>
        <v>1353.1315454781802</v>
      </c>
      <c r="H96" s="11">
        <f t="shared" si="105"/>
        <v>1280.1276587141515</v>
      </c>
      <c r="I96" s="11">
        <f t="shared" si="105"/>
        <v>1210.208434572183</v>
      </c>
      <c r="J96" s="11">
        <f t="shared" si="105"/>
        <v>1224.2381079298475</v>
      </c>
      <c r="K96" s="11">
        <f t="shared" si="105"/>
        <v>1093.5812678868942</v>
      </c>
      <c r="L96" s="11">
        <f t="shared" si="105"/>
        <v>1050.7897465447079</v>
      </c>
      <c r="M96" s="11">
        <f t="shared" si="105"/>
        <v>1077.22911729732</v>
      </c>
      <c r="N96" s="11">
        <f t="shared" si="105"/>
        <v>1091.9858257666176</v>
      </c>
      <c r="O96" s="11">
        <f t="shared" si="105"/>
        <v>1127.2962413664791</v>
      </c>
      <c r="P96" s="11">
        <f t="shared" si="105"/>
        <v>1129.3325808503732</v>
      </c>
      <c r="Q96" s="11">
        <f t="shared" si="105"/>
        <v>1106.5618071881718</v>
      </c>
      <c r="R96" s="11">
        <f t="shared" si="105"/>
        <v>1115.7895668587264</v>
      </c>
      <c r="S96" s="11">
        <f t="shared" si="105"/>
        <v>1071.6905729269424</v>
      </c>
      <c r="T96" s="11">
        <f t="shared" si="105"/>
        <v>1045.0914143710152</v>
      </c>
      <c r="U96" s="11">
        <f t="shared" si="105"/>
        <v>1049.9208003301558</v>
      </c>
      <c r="V96" s="11">
        <f t="shared" si="105"/>
        <v>361.01194057907099</v>
      </c>
      <c r="W96" s="11">
        <f t="shared" ref="W96" si="106">IF(W24=0,0,W24/W44)</f>
        <v>356.02841966383437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2545</v>
      </c>
      <c r="C97" s="36">
        <f t="shared" si="104"/>
        <v>2545</v>
      </c>
      <c r="D97" s="36">
        <f t="shared" ref="D97:V97" si="107">IF(D25=0,0,D25/D45)</f>
        <v>2545</v>
      </c>
      <c r="E97" s="36">
        <f t="shared" si="107"/>
        <v>2545</v>
      </c>
      <c r="F97" s="36">
        <f t="shared" si="107"/>
        <v>2545</v>
      </c>
      <c r="G97" s="36">
        <f t="shared" si="107"/>
        <v>2544</v>
      </c>
      <c r="H97" s="36">
        <f t="shared" si="107"/>
        <v>2521</v>
      </c>
      <c r="I97" s="36">
        <f t="shared" si="107"/>
        <v>2490</v>
      </c>
      <c r="J97" s="36">
        <f t="shared" si="107"/>
        <v>2510</v>
      </c>
      <c r="K97" s="36">
        <f t="shared" si="107"/>
        <v>2203.1917417139357</v>
      </c>
      <c r="L97" s="36">
        <f t="shared" si="107"/>
        <v>1883.8995566804308</v>
      </c>
      <c r="M97" s="36">
        <f t="shared" si="107"/>
        <v>928.42138903973137</v>
      </c>
      <c r="N97" s="36">
        <f t="shared" si="107"/>
        <v>564.43464368848561</v>
      </c>
      <c r="O97" s="36">
        <f t="shared" si="107"/>
        <v>626.82713665758388</v>
      </c>
      <c r="P97" s="36">
        <f t="shared" si="107"/>
        <v>726.29676609166768</v>
      </c>
      <c r="Q97" s="36">
        <f t="shared" si="107"/>
        <v>889.48674384982348</v>
      </c>
      <c r="R97" s="36">
        <f t="shared" si="107"/>
        <v>1167.7894148804432</v>
      </c>
      <c r="S97" s="36">
        <f t="shared" si="107"/>
        <v>1629.7086437594389</v>
      </c>
      <c r="T97" s="36">
        <f t="shared" si="107"/>
        <v>2485</v>
      </c>
      <c r="U97" s="36">
        <f t="shared" si="107"/>
        <v>2485</v>
      </c>
      <c r="V97" s="36">
        <f t="shared" si="107"/>
        <v>2504</v>
      </c>
      <c r="W97" s="36">
        <f t="shared" ref="W97" si="108">IF(W25=0,0,W25/W45)</f>
        <v>2511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1543.4740590277522</v>
      </c>
      <c r="C98" s="36">
        <f t="shared" si="104"/>
        <v>1526.0619633366998</v>
      </c>
      <c r="D98" s="36">
        <f t="shared" ref="D98:V98" si="109">IF(D26=0,0,D26/D46)</f>
        <v>1507.388821558586</v>
      </c>
      <c r="E98" s="36">
        <f t="shared" si="109"/>
        <v>1493.1486210809817</v>
      </c>
      <c r="F98" s="36">
        <f t="shared" si="109"/>
        <v>1480.2291484892917</v>
      </c>
      <c r="G98" s="36">
        <f t="shared" si="109"/>
        <v>1457.2009347894339</v>
      </c>
      <c r="H98" s="36">
        <f t="shared" si="109"/>
        <v>1411.724753895382</v>
      </c>
      <c r="I98" s="36">
        <f t="shared" si="109"/>
        <v>1375.2236804120309</v>
      </c>
      <c r="J98" s="36">
        <f t="shared" si="109"/>
        <v>1386.2350522844079</v>
      </c>
      <c r="K98" s="36">
        <f t="shared" si="109"/>
        <v>1245.4662854310457</v>
      </c>
      <c r="L98" s="36">
        <f t="shared" si="109"/>
        <v>1210.212131958815</v>
      </c>
      <c r="M98" s="36">
        <f t="shared" si="109"/>
        <v>1309.0267975512943</v>
      </c>
      <c r="N98" s="36">
        <f t="shared" si="109"/>
        <v>1344.0219179752005</v>
      </c>
      <c r="O98" s="36">
        <f t="shared" si="109"/>
        <v>1398.3264003588667</v>
      </c>
      <c r="P98" s="36">
        <f t="shared" si="109"/>
        <v>1422.8513227325593</v>
      </c>
      <c r="Q98" s="36">
        <f t="shared" si="109"/>
        <v>1417.3420193085483</v>
      </c>
      <c r="R98" s="36">
        <f t="shared" si="109"/>
        <v>1411.312755351832</v>
      </c>
      <c r="S98" s="36">
        <f t="shared" si="109"/>
        <v>1390.6801612549029</v>
      </c>
      <c r="T98" s="36">
        <f t="shared" si="109"/>
        <v>1383.9329291793156</v>
      </c>
      <c r="U98" s="36">
        <f t="shared" si="109"/>
        <v>1366.4783155975383</v>
      </c>
      <c r="V98" s="36">
        <f t="shared" si="109"/>
        <v>465.20184378131705</v>
      </c>
      <c r="W98" s="36">
        <f t="shared" ref="W98" si="110">IF(W26=0,0,W26/W46)</f>
        <v>459.29478966837354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447</v>
      </c>
      <c r="C99" s="36">
        <f t="shared" si="104"/>
        <v>447</v>
      </c>
      <c r="D99" s="36">
        <f t="shared" ref="D99:V99" si="111">IF(D27=0,0,D27/D47)</f>
        <v>447</v>
      </c>
      <c r="E99" s="36">
        <f t="shared" si="111"/>
        <v>434.95042783901107</v>
      </c>
      <c r="F99" s="36">
        <f t="shared" si="111"/>
        <v>447</v>
      </c>
      <c r="G99" s="36">
        <f t="shared" si="111"/>
        <v>429.99999999999994</v>
      </c>
      <c r="H99" s="36">
        <f t="shared" si="111"/>
        <v>412</v>
      </c>
      <c r="I99" s="36">
        <f t="shared" si="111"/>
        <v>404</v>
      </c>
      <c r="J99" s="36">
        <f t="shared" si="111"/>
        <v>390.32111705762588</v>
      </c>
      <c r="K99" s="36">
        <f t="shared" si="111"/>
        <v>348.63802627827027</v>
      </c>
      <c r="L99" s="36">
        <f t="shared" si="111"/>
        <v>361.73398136503306</v>
      </c>
      <c r="M99" s="36">
        <f t="shared" si="111"/>
        <v>402</v>
      </c>
      <c r="N99" s="36">
        <f t="shared" si="111"/>
        <v>399.25550338134741</v>
      </c>
      <c r="O99" s="36">
        <f t="shared" si="111"/>
        <v>399</v>
      </c>
      <c r="P99" s="36">
        <f t="shared" si="111"/>
        <v>394</v>
      </c>
      <c r="Q99" s="36">
        <f t="shared" si="111"/>
        <v>385</v>
      </c>
      <c r="R99" s="36">
        <f t="shared" si="111"/>
        <v>381</v>
      </c>
      <c r="S99" s="36">
        <f t="shared" si="111"/>
        <v>372</v>
      </c>
      <c r="T99" s="36">
        <f t="shared" si="111"/>
        <v>368</v>
      </c>
      <c r="U99" s="36">
        <f t="shared" si="111"/>
        <v>371</v>
      </c>
      <c r="V99" s="36">
        <f t="shared" si="111"/>
        <v>107.60606071739808</v>
      </c>
      <c r="W99" s="36">
        <f t="shared" ref="W99" si="112">IF(W27=0,0,W27/W47)</f>
        <v>111.88801052456414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1113.5499761542762</v>
      </c>
      <c r="C100" s="13">
        <f t="shared" si="104"/>
        <v>1114.8575388559152</v>
      </c>
      <c r="D100" s="13">
        <f t="shared" ref="D100:V100" si="113">IF(D28=0,0,D28/D48)</f>
        <v>910.34693208765452</v>
      </c>
      <c r="E100" s="13">
        <f t="shared" si="113"/>
        <v>955.50569179337629</v>
      </c>
      <c r="F100" s="13">
        <f t="shared" si="113"/>
        <v>991.52368283353985</v>
      </c>
      <c r="G100" s="13">
        <f t="shared" si="113"/>
        <v>1057.1933018157251</v>
      </c>
      <c r="H100" s="13">
        <f t="shared" si="113"/>
        <v>1039.4299553389624</v>
      </c>
      <c r="I100" s="13">
        <f t="shared" si="113"/>
        <v>923.63769199351293</v>
      </c>
      <c r="J100" s="13">
        <f t="shared" si="113"/>
        <v>876.17734873262134</v>
      </c>
      <c r="K100" s="13">
        <f t="shared" si="113"/>
        <v>831.26150186441998</v>
      </c>
      <c r="L100" s="13">
        <f t="shared" si="113"/>
        <v>867.80744654567741</v>
      </c>
      <c r="M100" s="13">
        <f t="shared" si="113"/>
        <v>803.07947058488969</v>
      </c>
      <c r="N100" s="13">
        <f t="shared" si="113"/>
        <v>781.10709364674312</v>
      </c>
      <c r="O100" s="13">
        <f t="shared" si="113"/>
        <v>739.87037497120446</v>
      </c>
      <c r="P100" s="13">
        <f t="shared" si="113"/>
        <v>707.90924785578477</v>
      </c>
      <c r="Q100" s="13">
        <f t="shared" si="113"/>
        <v>704.2068464429608</v>
      </c>
      <c r="R100" s="13">
        <f t="shared" si="113"/>
        <v>636.34987202327136</v>
      </c>
      <c r="S100" s="13">
        <f t="shared" si="113"/>
        <v>641.62098047287543</v>
      </c>
      <c r="T100" s="13">
        <f t="shared" si="113"/>
        <v>645.68311176948862</v>
      </c>
      <c r="U100" s="13">
        <f t="shared" si="113"/>
        <v>597.99319579187897</v>
      </c>
      <c r="V100" s="13">
        <f t="shared" si="113"/>
        <v>671.0306616560456</v>
      </c>
      <c r="W100" s="13">
        <f t="shared" ref="W100" si="114">IF(W28=0,0,W28/W48)</f>
        <v>706.45909646842131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1544</v>
      </c>
      <c r="C101" s="34">
        <f t="shared" si="104"/>
        <v>1544</v>
      </c>
      <c r="D101" s="34">
        <f t="shared" ref="D101:V101" si="115">IF(D29=0,0,D29/D49)</f>
        <v>1245.0306104600315</v>
      </c>
      <c r="E101" s="34">
        <f t="shared" si="115"/>
        <v>1369.3338588884508</v>
      </c>
      <c r="F101" s="34">
        <f t="shared" si="115"/>
        <v>1544</v>
      </c>
      <c r="G101" s="34">
        <f t="shared" si="115"/>
        <v>1544</v>
      </c>
      <c r="H101" s="34">
        <f t="shared" si="115"/>
        <v>1531</v>
      </c>
      <c r="I101" s="34">
        <f t="shared" si="115"/>
        <v>1255.5548212218932</v>
      </c>
      <c r="J101" s="34">
        <f t="shared" si="115"/>
        <v>1051.3082361513416</v>
      </c>
      <c r="K101" s="34">
        <f t="shared" si="115"/>
        <v>1028.4129740643477</v>
      </c>
      <c r="L101" s="34">
        <f t="shared" si="115"/>
        <v>1009.9246117584817</v>
      </c>
      <c r="M101" s="34">
        <f t="shared" si="115"/>
        <v>794.6911299876997</v>
      </c>
      <c r="N101" s="34">
        <f t="shared" si="115"/>
        <v>755.77293265450805</v>
      </c>
      <c r="O101" s="34">
        <f t="shared" si="115"/>
        <v>681.72180086264268</v>
      </c>
      <c r="P101" s="34">
        <f t="shared" si="115"/>
        <v>522.17136574967276</v>
      </c>
      <c r="Q101" s="34">
        <f t="shared" si="115"/>
        <v>525.98212303740377</v>
      </c>
      <c r="R101" s="34">
        <f t="shared" si="115"/>
        <v>424.20831290054275</v>
      </c>
      <c r="S101" s="34">
        <f t="shared" si="115"/>
        <v>544.51303584538061</v>
      </c>
      <c r="T101" s="34">
        <f t="shared" si="115"/>
        <v>582.5846716446199</v>
      </c>
      <c r="U101" s="34">
        <f t="shared" si="115"/>
        <v>373.66206115484204</v>
      </c>
      <c r="V101" s="34">
        <f t="shared" si="115"/>
        <v>397.17748374884599</v>
      </c>
      <c r="W101" s="34">
        <f t="shared" ref="W101" si="116">IF(W29=0,0,W29/W49)</f>
        <v>744.30775969042338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1223.6743423142661</v>
      </c>
      <c r="C102" s="34">
        <f t="shared" si="104"/>
        <v>1223.6372938413174</v>
      </c>
      <c r="D102" s="34">
        <f t="shared" ref="D102:V102" si="117">IF(D30=0,0,D30/D50)</f>
        <v>1015.1773903078547</v>
      </c>
      <c r="E102" s="34">
        <f t="shared" si="117"/>
        <v>1131.1002156866055</v>
      </c>
      <c r="F102" s="34">
        <f t="shared" si="117"/>
        <v>1227.0919202490345</v>
      </c>
      <c r="G102" s="34">
        <f t="shared" si="117"/>
        <v>1203.0890763779848</v>
      </c>
      <c r="H102" s="34">
        <f t="shared" si="117"/>
        <v>1159.8711451546008</v>
      </c>
      <c r="I102" s="34">
        <f t="shared" si="117"/>
        <v>1107.7513309449282</v>
      </c>
      <c r="J102" s="34">
        <f t="shared" si="117"/>
        <v>1121.5418630700651</v>
      </c>
      <c r="K102" s="34">
        <f t="shared" si="117"/>
        <v>1076.4766222489864</v>
      </c>
      <c r="L102" s="34">
        <f t="shared" si="117"/>
        <v>1102.3627584865765</v>
      </c>
      <c r="M102" s="34">
        <f t="shared" si="117"/>
        <v>1113.2952750946506</v>
      </c>
      <c r="N102" s="34">
        <f t="shared" si="117"/>
        <v>1085.6025427330526</v>
      </c>
      <c r="O102" s="34">
        <f t="shared" si="117"/>
        <v>1049.2164663407236</v>
      </c>
      <c r="P102" s="34">
        <f t="shared" si="117"/>
        <v>1054.1464824287561</v>
      </c>
      <c r="Q102" s="34">
        <f t="shared" si="117"/>
        <v>1082.8768584278423</v>
      </c>
      <c r="R102" s="34">
        <f t="shared" si="117"/>
        <v>996.05397775264112</v>
      </c>
      <c r="S102" s="34">
        <f t="shared" si="117"/>
        <v>1045.1784349574027</v>
      </c>
      <c r="T102" s="34">
        <f t="shared" si="117"/>
        <v>1108.8349218281305</v>
      </c>
      <c r="U102" s="34">
        <f t="shared" si="117"/>
        <v>1102.2192546011902</v>
      </c>
      <c r="V102" s="34">
        <f t="shared" si="117"/>
        <v>1123.1093499482201</v>
      </c>
      <c r="W102" s="34">
        <f t="shared" ref="W102" si="118">IF(W30=0,0,W30/W50)</f>
        <v>1018.8340453410071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331</v>
      </c>
      <c r="C103" s="35">
        <f t="shared" si="104"/>
        <v>331</v>
      </c>
      <c r="D103" s="35">
        <f t="shared" ref="D103:V103" si="119">IF(D31=0,0,D31/D51)</f>
        <v>331</v>
      </c>
      <c r="E103" s="35">
        <f t="shared" si="119"/>
        <v>331</v>
      </c>
      <c r="F103" s="35">
        <f t="shared" si="119"/>
        <v>331</v>
      </c>
      <c r="G103" s="35">
        <f t="shared" si="119"/>
        <v>322</v>
      </c>
      <c r="H103" s="35">
        <f t="shared" si="119"/>
        <v>325</v>
      </c>
      <c r="I103" s="35">
        <f t="shared" si="119"/>
        <v>334</v>
      </c>
      <c r="J103" s="35">
        <f t="shared" si="119"/>
        <v>331.34490464306958</v>
      </c>
      <c r="K103" s="35">
        <f t="shared" si="119"/>
        <v>252.36878907733049</v>
      </c>
      <c r="L103" s="35">
        <f t="shared" si="119"/>
        <v>362.09019464482742</v>
      </c>
      <c r="M103" s="35">
        <f t="shared" si="119"/>
        <v>308.12836528843383</v>
      </c>
      <c r="N103" s="35">
        <f t="shared" si="119"/>
        <v>355</v>
      </c>
      <c r="O103" s="35">
        <f t="shared" si="119"/>
        <v>351</v>
      </c>
      <c r="P103" s="35">
        <f t="shared" si="119"/>
        <v>347</v>
      </c>
      <c r="Q103" s="35">
        <f t="shared" si="119"/>
        <v>340</v>
      </c>
      <c r="R103" s="35">
        <f t="shared" si="119"/>
        <v>320.71467734326188</v>
      </c>
      <c r="S103" s="35">
        <f t="shared" si="119"/>
        <v>329</v>
      </c>
      <c r="T103" s="35">
        <f t="shared" si="119"/>
        <v>275.48239651722429</v>
      </c>
      <c r="U103" s="35">
        <f t="shared" si="119"/>
        <v>227.01308212899815</v>
      </c>
      <c r="V103" s="35">
        <f t="shared" si="119"/>
        <v>276.24431713958205</v>
      </c>
      <c r="W103" s="35">
        <f t="shared" ref="W103" si="120">IF(W31=0,0,W31/W51)</f>
        <v>320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1.9220965370153689E-2</v>
      </c>
      <c r="C107" s="43">
        <f t="shared" si="124"/>
        <v>1.8259283806246397E-2</v>
      </c>
      <c r="D107" s="43">
        <f t="shared" ref="D107:V107" si="125">IF(D5=0,0,D5/D$4)</f>
        <v>1.6518798233480233E-2</v>
      </c>
      <c r="E107" s="43">
        <f t="shared" si="125"/>
        <v>1.7704337947739728E-2</v>
      </c>
      <c r="F107" s="43">
        <f t="shared" si="125"/>
        <v>1.6269380164093905E-2</v>
      </c>
      <c r="G107" s="43">
        <f t="shared" si="125"/>
        <v>1.5973098544703374E-2</v>
      </c>
      <c r="H107" s="43">
        <f t="shared" si="125"/>
        <v>1.6875466680335564E-2</v>
      </c>
      <c r="I107" s="43">
        <f t="shared" si="125"/>
        <v>1.3750229187108318E-2</v>
      </c>
      <c r="J107" s="43">
        <f t="shared" si="125"/>
        <v>1.1917515052343208E-2</v>
      </c>
      <c r="K107" s="43">
        <f t="shared" si="125"/>
        <v>9.7513769393699334E-3</v>
      </c>
      <c r="L107" s="43">
        <f t="shared" si="125"/>
        <v>5.7693951529287106E-3</v>
      </c>
      <c r="M107" s="43">
        <f t="shared" si="125"/>
        <v>1.5073204205790422E-3</v>
      </c>
      <c r="N107" s="43">
        <f t="shared" si="125"/>
        <v>7.3287024950673596E-4</v>
      </c>
      <c r="O107" s="43">
        <f t="shared" si="125"/>
        <v>8.2198276385900086E-4</v>
      </c>
      <c r="P107" s="43">
        <f t="shared" si="125"/>
        <v>7.0506033386241154E-4</v>
      </c>
      <c r="Q107" s="43">
        <f t="shared" si="125"/>
        <v>7.4865807288442834E-4</v>
      </c>
      <c r="R107" s="43">
        <f t="shared" si="125"/>
        <v>7.3924669319258064E-4</v>
      </c>
      <c r="S107" s="43">
        <f t="shared" si="125"/>
        <v>6.9833283949991747E-4</v>
      </c>
      <c r="T107" s="43">
        <f t="shared" si="125"/>
        <v>7.3265899148876085E-4</v>
      </c>
      <c r="U107" s="43">
        <f t="shared" si="125"/>
        <v>6.7681525408150311E-4</v>
      </c>
      <c r="V107" s="43">
        <f t="shared" si="125"/>
        <v>9.3815816763730532E-4</v>
      </c>
      <c r="W107" s="43">
        <f t="shared" ref="W107" si="126">IF(W5=0,0,W5/W$4)</f>
        <v>1.1317856820975186E-3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0.59229156645421177</v>
      </c>
      <c r="C108" s="43">
        <f t="shared" si="127"/>
        <v>0.61932088206009261</v>
      </c>
      <c r="D108" s="43">
        <f t="shared" ref="D108:V108" si="128">IF(D6=0,0,D6/D$4)</f>
        <v>0.6352661736995977</v>
      </c>
      <c r="E108" s="43">
        <f t="shared" si="128"/>
        <v>0.67275078510510977</v>
      </c>
      <c r="F108" s="43">
        <f t="shared" si="128"/>
        <v>0.67143914328070053</v>
      </c>
      <c r="G108" s="43">
        <f t="shared" si="128"/>
        <v>0.67994462817976598</v>
      </c>
      <c r="H108" s="43">
        <f t="shared" si="128"/>
        <v>0.67880692980568014</v>
      </c>
      <c r="I108" s="43">
        <f t="shared" si="128"/>
        <v>0.67408811058502316</v>
      </c>
      <c r="J108" s="43">
        <f t="shared" si="128"/>
        <v>0.65944455247492062</v>
      </c>
      <c r="K108" s="43">
        <f t="shared" si="128"/>
        <v>0.65084801830047656</v>
      </c>
      <c r="L108" s="43">
        <f t="shared" si="128"/>
        <v>0.64452713568626585</v>
      </c>
      <c r="M108" s="43">
        <f t="shared" si="128"/>
        <v>0.6424944026932945</v>
      </c>
      <c r="N108" s="43">
        <f t="shared" si="128"/>
        <v>0.61879493230406168</v>
      </c>
      <c r="O108" s="43">
        <f t="shared" si="128"/>
        <v>0.59410737922697732</v>
      </c>
      <c r="P108" s="43">
        <f t="shared" si="128"/>
        <v>0.56993131453571055</v>
      </c>
      <c r="Q108" s="43">
        <f t="shared" si="128"/>
        <v>0.55519400693926224</v>
      </c>
      <c r="R108" s="43">
        <f t="shared" si="128"/>
        <v>0.56094835501479201</v>
      </c>
      <c r="S108" s="43">
        <f t="shared" si="128"/>
        <v>0.53723063661516113</v>
      </c>
      <c r="T108" s="43">
        <f t="shared" si="128"/>
        <v>0.51267066437756181</v>
      </c>
      <c r="U108" s="43">
        <f t="shared" si="128"/>
        <v>0.52215430909213689</v>
      </c>
      <c r="V108" s="43">
        <f t="shared" si="128"/>
        <v>0.58789513109349267</v>
      </c>
      <c r="W108" s="43">
        <f t="shared" ref="W108" si="129">IF(W6=0,0,W6/W$4)</f>
        <v>0.6655215168821339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0.38848746817563456</v>
      </c>
      <c r="C109" s="43">
        <f t="shared" si="130"/>
        <v>0.36241983413366097</v>
      </c>
      <c r="D109" s="43">
        <f t="shared" ref="D109:V109" si="131">IF(D7=0,0,D7/D$4)</f>
        <v>0.34821502806692217</v>
      </c>
      <c r="E109" s="43">
        <f t="shared" si="131"/>
        <v>0.30954487694715049</v>
      </c>
      <c r="F109" s="43">
        <f t="shared" si="131"/>
        <v>0.3122914765552055</v>
      </c>
      <c r="G109" s="43">
        <f t="shared" si="131"/>
        <v>0.30408227327553056</v>
      </c>
      <c r="H109" s="43">
        <f t="shared" si="131"/>
        <v>0.30431760351398424</v>
      </c>
      <c r="I109" s="43">
        <f t="shared" si="131"/>
        <v>0.31216166022786851</v>
      </c>
      <c r="J109" s="43">
        <f t="shared" si="131"/>
        <v>0.32863793247273632</v>
      </c>
      <c r="K109" s="43">
        <f t="shared" si="131"/>
        <v>0.33940060476015349</v>
      </c>
      <c r="L109" s="43">
        <f t="shared" si="131"/>
        <v>0.34970346916080552</v>
      </c>
      <c r="M109" s="43">
        <f t="shared" si="131"/>
        <v>0.35599827688612645</v>
      </c>
      <c r="N109" s="43">
        <f t="shared" si="131"/>
        <v>0.38047219744643157</v>
      </c>
      <c r="O109" s="43">
        <f t="shared" si="131"/>
        <v>0.40507063800916371</v>
      </c>
      <c r="P109" s="43">
        <f t="shared" si="131"/>
        <v>0.42936362513042708</v>
      </c>
      <c r="Q109" s="43">
        <f t="shared" si="131"/>
        <v>0.44405733498785344</v>
      </c>
      <c r="R109" s="43">
        <f t="shared" si="131"/>
        <v>0.4383123982920154</v>
      </c>
      <c r="S109" s="43">
        <f t="shared" si="131"/>
        <v>0.46207103054533899</v>
      </c>
      <c r="T109" s="43">
        <f t="shared" si="131"/>
        <v>0.48659667663094941</v>
      </c>
      <c r="U109" s="43">
        <f t="shared" si="131"/>
        <v>0.47716887565378174</v>
      </c>
      <c r="V109" s="43">
        <f t="shared" si="131"/>
        <v>0.41116671073887007</v>
      </c>
      <c r="W109" s="43">
        <f t="shared" ref="W109" si="132">IF(W7=0,0,W7/W$4)</f>
        <v>0.33334669743576872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2.0585317244225181E-2</v>
      </c>
      <c r="C111" s="44">
        <f t="shared" si="136"/>
        <v>1.9715178602739077E-2</v>
      </c>
      <c r="D111" s="44">
        <f t="shared" ref="D111:V111" si="137">IF(D9=0,0,D9/D$8)</f>
        <v>1.6431517473939984E-2</v>
      </c>
      <c r="E111" s="44">
        <f t="shared" si="137"/>
        <v>1.6347826873754075E-2</v>
      </c>
      <c r="F111" s="44">
        <f t="shared" si="137"/>
        <v>1.9411218543573153E-2</v>
      </c>
      <c r="G111" s="44">
        <f t="shared" si="137"/>
        <v>2.3063669417855596E-2</v>
      </c>
      <c r="H111" s="44">
        <f t="shared" si="137"/>
        <v>2.381664149727182E-2</v>
      </c>
      <c r="I111" s="44">
        <f t="shared" si="137"/>
        <v>1.9840113858607962E-2</v>
      </c>
      <c r="J111" s="44">
        <f t="shared" si="137"/>
        <v>1.6258815650400427E-2</v>
      </c>
      <c r="K111" s="44">
        <f t="shared" si="137"/>
        <v>1.9004299820087393E-2</v>
      </c>
      <c r="L111" s="44">
        <f t="shared" si="137"/>
        <v>1.4532822161574276E-2</v>
      </c>
      <c r="M111" s="44">
        <f t="shared" si="137"/>
        <v>1.0599680254013128E-2</v>
      </c>
      <c r="N111" s="44">
        <f t="shared" si="137"/>
        <v>7.8441172641940896E-3</v>
      </c>
      <c r="O111" s="44">
        <f t="shared" si="137"/>
        <v>7.0592743864074554E-3</v>
      </c>
      <c r="P111" s="44">
        <f t="shared" si="137"/>
        <v>5.0216919759055101E-3</v>
      </c>
      <c r="Q111" s="44">
        <f t="shared" si="137"/>
        <v>4.587304476175327E-3</v>
      </c>
      <c r="R111" s="44">
        <f t="shared" si="137"/>
        <v>4.2250643571033666E-3</v>
      </c>
      <c r="S111" s="44">
        <f t="shared" si="137"/>
        <v>3.7314169642573818E-3</v>
      </c>
      <c r="T111" s="44">
        <f t="shared" si="137"/>
        <v>4.3791426208882427E-3</v>
      </c>
      <c r="U111" s="44">
        <f t="shared" si="137"/>
        <v>3.2990608035037153E-3</v>
      </c>
      <c r="V111" s="44">
        <f t="shared" si="137"/>
        <v>3.4873582947678151E-3</v>
      </c>
      <c r="W111" s="44">
        <f t="shared" ref="W111" si="138">IF(W9=0,0,W9/W$8)</f>
        <v>5.7099007383898687E-3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0.25853565830462477</v>
      </c>
      <c r="C112" s="44">
        <f t="shared" si="139"/>
        <v>0.26218994473241158</v>
      </c>
      <c r="D112" s="44">
        <f t="shared" ref="D112:V112" si="140">IF(D10=0,0,D10/D$8)</f>
        <v>0.2054726683922212</v>
      </c>
      <c r="E112" s="44">
        <f t="shared" si="140"/>
        <v>0.19699750895898052</v>
      </c>
      <c r="F112" s="44">
        <f t="shared" si="140"/>
        <v>0.12066256340255692</v>
      </c>
      <c r="G112" s="44">
        <f t="shared" si="140"/>
        <v>0.207481540409892</v>
      </c>
      <c r="H112" s="44">
        <f t="shared" si="140"/>
        <v>0.22502759074692416</v>
      </c>
      <c r="I112" s="44">
        <f t="shared" si="140"/>
        <v>0.20019741132070851</v>
      </c>
      <c r="J112" s="44">
        <f t="shared" si="140"/>
        <v>0.21520127182076729</v>
      </c>
      <c r="K112" s="44">
        <f t="shared" si="140"/>
        <v>0.2486734507369561</v>
      </c>
      <c r="L112" s="44">
        <f t="shared" si="140"/>
        <v>0.20987101842380368</v>
      </c>
      <c r="M112" s="44">
        <f t="shared" si="140"/>
        <v>0.22866994835032423</v>
      </c>
      <c r="N112" s="44">
        <f t="shared" si="140"/>
        <v>0.17768532959783656</v>
      </c>
      <c r="O112" s="44">
        <f t="shared" si="140"/>
        <v>0.15176886228798164</v>
      </c>
      <c r="P112" s="44">
        <f t="shared" si="140"/>
        <v>0.1531297570862378</v>
      </c>
      <c r="Q112" s="44">
        <f t="shared" si="140"/>
        <v>0.13609346751596321</v>
      </c>
      <c r="R112" s="44">
        <f t="shared" si="140"/>
        <v>0.13315473869816119</v>
      </c>
      <c r="S112" s="44">
        <f t="shared" si="140"/>
        <v>9.2032269641739078E-2</v>
      </c>
      <c r="T112" s="44">
        <f t="shared" si="140"/>
        <v>0.11495324707737126</v>
      </c>
      <c r="U112" s="44">
        <f t="shared" si="140"/>
        <v>0.12616666071931179</v>
      </c>
      <c r="V112" s="44">
        <f t="shared" si="140"/>
        <v>0.15626674439119972</v>
      </c>
      <c r="W112" s="44">
        <f t="shared" ref="W112" si="141">IF(W10=0,0,W10/W$8)</f>
        <v>0.16433787703548292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0.72087902445115015</v>
      </c>
      <c r="C113" s="45">
        <f t="shared" si="142"/>
        <v>0.71809487666484939</v>
      </c>
      <c r="D113" s="45">
        <f t="shared" ref="D113:V113" si="143">IF(D11=0,0,D11/D$8)</f>
        <v>0.77809581413383888</v>
      </c>
      <c r="E113" s="45">
        <f t="shared" si="143"/>
        <v>0.78665466416726537</v>
      </c>
      <c r="F113" s="45">
        <f t="shared" si="143"/>
        <v>0.85992621805386993</v>
      </c>
      <c r="G113" s="45">
        <f t="shared" si="143"/>
        <v>0.76945479017225238</v>
      </c>
      <c r="H113" s="45">
        <f t="shared" si="143"/>
        <v>0.75115576775580406</v>
      </c>
      <c r="I113" s="45">
        <f t="shared" si="143"/>
        <v>0.77996247482068348</v>
      </c>
      <c r="J113" s="45">
        <f t="shared" si="143"/>
        <v>0.76853991252883236</v>
      </c>
      <c r="K113" s="45">
        <f t="shared" si="143"/>
        <v>0.73232224944295654</v>
      </c>
      <c r="L113" s="45">
        <f t="shared" si="143"/>
        <v>0.77559615941462212</v>
      </c>
      <c r="M113" s="45">
        <f t="shared" si="143"/>
        <v>0.76073037139566257</v>
      </c>
      <c r="N113" s="45">
        <f t="shared" si="143"/>
        <v>0.81447055313796934</v>
      </c>
      <c r="O113" s="45">
        <f t="shared" si="143"/>
        <v>0.841171863325611</v>
      </c>
      <c r="P113" s="45">
        <f t="shared" si="143"/>
        <v>0.8418485509378566</v>
      </c>
      <c r="Q113" s="45">
        <f t="shared" si="143"/>
        <v>0.85931922800786154</v>
      </c>
      <c r="R113" s="45">
        <f t="shared" si="143"/>
        <v>0.86262019694473546</v>
      </c>
      <c r="S113" s="45">
        <f t="shared" si="143"/>
        <v>0.90423631339400357</v>
      </c>
      <c r="T113" s="45">
        <f t="shared" si="143"/>
        <v>0.88066761030174046</v>
      </c>
      <c r="U113" s="45">
        <f t="shared" si="143"/>
        <v>0.87053427847718445</v>
      </c>
      <c r="V113" s="45">
        <f t="shared" si="143"/>
        <v>0.84024589731403243</v>
      </c>
      <c r="W113" s="45">
        <f t="shared" ref="W113" si="144">IF(W11=0,0,W11/W$8)</f>
        <v>0.82995222222612719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4.0349638822352624E-2</v>
      </c>
      <c r="C117" s="43">
        <f t="shared" si="148"/>
        <v>3.918519397681261E-2</v>
      </c>
      <c r="D117" s="43">
        <f t="shared" ref="D117:V117" si="149">IF(D15=0,0,D15/D$14)</f>
        <v>3.6817927451065491E-2</v>
      </c>
      <c r="E117" s="43">
        <f t="shared" si="149"/>
        <v>4.0429949079786462E-2</v>
      </c>
      <c r="F117" s="43">
        <f t="shared" si="149"/>
        <v>3.5878773013203746E-2</v>
      </c>
      <c r="G117" s="43">
        <f t="shared" si="149"/>
        <v>3.7018805018174263E-2</v>
      </c>
      <c r="H117" s="43">
        <f t="shared" si="149"/>
        <v>3.2844738460828367E-2</v>
      </c>
      <c r="I117" s="43">
        <f t="shared" si="149"/>
        <v>2.9391493169942974E-2</v>
      </c>
      <c r="J117" s="43">
        <f t="shared" si="149"/>
        <v>2.6839825779530528E-2</v>
      </c>
      <c r="K117" s="43">
        <f t="shared" si="149"/>
        <v>2.5570596330506894E-2</v>
      </c>
      <c r="L117" s="43">
        <f t="shared" si="149"/>
        <v>2.0527281410019152E-2</v>
      </c>
      <c r="M117" s="43">
        <f t="shared" si="149"/>
        <v>8.0450950379052522E-3</v>
      </c>
      <c r="N117" s="43">
        <f t="shared" si="149"/>
        <v>4.9735158673559106E-3</v>
      </c>
      <c r="O117" s="43">
        <f t="shared" si="149"/>
        <v>4.7598372021544029E-3</v>
      </c>
      <c r="P117" s="43">
        <f t="shared" si="149"/>
        <v>4.3008520070280127E-3</v>
      </c>
      <c r="Q117" s="43">
        <f t="shared" si="149"/>
        <v>4.0712728584761321E-3</v>
      </c>
      <c r="R117" s="43">
        <f t="shared" si="149"/>
        <v>3.8802308682570398E-3</v>
      </c>
      <c r="S117" s="43">
        <f t="shared" si="149"/>
        <v>3.5358092682890108E-3</v>
      </c>
      <c r="T117" s="43">
        <f t="shared" si="149"/>
        <v>3.1805702889205274E-3</v>
      </c>
      <c r="U117" s="43">
        <f t="shared" si="149"/>
        <v>3.1379499199114609E-3</v>
      </c>
      <c r="V117" s="43">
        <f t="shared" si="149"/>
        <v>8.7651031315034919E-3</v>
      </c>
      <c r="W117" s="43">
        <f t="shared" ref="W117" si="150">IF(W15=0,0,W15/W$14)</f>
        <v>7.4488495407206371E-3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0.68394783130141934</v>
      </c>
      <c r="C118" s="43">
        <f t="shared" si="151"/>
        <v>0.70244667426882468</v>
      </c>
      <c r="D118" s="43">
        <f t="shared" ref="D118:V118" si="152">IF(D16=0,0,D16/D$14)</f>
        <v>0.7137765865938589</v>
      </c>
      <c r="E118" s="43">
        <f t="shared" si="152"/>
        <v>0.74260428632185571</v>
      </c>
      <c r="F118" s="43">
        <f t="shared" si="152"/>
        <v>0.74649975060279716</v>
      </c>
      <c r="G118" s="43">
        <f t="shared" si="152"/>
        <v>0.72666119508003824</v>
      </c>
      <c r="H118" s="43">
        <f t="shared" si="152"/>
        <v>0.70710421354198749</v>
      </c>
      <c r="I118" s="43">
        <f t="shared" si="152"/>
        <v>0.6802022254101604</v>
      </c>
      <c r="J118" s="43">
        <f t="shared" si="152"/>
        <v>0.69982924097938271</v>
      </c>
      <c r="K118" s="43">
        <f t="shared" si="152"/>
        <v>0.70206237817839212</v>
      </c>
      <c r="L118" s="43">
        <f t="shared" si="152"/>
        <v>0.68834644243892817</v>
      </c>
      <c r="M118" s="43">
        <f t="shared" si="152"/>
        <v>0.68666383911776607</v>
      </c>
      <c r="N118" s="43">
        <f t="shared" si="152"/>
        <v>0.70122844579807797</v>
      </c>
      <c r="O118" s="43">
        <f t="shared" si="152"/>
        <v>0.695599498307651</v>
      </c>
      <c r="P118" s="43">
        <f t="shared" si="152"/>
        <v>0.67067858046103079</v>
      </c>
      <c r="Q118" s="43">
        <f t="shared" si="152"/>
        <v>0.6461083159103298</v>
      </c>
      <c r="R118" s="43">
        <f t="shared" si="152"/>
        <v>0.65610421824673748</v>
      </c>
      <c r="S118" s="43">
        <f t="shared" si="152"/>
        <v>0.62524469383234282</v>
      </c>
      <c r="T118" s="43">
        <f t="shared" si="152"/>
        <v>0.59996441216049845</v>
      </c>
      <c r="U118" s="43">
        <f t="shared" si="152"/>
        <v>0.61972865876065064</v>
      </c>
      <c r="V118" s="43">
        <f t="shared" si="152"/>
        <v>0.64618153063602335</v>
      </c>
      <c r="W118" s="43">
        <f t="shared" ref="W118" si="153">IF(W16=0,0,W16/W$14)</f>
        <v>0.66679221406162348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0.27570252987622806</v>
      </c>
      <c r="C119" s="43">
        <f t="shared" si="154"/>
        <v>0.25836813175436285</v>
      </c>
      <c r="D119" s="43">
        <f t="shared" ref="D119:V119" si="155">IF(D17=0,0,D17/D$14)</f>
        <v>0.24940548595507561</v>
      </c>
      <c r="E119" s="43">
        <f t="shared" si="155"/>
        <v>0.21696576459835784</v>
      </c>
      <c r="F119" s="43">
        <f t="shared" si="155"/>
        <v>0.21762147638399909</v>
      </c>
      <c r="G119" s="43">
        <f t="shared" si="155"/>
        <v>0.23631999990178748</v>
      </c>
      <c r="H119" s="43">
        <f t="shared" si="155"/>
        <v>0.26005104799718409</v>
      </c>
      <c r="I119" s="43">
        <f t="shared" si="155"/>
        <v>0.29040628141989649</v>
      </c>
      <c r="J119" s="43">
        <f t="shared" si="155"/>
        <v>0.27333093324108676</v>
      </c>
      <c r="K119" s="43">
        <f t="shared" si="155"/>
        <v>0.27236702549110098</v>
      </c>
      <c r="L119" s="43">
        <f t="shared" si="155"/>
        <v>0.29112627615105274</v>
      </c>
      <c r="M119" s="43">
        <f t="shared" si="155"/>
        <v>0.30529106584432886</v>
      </c>
      <c r="N119" s="43">
        <f t="shared" si="155"/>
        <v>0.29379803833456619</v>
      </c>
      <c r="O119" s="43">
        <f t="shared" si="155"/>
        <v>0.29964066449019461</v>
      </c>
      <c r="P119" s="43">
        <f t="shared" si="155"/>
        <v>0.32502056753194108</v>
      </c>
      <c r="Q119" s="43">
        <f t="shared" si="155"/>
        <v>0.34982041123119395</v>
      </c>
      <c r="R119" s="43">
        <f t="shared" si="155"/>
        <v>0.34001555088500546</v>
      </c>
      <c r="S119" s="43">
        <f t="shared" si="155"/>
        <v>0.37121949689936828</v>
      </c>
      <c r="T119" s="43">
        <f t="shared" si="155"/>
        <v>0.39685501755058106</v>
      </c>
      <c r="U119" s="43">
        <f t="shared" si="155"/>
        <v>0.37713339131943785</v>
      </c>
      <c r="V119" s="43">
        <f t="shared" si="155"/>
        <v>0.34505336623247312</v>
      </c>
      <c r="W119" s="43">
        <f t="shared" ref="W119" si="156">IF(W17=0,0,W17/W$14)</f>
        <v>0.3257589363976558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7.9128277745821721E-2</v>
      </c>
      <c r="C121" s="44">
        <f t="shared" si="160"/>
        <v>8.0386226308459582E-2</v>
      </c>
      <c r="D121" s="44">
        <f t="shared" ref="D121:V121" si="161">IF(D19=0,0,D19/D$18)</f>
        <v>6.746394658041853E-2</v>
      </c>
      <c r="E121" s="44">
        <f t="shared" si="161"/>
        <v>6.1258893073344978E-2</v>
      </c>
      <c r="F121" s="44">
        <f t="shared" si="161"/>
        <v>8.0198991427252064E-2</v>
      </c>
      <c r="G121" s="44">
        <f t="shared" si="161"/>
        <v>8.1959813317363392E-2</v>
      </c>
      <c r="H121" s="44">
        <f t="shared" si="161"/>
        <v>8.0128271310781388E-2</v>
      </c>
      <c r="I121" s="44">
        <f t="shared" si="161"/>
        <v>6.8696199325789853E-2</v>
      </c>
      <c r="J121" s="44">
        <f t="shared" si="161"/>
        <v>5.6545957856804864E-2</v>
      </c>
      <c r="K121" s="44">
        <f t="shared" si="161"/>
        <v>6.56826896785698E-2</v>
      </c>
      <c r="L121" s="44">
        <f t="shared" si="161"/>
        <v>5.2041941317313871E-2</v>
      </c>
      <c r="M121" s="44">
        <f t="shared" si="161"/>
        <v>3.6726203976278814E-2</v>
      </c>
      <c r="N121" s="44">
        <f t="shared" si="161"/>
        <v>3.2732639890264884E-2</v>
      </c>
      <c r="O121" s="44">
        <f t="shared" si="161"/>
        <v>2.977801579812181E-2</v>
      </c>
      <c r="P121" s="44">
        <f t="shared" si="161"/>
        <v>2.1716263369204583E-2</v>
      </c>
      <c r="Q121" s="44">
        <f t="shared" si="161"/>
        <v>1.9877558698344816E-2</v>
      </c>
      <c r="R121" s="44">
        <f t="shared" si="161"/>
        <v>1.7571600017502166E-2</v>
      </c>
      <c r="S121" s="44">
        <f t="shared" si="161"/>
        <v>1.7536204361645817E-2</v>
      </c>
      <c r="T121" s="44">
        <f t="shared" si="161"/>
        <v>1.9382791919906023E-2</v>
      </c>
      <c r="U121" s="44">
        <f t="shared" si="161"/>
        <v>1.3515495157150757E-2</v>
      </c>
      <c r="V121" s="44">
        <f t="shared" si="161"/>
        <v>1.0675689637302799E-2</v>
      </c>
      <c r="W121" s="44">
        <f t="shared" ref="W121" si="162">IF(W19=0,0,W19/W$18)</f>
        <v>1.6167161693546518E-2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0.49126345857404319</v>
      </c>
      <c r="C122" s="44">
        <f t="shared" si="163"/>
        <v>0.48959021880952447</v>
      </c>
      <c r="D122" s="44">
        <f t="shared" ref="D122:V122" si="164">IF(D20=0,0,D20/D$18)</f>
        <v>0.42165157963756761</v>
      </c>
      <c r="E122" s="44">
        <f t="shared" si="164"/>
        <v>0.38698509068439768</v>
      </c>
      <c r="F122" s="44">
        <f t="shared" si="164"/>
        <v>0.27467015669936334</v>
      </c>
      <c r="G122" s="44">
        <f t="shared" si="164"/>
        <v>0.40137045249711922</v>
      </c>
      <c r="H122" s="44">
        <f t="shared" si="164"/>
        <v>0.44471833412970113</v>
      </c>
      <c r="I122" s="44">
        <f t="shared" si="164"/>
        <v>0.4168575774400885</v>
      </c>
      <c r="J122" s="44">
        <f t="shared" si="164"/>
        <v>0.44350617059692576</v>
      </c>
      <c r="K122" s="44">
        <f t="shared" si="164"/>
        <v>0.51090724290456047</v>
      </c>
      <c r="L122" s="44">
        <f t="shared" si="164"/>
        <v>0.45915850420904269</v>
      </c>
      <c r="M122" s="44">
        <f t="shared" si="164"/>
        <v>0.49138008155566326</v>
      </c>
      <c r="N122" s="44">
        <f t="shared" si="164"/>
        <v>0.41607703563700399</v>
      </c>
      <c r="O122" s="44">
        <f t="shared" si="164"/>
        <v>0.37994397501716759</v>
      </c>
      <c r="P122" s="44">
        <f t="shared" si="164"/>
        <v>0.3937763102124418</v>
      </c>
      <c r="Q122" s="44">
        <f t="shared" si="164"/>
        <v>0.36869540746630153</v>
      </c>
      <c r="R122" s="44">
        <f t="shared" si="164"/>
        <v>0.35853369901402399</v>
      </c>
      <c r="S122" s="44">
        <f t="shared" si="164"/>
        <v>0.28280859949486975</v>
      </c>
      <c r="T122" s="44">
        <f t="shared" si="164"/>
        <v>0.33470225504408718</v>
      </c>
      <c r="U122" s="44">
        <f t="shared" si="164"/>
        <v>0.36674825461552113</v>
      </c>
      <c r="V122" s="44">
        <f t="shared" si="164"/>
        <v>0.36176326304753814</v>
      </c>
      <c r="W122" s="44">
        <f t="shared" ref="W122" si="165">IF(W20=0,0,W20/W$18)</f>
        <v>0.36871209886781708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0.42960826368013511</v>
      </c>
      <c r="C123" s="45">
        <f t="shared" si="166"/>
        <v>0.43002355488201593</v>
      </c>
      <c r="D123" s="45">
        <f t="shared" ref="D123:V123" si="167">IF(D21=0,0,D21/D$18)</f>
        <v>0.51088447378201385</v>
      </c>
      <c r="E123" s="45">
        <f t="shared" si="167"/>
        <v>0.55175601624225745</v>
      </c>
      <c r="F123" s="45">
        <f t="shared" si="167"/>
        <v>0.6451308518733847</v>
      </c>
      <c r="G123" s="45">
        <f t="shared" si="167"/>
        <v>0.51666973418551732</v>
      </c>
      <c r="H123" s="45">
        <f t="shared" si="167"/>
        <v>0.47515339455951738</v>
      </c>
      <c r="I123" s="45">
        <f t="shared" si="167"/>
        <v>0.51444622323412159</v>
      </c>
      <c r="J123" s="45">
        <f t="shared" si="167"/>
        <v>0.4999478715462693</v>
      </c>
      <c r="K123" s="45">
        <f t="shared" si="167"/>
        <v>0.42341006741686971</v>
      </c>
      <c r="L123" s="45">
        <f t="shared" si="167"/>
        <v>0.48879955447364343</v>
      </c>
      <c r="M123" s="45">
        <f t="shared" si="167"/>
        <v>0.47189371446805795</v>
      </c>
      <c r="N123" s="45">
        <f t="shared" si="167"/>
        <v>0.5511903244727312</v>
      </c>
      <c r="O123" s="45">
        <f t="shared" si="167"/>
        <v>0.59027800918471063</v>
      </c>
      <c r="P123" s="45">
        <f t="shared" si="167"/>
        <v>0.58450742641835352</v>
      </c>
      <c r="Q123" s="45">
        <f t="shared" si="167"/>
        <v>0.61142703383535368</v>
      </c>
      <c r="R123" s="45">
        <f t="shared" si="167"/>
        <v>0.62389470096847388</v>
      </c>
      <c r="S123" s="45">
        <f t="shared" si="167"/>
        <v>0.69965519614348448</v>
      </c>
      <c r="T123" s="45">
        <f t="shared" si="167"/>
        <v>0.64591495303600677</v>
      </c>
      <c r="U123" s="45">
        <f t="shared" si="167"/>
        <v>0.61973625022732826</v>
      </c>
      <c r="V123" s="45">
        <f t="shared" si="167"/>
        <v>0.62756104731515905</v>
      </c>
      <c r="W123" s="45">
        <f t="shared" ref="W123" si="168">IF(W21=0,0,W21/W$18)</f>
        <v>0.61512073943863632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629.89131556319865</v>
      </c>
      <c r="C3" s="79">
        <f t="shared" si="0"/>
        <v>756.28856405846943</v>
      </c>
      <c r="D3" s="79">
        <f t="shared" ref="D3" si="1">SUM(D4:D5)</f>
        <v>802.63422184006856</v>
      </c>
      <c r="E3" s="79">
        <f t="shared" ref="E3" si="2">SUM(E4:E5)</f>
        <v>784.72794496990525</v>
      </c>
      <c r="F3" s="79">
        <f t="shared" ref="F3" si="3">SUM(F4:F5)</f>
        <v>743.64883920894204</v>
      </c>
      <c r="G3" s="79">
        <f t="shared" ref="G3" si="4">SUM(G4:G5)</f>
        <v>861.65468615649183</v>
      </c>
      <c r="H3" s="79">
        <f t="shared" ref="H3" si="5">SUM(H4:H5)</f>
        <v>893.28899398108342</v>
      </c>
      <c r="I3" s="79">
        <f t="shared" ref="I3" si="6">SUM(I4:I5)</f>
        <v>1048.0789337919173</v>
      </c>
      <c r="J3" s="79">
        <f t="shared" ref="J3" si="7">SUM(J4:J5)</f>
        <v>975.38882201203785</v>
      </c>
      <c r="K3" s="79">
        <f t="shared" ref="K3" si="8">SUM(K4:K5)</f>
        <v>601.4636285468614</v>
      </c>
      <c r="L3" s="79">
        <f t="shared" ref="L3" si="9">SUM(L4:L5)</f>
        <v>768.9399828030954</v>
      </c>
      <c r="M3" s="79">
        <f t="shared" ref="M3" si="10">SUM(M4:M5)</f>
        <v>701.52811693895092</v>
      </c>
      <c r="N3" s="79">
        <f t="shared" ref="N3" si="11">SUM(N4:N5)</f>
        <v>588.82390369733446</v>
      </c>
      <c r="O3" s="79">
        <f t="shared" ref="O3" si="12">SUM(O4:O5)</f>
        <v>649.9159071367153</v>
      </c>
      <c r="P3" s="79">
        <f t="shared" ref="P3" si="13">SUM(P4:P5)</f>
        <v>749.98039552880459</v>
      </c>
      <c r="Q3" s="79">
        <f t="shared" ref="Q3" si="14">SUM(Q4:Q5)</f>
        <v>846.88495270851251</v>
      </c>
      <c r="R3" s="79">
        <f t="shared" ref="R3" si="15">SUM(R4:R5)</f>
        <v>870.04608770421328</v>
      </c>
      <c r="S3" s="79">
        <f t="shared" ref="S3" si="16">SUM(S4:S5)</f>
        <v>1021.920034393809</v>
      </c>
      <c r="T3" s="79">
        <f t="shared" ref="T3" si="17">SUM(T4:T5)</f>
        <v>1103.5128976784181</v>
      </c>
      <c r="U3" s="79">
        <f t="shared" ref="U3" si="18">SUM(U4:U5)</f>
        <v>1116.4030094582972</v>
      </c>
      <c r="V3" s="79">
        <f t="shared" ref="V3:W3" si="19">SUM(V4:V5)</f>
        <v>398.64763542562338</v>
      </c>
      <c r="W3" s="79">
        <f t="shared" si="19"/>
        <v>446.54135855545996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32.66431642304385</v>
      </c>
      <c r="C4" s="96">
        <f t="shared" si="20"/>
        <v>38.984178847807392</v>
      </c>
      <c r="D4" s="96">
        <f t="shared" ref="D4:V4" si="21">SUM(D7,D11)</f>
        <v>41.090799656061897</v>
      </c>
      <c r="E4" s="96">
        <f t="shared" si="21"/>
        <v>38.984178847807392</v>
      </c>
      <c r="F4" s="96">
        <f t="shared" si="21"/>
        <v>37.930868443680126</v>
      </c>
      <c r="G4" s="96">
        <f t="shared" si="21"/>
        <v>47.445743766122099</v>
      </c>
      <c r="H4" s="96">
        <f t="shared" si="21"/>
        <v>62.227085124677558</v>
      </c>
      <c r="I4" s="96">
        <f t="shared" si="21"/>
        <v>54.807222699914021</v>
      </c>
      <c r="J4" s="96">
        <f t="shared" si="21"/>
        <v>43.209114359415295</v>
      </c>
      <c r="K4" s="96">
        <f t="shared" si="21"/>
        <v>32.676010318142737</v>
      </c>
      <c r="L4" s="96">
        <f t="shared" si="21"/>
        <v>28.462768701633699</v>
      </c>
      <c r="M4" s="96">
        <f t="shared" si="21"/>
        <v>8.4498710232158203</v>
      </c>
      <c r="N4" s="96">
        <f t="shared" si="21"/>
        <v>8.4498710232158203</v>
      </c>
      <c r="O4" s="96">
        <f t="shared" si="21"/>
        <v>8.4498710232158203</v>
      </c>
      <c r="P4" s="96">
        <f t="shared" si="21"/>
        <v>8.4498710232158203</v>
      </c>
      <c r="Q4" s="96">
        <f t="shared" si="21"/>
        <v>8.4498710232158203</v>
      </c>
      <c r="R4" s="96">
        <f t="shared" si="21"/>
        <v>4.2249355116079101</v>
      </c>
      <c r="S4" s="96">
        <f t="shared" si="21"/>
        <v>5.7867583834909713</v>
      </c>
      <c r="T4" s="96">
        <f t="shared" si="21"/>
        <v>5.5529664660361124</v>
      </c>
      <c r="U4" s="96">
        <f t="shared" si="21"/>
        <v>5.9751504729148746</v>
      </c>
      <c r="V4" s="96">
        <f t="shared" si="21"/>
        <v>4.5628546861564914</v>
      </c>
      <c r="W4" s="96">
        <f t="shared" ref="W4" si="22">SUM(W7,W11)</f>
        <v>6.4610490111779875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597.22699914015482</v>
      </c>
      <c r="C5" s="96">
        <f t="shared" si="23"/>
        <v>717.30438521066208</v>
      </c>
      <c r="D5" s="96">
        <f t="shared" ref="D5:V5" si="24">SUM(D8:D9,D12:D13)</f>
        <v>761.54342218400666</v>
      </c>
      <c r="E5" s="96">
        <f t="shared" si="24"/>
        <v>745.7437661220979</v>
      </c>
      <c r="F5" s="96">
        <f t="shared" si="24"/>
        <v>705.71797076526195</v>
      </c>
      <c r="G5" s="96">
        <f t="shared" si="24"/>
        <v>814.20894239036977</v>
      </c>
      <c r="H5" s="96">
        <f t="shared" si="24"/>
        <v>831.06190885640592</v>
      </c>
      <c r="I5" s="96">
        <f t="shared" si="24"/>
        <v>993.27171109200333</v>
      </c>
      <c r="J5" s="96">
        <f t="shared" si="24"/>
        <v>932.1797076526226</v>
      </c>
      <c r="K5" s="96">
        <f t="shared" si="24"/>
        <v>568.78761822871866</v>
      </c>
      <c r="L5" s="96">
        <f t="shared" si="24"/>
        <v>740.47721410146175</v>
      </c>
      <c r="M5" s="96">
        <f t="shared" si="24"/>
        <v>693.07824591573512</v>
      </c>
      <c r="N5" s="96">
        <f t="shared" si="24"/>
        <v>580.37403267411867</v>
      </c>
      <c r="O5" s="96">
        <f t="shared" si="24"/>
        <v>641.46603611349951</v>
      </c>
      <c r="P5" s="96">
        <f t="shared" si="24"/>
        <v>741.5305245055888</v>
      </c>
      <c r="Q5" s="96">
        <f t="shared" si="24"/>
        <v>838.43508168529672</v>
      </c>
      <c r="R5" s="96">
        <f t="shared" si="24"/>
        <v>865.82115219260538</v>
      </c>
      <c r="S5" s="96">
        <f t="shared" si="24"/>
        <v>1016.133276010318</v>
      </c>
      <c r="T5" s="96">
        <f t="shared" si="24"/>
        <v>1097.9599312123819</v>
      </c>
      <c r="U5" s="96">
        <f t="shared" si="24"/>
        <v>1110.4278589853823</v>
      </c>
      <c r="V5" s="96">
        <f t="shared" si="24"/>
        <v>394.08478073946691</v>
      </c>
      <c r="W5" s="96">
        <f t="shared" ref="W5" si="25">SUM(W8:W9,W12:W13)</f>
        <v>440.08030954428199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618.30045531133214</v>
      </c>
      <c r="C6" s="21">
        <f t="shared" si="26"/>
        <v>743.43429558971536</v>
      </c>
      <c r="D6" s="21">
        <f t="shared" ref="D6:V6" si="27">SUM(D7:D9)</f>
        <v>790.51283154394719</v>
      </c>
      <c r="E6" s="21">
        <f t="shared" si="27"/>
        <v>771.75537561061412</v>
      </c>
      <c r="F6" s="21">
        <f t="shared" si="27"/>
        <v>724.90270539223206</v>
      </c>
      <c r="G6" s="21">
        <f t="shared" si="27"/>
        <v>840.28776558206289</v>
      </c>
      <c r="H6" s="21">
        <f t="shared" si="27"/>
        <v>865.574744356883</v>
      </c>
      <c r="I6" s="21">
        <f t="shared" si="27"/>
        <v>1021.8652982235805</v>
      </c>
      <c r="J6" s="21">
        <f t="shared" si="27"/>
        <v>952.28086748009764</v>
      </c>
      <c r="K6" s="21">
        <f t="shared" si="27"/>
        <v>586.58539445073609</v>
      </c>
      <c r="L6" s="21">
        <f t="shared" si="27"/>
        <v>746.54719055509304</v>
      </c>
      <c r="M6" s="21">
        <f t="shared" si="27"/>
        <v>684.06435870118753</v>
      </c>
      <c r="N6" s="21">
        <f t="shared" si="27"/>
        <v>571.02878460864497</v>
      </c>
      <c r="O6" s="21">
        <f t="shared" si="27"/>
        <v>630.96446854820954</v>
      </c>
      <c r="P6" s="21">
        <f t="shared" si="27"/>
        <v>729.78763699297122</v>
      </c>
      <c r="Q6" s="21">
        <f t="shared" si="27"/>
        <v>823.85190709951235</v>
      </c>
      <c r="R6" s="21">
        <f t="shared" si="27"/>
        <v>850.6481819340994</v>
      </c>
      <c r="S6" s="21">
        <f t="shared" si="27"/>
        <v>996.94907832223907</v>
      </c>
      <c r="T6" s="21">
        <f t="shared" si="27"/>
        <v>1080.9293564144455</v>
      </c>
      <c r="U6" s="21">
        <f t="shared" si="27"/>
        <v>1095.8333709654162</v>
      </c>
      <c r="V6" s="21">
        <f t="shared" si="27"/>
        <v>370.91059234728357</v>
      </c>
      <c r="W6" s="21">
        <f t="shared" ref="W6" si="28">SUM(W7:W9)</f>
        <v>411.80521657022047</v>
      </c>
      <c r="DA6" s="189" t="s">
        <v>279</v>
      </c>
    </row>
    <row r="7" spans="1:105" ht="11.45" customHeight="1" x14ac:dyDescent="0.25">
      <c r="A7" s="83" t="s">
        <v>27</v>
      </c>
      <c r="B7" s="96">
        <v>31.32254774998907</v>
      </c>
      <c r="C7" s="96">
        <v>37.457207963080769</v>
      </c>
      <c r="D7" s="96">
        <v>39.845878219212608</v>
      </c>
      <c r="E7" s="96">
        <v>37.934553160126413</v>
      </c>
      <c r="F7" s="96">
        <v>35.809202905547707</v>
      </c>
      <c r="G7" s="96">
        <v>44.533925604951236</v>
      </c>
      <c r="H7" s="96">
        <v>56.971512974444344</v>
      </c>
      <c r="I7" s="96">
        <v>51.032407449684044</v>
      </c>
      <c r="J7" s="96">
        <v>40.620753060595433</v>
      </c>
      <c r="K7" s="96">
        <v>30.400161695646787</v>
      </c>
      <c r="L7" s="96">
        <v>26.08103478624805</v>
      </c>
      <c r="M7" s="96">
        <v>7.3197599952719967</v>
      </c>
      <c r="N7" s="96">
        <v>6.7123309935220892</v>
      </c>
      <c r="O7" s="96">
        <v>6.8568842003635648</v>
      </c>
      <c r="P7" s="96">
        <v>7.2005182146311313</v>
      </c>
      <c r="Q7" s="96">
        <v>7.2436886263866853</v>
      </c>
      <c r="R7" s="96">
        <v>3.7537839443431151</v>
      </c>
      <c r="S7" s="96">
        <v>5.0114517137636101</v>
      </c>
      <c r="T7" s="96">
        <v>4.8107329192836676</v>
      </c>
      <c r="U7" s="96">
        <v>5.4756828209685136</v>
      </c>
      <c r="V7" s="96">
        <v>4.1530152446172357</v>
      </c>
      <c r="W7" s="96">
        <v>5.3987599046780712</v>
      </c>
      <c r="DA7" s="171" t="s">
        <v>280</v>
      </c>
    </row>
    <row r="8" spans="1:105" ht="11.45" customHeight="1" x14ac:dyDescent="0.25">
      <c r="A8" s="83" t="s">
        <v>173</v>
      </c>
      <c r="B8" s="96">
        <v>361.04671155700532</v>
      </c>
      <c r="C8" s="96">
        <v>448.51647023635354</v>
      </c>
      <c r="D8" s="96">
        <v>485.33074491730582</v>
      </c>
      <c r="E8" s="96">
        <v>502.85215181110914</v>
      </c>
      <c r="F8" s="96">
        <v>472.01920672820768</v>
      </c>
      <c r="G8" s="96">
        <v>548.29613187320797</v>
      </c>
      <c r="H8" s="96">
        <v>556.59127954955898</v>
      </c>
      <c r="I8" s="96">
        <v>672.43110120956487</v>
      </c>
      <c r="J8" s="96">
        <v>631.95914357770971</v>
      </c>
      <c r="K8" s="96">
        <v>375.16298326064282</v>
      </c>
      <c r="L8" s="96">
        <v>477.09465646409012</v>
      </c>
      <c r="M8" s="96">
        <v>447.63351381268279</v>
      </c>
      <c r="N8" s="96">
        <v>370.05500187048779</v>
      </c>
      <c r="O8" s="96">
        <v>408.65757665766728</v>
      </c>
      <c r="P8" s="96">
        <v>476.94426948231057</v>
      </c>
      <c r="Q8" s="96">
        <v>542.80400579785896</v>
      </c>
      <c r="R8" s="96">
        <v>576.12762044949011</v>
      </c>
      <c r="S8" s="96">
        <v>681.01006806402745</v>
      </c>
      <c r="T8" s="96">
        <v>738.66048542873227</v>
      </c>
      <c r="U8" s="96">
        <v>740.67979853347549</v>
      </c>
      <c r="V8" s="96">
        <v>216.54013978636564</v>
      </c>
      <c r="W8" s="96">
        <v>250.80994009140508</v>
      </c>
      <c r="DA8" s="171" t="s">
        <v>281</v>
      </c>
    </row>
    <row r="9" spans="1:105" ht="11.45" customHeight="1" x14ac:dyDescent="0.25">
      <c r="A9" s="83" t="s">
        <v>174</v>
      </c>
      <c r="B9" s="96">
        <v>225.93119600433772</v>
      </c>
      <c r="C9" s="96">
        <v>257.46061739028107</v>
      </c>
      <c r="D9" s="96">
        <v>265.33620840742884</v>
      </c>
      <c r="E9" s="96">
        <v>230.96867063937859</v>
      </c>
      <c r="F9" s="96">
        <v>217.07429575847675</v>
      </c>
      <c r="G9" s="96">
        <v>247.45770810390368</v>
      </c>
      <c r="H9" s="96">
        <v>252.0119518328797</v>
      </c>
      <c r="I9" s="96">
        <v>298.40178956433158</v>
      </c>
      <c r="J9" s="96">
        <v>279.70097084179247</v>
      </c>
      <c r="K9" s="96">
        <v>181.02224949444647</v>
      </c>
      <c r="L9" s="96">
        <v>243.37149930475485</v>
      </c>
      <c r="M9" s="96">
        <v>229.11108489323269</v>
      </c>
      <c r="N9" s="96">
        <v>194.26145174463508</v>
      </c>
      <c r="O9" s="96">
        <v>215.45000769017872</v>
      </c>
      <c r="P9" s="96">
        <v>245.64284929602951</v>
      </c>
      <c r="Q9" s="96">
        <v>273.80421267526674</v>
      </c>
      <c r="R9" s="96">
        <v>270.76677754026616</v>
      </c>
      <c r="S9" s="96">
        <v>310.92755854444806</v>
      </c>
      <c r="T9" s="96">
        <v>337.45813806642968</v>
      </c>
      <c r="U9" s="96">
        <v>349.67788961097216</v>
      </c>
      <c r="V9" s="96">
        <v>150.21743731630073</v>
      </c>
      <c r="W9" s="96">
        <v>155.5965165741373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11.590860251866552</v>
      </c>
      <c r="C10" s="22">
        <f t="shared" si="29"/>
        <v>12.854268468754135</v>
      </c>
      <c r="D10" s="22">
        <f t="shared" ref="D10:V10" si="30">SUM(D11:D13)</f>
        <v>12.121390296121346</v>
      </c>
      <c r="E10" s="22">
        <f t="shared" si="30"/>
        <v>12.972569359291048</v>
      </c>
      <c r="F10" s="22">
        <f t="shared" si="30"/>
        <v>18.746133816709975</v>
      </c>
      <c r="G10" s="22">
        <f t="shared" si="30"/>
        <v>21.366920574428949</v>
      </c>
      <c r="H10" s="22">
        <f t="shared" si="30"/>
        <v>27.714249624200413</v>
      </c>
      <c r="I10" s="22">
        <f t="shared" si="30"/>
        <v>26.213635568336933</v>
      </c>
      <c r="J10" s="22">
        <f t="shared" si="30"/>
        <v>23.107954531940273</v>
      </c>
      <c r="K10" s="22">
        <f t="shared" si="30"/>
        <v>14.878234096125404</v>
      </c>
      <c r="L10" s="22">
        <f t="shared" si="30"/>
        <v>22.39279224800238</v>
      </c>
      <c r="M10" s="22">
        <f t="shared" si="30"/>
        <v>17.463758237763511</v>
      </c>
      <c r="N10" s="22">
        <f t="shared" si="30"/>
        <v>17.795119088689596</v>
      </c>
      <c r="O10" s="22">
        <f t="shared" si="30"/>
        <v>18.951438588505766</v>
      </c>
      <c r="P10" s="22">
        <f t="shared" si="30"/>
        <v>20.19275853583347</v>
      </c>
      <c r="Q10" s="22">
        <f t="shared" si="30"/>
        <v>23.033045609000133</v>
      </c>
      <c r="R10" s="22">
        <f t="shared" si="30"/>
        <v>19.397905770113852</v>
      </c>
      <c r="S10" s="22">
        <f t="shared" si="30"/>
        <v>24.970956071569844</v>
      </c>
      <c r="T10" s="22">
        <f t="shared" si="30"/>
        <v>22.583541263972215</v>
      </c>
      <c r="U10" s="22">
        <f t="shared" si="30"/>
        <v>20.56963849288103</v>
      </c>
      <c r="V10" s="22">
        <f t="shared" si="30"/>
        <v>27.737043078339816</v>
      </c>
      <c r="W10" s="22">
        <f t="shared" ref="W10" si="31">SUM(W11:W13)</f>
        <v>34.736141985239556</v>
      </c>
      <c r="DA10" s="193" t="s">
        <v>283</v>
      </c>
    </row>
    <row r="11" spans="1:105" ht="11.45" customHeight="1" x14ac:dyDescent="0.25">
      <c r="A11" s="92" t="s">
        <v>27</v>
      </c>
      <c r="B11" s="97">
        <v>1.3417686730547813</v>
      </c>
      <c r="C11" s="97">
        <v>1.526970884726625</v>
      </c>
      <c r="D11" s="97">
        <v>1.244921436849292</v>
      </c>
      <c r="E11" s="97">
        <v>1.0496256876809791</v>
      </c>
      <c r="F11" s="97">
        <v>2.121665538132417</v>
      </c>
      <c r="G11" s="97">
        <v>2.9118181611708613</v>
      </c>
      <c r="H11" s="97">
        <v>5.2555721502332116</v>
      </c>
      <c r="I11" s="97">
        <v>3.7748152502299739</v>
      </c>
      <c r="J11" s="97">
        <v>2.5883612988198599</v>
      </c>
      <c r="K11" s="97">
        <v>2.2758486224959511</v>
      </c>
      <c r="L11" s="97">
        <v>2.3817339153856478</v>
      </c>
      <c r="M11" s="97">
        <v>1.1301110279438238</v>
      </c>
      <c r="N11" s="97">
        <v>1.7375400296937316</v>
      </c>
      <c r="O11" s="97">
        <v>1.592986822852255</v>
      </c>
      <c r="P11" s="97">
        <v>1.249352808584689</v>
      </c>
      <c r="Q11" s="97">
        <v>1.2061823968291345</v>
      </c>
      <c r="R11" s="97">
        <v>0.47115156726479518</v>
      </c>
      <c r="S11" s="97">
        <v>0.77530666972736095</v>
      </c>
      <c r="T11" s="97">
        <v>0.74223354675244435</v>
      </c>
      <c r="U11" s="97">
        <v>0.49946765194636095</v>
      </c>
      <c r="V11" s="97">
        <v>0.40983944153925539</v>
      </c>
      <c r="W11" s="97">
        <v>1.0622891064999167</v>
      </c>
      <c r="DA11" s="175" t="s">
        <v>284</v>
      </c>
    </row>
    <row r="12" spans="1:105" ht="11.45" customHeight="1" x14ac:dyDescent="0.25">
      <c r="A12" s="92" t="s">
        <v>173</v>
      </c>
      <c r="B12" s="97">
        <v>4.3980529438194038</v>
      </c>
      <c r="C12" s="97">
        <v>4.8484732753628501</v>
      </c>
      <c r="D12" s="97">
        <v>3.8253872679597656</v>
      </c>
      <c r="E12" s="97">
        <v>3.7620287374645311</v>
      </c>
      <c r="F12" s="97">
        <v>3.6466470638382598</v>
      </c>
      <c r="G12" s="97">
        <v>7.0015169454829671</v>
      </c>
      <c r="H12" s="97">
        <v>10.541769933547027</v>
      </c>
      <c r="I12" s="97">
        <v>11.057507705948678</v>
      </c>
      <c r="J12" s="97">
        <v>10.171527255074782</v>
      </c>
      <c r="K12" s="97">
        <v>6.9573538789875737</v>
      </c>
      <c r="L12" s="97">
        <v>9.8833049465759544</v>
      </c>
      <c r="M12" s="97">
        <v>8.6139433630684241</v>
      </c>
      <c r="N12" s="97">
        <v>6.7116638979253391</v>
      </c>
      <c r="O12" s="97">
        <v>6.7481982824245277</v>
      </c>
      <c r="P12" s="97">
        <v>8.2938871966254109</v>
      </c>
      <c r="Q12" s="97">
        <v>9.7734767716682605</v>
      </c>
      <c r="R12" s="97">
        <v>8.3089120160288488</v>
      </c>
      <c r="S12" s="97">
        <v>9.5741151758338194</v>
      </c>
      <c r="T12" s="97">
        <v>10.369790572731448</v>
      </c>
      <c r="U12" s="97">
        <v>9.9984386567791237</v>
      </c>
      <c r="V12" s="97">
        <v>9.1325643085606405</v>
      </c>
      <c r="W12" s="97">
        <v>11.780631891353165</v>
      </c>
      <c r="DA12" s="175" t="s">
        <v>285</v>
      </c>
    </row>
    <row r="13" spans="1:105" ht="11.45" customHeight="1" x14ac:dyDescent="0.25">
      <c r="A13" s="85" t="s">
        <v>174</v>
      </c>
      <c r="B13" s="98">
        <v>5.8510386349923671</v>
      </c>
      <c r="C13" s="98">
        <v>6.4788243086646604</v>
      </c>
      <c r="D13" s="98">
        <v>7.051081591312288</v>
      </c>
      <c r="E13" s="98">
        <v>8.1609149341455378</v>
      </c>
      <c r="F13" s="98">
        <v>12.977821214739299</v>
      </c>
      <c r="G13" s="98">
        <v>11.45358546777512</v>
      </c>
      <c r="H13" s="98">
        <v>11.916907540420173</v>
      </c>
      <c r="I13" s="98">
        <v>11.381312612158283</v>
      </c>
      <c r="J13" s="98">
        <v>10.348065978045629</v>
      </c>
      <c r="K13" s="98">
        <v>5.6450315946418774</v>
      </c>
      <c r="L13" s="98">
        <v>10.127753386040775</v>
      </c>
      <c r="M13" s="98">
        <v>7.7197038467512611</v>
      </c>
      <c r="N13" s="98">
        <v>9.3459151610705256</v>
      </c>
      <c r="O13" s="98">
        <v>10.610253483228986</v>
      </c>
      <c r="P13" s="98">
        <v>10.649518530623372</v>
      </c>
      <c r="Q13" s="98">
        <v>12.053386440502738</v>
      </c>
      <c r="R13" s="98">
        <v>10.617842186820207</v>
      </c>
      <c r="S13" s="98">
        <v>14.621534226008663</v>
      </c>
      <c r="T13" s="98">
        <v>11.471517144488324</v>
      </c>
      <c r="U13" s="98">
        <v>10.071732184155545</v>
      </c>
      <c r="V13" s="98">
        <v>18.194639328239919</v>
      </c>
      <c r="W13" s="98">
        <v>21.893220987386474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685.07673446498382</v>
      </c>
      <c r="C17" s="62">
        <f>IF(C3=0,0,C3/TrAvia_act!C13*100)</f>
        <v>769.68046440460114</v>
      </c>
      <c r="D17" s="62">
        <f>IF(D3=0,0,D3/TrAvia_act!D13*100)</f>
        <v>813.22746035931493</v>
      </c>
      <c r="E17" s="62">
        <f>IF(E3=0,0,E3/TrAvia_act!E13*100)</f>
        <v>791.3961197354015</v>
      </c>
      <c r="F17" s="62">
        <f>IF(F3=0,0,F3/TrAvia_act!F13*100)</f>
        <v>725.13309712982721</v>
      </c>
      <c r="G17" s="62">
        <f>IF(G3=0,0,G3/TrAvia_act!G13*100)</f>
        <v>694.40852422950695</v>
      </c>
      <c r="H17" s="62">
        <f>IF(H3=0,0,H3/TrAvia_act!H13*100)</f>
        <v>615.90014657381778</v>
      </c>
      <c r="I17" s="62">
        <f>IF(I3=0,0,I3/TrAvia_act!I13*100)</f>
        <v>624.30000839650268</v>
      </c>
      <c r="J17" s="62">
        <f>IF(J3=0,0,J3/TrAvia_act!J13*100)</f>
        <v>586.75855746888726</v>
      </c>
      <c r="K17" s="62">
        <f>IF(K3=0,0,K3/TrAvia_act!K13*100)</f>
        <v>437.76591255166818</v>
      </c>
      <c r="L17" s="62">
        <f>IF(L3=0,0,L3/TrAvia_act!L13*100)</f>
        <v>611.13913473907621</v>
      </c>
      <c r="M17" s="62">
        <f>IF(M3=0,0,M3/TrAvia_act!M13*100)</f>
        <v>532.49637798566357</v>
      </c>
      <c r="N17" s="62">
        <f>IF(N3=0,0,N3/TrAvia_act!N13*100)</f>
        <v>462.92701653485119</v>
      </c>
      <c r="O17" s="62">
        <f>IF(O3=0,0,O3/TrAvia_act!O13*100)</f>
        <v>502.02784734308591</v>
      </c>
      <c r="P17" s="62">
        <f>IF(P3=0,0,P3/TrAvia_act!P13*100)</f>
        <v>537.71410203723406</v>
      </c>
      <c r="Q17" s="62">
        <f>IF(Q3=0,0,Q3/TrAvia_act!Q13*100)</f>
        <v>552.73481737013435</v>
      </c>
      <c r="R17" s="62">
        <f>IF(R3=0,0,R3/TrAvia_act!R13*100)</f>
        <v>524.29171913923233</v>
      </c>
      <c r="S17" s="62">
        <f>IF(S3=0,0,S3/TrAvia_act!S13*100)</f>
        <v>557.32629491815248</v>
      </c>
      <c r="T17" s="62">
        <f>IF(T3=0,0,T3/TrAvia_act!T13*100)</f>
        <v>553.85451270460794</v>
      </c>
      <c r="U17" s="62">
        <f>IF(U3=0,0,U3/TrAvia_act!U13*100)</f>
        <v>549.21581819352241</v>
      </c>
      <c r="V17" s="62">
        <f>IF(V3=0,0,V3/TrAvia_act!V13*100)</f>
        <v>576.7484451615619</v>
      </c>
      <c r="W17" s="62">
        <f>IF(W3=0,0,W3/TrAvia_act!W13*100)</f>
        <v>619.03639242745919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683.59148958294725</v>
      </c>
      <c r="C18" s="14">
        <f>IF(C6=0,0,C6/TrAvia_act!C14*100)</f>
        <v>767.98133577790168</v>
      </c>
      <c r="D18" s="14">
        <f>IF(D6=0,0,D6/TrAvia_act!D14*100)</f>
        <v>811.28549693431432</v>
      </c>
      <c r="E18" s="14">
        <f>IF(E6=0,0,E6/TrAvia_act!E14*100)</f>
        <v>789.07385909206573</v>
      </c>
      <c r="F18" s="14">
        <f>IF(F6=0,0,F6/TrAvia_act!F14*100)</f>
        <v>721.03862636564475</v>
      </c>
      <c r="G18" s="14">
        <f>IF(G6=0,0,G6/TrAvia_act!G14*100)</f>
        <v>692.33571479821012</v>
      </c>
      <c r="H18" s="14">
        <f>IF(H6=0,0,H6/TrAvia_act!H14*100)</f>
        <v>614.48691825858509</v>
      </c>
      <c r="I18" s="14">
        <f>IF(I6=0,0,I6/TrAvia_act!I14*100)</f>
        <v>624.31370335232191</v>
      </c>
      <c r="J18" s="14">
        <f>IF(J6=0,0,J6/TrAvia_act!J14*100)</f>
        <v>587.02733111883049</v>
      </c>
      <c r="K18" s="14">
        <f>IF(K6=0,0,K6/TrAvia_act!K14*100)</f>
        <v>437.25065328866134</v>
      </c>
      <c r="L18" s="14">
        <f>IF(L6=0,0,L6/TrAvia_act!L14*100)</f>
        <v>611.13778176990104</v>
      </c>
      <c r="M18" s="14">
        <f>IF(M6=0,0,M6/TrAvia_act!M14*100)</f>
        <v>532.61547352970376</v>
      </c>
      <c r="N18" s="14">
        <f>IF(N6=0,0,N6/TrAvia_act!N14*100)</f>
        <v>461.96690110595802</v>
      </c>
      <c r="O18" s="14">
        <f>IF(O6=0,0,O6/TrAvia_act!O14*100)</f>
        <v>501.27828978927494</v>
      </c>
      <c r="P18" s="14">
        <f>IF(P6=0,0,P6/TrAvia_act!P14*100)</f>
        <v>537.46533935497678</v>
      </c>
      <c r="Q18" s="14">
        <f>IF(Q6=0,0,Q6/TrAvia_act!Q14*100)</f>
        <v>552.82574240590395</v>
      </c>
      <c r="R18" s="14">
        <f>IF(R6=0,0,R6/TrAvia_act!R14*100)</f>
        <v>524.70644621922452</v>
      </c>
      <c r="S18" s="14">
        <f>IF(S6=0,0,S6/TrAvia_act!S14*100)</f>
        <v>558.58635891982487</v>
      </c>
      <c r="T18" s="14">
        <f>IF(T6=0,0,T6/TrAvia_act!T14*100)</f>
        <v>554.81736273100501</v>
      </c>
      <c r="U18" s="14">
        <f>IF(U6=0,0,U6/TrAvia_act!U14*100)</f>
        <v>549.30156396008556</v>
      </c>
      <c r="V18" s="14">
        <f>IF(V6=0,0,V6/TrAvia_act!V14*100)</f>
        <v>575.2922736233262</v>
      </c>
      <c r="W18" s="14">
        <f>IF(W6=0,0,W6/TrAvia_act!W14*100)</f>
        <v>616.83459054928505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858.25137790733731</v>
      </c>
      <c r="C19" s="87">
        <f>IF(C7=0,0,C7/TrAvia_act!C15*100)</f>
        <v>987.46446259140089</v>
      </c>
      <c r="D19" s="87">
        <f>IF(D7=0,0,D7/TrAvia_act!D15*100)</f>
        <v>1110.679750973072</v>
      </c>
      <c r="E19" s="87">
        <f>IF(E7=0,0,E7/TrAvia_act!E15*100)</f>
        <v>959.33385548579326</v>
      </c>
      <c r="F19" s="87">
        <f>IF(F7=0,0,F7/TrAvia_act!F15*100)</f>
        <v>992.74082393091021</v>
      </c>
      <c r="G19" s="87">
        <f>IF(G7=0,0,G7/TrAvia_act!G15*100)</f>
        <v>991.19083836353673</v>
      </c>
      <c r="H19" s="87">
        <f>IF(H7=0,0,H7/TrAvia_act!H15*100)</f>
        <v>1231.402442200279</v>
      </c>
      <c r="I19" s="87">
        <f>IF(I7=0,0,I7/TrAvia_act!I15*100)</f>
        <v>1060.8002736555061</v>
      </c>
      <c r="J19" s="87">
        <f>IF(J7=0,0,J7/TrAvia_act!J15*100)</f>
        <v>932.95681387136165</v>
      </c>
      <c r="K19" s="87">
        <f>IF(K7=0,0,K7/TrAvia_act!K15*100)</f>
        <v>886.20512883556319</v>
      </c>
      <c r="L19" s="87">
        <f>IF(L7=0,0,L7/TrAvia_act!L15*100)</f>
        <v>1040.100368692918</v>
      </c>
      <c r="M19" s="87">
        <f>IF(M7=0,0,M7/TrAvia_act!M15*100)</f>
        <v>708.40640412365849</v>
      </c>
      <c r="N19" s="87">
        <f>IF(N7=0,0,N7/TrAvia_act!N15*100)</f>
        <v>1091.8493394716866</v>
      </c>
      <c r="O19" s="87">
        <f>IF(O7=0,0,O7/TrAvia_act!O15*100)</f>
        <v>1144.4813194220112</v>
      </c>
      <c r="P19" s="87">
        <f>IF(P7=0,0,P7/TrAvia_act!P15*100)</f>
        <v>1233.0003929234151</v>
      </c>
      <c r="Q19" s="87">
        <f>IF(Q7=0,0,Q7/TrAvia_act!Q15*100)</f>
        <v>1193.9019737330962</v>
      </c>
      <c r="R19" s="87">
        <f>IF(R7=0,0,R7/TrAvia_act!R15*100)</f>
        <v>596.73035120652912</v>
      </c>
      <c r="S19" s="87">
        <f>IF(S7=0,0,S7/TrAvia_act!S15*100)</f>
        <v>794.13085409190535</v>
      </c>
      <c r="T19" s="87">
        <f>IF(T7=0,0,T7/TrAvia_act!T15*100)</f>
        <v>776.35254443483086</v>
      </c>
      <c r="U19" s="87">
        <f>IF(U7=0,0,U7/TrAvia_act!U15*100)</f>
        <v>874.69891805673501</v>
      </c>
      <c r="V19" s="87">
        <f>IF(V7=0,0,V7/TrAvia_act!V15*100)</f>
        <v>734.89585904796752</v>
      </c>
      <c r="W19" s="87">
        <f>IF(W7=0,0,W7/TrAvia_act!W15*100)</f>
        <v>1085.6296297579704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583.62985266249234</v>
      </c>
      <c r="C20" s="87">
        <f>IF(C8=0,0,C8/TrAvia_act!C16*100)</f>
        <v>659.58855109064916</v>
      </c>
      <c r="D20" s="87">
        <f>IF(D8=0,0,D8/TrAvia_act!D16*100)</f>
        <v>697.8149901551493</v>
      </c>
      <c r="E20" s="87">
        <f>IF(E8=0,0,E8/TrAvia_act!E16*100)</f>
        <v>692.34228024478841</v>
      </c>
      <c r="F20" s="87">
        <f>IF(F8=0,0,F8/TrAvia_act!F16*100)</f>
        <v>628.93941710442073</v>
      </c>
      <c r="G20" s="87">
        <f>IF(G8=0,0,G8/TrAvia_act!G16*100)</f>
        <v>621.68717550066049</v>
      </c>
      <c r="H20" s="87">
        <f>IF(H8=0,0,H8/TrAvia_act!H16*100)</f>
        <v>558.80597105146626</v>
      </c>
      <c r="I20" s="87">
        <f>IF(I8=0,0,I8/TrAvia_act!I16*100)</f>
        <v>603.97499679074804</v>
      </c>
      <c r="J20" s="87">
        <f>IF(J8=0,0,J8/TrAvia_act!J16*100)</f>
        <v>556.66021132526714</v>
      </c>
      <c r="K20" s="87">
        <f>IF(K8=0,0,K8/TrAvia_act!K16*100)</f>
        <v>398.33044518083739</v>
      </c>
      <c r="L20" s="87">
        <f>IF(L8=0,0,L8/TrAvia_act!L16*100)</f>
        <v>567.38695725932712</v>
      </c>
      <c r="M20" s="87">
        <f>IF(M8=0,0,M8/TrAvia_act!M16*100)</f>
        <v>507.5691677074837</v>
      </c>
      <c r="N20" s="87">
        <f>IF(N8=0,0,N8/TrAvia_act!N16*100)</f>
        <v>426.93288990192923</v>
      </c>
      <c r="O20" s="87">
        <f>IF(O8=0,0,O8/TrAvia_act!O16*100)</f>
        <v>466.73921078448438</v>
      </c>
      <c r="P20" s="87">
        <f>IF(P8=0,0,P8/TrAvia_act!P16*100)</f>
        <v>523.72964707808228</v>
      </c>
      <c r="Q20" s="87">
        <f>IF(Q8=0,0,Q8/TrAvia_act!Q16*100)</f>
        <v>563.7373630495722</v>
      </c>
      <c r="R20" s="87">
        <f>IF(R8=0,0,R8/TrAvia_act!R16*100)</f>
        <v>541.64194394355286</v>
      </c>
      <c r="S20" s="87">
        <f>IF(S8=0,0,S8/TrAvia_act!S16*100)</f>
        <v>610.26837860973012</v>
      </c>
      <c r="T20" s="87">
        <f>IF(T8=0,0,T8/TrAvia_act!T16*100)</f>
        <v>631.93456209413591</v>
      </c>
      <c r="U20" s="87">
        <f>IF(U8=0,0,U8/TrAvia_act!U16*100)</f>
        <v>599.09436330390008</v>
      </c>
      <c r="V20" s="87">
        <f>IF(V8=0,0,V8/TrAvia_act!V16*100)</f>
        <v>519.76038741686125</v>
      </c>
      <c r="W20" s="87">
        <f>IF(W8=0,0,W8/TrAvia_act!W16*100)</f>
        <v>563.41849667379734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906.00904012908268</v>
      </c>
      <c r="C21" s="87">
        <f>IF(C9=0,0,C9/TrAvia_act!C17*100)</f>
        <v>1029.3899768547535</v>
      </c>
      <c r="D21" s="87">
        <f>IF(D9=0,0,D9/TrAvia_act!D17*100)</f>
        <v>1091.8307095446185</v>
      </c>
      <c r="E21" s="87">
        <f>IF(E9=0,0,E9/TrAvia_act!E17*100)</f>
        <v>1088.42837804292</v>
      </c>
      <c r="F21" s="87">
        <f>IF(F9=0,0,F9/TrAvia_act!F17*100)</f>
        <v>992.16855458317139</v>
      </c>
      <c r="G21" s="87">
        <f>IF(G9=0,0,G9/TrAvia_act!G17*100)</f>
        <v>862.75841480416386</v>
      </c>
      <c r="H21" s="87">
        <f>IF(H9=0,0,H9/TrAvia_act!H17*100)</f>
        <v>687.97173400937481</v>
      </c>
      <c r="I21" s="87">
        <f>IF(I9=0,0,I9/TrAvia_act!I17*100)</f>
        <v>627.77589229118712</v>
      </c>
      <c r="J21" s="87">
        <f>IF(J9=0,0,J9/TrAvia_act!J17*100)</f>
        <v>630.80983024864145</v>
      </c>
      <c r="K21" s="87">
        <f>IF(K9=0,0,K9/TrAvia_act!K17*100)</f>
        <v>495.42355498196946</v>
      </c>
      <c r="L21" s="87">
        <f>IF(L9=0,0,L9/TrAvia_act!L17*100)</f>
        <v>684.33725023157922</v>
      </c>
      <c r="M21" s="87">
        <f>IF(M9=0,0,M9/TrAvia_act!M17*100)</f>
        <v>584.3174050111229</v>
      </c>
      <c r="N21" s="87">
        <f>IF(N9=0,0,N9/TrAvia_act!N17*100)</f>
        <v>534.92217012815718</v>
      </c>
      <c r="O21" s="87">
        <f>IF(O9=0,0,O9/TrAvia_act!O17*100)</f>
        <v>571.24150507723971</v>
      </c>
      <c r="P21" s="87">
        <f>IF(P9=0,0,P9/TrAvia_act!P17*100)</f>
        <v>556.60517814751006</v>
      </c>
      <c r="Q21" s="87">
        <f>IF(Q9=0,0,Q9/TrAvia_act!Q17*100)</f>
        <v>525.21133001426949</v>
      </c>
      <c r="R21" s="87">
        <f>IF(R9=0,0,R9/TrAvia_act!R17*100)</f>
        <v>491.20527003838436</v>
      </c>
      <c r="S21" s="87">
        <f>IF(S9=0,0,S9/TrAvia_act!S17*100)</f>
        <v>469.2948500857363</v>
      </c>
      <c r="T21" s="87">
        <f>IF(T9=0,0,T9/TrAvia_act!T17*100)</f>
        <v>436.45629553281668</v>
      </c>
      <c r="U21" s="87">
        <f>IF(U9=0,0,U9/TrAvia_act!U17*100)</f>
        <v>464.77151149516021</v>
      </c>
      <c r="V21" s="87">
        <f>IF(V9=0,0,V9/TrAvia_act!V17*100)</f>
        <v>675.23257479506094</v>
      </c>
      <c r="W21" s="87">
        <f>IF(W9=0,0,W9/TrAvia_act!W17*100)</f>
        <v>715.45184459766676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774.88646397632795</v>
      </c>
      <c r="C22" s="15">
        <f>IF(C10=0,0,C10/TrAvia_act!C18*100)</f>
        <v>882.61957763080386</v>
      </c>
      <c r="D22" s="15">
        <f>IF(D10=0,0,D10/TrAvia_act!D18*100)</f>
        <v>963.66240832008214</v>
      </c>
      <c r="E22" s="15">
        <f>IF(E10=0,0,E10/TrAvia_act!E18*100)</f>
        <v>959.36594286020625</v>
      </c>
      <c r="F22" s="15">
        <f>IF(F10=0,0,F10/TrAvia_act!F18*100)</f>
        <v>929.16621232654074</v>
      </c>
      <c r="G22" s="15">
        <f>IF(G10=0,0,G10/TrAvia_act!G18*100)</f>
        <v>787.08037316460343</v>
      </c>
      <c r="H22" s="15">
        <f>IF(H10=0,0,H10/TrAvia_act!H18*100)</f>
        <v>663.5633859066869</v>
      </c>
      <c r="I22" s="15">
        <f>IF(I10=0,0,I10/TrAvia_act!I18*100)</f>
        <v>623.76661665198253</v>
      </c>
      <c r="J22" s="15">
        <f>IF(J10=0,0,J10/TrAvia_act!J18*100)</f>
        <v>575.89246692661493</v>
      </c>
      <c r="K22" s="15">
        <f>IF(K10=0,0,K10/TrAvia_act!K18*100)</f>
        <v>459.09528258492765</v>
      </c>
      <c r="L22" s="15">
        <f>IF(L10=0,0,L10/TrAvia_act!L18*100)</f>
        <v>611.1842444385012</v>
      </c>
      <c r="M22" s="15">
        <f>IF(M10=0,0,M10/TrAvia_act!M18*100)</f>
        <v>527.87288355090163</v>
      </c>
      <c r="N22" s="15">
        <f>IF(N10=0,0,N10/TrAvia_act!N18*100)</f>
        <v>496.00636443055163</v>
      </c>
      <c r="O22" s="15">
        <f>IF(O10=0,0,O10/TrAvia_act!O18*100)</f>
        <v>528.33017770390347</v>
      </c>
      <c r="P22" s="15">
        <f>IF(P10=0,0,P10/TrAvia_act!P18*100)</f>
        <v>546.86182976415387</v>
      </c>
      <c r="Q22" s="15">
        <f>IF(Q10=0,0,Q10/TrAvia_act!Q18*100)</f>
        <v>549.5021397659001</v>
      </c>
      <c r="R22" s="15">
        <f>IF(R10=0,0,R10/TrAvia_act!R18*100)</f>
        <v>506.72801774924085</v>
      </c>
      <c r="S22" s="15">
        <f>IF(S10=0,0,S10/TrAvia_act!S18*100)</f>
        <v>511.27959166110912</v>
      </c>
      <c r="T22" s="15">
        <f>IF(T10=0,0,T10/TrAvia_act!T18*100)</f>
        <v>511.37736267890273</v>
      </c>
      <c r="U22" s="15">
        <f>IF(U10=0,0,U10/TrAvia_act!U18*100)</f>
        <v>544.68615355433269</v>
      </c>
      <c r="V22" s="15">
        <f>IF(V10=0,0,V10/TrAvia_act!V18*100)</f>
        <v>596.95415206984876</v>
      </c>
      <c r="W22" s="15">
        <f>IF(W10=0,0,W10/TrAvia_act!W18*100)</f>
        <v>646.38998667817646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1133.6221930553895</v>
      </c>
      <c r="C23" s="101">
        <f>IF(C11=0,0,C11/TrAvia_act!C19*100)</f>
        <v>1304.2934255189566</v>
      </c>
      <c r="D23" s="101">
        <f>IF(D11=0,0,D11/TrAvia_act!D19*100)</f>
        <v>1467.042462722673</v>
      </c>
      <c r="E23" s="101">
        <f>IF(E11=0,0,E11/TrAvia_act!E19*100)</f>
        <v>1267.1370849176815</v>
      </c>
      <c r="F23" s="101">
        <f>IF(F11=0,0,F11/TrAvia_act!F19*100)</f>
        <v>1311.2627126847185</v>
      </c>
      <c r="G23" s="101">
        <f>IF(G11=0,0,G11/TrAvia_act!G19*100)</f>
        <v>1308.7010085797774</v>
      </c>
      <c r="H23" s="101">
        <f>IF(H11=0,0,H11/TrAvia_act!H19*100)</f>
        <v>1570.4116897696731</v>
      </c>
      <c r="I23" s="101">
        <f>IF(I11=0,0,I11/TrAvia_act!I19*100)</f>
        <v>1307.5486647360544</v>
      </c>
      <c r="J23" s="101">
        <f>IF(J11=0,0,J11/TrAvia_act!J19*100)</f>
        <v>1140.7834862955056</v>
      </c>
      <c r="K23" s="101">
        <f>IF(K11=0,0,K11/TrAvia_act!K19*100)</f>
        <v>1069.1629129835337</v>
      </c>
      <c r="L23" s="101">
        <f>IF(L11=0,0,L11/TrAvia_act!L19*100)</f>
        <v>1249.1185318380365</v>
      </c>
      <c r="M23" s="101">
        <f>IF(M11=0,0,M11/TrAvia_act!M19*100)</f>
        <v>930.11513986957107</v>
      </c>
      <c r="N23" s="101">
        <f>IF(N11=0,0,N11/TrAvia_act!N19*100)</f>
        <v>1479.58573819769</v>
      </c>
      <c r="O23" s="101">
        <f>IF(O11=0,0,O11/TrAvia_act!O19*100)</f>
        <v>1491.3502890563968</v>
      </c>
      <c r="P23" s="101">
        <f>IF(P11=0,0,P11/TrAvia_act!P19*100)</f>
        <v>1558.0520304204767</v>
      </c>
      <c r="Q23" s="101">
        <f>IF(Q11=0,0,Q11/TrAvia_act!Q19*100)</f>
        <v>1447.6646237568129</v>
      </c>
      <c r="R23" s="101">
        <f>IF(R11=0,0,R11/TrAvia_act!R19*100)</f>
        <v>700.43752325110722</v>
      </c>
      <c r="S23" s="101">
        <f>IF(S11=0,0,S11/TrAvia_act!S19*100)</f>
        <v>905.2347331717591</v>
      </c>
      <c r="T23" s="101">
        <f>IF(T11=0,0,T11/TrAvia_act!T19*100)</f>
        <v>867.10901482617192</v>
      </c>
      <c r="U23" s="101">
        <f>IF(U11=0,0,U11/TrAvia_act!U19*100)</f>
        <v>978.57717377161077</v>
      </c>
      <c r="V23" s="101">
        <f>IF(V11=0,0,V11/TrAvia_act!V19*100)</f>
        <v>826.22556316018768</v>
      </c>
      <c r="W23" s="101">
        <f>IF(W11=0,0,W11/TrAvia_act!W19*100)</f>
        <v>1222.705835253279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598.50584564111603</v>
      </c>
      <c r="C24" s="101">
        <f>IF(C12=0,0,C12/TrAvia_act!C20*100)</f>
        <v>679.98363950820158</v>
      </c>
      <c r="D24" s="101">
        <f>IF(D12=0,0,D12/TrAvia_act!D20*100)</f>
        <v>721.26383873917246</v>
      </c>
      <c r="E24" s="101">
        <f>IF(E12=0,0,E12/TrAvia_act!E20*100)</f>
        <v>718.92927921887679</v>
      </c>
      <c r="F24" s="101">
        <f>IF(F12=0,0,F12/TrAvia_act!F20*100)</f>
        <v>658.05766717406198</v>
      </c>
      <c r="G24" s="101">
        <f>IF(G12=0,0,G12/TrAvia_act!G20*100)</f>
        <v>642.57510133950552</v>
      </c>
      <c r="H24" s="101">
        <f>IF(H12=0,0,H12/TrAvia_act!H20*100)</f>
        <v>567.55478531198037</v>
      </c>
      <c r="I24" s="101">
        <f>IF(I12=0,0,I12/TrAvia_act!I20*100)</f>
        <v>631.19626600172262</v>
      </c>
      <c r="J24" s="101">
        <f>IF(J12=0,0,J12/TrAvia_act!J20*100)</f>
        <v>571.56600958397223</v>
      </c>
      <c r="K24" s="101">
        <f>IF(K12=0,0,K12/TrAvia_act!K20*100)</f>
        <v>420.19751227878874</v>
      </c>
      <c r="L24" s="101">
        <f>IF(L12=0,0,L12/TrAvia_act!L20*100)</f>
        <v>587.4940363360048</v>
      </c>
      <c r="M24" s="101">
        <f>IF(M12=0,0,M12/TrAvia_act!M20*100)</f>
        <v>529.87826611943103</v>
      </c>
      <c r="N24" s="101">
        <f>IF(N12=0,0,N12/TrAvia_act!N20*100)</f>
        <v>449.61708311692649</v>
      </c>
      <c r="O24" s="101">
        <f>IF(O12=0,0,O12/TrAvia_act!O20*100)</f>
        <v>495.14398578571928</v>
      </c>
      <c r="P24" s="101">
        <f>IF(P12=0,0,P12/TrAvia_act!P20*100)</f>
        <v>570.41442321090108</v>
      </c>
      <c r="Q24" s="101">
        <f>IF(Q12=0,0,Q12/TrAvia_act!Q20*100)</f>
        <v>632.41094486903228</v>
      </c>
      <c r="R24" s="101">
        <f>IF(R12=0,0,R12/TrAvia_act!R20*100)</f>
        <v>605.38861714637994</v>
      </c>
      <c r="S24" s="101">
        <f>IF(S12=0,0,S12/TrAvia_act!S20*100)</f>
        <v>693.15334536878345</v>
      </c>
      <c r="T24" s="101">
        <f>IF(T12=0,0,T12/TrAvia_act!T20*100)</f>
        <v>701.55351137806861</v>
      </c>
      <c r="U24" s="101">
        <f>IF(U12=0,0,U12/TrAvia_act!U20*100)</f>
        <v>721.91124518811637</v>
      </c>
      <c r="V24" s="101">
        <f>IF(V12=0,0,V12/TrAvia_act!V20*100)</f>
        <v>543.31174441687233</v>
      </c>
      <c r="W24" s="101">
        <f>IF(W12=0,0,W12/TrAvia_act!W20*100)</f>
        <v>594.55801207597108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910.50585751817687</v>
      </c>
      <c r="C25" s="88">
        <f>IF(C13=0,0,C13/TrAvia_act!C21*100)</f>
        <v>1034.4991739411535</v>
      </c>
      <c r="D25" s="88">
        <f>IF(D13=0,0,D13/TrAvia_act!D21*100)</f>
        <v>1097.2498202854204</v>
      </c>
      <c r="E25" s="88">
        <f>IF(E13=0,0,E13/TrAvia_act!E21*100)</f>
        <v>1093.8306019064585</v>
      </c>
      <c r="F25" s="88">
        <f>IF(F13=0,0,F13/TrAvia_act!F21*100)</f>
        <v>997.0930096510001</v>
      </c>
      <c r="G25" s="88">
        <f>IF(G13=0,0,G13/TrAvia_act!G21*100)</f>
        <v>816.59287492471526</v>
      </c>
      <c r="H25" s="88">
        <f>IF(H13=0,0,H13/TrAvia_act!H21*100)</f>
        <v>600.49448572796814</v>
      </c>
      <c r="I25" s="88">
        <f>IF(I13=0,0,I13/TrAvia_act!I21*100)</f>
        <v>526.43801117604073</v>
      </c>
      <c r="J25" s="88">
        <f>IF(J13=0,0,J13/TrAvia_act!J21*100)</f>
        <v>515.83921946748296</v>
      </c>
      <c r="K25" s="88">
        <f>IF(K13=0,0,K13/TrAvia_act!K21*100)</f>
        <v>411.39275536022177</v>
      </c>
      <c r="L25" s="88">
        <f>IF(L13=0,0,L13/TrAvia_act!L21*100)</f>
        <v>565.51771706933675</v>
      </c>
      <c r="M25" s="88">
        <f>IF(M13=0,0,M13/TrAvia_act!M21*100)</f>
        <v>494.47927028509253</v>
      </c>
      <c r="N25" s="88">
        <f>IF(N13=0,0,N13/TrAvia_act!N21*100)</f>
        <v>472.61401841460543</v>
      </c>
      <c r="O25" s="88">
        <f>IF(O13=0,0,O13/TrAvia_act!O21*100)</f>
        <v>501.10921712826064</v>
      </c>
      <c r="P25" s="88">
        <f>IF(P13=0,0,P13/TrAvia_act!P21*100)</f>
        <v>493.4258516302333</v>
      </c>
      <c r="Q25" s="88">
        <f>IF(Q13=0,0,Q13/TrAvia_act!Q21*100)</f>
        <v>470.30810597827559</v>
      </c>
      <c r="R25" s="88">
        <f>IF(R13=0,0,R13/TrAvia_act!R21*100)</f>
        <v>444.57500452622344</v>
      </c>
      <c r="S25" s="88">
        <f>IF(S13=0,0,S13/TrAvia_act!S21*100)</f>
        <v>427.89003096980389</v>
      </c>
      <c r="T25" s="88">
        <f>IF(T13=0,0,T13/TrAvia_act!T21*100)</f>
        <v>402.15639157967394</v>
      </c>
      <c r="U25" s="88">
        <f>IF(U13=0,0,U13/TrAvia_act!U21*100)</f>
        <v>430.34518191155587</v>
      </c>
      <c r="V25" s="88">
        <f>IF(V13=0,0,V13/TrAvia_act!V21*100)</f>
        <v>623.97657813550552</v>
      </c>
      <c r="W25" s="88">
        <f>IF(W13=0,0,W13/TrAvia_act!W21*100)</f>
        <v>662.31155134938763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48.36256203967833</v>
      </c>
      <c r="C28" s="14">
        <f>IF(C6=0,0,C6/TrAvia_act!C4*1000)</f>
        <v>54.503465544660841</v>
      </c>
      <c r="D28" s="14">
        <f>IF(D6=0,0,D6/TrAvia_act!D4*1000)</f>
        <v>57.870303473380289</v>
      </c>
      <c r="E28" s="14">
        <f>IF(E6=0,0,E6/TrAvia_act!E4*1000)</f>
        <v>57.56990790308582</v>
      </c>
      <c r="F28" s="14">
        <f>IF(F6=0,0,F6/TrAvia_act!F4*1000)</f>
        <v>50.503551194906898</v>
      </c>
      <c r="G28" s="14">
        <f>IF(G6=0,0,G6/TrAvia_act!G4*1000)</f>
        <v>48.457815161275803</v>
      </c>
      <c r="H28" s="14">
        <f>IF(H6=0,0,H6/TrAvia_act!H4*1000)</f>
        <v>42.534544399622376</v>
      </c>
      <c r="I28" s="14">
        <f>IF(I6=0,0,I6/TrAvia_act!I4*1000)</f>
        <v>45.41660395419931</v>
      </c>
      <c r="J28" s="14">
        <f>IF(J6=0,0,J6/TrAvia_act!J4*1000)</f>
        <v>42.847002745570883</v>
      </c>
      <c r="K28" s="14">
        <f>IF(K6=0,0,K6/TrAvia_act!K4*1000)</f>
        <v>30.323938628224901</v>
      </c>
      <c r="L28" s="14">
        <f>IF(L6=0,0,L6/TrAvia_act!L4*1000)</f>
        <v>43.28499070769027</v>
      </c>
      <c r="M28" s="14">
        <f>IF(M6=0,0,M6/TrAvia_act!M4*1000)</f>
        <v>38.543185553557251</v>
      </c>
      <c r="N28" s="14">
        <f>IF(N6=0,0,N6/TrAvia_act!N4*1000)</f>
        <v>31.045792220256139</v>
      </c>
      <c r="O28" s="14">
        <f>IF(O6=0,0,O6/TrAvia_act!O4*1000)</f>
        <v>32.197735438486347</v>
      </c>
      <c r="P28" s="14">
        <f>IF(P6=0,0,P6/TrAvia_act!P4*1000)</f>
        <v>34.514857441295156</v>
      </c>
      <c r="Q28" s="14">
        <f>IF(Q6=0,0,Q6/TrAvia_act!Q4*1000)</f>
        <v>34.284023009825958</v>
      </c>
      <c r="R28" s="14">
        <f>IF(R6=0,0,R6/TrAvia_act!R4*1000)</f>
        <v>31.82297849537613</v>
      </c>
      <c r="S28" s="14">
        <f>IF(S6=0,0,S6/TrAvia_act!S4*1000)</f>
        <v>33.813305034306275</v>
      </c>
      <c r="T28" s="14">
        <f>IF(T6=0,0,T6/TrAvia_act!T4*1000)</f>
        <v>33.284112149678322</v>
      </c>
      <c r="U28" s="14">
        <f>IF(U6=0,0,U6/TrAvia_act!U4*1000)</f>
        <v>32.198692587454062</v>
      </c>
      <c r="V28" s="14">
        <f>IF(V6=0,0,V6/TrAvia_act!V4*1000)</f>
        <v>51.699181986072027</v>
      </c>
      <c r="W28" s="14">
        <f>IF(W6=0,0,W6/TrAvia_act!W4*1000)</f>
        <v>51.963157949707089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127.46519574690483</v>
      </c>
      <c r="C29" s="87">
        <f>IF(C7=0,0,C7/TrAvia_act!C5*1000)</f>
        <v>150.39492752744982</v>
      </c>
      <c r="D29" s="87">
        <f>IF(D7=0,0,D7/TrAvia_act!D5*1000)</f>
        <v>176.5841791039617</v>
      </c>
      <c r="E29" s="87">
        <f>IF(E7=0,0,E7/TrAvia_act!E5*1000)</f>
        <v>159.83473055739989</v>
      </c>
      <c r="F29" s="87">
        <f>IF(F7=0,0,F7/TrAvia_act!F5*1000)</f>
        <v>153.34366641670019</v>
      </c>
      <c r="G29" s="87">
        <f>IF(G7=0,0,G7/TrAvia_act!G5*1000)</f>
        <v>160.78206304882545</v>
      </c>
      <c r="H29" s="87">
        <f>IF(H7=0,0,H7/TrAvia_act!H5*1000)</f>
        <v>165.89724365411757</v>
      </c>
      <c r="I29" s="87">
        <f>IF(I7=0,0,I7/TrAvia_act!I5*1000)</f>
        <v>164.95182508123185</v>
      </c>
      <c r="J29" s="87">
        <f>IF(J7=0,0,J7/TrAvia_act!J5*1000)</f>
        <v>153.36195981527271</v>
      </c>
      <c r="K29" s="87">
        <f>IF(K7=0,0,K7/TrAvia_act!K5*1000)</f>
        <v>161.16261776668188</v>
      </c>
      <c r="L29" s="87">
        <f>IF(L7=0,0,L7/TrAvia_act!L5*1000)</f>
        <v>262.10457177939065</v>
      </c>
      <c r="M29" s="87">
        <f>IF(M7=0,0,M7/TrAvia_act!M5*1000)</f>
        <v>273.61625918756619</v>
      </c>
      <c r="N29" s="87">
        <f>IF(N7=0,0,N7/TrAvia_act!N5*1000)</f>
        <v>497.95605493246603</v>
      </c>
      <c r="O29" s="87">
        <f>IF(O7=0,0,O7/TrAvia_act!O5*1000)</f>
        <v>425.68125687119147</v>
      </c>
      <c r="P29" s="87">
        <f>IF(P7=0,0,P7/TrAvia_act!P5*1000)</f>
        <v>482.99991359880823</v>
      </c>
      <c r="Q29" s="87">
        <f>IF(Q7=0,0,Q7/TrAvia_act!Q5*1000)</f>
        <v>402.64182717700191</v>
      </c>
      <c r="R29" s="87">
        <f>IF(R7=0,0,R7/TrAvia_act!R5*1000)</f>
        <v>189.96374775502304</v>
      </c>
      <c r="S29" s="87">
        <f>IF(S7=0,0,S7/TrAvia_act!S5*1000)</f>
        <v>243.39728575927623</v>
      </c>
      <c r="T29" s="87">
        <f>IF(T7=0,0,T7/TrAvia_act!T5*1000)</f>
        <v>202.18504434838314</v>
      </c>
      <c r="U29" s="87">
        <f>IF(U7=0,0,U7/TrAvia_act!U5*1000)</f>
        <v>237.71788707535572</v>
      </c>
      <c r="V29" s="87">
        <f>IF(V7=0,0,V7/TrAvia_act!V5*1000)</f>
        <v>617.02377280530698</v>
      </c>
      <c r="W29" s="87">
        <f>IF(W7=0,0,W7/TrAvia_act!W5*1000)</f>
        <v>601.91270595671142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47.680146206839851</v>
      </c>
      <c r="C30" s="87">
        <f>IF(C8=0,0,C8/TrAvia_act!C6*1000)</f>
        <v>53.093847431321009</v>
      </c>
      <c r="D30" s="87">
        <f>IF(D8=0,0,D8/TrAvia_act!D6*1000)</f>
        <v>55.927951076843179</v>
      </c>
      <c r="E30" s="87">
        <f>IF(E8=0,0,E8/TrAvia_act!E6*1000)</f>
        <v>55.7573302826626</v>
      </c>
      <c r="F30" s="87">
        <f>IF(F8=0,0,F8/TrAvia_act!F6*1000)</f>
        <v>48.977341864640849</v>
      </c>
      <c r="G30" s="87">
        <f>IF(G8=0,0,G8/TrAvia_act!G6*1000)</f>
        <v>46.50262016400594</v>
      </c>
      <c r="H30" s="87">
        <f>IF(H8=0,0,H8/TrAvia_act!H6*1000)</f>
        <v>40.292789926484254</v>
      </c>
      <c r="I30" s="87">
        <f>IF(I8=0,0,I8/TrAvia_act!I6*1000)</f>
        <v>44.335553060736089</v>
      </c>
      <c r="J30" s="87">
        <f>IF(J8=0,0,J8/TrAvia_act!J6*1000)</f>
        <v>43.11874434365928</v>
      </c>
      <c r="K30" s="87">
        <f>IF(K8=0,0,K8/TrAvia_act!K6*1000)</f>
        <v>29.798524330715068</v>
      </c>
      <c r="L30" s="87">
        <f>IF(L8=0,0,L8/TrAvia_act!L6*1000)</f>
        <v>42.9183887252509</v>
      </c>
      <c r="M30" s="87">
        <f>IF(M8=0,0,M8/TrAvia_act!M6*1000)</f>
        <v>39.25580504771581</v>
      </c>
      <c r="N30" s="87">
        <f>IF(N8=0,0,N8/TrAvia_act!N6*1000)</f>
        <v>32.51354142690964</v>
      </c>
      <c r="O30" s="87">
        <f>IF(O8=0,0,O8/TrAvia_act!O6*1000)</f>
        <v>35.100639799538712</v>
      </c>
      <c r="P30" s="87">
        <f>IF(P8=0,0,P8/TrAvia_act!P6*1000)</f>
        <v>39.57807775947105</v>
      </c>
      <c r="Q30" s="87">
        <f>IF(Q8=0,0,Q8/TrAvia_act!Q6*1000)</f>
        <v>40.685616494514036</v>
      </c>
      <c r="R30" s="87">
        <f>IF(R8=0,0,R8/TrAvia_act!R6*1000)</f>
        <v>38.422592506328293</v>
      </c>
      <c r="S30" s="87">
        <f>IF(S8=0,0,S8/TrAvia_act!S6*1000)</f>
        <v>42.993955988018079</v>
      </c>
      <c r="T30" s="87">
        <f>IF(T8=0,0,T8/TrAvia_act!T6*1000)</f>
        <v>44.365569904831389</v>
      </c>
      <c r="U30" s="87">
        <f>IF(U8=0,0,U8/TrAvia_act!U6*1000)</f>
        <v>41.679773424451923</v>
      </c>
      <c r="V30" s="87">
        <f>IF(V8=0,0,V8/TrAvia_act!V6*1000)</f>
        <v>51.339659613718666</v>
      </c>
      <c r="W30" s="87">
        <f>IF(W8=0,0,W8/TrAvia_act!W6*1000)</f>
        <v>47.553921446318881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45.489265133058822</v>
      </c>
      <c r="C31" s="87">
        <f>IF(C9=0,0,C9/TrAvia_act!C7*1000)</f>
        <v>52.081127132314585</v>
      </c>
      <c r="D31" s="87">
        <f>IF(D9=0,0,D9/TrAvia_act!D7*1000)</f>
        <v>55.78222649356676</v>
      </c>
      <c r="E31" s="87">
        <f>IF(E9=0,0,E9/TrAvia_act!E7*1000)</f>
        <v>55.660272153129924</v>
      </c>
      <c r="F31" s="87">
        <f>IF(F9=0,0,F9/TrAvia_act!F7*1000)</f>
        <v>48.427323394411374</v>
      </c>
      <c r="G31" s="87">
        <f>IF(G9=0,0,G9/TrAvia_act!G7*1000)</f>
        <v>46.929472387381793</v>
      </c>
      <c r="H31" s="87">
        <f>IF(H9=0,0,H9/TrAvia_act!H7*1000)</f>
        <v>40.694083502490258</v>
      </c>
      <c r="I31" s="87">
        <f>IF(I9=0,0,I9/TrAvia_act!I7*1000)</f>
        <v>42.485708688138651</v>
      </c>
      <c r="J31" s="87">
        <f>IF(J9=0,0,J9/TrAvia_act!J7*1000)</f>
        <v>38.294082850812252</v>
      </c>
      <c r="K31" s="87">
        <f>IF(K9=0,0,K9/TrAvia_act!K7*1000)</f>
        <v>27.572345345510151</v>
      </c>
      <c r="L31" s="87">
        <f>IF(L9=0,0,L9/TrAvia_act!L7*1000)</f>
        <v>40.350585432315249</v>
      </c>
      <c r="M31" s="87">
        <f>IF(M9=0,0,M9/TrAvia_act!M7*1000)</f>
        <v>36.261757431017145</v>
      </c>
      <c r="N31" s="87">
        <f>IF(N9=0,0,N9/TrAvia_act!N7*1000)</f>
        <v>27.759296071276154</v>
      </c>
      <c r="O31" s="87">
        <f>IF(O9=0,0,O9/TrAvia_act!O7*1000)</f>
        <v>27.141645506524235</v>
      </c>
      <c r="P31" s="87">
        <f>IF(P9=0,0,P9/TrAvia_act!P7*1000)</f>
        <v>27.057549351500647</v>
      </c>
      <c r="Q31" s="87">
        <f>IF(Q9=0,0,Q9/TrAvia_act!Q7*1000)</f>
        <v>25.659234993511024</v>
      </c>
      <c r="R31" s="87">
        <f>IF(R9=0,0,R9/TrAvia_act!R7*1000)</f>
        <v>23.110134234543633</v>
      </c>
      <c r="S31" s="87">
        <f>IF(S9=0,0,S9/TrAvia_act!S7*1000)</f>
        <v>22.822600148990528</v>
      </c>
      <c r="T31" s="87">
        <f>IF(T9=0,0,T9/TrAvia_act!T7*1000)</f>
        <v>21.354550409874186</v>
      </c>
      <c r="U31" s="87">
        <f>IF(U9=0,0,U9/TrAvia_act!U7*1000)</f>
        <v>21.532268184245098</v>
      </c>
      <c r="V31" s="87">
        <f>IF(V9=0,0,V9/TrAvia_act!V7*1000)</f>
        <v>50.923335056625056</v>
      </c>
      <c r="W31" s="87">
        <f>IF(W9=0,0,W9/TrAvia_act!W7*1000)</f>
        <v>58.898930103748434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187.9781155412185</v>
      </c>
      <c r="C32" s="15">
        <f>IF(C10=0,0,C10/TrAvia_act!C8*1000)</f>
        <v>203.40425281257529</v>
      </c>
      <c r="D32" s="15">
        <f>IF(D10=0,0,D10/TrAvia_act!D8*1000)</f>
        <v>214.46979785741328</v>
      </c>
      <c r="E32" s="15">
        <f>IF(E10=0,0,E10/TrAvia_act!E8*1000)</f>
        <v>219.93606315948094</v>
      </c>
      <c r="F32" s="15">
        <f>IF(F10=0,0,F10/TrAvia_act!F8*1000)</f>
        <v>205.16595677825637</v>
      </c>
      <c r="G32" s="15">
        <f>IF(G10=0,0,G10/TrAvia_act!G8*1000)</f>
        <v>206.46923797714581</v>
      </c>
      <c r="H32" s="15">
        <f>IF(H10=0,0,H10/TrAvia_act!H8*1000)</f>
        <v>191.1432368200179</v>
      </c>
      <c r="I32" s="15">
        <f>IF(I10=0,0,I10/TrAvia_act!I8*1000)</f>
        <v>175.23903609887986</v>
      </c>
      <c r="J32" s="15">
        <f>IF(J10=0,0,J10/TrAvia_act!J8*1000)</f>
        <v>167.42075725666203</v>
      </c>
      <c r="K32" s="15">
        <f>IF(K10=0,0,K10/TrAvia_act!K8*1000)</f>
        <v>133.15230558849112</v>
      </c>
      <c r="L32" s="15">
        <f>IF(L10=0,0,L10/TrAvia_act!L8*1000)</f>
        <v>159.95901863549804</v>
      </c>
      <c r="M32" s="15">
        <f>IF(M10=0,0,M10/TrAvia_act!M8*1000)</f>
        <v>134.50003249609196</v>
      </c>
      <c r="N32" s="15">
        <f>IF(N10=0,0,N10/TrAvia_act!N8*1000)</f>
        <v>106.50656720108108</v>
      </c>
      <c r="O32" s="15">
        <f>IF(O10=0,0,O10/TrAvia_act!O8*1000)</f>
        <v>108.58657022422615</v>
      </c>
      <c r="P32" s="15">
        <f>IF(P10=0,0,P10/TrAvia_act!P8*1000)</f>
        <v>97.956211944215994</v>
      </c>
      <c r="Q32" s="15">
        <f>IF(Q10=0,0,Q10/TrAvia_act!Q8*1000)</f>
        <v>96.146769906342342</v>
      </c>
      <c r="R32" s="15">
        <f>IF(R10=0,0,R10/TrAvia_act!R8*1000)</f>
        <v>80.103172320110431</v>
      </c>
      <c r="S32" s="15">
        <f>IF(S10=0,0,S10/TrAvia_act!S8*1000)</f>
        <v>77.875445624010226</v>
      </c>
      <c r="T32" s="15">
        <f>IF(T10=0,0,T10/TrAvia_act!T8*1000)</f>
        <v>80.594344903363549</v>
      </c>
      <c r="U32" s="15">
        <f>IF(U10=0,0,U10/TrAvia_act!U8*1000)</f>
        <v>83.597863404780838</v>
      </c>
      <c r="V32" s="15">
        <f>IF(V10=0,0,V10/TrAvia_act!V8*1000)</f>
        <v>131.56874997341899</v>
      </c>
      <c r="W32" s="15">
        <f>IF(W10=0,0,W10/TrAvia_act!W8*1000)</f>
        <v>150.08384635692272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1057.0893695677787</v>
      </c>
      <c r="C33" s="101">
        <f>IF(C11=0,0,C11/TrAvia_act!C9*1000)</f>
        <v>1225.5829297500861</v>
      </c>
      <c r="D33" s="101">
        <f>IF(D11=0,0,D11/TrAvia_act!D9*1000)</f>
        <v>1340.5344506612457</v>
      </c>
      <c r="E33" s="101">
        <f>IF(E11=0,0,E11/TrAvia_act!E9*1000)</f>
        <v>1088.5411881316436</v>
      </c>
      <c r="F33" s="101">
        <f>IF(F11=0,0,F11/TrAvia_act!F9*1000)</f>
        <v>1196.2383192173156</v>
      </c>
      <c r="G33" s="101">
        <f>IF(G11=0,0,G11/TrAvia_act!G9*1000)</f>
        <v>1219.9703203597778</v>
      </c>
      <c r="H33" s="101">
        <f>IF(H11=0,0,H11/TrAvia_act!H9*1000)</f>
        <v>1521.9321622480372</v>
      </c>
      <c r="I33" s="101">
        <f>IF(I11=0,0,I11/TrAvia_act!I9*1000)</f>
        <v>1271.9063602205497</v>
      </c>
      <c r="J33" s="101">
        <f>IF(J11=0,0,J11/TrAvia_act!J9*1000)</f>
        <v>1153.4102017617165</v>
      </c>
      <c r="K33" s="101">
        <f>IF(K11=0,0,K11/TrAvia_act!K9*1000)</f>
        <v>1071.7384242537039</v>
      </c>
      <c r="L33" s="101">
        <f>IF(L11=0,0,L11/TrAvia_act!L9*1000)</f>
        <v>1170.6949959277956</v>
      </c>
      <c r="M33" s="101">
        <f>IF(M11=0,0,M11/TrAvia_act!M9*1000)</f>
        <v>821.13209413752679</v>
      </c>
      <c r="N33" s="101">
        <f>IF(N11=0,0,N11/TrAvia_act!N9*1000)</f>
        <v>1325.7640238300269</v>
      </c>
      <c r="O33" s="101">
        <f>IF(O11=0,0,O11/TrAvia_act!O9*1000)</f>
        <v>1292.9628715054102</v>
      </c>
      <c r="P33" s="101">
        <f>IF(P11=0,0,P11/TrAvia_act!P9*1000)</f>
        <v>1206.9001951113817</v>
      </c>
      <c r="Q33" s="101">
        <f>IF(Q11=0,0,Q11/TrAvia_act!Q9*1000)</f>
        <v>1097.5864835029124</v>
      </c>
      <c r="R33" s="101">
        <f>IF(R11=0,0,R11/TrAvia_act!R9*1000)</f>
        <v>460.49209780153694</v>
      </c>
      <c r="S33" s="101">
        <f>IF(S11=0,0,S11/TrAvia_act!S9*1000)</f>
        <v>647.985238682729</v>
      </c>
      <c r="T33" s="101">
        <f>IF(T11=0,0,T11/TrAvia_act!T9*1000)</f>
        <v>604.87274457381238</v>
      </c>
      <c r="U33" s="101">
        <f>IF(U11=0,0,U11/TrAvia_act!U9*1000)</f>
        <v>615.29808752061808</v>
      </c>
      <c r="V33" s="101">
        <f>IF(V11=0,0,V11/TrAvia_act!V9*1000)</f>
        <v>557.45494082120717</v>
      </c>
      <c r="W33" s="101">
        <f>IF(W11=0,0,W11/TrAvia_act!W9*1000)</f>
        <v>803.83431040849564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275.88724585780983</v>
      </c>
      <c r="C34" s="101">
        <f>IF(C12=0,0,C12/TrAvia_act!C10*1000)</f>
        <v>292.61840379974069</v>
      </c>
      <c r="D34" s="101">
        <f>IF(D12=0,0,D12/TrAvia_act!D10*1000)</f>
        <v>329.40869176598363</v>
      </c>
      <c r="E34" s="101">
        <f>IF(E12=0,0,E12/TrAvia_act!E10*1000)</f>
        <v>323.76643239463522</v>
      </c>
      <c r="F34" s="101">
        <f>IF(F12=0,0,F12/TrAvia_act!F10*1000)</f>
        <v>330.76136255022169</v>
      </c>
      <c r="G34" s="101">
        <f>IF(G12=0,0,G12/TrAvia_act!G10*1000)</f>
        <v>326.08145474844531</v>
      </c>
      <c r="H34" s="101">
        <f>IF(H12=0,0,H12/TrAvia_act!H10*1000)</f>
        <v>323.09748322840204</v>
      </c>
      <c r="I34" s="101">
        <f>IF(I12=0,0,I12/TrAvia_act!I10*1000)</f>
        <v>369.23460054342377</v>
      </c>
      <c r="J34" s="101">
        <f>IF(J12=0,0,J12/TrAvia_act!J10*1000)</f>
        <v>342.44366079984684</v>
      </c>
      <c r="K34" s="101">
        <f>IF(K12=0,0,K12/TrAvia_act!K10*1000)</f>
        <v>250.38711496538684</v>
      </c>
      <c r="L34" s="101">
        <f>IF(L12=0,0,L12/TrAvia_act!L10*1000)</f>
        <v>336.39552183659998</v>
      </c>
      <c r="M34" s="101">
        <f>IF(M12=0,0,M12/TrAvia_act!M10*1000)</f>
        <v>290.11995205173298</v>
      </c>
      <c r="N34" s="101">
        <f>IF(N12=0,0,N12/TrAvia_act!N10*1000)</f>
        <v>226.0758208245027</v>
      </c>
      <c r="O34" s="101">
        <f>IF(O12=0,0,O12/TrAvia_act!O10*1000)</f>
        <v>254.76460468668373</v>
      </c>
      <c r="P34" s="101">
        <f>IF(P12=0,0,P12/TrAvia_act!P10*1000)</f>
        <v>262.74524242029645</v>
      </c>
      <c r="Q34" s="101">
        <f>IF(Q12=0,0,Q12/TrAvia_act!Q10*1000)</f>
        <v>299.77481006503018</v>
      </c>
      <c r="R34" s="101">
        <f>IF(R12=0,0,R12/TrAvia_act!R10*1000)</f>
        <v>257.68100400808771</v>
      </c>
      <c r="S34" s="101">
        <f>IF(S12=0,0,S12/TrAvia_act!S10*1000)</f>
        <v>324.43215359145393</v>
      </c>
      <c r="T34" s="101">
        <f>IF(T12=0,0,T12/TrAvia_act!T10*1000)</f>
        <v>321.92986563396738</v>
      </c>
      <c r="U34" s="101">
        <f>IF(U12=0,0,U12/TrAvia_act!U10*1000)</f>
        <v>322.07431852012968</v>
      </c>
      <c r="V34" s="101">
        <f>IF(V12=0,0,V12/TrAvia_act!V10*1000)</f>
        <v>277.21629970153583</v>
      </c>
      <c r="W34" s="101">
        <f>IF(W12=0,0,W12/TrAvia_act!W10*1000)</f>
        <v>309.73000781711119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131.63221784642073</v>
      </c>
      <c r="C35" s="88">
        <f>IF(C13=0,0,C13/TrAvia_act!C11*1000)</f>
        <v>142.76673831220214</v>
      </c>
      <c r="D35" s="88">
        <f>IF(D13=0,0,D13/TrAvia_act!D11*1000)</f>
        <v>160.33796539194296</v>
      </c>
      <c r="E35" s="88">
        <f>IF(E13=0,0,E13/TrAvia_act!E11*1000)</f>
        <v>175.88353048302238</v>
      </c>
      <c r="F35" s="88">
        <f>IF(F13=0,0,F13/TrAvia_act!F11*1000)</f>
        <v>165.17114663086417</v>
      </c>
      <c r="G35" s="88">
        <f>IF(G13=0,0,G13/TrAvia_act!G11*1000)</f>
        <v>143.83738290028742</v>
      </c>
      <c r="H35" s="88">
        <f>IF(H13=0,0,H13/TrAvia_act!H11*1000)</f>
        <v>109.41815190591211</v>
      </c>
      <c r="I35" s="88">
        <f>IF(I13=0,0,I13/TrAvia_act!I11*1000)</f>
        <v>97.548869787971995</v>
      </c>
      <c r="J35" s="88">
        <f>IF(J13=0,0,J13/TrAvia_act!J11*1000)</f>
        <v>97.552984384565647</v>
      </c>
      <c r="K35" s="88">
        <f>IF(K13=0,0,K13/TrAvia_act!K11*1000)</f>
        <v>68.986077352122294</v>
      </c>
      <c r="L35" s="88">
        <f>IF(L13=0,0,L13/TrAvia_act!L11*1000)</f>
        <v>93.277725546994759</v>
      </c>
      <c r="M35" s="88">
        <f>IF(M13=0,0,M13/TrAvia_act!M11*1000)</f>
        <v>78.154603308107966</v>
      </c>
      <c r="N35" s="88">
        <f>IF(N13=0,0,N13/TrAvia_act!N11*1000)</f>
        <v>68.678679395705274</v>
      </c>
      <c r="O35" s="88">
        <f>IF(O13=0,0,O13/TrAvia_act!O11*1000)</f>
        <v>72.272812476080134</v>
      </c>
      <c r="P35" s="88">
        <f>IF(P13=0,0,P13/TrAvia_act!P11*1000)</f>
        <v>61.366638588103079</v>
      </c>
      <c r="Q35" s="88">
        <f>IF(Q13=0,0,Q13/TrAvia_act!Q11*1000)</f>
        <v>58.55148063954455</v>
      </c>
      <c r="R35" s="88">
        <f>IF(R13=0,0,R13/TrAvia_act!R11*1000)</f>
        <v>50.828994000002176</v>
      </c>
      <c r="S35" s="88">
        <f>IF(S13=0,0,S13/TrAvia_act!S11*1000)</f>
        <v>50.428537757865179</v>
      </c>
      <c r="T35" s="88">
        <f>IF(T13=0,0,T13/TrAvia_act!T11*1000)</f>
        <v>46.48591253123714</v>
      </c>
      <c r="U35" s="88">
        <f>IF(U13=0,0,U13/TrAvia_act!U11*1000)</f>
        <v>47.020453235042616</v>
      </c>
      <c r="V35" s="88">
        <f>IF(V13=0,0,V13/TrAvia_act!V11*1000)</f>
        <v>102.713998950711</v>
      </c>
      <c r="W35" s="88">
        <f>IF(W13=0,0,W13/TrAvia_act!W11*1000)</f>
        <v>113.97482621566833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6317.6132909732678</v>
      </c>
      <c r="C37" s="62">
        <f>IF(C3=0,0,C3/TrAvia_act!C23*1000000)</f>
        <v>7169.223574129257</v>
      </c>
      <c r="D37" s="62">
        <f>IF(D3=0,0,D3/TrAvia_act!D23*1000000)</f>
        <v>7706.3735870657174</v>
      </c>
      <c r="E37" s="62">
        <f>IF(E3=0,0,E3/TrAvia_act!E23*1000000)</f>
        <v>7401.2086069577108</v>
      </c>
      <c r="F37" s="62">
        <f>IF(F3=0,0,F3/TrAvia_act!F23*1000000)</f>
        <v>6996.8747514554725</v>
      </c>
      <c r="G37" s="62">
        <f>IF(G3=0,0,G3/TrAvia_act!G23*1000000)</f>
        <v>6995.2563072366747</v>
      </c>
      <c r="H37" s="62">
        <f>IF(H3=0,0,H3/TrAvia_act!H23*1000000)</f>
        <v>6845.4411235848656</v>
      </c>
      <c r="I37" s="62">
        <f>IF(I3=0,0,I3/TrAvia_act!I23*1000000)</f>
        <v>7621.4499574010288</v>
      </c>
      <c r="J37" s="62">
        <f>IF(J3=0,0,J3/TrAvia_act!J23*1000000)</f>
        <v>7009.1680883883746</v>
      </c>
      <c r="K37" s="62">
        <f>IF(K3=0,0,K3/TrAvia_act!K23*1000000)</f>
        <v>5148.9442831436691</v>
      </c>
      <c r="L37" s="62">
        <f>IF(L3=0,0,L3/TrAvia_act!L23*1000000)</f>
        <v>7318.359025441091</v>
      </c>
      <c r="M37" s="62">
        <f>IF(M3=0,0,M3/TrAvia_act!M23*1000000)</f>
        <v>6754.8154843143484</v>
      </c>
      <c r="N37" s="62">
        <f>IF(N3=0,0,N3/TrAvia_act!N23*1000000)</f>
        <v>5836.8745410124347</v>
      </c>
      <c r="O37" s="62">
        <f>IF(O3=0,0,O3/TrAvia_act!O23*1000000)</f>
        <v>6372.4118006521812</v>
      </c>
      <c r="P37" s="62">
        <f>IF(P3=0,0,P3/TrAvia_act!P23*1000000)</f>
        <v>6933.4775120997392</v>
      </c>
      <c r="Q37" s="62">
        <f>IF(Q3=0,0,Q3/TrAvia_act!Q23*1000000)</f>
        <v>7433.7059706694099</v>
      </c>
      <c r="R37" s="62">
        <f>IF(R3=0,0,R3/TrAvia_act!R23*1000000)</f>
        <v>7063.6104317034842</v>
      </c>
      <c r="S37" s="62">
        <f>IF(S3=0,0,S3/TrAvia_act!S23*1000000)</f>
        <v>8053.0822739035211</v>
      </c>
      <c r="T37" s="62">
        <f>IF(T3=0,0,T3/TrAvia_act!T23*1000000)</f>
        <v>8304.6448097774519</v>
      </c>
      <c r="U37" s="62">
        <f>IF(U3=0,0,U3/TrAvia_act!U23*1000000)</f>
        <v>8194.8060268679183</v>
      </c>
      <c r="V37" s="62">
        <f>IF(V3=0,0,V3/TrAvia_act!V23*1000000)</f>
        <v>8431.098606806323</v>
      </c>
      <c r="W37" s="62">
        <f>IF(W3=0,0,W3/TrAvia_act!W23*1000000)</f>
        <v>9821.4348866286891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6319.8288476652742</v>
      </c>
      <c r="C38" s="14">
        <f>IF(C6=0,0,C6/TrAvia_act!C24*1000000)</f>
        <v>7171.5072164155254</v>
      </c>
      <c r="D38" s="14">
        <f>IF(D6=0,0,D6/TrAvia_act!D24*1000000)</f>
        <v>7691.8337651323518</v>
      </c>
      <c r="E38" s="14">
        <f>IF(E6=0,0,E6/TrAvia_act!E24*1000000)</f>
        <v>7374.5628384880611</v>
      </c>
      <c r="F38" s="14">
        <f>IF(F6=0,0,F6/TrAvia_act!F24*1000000)</f>
        <v>6948.9038947098043</v>
      </c>
      <c r="G38" s="14">
        <f>IF(G6=0,0,G6/TrAvia_act!G24*1000000)</f>
        <v>6992.4338283118459</v>
      </c>
      <c r="H38" s="14">
        <f>IF(H6=0,0,H6/TrAvia_act!H24*1000000)</f>
        <v>6863.6487539202526</v>
      </c>
      <c r="I38" s="14">
        <f>IF(I6=0,0,I6/TrAvia_act!I24*1000000)</f>
        <v>7646.5174443165897</v>
      </c>
      <c r="J38" s="14">
        <f>IF(J6=0,0,J6/TrAvia_act!J24*1000000)</f>
        <v>7021.7881658784054</v>
      </c>
      <c r="K38" s="14">
        <f>IF(K6=0,0,K6/TrAvia_act!K24*1000000)</f>
        <v>5168.1532550725642</v>
      </c>
      <c r="L38" s="14">
        <f>IF(L6=0,0,L6/TrAvia_act!L24*1000000)</f>
        <v>7336.5683987842904</v>
      </c>
      <c r="M38" s="14">
        <f>IF(M6=0,0,M6/TrAvia_act!M24*1000000)</f>
        <v>6778.3505454987417</v>
      </c>
      <c r="N38" s="14">
        <f>IF(N6=0,0,N6/TrAvia_act!N24*1000000)</f>
        <v>5822.427805622744</v>
      </c>
      <c r="O38" s="14">
        <f>IF(O6=0,0,O6/TrAvia_act!O24*1000000)</f>
        <v>6354.8275090715942</v>
      </c>
      <c r="P38" s="14">
        <f>IF(P6=0,0,P6/TrAvia_act!P24*1000000)</f>
        <v>6911.5877316100277</v>
      </c>
      <c r="Q38" s="14">
        <f>IF(Q6=0,0,Q6/TrAvia_act!Q24*1000000)</f>
        <v>7408.4736798992153</v>
      </c>
      <c r="R38" s="14">
        <f>IF(R6=0,0,R6/TrAvia_act!R24*1000000)</f>
        <v>7040.5656461550507</v>
      </c>
      <c r="S38" s="14">
        <f>IF(S6=0,0,S6/TrAvia_act!S24*1000000)</f>
        <v>8024.5100397804135</v>
      </c>
      <c r="T38" s="14">
        <f>IF(T6=0,0,T6/TrAvia_act!T24*1000000)</f>
        <v>8296.5250287016006</v>
      </c>
      <c r="U38" s="14">
        <f>IF(U6=0,0,U6/TrAvia_act!U24*1000000)</f>
        <v>8186.0470243782302</v>
      </c>
      <c r="V38" s="14">
        <f>IF(V6=0,0,V6/TrAvia_act!V24*1000000)</f>
        <v>8342.7560751992532</v>
      </c>
      <c r="W38" s="14">
        <f>IF(W6=0,0,W6/TrAvia_act!W24*1000000)</f>
        <v>9738.3407801504109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2182.7559407657886</v>
      </c>
      <c r="C39" s="87">
        <f>IF(C7=0,0,C7/TrAvia_act!C25*1000000)</f>
        <v>2511.3783414737359</v>
      </c>
      <c r="D39" s="87">
        <f>IF(D7=0,0,D7/TrAvia_act!D25*1000000)</f>
        <v>2824.7467899626122</v>
      </c>
      <c r="E39" s="87">
        <f>IF(E7=0,0,E7/TrAvia_act!E25*1000000)</f>
        <v>2439.8349086780559</v>
      </c>
      <c r="F39" s="87">
        <f>IF(F7=0,0,F7/TrAvia_act!F25*1000000)</f>
        <v>2524.797497394607</v>
      </c>
      <c r="G39" s="87">
        <f>IF(G7=0,0,G7/TrAvia_act!G25*1000000)</f>
        <v>2523.4545333721235</v>
      </c>
      <c r="H39" s="87">
        <f>IF(H7=0,0,H7/TrAvia_act!H25*1000000)</f>
        <v>3268.964480975691</v>
      </c>
      <c r="I39" s="87">
        <f>IF(I7=0,0,I7/TrAvia_act!I25*1000000)</f>
        <v>2967.8631840467601</v>
      </c>
      <c r="J39" s="87">
        <f>IF(J7=0,0,J7/TrAvia_act!J25*1000000)</f>
        <v>2523.3415989933801</v>
      </c>
      <c r="K39" s="87">
        <f>IF(K7=0,0,K7/TrAvia_act!K25*1000000)</f>
        <v>2358.7959105871187</v>
      </c>
      <c r="L39" s="87">
        <f>IF(L7=0,0,L7/TrAvia_act!L25*1000000)</f>
        <v>2619.1037142245482</v>
      </c>
      <c r="M39" s="87">
        <f>IF(M7=0,0,M7/TrAvia_act!M25*1000000)</f>
        <v>1669.653283593065</v>
      </c>
      <c r="N39" s="87">
        <f>IF(N7=0,0,N7/TrAvia_act!N25*1000000)</f>
        <v>2859.9620764900251</v>
      </c>
      <c r="O39" s="87">
        <f>IF(O7=0,0,O7/TrAvia_act!O25*1000000)</f>
        <v>3043.4461608360252</v>
      </c>
      <c r="P39" s="87">
        <f>IF(P7=0,0,P7/TrAvia_act!P25*1000000)</f>
        <v>3271.4757903821587</v>
      </c>
      <c r="Q39" s="87">
        <f>IF(Q7=0,0,Q7/TrAvia_act!Q25*1000000)</f>
        <v>3301.5900758371399</v>
      </c>
      <c r="R39" s="87">
        <f>IF(R7=0,0,R7/TrAvia_act!R25*1000000)</f>
        <v>1689.3717121256143</v>
      </c>
      <c r="S39" s="87">
        <f>IF(S7=0,0,S7/TrAvia_act!S25*1000000)</f>
        <v>2296.723975143726</v>
      </c>
      <c r="T39" s="87">
        <f>IF(T7=0,0,T7/TrAvia_act!T25*1000000)</f>
        <v>2188.6864964893848</v>
      </c>
      <c r="U39" s="87">
        <f>IF(U7=0,0,U7/TrAvia_act!U25*1000000)</f>
        <v>2469.8614438288291</v>
      </c>
      <c r="V39" s="87">
        <f>IF(V7=0,0,V7/TrAvia_act!V25*1000000)</f>
        <v>2007.2572472775428</v>
      </c>
      <c r="W39" s="87">
        <f>IF(W7=0,0,W7/TrAvia_act!W25*1000000)</f>
        <v>2930.9228581314178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4683.808722393821</v>
      </c>
      <c r="C40" s="87">
        <f>IF(C8=0,0,C8/TrAvia_act!C26*1000000)</f>
        <v>5447.7890226691798</v>
      </c>
      <c r="D40" s="87">
        <f>IF(D8=0,0,D8/TrAvia_act!D26*1000000)</f>
        <v>5887.86403956503</v>
      </c>
      <c r="E40" s="87">
        <f>IF(E8=0,0,E8/TrAvia_act!E26*1000000)</f>
        <v>6010.9514178434201</v>
      </c>
      <c r="F40" s="87">
        <f>IF(F8=0,0,F8/TrAvia_act!F26*1000000)</f>
        <v>5584.7042916257415</v>
      </c>
      <c r="G40" s="87">
        <f>IF(G8=0,0,G8/TrAvia_act!G26*1000000)</f>
        <v>5741.4409922009672</v>
      </c>
      <c r="H40" s="87">
        <f>IF(H8=0,0,H8/TrAvia_act!H26*1000000)</f>
        <v>5555.9676134674828</v>
      </c>
      <c r="I40" s="87">
        <f>IF(I8=0,0,I8/TrAvia_act!I26*1000000)</f>
        <v>6364.0425626254228</v>
      </c>
      <c r="J40" s="87">
        <f>IF(J8=0,0,J8/TrAvia_act!J26*1000000)</f>
        <v>5762.7906072997912</v>
      </c>
      <c r="K40" s="87">
        <f>IF(K8=0,0,K8/TrAvia_act!K26*1000000)</f>
        <v>4064.34016489332</v>
      </c>
      <c r="L40" s="87">
        <f>IF(L8=0,0,L8/TrAvia_act!L26*1000000)</f>
        <v>5700.1237346215621</v>
      </c>
      <c r="M40" s="87">
        <f>IF(M8=0,0,M8/TrAvia_act!M26*1000000)</f>
        <v>5103.7376014763113</v>
      </c>
      <c r="N40" s="87">
        <f>IF(N8=0,0,N8/TrAvia_act!N26*1000000)</f>
        <v>4227.702206880851</v>
      </c>
      <c r="O40" s="87">
        <f>IF(O8=0,0,O8/TrAvia_act!O26*1000000)</f>
        <v>4611.7633803284798</v>
      </c>
      <c r="P40" s="87">
        <f>IF(P8=0,0,P8/TrAvia_act!P26*1000000)</f>
        <v>5090.8265766041241</v>
      </c>
      <c r="Q40" s="87">
        <f>IF(Q8=0,0,Q8/TrAvia_act!Q26*1000000)</f>
        <v>5547.4205481753224</v>
      </c>
      <c r="R40" s="87">
        <f>IF(R8=0,0,R8/TrAvia_act!R26*1000000)</f>
        <v>5387.5423889719195</v>
      </c>
      <c r="S40" s="87">
        <f>IF(S8=0,0,S8/TrAvia_act!S26*1000000)</f>
        <v>6280.3529124731631</v>
      </c>
      <c r="T40" s="87">
        <f>IF(T8=0,0,T8/TrAvia_act!T26*1000000)</f>
        <v>6569.6667890668587</v>
      </c>
      <c r="U40" s="87">
        <f>IF(U8=0,0,U8/TrAvia_act!U26*1000000)</f>
        <v>6372.2613544412225</v>
      </c>
      <c r="V40" s="87">
        <f>IF(V8=0,0,V8/TrAvia_act!V26*1000000)</f>
        <v>5695.1275521110319</v>
      </c>
      <c r="W40" s="87">
        <f>IF(W8=0,0,W8/TrAvia_act!W26*1000000)</f>
        <v>6965.0080558568479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35296.234339062285</v>
      </c>
      <c r="C41" s="87">
        <f>IF(C9=0,0,C9/TrAvia_act!C27*1000000)</f>
        <v>40102.8999050282</v>
      </c>
      <c r="D41" s="87">
        <f>IF(D9=0,0,D9/TrAvia_act!D27*1000000)</f>
        <v>42535.461431136391</v>
      </c>
      <c r="E41" s="87">
        <f>IF(E9=0,0,E9/TrAvia_act!E27*1000000)</f>
        <v>42402.913647765483</v>
      </c>
      <c r="F41" s="87">
        <f>IF(F9=0,0,F9/TrAvia_act!F27*1000000)</f>
        <v>38652.830441324208</v>
      </c>
      <c r="G41" s="87">
        <f>IF(G9=0,0,G9/TrAvia_act!G27*1000000)</f>
        <v>35225.296527246079</v>
      </c>
      <c r="H41" s="87">
        <f>IF(H9=0,0,H9/TrAvia_act!H27*1000000)</f>
        <v>29638.004449356664</v>
      </c>
      <c r="I41" s="87">
        <f>IF(I9=0,0,I9/TrAvia_act!I27*1000000)</f>
        <v>27675.921866474826</v>
      </c>
      <c r="J41" s="87">
        <f>IF(J9=0,0,J9/TrAvia_act!J27*1000000)</f>
        <v>28372.993593202726</v>
      </c>
      <c r="K41" s="87">
        <f>IF(K9=0,0,K9/TrAvia_act!K27*1000000)</f>
        <v>21794.154766969234</v>
      </c>
      <c r="L41" s="87">
        <f>IF(L9=0,0,L9/TrAvia_act!L27*1000000)</f>
        <v>30045.864111698127</v>
      </c>
      <c r="M41" s="87">
        <f>IF(M9=0,0,M9/TrAvia_act!M27*1000000)</f>
        <v>25952.77354930139</v>
      </c>
      <c r="N41" s="87">
        <f>IF(N9=0,0,N9/TrAvia_act!N27*1000000)</f>
        <v>23701.982887339567</v>
      </c>
      <c r="O41" s="87">
        <f>IF(O9=0,0,O9/TrAvia_act!O27*1000000)</f>
        <v>25575.736905291869</v>
      </c>
      <c r="P41" s="87">
        <f>IF(P9=0,0,P9/TrAvia_act!P27*1000000)</f>
        <v>25321.394629010363</v>
      </c>
      <c r="Q41" s="87">
        <f>IF(Q9=0,0,Q9/TrAvia_act!Q27*1000000)</f>
        <v>24530.031596064033</v>
      </c>
      <c r="R41" s="87">
        <f>IF(R9=0,0,R9/TrAvia_act!R27*1000000)</f>
        <v>23217.868079254516</v>
      </c>
      <c r="S41" s="87">
        <f>IF(S9=0,0,S9/TrAvia_act!S27*1000000)</f>
        <v>22827.072795275533</v>
      </c>
      <c r="T41" s="87">
        <f>IF(T9=0,0,T9/TrAvia_act!T27*1000000)</f>
        <v>21557.31046802285</v>
      </c>
      <c r="U41" s="87">
        <f>IF(U9=0,0,U9/TrAvia_act!U27*1000000)</f>
        <v>22685.733074540818</v>
      </c>
      <c r="V41" s="87">
        <f>IF(V9=0,0,V9/TrAvia_act!V27*1000000)</f>
        <v>34390.438946039547</v>
      </c>
      <c r="W41" s="87">
        <f>IF(W9=0,0,W9/TrAvia_act!W27*1000000)</f>
        <v>35083.769238813373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6201.6373739253895</v>
      </c>
      <c r="C42" s="15">
        <f>IF(C10=0,0,C10/TrAvia_act!C28*1000000)</f>
        <v>7039.5774746736779</v>
      </c>
      <c r="D42" s="15">
        <f>IF(D10=0,0,D10/TrAvia_act!D28*1000000)</f>
        <v>8789.9857114730585</v>
      </c>
      <c r="E42" s="15">
        <f>IF(E10=0,0,E10/TrAvia_act!E28*1000000)</f>
        <v>9427.7393599498901</v>
      </c>
      <c r="F42" s="15">
        <f>IF(F10=0,0,F10/TrAvia_act!F28*1000000)</f>
        <v>9544.8746520926561</v>
      </c>
      <c r="G42" s="15">
        <f>IF(G10=0,0,G10/TrAvia_act!G28*1000000)</f>
        <v>7108.0906767894039</v>
      </c>
      <c r="H42" s="15">
        <f>IF(H10=0,0,H10/TrAvia_act!H28*1000000)</f>
        <v>6321.6810274179779</v>
      </c>
      <c r="I42" s="15">
        <f>IF(I10=0,0,I10/TrAvia_act!I28*1000000)</f>
        <v>6757.8333509504855</v>
      </c>
      <c r="J42" s="15">
        <f>IF(J10=0,0,J10/TrAvia_act!J28*1000000)</f>
        <v>6525.8273176899957</v>
      </c>
      <c r="K42" s="15">
        <f>IF(K10=0,0,K10/TrAvia_act!K28*1000000)</f>
        <v>4490.8645023016607</v>
      </c>
      <c r="L42" s="15">
        <f>IF(L10=0,0,L10/TrAvia_act!L28*1000000)</f>
        <v>6759.0679891344334</v>
      </c>
      <c r="M42" s="15">
        <f>IF(M10=0,0,M10/TrAvia_act!M28*1000000)</f>
        <v>5946.1212930757611</v>
      </c>
      <c r="N42" s="15">
        <f>IF(N10=0,0,N10/TrAvia_act!N28*1000000)</f>
        <v>6341.8100815002126</v>
      </c>
      <c r="O42" s="15">
        <f>IF(O10=0,0,O10/TrAvia_act!O28*1000000)</f>
        <v>7019.0513290762101</v>
      </c>
      <c r="P42" s="15">
        <f>IF(P10=0,0,P10/TrAvia_act!P28*1000000)</f>
        <v>7829.68535705059</v>
      </c>
      <c r="Q42" s="15">
        <f>IF(Q10=0,0,Q10/TrAvia_act!Q28*1000000)</f>
        <v>8464.9193711871121</v>
      </c>
      <c r="R42" s="15">
        <f>IF(R10=0,0,R10/TrAvia_act!R28*1000000)</f>
        <v>8247.408915864733</v>
      </c>
      <c r="S42" s="15">
        <f>IF(S10=0,0,S10/TrAvia_act!S28*1000000)</f>
        <v>9387.5774705149779</v>
      </c>
      <c r="T42" s="15">
        <f>IF(T10=0,0,T10/TrAvia_act!T28*1000000)</f>
        <v>8712.7859814707608</v>
      </c>
      <c r="U42" s="15">
        <f>IF(U10=0,0,U10/TrAvia_act!U28*1000000)</f>
        <v>8690.1725783189831</v>
      </c>
      <c r="V42" s="15">
        <f>IF(V10=0,0,V10/TrAvia_act!V28*1000000)</f>
        <v>9821.8991070608408</v>
      </c>
      <c r="W42" s="15">
        <f>IF(W10=0,0,W10/TrAvia_act!W28*1000000)</f>
        <v>10926.751174973124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2086.7319954195668</v>
      </c>
      <c r="C43" s="101">
        <f>IF(C11=0,0,C11/TrAvia_act!C29*1000000)</f>
        <v>2400.8976174946933</v>
      </c>
      <c r="D43" s="101">
        <f>IF(D11=0,0,D11/TrAvia_act!D29*1000000)</f>
        <v>2700.4803402370758</v>
      </c>
      <c r="E43" s="101">
        <f>IF(E11=0,0,E11/TrAvia_act!E29*1000000)</f>
        <v>2332.5015281799538</v>
      </c>
      <c r="F43" s="101">
        <f>IF(F11=0,0,F11/TrAvia_act!F29*1000000)</f>
        <v>2413.7264370107132</v>
      </c>
      <c r="G43" s="101">
        <f>IF(G11=0,0,G11/TrAvia_act!G29*1000000)</f>
        <v>2412.4425527513349</v>
      </c>
      <c r="H43" s="101">
        <f>IF(H11=0,0,H11/TrAvia_act!H29*1000000)</f>
        <v>3133.9130293579078</v>
      </c>
      <c r="I43" s="101">
        <f>IF(I11=0,0,I11/TrAvia_act!I29*1000000)</f>
        <v>2853.2239230763216</v>
      </c>
      <c r="J43" s="101">
        <f>IF(J11=0,0,J11/TrAvia_act!J29*1000000)</f>
        <v>2432.6703936276876</v>
      </c>
      <c r="K43" s="101">
        <f>IF(K11=0,0,K11/TrAvia_act!K29*1000000)</f>
        <v>2280.4094413787084</v>
      </c>
      <c r="L43" s="101">
        <f>IF(L11=0,0,L11/TrAvia_act!L29*1000000)</f>
        <v>2539.1619567011171</v>
      </c>
      <c r="M43" s="101">
        <f>IF(M11=0,0,M11/TrAvia_act!M29*1000000)</f>
        <v>1602.9943658777643</v>
      </c>
      <c r="N43" s="101">
        <f>IF(N11=0,0,N11/TrAvia_act!N29*1000000)</f>
        <v>2719.1549760465286</v>
      </c>
      <c r="O43" s="101">
        <f>IF(O11=0,0,O11/TrAvia_act!O29*1000000)</f>
        <v>2906.9102606792976</v>
      </c>
      <c r="P43" s="101">
        <f>IF(P11=0,0,P11/TrAvia_act!P29*1000000)</f>
        <v>3139.0774085042435</v>
      </c>
      <c r="Q43" s="101">
        <f>IF(Q11=0,0,Q11/TrAvia_act!Q29*1000000)</f>
        <v>3182.5393056177691</v>
      </c>
      <c r="R43" s="101">
        <f>IF(R11=0,0,R11/TrAvia_act!R29*1000000)</f>
        <v>1635.94294189165</v>
      </c>
      <c r="S43" s="101">
        <f>IF(S11=0,0,S11/TrAvia_act!S29*1000000)</f>
        <v>2234.3131692431152</v>
      </c>
      <c r="T43" s="101">
        <f>IF(T11=0,0,T11/TrAvia_act!T29*1000000)</f>
        <v>2139.0015756554594</v>
      </c>
      <c r="U43" s="101">
        <f>IF(U11=0,0,U11/TrAvia_act!U29*1000000)</f>
        <v>2412.8872074703427</v>
      </c>
      <c r="V43" s="101">
        <f>IF(V11=0,0,V11/TrAvia_act!V29*1000000)</f>
        <v>1960.9542657380639</v>
      </c>
      <c r="W43" s="101">
        <f>IF(W11=0,0,W11/TrAvia_act!W29*1000000)</f>
        <v>2863.3129555253822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3969.361862652891</v>
      </c>
      <c r="C44" s="101">
        <f>IF(C12=0,0,C12/TrAvia_act!C30*1000000)</f>
        <v>4510.2076980119537</v>
      </c>
      <c r="D44" s="101">
        <f>IF(D12=0,0,D12/TrAvia_act!D30*1000000)</f>
        <v>4781.7340849497068</v>
      </c>
      <c r="E44" s="101">
        <f>IF(E12=0,0,E12/TrAvia_act!E30*1000000)</f>
        <v>4768.0972591438931</v>
      </c>
      <c r="F44" s="101">
        <f>IF(F12=0,0,F12/TrAvia_act!F30*1000000)</f>
        <v>4310.4575222674466</v>
      </c>
      <c r="G44" s="101">
        <f>IF(G12=0,0,G12/TrAvia_act!G30*1000000)</f>
        <v>4517.107706763205</v>
      </c>
      <c r="H44" s="101">
        <f>IF(H12=0,0,H12/TrAvia_act!H30*1000000)</f>
        <v>4483.9514817299141</v>
      </c>
      <c r="I44" s="101">
        <f>IF(I12=0,0,I12/TrAvia_act!I30*1000000)</f>
        <v>5131.0940630852338</v>
      </c>
      <c r="J44" s="101">
        <f>IF(J12=0,0,J12/TrAvia_act!J30*1000000)</f>
        <v>4864.4319727760794</v>
      </c>
      <c r="K44" s="101">
        <f>IF(K12=0,0,K12/TrAvia_act!K30*1000000)</f>
        <v>3427.2679206835337</v>
      </c>
      <c r="L44" s="101">
        <f>IF(L12=0,0,L12/TrAvia_act!L30*1000000)</f>
        <v>4994.0904227266064</v>
      </c>
      <c r="M44" s="101">
        <f>IF(M12=0,0,M12/TrAvia_act!M30*1000000)</f>
        <v>4519.3826668774527</v>
      </c>
      <c r="N44" s="101">
        <f>IF(N12=0,0,N12/TrAvia_act!N30*1000000)</f>
        <v>3789.7594002966343</v>
      </c>
      <c r="O44" s="101">
        <f>IF(O12=0,0,O12/TrAvia_act!O30*1000000)</f>
        <v>3893.9401514278866</v>
      </c>
      <c r="P44" s="101">
        <f>IF(P12=0,0,P12/TrAvia_act!P30*1000000)</f>
        <v>4709.759907226241</v>
      </c>
      <c r="Q44" s="101">
        <f>IF(Q12=0,0,Q12/TrAvia_act!Q30*1000000)</f>
        <v>5265.8818812867776</v>
      </c>
      <c r="R44" s="101">
        <f>IF(R12=0,0,R12/TrAvia_act!R30*1000000)</f>
        <v>5138.4737266721395</v>
      </c>
      <c r="S44" s="101">
        <f>IF(S12=0,0,S12/TrAvia_act!S30*1000000)</f>
        <v>5661.8067272819753</v>
      </c>
      <c r="T44" s="101">
        <f>IF(T12=0,0,T12/TrAvia_act!T30*1000000)</f>
        <v>5980.2713798912619</v>
      </c>
      <c r="U44" s="101">
        <f>IF(U12=0,0,U12/TrAvia_act!U30*1000000)</f>
        <v>5723.2047262616616</v>
      </c>
      <c r="V44" s="101">
        <f>IF(V12=0,0,V12/TrAvia_act!V30*1000000)</f>
        <v>4309.8462994623123</v>
      </c>
      <c r="W44" s="101">
        <f>IF(W12=0,0,W12/TrAvia_act!W30*1000000)</f>
        <v>5289.9110423678339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49585.073177901417</v>
      </c>
      <c r="C45" s="88">
        <f>IF(C13=0,0,C13/TrAvia_act!C31*1000000)</f>
        <v>56337.602684040525</v>
      </c>
      <c r="D45" s="88">
        <f>IF(D13=0,0,D13/TrAvia_act!D31*1000000)</f>
        <v>59754.92873993465</v>
      </c>
      <c r="E45" s="88">
        <f>IF(E13=0,0,E13/TrAvia_act!E31*1000000)</f>
        <v>59568.722147047716</v>
      </c>
      <c r="F45" s="88">
        <f>IF(F13=0,0,F13/TrAvia_act!F31*1000000)</f>
        <v>54300.507174641418</v>
      </c>
      <c r="G45" s="88">
        <f>IF(G13=0,0,G13/TrAvia_act!G31*1000000)</f>
        <v>45998.335211948273</v>
      </c>
      <c r="H45" s="88">
        <f>IF(H13=0,0,H13/TrAvia_act!H31*1000000)</f>
        <v>33474.459383202731</v>
      </c>
      <c r="I45" s="88">
        <f>IF(I13=0,0,I13/TrAvia_act!I31*1000000)</f>
        <v>28382.325716105443</v>
      </c>
      <c r="J45" s="88">
        <f>IF(J13=0,0,J13/TrAvia_act!J31*1000000)</f>
        <v>26808.461083019763</v>
      </c>
      <c r="K45" s="88">
        <f>IF(K13=0,0,K13/TrAvia_act!K31*1000000)</f>
        <v>19807.128402252201</v>
      </c>
      <c r="L45" s="88">
        <f>IF(L13=0,0,L13/TrAvia_act!L31*1000000)</f>
        <v>25575.134813234279</v>
      </c>
      <c r="M45" s="88">
        <f>IF(M13=0,0,M13/TrAvia_act!M31*1000000)</f>
        <v>23680.073149543743</v>
      </c>
      <c r="N45" s="88">
        <f>IF(N13=0,0,N13/TrAvia_act!N31*1000000)</f>
        <v>23600.795861289207</v>
      </c>
      <c r="O45" s="88">
        <f>IF(O13=0,0,O13/TrAvia_act!O31*1000000)</f>
        <v>25322.800675964165</v>
      </c>
      <c r="P45" s="88">
        <f>IF(P13=0,0,P13/TrAvia_act!P31*1000000)</f>
        <v>25355.996501484216</v>
      </c>
      <c r="Q45" s="88">
        <f>IF(Q13=0,0,Q13/TrAvia_act!Q31*1000000)</f>
        <v>24801.206667701106</v>
      </c>
      <c r="R45" s="88">
        <f>IF(R13=0,0,R13/TrAvia_act!R31*1000000)</f>
        <v>23753.561939195093</v>
      </c>
      <c r="S45" s="88">
        <f>IF(S13=0,0,S13/TrAvia_act!S31*1000000)</f>
        <v>23507.289752425506</v>
      </c>
      <c r="T45" s="88">
        <f>IF(T13=0,0,T13/TrAvia_act!T31*1000000)</f>
        <v>22449.152924634684</v>
      </c>
      <c r="U45" s="88">
        <f>IF(U13=0,0,U13/TrAvia_act!U31*1000000)</f>
        <v>24386.760736454104</v>
      </c>
      <c r="V45" s="88">
        <f>IF(V13=0,0,V13/TrAvia_act!V31*1000000)</f>
        <v>36682.74058112887</v>
      </c>
      <c r="W45" s="88">
        <f>IF(W13=0,0,W13/TrAvia_act!W31*1000000)</f>
        <v>37681.963833711663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0.98159863461285712</v>
      </c>
      <c r="C48" s="16">
        <f t="shared" si="35"/>
        <v>0.98300348692333217</v>
      </c>
      <c r="D48" s="16">
        <f t="shared" ref="D48:V48" si="36">IF(D6=0,0,D6/D$3)</f>
        <v>0.98489798968659392</v>
      </c>
      <c r="E48" s="16">
        <f t="shared" si="36"/>
        <v>0.98346870473717019</v>
      </c>
      <c r="F48" s="16">
        <f t="shared" si="36"/>
        <v>0.97479168549950101</v>
      </c>
      <c r="G48" s="16">
        <f t="shared" si="36"/>
        <v>0.97520245532495331</v>
      </c>
      <c r="H48" s="16">
        <f t="shared" si="36"/>
        <v>0.96897504636132648</v>
      </c>
      <c r="I48" s="16">
        <f t="shared" si="36"/>
        <v>0.97498887276219104</v>
      </c>
      <c r="J48" s="16">
        <f t="shared" si="36"/>
        <v>0.97630898159743829</v>
      </c>
      <c r="K48" s="16">
        <f t="shared" si="36"/>
        <v>0.97526328544242791</v>
      </c>
      <c r="L48" s="16">
        <f t="shared" si="36"/>
        <v>0.97087836144718132</v>
      </c>
      <c r="M48" s="16">
        <f t="shared" si="36"/>
        <v>0.97510611789308632</v>
      </c>
      <c r="N48" s="16">
        <f t="shared" si="36"/>
        <v>0.96977853824046434</v>
      </c>
      <c r="O48" s="16">
        <f t="shared" si="36"/>
        <v>0.97084016811959772</v>
      </c>
      <c r="P48" s="16">
        <f t="shared" si="36"/>
        <v>0.9730756181678647</v>
      </c>
      <c r="Q48" s="16">
        <f t="shared" si="36"/>
        <v>0.97280262739899237</v>
      </c>
      <c r="R48" s="16">
        <f t="shared" si="36"/>
        <v>0.97770473766361154</v>
      </c>
      <c r="S48" s="16">
        <f t="shared" si="36"/>
        <v>0.97556466726246105</v>
      </c>
      <c r="T48" s="16">
        <f t="shared" si="36"/>
        <v>0.97953486423993408</v>
      </c>
      <c r="U48" s="16">
        <f t="shared" si="36"/>
        <v>0.98157507788978293</v>
      </c>
      <c r="V48" s="16">
        <f t="shared" si="36"/>
        <v>0.93042215577492171</v>
      </c>
      <c r="W48" s="16">
        <f t="shared" ref="W48" si="37">IF(W6=0,0,W6/W$3)</f>
        <v>0.92221069488925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4.9726908398447983E-2</v>
      </c>
      <c r="C49" s="103">
        <f t="shared" si="38"/>
        <v>4.9527666744125086E-2</v>
      </c>
      <c r="D49" s="103">
        <f t="shared" ref="D49:V49" si="39">IF(D7=0,0,D7/D$3)</f>
        <v>4.9643881527832771E-2</v>
      </c>
      <c r="E49" s="103">
        <f t="shared" si="39"/>
        <v>4.8341024941556301E-2</v>
      </c>
      <c r="F49" s="103">
        <f t="shared" si="39"/>
        <v>4.8153376993958358E-2</v>
      </c>
      <c r="G49" s="103">
        <f t="shared" si="39"/>
        <v>5.1684191266457152E-2</v>
      </c>
      <c r="H49" s="103">
        <f t="shared" si="39"/>
        <v>6.3777247182394803E-2</v>
      </c>
      <c r="I49" s="103">
        <f t="shared" si="39"/>
        <v>4.8691377914686605E-2</v>
      </c>
      <c r="J49" s="103">
        <f t="shared" si="39"/>
        <v>4.1645702866271013E-2</v>
      </c>
      <c r="K49" s="103">
        <f t="shared" si="39"/>
        <v>5.0543640966443315E-2</v>
      </c>
      <c r="L49" s="103">
        <f t="shared" si="39"/>
        <v>3.3918167047540165E-2</v>
      </c>
      <c r="M49" s="103">
        <f t="shared" si="39"/>
        <v>1.0434022270142288E-2</v>
      </c>
      <c r="N49" s="103">
        <f t="shared" si="39"/>
        <v>1.139955587973606E-2</v>
      </c>
      <c r="O49" s="103">
        <f t="shared" si="39"/>
        <v>1.0550417561823365E-2</v>
      </c>
      <c r="P49" s="103">
        <f t="shared" si="39"/>
        <v>9.6009419146937964E-3</v>
      </c>
      <c r="Q49" s="103">
        <f t="shared" si="39"/>
        <v>8.5533325432455461E-3</v>
      </c>
      <c r="R49" s="103">
        <f t="shared" si="39"/>
        <v>4.3144656327898769E-3</v>
      </c>
      <c r="S49" s="103">
        <f t="shared" si="39"/>
        <v>4.9039568117835606E-3</v>
      </c>
      <c r="T49" s="103">
        <f t="shared" si="39"/>
        <v>4.3594714021055279E-3</v>
      </c>
      <c r="U49" s="103">
        <f t="shared" si="39"/>
        <v>4.904754622280562E-3</v>
      </c>
      <c r="V49" s="103">
        <f t="shared" si="39"/>
        <v>1.0417759634227339E-2</v>
      </c>
      <c r="W49" s="103">
        <f t="shared" ref="W49" si="40">IF(W7=0,0,W7/W$3)</f>
        <v>1.2090167688258043E-2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0.57318890201587569</v>
      </c>
      <c r="C50" s="103">
        <f t="shared" si="41"/>
        <v>0.59304938822488695</v>
      </c>
      <c r="D50" s="103">
        <f t="shared" ref="D50:V50" si="42">IF(D8=0,0,D8/D$3)</f>
        <v>0.60467237966089604</v>
      </c>
      <c r="E50" s="103">
        <f t="shared" si="42"/>
        <v>0.64079806897968161</v>
      </c>
      <c r="F50" s="103">
        <f t="shared" si="42"/>
        <v>0.63473400594603102</v>
      </c>
      <c r="G50" s="103">
        <f t="shared" si="42"/>
        <v>0.6363293099686429</v>
      </c>
      <c r="H50" s="103">
        <f t="shared" si="42"/>
        <v>0.62308086554276465</v>
      </c>
      <c r="I50" s="103">
        <f t="shared" si="42"/>
        <v>0.64158440698424291</v>
      </c>
      <c r="J50" s="103">
        <f t="shared" si="42"/>
        <v>0.64790484503820811</v>
      </c>
      <c r="K50" s="103">
        <f t="shared" si="42"/>
        <v>0.62375007474190602</v>
      </c>
      <c r="L50" s="103">
        <f t="shared" si="42"/>
        <v>0.6204576002471458</v>
      </c>
      <c r="M50" s="103">
        <f t="shared" si="42"/>
        <v>0.63808349659011199</v>
      </c>
      <c r="N50" s="103">
        <f t="shared" si="42"/>
        <v>0.62846463865825386</v>
      </c>
      <c r="O50" s="103">
        <f t="shared" si="42"/>
        <v>0.62878531233072699</v>
      </c>
      <c r="P50" s="103">
        <f t="shared" si="42"/>
        <v>0.63594231572682824</v>
      </c>
      <c r="Q50" s="103">
        <f t="shared" si="42"/>
        <v>0.64094184701459145</v>
      </c>
      <c r="R50" s="103">
        <f t="shared" si="42"/>
        <v>0.66218057708841094</v>
      </c>
      <c r="S50" s="103">
        <f t="shared" si="42"/>
        <v>0.66640250229363063</v>
      </c>
      <c r="T50" s="103">
        <f t="shared" si="42"/>
        <v>0.66937186414652139</v>
      </c>
      <c r="U50" s="103">
        <f t="shared" si="42"/>
        <v>0.66345199023860502</v>
      </c>
      <c r="V50" s="103">
        <f t="shared" si="42"/>
        <v>0.54318681598392682</v>
      </c>
      <c r="W50" s="103">
        <f t="shared" ref="W50" si="43">IF(W8=0,0,W8/W$3)</f>
        <v>0.56167236312166757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0.35868282419853342</v>
      </c>
      <c r="C51" s="103">
        <f t="shared" si="44"/>
        <v>0.34042643195432021</v>
      </c>
      <c r="D51" s="103">
        <f t="shared" ref="D51:V51" si="45">IF(D9=0,0,D9/D$3)</f>
        <v>0.33058172849786521</v>
      </c>
      <c r="E51" s="103">
        <f t="shared" si="45"/>
        <v>0.29432961081593234</v>
      </c>
      <c r="F51" s="103">
        <f t="shared" si="45"/>
        <v>0.29190430255951177</v>
      </c>
      <c r="G51" s="103">
        <f t="shared" si="45"/>
        <v>0.28718895408985329</v>
      </c>
      <c r="H51" s="103">
        <f t="shared" si="45"/>
        <v>0.28211693363616702</v>
      </c>
      <c r="I51" s="103">
        <f t="shared" si="45"/>
        <v>0.28471308786326149</v>
      </c>
      <c r="J51" s="103">
        <f t="shared" si="45"/>
        <v>0.28675843369295911</v>
      </c>
      <c r="K51" s="103">
        <f t="shared" si="45"/>
        <v>0.30096956973407846</v>
      </c>
      <c r="L51" s="103">
        <f t="shared" si="45"/>
        <v>0.31650259415249532</v>
      </c>
      <c r="M51" s="103">
        <f t="shared" si="45"/>
        <v>0.32658859903283194</v>
      </c>
      <c r="N51" s="103">
        <f t="shared" si="45"/>
        <v>0.32991434370247441</v>
      </c>
      <c r="O51" s="103">
        <f t="shared" si="45"/>
        <v>0.33150443822704739</v>
      </c>
      <c r="P51" s="103">
        <f t="shared" si="45"/>
        <v>0.32753236052634266</v>
      </c>
      <c r="Q51" s="103">
        <f t="shared" si="45"/>
        <v>0.32330744784115539</v>
      </c>
      <c r="R51" s="103">
        <f t="shared" si="45"/>
        <v>0.31120969494241074</v>
      </c>
      <c r="S51" s="103">
        <f t="shared" si="45"/>
        <v>0.30425820815704691</v>
      </c>
      <c r="T51" s="103">
        <f t="shared" si="45"/>
        <v>0.30580352869130722</v>
      </c>
      <c r="U51" s="103">
        <f t="shared" si="45"/>
        <v>0.31321833302889734</v>
      </c>
      <c r="V51" s="103">
        <f t="shared" si="45"/>
        <v>0.3768175801567677</v>
      </c>
      <c r="W51" s="103">
        <f t="shared" ref="W51" si="46">IF(W9=0,0,W9/W$3)</f>
        <v>0.34844816407932427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1.8401365387142904E-2</v>
      </c>
      <c r="C52" s="17">
        <f t="shared" si="47"/>
        <v>1.6996513076667861E-2</v>
      </c>
      <c r="D52" s="17">
        <f t="shared" ref="D52:V52" si="48">IF(D10=0,0,D10/D$3)</f>
        <v>1.510201031340604E-2</v>
      </c>
      <c r="E52" s="17">
        <f t="shared" si="48"/>
        <v>1.6531295262829659E-2</v>
      </c>
      <c r="F52" s="17">
        <f t="shared" si="48"/>
        <v>2.5208314500498936E-2</v>
      </c>
      <c r="G52" s="17">
        <f t="shared" si="48"/>
        <v>2.47975446750467E-2</v>
      </c>
      <c r="H52" s="17">
        <f t="shared" si="48"/>
        <v>3.1024953638673511E-2</v>
      </c>
      <c r="I52" s="17">
        <f t="shared" si="48"/>
        <v>2.5011127237809089E-2</v>
      </c>
      <c r="J52" s="17">
        <f t="shared" si="48"/>
        <v>2.3691018402561808E-2</v>
      </c>
      <c r="K52" s="17">
        <f t="shared" si="48"/>
        <v>2.4736714557572297E-2</v>
      </c>
      <c r="L52" s="17">
        <f t="shared" si="48"/>
        <v>2.9121638552818709E-2</v>
      </c>
      <c r="M52" s="17">
        <f t="shared" si="48"/>
        <v>2.4893882106913841E-2</v>
      </c>
      <c r="N52" s="17">
        <f t="shared" si="48"/>
        <v>3.0221461759535821E-2</v>
      </c>
      <c r="O52" s="17">
        <f t="shared" si="48"/>
        <v>2.9159831880402293E-2</v>
      </c>
      <c r="P52" s="17">
        <f t="shared" si="48"/>
        <v>2.6924381832135403E-2</v>
      </c>
      <c r="Q52" s="17">
        <f t="shared" si="48"/>
        <v>2.7197372601007623E-2</v>
      </c>
      <c r="R52" s="17">
        <f t="shared" si="48"/>
        <v>2.2295262336388431E-2</v>
      </c>
      <c r="S52" s="17">
        <f t="shared" si="48"/>
        <v>2.4435332737538826E-2</v>
      </c>
      <c r="T52" s="17">
        <f t="shared" si="48"/>
        <v>2.046513576006561E-2</v>
      </c>
      <c r="U52" s="17">
        <f t="shared" si="48"/>
        <v>1.8424922110217044E-2</v>
      </c>
      <c r="V52" s="17">
        <f t="shared" si="48"/>
        <v>6.9577844225078261E-2</v>
      </c>
      <c r="W52" s="17">
        <f t="shared" ref="W52" si="49">IF(W10=0,0,W10/W$3)</f>
        <v>7.7789305110750148E-2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2.1301590288716372E-3</v>
      </c>
      <c r="C53" s="104">
        <f t="shared" si="50"/>
        <v>2.0190320960724898E-3</v>
      </c>
      <c r="D53" s="104">
        <f t="shared" ref="D53:V53" si="51">IF(D11=0,0,D11/D$3)</f>
        <v>1.5510445517701247E-3</v>
      </c>
      <c r="E53" s="104">
        <f t="shared" si="51"/>
        <v>1.3375663430989868E-3</v>
      </c>
      <c r="F53" s="104">
        <f t="shared" si="51"/>
        <v>2.8530476029376218E-3</v>
      </c>
      <c r="G53" s="104">
        <f t="shared" si="51"/>
        <v>3.379333052965052E-3</v>
      </c>
      <c r="H53" s="104">
        <f t="shared" si="51"/>
        <v>5.8833951673477186E-3</v>
      </c>
      <c r="I53" s="104">
        <f t="shared" si="51"/>
        <v>3.6016516776773756E-3</v>
      </c>
      <c r="J53" s="104">
        <f t="shared" si="51"/>
        <v>2.6536712748876628E-3</v>
      </c>
      <c r="K53" s="104">
        <f t="shared" si="51"/>
        <v>3.7838507841187518E-3</v>
      </c>
      <c r="L53" s="104">
        <f t="shared" si="51"/>
        <v>3.097424985891968E-3</v>
      </c>
      <c r="M53" s="104">
        <f t="shared" si="51"/>
        <v>1.6109276316321466E-3</v>
      </c>
      <c r="N53" s="104">
        <f t="shared" si="51"/>
        <v>2.9508653075790495E-3</v>
      </c>
      <c r="O53" s="104">
        <f t="shared" si="51"/>
        <v>2.4510660615622644E-3</v>
      </c>
      <c r="P53" s="104">
        <f t="shared" si="51"/>
        <v>1.6658472888531723E-3</v>
      </c>
      <c r="Q53" s="104">
        <f t="shared" si="51"/>
        <v>1.424257678651055E-3</v>
      </c>
      <c r="R53" s="104">
        <f t="shared" si="51"/>
        <v>5.4152483865311173E-4</v>
      </c>
      <c r="S53" s="104">
        <f t="shared" si="51"/>
        <v>7.5867645572411525E-4</v>
      </c>
      <c r="T53" s="104">
        <f t="shared" si="51"/>
        <v>6.7260976134847451E-4</v>
      </c>
      <c r="U53" s="104">
        <f t="shared" si="51"/>
        <v>4.4739009812300076E-4</v>
      </c>
      <c r="V53" s="104">
        <f t="shared" si="51"/>
        <v>1.0280744324538207E-3</v>
      </c>
      <c r="W53" s="104">
        <f t="shared" ref="W53" si="52">IF(W11=0,0,W11/W$3)</f>
        <v>2.378926579021418E-3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6.9822409599138782E-3</v>
      </c>
      <c r="C54" s="104">
        <f t="shared" si="53"/>
        <v>6.4108774160811051E-3</v>
      </c>
      <c r="D54" s="104">
        <f t="shared" ref="D54:V54" si="54">IF(D12=0,0,D12/D$3)</f>
        <v>4.7660405747339358E-3</v>
      </c>
      <c r="E54" s="104">
        <f t="shared" si="54"/>
        <v>4.794054756911718E-3</v>
      </c>
      <c r="F54" s="104">
        <f t="shared" si="54"/>
        <v>4.9037218530689677E-3</v>
      </c>
      <c r="G54" s="104">
        <f t="shared" si="54"/>
        <v>8.1256645590985239E-3</v>
      </c>
      <c r="H54" s="104">
        <f t="shared" si="54"/>
        <v>1.1801074461430409E-2</v>
      </c>
      <c r="I54" s="104">
        <f t="shared" si="54"/>
        <v>1.0550262341351483E-2</v>
      </c>
      <c r="J54" s="104">
        <f t="shared" si="54"/>
        <v>1.0428176974688817E-2</v>
      </c>
      <c r="K54" s="104">
        <f t="shared" si="54"/>
        <v>1.1567372570468757E-2</v>
      </c>
      <c r="L54" s="104">
        <f t="shared" si="54"/>
        <v>1.2853155210563162E-2</v>
      </c>
      <c r="M54" s="104">
        <f t="shared" si="54"/>
        <v>1.227882839629368E-2</v>
      </c>
      <c r="N54" s="104">
        <f t="shared" si="54"/>
        <v>1.1398422950871318E-2</v>
      </c>
      <c r="O54" s="104">
        <f t="shared" si="54"/>
        <v>1.0383186822052944E-2</v>
      </c>
      <c r="P54" s="104">
        <f t="shared" si="54"/>
        <v>1.1058805331541318E-2</v>
      </c>
      <c r="Q54" s="104">
        <f t="shared" si="54"/>
        <v>1.1540501151202025E-2</v>
      </c>
      <c r="R54" s="104">
        <f t="shared" si="54"/>
        <v>9.5499676780956954E-3</v>
      </c>
      <c r="S54" s="104">
        <f t="shared" si="54"/>
        <v>9.3687518138472273E-3</v>
      </c>
      <c r="T54" s="104">
        <f t="shared" si="54"/>
        <v>9.3970723808915347E-3</v>
      </c>
      <c r="U54" s="104">
        <f t="shared" si="54"/>
        <v>8.9559402581963488E-3</v>
      </c>
      <c r="V54" s="104">
        <f t="shared" si="54"/>
        <v>2.2908863610366315E-2</v>
      </c>
      <c r="W54" s="104">
        <f t="shared" ref="W54" si="55">IF(W12=0,0,W12/W$3)</f>
        <v>2.6381950217249636E-2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9.2889653983573885E-3</v>
      </c>
      <c r="C55" s="105">
        <f t="shared" si="56"/>
        <v>8.566603564514266E-3</v>
      </c>
      <c r="D55" s="105">
        <f t="shared" ref="D55:V55" si="57">IF(D13=0,0,D13/D$3)</f>
        <v>8.7849251869019773E-3</v>
      </c>
      <c r="E55" s="105">
        <f t="shared" si="57"/>
        <v>1.0399674162818954E-2</v>
      </c>
      <c r="F55" s="105">
        <f t="shared" si="57"/>
        <v>1.7451545044492346E-2</v>
      </c>
      <c r="G55" s="105">
        <f t="shared" si="57"/>
        <v>1.3292547062983124E-2</v>
      </c>
      <c r="H55" s="105">
        <f t="shared" si="57"/>
        <v>1.3340484009895379E-2</v>
      </c>
      <c r="I55" s="105">
        <f t="shared" si="57"/>
        <v>1.0859213218780235E-2</v>
      </c>
      <c r="J55" s="105">
        <f t="shared" si="57"/>
        <v>1.0609170152985327E-2</v>
      </c>
      <c r="K55" s="105">
        <f t="shared" si="57"/>
        <v>9.385491202984788E-3</v>
      </c>
      <c r="L55" s="105">
        <f t="shared" si="57"/>
        <v>1.3171058356363577E-2</v>
      </c>
      <c r="M55" s="105">
        <f t="shared" si="57"/>
        <v>1.1004126078988012E-2</v>
      </c>
      <c r="N55" s="105">
        <f t="shared" si="57"/>
        <v>1.5872173501085454E-2</v>
      </c>
      <c r="O55" s="105">
        <f t="shared" si="57"/>
        <v>1.6325578996787087E-2</v>
      </c>
      <c r="P55" s="105">
        <f t="shared" si="57"/>
        <v>1.4199729211740914E-2</v>
      </c>
      <c r="Q55" s="105">
        <f t="shared" si="57"/>
        <v>1.4232613771154541E-2</v>
      </c>
      <c r="R55" s="105">
        <f t="shared" si="57"/>
        <v>1.2203769819639623E-2</v>
      </c>
      <c r="S55" s="105">
        <f t="shared" si="57"/>
        <v>1.4307904467967482E-2</v>
      </c>
      <c r="T55" s="105">
        <f t="shared" si="57"/>
        <v>1.0395453617825602E-2</v>
      </c>
      <c r="U55" s="105">
        <f t="shared" si="57"/>
        <v>9.021591753897695E-3</v>
      </c>
      <c r="V55" s="105">
        <f t="shared" si="57"/>
        <v>4.5640906182258127E-2</v>
      </c>
      <c r="W55" s="105">
        <f t="shared" ref="W55" si="58">IF(W13=0,0,W13/W$3)</f>
        <v>4.9028428314479094E-2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482.61814232569969</v>
      </c>
      <c r="C57" s="62">
        <v>474.6791560577966</v>
      </c>
      <c r="D57" s="62">
        <v>469.68597256652379</v>
      </c>
      <c r="E57" s="62">
        <v>459.76587974908091</v>
      </c>
      <c r="F57" s="62">
        <v>457.62268824302549</v>
      </c>
      <c r="G57" s="62">
        <v>471.34612926844966</v>
      </c>
      <c r="H57" s="62">
        <v>483.74110147240361</v>
      </c>
      <c r="I57" s="62">
        <v>492.90061785343795</v>
      </c>
      <c r="J57" s="62">
        <v>484.55271915644045</v>
      </c>
      <c r="K57" s="62">
        <v>470.64012584629074</v>
      </c>
      <c r="L57" s="62">
        <v>471.19152807648095</v>
      </c>
      <c r="M57" s="62">
        <v>474.13658010368329</v>
      </c>
      <c r="N57" s="62">
        <v>467.88766207710228</v>
      </c>
      <c r="O57" s="62">
        <v>472.02001434856618</v>
      </c>
      <c r="P57" s="62">
        <v>481.67895909353609</v>
      </c>
      <c r="Q57" s="62">
        <v>490.30972859828563</v>
      </c>
      <c r="R57" s="62">
        <v>485.68846118772024</v>
      </c>
      <c r="S57" s="62">
        <v>495.66880911901552</v>
      </c>
      <c r="T57" s="62">
        <v>502.80420983785064</v>
      </c>
      <c r="U57" s="62">
        <v>492.68098758513077</v>
      </c>
      <c r="V57" s="62">
        <v>491.41842649852867</v>
      </c>
      <c r="W57" s="62">
        <v>475.62675300174703</v>
      </c>
      <c r="DA57" s="172" t="s">
        <v>313</v>
      </c>
    </row>
    <row r="58" spans="1:105" ht="11.45" customHeight="1" x14ac:dyDescent="0.25">
      <c r="A58" s="10" t="s">
        <v>33</v>
      </c>
      <c r="B58" s="14">
        <v>481.45383948348979</v>
      </c>
      <c r="C58" s="14">
        <v>473.50664481794757</v>
      </c>
      <c r="D58" s="14">
        <v>468.27578575784497</v>
      </c>
      <c r="E58" s="14">
        <v>457.9404243413195</v>
      </c>
      <c r="F58" s="14">
        <v>454.25433122373084</v>
      </c>
      <c r="G58" s="14">
        <v>468.85188179500517</v>
      </c>
      <c r="H58" s="14">
        <v>481.60829645601859</v>
      </c>
      <c r="I58" s="14">
        <v>491.16759343083027</v>
      </c>
      <c r="J58" s="14">
        <v>483.12247554360482</v>
      </c>
      <c r="K58" s="14">
        <v>469.72057238838789</v>
      </c>
      <c r="L58" s="14">
        <v>469.8971447567273</v>
      </c>
      <c r="M58" s="14">
        <v>472.91049908440925</v>
      </c>
      <c r="N58" s="14">
        <v>465.25425433310636</v>
      </c>
      <c r="O58" s="14">
        <v>469.15169728930431</v>
      </c>
      <c r="P58" s="14">
        <v>479.28291255998028</v>
      </c>
      <c r="Q58" s="14">
        <v>487.71531572932906</v>
      </c>
      <c r="R58" s="14">
        <v>483.26688456744506</v>
      </c>
      <c r="S58" s="14">
        <v>492.24969841691916</v>
      </c>
      <c r="T58" s="14">
        <v>500.53739671752913</v>
      </c>
      <c r="U58" s="14">
        <v>490.73118355470524</v>
      </c>
      <c r="V58" s="14">
        <v>483.32200441394292</v>
      </c>
      <c r="W58" s="14">
        <v>466.59934309842293</v>
      </c>
      <c r="DA58" s="189" t="s">
        <v>314</v>
      </c>
    </row>
    <row r="59" spans="1:105" ht="11.45" customHeight="1" x14ac:dyDescent="0.25">
      <c r="A59" s="83" t="s">
        <v>27</v>
      </c>
      <c r="B59" s="87">
        <v>782.37821789873828</v>
      </c>
      <c r="C59" s="87">
        <v>782.37821789873828</v>
      </c>
      <c r="D59" s="87">
        <v>782.37821789873828</v>
      </c>
      <c r="E59" s="87">
        <v>782.37821789873828</v>
      </c>
      <c r="F59" s="87">
        <v>782.37821789873828</v>
      </c>
      <c r="G59" s="87">
        <v>781.70520322641778</v>
      </c>
      <c r="H59" s="87">
        <v>754.97784443098089</v>
      </c>
      <c r="I59" s="87">
        <v>723.04057212684165</v>
      </c>
      <c r="J59" s="87">
        <v>743.43136043252173</v>
      </c>
      <c r="K59" s="87">
        <v>753.34079441949655</v>
      </c>
      <c r="L59" s="87">
        <v>788.9190210799718</v>
      </c>
      <c r="M59" s="87">
        <v>834.13337785029262</v>
      </c>
      <c r="N59" s="87">
        <v>763.43721540406227</v>
      </c>
      <c r="O59" s="87">
        <v>753.9176417511427</v>
      </c>
      <c r="P59" s="87">
        <v>755.30175177668264</v>
      </c>
      <c r="Q59" s="87">
        <v>729.94410988577033</v>
      </c>
      <c r="R59" s="87">
        <v>716.03318637536222</v>
      </c>
      <c r="S59" s="87">
        <v>703.67220954068955</v>
      </c>
      <c r="T59" s="87">
        <v>718.45320114634364</v>
      </c>
      <c r="U59" s="87">
        <v>717.52216701161842</v>
      </c>
      <c r="V59" s="87">
        <v>737.35082279029518</v>
      </c>
      <c r="W59" s="87">
        <v>744.45654289675031</v>
      </c>
      <c r="DA59" s="171" t="s">
        <v>315</v>
      </c>
    </row>
    <row r="60" spans="1:105" ht="11.45" customHeight="1" x14ac:dyDescent="0.25">
      <c r="A60" s="83" t="s">
        <v>173</v>
      </c>
      <c r="B60" s="87">
        <v>390.21705553551232</v>
      </c>
      <c r="C60" s="87">
        <v>386.30352397139711</v>
      </c>
      <c r="D60" s="87">
        <v>383.77247075504494</v>
      </c>
      <c r="E60" s="87">
        <v>380.14631333822075</v>
      </c>
      <c r="F60" s="87">
        <v>377.41164934897279</v>
      </c>
      <c r="G60" s="87">
        <v>372.87880704600803</v>
      </c>
      <c r="H60" s="87">
        <v>365.02393585714987</v>
      </c>
      <c r="I60" s="87">
        <v>359.4833859710331</v>
      </c>
      <c r="J60" s="87">
        <v>358.92808947120977</v>
      </c>
      <c r="K60" s="87">
        <v>357.77588484422006</v>
      </c>
      <c r="L60" s="87">
        <v>359.51994497610832</v>
      </c>
      <c r="M60" s="87">
        <v>359.38888901367989</v>
      </c>
      <c r="N60" s="87">
        <v>360.40272814707532</v>
      </c>
      <c r="O60" s="87">
        <v>361.3499399689066</v>
      </c>
      <c r="P60" s="87">
        <v>363.40914441953169</v>
      </c>
      <c r="Q60" s="87">
        <v>361.90824247889265</v>
      </c>
      <c r="R60" s="87">
        <v>361.2734547718531</v>
      </c>
      <c r="S60" s="87">
        <v>357.54510660740442</v>
      </c>
      <c r="T60" s="87">
        <v>356.55736829577353</v>
      </c>
      <c r="U60" s="87">
        <v>354.12697018855232</v>
      </c>
      <c r="V60" s="87">
        <v>351.46227571070153</v>
      </c>
      <c r="W60" s="87">
        <v>342.40623714303553</v>
      </c>
      <c r="DA60" s="171" t="s">
        <v>316</v>
      </c>
    </row>
    <row r="61" spans="1:105" ht="11.45" customHeight="1" x14ac:dyDescent="0.25">
      <c r="A61" s="83" t="s">
        <v>174</v>
      </c>
      <c r="B61" s="87">
        <v>663.7481788092914</v>
      </c>
      <c r="C61" s="87">
        <v>663.7481788092914</v>
      </c>
      <c r="D61" s="87">
        <v>663.7481788092914</v>
      </c>
      <c r="E61" s="87">
        <v>663.7481788092914</v>
      </c>
      <c r="F61" s="87">
        <v>663.7481788092914</v>
      </c>
      <c r="G61" s="87">
        <v>714.95230965309793</v>
      </c>
      <c r="H61" s="87">
        <v>764.08568646046672</v>
      </c>
      <c r="I61" s="87">
        <v>776.136628849977</v>
      </c>
      <c r="J61" s="87">
        <v>775.54535235412277</v>
      </c>
      <c r="K61" s="87">
        <v>731.64587419148813</v>
      </c>
      <c r="L61" s="87">
        <v>708.38163293840057</v>
      </c>
      <c r="M61" s="87">
        <v>718.72546257477916</v>
      </c>
      <c r="N61" s="87">
        <v>710.46302246207142</v>
      </c>
      <c r="O61" s="87">
        <v>714.88406107801575</v>
      </c>
      <c r="P61" s="87">
        <v>714.73551401100519</v>
      </c>
      <c r="Q61" s="87">
        <v>717.25828730621492</v>
      </c>
      <c r="R61" s="87">
        <v>716.01275954854088</v>
      </c>
      <c r="S61" s="87">
        <v>717.11876452640558</v>
      </c>
      <c r="T61" s="87">
        <v>716.45956676023582</v>
      </c>
      <c r="U61" s="87">
        <v>713.32056204593789</v>
      </c>
      <c r="V61" s="87">
        <v>723.80287100361488</v>
      </c>
      <c r="W61" s="87">
        <v>714.45525922137335</v>
      </c>
      <c r="DA61" s="171" t="s">
        <v>317</v>
      </c>
    </row>
    <row r="62" spans="1:105" ht="11.45" customHeight="1" x14ac:dyDescent="0.25">
      <c r="A62" s="12" t="s">
        <v>34</v>
      </c>
      <c r="B62" s="15">
        <v>559.07072207393787</v>
      </c>
      <c r="C62" s="15">
        <v>559.42719622935022</v>
      </c>
      <c r="D62" s="15">
        <v>586.82961142158899</v>
      </c>
      <c r="E62" s="15">
        <v>600.4178096586628</v>
      </c>
      <c r="F62" s="15">
        <v>640.10766711938334</v>
      </c>
      <c r="G62" s="15">
        <v>592.81536535330338</v>
      </c>
      <c r="H62" s="15">
        <v>561.93900443052939</v>
      </c>
      <c r="I62" s="15">
        <v>565.37740980594981</v>
      </c>
      <c r="J62" s="15">
        <v>545.84078245745309</v>
      </c>
      <c r="K62" s="15">
        <v>511.38141878239833</v>
      </c>
      <c r="L62" s="15">
        <v>516.71714251613741</v>
      </c>
      <c r="M62" s="15">
        <v>523.54992457577225</v>
      </c>
      <c r="N62" s="15">
        <v>561.68814323460185</v>
      </c>
      <c r="O62" s="15">
        <v>575.75978604204022</v>
      </c>
      <c r="P62" s="15">
        <v>571.74444852555962</v>
      </c>
      <c r="Q62" s="15">
        <v>584.42013972812629</v>
      </c>
      <c r="R62" s="15">
        <v>590.07655262129981</v>
      </c>
      <c r="S62" s="15">
        <v>622.84404287248583</v>
      </c>
      <c r="T62" s="15">
        <v>604.78372228661135</v>
      </c>
      <c r="U62" s="15">
        <v>597.09386351509124</v>
      </c>
      <c r="V62" s="15">
        <v>604.97596515238445</v>
      </c>
      <c r="W62" s="15">
        <v>589.61970779338401</v>
      </c>
      <c r="DA62" s="193" t="s">
        <v>318</v>
      </c>
    </row>
    <row r="63" spans="1:105" ht="11.45" customHeight="1" x14ac:dyDescent="0.25">
      <c r="A63" s="92" t="s">
        <v>27</v>
      </c>
      <c r="B63" s="101">
        <v>1033.405053581974</v>
      </c>
      <c r="C63" s="101">
        <v>1033.4050535819742</v>
      </c>
      <c r="D63" s="101">
        <v>1033.4050535819742</v>
      </c>
      <c r="E63" s="101">
        <v>1033.4050535819742</v>
      </c>
      <c r="F63" s="101">
        <v>1033.4050535819742</v>
      </c>
      <c r="G63" s="101">
        <v>1032.1104153499678</v>
      </c>
      <c r="H63" s="101">
        <v>962.82579259225508</v>
      </c>
      <c r="I63" s="101">
        <v>891.22406744539194</v>
      </c>
      <c r="J63" s="101">
        <v>909.03909652195318</v>
      </c>
      <c r="K63" s="101">
        <v>908.86862648741203</v>
      </c>
      <c r="L63" s="101">
        <v>947.45987888546085</v>
      </c>
      <c r="M63" s="101">
        <v>1095.190668651371</v>
      </c>
      <c r="N63" s="101">
        <v>1034.5482431374405</v>
      </c>
      <c r="O63" s="101">
        <v>982.41471823944505</v>
      </c>
      <c r="P63" s="101">
        <v>954.41934543560001</v>
      </c>
      <c r="Q63" s="101">
        <v>885.09298790850289</v>
      </c>
      <c r="R63" s="101">
        <v>840.47427890386416</v>
      </c>
      <c r="S63" s="101">
        <v>802.12035782484406</v>
      </c>
      <c r="T63" s="101">
        <v>802.44117432271776</v>
      </c>
      <c r="U63" s="101">
        <v>802.73428927137195</v>
      </c>
      <c r="V63" s="101">
        <v>828.9856192627899</v>
      </c>
      <c r="W63" s="101">
        <v>838.45478618271545</v>
      </c>
      <c r="DA63" s="175" t="s">
        <v>319</v>
      </c>
    </row>
    <row r="64" spans="1:105" ht="11.45" customHeight="1" x14ac:dyDescent="0.25">
      <c r="A64" s="92" t="s">
        <v>173</v>
      </c>
      <c r="B64" s="101">
        <v>399.83563588803997</v>
      </c>
      <c r="C64" s="101">
        <v>399.80655166077258</v>
      </c>
      <c r="D64" s="101">
        <v>399.84064877856497</v>
      </c>
      <c r="E64" s="101">
        <v>399.75251372595005</v>
      </c>
      <c r="F64" s="101">
        <v>402.76496413165177</v>
      </c>
      <c r="G64" s="101">
        <v>388.05180830887957</v>
      </c>
      <c r="H64" s="101">
        <v>370.5876123765193</v>
      </c>
      <c r="I64" s="101">
        <v>370.64907609170132</v>
      </c>
      <c r="J64" s="101">
        <v>366.80804886476022</v>
      </c>
      <c r="K64" s="101">
        <v>375.73928747500798</v>
      </c>
      <c r="L64" s="101">
        <v>374.37202584406151</v>
      </c>
      <c r="M64" s="101">
        <v>377.33514706543957</v>
      </c>
      <c r="N64" s="101">
        <v>381.83611903942597</v>
      </c>
      <c r="O64" s="101">
        <v>387.7186342964643</v>
      </c>
      <c r="P64" s="101">
        <v>375.41738194127885</v>
      </c>
      <c r="Q64" s="101">
        <v>370.12187723674776</v>
      </c>
      <c r="R64" s="101">
        <v>363.9129174630919</v>
      </c>
      <c r="S64" s="101">
        <v>366.40680954580182</v>
      </c>
      <c r="T64" s="101">
        <v>356.37387023248181</v>
      </c>
      <c r="U64" s="101">
        <v>365.96611034217955</v>
      </c>
      <c r="V64" s="101">
        <v>365.23340101744407</v>
      </c>
      <c r="W64" s="101">
        <v>347.28819851314347</v>
      </c>
      <c r="DA64" s="175" t="s">
        <v>320</v>
      </c>
    </row>
    <row r="65" spans="1:105" ht="11.45" customHeight="1" x14ac:dyDescent="0.25">
      <c r="A65" s="85" t="s">
        <v>174</v>
      </c>
      <c r="B65" s="88">
        <v>741.15841865573248</v>
      </c>
      <c r="C65" s="88">
        <v>741.15841865573248</v>
      </c>
      <c r="D65" s="88">
        <v>741.15841865573248</v>
      </c>
      <c r="E65" s="88">
        <v>741.15841865573248</v>
      </c>
      <c r="F65" s="88">
        <v>741.15841865573259</v>
      </c>
      <c r="G65" s="88">
        <v>751.88417877121879</v>
      </c>
      <c r="H65" s="88">
        <v>741.03374158703627</v>
      </c>
      <c r="I65" s="88">
        <v>723.16646099337572</v>
      </c>
      <c r="J65" s="88">
        <v>704.66158479753551</v>
      </c>
      <c r="K65" s="88">
        <v>675.05383155884533</v>
      </c>
      <c r="L65" s="88">
        <v>650.43037988394337</v>
      </c>
      <c r="M65" s="88">
        <v>675.80249140358001</v>
      </c>
      <c r="N65" s="88">
        <v>697.45303923858762</v>
      </c>
      <c r="O65" s="88">
        <v>696.79614780605073</v>
      </c>
      <c r="P65" s="88">
        <v>704.00786277867064</v>
      </c>
      <c r="Q65" s="88">
        <v>713.6437115302449</v>
      </c>
      <c r="R65" s="88">
        <v>720.04605640111777</v>
      </c>
      <c r="S65" s="88">
        <v>726.49889345489441</v>
      </c>
      <c r="T65" s="88">
        <v>733.5055257792925</v>
      </c>
      <c r="U65" s="88">
        <v>733.87091994559557</v>
      </c>
      <c r="V65" s="88">
        <v>743.1777427545627</v>
      </c>
      <c r="W65" s="88">
        <v>734.87665277960798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1.4195005831393983</v>
      </c>
      <c r="C67" s="59">
        <f t="shared" ref="C67:W67" si="60">IF(C3=0,0,C17/C57)</f>
        <v>1.6214751681889428</v>
      </c>
      <c r="D67" s="59">
        <f t="shared" si="60"/>
        <v>1.7314280345984439</v>
      </c>
      <c r="E67" s="59">
        <f t="shared" si="60"/>
        <v>1.7213024162804538</v>
      </c>
      <c r="F67" s="59">
        <f t="shared" si="60"/>
        <v>1.5845654417045367</v>
      </c>
      <c r="G67" s="59">
        <f t="shared" si="60"/>
        <v>1.4732454158629882</v>
      </c>
      <c r="H67" s="59">
        <f t="shared" si="60"/>
        <v>1.2732020179785231</v>
      </c>
      <c r="I67" s="59">
        <f t="shared" si="60"/>
        <v>1.2665839436665827</v>
      </c>
      <c r="J67" s="59">
        <f t="shared" si="60"/>
        <v>1.2109282112591946</v>
      </c>
      <c r="K67" s="59">
        <f t="shared" si="60"/>
        <v>0.93014999892856742</v>
      </c>
      <c r="L67" s="59">
        <f t="shared" si="60"/>
        <v>1.2970079008718507</v>
      </c>
      <c r="M67" s="59">
        <f t="shared" si="60"/>
        <v>1.1230864698716523</v>
      </c>
      <c r="N67" s="59">
        <f t="shared" si="60"/>
        <v>0.98939778510031828</v>
      </c>
      <c r="O67" s="59">
        <f t="shared" si="60"/>
        <v>1.0635732216480978</v>
      </c>
      <c r="P67" s="59">
        <f t="shared" si="60"/>
        <v>1.1163329680190923</v>
      </c>
      <c r="Q67" s="59">
        <f t="shared" si="60"/>
        <v>1.1273176629603328</v>
      </c>
      <c r="R67" s="59">
        <f t="shared" si="60"/>
        <v>1.0794815216674292</v>
      </c>
      <c r="S67" s="59">
        <f t="shared" si="60"/>
        <v>1.124392506982081</v>
      </c>
      <c r="T67" s="59">
        <f t="shared" si="60"/>
        <v>1.101531176286731</v>
      </c>
      <c r="U67" s="59">
        <f t="shared" si="60"/>
        <v>1.1147493652748737</v>
      </c>
      <c r="V67" s="59">
        <f t="shared" si="60"/>
        <v>1.1736402504705197</v>
      </c>
      <c r="W67" s="59">
        <f t="shared" si="60"/>
        <v>1.3015171844742413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1.419848453833733</v>
      </c>
      <c r="C68" s="23">
        <f t="shared" ref="C68:W68" si="62">IF(C6=0,0,C18/C58)</f>
        <v>1.6219019187643562</v>
      </c>
      <c r="D68" s="23">
        <f t="shared" si="62"/>
        <v>1.7324950843258993</v>
      </c>
      <c r="E68" s="23">
        <f t="shared" si="62"/>
        <v>1.7230928241965828</v>
      </c>
      <c r="F68" s="23">
        <f t="shared" si="62"/>
        <v>1.5873015991354773</v>
      </c>
      <c r="G68" s="23">
        <f t="shared" si="62"/>
        <v>1.4766619089755901</v>
      </c>
      <c r="H68" s="23">
        <f t="shared" si="62"/>
        <v>1.2759060065625369</v>
      </c>
      <c r="I68" s="23">
        <f t="shared" si="62"/>
        <v>1.2710808117275396</v>
      </c>
      <c r="J68" s="23">
        <f t="shared" si="62"/>
        <v>1.2150693888921498</v>
      </c>
      <c r="K68" s="23">
        <f t="shared" si="62"/>
        <v>0.9308739684646411</v>
      </c>
      <c r="L68" s="23">
        <f t="shared" si="62"/>
        <v>1.3005777723682406</v>
      </c>
      <c r="M68" s="23">
        <f t="shared" si="62"/>
        <v>1.1262500506139912</v>
      </c>
      <c r="N68" s="23">
        <f t="shared" si="62"/>
        <v>0.99293428658302019</v>
      </c>
      <c r="O68" s="23">
        <f t="shared" si="62"/>
        <v>1.0684780481144878</v>
      </c>
      <c r="P68" s="23">
        <f t="shared" si="62"/>
        <v>1.1213947446701749</v>
      </c>
      <c r="Q68" s="23">
        <f t="shared" si="62"/>
        <v>1.1335008858173929</v>
      </c>
      <c r="R68" s="23">
        <f t="shared" si="62"/>
        <v>1.0857488128715265</v>
      </c>
      <c r="S68" s="23">
        <f t="shared" si="62"/>
        <v>1.1347622166478621</v>
      </c>
      <c r="T68" s="23">
        <f t="shared" si="62"/>
        <v>1.1084433777964207</v>
      </c>
      <c r="U68" s="23">
        <f t="shared" si="62"/>
        <v>1.1193532882526733</v>
      </c>
      <c r="V68" s="23">
        <f t="shared" si="62"/>
        <v>1.1902877757881163</v>
      </c>
      <c r="W68" s="23">
        <f t="shared" si="62"/>
        <v>1.3219791233593143</v>
      </c>
      <c r="DA68" s="189"/>
    </row>
    <row r="69" spans="1:105" ht="11.45" customHeight="1" x14ac:dyDescent="0.25">
      <c r="A69" s="83" t="s">
        <v>27</v>
      </c>
      <c r="B69" s="91">
        <f t="shared" si="61"/>
        <v>1.096977597628388</v>
      </c>
      <c r="C69" s="91">
        <f t="shared" ref="C69:W69" si="63">IF(C7=0,0,C19/C59)</f>
        <v>1.2621318436541731</v>
      </c>
      <c r="D69" s="91">
        <f t="shared" si="63"/>
        <v>1.4196199811851424</v>
      </c>
      <c r="E69" s="91">
        <f t="shared" si="63"/>
        <v>1.2261765902204067</v>
      </c>
      <c r="F69" s="91">
        <f t="shared" si="63"/>
        <v>1.268875847025944</v>
      </c>
      <c r="G69" s="91">
        <f t="shared" si="63"/>
        <v>1.2679854685276315</v>
      </c>
      <c r="H69" s="91">
        <f t="shared" si="63"/>
        <v>1.6310444753890421</v>
      </c>
      <c r="I69" s="91">
        <f t="shared" si="63"/>
        <v>1.4671379650731575</v>
      </c>
      <c r="J69" s="91">
        <f t="shared" si="63"/>
        <v>1.2549333583783386</v>
      </c>
      <c r="K69" s="91">
        <f t="shared" si="63"/>
        <v>1.1763668387538315</v>
      </c>
      <c r="L69" s="91">
        <f t="shared" si="63"/>
        <v>1.3183867303251193</v>
      </c>
      <c r="M69" s="91">
        <f t="shared" si="63"/>
        <v>0.84927233813535374</v>
      </c>
      <c r="N69" s="91">
        <f t="shared" si="63"/>
        <v>1.4301756810398698</v>
      </c>
      <c r="O69" s="91">
        <f t="shared" si="63"/>
        <v>1.5180455477387382</v>
      </c>
      <c r="P69" s="91">
        <f t="shared" si="63"/>
        <v>1.6324606556559025</v>
      </c>
      <c r="Q69" s="91">
        <f t="shared" si="63"/>
        <v>1.6356073808444471</v>
      </c>
      <c r="R69" s="91">
        <f t="shared" si="63"/>
        <v>0.83338365115064428</v>
      </c>
      <c r="S69" s="91">
        <f t="shared" si="63"/>
        <v>1.1285522482268573</v>
      </c>
      <c r="T69" s="91">
        <f t="shared" si="63"/>
        <v>1.0805888862296176</v>
      </c>
      <c r="U69" s="91">
        <f t="shared" si="63"/>
        <v>1.2190549062752114</v>
      </c>
      <c r="V69" s="91">
        <f t="shared" si="63"/>
        <v>0.99667056214430261</v>
      </c>
      <c r="W69" s="91">
        <f t="shared" si="63"/>
        <v>1.4582847583469192</v>
      </c>
      <c r="DA69" s="171"/>
    </row>
    <row r="70" spans="1:105" ht="11.45" customHeight="1" x14ac:dyDescent="0.25">
      <c r="A70" s="83" t="s">
        <v>173</v>
      </c>
      <c r="B70" s="91">
        <f t="shared" si="61"/>
        <v>1.4956543912760323</v>
      </c>
      <c r="C70" s="91">
        <f t="shared" ref="C70:W70" si="64">IF(C8=0,0,C20/C60)</f>
        <v>1.7074360189877189</v>
      </c>
      <c r="D70" s="91">
        <f t="shared" si="64"/>
        <v>1.8183039257147553</v>
      </c>
      <c r="E70" s="91">
        <f t="shared" si="64"/>
        <v>1.8212521230708429</v>
      </c>
      <c r="F70" s="91">
        <f t="shared" si="64"/>
        <v>1.6664547005619146</v>
      </c>
      <c r="G70" s="91">
        <f t="shared" si="64"/>
        <v>1.6672633674886033</v>
      </c>
      <c r="H70" s="91">
        <f t="shared" si="64"/>
        <v>1.5308748719156651</v>
      </c>
      <c r="I70" s="91">
        <f t="shared" si="64"/>
        <v>1.6801193611751946</v>
      </c>
      <c r="J70" s="91">
        <f t="shared" si="64"/>
        <v>1.5508962035971214</v>
      </c>
      <c r="K70" s="91">
        <f t="shared" si="64"/>
        <v>1.1133518553221531</v>
      </c>
      <c r="L70" s="91">
        <f t="shared" si="64"/>
        <v>1.5781793616402353</v>
      </c>
      <c r="M70" s="91">
        <f t="shared" si="64"/>
        <v>1.4123117971189239</v>
      </c>
      <c r="N70" s="91">
        <f t="shared" si="64"/>
        <v>1.1845994953947847</v>
      </c>
      <c r="O70" s="91">
        <f t="shared" si="64"/>
        <v>1.2916543194241192</v>
      </c>
      <c r="P70" s="91">
        <f t="shared" si="64"/>
        <v>1.4411570405434577</v>
      </c>
      <c r="Q70" s="91">
        <f t="shared" si="64"/>
        <v>1.5576803644709769</v>
      </c>
      <c r="R70" s="91">
        <f t="shared" si="64"/>
        <v>1.4992575202781058</v>
      </c>
      <c r="S70" s="91">
        <f t="shared" si="64"/>
        <v>1.706829061094727</v>
      </c>
      <c r="T70" s="91">
        <f t="shared" si="64"/>
        <v>1.7723222636362121</v>
      </c>
      <c r="U70" s="91">
        <f t="shared" si="64"/>
        <v>1.6917501736309908</v>
      </c>
      <c r="V70" s="91">
        <f t="shared" si="64"/>
        <v>1.4788511408965286</v>
      </c>
      <c r="W70" s="91">
        <f t="shared" si="64"/>
        <v>1.6454679721223564</v>
      </c>
      <c r="DA70" s="171"/>
    </row>
    <row r="71" spans="1:105" ht="11.45" customHeight="1" x14ac:dyDescent="0.25">
      <c r="A71" s="83" t="s">
        <v>174</v>
      </c>
      <c r="B71" s="91">
        <f t="shared" si="61"/>
        <v>1.3649891164362771</v>
      </c>
      <c r="C71" s="91">
        <f t="shared" ref="C71:W71" si="65">IF(C9=0,0,C21/C61)</f>
        <v>1.5508742769003041</v>
      </c>
      <c r="D71" s="91">
        <f t="shared" si="65"/>
        <v>1.6449472019693843</v>
      </c>
      <c r="E71" s="91">
        <f t="shared" si="65"/>
        <v>1.6398212647384875</v>
      </c>
      <c r="F71" s="91">
        <f t="shared" si="65"/>
        <v>1.4947966506861663</v>
      </c>
      <c r="G71" s="91">
        <f t="shared" si="65"/>
        <v>1.2067356146073336</v>
      </c>
      <c r="H71" s="91">
        <f t="shared" si="65"/>
        <v>0.90038558004707503</v>
      </c>
      <c r="I71" s="91">
        <f t="shared" si="65"/>
        <v>0.8088471397379865</v>
      </c>
      <c r="J71" s="91">
        <f t="shared" si="65"/>
        <v>0.81337581140013915</v>
      </c>
      <c r="K71" s="91">
        <f t="shared" si="65"/>
        <v>0.67713571887416402</v>
      </c>
      <c r="L71" s="91">
        <f t="shared" si="65"/>
        <v>0.9660573035934259</v>
      </c>
      <c r="M71" s="91">
        <f t="shared" si="65"/>
        <v>0.81299110082708126</v>
      </c>
      <c r="N71" s="91">
        <f t="shared" si="65"/>
        <v>0.75292049440435782</v>
      </c>
      <c r="O71" s="91">
        <f t="shared" si="65"/>
        <v>0.79906873880476648</v>
      </c>
      <c r="P71" s="91">
        <f t="shared" si="65"/>
        <v>0.77875685094184321</v>
      </c>
      <c r="Q71" s="91">
        <f t="shared" si="65"/>
        <v>0.73224853488523589</v>
      </c>
      <c r="R71" s="91">
        <f t="shared" si="65"/>
        <v>0.68602865450065198</v>
      </c>
      <c r="S71" s="91">
        <f t="shared" si="65"/>
        <v>0.65441719461303549</v>
      </c>
      <c r="T71" s="91">
        <f t="shared" si="65"/>
        <v>0.60918482463208901</v>
      </c>
      <c r="U71" s="91">
        <f t="shared" si="65"/>
        <v>0.65156051321737851</v>
      </c>
      <c r="V71" s="91">
        <f t="shared" si="65"/>
        <v>0.93289568450977955</v>
      </c>
      <c r="W71" s="91">
        <f t="shared" si="65"/>
        <v>1.0013948884320336</v>
      </c>
      <c r="DA71" s="171"/>
    </row>
    <row r="72" spans="1:105" ht="11.45" customHeight="1" x14ac:dyDescent="0.25">
      <c r="A72" s="12" t="s">
        <v>34</v>
      </c>
      <c r="B72" s="24">
        <f t="shared" si="61"/>
        <v>1.3860258342661846</v>
      </c>
      <c r="C72" s="24">
        <f t="shared" ref="C72:W72" si="66">IF(C10=0,0,C22/C62)</f>
        <v>1.5777201816068902</v>
      </c>
      <c r="D72" s="24">
        <f t="shared" si="66"/>
        <v>1.6421502759303837</v>
      </c>
      <c r="E72" s="24">
        <f t="shared" si="66"/>
        <v>1.5978305896782197</v>
      </c>
      <c r="F72" s="24">
        <f t="shared" si="66"/>
        <v>1.4515780079747842</v>
      </c>
      <c r="G72" s="24">
        <f t="shared" si="66"/>
        <v>1.32769900910973</v>
      </c>
      <c r="H72" s="24">
        <f t="shared" si="66"/>
        <v>1.1808459293177984</v>
      </c>
      <c r="I72" s="24">
        <f t="shared" si="66"/>
        <v>1.1032747432658712</v>
      </c>
      <c r="J72" s="24">
        <f t="shared" si="66"/>
        <v>1.0550557698050058</v>
      </c>
      <c r="K72" s="24">
        <f t="shared" si="66"/>
        <v>0.89775511139617814</v>
      </c>
      <c r="L72" s="24">
        <f t="shared" si="66"/>
        <v>1.1828216913074709</v>
      </c>
      <c r="M72" s="24">
        <f t="shared" si="66"/>
        <v>1.0082570138437748</v>
      </c>
      <c r="N72" s="24">
        <f t="shared" si="66"/>
        <v>0.88306361885118745</v>
      </c>
      <c r="O72" s="24">
        <f t="shared" si="66"/>
        <v>0.91762257544212444</v>
      </c>
      <c r="P72" s="24">
        <f t="shared" si="66"/>
        <v>0.95647947465764793</v>
      </c>
      <c r="Q72" s="24">
        <f t="shared" si="66"/>
        <v>0.94025188800223392</v>
      </c>
      <c r="R72" s="24">
        <f t="shared" si="66"/>
        <v>0.8587496240923328</v>
      </c>
      <c r="S72" s="24">
        <f t="shared" si="66"/>
        <v>0.82087899452830249</v>
      </c>
      <c r="T72" s="24">
        <f t="shared" si="66"/>
        <v>0.8455541110555177</v>
      </c>
      <c r="U72" s="24">
        <f t="shared" si="66"/>
        <v>0.91222869106000459</v>
      </c>
      <c r="V72" s="24">
        <f t="shared" si="66"/>
        <v>0.98674027805300479</v>
      </c>
      <c r="W72" s="24">
        <f t="shared" si="66"/>
        <v>1.0962828720519735</v>
      </c>
      <c r="DA72" s="193"/>
    </row>
    <row r="73" spans="1:105" ht="11.45" customHeight="1" x14ac:dyDescent="0.25">
      <c r="A73" s="92" t="s">
        <v>27</v>
      </c>
      <c r="B73" s="93">
        <f t="shared" si="61"/>
        <v>1.096977597628388</v>
      </c>
      <c r="C73" s="93">
        <f t="shared" ref="C73:W73" si="67">IF(C11=0,0,C23/C63)</f>
        <v>1.2621318436541731</v>
      </c>
      <c r="D73" s="93">
        <f t="shared" si="67"/>
        <v>1.419619981185142</v>
      </c>
      <c r="E73" s="93">
        <f t="shared" si="67"/>
        <v>1.2261765902204063</v>
      </c>
      <c r="F73" s="93">
        <f t="shared" si="67"/>
        <v>1.2688758470259438</v>
      </c>
      <c r="G73" s="93">
        <f t="shared" si="67"/>
        <v>1.2679854685276317</v>
      </c>
      <c r="H73" s="93">
        <f t="shared" si="67"/>
        <v>1.6310444753890418</v>
      </c>
      <c r="I73" s="93">
        <f t="shared" si="67"/>
        <v>1.4671379650731571</v>
      </c>
      <c r="J73" s="93">
        <f t="shared" si="67"/>
        <v>1.2549333583783389</v>
      </c>
      <c r="K73" s="93">
        <f t="shared" si="67"/>
        <v>1.1763668387538315</v>
      </c>
      <c r="L73" s="93">
        <f t="shared" si="67"/>
        <v>1.3183867303251195</v>
      </c>
      <c r="M73" s="93">
        <f t="shared" si="67"/>
        <v>0.84927233813535352</v>
      </c>
      <c r="N73" s="93">
        <f t="shared" si="67"/>
        <v>1.43017568103987</v>
      </c>
      <c r="O73" s="93">
        <f t="shared" si="67"/>
        <v>1.5180455477387385</v>
      </c>
      <c r="P73" s="93">
        <f t="shared" si="67"/>
        <v>1.6324606556559023</v>
      </c>
      <c r="Q73" s="93">
        <f t="shared" si="67"/>
        <v>1.6356073808444478</v>
      </c>
      <c r="R73" s="93">
        <f t="shared" si="67"/>
        <v>0.83338365115064428</v>
      </c>
      <c r="S73" s="93">
        <f t="shared" si="67"/>
        <v>1.1285522482268575</v>
      </c>
      <c r="T73" s="93">
        <f t="shared" si="67"/>
        <v>1.0805888862296176</v>
      </c>
      <c r="U73" s="93">
        <f t="shared" si="67"/>
        <v>1.2190549062752114</v>
      </c>
      <c r="V73" s="93">
        <f t="shared" si="67"/>
        <v>0.99667056214430272</v>
      </c>
      <c r="W73" s="93">
        <f t="shared" si="67"/>
        <v>1.4582847583469192</v>
      </c>
      <c r="DA73" s="175"/>
    </row>
    <row r="74" spans="1:105" ht="11.45" customHeight="1" x14ac:dyDescent="0.25">
      <c r="A74" s="92" t="s">
        <v>173</v>
      </c>
      <c r="B74" s="93">
        <f t="shared" si="61"/>
        <v>1.4968796973582081</v>
      </c>
      <c r="C74" s="93">
        <f t="shared" ref="C74:W74" si="68">IF(C12=0,0,C24/C64)</f>
        <v>1.7007816322258604</v>
      </c>
      <c r="D74" s="93">
        <f t="shared" si="68"/>
        <v>1.8038782223430572</v>
      </c>
      <c r="E74" s="93">
        <f t="shared" si="68"/>
        <v>1.7984359185586962</v>
      </c>
      <c r="F74" s="93">
        <f t="shared" si="68"/>
        <v>1.6338503240787416</v>
      </c>
      <c r="G74" s="93">
        <f t="shared" si="68"/>
        <v>1.6559002885203198</v>
      </c>
      <c r="H74" s="93">
        <f t="shared" si="68"/>
        <v>1.5314996140112238</v>
      </c>
      <c r="I74" s="93">
        <f t="shared" si="68"/>
        <v>1.7029484402264097</v>
      </c>
      <c r="J74" s="93">
        <f t="shared" si="68"/>
        <v>1.5582155608442085</v>
      </c>
      <c r="K74" s="93">
        <f t="shared" si="68"/>
        <v>1.1183220022120732</v>
      </c>
      <c r="L74" s="93">
        <f t="shared" si="68"/>
        <v>1.5692786740981437</v>
      </c>
      <c r="M74" s="93">
        <f t="shared" si="68"/>
        <v>1.404264273392843</v>
      </c>
      <c r="N74" s="93">
        <f t="shared" si="68"/>
        <v>1.1775132332897555</v>
      </c>
      <c r="O74" s="93">
        <f t="shared" si="68"/>
        <v>1.2770703855495207</v>
      </c>
      <c r="P74" s="93">
        <f t="shared" si="68"/>
        <v>1.5194139926640979</v>
      </c>
      <c r="Q74" s="93">
        <f t="shared" si="68"/>
        <v>1.7086559421736418</v>
      </c>
      <c r="R74" s="93">
        <f t="shared" si="68"/>
        <v>1.6635535263948924</v>
      </c>
      <c r="S74" s="93">
        <f t="shared" si="68"/>
        <v>1.8917589065225531</v>
      </c>
      <c r="T74" s="93">
        <f t="shared" si="68"/>
        <v>1.9685885245189485</v>
      </c>
      <c r="U74" s="93">
        <f t="shared" si="68"/>
        <v>1.9726177500783526</v>
      </c>
      <c r="V74" s="93">
        <f t="shared" si="68"/>
        <v>1.4875740907139077</v>
      </c>
      <c r="W74" s="93">
        <f t="shared" si="68"/>
        <v>1.712001774380679</v>
      </c>
      <c r="DA74" s="175"/>
    </row>
    <row r="75" spans="1:105" ht="11.45" customHeight="1" x14ac:dyDescent="0.25">
      <c r="A75" s="85" t="s">
        <v>174</v>
      </c>
      <c r="B75" s="94">
        <f t="shared" si="61"/>
        <v>1.2284902047926494</v>
      </c>
      <c r="C75" s="94">
        <f t="shared" ref="C75:W75" si="69">IF(C13=0,0,C25/C65)</f>
        <v>1.3957868492102732</v>
      </c>
      <c r="D75" s="94">
        <f t="shared" si="69"/>
        <v>1.4804524817724456</v>
      </c>
      <c r="E75" s="94">
        <f t="shared" si="69"/>
        <v>1.4758391382646385</v>
      </c>
      <c r="F75" s="94">
        <f t="shared" si="69"/>
        <v>1.3453169856175498</v>
      </c>
      <c r="G75" s="94">
        <f t="shared" si="69"/>
        <v>1.0860620531466001</v>
      </c>
      <c r="H75" s="94">
        <f t="shared" si="69"/>
        <v>0.81034702204236753</v>
      </c>
      <c r="I75" s="94">
        <f t="shared" si="69"/>
        <v>0.7279624257641879</v>
      </c>
      <c r="J75" s="94">
        <f t="shared" si="69"/>
        <v>0.73203823026012504</v>
      </c>
      <c r="K75" s="94">
        <f t="shared" si="69"/>
        <v>0.60942214698674757</v>
      </c>
      <c r="L75" s="94">
        <f t="shared" si="69"/>
        <v>0.86945157323408295</v>
      </c>
      <c r="M75" s="94">
        <f t="shared" si="69"/>
        <v>0.73169199074437308</v>
      </c>
      <c r="N75" s="94">
        <f t="shared" si="69"/>
        <v>0.67762844496392205</v>
      </c>
      <c r="O75" s="94">
        <f t="shared" si="69"/>
        <v>0.71916186492429002</v>
      </c>
      <c r="P75" s="94">
        <f t="shared" si="69"/>
        <v>0.7008811658476588</v>
      </c>
      <c r="Q75" s="94">
        <f t="shared" si="69"/>
        <v>0.65902368139671264</v>
      </c>
      <c r="R75" s="94">
        <f t="shared" si="69"/>
        <v>0.61742578905058676</v>
      </c>
      <c r="S75" s="94">
        <f t="shared" si="69"/>
        <v>0.58897547515173188</v>
      </c>
      <c r="T75" s="94">
        <f t="shared" si="69"/>
        <v>0.54826634216888015</v>
      </c>
      <c r="U75" s="94">
        <f t="shared" si="69"/>
        <v>0.58640446189564077</v>
      </c>
      <c r="V75" s="94">
        <f t="shared" si="69"/>
        <v>0.83960611605880153</v>
      </c>
      <c r="W75" s="94">
        <f t="shared" si="69"/>
        <v>0.90125539958883016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1896.0829019999996</v>
      </c>
      <c r="C3" s="79">
        <f t="shared" si="0"/>
        <v>2276.5777020000005</v>
      </c>
      <c r="D3" s="79">
        <f t="shared" ref="D3" si="1">SUM(D4:D5)</f>
        <v>2416.0924620000005</v>
      </c>
      <c r="E3" s="79">
        <f t="shared" ref="E3" si="2">SUM(E4:E5)</f>
        <v>2362.1890320000002</v>
      </c>
      <c r="F3" s="79">
        <f t="shared" ref="F3" si="3">SUM(F4:F5)</f>
        <v>2238.5282220000004</v>
      </c>
      <c r="G3" s="79">
        <f t="shared" ref="G3" si="4">SUM(G4:G5)</f>
        <v>2593.4457225600004</v>
      </c>
      <c r="H3" s="79">
        <f t="shared" ref="H3" si="5">SUM(H4:H5)</f>
        <v>2688.2957682000001</v>
      </c>
      <c r="I3" s="79">
        <f t="shared" ref="I3" si="6">SUM(I4:I5)</f>
        <v>3154.7250705600009</v>
      </c>
      <c r="J3" s="79">
        <f t="shared" ref="J3" si="7">SUM(J4:J5)</f>
        <v>2935.9900785599998</v>
      </c>
      <c r="K3" s="79">
        <f t="shared" ref="K3" si="8">SUM(K4:K5)</f>
        <v>1810.3596285600004</v>
      </c>
      <c r="L3" s="79">
        <f t="shared" ref="L3" si="9">SUM(L4:L5)</f>
        <v>2314.5152385600004</v>
      </c>
      <c r="M3" s="79">
        <f t="shared" ref="M3" si="10">SUM(M4:M5)</f>
        <v>2111.5846785600002</v>
      </c>
      <c r="N3" s="79">
        <f t="shared" ref="N3" si="11">SUM(N4:N5)</f>
        <v>1772.3101485600007</v>
      </c>
      <c r="O3" s="79">
        <f t="shared" ref="O3" si="12">SUM(O4:O5)</f>
        <v>1956.2159685599997</v>
      </c>
      <c r="P3" s="79">
        <f t="shared" ref="P3" si="13">SUM(P4:P5)</f>
        <v>2257.4410185600004</v>
      </c>
      <c r="Q3" s="79">
        <f t="shared" ref="Q3" si="14">SUM(Q4:Q5)</f>
        <v>2549.1536985600005</v>
      </c>
      <c r="R3" s="79">
        <f t="shared" ref="R3" si="15">SUM(R4:R5)</f>
        <v>2618.9918092799994</v>
      </c>
      <c r="S3" s="79">
        <f t="shared" ref="S3" si="16">SUM(S4:S5)</f>
        <v>3076.2123890400003</v>
      </c>
      <c r="T3" s="79">
        <f t="shared" ref="T3" si="17">SUM(T4:T5)</f>
        <v>3321.8423384400003</v>
      </c>
      <c r="U3" s="79">
        <f t="shared" ref="U3" si="18">SUM(U4:U5)</f>
        <v>3360.6367527599991</v>
      </c>
      <c r="V3" s="79">
        <f t="shared" ref="V3:W3" si="19">SUM(V4:V5)</f>
        <v>1199.9700986400003</v>
      </c>
      <c r="W3" s="79">
        <f t="shared" si="19"/>
        <v>1344.1435070400003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98.244972000000018</v>
      </c>
      <c r="C4" s="96">
        <f t="shared" si="20"/>
        <v>117.26971200000003</v>
      </c>
      <c r="D4" s="96">
        <f t="shared" ref="D4:V4" si="21">SUM(D7,D11)</f>
        <v>123.61129200000001</v>
      </c>
      <c r="E4" s="96">
        <f t="shared" si="21"/>
        <v>117.269712</v>
      </c>
      <c r="F4" s="96">
        <f t="shared" si="21"/>
        <v>114.09892199999997</v>
      </c>
      <c r="G4" s="96">
        <f t="shared" si="21"/>
        <v>142.42505255999998</v>
      </c>
      <c r="H4" s="96">
        <f t="shared" si="21"/>
        <v>186.54245820000003</v>
      </c>
      <c r="I4" s="96">
        <f t="shared" si="21"/>
        <v>164.67010056000004</v>
      </c>
      <c r="J4" s="96">
        <f t="shared" si="21"/>
        <v>129.84092855999998</v>
      </c>
      <c r="K4" s="96">
        <f t="shared" si="21"/>
        <v>98.133028560000028</v>
      </c>
      <c r="L4" s="96">
        <f t="shared" si="21"/>
        <v>85.449868559999985</v>
      </c>
      <c r="M4" s="96">
        <f t="shared" si="21"/>
        <v>25.204858560000002</v>
      </c>
      <c r="N4" s="96">
        <f t="shared" si="21"/>
        <v>25.204858560000002</v>
      </c>
      <c r="O4" s="96">
        <f t="shared" si="21"/>
        <v>25.204858559999998</v>
      </c>
      <c r="P4" s="96">
        <f t="shared" si="21"/>
        <v>25.204858560000002</v>
      </c>
      <c r="Q4" s="96">
        <f t="shared" si="21"/>
        <v>25.204858560000002</v>
      </c>
      <c r="R4" s="96">
        <f t="shared" si="21"/>
        <v>12.602429279999999</v>
      </c>
      <c r="S4" s="96">
        <f t="shared" si="21"/>
        <v>17.337039840000003</v>
      </c>
      <c r="T4" s="96">
        <f t="shared" si="21"/>
        <v>16.643456279999995</v>
      </c>
      <c r="U4" s="96">
        <f t="shared" si="21"/>
        <v>17.905552920000002</v>
      </c>
      <c r="V4" s="96">
        <f t="shared" si="21"/>
        <v>13.6530576</v>
      </c>
      <c r="W4" s="96">
        <f t="shared" ref="W4" si="22">SUM(W7,W11)</f>
        <v>19.365702480000003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1797.8379299999997</v>
      </c>
      <c r="C5" s="96">
        <f t="shared" si="23"/>
        <v>2159.3079900000002</v>
      </c>
      <c r="D5" s="96">
        <f t="shared" ref="D5:V5" si="24">SUM(D8:D9,D12:D13)</f>
        <v>2292.4811700000005</v>
      </c>
      <c r="E5" s="96">
        <f t="shared" si="24"/>
        <v>2244.9193200000004</v>
      </c>
      <c r="F5" s="96">
        <f t="shared" si="24"/>
        <v>2124.4293000000002</v>
      </c>
      <c r="G5" s="96">
        <f t="shared" si="24"/>
        <v>2451.0206700000003</v>
      </c>
      <c r="H5" s="96">
        <f t="shared" si="24"/>
        <v>2501.7533100000001</v>
      </c>
      <c r="I5" s="96">
        <f t="shared" si="24"/>
        <v>2990.054970000001</v>
      </c>
      <c r="J5" s="96">
        <f t="shared" si="24"/>
        <v>2806.1491499999997</v>
      </c>
      <c r="K5" s="96">
        <f t="shared" si="24"/>
        <v>1712.2266000000004</v>
      </c>
      <c r="L5" s="96">
        <f t="shared" si="24"/>
        <v>2229.0653700000003</v>
      </c>
      <c r="M5" s="96">
        <f t="shared" si="24"/>
        <v>2086.3798200000001</v>
      </c>
      <c r="N5" s="96">
        <f t="shared" si="24"/>
        <v>1747.1052900000007</v>
      </c>
      <c r="O5" s="96">
        <f t="shared" si="24"/>
        <v>1931.0111099999997</v>
      </c>
      <c r="P5" s="96">
        <f t="shared" si="24"/>
        <v>2232.2361600000004</v>
      </c>
      <c r="Q5" s="96">
        <f t="shared" si="24"/>
        <v>2523.9488400000005</v>
      </c>
      <c r="R5" s="96">
        <f t="shared" si="24"/>
        <v>2606.3893799999996</v>
      </c>
      <c r="S5" s="96">
        <f t="shared" si="24"/>
        <v>3058.8753492000001</v>
      </c>
      <c r="T5" s="96">
        <f t="shared" si="24"/>
        <v>3305.1988821600003</v>
      </c>
      <c r="U5" s="96">
        <f t="shared" si="24"/>
        <v>3342.7311998399991</v>
      </c>
      <c r="V5" s="96">
        <f t="shared" si="24"/>
        <v>1186.3170410400003</v>
      </c>
      <c r="W5" s="96">
        <f t="shared" ref="W5" si="25">SUM(W8:W9,W12:W13)</f>
        <v>1324.7778045600003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1861.1943088441085</v>
      </c>
      <c r="C6" s="21">
        <f t="shared" si="26"/>
        <v>2237.8856977754153</v>
      </c>
      <c r="D6" s="21">
        <f t="shared" ref="D6:V6" si="27">SUM(D7:D9)</f>
        <v>2379.6058960304636</v>
      </c>
      <c r="E6" s="21">
        <f t="shared" si="27"/>
        <v>2323.1398681518544</v>
      </c>
      <c r="F6" s="21">
        <f t="shared" si="27"/>
        <v>2182.1013017391383</v>
      </c>
      <c r="G6" s="21">
        <f t="shared" si="27"/>
        <v>2529.1493137692141</v>
      </c>
      <c r="H6" s="21">
        <f t="shared" si="27"/>
        <v>2604.9332108546055</v>
      </c>
      <c r="I6" s="21">
        <f t="shared" si="27"/>
        <v>3075.8357269288836</v>
      </c>
      <c r="J6" s="21">
        <f t="shared" si="27"/>
        <v>2866.4418799342257</v>
      </c>
      <c r="K6" s="21">
        <f t="shared" si="27"/>
        <v>1765.5876927901309</v>
      </c>
      <c r="L6" s="21">
        <f t="shared" si="27"/>
        <v>2247.1254123333074</v>
      </c>
      <c r="M6" s="21">
        <f t="shared" si="27"/>
        <v>2059.0443769120393</v>
      </c>
      <c r="N6" s="21">
        <f t="shared" si="27"/>
        <v>1718.7890162506756</v>
      </c>
      <c r="O6" s="21">
        <f t="shared" si="27"/>
        <v>1899.2099904572817</v>
      </c>
      <c r="P6" s="21">
        <f t="shared" si="27"/>
        <v>2196.6888542230081</v>
      </c>
      <c r="Q6" s="21">
        <f t="shared" si="27"/>
        <v>2479.85020731246</v>
      </c>
      <c r="R6" s="21">
        <f t="shared" si="27"/>
        <v>2560.6110435598571</v>
      </c>
      <c r="S6" s="21">
        <f t="shared" si="27"/>
        <v>3001.0531960904509</v>
      </c>
      <c r="T6" s="21">
        <f t="shared" si="27"/>
        <v>3253.8686124326132</v>
      </c>
      <c r="U6" s="21">
        <f t="shared" si="27"/>
        <v>3298.7225932076976</v>
      </c>
      <c r="V6" s="21">
        <f t="shared" si="27"/>
        <v>1116.4804370171801</v>
      </c>
      <c r="W6" s="21">
        <f t="shared" ref="W6" si="28">SUM(W7:W9)</f>
        <v>1239.5907987349333</v>
      </c>
      <c r="DA6" s="189" t="s">
        <v>326</v>
      </c>
    </row>
    <row r="7" spans="1:105" ht="11.45" customHeight="1" x14ac:dyDescent="0.25">
      <c r="A7" s="83" t="s">
        <v>27</v>
      </c>
      <c r="B7" s="96">
        <v>94.209313515448144</v>
      </c>
      <c r="C7" s="96">
        <v>112.67637590375061</v>
      </c>
      <c r="D7" s="96">
        <v>119.86626030104314</v>
      </c>
      <c r="E7" s="96">
        <v>114.11229517758376</v>
      </c>
      <c r="F7" s="96">
        <v>107.71679154324812</v>
      </c>
      <c r="G7" s="96">
        <v>133.68420835078678</v>
      </c>
      <c r="H7" s="96">
        <v>170.78746427432171</v>
      </c>
      <c r="I7" s="96">
        <v>153.32854416962729</v>
      </c>
      <c r="J7" s="96">
        <v>122.0630502241459</v>
      </c>
      <c r="K7" s="96">
        <v>91.298169723343676</v>
      </c>
      <c r="L7" s="96">
        <v>78.29951533371964</v>
      </c>
      <c r="M7" s="96">
        <v>21.8338853773135</v>
      </c>
      <c r="N7" s="96">
        <v>20.022004221697738</v>
      </c>
      <c r="O7" s="96">
        <v>20.453187505184971</v>
      </c>
      <c r="P7" s="96">
        <v>21.478202763077366</v>
      </c>
      <c r="Q7" s="96">
        <v>21.606974447199665</v>
      </c>
      <c r="R7" s="96">
        <v>11.197045862832523</v>
      </c>
      <c r="S7" s="96">
        <v>15.014232884792012</v>
      </c>
      <c r="T7" s="96">
        <v>14.418819833790399</v>
      </c>
      <c r="U7" s="96">
        <v>16.408813295735627</v>
      </c>
      <c r="V7" s="96">
        <v>12.426728495313851</v>
      </c>
      <c r="W7" s="96">
        <v>16.181703295249708</v>
      </c>
      <c r="DA7" s="171" t="s">
        <v>327</v>
      </c>
    </row>
    <row r="8" spans="1:105" ht="11.45" customHeight="1" x14ac:dyDescent="0.25">
      <c r="A8" s="83" t="s">
        <v>173</v>
      </c>
      <c r="B8" s="96">
        <v>1086.8622374297993</v>
      </c>
      <c r="C8" s="96">
        <v>1350.1732567040215</v>
      </c>
      <c r="D8" s="96">
        <v>1460.9956064674195</v>
      </c>
      <c r="E8" s="96">
        <v>1513.7404588367792</v>
      </c>
      <c r="F8" s="96">
        <v>1420.9237605906262</v>
      </c>
      <c r="G8" s="96">
        <v>1650.5408901023313</v>
      </c>
      <c r="H8" s="96">
        <v>1675.511849467809</v>
      </c>
      <c r="I8" s="96">
        <v>2024.2255303372847</v>
      </c>
      <c r="J8" s="96">
        <v>1902.3924239361002</v>
      </c>
      <c r="K8" s="96">
        <v>1129.3565800089596</v>
      </c>
      <c r="L8" s="96">
        <v>1436.2024336246905</v>
      </c>
      <c r="M8" s="96">
        <v>1347.5152848586463</v>
      </c>
      <c r="N8" s="96">
        <v>1113.9799766367469</v>
      </c>
      <c r="O8" s="96">
        <v>1230.1856626622809</v>
      </c>
      <c r="P8" s="96">
        <v>1435.7497223098792</v>
      </c>
      <c r="Q8" s="96">
        <v>1634.0078924501479</v>
      </c>
      <c r="R8" s="96">
        <v>1734.3222762132082</v>
      </c>
      <c r="S8" s="96">
        <v>2050.0508731857681</v>
      </c>
      <c r="T8" s="96">
        <v>2223.5964549625787</v>
      </c>
      <c r="U8" s="96">
        <v>2229.6752117794676</v>
      </c>
      <c r="V8" s="96">
        <v>651.85277496818276</v>
      </c>
      <c r="W8" s="96">
        <v>755.01547010860565</v>
      </c>
      <c r="DA8" s="171" t="s">
        <v>328</v>
      </c>
    </row>
    <row r="9" spans="1:105" ht="11.45" customHeight="1" x14ac:dyDescent="0.25">
      <c r="A9" s="83" t="s">
        <v>174</v>
      </c>
      <c r="B9" s="96">
        <v>680.1227578988611</v>
      </c>
      <c r="C9" s="96">
        <v>775.03606516764319</v>
      </c>
      <c r="D9" s="96">
        <v>798.74402926200071</v>
      </c>
      <c r="E9" s="96">
        <v>695.28711413749159</v>
      </c>
      <c r="F9" s="96">
        <v>653.46074960526391</v>
      </c>
      <c r="G9" s="96">
        <v>744.92421531609591</v>
      </c>
      <c r="H9" s="96">
        <v>758.63389711247453</v>
      </c>
      <c r="I9" s="96">
        <v>898.28165242197156</v>
      </c>
      <c r="J9" s="96">
        <v>841.98640577397953</v>
      </c>
      <c r="K9" s="96">
        <v>544.93294305782786</v>
      </c>
      <c r="L9" s="96">
        <v>732.62346337489726</v>
      </c>
      <c r="M9" s="96">
        <v>689.69520667607947</v>
      </c>
      <c r="N9" s="96">
        <v>584.78703539223113</v>
      </c>
      <c r="O9" s="96">
        <v>648.57114028981573</v>
      </c>
      <c r="P9" s="96">
        <v>739.46092915005136</v>
      </c>
      <c r="Q9" s="96">
        <v>824.2353404151122</v>
      </c>
      <c r="R9" s="96">
        <v>815.09172148381651</v>
      </c>
      <c r="S9" s="96">
        <v>935.98809001989082</v>
      </c>
      <c r="T9" s="96">
        <v>1015.8533376362437</v>
      </c>
      <c r="U9" s="96">
        <v>1052.6385681324941</v>
      </c>
      <c r="V9" s="96">
        <v>452.20093355368351</v>
      </c>
      <c r="W9" s="96">
        <v>468.39362533107806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34.888593155891478</v>
      </c>
      <c r="C10" s="22">
        <f t="shared" si="29"/>
        <v>38.692004224585204</v>
      </c>
      <c r="D10" s="22">
        <f t="shared" ref="D10:V10" si="30">SUM(D11:D13)</f>
        <v>36.48656596953704</v>
      </c>
      <c r="E10" s="22">
        <f t="shared" si="30"/>
        <v>39.049163848145831</v>
      </c>
      <c r="F10" s="22">
        <f t="shared" si="30"/>
        <v>56.426920260862062</v>
      </c>
      <c r="G10" s="22">
        <f t="shared" si="30"/>
        <v>64.296408790786245</v>
      </c>
      <c r="H10" s="22">
        <f t="shared" si="30"/>
        <v>83.362557345394549</v>
      </c>
      <c r="I10" s="22">
        <f t="shared" si="30"/>
        <v>78.889343631117072</v>
      </c>
      <c r="J10" s="22">
        <f t="shared" si="30"/>
        <v>69.548198625774205</v>
      </c>
      <c r="K10" s="22">
        <f t="shared" si="30"/>
        <v>44.771935769869458</v>
      </c>
      <c r="L10" s="22">
        <f t="shared" si="30"/>
        <v>67.38982622669316</v>
      </c>
      <c r="M10" s="22">
        <f t="shared" si="30"/>
        <v>52.540301647961037</v>
      </c>
      <c r="N10" s="22">
        <f t="shared" si="30"/>
        <v>53.521132309324862</v>
      </c>
      <c r="O10" s="22">
        <f t="shared" si="30"/>
        <v>57.005978102718046</v>
      </c>
      <c r="P10" s="22">
        <f t="shared" si="30"/>
        <v>60.752164336992351</v>
      </c>
      <c r="Q10" s="22">
        <f t="shared" si="30"/>
        <v>69.303491247540251</v>
      </c>
      <c r="R10" s="22">
        <f t="shared" si="30"/>
        <v>58.380765720142655</v>
      </c>
      <c r="S10" s="22">
        <f t="shared" si="30"/>
        <v>75.159192949548938</v>
      </c>
      <c r="T10" s="22">
        <f t="shared" si="30"/>
        <v>67.973726007387285</v>
      </c>
      <c r="U10" s="22">
        <f t="shared" si="30"/>
        <v>61.914159552301754</v>
      </c>
      <c r="V10" s="22">
        <f t="shared" si="30"/>
        <v>83.48966162282035</v>
      </c>
      <c r="W10" s="22">
        <f t="shared" ref="W10" si="31">SUM(W11:W13)</f>
        <v>104.55270830506672</v>
      </c>
      <c r="DA10" s="193" t="s">
        <v>330</v>
      </c>
    </row>
    <row r="11" spans="1:105" ht="11.45" customHeight="1" x14ac:dyDescent="0.25">
      <c r="A11" s="92" t="s">
        <v>27</v>
      </c>
      <c r="B11" s="97">
        <v>4.0356584845518784</v>
      </c>
      <c r="C11" s="97">
        <v>4.5933360962494127</v>
      </c>
      <c r="D11" s="97">
        <v>3.7450316989568586</v>
      </c>
      <c r="E11" s="97">
        <v>3.1574168224162391</v>
      </c>
      <c r="F11" s="97">
        <v>6.3821304567518524</v>
      </c>
      <c r="G11" s="97">
        <v>8.7408442092132184</v>
      </c>
      <c r="H11" s="97">
        <v>15.754993925678328</v>
      </c>
      <c r="I11" s="97">
        <v>11.341556390372734</v>
      </c>
      <c r="J11" s="97">
        <v>7.7778783358540915</v>
      </c>
      <c r="K11" s="97">
        <v>6.8348588366563474</v>
      </c>
      <c r="L11" s="97">
        <v>7.1503532262803446</v>
      </c>
      <c r="M11" s="97">
        <v>3.3709731826865026</v>
      </c>
      <c r="N11" s="97">
        <v>5.1828543383022643</v>
      </c>
      <c r="O11" s="97">
        <v>4.7516710548150289</v>
      </c>
      <c r="P11" s="97">
        <v>3.7266557969226359</v>
      </c>
      <c r="Q11" s="97">
        <v>3.5978841128003372</v>
      </c>
      <c r="R11" s="97">
        <v>1.4053834171674762</v>
      </c>
      <c r="S11" s="97">
        <v>2.3228069552079913</v>
      </c>
      <c r="T11" s="97">
        <v>2.2246364462095971</v>
      </c>
      <c r="U11" s="97">
        <v>1.4967396242643745</v>
      </c>
      <c r="V11" s="97">
        <v>1.2263291046861484</v>
      </c>
      <c r="W11" s="97">
        <v>3.1839991847502969</v>
      </c>
      <c r="DA11" s="175" t="s">
        <v>331</v>
      </c>
    </row>
    <row r="12" spans="1:105" ht="11.45" customHeight="1" x14ac:dyDescent="0.25">
      <c r="A12" s="92" t="s">
        <v>173</v>
      </c>
      <c r="B12" s="97">
        <v>13.239499238866635</v>
      </c>
      <c r="C12" s="97">
        <v>14.595403706778923</v>
      </c>
      <c r="D12" s="97">
        <v>11.515598486302149</v>
      </c>
      <c r="E12" s="97">
        <v>11.324869719053869</v>
      </c>
      <c r="F12" s="97">
        <v>10.977535205425307</v>
      </c>
      <c r="G12" s="97">
        <v>21.076730874943273</v>
      </c>
      <c r="H12" s="97">
        <v>31.733987015239997</v>
      </c>
      <c r="I12" s="97">
        <v>33.286517176288207</v>
      </c>
      <c r="J12" s="97">
        <v>30.619442074002365</v>
      </c>
      <c r="K12" s="97">
        <v>20.943786389571986</v>
      </c>
      <c r="L12" s="97">
        <v>29.751803807083107</v>
      </c>
      <c r="M12" s="97">
        <v>25.930632954123823</v>
      </c>
      <c r="N12" s="97">
        <v>20.20418357923251</v>
      </c>
      <c r="O12" s="97">
        <v>20.314163373006753</v>
      </c>
      <c r="P12" s="97">
        <v>24.967164931763687</v>
      </c>
      <c r="Q12" s="97">
        <v>29.421187041739266</v>
      </c>
      <c r="R12" s="97">
        <v>25.012394283842191</v>
      </c>
      <c r="S12" s="97">
        <v>28.82104699567217</v>
      </c>
      <c r="T12" s="97">
        <v>31.216275963166755</v>
      </c>
      <c r="U12" s="97">
        <v>30.098391874137842</v>
      </c>
      <c r="V12" s="97">
        <v>27.491842357651741</v>
      </c>
      <c r="W12" s="97">
        <v>35.463344564353832</v>
      </c>
      <c r="DA12" s="175" t="s">
        <v>332</v>
      </c>
    </row>
    <row r="13" spans="1:105" ht="11.45" customHeight="1" x14ac:dyDescent="0.25">
      <c r="A13" s="85" t="s">
        <v>174</v>
      </c>
      <c r="B13" s="98">
        <v>17.613435432472965</v>
      </c>
      <c r="C13" s="98">
        <v>19.503264421556867</v>
      </c>
      <c r="D13" s="98">
        <v>21.225935784278029</v>
      </c>
      <c r="E13" s="98">
        <v>24.566877306675721</v>
      </c>
      <c r="F13" s="98">
        <v>39.067254598684904</v>
      </c>
      <c r="G13" s="98">
        <v>34.47883370662975</v>
      </c>
      <c r="H13" s="98">
        <v>35.873576404476218</v>
      </c>
      <c r="I13" s="98">
        <v>34.26127006445612</v>
      </c>
      <c r="J13" s="98">
        <v>31.150878215917754</v>
      </c>
      <c r="K13" s="98">
        <v>16.993290543641123</v>
      </c>
      <c r="L13" s="98">
        <v>30.487669193329705</v>
      </c>
      <c r="M13" s="98">
        <v>23.238695511150713</v>
      </c>
      <c r="N13" s="98">
        <v>28.134094391790089</v>
      </c>
      <c r="O13" s="98">
        <v>31.940143674896259</v>
      </c>
      <c r="P13" s="98">
        <v>32.058343608306025</v>
      </c>
      <c r="Q13" s="98">
        <v>36.284420093000648</v>
      </c>
      <c r="R13" s="98">
        <v>31.962988019132986</v>
      </c>
      <c r="S13" s="98">
        <v>44.015338998668774</v>
      </c>
      <c r="T13" s="98">
        <v>34.532813598010932</v>
      </c>
      <c r="U13" s="98">
        <v>30.319028053899537</v>
      </c>
      <c r="V13" s="98">
        <v>54.771490160482465</v>
      </c>
      <c r="W13" s="98">
        <v>65.905364555962592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3.0077155366609989</v>
      </c>
      <c r="C18" s="97">
        <f>IF(C4=0,0,C4/TrAvia_ene!C4)</f>
        <v>3.008136004552413</v>
      </c>
      <c r="D18" s="97">
        <f>IF(D4=0,0,D4/TrAvia_ene!D4)</f>
        <v>3.0082474187567758</v>
      </c>
      <c r="E18" s="97">
        <f>IF(E4=0,0,E4/TrAvia_ene!E4)</f>
        <v>3.0081360045524126</v>
      </c>
      <c r="F18" s="97">
        <f>IF(F4=0,0,F4/TrAvia_ene!F4)</f>
        <v>3.0080756566229012</v>
      </c>
      <c r="G18" s="97">
        <f>IF(G4=0,0,G4/TrAvia_ene!G4)</f>
        <v>3.0018509829262365</v>
      </c>
      <c r="H18" s="97">
        <f>IF(H4=0,0,H4/TrAvia_ene!H4)</f>
        <v>2.9977695054532192</v>
      </c>
      <c r="I18" s="97">
        <f>IF(I4=0,0,I4/TrAvia_ene!I4)</f>
        <v>3.0045328416223209</v>
      </c>
      <c r="J18" s="97">
        <f>IF(J4=0,0,J4/TrAvia_ene!J4)</f>
        <v>3.0049430654833023</v>
      </c>
      <c r="K18" s="97">
        <f>IF(K4=0,0,K4/TrAvia_ene!K4)</f>
        <v>3.0032132933167035</v>
      </c>
      <c r="L18" s="97">
        <f>IF(L4=0,0,L4/TrAvia_ene!L4)</f>
        <v>3.0021629116880453</v>
      </c>
      <c r="M18" s="97">
        <f>IF(M4=0,0,M4/TrAvia_ene!M4)</f>
        <v>2.9828690273200915</v>
      </c>
      <c r="N18" s="97">
        <f>IF(N4=0,0,N4/TrAvia_ene!N4)</f>
        <v>2.9828690273200915</v>
      </c>
      <c r="O18" s="97">
        <f>IF(O4=0,0,O4/TrAvia_ene!O4)</f>
        <v>2.9828690273200911</v>
      </c>
      <c r="P18" s="97">
        <f>IF(P4=0,0,P4/TrAvia_ene!P4)</f>
        <v>2.9828690273200915</v>
      </c>
      <c r="Q18" s="97">
        <f>IF(Q4=0,0,Q4/TrAvia_ene!Q4)</f>
        <v>2.9828690273200915</v>
      </c>
      <c r="R18" s="97">
        <f>IF(R4=0,0,R4/TrAvia_ene!R4)</f>
        <v>2.9828690273200911</v>
      </c>
      <c r="S18" s="97">
        <f>IF(S4=0,0,S4/TrAvia_ene!S4)</f>
        <v>2.9959847450104018</v>
      </c>
      <c r="T18" s="97">
        <f>IF(T4=0,0,T4/TrAvia_ene!T4)</f>
        <v>2.9972189426673479</v>
      </c>
      <c r="U18" s="97">
        <f>IF(U4=0,0,U4/TrAvia_ene!U4)</f>
        <v>2.9966697911902269</v>
      </c>
      <c r="V18" s="97">
        <f>IF(V4=0,0,V4/TrAvia_ene!V4)</f>
        <v>2.9922183674669283</v>
      </c>
      <c r="W18" s="97">
        <f>IF(W4=0,0,W4/TrAvia_ene!W4)</f>
        <v>2.997300043150303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3.0103091999999991</v>
      </c>
      <c r="C19" s="98">
        <f>IF(C5=0,0,C5/TrAvia_ene!C5)</f>
        <v>3.0103092000000005</v>
      </c>
      <c r="D19" s="98">
        <f>IF(D5=0,0,D5/TrAvia_ene!D5)</f>
        <v>3.0103092000000014</v>
      </c>
      <c r="E19" s="98">
        <f>IF(E5=0,0,E5/TrAvia_ene!E5)</f>
        <v>3.0103092000000009</v>
      </c>
      <c r="F19" s="98">
        <f>IF(F5=0,0,F5/TrAvia_ene!F5)</f>
        <v>3.0103092000000018</v>
      </c>
      <c r="G19" s="98">
        <f>IF(G5=0,0,G5/TrAvia_ene!G5)</f>
        <v>3.0103092000000005</v>
      </c>
      <c r="H19" s="98">
        <f>IF(H5=0,0,H5/TrAvia_ene!H5)</f>
        <v>3.0103092</v>
      </c>
      <c r="I19" s="98">
        <f>IF(I5=0,0,I5/TrAvia_ene!I5)</f>
        <v>3.0103092000000014</v>
      </c>
      <c r="J19" s="98">
        <f>IF(J5=0,0,J5/TrAvia_ene!J5)</f>
        <v>3.0103091999999996</v>
      </c>
      <c r="K19" s="98">
        <f>IF(K5=0,0,K5/TrAvia_ene!K5)</f>
        <v>3.0103092000000018</v>
      </c>
      <c r="L19" s="98">
        <f>IF(L5=0,0,L5/TrAvia_ene!L5)</f>
        <v>3.0103092000000005</v>
      </c>
      <c r="M19" s="98">
        <f>IF(M5=0,0,M5/TrAvia_ene!M5)</f>
        <v>3.0103092000000005</v>
      </c>
      <c r="N19" s="98">
        <f>IF(N5=0,0,N5/TrAvia_ene!N5)</f>
        <v>3.0103092000000009</v>
      </c>
      <c r="O19" s="98">
        <f>IF(O5=0,0,O5/TrAvia_ene!O5)</f>
        <v>3.0103091999999996</v>
      </c>
      <c r="P19" s="98">
        <f>IF(P5=0,0,P5/TrAvia_ene!P5)</f>
        <v>3.0103092000000014</v>
      </c>
      <c r="Q19" s="98">
        <f>IF(Q5=0,0,Q5/TrAvia_ene!Q5)</f>
        <v>3.0103092000000005</v>
      </c>
      <c r="R19" s="98">
        <f>IF(R5=0,0,R5/TrAvia_ene!R5)</f>
        <v>3.0103091999999996</v>
      </c>
      <c r="S19" s="98">
        <f>IF(S5=0,0,S5/TrAvia_ene!S5)</f>
        <v>3.0103092000000005</v>
      </c>
      <c r="T19" s="98">
        <f>IF(T5=0,0,T5/TrAvia_ene!T5)</f>
        <v>3.0103092</v>
      </c>
      <c r="U19" s="98">
        <f>IF(U5=0,0,U5/TrAvia_ene!U5)</f>
        <v>3.0103092</v>
      </c>
      <c r="V19" s="98">
        <f>IF(V5=0,0,V5/TrAvia_ene!V5)</f>
        <v>3.0103092000000005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20622.006537994905</v>
      </c>
      <c r="C21" s="54">
        <f>IF(C3=0,0,C3/TrAvia_act!C13*1000)</f>
        <v>23168.89962642689</v>
      </c>
      <c r="D21" s="54">
        <f>IF(D3=0,0,D3/TrAvia_act!D13*1000)</f>
        <v>24479.802672269485</v>
      </c>
      <c r="E21" s="54">
        <f>IF(E3=0,0,E3/TrAvia_act!E13*1000)</f>
        <v>23822.615799390423</v>
      </c>
      <c r="F21" s="54">
        <f>IF(F3=0,0,F3/TrAvia_act!F13*1000)</f>
        <v>21827.922226814757</v>
      </c>
      <c r="G21" s="54">
        <f>IF(G3=0,0,G3/TrAvia_act!G13*1000)</f>
        <v>20900.609557471143</v>
      </c>
      <c r="H21" s="54">
        <f>IF(H3=0,0,H3/TrAvia_act!H13*1000)</f>
        <v>18535.118744597632</v>
      </c>
      <c r="I21" s="54">
        <f>IF(I3=0,0,I3/TrAvia_act!I13*1000)</f>
        <v>18791.47480728092</v>
      </c>
      <c r="J21" s="54">
        <f>IF(J3=0,0,J3/TrAvia_act!J13*1000)</f>
        <v>17661.852015949898</v>
      </c>
      <c r="K21" s="54">
        <f>IF(K3=0,0,K3/TrAvia_act!K13*1000)</f>
        <v>13176.419940104843</v>
      </c>
      <c r="L21" s="54">
        <f>IF(L3=0,0,L3/TrAvia_act!L13*1000)</f>
        <v>18395.334770830585</v>
      </c>
      <c r="M21" s="54">
        <f>IF(M3=0,0,M3/TrAvia_act!M13*1000)</f>
        <v>16028.027473075203</v>
      </c>
      <c r="N21" s="54">
        <f>IF(N3=0,0,N3/TrAvia_act!N13*1000)</f>
        <v>13933.711663123062</v>
      </c>
      <c r="O21" s="54">
        <f>IF(O3=0,0,O3/TrAvia_act!O13*1000)</f>
        <v>15110.79942574415</v>
      </c>
      <c r="P21" s="54">
        <f>IF(P3=0,0,P3/TrAvia_act!P13*1000)</f>
        <v>16185.194672203785</v>
      </c>
      <c r="Q21" s="54">
        <f>IF(Q3=0,0,Q3/TrAvia_act!Q13*1000)</f>
        <v>16637.513743935029</v>
      </c>
      <c r="R21" s="54">
        <f>IF(R3=0,0,R3/TrAvia_act!R13*1000)</f>
        <v>15782.103241475559</v>
      </c>
      <c r="S21" s="54">
        <f>IF(S3=0,0,S3/TrAvia_act!S13*1000)</f>
        <v>16776.792659535007</v>
      </c>
      <c r="T21" s="54">
        <f>IF(T3=0,0,T3/TrAvia_act!T13*1000)</f>
        <v>16672.368519741351</v>
      </c>
      <c r="U21" s="54">
        <f>IF(U3=0,0,U3/TrAvia_act!U13*1000)</f>
        <v>16532.693374894123</v>
      </c>
      <c r="V21" s="54">
        <f>IF(V3=0,0,V3/TrAvia_act!V13*1000)</f>
        <v>17360.717263306316</v>
      </c>
      <c r="W21" s="54">
        <f>IF(W3=0,0,W3/TrAvia_act!W13*1000)</f>
        <v>18633.744255953217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20577.319312265587</v>
      </c>
      <c r="C22" s="11">
        <f>IF(C6=0,0,C6/TrAvia_act!C14*1000)</f>
        <v>23117.771909251704</v>
      </c>
      <c r="D22" s="11">
        <f>IF(D6=0,0,D6/TrAvia_act!D14*1000)</f>
        <v>24421.358829791159</v>
      </c>
      <c r="E22" s="11">
        <f>IF(E6=0,0,E6/TrAvia_act!E14*1000)</f>
        <v>23752.720083392251</v>
      </c>
      <c r="F22" s="11">
        <f>IF(F6=0,0,F6/TrAvia_act!F14*1000)</f>
        <v>21704.696554351329</v>
      </c>
      <c r="G22" s="11">
        <f>IF(G6=0,0,G6/TrAvia_act!G14*1000)</f>
        <v>20838.342169207819</v>
      </c>
      <c r="H22" s="11">
        <f>IF(H6=0,0,H6/TrAvia_act!H14*1000)</f>
        <v>18492.884542244774</v>
      </c>
      <c r="I22" s="11">
        <f>IF(I6=0,0,I6/TrAvia_act!I14*1000)</f>
        <v>18791.971866747946</v>
      </c>
      <c r="J22" s="11">
        <f>IF(J6=0,0,J6/TrAvia_act!J14*1000)</f>
        <v>17669.99405372595</v>
      </c>
      <c r="K22" s="11">
        <f>IF(K6=0,0,K6/TrAvia_act!K14*1000)</f>
        <v>13160.988654240029</v>
      </c>
      <c r="L22" s="11">
        <f>IF(L6=0,0,L6/TrAvia_act!L14*1000)</f>
        <v>18395.397601470257</v>
      </c>
      <c r="M22" s="11">
        <f>IF(M6=0,0,M6/TrAvia_act!M14*1000)</f>
        <v>16031.80873083215</v>
      </c>
      <c r="N22" s="11">
        <f>IF(N6=0,0,N6/TrAvia_act!N14*1000)</f>
        <v>13905.142033014454</v>
      </c>
      <c r="O22" s="11">
        <f>IF(O6=0,0,O6/TrAvia_act!O14*1000)</f>
        <v>15088.531659439874</v>
      </c>
      <c r="P22" s="11">
        <f>IF(P6=0,0,P6/TrAvia_act!P14*1000)</f>
        <v>16177.913418169283</v>
      </c>
      <c r="Q22" s="11">
        <f>IF(Q6=0,0,Q6/TrAvia_act!Q14*1000)</f>
        <v>16640.430398947326</v>
      </c>
      <c r="R22" s="11">
        <f>IF(R6=0,0,R6/TrAvia_act!R14*1000)</f>
        <v>15794.65105963255</v>
      </c>
      <c r="S22" s="11">
        <f>IF(S6=0,0,S6/TrAvia_act!S14*1000)</f>
        <v>16814.774336819541</v>
      </c>
      <c r="T22" s="11">
        <f>IF(T6=0,0,T6/TrAvia_act!T14*1000)</f>
        <v>16701.394883116442</v>
      </c>
      <c r="U22" s="11">
        <f>IF(U6=0,0,U6/TrAvia_act!U14*1000)</f>
        <v>16535.301146406164</v>
      </c>
      <c r="V22" s="11">
        <f>IF(V6=0,0,V6/TrAvia_act!V14*1000)</f>
        <v>17316.910930011683</v>
      </c>
      <c r="W22" s="11">
        <f>IF(W6=0,0,W6/TrAvia_act!W14*1000)</f>
        <v>18567.576417671273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25813.760036926091</v>
      </c>
      <c r="C23" s="84">
        <f>IF(C7=0,0,C7/TrAvia_act!C15*1000)</f>
        <v>29704.274031371919</v>
      </c>
      <c r="D23" s="84">
        <f>IF(D7=0,0,D7/TrAvia_act!D15*1000)</f>
        <v>33411.994939301621</v>
      </c>
      <c r="E23" s="84">
        <f>IF(E7=0,0,E7/TrAvia_act!E15*1000)</f>
        <v>28858.067110728956</v>
      </c>
      <c r="F23" s="84">
        <f>IF(F7=0,0,F7/TrAvia_act!F15*1000)</f>
        <v>29862.395058023329</v>
      </c>
      <c r="G23" s="84">
        <f>IF(G7=0,0,G7/TrAvia_act!G15*1000)</f>
        <v>29754.071924090636</v>
      </c>
      <c r="H23" s="84">
        <f>IF(H7=0,0,H7/TrAvia_act!H15*1000)</f>
        <v>36914.606901686173</v>
      </c>
      <c r="I23" s="84">
        <f>IF(I7=0,0,I7/TrAvia_act!I15*1000)</f>
        <v>31872.092605999136</v>
      </c>
      <c r="J23" s="84">
        <f>IF(J7=0,0,J7/TrAvia_act!J15*1000)</f>
        <v>28034.821082381448</v>
      </c>
      <c r="K23" s="84">
        <f>IF(K7=0,0,K7/TrAvia_act!K15*1000)</f>
        <v>26614.630235244051</v>
      </c>
      <c r="L23" s="84">
        <f>IF(L7=0,0,L7/TrAvia_act!L15*1000)</f>
        <v>31225.507513229401</v>
      </c>
      <c r="M23" s="84">
        <f>IF(M7=0,0,M7/TrAvia_act!M15*1000)</f>
        <v>21130.835216156611</v>
      </c>
      <c r="N23" s="84">
        <f>IF(N7=0,0,N7/TrAvia_act!N15*1000)</f>
        <v>32568.43577209994</v>
      </c>
      <c r="O23" s="84">
        <f>IF(O7=0,0,O7/TrAvia_act!O15*1000)</f>
        <v>34138.378800503495</v>
      </c>
      <c r="P23" s="84">
        <f>IF(P7=0,0,P7/TrAvia_act!P15*1000)</f>
        <v>36778.786827247583</v>
      </c>
      <c r="Q23" s="84">
        <f>IF(Q7=0,0,Q7/TrAvia_act!Q15*1000)</f>
        <v>35612.532191047787</v>
      </c>
      <c r="R23" s="84">
        <f>IF(R7=0,0,R7/TrAvia_act!R15*1000)</f>
        <v>17799.684822757958</v>
      </c>
      <c r="S23" s="84">
        <f>IF(S7=0,0,S7/TrAvia_act!S15*1000)</f>
        <v>23792.0392440143</v>
      </c>
      <c r="T23" s="84">
        <f>IF(T7=0,0,T7/TrAvia_act!T15*1000)</f>
        <v>23268.985523680694</v>
      </c>
      <c r="U23" s="84">
        <f>IF(U7=0,0,U7/TrAvia_act!U15*1000)</f>
        <v>26211.838241273934</v>
      </c>
      <c r="V23" s="84">
        <f>IF(V7=0,0,V7/TrAvia_act!V15*1000)</f>
        <v>21989.688876187152</v>
      </c>
      <c r="W23" s="84">
        <f>IF(W7=0,0,W7/TrAvia_act!W15*1000)</f>
        <v>32539.577361188123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17569.063148645448</v>
      </c>
      <c r="C24" s="84">
        <f>IF(C8=0,0,C8/TrAvia_act!C16*1000)</f>
        <v>19855.654835628513</v>
      </c>
      <c r="D24" s="84">
        <f>IF(D8=0,0,D8/TrAvia_act!D16*1000)</f>
        <v>21006.388847619561</v>
      </c>
      <c r="E24" s="84">
        <f>IF(E8=0,0,E8/TrAvia_act!E16*1000)</f>
        <v>20841.643357698656</v>
      </c>
      <c r="F24" s="84">
        <f>IF(F8=0,0,F8/TrAvia_act!F16*1000)</f>
        <v>18933.021135520761</v>
      </c>
      <c r="G24" s="84">
        <f>IF(G8=0,0,G8/TrAvia_act!G16*1000)</f>
        <v>18714.706239316532</v>
      </c>
      <c r="H24" s="84">
        <f>IF(H8=0,0,H8/TrAvia_act!H16*1000)</f>
        <v>16821.787556711624</v>
      </c>
      <c r="I24" s="84">
        <f>IF(I8=0,0,I8/TrAvia_act!I16*1000)</f>
        <v>18181.514894091597</v>
      </c>
      <c r="J24" s="84">
        <f>IF(J8=0,0,J8/TrAvia_act!J16*1000)</f>
        <v>16757.193554263955</v>
      </c>
      <c r="K24" s="84">
        <f>IF(K8=0,0,K8/TrAvia_act!K16*1000)</f>
        <v>11990.97803767971</v>
      </c>
      <c r="L24" s="84">
        <f>IF(L8=0,0,L8/TrAvia_act!L16*1000)</f>
        <v>17080.1017739776</v>
      </c>
      <c r="M24" s="84">
        <f>IF(M8=0,0,M8/TrAvia_act!M16*1000)</f>
        <v>15279.401351861812</v>
      </c>
      <c r="N24" s="84">
        <f>IF(N8=0,0,N8/TrAvia_act!N16*1000)</f>
        <v>12852.000062543651</v>
      </c>
      <c r="O24" s="84">
        <f>IF(O8=0,0,O8/TrAvia_act!O16*1000)</f>
        <v>14050.293402252726</v>
      </c>
      <c r="P24" s="84">
        <f>IF(P8=0,0,P8/TrAvia_act!P16*1000)</f>
        <v>15765.881749119048</v>
      </c>
      <c r="Q24" s="84">
        <f>IF(Q8=0,0,Q8/TrAvia_act!Q16*1000)</f>
        <v>16970.237703718667</v>
      </c>
      <c r="R24" s="84">
        <f>IF(R8=0,0,R8/TrAvia_act!R16*1000)</f>
        <v>16305.097269591613</v>
      </c>
      <c r="S24" s="84">
        <f>IF(S8=0,0,S8/TrAvia_act!S16*1000)</f>
        <v>18370.965145979535</v>
      </c>
      <c r="T24" s="84">
        <f>IF(T8=0,0,T8/TrAvia_act!T16*1000)</f>
        <v>19023.184260699483</v>
      </c>
      <c r="U24" s="84">
        <f>IF(U8=0,0,U8/TrAvia_act!U16*1000)</f>
        <v>18034.592735218728</v>
      </c>
      <c r="V24" s="84">
        <f>IF(V8=0,0,V8/TrAvia_act!V16*1000)</f>
        <v>15646.394760365423</v>
      </c>
      <c r="W24" s="84">
        <f>IF(W8=0,0,W8/TrAvia_act!W16*1000)</f>
        <v>16960.638839873016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27273.67348783747</v>
      </c>
      <c r="C25" s="84">
        <f>IF(C9=0,0,C9/TrAvia_act!C17*1000)</f>
        <v>30987.821177136517</v>
      </c>
      <c r="D25" s="84">
        <f>IF(D9=0,0,D9/TrAvia_act!D17*1000)</f>
        <v>32867.480297846938</v>
      </c>
      <c r="E25" s="84">
        <f>IF(E9=0,0,E9/TrAvia_act!E17*1000)</f>
        <v>32765.059599636821</v>
      </c>
      <c r="F25" s="84">
        <f>IF(F9=0,0,F9/TrAvia_act!F17*1000)</f>
        <v>29867.341278124251</v>
      </c>
      <c r="G25" s="84">
        <f>IF(G9=0,0,G9/TrAvia_act!G17*1000)</f>
        <v>25971.695934623905</v>
      </c>
      <c r="H25" s="84">
        <f>IF(H9=0,0,H9/TrAvia_act!H17*1000)</f>
        <v>20710.076402283736</v>
      </c>
      <c r="I25" s="84">
        <f>IF(I9=0,0,I9/TrAvia_act!I17*1000)</f>
        <v>18897.995441023701</v>
      </c>
      <c r="J25" s="84">
        <f>IF(J9=0,0,J9/TrAvia_act!J17*1000)</f>
        <v>18989.326354479235</v>
      </c>
      <c r="K25" s="84">
        <f>IF(K9=0,0,K9/TrAvia_act!K17*1000)</f>
        <v>14913.780854589293</v>
      </c>
      <c r="L25" s="84">
        <f>IF(L9=0,0,L9/TrAvia_act!L17*1000)</f>
        <v>20600.667202748256</v>
      </c>
      <c r="M25" s="84">
        <f>IF(M9=0,0,M9/TrAvia_act!M17*1000)</f>
        <v>17589.760600251098</v>
      </c>
      <c r="N25" s="84">
        <f>IF(N9=0,0,N9/TrAvia_act!N17*1000)</f>
        <v>16102.81130020757</v>
      </c>
      <c r="O25" s="84">
        <f>IF(O9=0,0,O9/TrAvia_act!O17*1000)</f>
        <v>17196.135581558614</v>
      </c>
      <c r="P25" s="84">
        <f>IF(P9=0,0,P9/TrAvia_act!P17*1000)</f>
        <v>16755.536885450889</v>
      </c>
      <c r="Q25" s="84">
        <f>IF(Q9=0,0,Q9/TrAvia_act!Q17*1000)</f>
        <v>15810.48498686192</v>
      </c>
      <c r="R25" s="84">
        <f>IF(R9=0,0,R9/TrAvia_act!R17*1000)</f>
        <v>14786.797434850327</v>
      </c>
      <c r="S25" s="84">
        <f>IF(S9=0,0,S9/TrAvia_act!S17*1000)</f>
        <v>14127.226047257131</v>
      </c>
      <c r="T25" s="84">
        <f>IF(T9=0,0,T9/TrAvia_act!T17*1000)</f>
        <v>13138.684018403574</v>
      </c>
      <c r="U25" s="84">
        <f>IF(U9=0,0,U9/TrAvia_act!U17*1000)</f>
        <v>13991.059569517867</v>
      </c>
      <c r="V25" s="84">
        <f>IF(V9=0,0,V9/TrAvia_act!V17*1000)</f>
        <v>20326.588320452607</v>
      </c>
      <c r="W25" s="84">
        <f>IF(W9=0,0,W9/TrAvia_act!W17*1000)</f>
        <v>21537.312699493268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23324.151957853075</v>
      </c>
      <c r="C26" s="13">
        <f>IF(C10=0,0,C10/TrAvia_act!C18*1000)</f>
        <v>26567.299811268527</v>
      </c>
      <c r="D26" s="13">
        <f>IF(D10=0,0,D10/TrAvia_act!D18*1000)</f>
        <v>29007.17753868919</v>
      </c>
      <c r="E26" s="13">
        <f>IF(E10=0,0,E10/TrAvia_act!E18*1000)</f>
        <v>28878.194331062285</v>
      </c>
      <c r="F26" s="13">
        <f>IF(F10=0,0,F10/TrAvia_act!F18*1000)</f>
        <v>27968.427135253758</v>
      </c>
      <c r="G26" s="13">
        <f>IF(G10=0,0,G10/TrAvia_act!G18*1000)</f>
        <v>23684.48052582721</v>
      </c>
      <c r="H26" s="13">
        <f>IF(H10=0,0,H10/TrAvia_act!H18*1000)</f>
        <v>19959.53040765263</v>
      </c>
      <c r="I26" s="13">
        <f>IF(I10=0,0,I10/TrAvia_act!I18*1000)</f>
        <v>18772.115313190588</v>
      </c>
      <c r="J26" s="13">
        <f>IF(J10=0,0,J10/TrAvia_act!J18*1000)</f>
        <v>17332.682397976099</v>
      </c>
      <c r="K26" s="13">
        <f>IF(K10=0,0,K10/TrAvia_act!K18*1000)</f>
        <v>13815.204392768146</v>
      </c>
      <c r="L26" s="13">
        <f>IF(L10=0,0,L10/TrAvia_act!L18*1000)</f>
        <v>18393.239918026578</v>
      </c>
      <c r="M26" s="13">
        <f>IF(M10=0,0,M10/TrAvia_act!M18*1000)</f>
        <v>15881.232525064548</v>
      </c>
      <c r="N26" s="13">
        <f>IF(N10=0,0,N10/TrAvia_act!N18*1000)</f>
        <v>14918.035740388868</v>
      </c>
      <c r="O26" s="13">
        <f>IF(O10=0,0,O10/TrAvia_act!O18*1000)</f>
        <v>15892.185915353522</v>
      </c>
      <c r="P26" s="13">
        <f>IF(P10=0,0,P10/TrAvia_act!P18*1000)</f>
        <v>16452.947571528472</v>
      </c>
      <c r="Q26" s="13">
        <f>IF(Q10=0,0,Q10/TrAvia_act!Q18*1000)</f>
        <v>16533.817272905519</v>
      </c>
      <c r="R26" s="13">
        <f>IF(R10=0,0,R10/TrAvia_act!R18*1000)</f>
        <v>15250.702853515864</v>
      </c>
      <c r="S26" s="13">
        <f>IF(S10=0,0,S10/TrAvia_act!S18*1000)</f>
        <v>15388.822666896023</v>
      </c>
      <c r="T26" s="13">
        <f>IF(T10=0,0,T10/TrAvia_act!T18*1000)</f>
        <v>15391.839716727436</v>
      </c>
      <c r="U26" s="13">
        <f>IF(U10=0,0,U10/TrAvia_act!U18*1000)</f>
        <v>16394.933449493532</v>
      </c>
      <c r="V26" s="13">
        <f>IF(V10=0,0,V10/TrAvia_act!V18*1000)</f>
        <v>17968.57005264904</v>
      </c>
      <c r="W26" s="13">
        <f>IF(W10=0,0,W10/TrAvia_act!W18*1000)</f>
        <v>19455.765627972421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34096.130827564099</v>
      </c>
      <c r="C27" s="102">
        <f>IF(C11=0,0,C11/TrAvia_act!C19*1000)</f>
        <v>39234.920138045745</v>
      </c>
      <c r="D27" s="102">
        <f>IF(D11=0,0,D11/TrAvia_act!D19*1000)</f>
        <v>44132.267016920639</v>
      </c>
      <c r="E27" s="102">
        <f>IF(E11=0,0,E11/TrAvia_act!E19*1000)</f>
        <v>38117.206878444653</v>
      </c>
      <c r="F27" s="102">
        <f>IF(F11=0,0,F11/TrAvia_act!F19*1000)</f>
        <v>39443.774454642116</v>
      </c>
      <c r="G27" s="102">
        <f>IF(G11=0,0,G11/TrAvia_act!G19*1000)</f>
        <v>39285.254089617622</v>
      </c>
      <c r="H27" s="102">
        <f>IF(H11=0,0,H11/TrAvia_act!H19*1000)</f>
        <v>47077.322745987876</v>
      </c>
      <c r="I27" s="102">
        <f>IF(I11=0,0,I11/TrAvia_act!I19*1000)</f>
        <v>39285.729052188894</v>
      </c>
      <c r="J27" s="102">
        <f>IF(J11=0,0,J11/TrAvia_act!J19*1000)</f>
        <v>34279.894263615453</v>
      </c>
      <c r="K27" s="102">
        <f>IF(K11=0,0,K11/TrAvia_act!K19*1000)</f>
        <v>32109.242729933576</v>
      </c>
      <c r="L27" s="102">
        <f>IF(L11=0,0,L11/TrAvia_act!L19*1000)</f>
        <v>37500.573285863749</v>
      </c>
      <c r="M27" s="102">
        <f>IF(M11=0,0,M11/TrAvia_act!M19*1000)</f>
        <v>27744.116425584383</v>
      </c>
      <c r="N27" s="102">
        <f>IF(N11=0,0,N11/TrAvia_act!N19*1000)</f>
        <v>44134.104717344228</v>
      </c>
      <c r="O27" s="102">
        <f>IF(O11=0,0,O11/TrAvia_act!O19*1000)</f>
        <v>44485.025861111921</v>
      </c>
      <c r="P27" s="102">
        <f>IF(P11=0,0,P11/TrAvia_act!P19*1000)</f>
        <v>46474.651444944211</v>
      </c>
      <c r="Q27" s="102">
        <f>IF(Q11=0,0,Q11/TrAvia_act!Q19*1000)</f>
        <v>43181.939681511903</v>
      </c>
      <c r="R27" s="102">
        <f>IF(R11=0,0,R11/TrAvia_act!R19*1000)</f>
        <v>20893.133936785242</v>
      </c>
      <c r="S27" s="102">
        <f>IF(S11=0,0,S11/TrAvia_act!S19*1000)</f>
        <v>27120.694512361522</v>
      </c>
      <c r="T27" s="102">
        <f>IF(T11=0,0,T11/TrAvia_act!T19*1000)</f>
        <v>25989.155645946248</v>
      </c>
      <c r="U27" s="102">
        <f>IF(U11=0,0,U11/TrAvia_act!U19*1000)</f>
        <v>29324.72654989695</v>
      </c>
      <c r="V27" s="102">
        <f>IF(V11=0,0,V11/TrAvia_act!V19*1000)</f>
        <v>24722.473057586205</v>
      </c>
      <c r="W27" s="102">
        <f>IF(W11=0,0,W11/TrAvia_act!W19*1000)</f>
        <v>36648.162527647801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18016.876533872317</v>
      </c>
      <c r="C28" s="102">
        <f>IF(C12=0,0,C12/TrAvia_act!C20*1000)</f>
        <v>20469.610058610233</v>
      </c>
      <c r="D28" s="102">
        <f>IF(D12=0,0,D12/TrAvia_act!D20*1000)</f>
        <v>21712.271693838473</v>
      </c>
      <c r="E28" s="102">
        <f>IF(E12=0,0,E12/TrAvia_act!E20*1000)</f>
        <v>21641.994233819551</v>
      </c>
      <c r="F28" s="102">
        <f>IF(F12=0,0,F12/TrAvia_act!F20*1000)</f>
        <v>19809.570496246182</v>
      </c>
      <c r="G28" s="102">
        <f>IF(G12=0,0,G12/TrAvia_act!G20*1000)</f>
        <v>19343.497392532456</v>
      </c>
      <c r="H28" s="102">
        <f>IF(H12=0,0,H12/TrAvia_act!H20*1000)</f>
        <v>17085.153917286789</v>
      </c>
      <c r="I28" s="102">
        <f>IF(I12=0,0,I12/TrAvia_act!I20*1000)</f>
        <v>19000.959265506332</v>
      </c>
      <c r="J28" s="102">
        <f>IF(J12=0,0,J12/TrAvia_act!J20*1000)</f>
        <v>17205.904170579201</v>
      </c>
      <c r="K28" s="102">
        <f>IF(K12=0,0,K12/TrAvia_act!K20*1000)</f>
        <v>12649.244370299513</v>
      </c>
      <c r="L28" s="102">
        <f>IF(L12=0,0,L12/TrAvia_act!L20*1000)</f>
        <v>17685.387025274096</v>
      </c>
      <c r="M28" s="102">
        <f>IF(M12=0,0,M12/TrAvia_act!M20*1000)</f>
        <v>15950.97419379372</v>
      </c>
      <c r="N28" s="102">
        <f>IF(N12=0,0,N12/TrAvia_act!N20*1000)</f>
        <v>13534.864417840485</v>
      </c>
      <c r="O28" s="102">
        <f>IF(O12=0,0,O12/TrAvia_act!O20*1000)</f>
        <v>14905.364957354199</v>
      </c>
      <c r="P28" s="102">
        <f>IF(P12=0,0,P12/TrAvia_act!P20*1000)</f>
        <v>17171.237860044694</v>
      </c>
      <c r="Q28" s="102">
        <f>IF(Q12=0,0,Q12/TrAvia_act!Q20*1000)</f>
        <v>19037.524855199412</v>
      </c>
      <c r="R28" s="102">
        <f>IF(R12=0,0,R12/TrAvia_act!R20*1000)</f>
        <v>18224.069237710253</v>
      </c>
      <c r="S28" s="102">
        <f>IF(S12=0,0,S12/TrAvia_act!S20*1000)</f>
        <v>20866.05892574427</v>
      </c>
      <c r="T28" s="102">
        <f>IF(T12=0,0,T12/TrAvia_act!T20*1000)</f>
        <v>21118.92989593705</v>
      </c>
      <c r="U28" s="102">
        <f>IF(U12=0,0,U12/TrAvia_act!U20*1000)</f>
        <v>21731.760629732427</v>
      </c>
      <c r="V28" s="102">
        <f>IF(V12=0,0,V12/TrAvia_act!V20*1000)</f>
        <v>16355.363426861597</v>
      </c>
      <c r="W28" s="102">
        <f>IF(W12=0,0,W12/TrAvia_act!W20*1000)</f>
        <v>17898.034536860072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27409.041595408569</v>
      </c>
      <c r="C29" s="86">
        <f>IF(C13=0,0,C13/TrAvia_act!C21*1000)</f>
        <v>31141.623807074546</v>
      </c>
      <c r="D29" s="86">
        <f>IF(D13=0,0,D13/TrAvia_act!D21*1000)</f>
        <v>33030.612287035488</v>
      </c>
      <c r="E29" s="86">
        <f>IF(E13=0,0,E13/TrAvia_act!E21*1000)</f>
        <v>32927.683241605511</v>
      </c>
      <c r="F29" s="86">
        <f>IF(F13=0,0,F13/TrAvia_act!F21*1000)</f>
        <v>30015.582602080955</v>
      </c>
      <c r="G29" s="86">
        <f>IF(G13=0,0,G13/TrAvia_act!G21*1000)</f>
        <v>24581.970440403202</v>
      </c>
      <c r="H29" s="86">
        <f>IF(H13=0,0,H13/TrAvia_act!H21*1000)</f>
        <v>18076.740749361714</v>
      </c>
      <c r="I29" s="86">
        <f>IF(I13=0,0,I13/TrAvia_act!I21*1000)</f>
        <v>15847.411882729386</v>
      </c>
      <c r="J29" s="86">
        <f>IF(J13=0,0,J13/TrAvia_act!J21*1000)</f>
        <v>15528.355480837832</v>
      </c>
      <c r="K29" s="86">
        <f>IF(K13=0,0,K13/TrAvia_act!K21*1000)</f>
        <v>12384.193962742256</v>
      </c>
      <c r="L29" s="86">
        <f>IF(L13=0,0,L13/TrAvia_act!L21*1000)</f>
        <v>17023.831864568223</v>
      </c>
      <c r="M29" s="86">
        <f>IF(M13=0,0,M13/TrAvia_act!M21*1000)</f>
        <v>14885.354965485009</v>
      </c>
      <c r="N29" s="86">
        <f>IF(N13=0,0,N13/TrAvia_act!N21*1000)</f>
        <v>14227.143276824563</v>
      </c>
      <c r="O29" s="86">
        <f>IF(O13=0,0,O13/TrAvia_act!O21*1000)</f>
        <v>15084.936865260002</v>
      </c>
      <c r="P29" s="86">
        <f>IF(P13=0,0,P13/TrAvia_act!P21*1000)</f>
        <v>14853.643806803268</v>
      </c>
      <c r="Q29" s="86">
        <f>IF(Q13=0,0,Q13/TrAvia_act!Q21*1000)</f>
        <v>14157.728182609782</v>
      </c>
      <c r="R29" s="86">
        <f>IF(R13=0,0,R13/TrAvia_act!R21*1000)</f>
        <v>13383.082262153319</v>
      </c>
      <c r="S29" s="86">
        <f>IF(S13=0,0,S13/TrAvia_act!S21*1000)</f>
        <v>12880.81296816686</v>
      </c>
      <c r="T29" s="86">
        <f>IF(T13=0,0,T13/TrAvia_act!T21*1000)</f>
        <v>12106.150854110951</v>
      </c>
      <c r="U29" s="86">
        <f>IF(U13=0,0,U13/TrAvia_act!U21*1000)</f>
        <v>12954.720602840303</v>
      </c>
      <c r="V29" s="86">
        <f>IF(V13=0,0,V13/TrAvia_act!V21*1000)</f>
        <v>18783.624337458317</v>
      </c>
      <c r="W29" s="86">
        <f>IF(W13=0,0,W13/TrAvia_act!W21*1000)</f>
        <v>19937.625562933343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145.57991095776524</v>
      </c>
      <c r="C32" s="14">
        <f>IF(C6=0,0,C6/TrAvia_act!C4*1000)</f>
        <v>164.06631594099275</v>
      </c>
      <c r="D32" s="14">
        <f>IF(D6=0,0,D6/TrAvia_act!D4*1000)</f>
        <v>174.20149282253908</v>
      </c>
      <c r="E32" s="14">
        <f>IF(E6=0,0,E6/TrAvia_act!E4*1000)</f>
        <v>173.29707376469074</v>
      </c>
      <c r="F32" s="14">
        <f>IF(F6=0,0,F6/TrAvia_act!F4*1000)</f>
        <v>152.02573253637701</v>
      </c>
      <c r="G32" s="14">
        <f>IF(G6=0,0,G6/TrAvia_act!G4*1000)</f>
        <v>145.8512845025198</v>
      </c>
      <c r="H32" s="14">
        <f>IF(H6=0,0,H6/TrAvia_act!H4*1000)</f>
        <v>128.00702427780467</v>
      </c>
      <c r="I32" s="14">
        <f>IF(I6=0,0,I6/TrAvia_act!I4*1000)</f>
        <v>136.70491921092841</v>
      </c>
      <c r="J32" s="14">
        <f>IF(J6=0,0,J6/TrAvia_act!J4*1000)</f>
        <v>128.97291890843118</v>
      </c>
      <c r="K32" s="14">
        <f>IF(K6=0,0,K6/TrAvia_act!K4*1000)</f>
        <v>91.273279807879035</v>
      </c>
      <c r="L32" s="14">
        <f>IF(L6=0,0,L6/TrAvia_act!L4*1000)</f>
        <v>130.2888870555382</v>
      </c>
      <c r="M32" s="14">
        <f>IF(M6=0,0,M6/TrAvia_act!M4*1000)</f>
        <v>116.01558899079596</v>
      </c>
      <c r="N32" s="14">
        <f>IF(N6=0,0,N6/TrAvia_act!N4*1000)</f>
        <v>93.447420002737772</v>
      </c>
      <c r="O32" s="14">
        <f>IF(O6=0,0,O6/TrAvia_act!O4*1000)</f>
        <v>96.915537820338443</v>
      </c>
      <c r="P32" s="14">
        <f>IF(P6=0,0,P6/TrAvia_act!P4*1000)</f>
        <v>103.89104830384973</v>
      </c>
      <c r="Q32" s="14">
        <f>IF(Q6=0,0,Q6/TrAvia_act!Q4*1000)</f>
        <v>103.19723828490532</v>
      </c>
      <c r="R32" s="14">
        <f>IF(R6=0,0,R6/TrAvia_act!R4*1000)</f>
        <v>95.793151510598037</v>
      </c>
      <c r="S32" s="14">
        <f>IF(S6=0,0,S6/TrAvia_act!S4*1000)</f>
        <v>101.78606846636427</v>
      </c>
      <c r="T32" s="14">
        <f>IF(T6=0,0,T6/TrAvia_act!T4*1000)</f>
        <v>100.193529922968</v>
      </c>
      <c r="U32" s="14">
        <f>IF(U6=0,0,U6/TrAvia_act!U4*1000)</f>
        <v>96.925826064605204</v>
      </c>
      <c r="V32" s="14">
        <f>IF(V6=0,0,V6/TrAvia_act!V4*1000)</f>
        <v>155.62005099923414</v>
      </c>
      <c r="W32" s="14">
        <f>IF(W6=0,0,W6/TrAvia_act!W4*1000)</f>
        <v>156.41631012870687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383.37904963150112</v>
      </c>
      <c r="C33" s="87">
        <f>IF(C7=0,0,C7/TrAvia_act!C5*1000)</f>
        <v>452.40839639737254</v>
      </c>
      <c r="D33" s="87">
        <f>IF(D7=0,0,D7/TrAvia_act!D5*1000)</f>
        <v>531.20890098277687</v>
      </c>
      <c r="E33" s="87">
        <f>IF(E7=0,0,E7/TrAvia_act!E5*1000)</f>
        <v>480.80460776764829</v>
      </c>
      <c r="F33" s="87">
        <f>IF(F7=0,0,F7/TrAvia_act!F5*1000)</f>
        <v>461.26935004537853</v>
      </c>
      <c r="G33" s="87">
        <f>IF(G7=0,0,G7/TrAvia_act!G5*1000)</f>
        <v>482.64379400002491</v>
      </c>
      <c r="H33" s="87">
        <f>IF(H7=0,0,H7/TrAvia_act!H5*1000)</f>
        <v>497.32169806505635</v>
      </c>
      <c r="I33" s="87">
        <f>IF(I7=0,0,I7/TrAvia_act!I5*1000)</f>
        <v>495.60317574210154</v>
      </c>
      <c r="J33" s="87">
        <f>IF(J7=0,0,J7/TrAvia_act!J5*1000)</f>
        <v>460.84395765583264</v>
      </c>
      <c r="K33" s="87">
        <f>IF(K7=0,0,K7/TrAvia_act!K5*1000)</f>
        <v>484.00571606261758</v>
      </c>
      <c r="L33" s="87">
        <f>IF(L7=0,0,L7/TrAvia_act!L5*1000)</f>
        <v>786.88062437996371</v>
      </c>
      <c r="M33" s="87">
        <f>IF(M7=0,0,M7/TrAvia_act!M5*1000)</f>
        <v>816.16146490177778</v>
      </c>
      <c r="N33" s="87">
        <f>IF(N7=0,0,N7/TrAvia_act!N5*1000)</f>
        <v>1485.3376932245551</v>
      </c>
      <c r="O33" s="87">
        <f>IF(O7=0,0,O7/TrAvia_act!O5*1000)</f>
        <v>1269.751436631765</v>
      </c>
      <c r="P33" s="87">
        <f>IF(P7=0,0,P7/TrAvia_act!P5*1000)</f>
        <v>1440.7254824721654</v>
      </c>
      <c r="Q33" s="87">
        <f>IF(Q7=0,0,Q7/TrAvia_act!Q5*1000)</f>
        <v>1201.0278353898482</v>
      </c>
      <c r="R33" s="87">
        <f>IF(R7=0,0,R7/TrAvia_act!R5*1000)</f>
        <v>566.63697949210473</v>
      </c>
      <c r="S33" s="87">
        <f>IF(S7=0,0,S7/TrAvia_act!S5*1000)</f>
        <v>729.21455511172906</v>
      </c>
      <c r="T33" s="87">
        <f>IF(T7=0,0,T7/TrAvia_act!T5*1000)</f>
        <v>605.99284484501186</v>
      </c>
      <c r="U33" s="87">
        <f>IF(U7=0,0,U7/TrAvia_act!U5*1000)</f>
        <v>712.36201102428811</v>
      </c>
      <c r="V33" s="87">
        <f>IF(V7=0,0,V7/TrAvia_act!V5*1000)</f>
        <v>1846.2698661517807</v>
      </c>
      <c r="W33" s="87">
        <f>IF(W7=0,0,W7/TrAvia_act!W5*1000)</f>
        <v>1804.1129795367667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143.53198278379509</v>
      </c>
      <c r="C34" s="87">
        <f>IF(C8=0,0,C8/TrAvia_act!C6*1000)</f>
        <v>159.82889738590202</v>
      </c>
      <c r="D34" s="87">
        <f>IF(D8=0,0,D8/TrAvia_act!D6*1000)</f>
        <v>168.36042566377103</v>
      </c>
      <c r="E34" s="87">
        <f>IF(E8=0,0,E8/TrAvia_act!E6*1000)</f>
        <v>167.8468043173379</v>
      </c>
      <c r="F34" s="87">
        <f>IF(F8=0,0,F8/TrAvia_act!F6*1000)</f>
        <v>147.43694280667358</v>
      </c>
      <c r="G34" s="87">
        <f>IF(G8=0,0,G8/TrAvia_act!G6*1000)</f>
        <v>139.98726530381262</v>
      </c>
      <c r="H34" s="87">
        <f>IF(H8=0,0,H8/TrAvia_act!H6*1000)</f>
        <v>121.29375620936285</v>
      </c>
      <c r="I34" s="87">
        <f>IF(I8=0,0,I8/TrAvia_act!I6*1000)</f>
        <v>133.46372326582204</v>
      </c>
      <c r="J34" s="87">
        <f>IF(J8=0,0,J8/TrAvia_act!J6*1000)</f>
        <v>129.80075279016549</v>
      </c>
      <c r="K34" s="87">
        <f>IF(K8=0,0,K8/TrAvia_act!K6*1000)</f>
        <v>89.702771939175463</v>
      </c>
      <c r="L34" s="87">
        <f>IF(L8=0,0,L8/TrAvia_act!L6*1000)</f>
        <v>129.19762042879913</v>
      </c>
      <c r="M34" s="87">
        <f>IF(M8=0,0,M8/TrAvia_act!M6*1000)</f>
        <v>118.17211108854536</v>
      </c>
      <c r="N34" s="87">
        <f>IF(N8=0,0,N8/TrAvia_act!N6*1000)</f>
        <v>97.875812882007253</v>
      </c>
      <c r="O34" s="87">
        <f>IF(O8=0,0,O8/TrAvia_act!O6*1000)</f>
        <v>105.66377891443751</v>
      </c>
      <c r="P34" s="87">
        <f>IF(P8=0,0,P8/TrAvia_act!P6*1000)</f>
        <v>119.14225159765114</v>
      </c>
      <c r="Q34" s="87">
        <f>IF(Q8=0,0,Q8/TrAvia_act!Q6*1000)</f>
        <v>122.47628564110732</v>
      </c>
      <c r="R34" s="87">
        <f>IF(R8=0,0,R8/TrAvia_act!R6*1000)</f>
        <v>115.6638837096511</v>
      </c>
      <c r="S34" s="87">
        <f>IF(S8=0,0,S8/TrAvia_act!S6*1000)</f>
        <v>129.4251012551259</v>
      </c>
      <c r="T34" s="87">
        <f>IF(T8=0,0,T8/TrAvia_act!T6*1000)</f>
        <v>133.55408324775706</v>
      </c>
      <c r="U34" s="87">
        <f>IF(U8=0,0,U8/TrAvia_act!U6*1000)</f>
        <v>125.46900539354311</v>
      </c>
      <c r="V34" s="87">
        <f>IF(V8=0,0,V8/TrAvia_act!V6*1000)</f>
        <v>154.54824966004583</v>
      </c>
      <c r="W34" s="87">
        <f>IF(W8=0,0,W8/TrAvia_act!W6*1000)</f>
        <v>143.15200722593107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136.93675333128618</v>
      </c>
      <c r="C35" s="87">
        <f>IF(C9=0,0,C9/TrAvia_act!C7*1000)</f>
        <v>156.78029615277626</v>
      </c>
      <c r="D35" s="87">
        <f>IF(D9=0,0,D9/TrAvia_act!D7*1000)</f>
        <v>167.92174961006785</v>
      </c>
      <c r="E35" s="87">
        <f>IF(E9=0,0,E9/TrAvia_act!E7*1000)</f>
        <v>167.55462933707091</v>
      </c>
      <c r="F35" s="87">
        <f>IF(F9=0,0,F9/TrAvia_act!F7*1000)</f>
        <v>145.78121714557184</v>
      </c>
      <c r="G35" s="87">
        <f>IF(G9=0,0,G9/TrAvia_act!G7*1000)</f>
        <v>141.27222247888142</v>
      </c>
      <c r="H35" s="87">
        <f>IF(H9=0,0,H9/TrAvia_act!H7*1000)</f>
        <v>122.50177395311462</v>
      </c>
      <c r="I35" s="87">
        <f>IF(I9=0,0,I9/TrAvia_act!I7*1000)</f>
        <v>127.89511973242377</v>
      </c>
      <c r="J35" s="87">
        <f>IF(J9=0,0,J9/TrAvia_act!J7*1000)</f>
        <v>115.27702991136235</v>
      </c>
      <c r="K35" s="87">
        <f>IF(K9=0,0,K9/TrAvia_act!K7*1000)</f>
        <v>83.001284859166432</v>
      </c>
      <c r="L35" s="87">
        <f>IF(L9=0,0,L9/TrAvia_act!L7*1000)</f>
        <v>121.46773855228459</v>
      </c>
      <c r="M35" s="87">
        <f>IF(M9=0,0,M9/TrAvia_act!M7*1000)</f>
        <v>109.15910200275928</v>
      </c>
      <c r="N35" s="87">
        <f>IF(N9=0,0,N9/TrAvia_act!N7*1000)</f>
        <v>83.56406434888649</v>
      </c>
      <c r="O35" s="87">
        <f>IF(O9=0,0,O9/TrAvia_act!O7*1000)</f>
        <v>81.704745171428556</v>
      </c>
      <c r="P35" s="87">
        <f>IF(P9=0,0,P9/TrAvia_act!P7*1000)</f>
        <v>81.451589742276454</v>
      </c>
      <c r="Q35" s="87">
        <f>IF(Q9=0,0,Q9/TrAvia_act!Q7*1000)</f>
        <v>77.242231165928189</v>
      </c>
      <c r="R35" s="87">
        <f>IF(R9=0,0,R9/TrAvia_act!R7*1000)</f>
        <v>69.568649699481654</v>
      </c>
      <c r="S35" s="87">
        <f>IF(S9=0,0,S9/TrAvia_act!S7*1000)</f>
        <v>68.703083196427571</v>
      </c>
      <c r="T35" s="87">
        <f>IF(T9=0,0,T9/TrAvia_act!T7*1000)</f>
        <v>64.283799560708047</v>
      </c>
      <c r="U35" s="87">
        <f>IF(U9=0,0,U9/TrAvia_act!U7*1000)</f>
        <v>64.818785011900331</v>
      </c>
      <c r="V35" s="87">
        <f>IF(V9=0,0,V9/TrAvia_act!V7*1000)</f>
        <v>153.29498401564098</v>
      </c>
      <c r="W35" s="87">
        <f>IF(W9=0,0,W9/TrAvia_act!W7*1000)</f>
        <v>177.30399116147089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565.81581114935875</v>
      </c>
      <c r="C36" s="15">
        <f>IF(C10=0,0,C10/TrAvia_act!C8*1000)</f>
        <v>612.25718353815819</v>
      </c>
      <c r="D36" s="15">
        <f>IF(D10=0,0,D10/TrAvia_act!D8*1000)</f>
        <v>645.57499072542407</v>
      </c>
      <c r="E36" s="15">
        <f>IF(E10=0,0,E10/TrAvia_act!E8*1000)</f>
        <v>662.03688171300496</v>
      </c>
      <c r="F36" s="15">
        <f>IF(F10=0,0,F10/TrAvia_act!F8*1000)</f>
        <v>617.56110334871903</v>
      </c>
      <c r="G36" s="15">
        <f>IF(G10=0,0,G10/TrAvia_act!G8*1000)</f>
        <v>621.29825781202862</v>
      </c>
      <c r="H36" s="15">
        <f>IF(H10=0,0,H10/TrAvia_act!H8*1000)</f>
        <v>574.94571408778654</v>
      </c>
      <c r="I36" s="15">
        <f>IF(I10=0,0,I10/TrAvia_act!I8*1000)</f>
        <v>527.37791750979659</v>
      </c>
      <c r="J36" s="15">
        <f>IF(J10=0,0,J10/TrAvia_act!J8*1000)</f>
        <v>503.88761427020944</v>
      </c>
      <c r="K36" s="15">
        <f>IF(K10=0,0,K10/TrAvia_act!K8*1000)</f>
        <v>400.68508365320366</v>
      </c>
      <c r="L36" s="15">
        <f>IF(L10=0,0,L10/TrAvia_act!L8*1000)</f>
        <v>481.38750852744658</v>
      </c>
      <c r="M36" s="15">
        <f>IF(M10=0,0,M10/TrAvia_act!M8*1000)</f>
        <v>404.64785315936808</v>
      </c>
      <c r="N36" s="15">
        <f>IF(N10=0,0,N10/TrAvia_act!N8*1000)</f>
        <v>320.33233644410666</v>
      </c>
      <c r="O36" s="15">
        <f>IF(O10=0,0,O10/TrAvia_act!O8*1000)</f>
        <v>326.62869446786152</v>
      </c>
      <c r="P36" s="15">
        <f>IF(P10=0,0,P10/TrAvia_act!P8*1000)</f>
        <v>294.71217987892561</v>
      </c>
      <c r="Q36" s="15">
        <f>IF(Q10=0,0,Q10/TrAvia_act!Q8*1000)</f>
        <v>289.29334573452087</v>
      </c>
      <c r="R36" s="15">
        <f>IF(R10=0,0,R10/TrAvia_act!R8*1000)</f>
        <v>241.08192874436958</v>
      </c>
      <c r="S36" s="15">
        <f>IF(S10=0,0,S10/TrAvia_act!S8*1000)</f>
        <v>234.39453527175775</v>
      </c>
      <c r="T36" s="15">
        <f>IF(T10=0,0,T10/TrAvia_act!T8*1000)</f>
        <v>242.57922414257041</v>
      </c>
      <c r="U36" s="15">
        <f>IF(U10=0,0,U10/TrAvia_act!U8*1000)</f>
        <v>251.62773059266257</v>
      </c>
      <c r="V36" s="15">
        <f>IF(V10=0,0,V10/TrAvia_act!V8*1000)</f>
        <v>396.02744908292811</v>
      </c>
      <c r="W36" s="15">
        <f>IF(W10=0,0,W10/TrAvia_act!W8*1000)</f>
        <v>451.73907384779989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3179.4241204881887</v>
      </c>
      <c r="C37" s="101">
        <f>IF(C11=0,0,C11/TrAvia_act!C9*1000)</f>
        <v>3686.7201375460645</v>
      </c>
      <c r="D37" s="101">
        <f>IF(D11=0,0,D11/TrAvia_act!D9*1000)</f>
        <v>4032.6593009562243</v>
      </c>
      <c r="E37" s="101">
        <f>IF(E11=0,0,E11/TrAvia_act!E9*1000)</f>
        <v>3274.4799404570585</v>
      </c>
      <c r="F37" s="101">
        <f>IF(F11=0,0,F11/TrAvia_act!F9*1000)</f>
        <v>3598.3753675571029</v>
      </c>
      <c r="G37" s="101">
        <f>IF(G11=0,0,G11/TrAvia_act!G9*1000)</f>
        <v>3662.1691053128352</v>
      </c>
      <c r="H37" s="101">
        <f>IF(H11=0,0,H11/TrAvia_act!H9*1000)</f>
        <v>4562.4018253556478</v>
      </c>
      <c r="I37" s="101">
        <f>IF(I11=0,0,I11/TrAvia_act!I9*1000)</f>
        <v>3821.4844307509502</v>
      </c>
      <c r="J37" s="101">
        <f>IF(J11=0,0,J11/TrAvia_act!J9*1000)</f>
        <v>3465.9319874415664</v>
      </c>
      <c r="K37" s="101">
        <f>IF(K11=0,0,K11/TrAvia_act!K9*1000)</f>
        <v>3218.6590826770203</v>
      </c>
      <c r="L37" s="101">
        <f>IF(L11=0,0,L11/TrAvia_act!L9*1000)</f>
        <v>3514.6170976732151</v>
      </c>
      <c r="M37" s="101">
        <f>IF(M11=0,0,M11/TrAvia_act!M9*1000)</f>
        <v>2449.3294909413144</v>
      </c>
      <c r="N37" s="101">
        <f>IF(N11=0,0,N11/TrAvia_act!N9*1000)</f>
        <v>3954.5804442178428</v>
      </c>
      <c r="O37" s="101">
        <f>IF(O11=0,0,O11/TrAvia_act!O9*1000)</f>
        <v>3856.7389028883358</v>
      </c>
      <c r="P37" s="101">
        <f>IF(P11=0,0,P11/TrAvia_act!P9*1000)</f>
        <v>3600.025211064316</v>
      </c>
      <c r="Q37" s="101">
        <f>IF(Q11=0,0,Q11/TrAvia_act!Q9*1000)</f>
        <v>3273.956726446012</v>
      </c>
      <c r="R37" s="101">
        <f>IF(R11=0,0,R11/TrAvia_act!R9*1000)</f>
        <v>1373.5876158578587</v>
      </c>
      <c r="S37" s="101">
        <f>IF(S11=0,0,S11/TrAvia_act!S9*1000)</f>
        <v>1941.3538900853807</v>
      </c>
      <c r="T37" s="101">
        <f>IF(T11=0,0,T11/TrAvia_act!T9*1000)</f>
        <v>1812.936047939819</v>
      </c>
      <c r="U37" s="101">
        <f>IF(U11=0,0,U11/TrAvia_act!U9*1000)</f>
        <v>1843.8451914501566</v>
      </c>
      <c r="V37" s="101">
        <f>IF(V11=0,0,V11/TrAvia_act!V9*1000)</f>
        <v>1668.0269129604058</v>
      </c>
      <c r="W37" s="101">
        <f>IF(W11=0,0,W11/TrAvia_act!W9*1000)</f>
        <v>2409.3326132730776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830.50591436842694</v>
      </c>
      <c r="C38" s="101">
        <f>IF(C12=0,0,C12/TrAvia_act!C10*1000)</f>
        <v>880.87187304767428</v>
      </c>
      <c r="D38" s="101">
        <f>IF(D12=0,0,D12/TrAvia_act!D10*1000)</f>
        <v>991.62201538310489</v>
      </c>
      <c r="E38" s="101">
        <f>IF(E12=0,0,E12/TrAvia_act!E10*1000)</f>
        <v>974.63707008874883</v>
      </c>
      <c r="F38" s="101">
        <f>IF(F12=0,0,F12/TrAvia_act!F10*1000)</f>
        <v>995.69397268946841</v>
      </c>
      <c r="G38" s="101">
        <f>IF(G12=0,0,G12/TrAvia_act!G10*1000)</f>
        <v>981.60600317862861</v>
      </c>
      <c r="H38" s="101">
        <f>IF(H12=0,0,H12/TrAvia_act!H10*1000)</f>
        <v>972.62332625930412</v>
      </c>
      <c r="I38" s="101">
        <f>IF(I12=0,0,I12/TrAvia_act!I10*1000)</f>
        <v>1111.5103149741935</v>
      </c>
      <c r="J38" s="101">
        <f>IF(J12=0,0,J12/TrAvia_act!J10*1000)</f>
        <v>1030.8613025874583</v>
      </c>
      <c r="K38" s="101">
        <f>IF(K12=0,0,K12/TrAvia_act!K10*1000)</f>
        <v>753.742635741762</v>
      </c>
      <c r="L38" s="101">
        <f>IF(L12=0,0,L12/TrAvia_act!L10*1000)</f>
        <v>1012.654534223518</v>
      </c>
      <c r="M38" s="101">
        <f>IF(M12=0,0,M12/TrAvia_act!M10*1000)</f>
        <v>873.35076076489077</v>
      </c>
      <c r="N38" s="101">
        <f>IF(N12=0,0,N12/TrAvia_act!N10*1000)</f>
        <v>680.55812332555195</v>
      </c>
      <c r="O38" s="101">
        <f>IF(O12=0,0,O12/TrAvia_act!O10*1000)</f>
        <v>766.92023332268695</v>
      </c>
      <c r="P38" s="101">
        <f>IF(P12=0,0,P12/TrAvia_act!P10*1000)</f>
        <v>790.94442051404872</v>
      </c>
      <c r="Q38" s="101">
        <f>IF(Q12=0,0,Q12/TrAvia_act!Q10*1000)</f>
        <v>902.41486866701302</v>
      </c>
      <c r="R38" s="101">
        <f>IF(R12=0,0,R12/TrAvia_act!R10*1000)</f>
        <v>775.69949703078328</v>
      </c>
      <c r="S38" s="101">
        <f>IF(S12=0,0,S12/TrAvia_act!S10*1000)</f>
        <v>976.64109673216706</v>
      </c>
      <c r="T38" s="101">
        <f>IF(T12=0,0,T12/TrAvia_act!T10*1000)</f>
        <v>969.10843627269594</v>
      </c>
      <c r="U38" s="101">
        <f>IF(U12=0,0,U12/TrAvia_act!U10*1000)</f>
        <v>969.54328412487689</v>
      </c>
      <c r="V38" s="101">
        <f>IF(V12=0,0,V12/TrAvia_act!V10*1000)</f>
        <v>834.50677738149079</v>
      </c>
      <c r="W38" s="101">
        <f>IF(W12=0,0,W12/TrAvia_act!W10*1000)</f>
        <v>932.38309204792154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396.25367639948456</v>
      </c>
      <c r="C39" s="88">
        <f>IF(C13=0,0,C13/TrAvia_act!C11*1000)</f>
        <v>429.77202579521457</v>
      </c>
      <c r="D39" s="88">
        <f>IF(D13=0,0,D13/TrAvia_act!D11*1000)</f>
        <v>482.66685232864768</v>
      </c>
      <c r="E39" s="88">
        <f>IF(E13=0,0,E13/TrAvia_act!E11*1000)</f>
        <v>529.4638099415231</v>
      </c>
      <c r="F39" s="88">
        <f>IF(F13=0,0,F13/TrAvia_act!F11*1000)</f>
        <v>497.21622227743967</v>
      </c>
      <c r="G39" s="88">
        <f>IF(G13=0,0,G13/TrAvia_act!G11*1000)</f>
        <v>432.99499704865792</v>
      </c>
      <c r="H39" s="88">
        <f>IF(H13=0,0,H13/TrAvia_act!H11*1000)</f>
        <v>329.38246932936477</v>
      </c>
      <c r="I39" s="88">
        <f>IF(I13=0,0,I13/TrAvia_act!I11*1000)</f>
        <v>293.65226017233419</v>
      </c>
      <c r="J39" s="88">
        <f>IF(J13=0,0,J13/TrAvia_act!J11*1000)</f>
        <v>293.66464638031431</v>
      </c>
      <c r="K39" s="88">
        <f>IF(K13=0,0,K13/TrAvia_act!K11*1000)</f>
        <v>207.66942332500548</v>
      </c>
      <c r="L39" s="88">
        <f>IF(L13=0,0,L13/TrAvia_act!L11*1000)</f>
        <v>280.79479536919342</v>
      </c>
      <c r="M39" s="88">
        <f>IF(M13=0,0,M13/TrAvia_act!M11*1000)</f>
        <v>235.26952136074786</v>
      </c>
      <c r="N39" s="88">
        <f>IF(N13=0,0,N13/TrAvia_act!N11*1000)</f>
        <v>206.74406042874207</v>
      </c>
      <c r="O39" s="88">
        <f>IF(O13=0,0,O13/TrAvia_act!O11*1000)</f>
        <v>217.5635123066188</v>
      </c>
      <c r="P39" s="88">
        <f>IF(P13=0,0,P13/TrAvia_act!P11*1000)</f>
        <v>184.73255671484176</v>
      </c>
      <c r="Q39" s="88">
        <f>IF(Q13=0,0,Q13/TrAvia_act!Q11*1000)</f>
        <v>176.25806084284284</v>
      </c>
      <c r="R39" s="88">
        <f>IF(R13=0,0,R13/TrAvia_act!R11*1000)</f>
        <v>153.01098826495135</v>
      </c>
      <c r="S39" s="88">
        <f>IF(S13=0,0,S13/TrAvia_act!S11*1000)</f>
        <v>151.805491155049</v>
      </c>
      <c r="T39" s="88">
        <f>IF(T13=0,0,T13/TrAvia_act!T11*1000)</f>
        <v>139.93697016317847</v>
      </c>
      <c r="U39" s="88">
        <f>IF(U13=0,0,U13/TrAvia_act!U11*1000)</f>
        <v>141.54610296161857</v>
      </c>
      <c r="V39" s="88">
        <f>IF(V13=0,0,V13/TrAvia_act!V11*1000)</f>
        <v>309.20089601011574</v>
      </c>
      <c r="W39" s="88">
        <f>IF(W13=0,0,W13/TrAvia_act!W11*1000)</f>
        <v>343.09946792542758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19017.11969429511</v>
      </c>
      <c r="C41" s="54">
        <f>IF(C3=0,0,C3/TrAvia_act!C23*1000000)</f>
        <v>21580.776578096717</v>
      </c>
      <c r="D41" s="54">
        <f>IF(D3=0,0,D3/TrAvia_act!D23*1000000)</f>
        <v>23197.753878946161</v>
      </c>
      <c r="E41" s="54">
        <f>IF(E3=0,0,E3/TrAvia_act!E23*1000000)</f>
        <v>22279.127316626898</v>
      </c>
      <c r="F41" s="54">
        <f>IF(F3=0,0,F3/TrAvia_act!F23*1000000)</f>
        <v>21061.959316165336</v>
      </c>
      <c r="G41" s="54">
        <f>IF(G3=0,0,G3/TrAvia_act!G23*1000000)</f>
        <v>21054.626452665678</v>
      </c>
      <c r="H41" s="54">
        <f>IF(H3=0,0,H3/TrAvia_act!H23*1000000)</f>
        <v>20600.914740907629</v>
      </c>
      <c r="I41" s="54">
        <f>IF(I3=0,0,I3/TrAvia_act!I23*1000000)</f>
        <v>22940.618763934646</v>
      </c>
      <c r="J41" s="54">
        <f>IF(J3=0,0,J3/TrAvia_act!J23*1000000)</f>
        <v>21098.096986612436</v>
      </c>
      <c r="K41" s="54">
        <f>IF(K3=0,0,K3/TrAvia_act!K23*1000000)</f>
        <v>15497.929413335847</v>
      </c>
      <c r="L41" s="54">
        <f>IF(L3=0,0,L3/TrAvia_act!L23*1000000)</f>
        <v>22028.316727514994</v>
      </c>
      <c r="M41" s="54">
        <f>IF(M3=0,0,M3/TrAvia_act!M23*1000000)</f>
        <v>20331.850625481435</v>
      </c>
      <c r="N41" s="54">
        <f>IF(N3=0,0,N3/TrAvia_act!N23*1000000)</f>
        <v>17568.498697065828</v>
      </c>
      <c r="O41" s="54">
        <f>IF(O3=0,0,O3/TrAvia_act!O23*1000000)</f>
        <v>19180.656429222756</v>
      </c>
      <c r="P41" s="54">
        <f>IF(P3=0,0,P3/TrAvia_act!P23*1000000)</f>
        <v>20869.767570445976</v>
      </c>
      <c r="Q41" s="54">
        <f>IF(Q3=0,0,Q3/TrAvia_act!Q23*1000000)</f>
        <v>22375.71822304148</v>
      </c>
      <c r="R41" s="54">
        <f>IF(R3=0,0,R3/TrAvia_act!R23*1000000)</f>
        <v>21262.710247213265</v>
      </c>
      <c r="S41" s="54">
        <f>IF(S3=0,0,S3/TrAvia_act!S23*1000000)</f>
        <v>24241.614438683038</v>
      </c>
      <c r="T41" s="54">
        <f>IF(T3=0,0,T3/TrAvia_act!T23*1000000)</f>
        <v>24999.001636375953</v>
      </c>
      <c r="U41" s="54">
        <f>IF(U3=0,0,U3/TrAvia_act!U23*1000000)</f>
        <v>24668.301753319673</v>
      </c>
      <c r="V41" s="54">
        <f>IF(V3=0,0,V3/TrAvia_act!V23*1000000)</f>
        <v>25378.46791954826</v>
      </c>
      <c r="W41" s="54">
        <f>IF(W3=0,0,W3/TrAvia_act!W23*1000000)</f>
        <v>29563.70710069063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19023.808543405819</v>
      </c>
      <c r="C42" s="11">
        <f>IF(C6=0,0,C6/TrAvia_act!C24*1000000)</f>
        <v>21587.66891212478</v>
      </c>
      <c r="D42" s="11">
        <f>IF(D6=0,0,D6/TrAvia_act!D24*1000000)</f>
        <v>23153.998579689836</v>
      </c>
      <c r="E42" s="11">
        <f>IF(E6=0,0,E6/TrAvia_act!E24*1000000)</f>
        <v>22198.926605114659</v>
      </c>
      <c r="F42" s="11">
        <f>IF(F6=0,0,F6/TrAvia_act!F24*1000000)</f>
        <v>20917.582623866583</v>
      </c>
      <c r="G42" s="11">
        <f>IF(G6=0,0,G6/TrAvia_act!G24*1000000)</f>
        <v>21046.253370357361</v>
      </c>
      <c r="H42" s="11">
        <f>IF(H6=0,0,H6/TrAvia_act!H24*1000000)</f>
        <v>20656.040051182343</v>
      </c>
      <c r="I42" s="11">
        <f>IF(I6=0,0,I6/TrAvia_act!I24*1000000)</f>
        <v>23016.175989829862</v>
      </c>
      <c r="J42" s="11">
        <f>IF(J6=0,0,J6/TrAvia_act!J24*1000000)</f>
        <v>21136.146233790689</v>
      </c>
      <c r="K42" s="11">
        <f>IF(K6=0,0,K6/TrAvia_act!K24*1000000)</f>
        <v>15555.838702996749</v>
      </c>
      <c r="L42" s="11">
        <f>IF(L6=0,0,L6/TrAvia_act!L24*1000000)</f>
        <v>22083.251396300082</v>
      </c>
      <c r="M42" s="11">
        <f>IF(M6=0,0,M6/TrAvia_act!M24*1000000)</f>
        <v>20402.940743685918</v>
      </c>
      <c r="N42" s="11">
        <f>IF(N6=0,0,N6/TrAvia_act!N24*1000000)</f>
        <v>17525.429943213039</v>
      </c>
      <c r="O42" s="11">
        <f>IF(O6=0,0,O6/TrAvia_act!O24*1000000)</f>
        <v>19128.100700553758</v>
      </c>
      <c r="P42" s="11">
        <f>IF(P6=0,0,P6/TrAvia_act!P24*1000000)</f>
        <v>20804.144884628211</v>
      </c>
      <c r="Q42" s="11">
        <f>IF(Q6=0,0,Q6/TrAvia_act!Q24*1000000)</f>
        <v>22300.009058239451</v>
      </c>
      <c r="R42" s="11">
        <f>IF(R6=0,0,R6/TrAvia_act!R24*1000000)</f>
        <v>21193.426999940883</v>
      </c>
      <c r="S42" s="11">
        <f>IF(S6=0,0,S6/TrAvia_act!S24*1000000)</f>
        <v>24155.678585380083</v>
      </c>
      <c r="T42" s="11">
        <f>IF(T6=0,0,T6/TrAvia_act!T24*1000000)</f>
        <v>24974.622275688391</v>
      </c>
      <c r="U42" s="11">
        <f>IF(U6=0,0,U6/TrAvia_act!U24*1000000)</f>
        <v>24641.974759891964</v>
      </c>
      <c r="V42" s="11">
        <f>IF(V6=0,0,V6/TrAvia_act!V24*1000000)</f>
        <v>25112.585461148024</v>
      </c>
      <c r="W42" s="11">
        <f>IF(W6=0,0,W6/TrAvia_act!W24*1000000)</f>
        <v>29313.755970745933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6565.1089557803589</v>
      </c>
      <c r="C43" s="84">
        <f>IF(C7=0,0,C7/TrAvia_act!C25*1000000)</f>
        <v>7554.5676100402688</v>
      </c>
      <c r="D43" s="84">
        <f>IF(D7=0,0,D7/TrAvia_act!D25*1000000)</f>
        <v>8497.5372395465165</v>
      </c>
      <c r="E43" s="84">
        <f>IF(E7=0,0,E7/TrAvia_act!E25*1000000)</f>
        <v>7339.3552339583075</v>
      </c>
      <c r="F43" s="84">
        <f>IF(F7=0,0,F7/TrAvia_act!F25*1000000)</f>
        <v>7594.781889815139</v>
      </c>
      <c r="G43" s="84">
        <f>IF(G7=0,0,G7/TrAvia_act!G25*1000000)</f>
        <v>7575.0344713727773</v>
      </c>
      <c r="H43" s="84">
        <f>IF(H7=0,0,H7/TrAvia_act!H25*1000000)</f>
        <v>9799.6020354786378</v>
      </c>
      <c r="I43" s="84">
        <f>IF(I7=0,0,I7/TrAvia_act!I25*1000000)</f>
        <v>8917.0424059102806</v>
      </c>
      <c r="J43" s="84">
        <f>IF(J7=0,0,J7/TrAvia_act!J25*1000000)</f>
        <v>7582.4978397407067</v>
      </c>
      <c r="K43" s="84">
        <f>IF(K7=0,0,K7/TrAvia_act!K25*1000000)</f>
        <v>7083.9672348963122</v>
      </c>
      <c r="L43" s="84">
        <f>IF(L7=0,0,L7/TrAvia_act!L25*1000000)</f>
        <v>7862.9760327093427</v>
      </c>
      <c r="M43" s="84">
        <f>IF(M7=0,0,M7/TrAvia_act!M25*1000000)</f>
        <v>4980.3570659930429</v>
      </c>
      <c r="N43" s="84">
        <f>IF(N7=0,0,N7/TrAvia_act!N25*1000000)</f>
        <v>8530.8922972721521</v>
      </c>
      <c r="O43" s="84">
        <f>IF(O7=0,0,O7/TrAvia_act!O25*1000000)</f>
        <v>9078.2012894740219</v>
      </c>
      <c r="P43" s="84">
        <f>IF(P7=0,0,P7/TrAvia_act!P25*1000000)</f>
        <v>9758.3838087584591</v>
      </c>
      <c r="Q43" s="84">
        <f>IF(Q7=0,0,Q7/TrAvia_act!Q25*1000000)</f>
        <v>9848.2107781219984</v>
      </c>
      <c r="R43" s="84">
        <f>IF(R7=0,0,R7/TrAvia_act!R25*1000000)</f>
        <v>5039.1745557302083</v>
      </c>
      <c r="S43" s="84">
        <f>IF(S7=0,0,S7/TrAvia_act!S25*1000000)</f>
        <v>6880.9499930302527</v>
      </c>
      <c r="T43" s="84">
        <f>IF(T7=0,0,T7/TrAvia_act!T25*1000000)</f>
        <v>6559.9726268382165</v>
      </c>
      <c r="U43" s="84">
        <f>IF(U7=0,0,U7/TrAvia_act!U25*1000000)</f>
        <v>7401.3591771473275</v>
      </c>
      <c r="V43" s="84">
        <f>IF(V7=0,0,V7/TrAvia_act!V25*1000000)</f>
        <v>6006.1520035349695</v>
      </c>
      <c r="W43" s="84">
        <f>IF(W7=0,0,W7/TrAvia_act!W25*1000000)</f>
        <v>8784.8552091475085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14099.712488062363</v>
      </c>
      <c r="C44" s="84">
        <f>IF(C8=0,0,C8/TrAvia_act!C26*1000000)</f>
        <v>16399.529414600041</v>
      </c>
      <c r="D44" s="84">
        <f>IF(D8=0,0,D8/TrAvia_act!D26*1000000)</f>
        <v>17724.29128665178</v>
      </c>
      <c r="E44" s="84">
        <f>IF(E8=0,0,E8/TrAvia_act!E26*1000000)</f>
        <v>18094.822353887099</v>
      </c>
      <c r="F44" s="84">
        <f>IF(F8=0,0,F8/TrAvia_act!F26*1000000)</f>
        <v>16811.686708360463</v>
      </c>
      <c r="G44" s="84">
        <f>IF(G8=0,0,G8/TrAvia_act!G26*1000000)</f>
        <v>17283.512640079702</v>
      </c>
      <c r="H44" s="84">
        <f>IF(H8=0,0,H8/TrAvia_act!H26*1000000)</f>
        <v>16725.180421723206</v>
      </c>
      <c r="I44" s="84">
        <f>IF(I8=0,0,I8/TrAvia_act!I26*1000000)</f>
        <v>19157.735875462891</v>
      </c>
      <c r="J44" s="84">
        <f>IF(J8=0,0,J8/TrAvia_act!J26*1000000)</f>
        <v>17347.781582828145</v>
      </c>
      <c r="K44" s="84">
        <f>IF(K8=0,0,K8/TrAvia_act!K26*1000000)</f>
        <v>12234.920590307884</v>
      </c>
      <c r="L44" s="84">
        <f>IF(L8=0,0,L8/TrAvia_act!L26*1000000)</f>
        <v>17159.134919469652</v>
      </c>
      <c r="M44" s="84">
        <f>IF(M8=0,0,M8/TrAvia_act!M26*1000000)</f>
        <v>15363.828256110073</v>
      </c>
      <c r="N44" s="84">
        <f>IF(N8=0,0,N8/TrAvia_act!N26*1000000)</f>
        <v>12726.690848233731</v>
      </c>
      <c r="O44" s="84">
        <f>IF(O8=0,0,O8/TrAvia_act!O26*1000000)</f>
        <v>13882.833732025922</v>
      </c>
      <c r="P44" s="84">
        <f>IF(P8=0,0,P8/TrAvia_act!P26*1000000)</f>
        <v>15324.962079155903</v>
      </c>
      <c r="Q44" s="84">
        <f>IF(Q8=0,0,Q8/TrAvia_act!Q26*1000000)</f>
        <v>16699.451112441213</v>
      </c>
      <c r="R44" s="84">
        <f>IF(R8=0,0,R8/TrAvia_act!R26*1000000)</f>
        <v>16218.168418912146</v>
      </c>
      <c r="S44" s="84">
        <f>IF(S8=0,0,S8/TrAvia_act!S26*1000000)</f>
        <v>18905.804151664757</v>
      </c>
      <c r="T44" s="84">
        <f>IF(T8=0,0,T8/TrAvia_act!T26*1000000)</f>
        <v>19776.728376062423</v>
      </c>
      <c r="U44" s="84">
        <f>IF(U8=0,0,U8/TrAvia_act!U26*1000000)</f>
        <v>19182.476980078871</v>
      </c>
      <c r="V44" s="84">
        <f>IF(V8=0,0,V8/TrAvia_act!V26*1000000)</f>
        <v>17144.094865293326</v>
      </c>
      <c r="W44" s="84">
        <f>IF(W8=0,0,W8/TrAvia_act!W26*1000000)</f>
        <v>20966.827828619986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106252.57895623513</v>
      </c>
      <c r="C45" s="84">
        <f>IF(C9=0,0,C9/TrAvia_act!C27*1000000)</f>
        <v>120722.12853078554</v>
      </c>
      <c r="D45" s="84">
        <f>IF(D9=0,0,D9/TrAvia_act!D27*1000000)</f>
        <v>128044.89087239512</v>
      </c>
      <c r="E45" s="84">
        <f>IF(E9=0,0,E9/TrAvia_act!E27*1000000)</f>
        <v>127645.88106067406</v>
      </c>
      <c r="F45" s="84">
        <f>IF(F9=0,0,F9/TrAvia_act!F27*1000000)</f>
        <v>116356.97108355838</v>
      </c>
      <c r="G45" s="84">
        <f>IF(G9=0,0,G9/TrAvia_act!G27*1000000)</f>
        <v>106039.03420869693</v>
      </c>
      <c r="H45" s="84">
        <f>IF(H9=0,0,H9/TrAvia_act!H27*1000000)</f>
        <v>89219.557463539284</v>
      </c>
      <c r="I45" s="84">
        <f>IF(I9=0,0,I9/TrAvia_act!I27*1000000)</f>
        <v>83313.082213130358</v>
      </c>
      <c r="J45" s="84">
        <f>IF(J9=0,0,J9/TrAvia_act!J27*1000000)</f>
        <v>85411.483645159213</v>
      </c>
      <c r="K45" s="84">
        <f>IF(K9=0,0,K9/TrAvia_act!K27*1000000)</f>
        <v>65607.144601231383</v>
      </c>
      <c r="L45" s="84">
        <f>IF(L9=0,0,L9/TrAvia_act!L27*1000000)</f>
        <v>90447.341157394723</v>
      </c>
      <c r="M45" s="84">
        <f>IF(M9=0,0,M9/TrAvia_act!M27*1000000)</f>
        <v>78125.872980978646</v>
      </c>
      <c r="N45" s="84">
        <f>IF(N9=0,0,N9/TrAvia_act!N27*1000000)</f>
        <v>71350.29714400087</v>
      </c>
      <c r="O45" s="84">
        <f>IF(O9=0,0,O9/TrAvia_act!O27*1000000)</f>
        <v>76990.876102779643</v>
      </c>
      <c r="P45" s="84">
        <f>IF(P9=0,0,P9/TrAvia_act!P27*1000000)</f>
        <v>76225.227208540498</v>
      </c>
      <c r="Q45" s="84">
        <f>IF(Q9=0,0,Q9/TrAvia_act!Q27*1000000)</f>
        <v>73842.979789922261</v>
      </c>
      <c r="R45" s="84">
        <f>IF(R9=0,0,R9/TrAvia_act!R27*1000000)</f>
        <v>69892.961883366195</v>
      </c>
      <c r="S45" s="84">
        <f>IF(S9=0,0,S9/TrAvia_act!S27*1000000)</f>
        <v>68716.547244687681</v>
      </c>
      <c r="T45" s="84">
        <f>IF(T9=0,0,T9/TrAvia_act!T27*1000000)</f>
        <v>64894.170029145505</v>
      </c>
      <c r="U45" s="84">
        <f>IF(U9=0,0,U9/TrAvia_act!U27*1000000)</f>
        <v>68291.070983034529</v>
      </c>
      <c r="V45" s="84">
        <f>IF(V9=0,0,V9/TrAvia_act!V27*1000000)</f>
        <v>103525.85475130117</v>
      </c>
      <c r="W45" s="84">
        <f>IF(W9=0,0,W9/TrAvia_act!W27*1000000)</f>
        <v>105612.9933102769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18666.984032044664</v>
      </c>
      <c r="C46" s="13">
        <f>IF(C10=0,0,C10/TrAvia_act!C28*1000000)</f>
        <v>21189.487527155095</v>
      </c>
      <c r="D46" s="13">
        <f>IF(D10=0,0,D10/TrAvia_act!D28*1000000)</f>
        <v>26458.713538460506</v>
      </c>
      <c r="E46" s="13">
        <f>IF(E10=0,0,E10/TrAvia_act!E28*1000000)</f>
        <v>28378.752796617609</v>
      </c>
      <c r="F46" s="13">
        <f>IF(F10=0,0,F10/TrAvia_act!F28*1000000)</f>
        <v>28730.611130785164</v>
      </c>
      <c r="G46" s="13">
        <f>IF(G10=0,0,G10/TrAvia_act!G28*1000000)</f>
        <v>21389.357548498418</v>
      </c>
      <c r="H46" s="13">
        <f>IF(H10=0,0,H10/TrAvia_act!H28*1000000)</f>
        <v>19015.181876230508</v>
      </c>
      <c r="I46" s="13">
        <f>IF(I10=0,0,I10/TrAvia_act!I28*1000000)</f>
        <v>20337.546695312471</v>
      </c>
      <c r="J46" s="13">
        <f>IF(J10=0,0,J10/TrAvia_act!J28*1000000)</f>
        <v>19640.835533966168</v>
      </c>
      <c r="K46" s="13">
        <f>IF(K10=0,0,K10/TrAvia_act!K28*1000000)</f>
        <v>13514.016229963616</v>
      </c>
      <c r="L46" s="13">
        <f>IF(L10=0,0,L10/TrAvia_act!L28*1000000)</f>
        <v>20341.028139659873</v>
      </c>
      <c r="M46" s="13">
        <f>IF(M10=0,0,M10/TrAvia_act!M28*1000000)</f>
        <v>17889.105089533889</v>
      </c>
      <c r="N46" s="13">
        <f>IF(N10=0,0,N10/TrAvia_act!N28*1000000)</f>
        <v>19073.817644092967</v>
      </c>
      <c r="O46" s="13">
        <f>IF(O10=0,0,O10/TrAvia_act!O28*1000000)</f>
        <v>21113.325223228905</v>
      </c>
      <c r="P46" s="13">
        <f>IF(P10=0,0,P10/TrAvia_act!P28*1000000)</f>
        <v>23556.48093718199</v>
      </c>
      <c r="Q46" s="13">
        <f>IF(Q10=0,0,Q10/TrAvia_act!Q28*1000000)</f>
        <v>25469.860803947169</v>
      </c>
      <c r="R46" s="13">
        <f>IF(R10=0,0,R10/TrAvia_act!R28*1000000)</f>
        <v>24821.754132713711</v>
      </c>
      <c r="S46" s="13">
        <f>IF(S10=0,0,S10/TrAvia_act!S28*1000000)</f>
        <v>28255.335695319151</v>
      </c>
      <c r="T46" s="13">
        <f>IF(T10=0,0,T10/TrAvia_act!T28*1000000)</f>
        <v>26224.431330010524</v>
      </c>
      <c r="U46" s="13">
        <f>IF(U10=0,0,U10/TrAvia_act!U28*1000000)</f>
        <v>26157.228370216202</v>
      </c>
      <c r="V46" s="13">
        <f>IF(V10=0,0,V10/TrAvia_act!V28*1000000)</f>
        <v>29564.327770120522</v>
      </c>
      <c r="W46" s="13">
        <f>IF(W10=0,0,W10/TrAvia_act!W28*1000000)</f>
        <v>32888.552470923787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6276.2962434710389</v>
      </c>
      <c r="C47" s="102">
        <f>IF(C11=0,0,C11/TrAvia_act!C29*1000000)</f>
        <v>7222.2265664298939</v>
      </c>
      <c r="D47" s="102">
        <f>IF(D11=0,0,D11/TrAvia_act!D29*1000000)</f>
        <v>8123.7130129216021</v>
      </c>
      <c r="E47" s="102">
        <f>IF(E11=0,0,E11/TrAvia_act!E29*1000000)</f>
        <v>7016.4818275916423</v>
      </c>
      <c r="F47" s="102">
        <f>IF(F11=0,0,F11/TrAvia_act!F29*1000000)</f>
        <v>7260.6717369190583</v>
      </c>
      <c r="G47" s="102">
        <f>IF(G11=0,0,G11/TrAvia_act!G29*1000000)</f>
        <v>7241.7930482296752</v>
      </c>
      <c r="H47" s="102">
        <f>IF(H11=0,0,H11/TrAvia_act!H29*1000000)</f>
        <v>9394.7489121516555</v>
      </c>
      <c r="I47" s="102">
        <f>IF(I11=0,0,I11/TrAvia_act!I29*1000000)</f>
        <v>8572.604981385286</v>
      </c>
      <c r="J47" s="102">
        <f>IF(J11=0,0,J11/TrAvia_act!J29*1000000)</f>
        <v>7310.0360299380563</v>
      </c>
      <c r="K47" s="102">
        <f>IF(K11=0,0,K11/TrAvia_act!K29*1000000)</f>
        <v>6848.555948553455</v>
      </c>
      <c r="L47" s="102">
        <f>IF(L11=0,0,L11/TrAvia_act!L29*1000000)</f>
        <v>7622.97785317734</v>
      </c>
      <c r="M47" s="102">
        <f>IF(M11=0,0,M11/TrAvia_act!M29*1000000)</f>
        <v>4781.522244945394</v>
      </c>
      <c r="N47" s="102">
        <f>IF(N11=0,0,N11/TrAvia_act!N29*1000000)</f>
        <v>8110.8831585324951</v>
      </c>
      <c r="O47" s="102">
        <f>IF(O11=0,0,O11/TrAvia_act!O29*1000000)</f>
        <v>8670.9325817792487</v>
      </c>
      <c r="P47" s="102">
        <f>IF(P11=0,0,P11/TrAvia_act!P29*1000000)</f>
        <v>9363.456776187526</v>
      </c>
      <c r="Q47" s="102">
        <f>IF(Q11=0,0,Q11/TrAvia_act!Q29*1000000)</f>
        <v>9493.0979229560344</v>
      </c>
      <c r="R47" s="102">
        <f>IF(R11=0,0,R11/TrAvia_act!R29*1000000)</f>
        <v>4879.8035318315151</v>
      </c>
      <c r="S47" s="102">
        <f>IF(S11=0,0,S11/TrAvia_act!S29*1000000)</f>
        <v>6693.9681706282172</v>
      </c>
      <c r="T47" s="102">
        <f>IF(T11=0,0,T11/TrAvia_act!T29*1000000)</f>
        <v>6411.0560409498476</v>
      </c>
      <c r="U47" s="102">
        <f>IF(U11=0,0,U11/TrAvia_act!U29*1000000)</f>
        <v>7230.6262041757218</v>
      </c>
      <c r="V47" s="102">
        <f>IF(V11=0,0,V11/TrAvia_act!V29*1000000)</f>
        <v>5867.60337170406</v>
      </c>
      <c r="W47" s="102">
        <f>IF(W11=0,0,W11/TrAvia_act!W29*1000000)</f>
        <v>8582.2080451490492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11949.006533273137</v>
      </c>
      <c r="C48" s="102">
        <f>IF(C12=0,0,C12/TrAvia_act!C30*1000000)</f>
        <v>13577.119727236208</v>
      </c>
      <c r="D48" s="102">
        <f>IF(D12=0,0,D12/TrAvia_act!D30*1000000)</f>
        <v>14394.498107877685</v>
      </c>
      <c r="E48" s="102">
        <f>IF(E12=0,0,E12/TrAvia_act!E30*1000000)</f>
        <v>14353.44704569565</v>
      </c>
      <c r="F48" s="102">
        <f>IF(F12=0,0,F12/TrAvia_act!F30*1000000)</f>
        <v>12975.809935490906</v>
      </c>
      <c r="G48" s="102">
        <f>IF(G12=0,0,G12/TrAvia_act!G30*1000000)</f>
        <v>13597.890887060177</v>
      </c>
      <c r="H48" s="102">
        <f>IF(H12=0,0,H12/TrAvia_act!H30*1000000)</f>
        <v>13498.080397805186</v>
      </c>
      <c r="I48" s="102">
        <f>IF(I12=0,0,I12/TrAvia_act!I30*1000000)</f>
        <v>15446.179664170861</v>
      </c>
      <c r="J48" s="102">
        <f>IF(J12=0,0,J12/TrAvia_act!J30*1000000)</f>
        <v>14643.444320421982</v>
      </c>
      <c r="K48" s="102">
        <f>IF(K12=0,0,K12/TrAvia_act!K30*1000000)</f>
        <v>10317.136152498515</v>
      </c>
      <c r="L48" s="102">
        <f>IF(L12=0,0,L12/TrAvia_act!L30*1000000)</f>
        <v>15033.756345165793</v>
      </c>
      <c r="M48" s="102">
        <f>IF(M12=0,0,M12/TrAvia_act!M30*1000000)</f>
        <v>13604.739220421732</v>
      </c>
      <c r="N48" s="102">
        <f>IF(N12=0,0,N12/TrAvia_act!N30*1000000)</f>
        <v>11408.34758849944</v>
      </c>
      <c r="O48" s="102">
        <f>IF(O12=0,0,O12/TrAvia_act!O30*1000000)</f>
        <v>11721.96386209276</v>
      </c>
      <c r="P48" s="102">
        <f>IF(P12=0,0,P12/TrAvia_act!P30*1000000)</f>
        <v>14177.833578514303</v>
      </c>
      <c r="Q48" s="102">
        <f>IF(Q12=0,0,Q12/TrAvia_act!Q30*1000000)</f>
        <v>15851.932673350899</v>
      </c>
      <c r="R48" s="102">
        <f>IF(R12=0,0,R12/TrAvia_act!R30*1000000)</f>
        <v>15468.394733359426</v>
      </c>
      <c r="S48" s="102">
        <f>IF(S12=0,0,S12/TrAvia_act!S30*1000000)</f>
        <v>17043.78887975882</v>
      </c>
      <c r="T48" s="102">
        <f>IF(T12=0,0,T12/TrAvia_act!T30*1000000)</f>
        <v>18002.465953383366</v>
      </c>
      <c r="U48" s="102">
        <f>IF(U12=0,0,U12/TrAvia_act!U30*1000000)</f>
        <v>17228.615840948965</v>
      </c>
      <c r="V48" s="102">
        <f>IF(V12=0,0,V12/TrAvia_act!V30*1000000)</f>
        <v>12973.969965857357</v>
      </c>
      <c r="W48" s="102">
        <f>IF(W12=0,0,W12/TrAvia_act!W30*1000000)</f>
        <v>15924.267878021477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149266.40197010987</v>
      </c>
      <c r="C49" s="86">
        <f>IF(C13=0,0,C13/TrAvia_act!C31*1000000)</f>
        <v>169593.60366571188</v>
      </c>
      <c r="D49" s="86">
        <f>IF(D13=0,0,D13/TrAvia_act!D31*1000000)</f>
        <v>179880.81173116973</v>
      </c>
      <c r="E49" s="86">
        <f>IF(E13=0,0,E13/TrAvia_act!E31*1000000)</f>
        <v>179320.27231150161</v>
      </c>
      <c r="F49" s="86">
        <f>IF(F13=0,0,F13/TrAvia_act!F31*1000000)</f>
        <v>163461.31631248913</v>
      </c>
      <c r="G49" s="86">
        <f>IF(G13=0,0,G13/TrAvia_act!G31*1000000)</f>
        <v>138469.21167321186</v>
      </c>
      <c r="H49" s="86">
        <f>IF(H13=0,0,H13/TrAvia_act!H31*1000000)</f>
        <v>100768.47304628151</v>
      </c>
      <c r="I49" s="86">
        <f>IF(I13=0,0,I13/TrAvia_act!I31*1000000)</f>
        <v>85439.576220588831</v>
      </c>
      <c r="J49" s="86">
        <f>IF(J13=0,0,J13/TrAvia_act!J31*1000000)</f>
        <v>80701.757036056355</v>
      </c>
      <c r="K49" s="86">
        <f>IF(K13=0,0,K13/TrAvia_act!K31*1000000)</f>
        <v>59625.580854881133</v>
      </c>
      <c r="L49" s="86">
        <f>IF(L13=0,0,L13/TrAvia_act!L31*1000000)</f>
        <v>76989.063619519453</v>
      </c>
      <c r="M49" s="86">
        <f>IF(M13=0,0,M13/TrAvia_act!M31*1000000)</f>
        <v>71284.342058744529</v>
      </c>
      <c r="N49" s="86">
        <f>IF(N13=0,0,N13/TrAvia_act!N31*1000000)</f>
        <v>71045.692908560828</v>
      </c>
      <c r="O49" s="86">
        <f>IF(O13=0,0,O13/TrAvia_act!O31*1000000)</f>
        <v>76229.459844621131</v>
      </c>
      <c r="P49" s="86">
        <f>IF(P13=0,0,P13/TrAvia_act!P31*1000000)</f>
        <v>76329.38954358577</v>
      </c>
      <c r="Q49" s="86">
        <f>IF(Q13=0,0,Q13/TrAvia_act!Q31*1000000)</f>
        <v>74659.300602881995</v>
      </c>
      <c r="R49" s="86">
        <f>IF(R13=0,0,R13/TrAvia_act!R31*1000000)</f>
        <v>71505.566038328834</v>
      </c>
      <c r="S49" s="86">
        <f>IF(S13=0,0,S13/TrAvia_act!S31*1000000)</f>
        <v>70764.210608792244</v>
      </c>
      <c r="T49" s="86">
        <f>IF(T13=0,0,T13/TrAvia_act!T31*1000000)</f>
        <v>67578.891581234697</v>
      </c>
      <c r="U49" s="86">
        <f>IF(U13=0,0,U13/TrAvia_act!U31*1000000)</f>
        <v>73411.690203146587</v>
      </c>
      <c r="V49" s="86">
        <f>IF(V13=0,0,V13/TrAvia_act!V31*1000000)</f>
        <v>110426.39145258562</v>
      </c>
      <c r="W49" s="86">
        <f>IF(W13=0,0,W13/TrAvia_act!W31*1000000)</f>
        <v>113434.36240268948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0.98159964782178544</v>
      </c>
      <c r="C52" s="16">
        <f t="shared" si="35"/>
        <v>0.9830043120467209</v>
      </c>
      <c r="D52" s="16">
        <f t="shared" ref="D52:V52" si="36">IF(D6=0,0,D6/D$3)</f>
        <v>0.98489852249307797</v>
      </c>
      <c r="E52" s="16">
        <f t="shared" si="36"/>
        <v>0.98346907748738299</v>
      </c>
      <c r="F52" s="16">
        <f t="shared" si="36"/>
        <v>0.974792848396413</v>
      </c>
      <c r="G52" s="16">
        <f t="shared" si="36"/>
        <v>0.97520811473651392</v>
      </c>
      <c r="H52" s="16">
        <f t="shared" si="36"/>
        <v>0.96899055590106753</v>
      </c>
      <c r="I52" s="16">
        <f t="shared" si="36"/>
        <v>0.97499327457491769</v>
      </c>
      <c r="J52" s="16">
        <f t="shared" si="36"/>
        <v>0.97631184140108362</v>
      </c>
      <c r="K52" s="16">
        <f t="shared" si="36"/>
        <v>0.97526903767430895</v>
      </c>
      <c r="L52" s="16">
        <f t="shared" si="36"/>
        <v>0.97088382694398667</v>
      </c>
      <c r="M52" s="16">
        <f t="shared" si="36"/>
        <v>0.97511807024296515</v>
      </c>
      <c r="N52" s="16">
        <f t="shared" si="36"/>
        <v>0.96980148629583207</v>
      </c>
      <c r="O52" s="16">
        <f t="shared" si="36"/>
        <v>0.97085905696563712</v>
      </c>
      <c r="P52" s="16">
        <f t="shared" si="36"/>
        <v>0.97308803913922604</v>
      </c>
      <c r="Q52" s="16">
        <f t="shared" si="36"/>
        <v>0.97281313743981401</v>
      </c>
      <c r="R52" s="16">
        <f t="shared" si="36"/>
        <v>0.97770868716989534</v>
      </c>
      <c r="S52" s="16">
        <f t="shared" si="36"/>
        <v>0.97556761905734202</v>
      </c>
      <c r="T52" s="16">
        <f t="shared" si="36"/>
        <v>0.97953734130581616</v>
      </c>
      <c r="U52" s="16">
        <f t="shared" si="36"/>
        <v>0.98157665820280837</v>
      </c>
      <c r="V52" s="16">
        <f t="shared" si="36"/>
        <v>0.93042354828887475</v>
      </c>
      <c r="W52" s="16">
        <f t="shared" ref="W52" si="37">IF(W6=0,0,W6/W$3)</f>
        <v>0.92221611177863938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4.9686283978446086E-2</v>
      </c>
      <c r="C53" s="103">
        <f t="shared" si="38"/>
        <v>4.9493753630619801E-2</v>
      </c>
      <c r="D53" s="103">
        <f t="shared" ref="D53:V53" si="39">IF(D7=0,0,D7/D$3)</f>
        <v>4.9611619665341729E-2</v>
      </c>
      <c r="E53" s="103">
        <f t="shared" si="39"/>
        <v>4.8307859206749439E-2</v>
      </c>
      <c r="F53" s="103">
        <f t="shared" si="39"/>
        <v>4.8119469964514973E-2</v>
      </c>
      <c r="G53" s="103">
        <f t="shared" si="39"/>
        <v>5.1546946669401114E-2</v>
      </c>
      <c r="H53" s="103">
        <f t="shared" si="39"/>
        <v>6.3530012692269988E-2</v>
      </c>
      <c r="I53" s="103">
        <f t="shared" si="39"/>
        <v>4.8602822984637986E-2</v>
      </c>
      <c r="J53" s="103">
        <f t="shared" si="39"/>
        <v>4.1574748877902731E-2</v>
      </c>
      <c r="K53" s="103">
        <f t="shared" si="39"/>
        <v>5.0430957630205352E-2</v>
      </c>
      <c r="L53" s="103">
        <f t="shared" si="39"/>
        <v>3.3829768769392289E-2</v>
      </c>
      <c r="M53" s="103">
        <f t="shared" si="39"/>
        <v>1.0340047263557134E-2</v>
      </c>
      <c r="N53" s="103">
        <f t="shared" si="39"/>
        <v>1.1297122141948793E-2</v>
      </c>
      <c r="O53" s="103">
        <f t="shared" si="39"/>
        <v>1.0455485403404038E-2</v>
      </c>
      <c r="P53" s="103">
        <f t="shared" si="39"/>
        <v>9.5144026295659774E-3</v>
      </c>
      <c r="Q53" s="103">
        <f t="shared" si="39"/>
        <v>8.4761363975052965E-3</v>
      </c>
      <c r="R53" s="103">
        <f t="shared" si="39"/>
        <v>4.2753267968068829E-3</v>
      </c>
      <c r="S53" s="103">
        <f t="shared" si="39"/>
        <v>4.8807530124659352E-3</v>
      </c>
      <c r="T53" s="103">
        <f t="shared" si="39"/>
        <v>4.3406093260168841E-3</v>
      </c>
      <c r="U53" s="103">
        <f t="shared" si="39"/>
        <v>4.8826500758403944E-3</v>
      </c>
      <c r="V53" s="103">
        <f t="shared" si="39"/>
        <v>1.0355865124804214E-2</v>
      </c>
      <c r="W53" s="103">
        <f t="shared" ref="W53" si="40">IF(W7=0,0,W7/W$3)</f>
        <v>1.2038672366825008E-2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0.57321451308029325</v>
      </c>
      <c r="C54" s="103">
        <f t="shared" si="41"/>
        <v>0.5930714578807823</v>
      </c>
      <c r="D54" s="103">
        <f t="shared" ref="D54:V54" si="42">IF(D8=0,0,D8/D$3)</f>
        <v>0.60469358248733251</v>
      </c>
      <c r="E54" s="103">
        <f t="shared" si="42"/>
        <v>0.64082105129204536</v>
      </c>
      <c r="F54" s="103">
        <f t="shared" si="42"/>
        <v>0.63475802834467276</v>
      </c>
      <c r="G54" s="103">
        <f t="shared" si="42"/>
        <v>0.63642777473402301</v>
      </c>
      <c r="H54" s="103">
        <f t="shared" si="42"/>
        <v>0.62326172190111362</v>
      </c>
      <c r="I54" s="103">
        <f t="shared" si="42"/>
        <v>0.64164879191135371</v>
      </c>
      <c r="J54" s="103">
        <f t="shared" si="42"/>
        <v>0.64795601246348788</v>
      </c>
      <c r="K54" s="103">
        <f t="shared" si="42"/>
        <v>0.62382996294900506</v>
      </c>
      <c r="L54" s="103">
        <f t="shared" si="42"/>
        <v>0.62051975709532969</v>
      </c>
      <c r="M54" s="103">
        <f t="shared" si="42"/>
        <v>0.63815356236510834</v>
      </c>
      <c r="N54" s="103">
        <f t="shared" si="42"/>
        <v>0.62854685876614425</v>
      </c>
      <c r="O54" s="103">
        <f t="shared" si="42"/>
        <v>0.62885984085276603</v>
      </c>
      <c r="P54" s="103">
        <f t="shared" si="42"/>
        <v>0.63600763453201092</v>
      </c>
      <c r="Q54" s="103">
        <f t="shared" si="42"/>
        <v>0.64100014580258058</v>
      </c>
      <c r="R54" s="103">
        <f t="shared" si="42"/>
        <v>0.66220988934287639</v>
      </c>
      <c r="S54" s="103">
        <f t="shared" si="42"/>
        <v>0.66642045929264704</v>
      </c>
      <c r="T54" s="103">
        <f t="shared" si="42"/>
        <v>0.66938651158465923</v>
      </c>
      <c r="U54" s="103">
        <f t="shared" si="42"/>
        <v>0.66346807935975116</v>
      </c>
      <c r="V54" s="103">
        <f t="shared" si="42"/>
        <v>0.54322418175833509</v>
      </c>
      <c r="W54" s="103">
        <f t="shared" ref="W54" si="43">IF(W8=0,0,W8/W$3)</f>
        <v>0.56170748595978393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0.35869885076304603</v>
      </c>
      <c r="C55" s="103">
        <f t="shared" si="44"/>
        <v>0.34043910053531878</v>
      </c>
      <c r="D55" s="103">
        <f t="shared" ref="D55:V55" si="45">IF(D9=0,0,D9/D$3)</f>
        <v>0.33059332034040367</v>
      </c>
      <c r="E55" s="103">
        <f t="shared" si="45"/>
        <v>0.29434016698858823</v>
      </c>
      <c r="F55" s="103">
        <f t="shared" si="45"/>
        <v>0.29191535008722519</v>
      </c>
      <c r="G55" s="103">
        <f t="shared" si="45"/>
        <v>0.28723339333308984</v>
      </c>
      <c r="H55" s="103">
        <f t="shared" si="45"/>
        <v>0.28219882130768387</v>
      </c>
      <c r="I55" s="103">
        <f t="shared" si="45"/>
        <v>0.28474165967892601</v>
      </c>
      <c r="J55" s="103">
        <f t="shared" si="45"/>
        <v>0.28678108005969294</v>
      </c>
      <c r="K55" s="103">
        <f t="shared" si="45"/>
        <v>0.30100811709509862</v>
      </c>
      <c r="L55" s="103">
        <f t="shared" si="45"/>
        <v>0.31653430107926467</v>
      </c>
      <c r="M55" s="103">
        <f t="shared" si="45"/>
        <v>0.32662446061429973</v>
      </c>
      <c r="N55" s="103">
        <f t="shared" si="45"/>
        <v>0.3299575053877391</v>
      </c>
      <c r="O55" s="103">
        <f t="shared" si="45"/>
        <v>0.33154373070946702</v>
      </c>
      <c r="P55" s="103">
        <f t="shared" si="45"/>
        <v>0.32756600197764912</v>
      </c>
      <c r="Q55" s="103">
        <f t="shared" si="45"/>
        <v>0.32333685523972805</v>
      </c>
      <c r="R55" s="103">
        <f t="shared" si="45"/>
        <v>0.31122347103021203</v>
      </c>
      <c r="S55" s="103">
        <f t="shared" si="45"/>
        <v>0.30426640675222899</v>
      </c>
      <c r="T55" s="103">
        <f t="shared" si="45"/>
        <v>0.30581022039514</v>
      </c>
      <c r="U55" s="103">
        <f t="shared" si="45"/>
        <v>0.31322592876721678</v>
      </c>
      <c r="V55" s="103">
        <f t="shared" si="45"/>
        <v>0.37684350140573547</v>
      </c>
      <c r="W55" s="103">
        <f t="shared" ref="W55" si="46">IF(W9=0,0,W9/W$3)</f>
        <v>0.34846995345203058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1.8400352178214771E-2</v>
      </c>
      <c r="C56" s="17">
        <f t="shared" si="47"/>
        <v>1.699568795327909E-2</v>
      </c>
      <c r="D56" s="17">
        <f t="shared" ref="D56:V56" si="48">IF(D10=0,0,D10/D$3)</f>
        <v>1.5101477506922097E-2</v>
      </c>
      <c r="E56" s="17">
        <f t="shared" si="48"/>
        <v>1.6530922512617029E-2</v>
      </c>
      <c r="F56" s="17">
        <f t="shared" si="48"/>
        <v>2.5207151603586997E-2</v>
      </c>
      <c r="G56" s="17">
        <f t="shared" si="48"/>
        <v>2.4791885263486066E-2</v>
      </c>
      <c r="H56" s="17">
        <f t="shared" si="48"/>
        <v>3.1009444098932443E-2</v>
      </c>
      <c r="I56" s="17">
        <f t="shared" si="48"/>
        <v>2.500672542508222E-2</v>
      </c>
      <c r="J56" s="17">
        <f t="shared" si="48"/>
        <v>2.3688158598916369E-2</v>
      </c>
      <c r="K56" s="17">
        <f t="shared" si="48"/>
        <v>2.4730962325691077E-2</v>
      </c>
      <c r="L56" s="17">
        <f t="shared" si="48"/>
        <v>2.9116173056013422E-2</v>
      </c>
      <c r="M56" s="17">
        <f t="shared" si="48"/>
        <v>2.4881929757034897E-2</v>
      </c>
      <c r="N56" s="17">
        <f t="shared" si="48"/>
        <v>3.0198513704167807E-2</v>
      </c>
      <c r="O56" s="17">
        <f t="shared" si="48"/>
        <v>2.9140943034362925E-2</v>
      </c>
      <c r="P56" s="17">
        <f t="shared" si="48"/>
        <v>2.6911960860773923E-2</v>
      </c>
      <c r="Q56" s="17">
        <f t="shared" si="48"/>
        <v>2.7186862560185883E-2</v>
      </c>
      <c r="R56" s="17">
        <f t="shared" si="48"/>
        <v>2.2291312830104808E-2</v>
      </c>
      <c r="S56" s="17">
        <f t="shared" si="48"/>
        <v>2.4432380942657869E-2</v>
      </c>
      <c r="T56" s="17">
        <f t="shared" si="48"/>
        <v>2.0462658694183851E-2</v>
      </c>
      <c r="U56" s="17">
        <f t="shared" si="48"/>
        <v>1.8423341797191663E-2</v>
      </c>
      <c r="V56" s="17">
        <f t="shared" si="48"/>
        <v>6.9576451711125392E-2</v>
      </c>
      <c r="W56" s="17">
        <f t="shared" ref="W56" si="49">IF(W10=0,0,W10/W$3)</f>
        <v>7.7783888221360384E-2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2.1284187945026251E-3</v>
      </c>
      <c r="C57" s="104">
        <f t="shared" si="50"/>
        <v>2.0176496028288921E-3</v>
      </c>
      <c r="D57" s="104">
        <f t="shared" ref="D57:V57" si="51">IF(D11=0,0,D11/D$3)</f>
        <v>1.5500365809083252E-3</v>
      </c>
      <c r="E57" s="104">
        <f t="shared" si="51"/>
        <v>1.3366486676737049E-3</v>
      </c>
      <c r="F57" s="104">
        <f t="shared" si="51"/>
        <v>2.851038639597661E-3</v>
      </c>
      <c r="G57" s="104">
        <f t="shared" si="51"/>
        <v>3.3703594153438065E-3</v>
      </c>
      <c r="H57" s="104">
        <f t="shared" si="51"/>
        <v>5.8605880022745355E-3</v>
      </c>
      <c r="I57" s="104">
        <f t="shared" si="51"/>
        <v>3.5951013596121307E-3</v>
      </c>
      <c r="J57" s="104">
        <f t="shared" si="51"/>
        <v>2.6491500746722101E-3</v>
      </c>
      <c r="K57" s="104">
        <f t="shared" si="51"/>
        <v>3.7754149666345263E-3</v>
      </c>
      <c r="L57" s="104">
        <f t="shared" si="51"/>
        <v>3.0893524082947973E-3</v>
      </c>
      <c r="M57" s="104">
        <f t="shared" si="51"/>
        <v>1.5964186598405067E-3</v>
      </c>
      <c r="N57" s="104">
        <f t="shared" si="51"/>
        <v>2.9243495234247377E-3</v>
      </c>
      <c r="O57" s="104">
        <f t="shared" si="51"/>
        <v>2.4290114850216695E-3</v>
      </c>
      <c r="P57" s="104">
        <f t="shared" si="51"/>
        <v>1.6508319669409717E-3</v>
      </c>
      <c r="Q57" s="104">
        <f t="shared" si="51"/>
        <v>1.4114033668635819E-3</v>
      </c>
      <c r="R57" s="104">
        <f t="shared" si="51"/>
        <v>5.3661237587216337E-4</v>
      </c>
      <c r="S57" s="104">
        <f t="shared" si="51"/>
        <v>7.5508666549934614E-4</v>
      </c>
      <c r="T57" s="104">
        <f t="shared" si="51"/>
        <v>6.6969958822739556E-4</v>
      </c>
      <c r="U57" s="104">
        <f t="shared" si="51"/>
        <v>4.4537381882619212E-4</v>
      </c>
      <c r="V57" s="104">
        <f t="shared" si="51"/>
        <v>1.0219663857257964E-3</v>
      </c>
      <c r="W57" s="104">
        <f t="shared" ref="W57" si="52">IF(W11=0,0,W11/W$3)</f>
        <v>2.3687940819369256E-3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6.9825529384298186E-3</v>
      </c>
      <c r="C58" s="104">
        <f t="shared" si="53"/>
        <v>6.411115989564814E-3</v>
      </c>
      <c r="D58" s="104">
        <f t="shared" ref="D58:V58" si="54">IF(D12=0,0,D12/D$3)</f>
        <v>4.766207695863482E-3</v>
      </c>
      <c r="E58" s="104">
        <f t="shared" si="54"/>
        <v>4.7942266963560548E-3</v>
      </c>
      <c r="F58" s="104">
        <f t="shared" si="54"/>
        <v>4.9039074412997527E-3</v>
      </c>
      <c r="G58" s="104">
        <f t="shared" si="54"/>
        <v>8.1269219138075301E-3</v>
      </c>
      <c r="H58" s="104">
        <f t="shared" si="54"/>
        <v>1.1804499858469106E-2</v>
      </c>
      <c r="I58" s="104">
        <f t="shared" si="54"/>
        <v>1.0551321091945251E-2</v>
      </c>
      <c r="J58" s="104">
        <f t="shared" si="54"/>
        <v>1.04290005261258E-2</v>
      </c>
      <c r="K58" s="104">
        <f t="shared" si="54"/>
        <v>1.1568854087975399E-2</v>
      </c>
      <c r="L58" s="104">
        <f t="shared" si="54"/>
        <v>1.2854442827342757E-2</v>
      </c>
      <c r="M58" s="104">
        <f t="shared" si="54"/>
        <v>1.2280176692609493E-2</v>
      </c>
      <c r="N58" s="104">
        <f t="shared" si="54"/>
        <v>1.1399914171708816E-2</v>
      </c>
      <c r="O58" s="104">
        <f t="shared" si="54"/>
        <v>1.0384417518051607E-2</v>
      </c>
      <c r="P58" s="104">
        <f t="shared" si="54"/>
        <v>1.1059941201781652E-2</v>
      </c>
      <c r="Q58" s="104">
        <f t="shared" si="54"/>
        <v>1.1541550852096166E-2</v>
      </c>
      <c r="R58" s="104">
        <f t="shared" si="54"/>
        <v>9.5503904194028308E-3</v>
      </c>
      <c r="S58" s="104">
        <f t="shared" si="54"/>
        <v>9.3690042658811385E-3</v>
      </c>
      <c r="T58" s="104">
        <f t="shared" si="54"/>
        <v>9.3972780110408577E-3</v>
      </c>
      <c r="U58" s="104">
        <f t="shared" si="54"/>
        <v>8.9561574452873723E-3</v>
      </c>
      <c r="V58" s="104">
        <f t="shared" si="54"/>
        <v>2.2910439509126045E-2</v>
      </c>
      <c r="W58" s="104">
        <f t="shared" ref="W58" si="55">IF(W12=0,0,W12/W$3)</f>
        <v>2.6383599949420043E-2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9.2893804452823282E-3</v>
      </c>
      <c r="C59" s="105">
        <f t="shared" si="56"/>
        <v>8.5669223608853852E-3</v>
      </c>
      <c r="D59" s="105">
        <f t="shared" ref="D59:V59" si="57">IF(D13=0,0,D13/D$3)</f>
        <v>8.7852332301502894E-3</v>
      </c>
      <c r="E59" s="105">
        <f t="shared" si="57"/>
        <v>1.0400047148587268E-2</v>
      </c>
      <c r="F59" s="105">
        <f t="shared" si="57"/>
        <v>1.7452205522689584E-2</v>
      </c>
      <c r="G59" s="105">
        <f t="shared" si="57"/>
        <v>1.3294603934334726E-2</v>
      </c>
      <c r="H59" s="105">
        <f t="shared" si="57"/>
        <v>1.3344356238188798E-2</v>
      </c>
      <c r="I59" s="105">
        <f t="shared" si="57"/>
        <v>1.0860302973524834E-2</v>
      </c>
      <c r="J59" s="105">
        <f t="shared" si="57"/>
        <v>1.0610007998118362E-2</v>
      </c>
      <c r="K59" s="105">
        <f t="shared" si="57"/>
        <v>9.3866932710811486E-3</v>
      </c>
      <c r="L59" s="105">
        <f t="shared" si="57"/>
        <v>1.3172377820375865E-2</v>
      </c>
      <c r="M59" s="105">
        <f t="shared" si="57"/>
        <v>1.1005334404584899E-2</v>
      </c>
      <c r="N59" s="105">
        <f t="shared" si="57"/>
        <v>1.5874250009034252E-2</v>
      </c>
      <c r="O59" s="105">
        <f t="shared" si="57"/>
        <v>1.6327514031289646E-2</v>
      </c>
      <c r="P59" s="105">
        <f t="shared" si="57"/>
        <v>1.4201187692051299E-2</v>
      </c>
      <c r="Q59" s="105">
        <f t="shared" si="57"/>
        <v>1.4233908341226136E-2</v>
      </c>
      <c r="R59" s="105">
        <f t="shared" si="57"/>
        <v>1.2204310034829814E-2</v>
      </c>
      <c r="S59" s="105">
        <f t="shared" si="57"/>
        <v>1.4308290011277385E-2</v>
      </c>
      <c r="T59" s="105">
        <f t="shared" si="57"/>
        <v>1.0395681094915598E-2</v>
      </c>
      <c r="U59" s="105">
        <f t="shared" si="57"/>
        <v>9.0218105330780989E-3</v>
      </c>
      <c r="V59" s="105">
        <f t="shared" si="57"/>
        <v>4.564404581627355E-2</v>
      </c>
      <c r="W59" s="105">
        <f t="shared" ref="W59" si="58">IF(W13=0,0,W13/W$3)</f>
        <v>4.9031494190003418E-2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13294073</v>
      </c>
      <c r="C4" s="11">
        <f t="shared" si="0"/>
        <v>14134640</v>
      </c>
      <c r="D4" s="11">
        <f t="shared" ref="D4" si="1">SUM(D5:D7)</f>
        <v>14061931</v>
      </c>
      <c r="E4" s="11">
        <f t="shared" ref="E4" si="2">SUM(E5:E7)</f>
        <v>14304879</v>
      </c>
      <c r="F4" s="11">
        <f t="shared" ref="F4" si="3">SUM(F5:F7)</f>
        <v>15081692</v>
      </c>
      <c r="G4" s="11">
        <f t="shared" ref="G4" si="4">SUM(G5:G7)</f>
        <v>17729961</v>
      </c>
      <c r="H4" s="11">
        <f t="shared" ref="H4" si="5">SUM(H5:H7)</f>
        <v>19805814</v>
      </c>
      <c r="I4" s="11">
        <f t="shared" ref="I4" si="6">SUM(I5:I7)</f>
        <v>21110584</v>
      </c>
      <c r="J4" s="11">
        <f t="shared" ref="J4" si="7">SUM(J5:J7)</f>
        <v>21758301</v>
      </c>
      <c r="K4" s="11">
        <f t="shared" ref="K4" si="8">SUM(K5:K7)</f>
        <v>18741014</v>
      </c>
      <c r="L4" s="11">
        <f t="shared" ref="L4" si="9">SUM(L5:L7)</f>
        <v>16244292</v>
      </c>
      <c r="M4" s="11">
        <f t="shared" ref="M4" si="10">SUM(M5:M7)</f>
        <v>15660884</v>
      </c>
      <c r="N4" s="11">
        <f t="shared" ref="N4" si="11">SUM(N5:N7)</f>
        <v>15769720</v>
      </c>
      <c r="O4" s="11">
        <f t="shared" ref="O4" si="12">SUM(O5:O7)</f>
        <v>16164599</v>
      </c>
      <c r="P4" s="11">
        <f t="shared" ref="P4" si="13">SUM(P5:P7)</f>
        <v>17005505</v>
      </c>
      <c r="Q4" s="11">
        <f t="shared" ref="Q4" si="14">SUM(Q5:Q7)</f>
        <v>18355313</v>
      </c>
      <c r="R4" s="11">
        <f t="shared" ref="R4" si="15">SUM(R5:R7)</f>
        <v>20020703</v>
      </c>
      <c r="S4" s="11">
        <f t="shared" ref="S4" si="16">SUM(S5:S7)</f>
        <v>20771117</v>
      </c>
      <c r="T4" s="11">
        <f t="shared" ref="T4" si="17">SUM(T5:T7)</f>
        <v>22075633</v>
      </c>
      <c r="U4" s="11">
        <f t="shared" ref="U4" si="18">SUM(U5:U7)</f>
        <v>22872754</v>
      </c>
      <c r="V4" s="11">
        <f t="shared" ref="V4:W4" si="19">SUM(V5:V7)</f>
        <v>7677951</v>
      </c>
      <c r="W4" s="11">
        <f t="shared" si="19"/>
        <v>7668366</v>
      </c>
      <c r="DA4" s="189" t="s">
        <v>361</v>
      </c>
    </row>
    <row r="5" spans="1:105" ht="11.45" customHeight="1" x14ac:dyDescent="0.25">
      <c r="A5" s="83" t="s">
        <v>27</v>
      </c>
      <c r="B5" s="84">
        <v>1670309</v>
      </c>
      <c r="C5" s="84">
        <v>1723010</v>
      </c>
      <c r="D5" s="84">
        <v>1608692</v>
      </c>
      <c r="E5" s="84">
        <v>1748405</v>
      </c>
      <c r="F5" s="84">
        <v>1631538</v>
      </c>
      <c r="G5" s="84">
        <v>2000550</v>
      </c>
      <c r="H5" s="84">
        <v>2088785</v>
      </c>
      <c r="I5" s="84">
        <v>1974073</v>
      </c>
      <c r="J5" s="84">
        <v>1817578</v>
      </c>
      <c r="K5" s="84">
        <v>1411707</v>
      </c>
      <c r="L5" s="84">
        <v>1055757</v>
      </c>
      <c r="M5" s="84">
        <v>340939</v>
      </c>
      <c r="N5" s="84">
        <v>145491</v>
      </c>
      <c r="O5" s="84">
        <v>139989</v>
      </c>
      <c r="P5" s="84">
        <v>133820</v>
      </c>
      <c r="Q5" s="84">
        <v>156427</v>
      </c>
      <c r="R5" s="84">
        <v>160320</v>
      </c>
      <c r="S5" s="84">
        <v>152097</v>
      </c>
      <c r="T5" s="84">
        <v>180877</v>
      </c>
      <c r="U5" s="84">
        <v>179514</v>
      </c>
      <c r="V5" s="84">
        <v>163186</v>
      </c>
      <c r="W5" s="84">
        <v>216390</v>
      </c>
      <c r="DA5" s="171" t="s">
        <v>362</v>
      </c>
    </row>
    <row r="6" spans="1:105" ht="11.45" customHeight="1" x14ac:dyDescent="0.25">
      <c r="A6" s="83" t="s">
        <v>173</v>
      </c>
      <c r="B6" s="84">
        <v>10178856</v>
      </c>
      <c r="C6" s="84">
        <v>10971660</v>
      </c>
      <c r="D6" s="84">
        <v>11063932</v>
      </c>
      <c r="E6" s="84">
        <v>11337102</v>
      </c>
      <c r="F6" s="84">
        <v>12127947</v>
      </c>
      <c r="G6" s="84">
        <v>14240952</v>
      </c>
      <c r="H6" s="84">
        <v>16057960</v>
      </c>
      <c r="I6" s="84">
        <v>17257135</v>
      </c>
      <c r="J6" s="84">
        <v>17925340</v>
      </c>
      <c r="K6" s="84">
        <v>15524981</v>
      </c>
      <c r="L6" s="84">
        <v>13542340</v>
      </c>
      <c r="M6" s="84">
        <v>13648669</v>
      </c>
      <c r="N6" s="84">
        <v>13853072</v>
      </c>
      <c r="O6" s="84">
        <v>14071214</v>
      </c>
      <c r="P6" s="84">
        <v>14653405</v>
      </c>
      <c r="Q6" s="84">
        <v>15641645</v>
      </c>
      <c r="R6" s="84">
        <v>17095268</v>
      </c>
      <c r="S6" s="84">
        <v>17372895</v>
      </c>
      <c r="T6" s="84">
        <v>18150225</v>
      </c>
      <c r="U6" s="84">
        <v>18976309</v>
      </c>
      <c r="V6" s="84">
        <v>6298346</v>
      </c>
      <c r="W6" s="84">
        <v>6364030</v>
      </c>
      <c r="DA6" s="171" t="s">
        <v>363</v>
      </c>
    </row>
    <row r="7" spans="1:105" ht="11.45" customHeight="1" x14ac:dyDescent="0.25">
      <c r="A7" s="85" t="s">
        <v>174</v>
      </c>
      <c r="B7" s="86">
        <v>1444908</v>
      </c>
      <c r="C7" s="86">
        <v>1439970</v>
      </c>
      <c r="D7" s="86">
        <v>1389307</v>
      </c>
      <c r="E7" s="86">
        <v>1219372</v>
      </c>
      <c r="F7" s="86">
        <v>1322207</v>
      </c>
      <c r="G7" s="86">
        <v>1488459</v>
      </c>
      <c r="H7" s="86">
        <v>1659069</v>
      </c>
      <c r="I7" s="86">
        <v>1879376</v>
      </c>
      <c r="J7" s="86">
        <v>2015383</v>
      </c>
      <c r="K7" s="86">
        <v>1804326</v>
      </c>
      <c r="L7" s="86">
        <v>1646195</v>
      </c>
      <c r="M7" s="86">
        <v>1671276</v>
      </c>
      <c r="N7" s="86">
        <v>1771157</v>
      </c>
      <c r="O7" s="86">
        <v>1953396</v>
      </c>
      <c r="P7" s="86">
        <v>2218280</v>
      </c>
      <c r="Q7" s="86">
        <v>2557241</v>
      </c>
      <c r="R7" s="86">
        <v>2765115</v>
      </c>
      <c r="S7" s="86">
        <v>3246125</v>
      </c>
      <c r="T7" s="86">
        <v>3744531</v>
      </c>
      <c r="U7" s="86">
        <v>3716931</v>
      </c>
      <c r="V7" s="86">
        <v>1216419</v>
      </c>
      <c r="W7" s="86">
        <v>1087946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135.88258803086831</v>
      </c>
      <c r="C12" s="14">
        <f>IF(C4=0,0,C4/TrAvia_act!C24)</f>
        <v>136.34920175565523</v>
      </c>
      <c r="D12" s="14">
        <f>IF(D4=0,0,D4/TrAvia_act!D24)</f>
        <v>136.82514862853083</v>
      </c>
      <c r="E12" s="14">
        <f>IF(E4=0,0,E4/TrAvia_act!E24)</f>
        <v>136.69127863087786</v>
      </c>
      <c r="F12" s="14">
        <f>IF(F4=0,0,F4/TrAvia_act!F24)</f>
        <v>144.57281990816631</v>
      </c>
      <c r="G12" s="14">
        <f>IF(G4=0,0,G4/TrAvia_act!G24)</f>
        <v>147.5394313103827</v>
      </c>
      <c r="H12" s="14">
        <f>IF(H4=0,0,H4/TrAvia_act!H24)</f>
        <v>157.05189120608992</v>
      </c>
      <c r="I12" s="14">
        <f>IF(I4=0,0,I4/TrAvia_act!I24)</f>
        <v>157.96842215537498</v>
      </c>
      <c r="J12" s="14">
        <f>IF(J4=0,0,J4/TrAvia_act!J24)</f>
        <v>160.43814980312348</v>
      </c>
      <c r="K12" s="14">
        <f>IF(K4=0,0,K4/TrAvia_act!K24)</f>
        <v>165.11906607929515</v>
      </c>
      <c r="L12" s="14">
        <f>IF(L4=0,0,L4/TrAvia_act!L24)</f>
        <v>159.6380789527993</v>
      </c>
      <c r="M12" s="14">
        <f>IF(M4=0,0,M4/TrAvia_act!M24)</f>
        <v>155.18271088694894</v>
      </c>
      <c r="N12" s="14">
        <f>IF(N4=0,0,N4/TrAvia_act!N24)</f>
        <v>160.7940942553582</v>
      </c>
      <c r="O12" s="14">
        <f>IF(O4=0,0,O4/TrAvia_act!O24)</f>
        <v>162.80352304887751</v>
      </c>
      <c r="P12" s="14">
        <f>IF(P4=0,0,P4/TrAvia_act!P24)</f>
        <v>161.05375559954163</v>
      </c>
      <c r="Q12" s="14">
        <f>IF(Q4=0,0,Q4/TrAvia_act!Q24)</f>
        <v>165.05982698464084</v>
      </c>
      <c r="R12" s="14">
        <f>IF(R4=0,0,R4/TrAvia_act!R24)</f>
        <v>165.70548993966281</v>
      </c>
      <c r="S12" s="14">
        <f>IF(S4=0,0,S4/TrAvia_act!S24)</f>
        <v>167.18811474750078</v>
      </c>
      <c r="T12" s="14">
        <f>IF(T4=0,0,T4/TrAvia_act!T24)</f>
        <v>169.43849347977925</v>
      </c>
      <c r="U12" s="14">
        <f>IF(U4=0,0,U4/TrAvia_act!U24)</f>
        <v>170.86305708693769</v>
      </c>
      <c r="V12" s="14">
        <f>IF(V4=0,0,V4/TrAvia_act!V24)</f>
        <v>172.69733912143772</v>
      </c>
      <c r="W12" s="14">
        <f>IF(W4=0,0,W4/TrAvia_act!W24)</f>
        <v>181.34097949724503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116.39783972125436</v>
      </c>
      <c r="C13" s="87">
        <f>IF(C5=0,0,C5/TrAvia_act!C25)</f>
        <v>115.52195776064364</v>
      </c>
      <c r="D13" s="87">
        <f>IF(D5=0,0,D5/TrAvia_act!D25)</f>
        <v>114.04310222600311</v>
      </c>
      <c r="E13" s="87">
        <f>IF(E5=0,0,E5/TrAvia_act!E25)</f>
        <v>112.45208386930796</v>
      </c>
      <c r="F13" s="87">
        <f>IF(F5=0,0,F5/TrAvia_act!F25)</f>
        <v>115.0347599238525</v>
      </c>
      <c r="G13" s="87">
        <f>IF(G5=0,0,G5/TrAvia_act!G25)</f>
        <v>113.35845421577515</v>
      </c>
      <c r="H13" s="87">
        <f>IF(H5=0,0,H5/TrAvia_act!H25)</f>
        <v>119.85224925407391</v>
      </c>
      <c r="I13" s="87">
        <f>IF(I5=0,0,I5/TrAvia_act!I25)</f>
        <v>114.80505961035185</v>
      </c>
      <c r="J13" s="87">
        <f>IF(J5=0,0,J5/TrAvia_act!J25)</f>
        <v>112.907069201143</v>
      </c>
      <c r="K13" s="87">
        <f>IF(K5=0,0,K5/TrAvia_act!K25)</f>
        <v>109.53654562383613</v>
      </c>
      <c r="L13" s="87">
        <f>IF(L5=0,0,L5/TrAvia_act!L25)</f>
        <v>106.02098815023098</v>
      </c>
      <c r="M13" s="87">
        <f>IF(M5=0,0,M5/TrAvia_act!M25)</f>
        <v>77.768932481751818</v>
      </c>
      <c r="N13" s="87">
        <f>IF(N5=0,0,N5/TrAvia_act!N25)</f>
        <v>61.990200255645505</v>
      </c>
      <c r="O13" s="87">
        <f>IF(O5=0,0,O5/TrAvia_act!O25)</f>
        <v>62.134487350199734</v>
      </c>
      <c r="P13" s="87">
        <f>IF(P5=0,0,P5/TrAvia_act!P25)</f>
        <v>60.79963652885052</v>
      </c>
      <c r="Q13" s="87">
        <f>IF(Q5=0,0,Q5/TrAvia_act!Q25)</f>
        <v>71.29762989972653</v>
      </c>
      <c r="R13" s="87">
        <f>IF(R5=0,0,R5/TrAvia_act!R25)</f>
        <v>72.151215121512152</v>
      </c>
      <c r="S13" s="87">
        <f>IF(S5=0,0,S5/TrAvia_act!S25)</f>
        <v>69.705316223648026</v>
      </c>
      <c r="T13" s="87">
        <f>IF(T5=0,0,T5/TrAvia_act!T25)</f>
        <v>82.291628753412198</v>
      </c>
      <c r="U13" s="87">
        <f>IF(U5=0,0,U5/TrAvia_act!U25)</f>
        <v>80.971583220568334</v>
      </c>
      <c r="V13" s="87">
        <f>IF(V5=0,0,V5/TrAvia_act!V25)</f>
        <v>78.871918801353317</v>
      </c>
      <c r="W13" s="87">
        <f>IF(W5=0,0,W5/TrAvia_act!W25)</f>
        <v>117.47557003257329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132.04888173940117</v>
      </c>
      <c r="C14" s="87">
        <f>IF(C6=0,0,C6/TrAvia_act!C26)</f>
        <v>133.26442366087696</v>
      </c>
      <c r="D14" s="87">
        <f>IF(D6=0,0,D6/TrAvia_act!D26)</f>
        <v>134.22378046561283</v>
      </c>
      <c r="E14" s="87">
        <f>IF(E6=0,0,E6/TrAvia_act!E26)</f>
        <v>135.52048866787797</v>
      </c>
      <c r="F14" s="87">
        <f>IF(F6=0,0,F6/TrAvia_act!F26)</f>
        <v>143.49203738760056</v>
      </c>
      <c r="G14" s="87">
        <f>IF(G6=0,0,G6/TrAvia_act!G26)</f>
        <v>149.12303922595237</v>
      </c>
      <c r="H14" s="87">
        <f>IF(H6=0,0,H6/TrAvia_act!H26)</f>
        <v>160.29267610976353</v>
      </c>
      <c r="I14" s="87">
        <f>IF(I6=0,0,I6/TrAvia_act!I26)</f>
        <v>163.32549379619726</v>
      </c>
      <c r="J14" s="87">
        <f>IF(J6=0,0,J6/TrAvia_act!J26)</f>
        <v>163.45990406886617</v>
      </c>
      <c r="K14" s="87">
        <f>IF(K6=0,0,K6/TrAvia_act!K26)</f>
        <v>168.19037765692372</v>
      </c>
      <c r="L14" s="87">
        <f>IF(L6=0,0,L6/TrAvia_act!L26)</f>
        <v>161.79810989378606</v>
      </c>
      <c r="M14" s="87">
        <f>IF(M6=0,0,M6/TrAvia_act!M26)</f>
        <v>155.61664405349629</v>
      </c>
      <c r="N14" s="87">
        <f>IF(N6=0,0,N6/TrAvia_act!N26)</f>
        <v>158.26475191646389</v>
      </c>
      <c r="O14" s="87">
        <f>IF(O6=0,0,O6/TrAvia_act!O26)</f>
        <v>158.79580643705143</v>
      </c>
      <c r="P14" s="87">
        <f>IF(P6=0,0,P6/TrAvia_act!P26)</f>
        <v>156.4080929050989</v>
      </c>
      <c r="Q14" s="87">
        <f>IF(Q6=0,0,Q6/TrAvia_act!Q26)</f>
        <v>159.85656324094515</v>
      </c>
      <c r="R14" s="87">
        <f>IF(R6=0,0,R6/TrAvia_act!R26)</f>
        <v>159.86298474802922</v>
      </c>
      <c r="S14" s="87">
        <f>IF(S6=0,0,S6/TrAvia_act!S26)</f>
        <v>160.21482916032647</v>
      </c>
      <c r="T14" s="87">
        <f>IF(T6=0,0,T6/TrAvia_act!T26)</f>
        <v>161.42860319295593</v>
      </c>
      <c r="U14" s="87">
        <f>IF(U6=0,0,U6/TrAvia_act!U26)</f>
        <v>163.25813223211597</v>
      </c>
      <c r="V14" s="87">
        <f>IF(V6=0,0,V6/TrAvia_act!V26)</f>
        <v>165.65004471095682</v>
      </c>
      <c r="W14" s="87">
        <f>IF(W6=0,0,W6/TrAvia_act!W26)</f>
        <v>176.72951957789502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225.73160443680675</v>
      </c>
      <c r="C15" s="88">
        <f>IF(C7=0,0,C7/TrAvia_act!C27)</f>
        <v>224.29439252336448</v>
      </c>
      <c r="D15" s="88">
        <f>IF(D7=0,0,D7/TrAvia_act!D27)</f>
        <v>222.71673613337609</v>
      </c>
      <c r="E15" s="88">
        <f>IF(E7=0,0,E7/TrAvia_act!E27)</f>
        <v>223.86120800440611</v>
      </c>
      <c r="F15" s="88">
        <f>IF(F7=0,0,F7/TrAvia_act!F27)</f>
        <v>235.43571937321937</v>
      </c>
      <c r="G15" s="88">
        <f>IF(G7=0,0,G7/TrAvia_act!G27)</f>
        <v>211.8802846975089</v>
      </c>
      <c r="H15" s="88">
        <f>IF(H7=0,0,H7/TrAvia_act!H27)</f>
        <v>195.11572386216631</v>
      </c>
      <c r="I15" s="88">
        <f>IF(I7=0,0,I7/TrAvia_act!I27)</f>
        <v>174.30680764236692</v>
      </c>
      <c r="J15" s="88">
        <f>IF(J7=0,0,J7/TrAvia_act!J27)</f>
        <v>204.44136741732603</v>
      </c>
      <c r="K15" s="88">
        <f>IF(K7=0,0,K7/TrAvia_act!K27)</f>
        <v>217.23163977847338</v>
      </c>
      <c r="L15" s="88">
        <f>IF(L7=0,0,L7/TrAvia_act!L27)</f>
        <v>203.23395061728394</v>
      </c>
      <c r="M15" s="88">
        <f>IF(M7=0,0,M7/TrAvia_act!M27)</f>
        <v>189.3153602174898</v>
      </c>
      <c r="N15" s="88">
        <f>IF(N7=0,0,N7/TrAvia_act!N27)</f>
        <v>216.10017081503173</v>
      </c>
      <c r="O15" s="88">
        <f>IF(O7=0,0,O7/TrAvia_act!O27)</f>
        <v>231.88461538461539</v>
      </c>
      <c r="P15" s="88">
        <f>IF(P7=0,0,P7/TrAvia_act!P27)</f>
        <v>228.66508607360066</v>
      </c>
      <c r="Q15" s="88">
        <f>IF(Q7=0,0,Q7/TrAvia_act!Q27)</f>
        <v>229.1024010034044</v>
      </c>
      <c r="R15" s="88">
        <f>IF(R7=0,0,R7/TrAvia_act!R27)</f>
        <v>237.10469902246612</v>
      </c>
      <c r="S15" s="88">
        <f>IF(S7=0,0,S7/TrAvia_act!S27)</f>
        <v>238.3176712429337</v>
      </c>
      <c r="T15" s="88">
        <f>IF(T7=0,0,T7/TrAvia_act!T27)</f>
        <v>239.20601763127635</v>
      </c>
      <c r="U15" s="88">
        <f>IF(U7=0,0,U7/TrAvia_act!U27)</f>
        <v>241.13993771895679</v>
      </c>
      <c r="V15" s="88">
        <f>IF(V7=0,0,V7/TrAvia_act!V27)</f>
        <v>278.4842032967033</v>
      </c>
      <c r="W15" s="88">
        <f>IF(W7=0,0,W7/TrAvia_act!W27)</f>
        <v>245.30913190529876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0.72443042850750106</v>
      </c>
      <c r="C18" s="25">
        <f>IF(TrAvia_act!C34=0,0,(TrAvia_act!C34/TrAvia_act!C24)/TrAvia_png!C12)</f>
        <v>0.72460741837075437</v>
      </c>
      <c r="D18" s="25">
        <f>IF(TrAvia_act!D34=0,0,(TrAvia_act!D34/TrAvia_act!D24)/TrAvia_png!D12)</f>
        <v>0.72578673583308018</v>
      </c>
      <c r="E18" s="25">
        <f>IF(TrAvia_act!E34=0,0,(TrAvia_act!E34/TrAvia_act!E24)/TrAvia_png!E12)</f>
        <v>0.72078883016067452</v>
      </c>
      <c r="F18" s="25">
        <f>IF(TrAvia_act!F34=0,0,(TrAvia_act!F34/TrAvia_act!F24)/TrAvia_png!F12)</f>
        <v>0.72726992435596749</v>
      </c>
      <c r="G18" s="25">
        <f>IF(TrAvia_act!G34=0,0,(TrAvia_act!G34/TrAvia_act!G24)/TrAvia_png!G12)</f>
        <v>0.72485895485049301</v>
      </c>
      <c r="H18" s="25">
        <f>IF(TrAvia_act!H34=0,0,(TrAvia_act!H34/TrAvia_act!H24)/TrAvia_png!H12)</f>
        <v>0.7375806922149224</v>
      </c>
      <c r="I18" s="25">
        <f>IF(TrAvia_act!I34=0,0,(TrAvia_act!I34/TrAvia_act!I24)/TrAvia_png!I12)</f>
        <v>0.73591104822111975</v>
      </c>
      <c r="J18" s="25">
        <f>IF(TrAvia_act!J34=0,0,(TrAvia_act!J34/TrAvia_act!J24)/TrAvia_png!J12)</f>
        <v>0.71476380439814668</v>
      </c>
      <c r="K18" s="25">
        <f>IF(TrAvia_act!K34=0,0,(TrAvia_act!K34/TrAvia_act!K24)/TrAvia_png!K12)</f>
        <v>0.72122495613097559</v>
      </c>
      <c r="L18" s="25">
        <f>IF(TrAvia_act!L34=0,0,(TrAvia_act!L34/TrAvia_act!L24)/TrAvia_png!L12)</f>
        <v>0.7241210020110449</v>
      </c>
      <c r="M18" s="25">
        <f>IF(TrAvia_act!M34=0,0,(TrAvia_act!M34/TrAvia_act!M24)/TrAvia_png!M12)</f>
        <v>0.75143874381548326</v>
      </c>
      <c r="N18" s="25">
        <f>IF(TrAvia_act!N34=0,0,(TrAvia_act!N34/TrAvia_act!N24)/TrAvia_png!N12)</f>
        <v>0.75120014813198965</v>
      </c>
      <c r="O18" s="25">
        <f>IF(TrAvia_act!O34=0,0,(TrAvia_act!O34/TrAvia_act!O24)/TrAvia_png!O12)</f>
        <v>0.76503883579172005</v>
      </c>
      <c r="P18" s="25">
        <f>IF(TrAvia_act!P34=0,0,(TrAvia_act!P34/TrAvia_act!P24)/TrAvia_png!P12)</f>
        <v>0.77664426901759154</v>
      </c>
      <c r="Q18" s="25">
        <f>IF(TrAvia_act!Q34=0,0,(TrAvia_act!Q34/TrAvia_act!Q24)/TrAvia_png!Q12)</f>
        <v>0.80896283272314673</v>
      </c>
      <c r="R18" s="25">
        <f>IF(TrAvia_act!R34=0,0,(TrAvia_act!R34/TrAvia_act!R24)/TrAvia_png!R12)</f>
        <v>0.81970688042273032</v>
      </c>
      <c r="S18" s="25">
        <f>IF(TrAvia_act!S34=0,0,(TrAvia_act!S34/TrAvia_act!S24)/TrAvia_png!S12)</f>
        <v>0.83054483781493293</v>
      </c>
      <c r="T18" s="25">
        <f>IF(TrAvia_act!T34=0,0,(TrAvia_act!T34/TrAvia_act!T24)/TrAvia_png!T12)</f>
        <v>0.82890710313946603</v>
      </c>
      <c r="U18" s="25">
        <f>IF(TrAvia_act!U34=0,0,(TrAvia_act!U34/TrAvia_act!U24)/TrAvia_png!U12)</f>
        <v>0.83319817980816824</v>
      </c>
      <c r="V18" s="25">
        <f>IF(TrAvia_act!V34=0,0,(TrAvia_act!V34/TrAvia_act!V24)/TrAvia_png!V12)</f>
        <v>0.53871078364527203</v>
      </c>
      <c r="W18" s="25">
        <f>IF(TrAvia_act!W34=0,0,(TrAvia_act!W34/TrAvia_act!W24)/TrAvia_png!W12)</f>
        <v>0.5982198815236518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0.5406676249723853</v>
      </c>
      <c r="C19" s="89">
        <f>IF(TrAvia_act!C35=0,0,(TrAvia_act!C35/TrAvia_act!C25)/TrAvia_png!C13)</f>
        <v>0.53122210550141902</v>
      </c>
      <c r="D19" s="89">
        <f>IF(TrAvia_act!D35=0,0,(TrAvia_act!D35/TrAvia_act!D25)/TrAvia_png!D13)</f>
        <v>0.51549022435618508</v>
      </c>
      <c r="E19" s="89">
        <f>IF(TrAvia_act!E35=0,0,(TrAvia_act!E35/TrAvia_act!E25)/TrAvia_png!E13)</f>
        <v>0.49886553744698736</v>
      </c>
      <c r="F19" s="89">
        <f>IF(TrAvia_act!F35=0,0,(TrAvia_act!F35/TrAvia_act!F25)/TrAvia_png!F13)</f>
        <v>0.52600920113414462</v>
      </c>
      <c r="G19" s="89">
        <f>IF(TrAvia_act!G35=0,0,(TrAvia_act!G35/TrAvia_act!G25)/TrAvia_png!G13)</f>
        <v>0.5082977181275149</v>
      </c>
      <c r="H19" s="89">
        <f>IF(TrAvia_act!H35=0,0,(TrAvia_act!H35/TrAvia_act!H25)/TrAvia_png!H13)</f>
        <v>0.57885134180875475</v>
      </c>
      <c r="I19" s="89">
        <f>IF(TrAvia_act!I35=0,0,(TrAvia_act!I35/TrAvia_act!I25)/TrAvia_png!I13)</f>
        <v>0.52356169199416636</v>
      </c>
      <c r="J19" s="89">
        <f>IF(TrAvia_act!J35=0,0,(TrAvia_act!J35/TrAvia_act!J25)/TrAvia_png!J13)</f>
        <v>0.50358774148894847</v>
      </c>
      <c r="K19" s="89">
        <f>IF(TrAvia_act!K35=0,0,(TrAvia_act!K35/TrAvia_act!K25)/TrAvia_png!K13)</f>
        <v>0.46920572045049003</v>
      </c>
      <c r="L19" s="89">
        <f>IF(TrAvia_act!L35=0,0,(TrAvia_act!L35/TrAvia_act!L25)/TrAvia_png!L13)</f>
        <v>0.34983334233161606</v>
      </c>
      <c r="M19" s="89">
        <f>IF(TrAvia_act!M35=0,0,(TrAvia_act!M35/TrAvia_act!M25)/TrAvia_png!M13)</f>
        <v>0.3202244389758872</v>
      </c>
      <c r="N19" s="89">
        <f>IF(TrAvia_act!N35=0,0,(TrAvia_act!N35/TrAvia_act!N25)/TrAvia_png!N13)</f>
        <v>0.35469547944546398</v>
      </c>
      <c r="O19" s="89">
        <f>IF(TrAvia_act!O35=0,0,(TrAvia_act!O35/TrAvia_act!O25)/TrAvia_png!O13)</f>
        <v>0.43038381587124702</v>
      </c>
      <c r="P19" s="89">
        <f>IF(TrAvia_act!P35=0,0,(TrAvia_act!P35/TrAvia_act!P25)/TrAvia_png!P13)</f>
        <v>0.4184875205499925</v>
      </c>
      <c r="Q19" s="89">
        <f>IF(TrAvia_act!Q35=0,0,(TrAvia_act!Q35/TrAvia_act!Q25)/TrAvia_png!Q13)</f>
        <v>0.4174854724568009</v>
      </c>
      <c r="R19" s="89">
        <f>IF(TrAvia_act!R35=0,0,(TrAvia_act!R35/TrAvia_act!R25)/TrAvia_png!R13)</f>
        <v>0.43682634730538922</v>
      </c>
      <c r="S19" s="89">
        <f>IF(TrAvia_act!S35=0,0,(TrAvia_act!S35/TrAvia_act!S25)/TrAvia_png!S13)</f>
        <v>0.470324858478471</v>
      </c>
      <c r="T19" s="89">
        <f>IF(TrAvia_act!T35=0,0,(TrAvia_act!T35/TrAvia_act!T25)/TrAvia_png!T13)</f>
        <v>0.4650618928885375</v>
      </c>
      <c r="U19" s="89">
        <f>IF(TrAvia_act!U35=0,0,(TrAvia_act!U35/TrAvia_act!U25)/TrAvia_png!U13)</f>
        <v>0.45154695455507654</v>
      </c>
      <c r="V19" s="89">
        <f>IF(TrAvia_act!V35=0,0,(TrAvia_act!V35/TrAvia_act!V25)/TrAvia_png!V13)</f>
        <v>0.14840121088818892</v>
      </c>
      <c r="W19" s="89">
        <f>IF(TrAvia_act!W35=0,0,(TrAvia_act!W35/TrAvia_act!W25)/TrAvia_png!W13)</f>
        <v>0.14871759323443784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0.73956670572803074</v>
      </c>
      <c r="C20" s="89">
        <f>IF(TrAvia_act!C36=0,0,(TrAvia_act!C36/TrAvia_act!C26)/TrAvia_png!C14)</f>
        <v>0.74125255430809922</v>
      </c>
      <c r="D20" s="89">
        <f>IF(TrAvia_act!D36=0,0,(TrAvia_act!D36/TrAvia_act!D26)/TrAvia_png!D14)</f>
        <v>0.74366192778480567</v>
      </c>
      <c r="E20" s="89">
        <f>IF(TrAvia_act!E36=0,0,(TrAvia_act!E36/TrAvia_act!E26)/TrAvia_png!E14)</f>
        <v>0.74413381832500047</v>
      </c>
      <c r="F20" s="89">
        <f>IF(TrAvia_act!F36=0,0,(TrAvia_act!F36/TrAvia_act!F26)/TrAvia_png!F14)</f>
        <v>0.74436374103547787</v>
      </c>
      <c r="G20" s="89">
        <f>IF(TrAvia_act!G36=0,0,(TrAvia_act!G36/TrAvia_act!G26)/TrAvia_png!G14)</f>
        <v>0.74570997781608983</v>
      </c>
      <c r="H20" s="89">
        <f>IF(TrAvia_act!H36=0,0,(TrAvia_act!H36/TrAvia_act!H26)/TrAvia_png!H14)</f>
        <v>0.75019871764532975</v>
      </c>
      <c r="I20" s="89">
        <f>IF(TrAvia_act!I36=0,0,(TrAvia_act!I36/TrAvia_act!I26)/TrAvia_png!I14)</f>
        <v>0.75347796722920701</v>
      </c>
      <c r="J20" s="89">
        <f>IF(TrAvia_act!J36=0,0,(TrAvia_act!J36/TrAvia_act!J26)/TrAvia_png!J14)</f>
        <v>0.73129647750056614</v>
      </c>
      <c r="K20" s="89">
        <f>IF(TrAvia_act!K36=0,0,(TrAvia_act!K36/TrAvia_act!K26)/TrAvia_png!K14)</f>
        <v>0.73750808455095684</v>
      </c>
      <c r="L20" s="89">
        <f>IF(TrAvia_act!L36=0,0,(TrAvia_act!L36/TrAvia_act!L26)/TrAvia_png!L14)</f>
        <v>0.74587323904140646</v>
      </c>
      <c r="M20" s="89">
        <f>IF(TrAvia_act!M36=0,0,(TrAvia_act!M36/TrAvia_act!M26)/TrAvia_png!M14)</f>
        <v>0.75623117536222761</v>
      </c>
      <c r="N20" s="89">
        <f>IF(TrAvia_act!N36=0,0,(TrAvia_act!N36/TrAvia_act!N26)/TrAvia_png!N14)</f>
        <v>0.74455600894877316</v>
      </c>
      <c r="O20" s="89">
        <f>IF(TrAvia_act!O36=0,0,(TrAvia_act!O36/TrAvia_act!O26)/TrAvia_png!O14)</f>
        <v>0.75650459157255368</v>
      </c>
      <c r="P20" s="89">
        <f>IF(TrAvia_act!P36=0,0,(TrAvia_act!P36/TrAvia_act!P26)/TrAvia_png!P14)</f>
        <v>0.77076597555312232</v>
      </c>
      <c r="Q20" s="89">
        <f>IF(TrAvia_act!Q36=0,0,(TrAvia_act!Q36/TrAvia_act!Q26)/TrAvia_png!Q14)</f>
        <v>0.80935010352172032</v>
      </c>
      <c r="R20" s="89">
        <f>IF(TrAvia_act!R36=0,0,(TrAvia_act!R36/TrAvia_act!R26)/TrAvia_png!R14)</f>
        <v>0.82127773603783216</v>
      </c>
      <c r="S20" s="89">
        <f>IF(TrAvia_act!S36=0,0,(TrAvia_act!S36/TrAvia_act!S26)/TrAvia_png!S14)</f>
        <v>0.83544734484379257</v>
      </c>
      <c r="T20" s="89">
        <f>IF(TrAvia_act!T36=0,0,(TrAvia_act!T36/TrAvia_act!T26)/TrAvia_png!T14)</f>
        <v>0.83607288614879427</v>
      </c>
      <c r="U20" s="89">
        <f>IF(TrAvia_act!U36=0,0,(TrAvia_act!U36/TrAvia_act!U26)/TrAvia_png!U14)</f>
        <v>0.83581812458892835</v>
      </c>
      <c r="V20" s="89">
        <f>IF(TrAvia_act!V36=0,0,(TrAvia_act!V36/TrAvia_act!V26)/TrAvia_png!V14)</f>
        <v>0.56922531724995729</v>
      </c>
      <c r="W20" s="89">
        <f>IF(TrAvia_act!W36=0,0,(TrAvia_act!W36/TrAvia_act!W26)/TrAvia_png!W14)</f>
        <v>0.63492488250369661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0.83023002156538683</v>
      </c>
      <c r="C21" s="90">
        <f>IF(TrAvia_act!C37=0,0,(TrAvia_act!C37/TrAvia_act!C27)/TrAvia_png!C15)</f>
        <v>0.82917908011972474</v>
      </c>
      <c r="D21" s="90">
        <f>IF(TrAvia_act!D37=0,0,(TrAvia_act!D37/TrAvia_act!D27)/TrAvia_png!D15)</f>
        <v>0.82693961809736805</v>
      </c>
      <c r="E21" s="90">
        <f>IF(TrAvia_act!E37=0,0,(TrAvia_act!E37/TrAvia_act!E27)/TrAvia_png!E15)</f>
        <v>0.8219452308237355</v>
      </c>
      <c r="F21" s="90">
        <f>IF(TrAvia_act!F37=0,0,(TrAvia_act!F37/TrAvia_act!F27)/TrAvia_png!F15)</f>
        <v>0.81882262005873507</v>
      </c>
      <c r="G21" s="90">
        <f>IF(TrAvia_act!G37=0,0,(TrAvia_act!G37/TrAvia_act!G27)/TrAvia_png!G15)</f>
        <v>0.81643229675792206</v>
      </c>
      <c r="H21" s="90">
        <f>IF(TrAvia_act!H37=0,0,(TrAvia_act!H37/TrAvia_act!H27)/TrAvia_png!H15)</f>
        <v>0.81529399922486645</v>
      </c>
      <c r="I21" s="90">
        <f>IF(TrAvia_act!I37=0,0,(TrAvia_act!I37/TrAvia_act!I27)/TrAvia_png!I15)</f>
        <v>0.79765411498284533</v>
      </c>
      <c r="J21" s="90">
        <f>IF(TrAvia_act!J37=0,0,(TrAvia_act!J37/TrAvia_act!J27)/TrAvia_png!J15)</f>
        <v>0.75816755425643667</v>
      </c>
      <c r="K21" s="90">
        <f>IF(TrAvia_act!K37=0,0,(TrAvia_act!K37/TrAvia_act!K27)/TrAvia_png!K15)</f>
        <v>0.77830004112338902</v>
      </c>
      <c r="L21" s="90">
        <f>IF(TrAvia_act!L37=0,0,(TrAvia_act!L37/TrAvia_act!L27)/TrAvia_png!L15)</f>
        <v>0.78521985548492135</v>
      </c>
      <c r="M21" s="90">
        <f>IF(TrAvia_act!M37=0,0,(TrAvia_act!M37/TrAvia_act!M27)/TrAvia_png!M15)</f>
        <v>0.8002681783260216</v>
      </c>
      <c r="N21" s="90">
        <f>IF(TrAvia_act!N37=0,0,(TrAvia_act!N37/TrAvia_act!N27)/TrAvia_png!N15)</f>
        <v>0.83573788207369537</v>
      </c>
      <c r="O21" s="90">
        <f>IF(TrAvia_act!O37=0,0,(TrAvia_act!O37/TrAvia_act!O27)/TrAvia_png!O15)</f>
        <v>0.85049779972929196</v>
      </c>
      <c r="P21" s="90">
        <f>IF(TrAvia_act!P37=0,0,(TrAvia_act!P37/TrAvia_act!P27)/TrAvia_png!P15)</f>
        <v>0.83708098166146738</v>
      </c>
      <c r="Q21" s="90">
        <f>IF(TrAvia_act!Q37=0,0,(TrAvia_act!Q37/TrAvia_act!Q27)/TrAvia_png!Q15)</f>
        <v>0.83054080550092857</v>
      </c>
      <c r="R21" s="90">
        <f>IF(TrAvia_act!R37=0,0,(TrAvia_act!R37/TrAvia_act!R27)/TrAvia_png!R15)</f>
        <v>0.83219432103185587</v>
      </c>
      <c r="S21" s="90">
        <f>IF(TrAvia_act!S37=0,0,(TrAvia_act!S37/TrAvia_act!S27)/TrAvia_png!S15)</f>
        <v>0.82118525934768372</v>
      </c>
      <c r="T21" s="90">
        <f>IF(TrAvia_act!T37=0,0,(TrAvia_act!T37/TrAvia_act!T27)/TrAvia_png!T15)</f>
        <v>0.81174892129348097</v>
      </c>
      <c r="U21" s="90">
        <f>IF(TrAvia_act!U37=0,0,(TrAvia_act!U37/TrAvia_act!U27)/TrAvia_png!U15)</f>
        <v>0.83825473219707336</v>
      </c>
      <c r="V21" s="90">
        <f>IF(TrAvia_act!V37=0,0,(TrAvia_act!V37/TrAvia_act!V27)/TrAvia_png!V15)</f>
        <v>0.43307445871858297</v>
      </c>
      <c r="W21" s="90">
        <f>IF(TrAvia_act!W37=0,0,(TrAvia_act!W37/TrAvia_act!W27)/TrAvia_png!W15)</f>
        <v>0.4729159351658998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5.0307511763586409E-2</v>
      </c>
      <c r="C24" s="23">
        <f>IF(TrAvia_ene!C6=0,0,TrAvia_ene!C6/(C12*TrAvia_act!C14))</f>
        <v>5.6324593462172494E-2</v>
      </c>
      <c r="D24" s="23">
        <f>IF(TrAvia_ene!D6=0,0,TrAvia_ene!D6/(D12*TrAvia_act!D14))</f>
        <v>5.9293595151640469E-2</v>
      </c>
      <c r="E24" s="23">
        <f>IF(TrAvia_ene!E6=0,0,TrAvia_ene!E6/(E12*TrAvia_act!E14))</f>
        <v>5.7726715778472347E-2</v>
      </c>
      <c r="F24" s="23">
        <f>IF(TrAvia_ene!F6=0,0,TrAvia_ene!F6/(F12*TrAvia_act!F14))</f>
        <v>4.9873733307799747E-2</v>
      </c>
      <c r="G24" s="23">
        <f>IF(TrAvia_ene!G6=0,0,TrAvia_ene!G6/(G12*TrAvia_act!G14))</f>
        <v>4.6925469933642674E-2</v>
      </c>
      <c r="H24" s="23">
        <f>IF(TrAvia_ene!H6=0,0,TrAvia_ene!H6/(H12*TrAvia_act!H14))</f>
        <v>3.9126362219492804E-2</v>
      </c>
      <c r="I24" s="23">
        <f>IF(TrAvia_ene!I6=0,0,TrAvia_ene!I6/(I12*TrAvia_act!I14))</f>
        <v>3.9521424271634353E-2</v>
      </c>
      <c r="J24" s="23">
        <f>IF(TrAvia_ene!J6=0,0,TrAvia_ene!J6/(J12*TrAvia_act!J14))</f>
        <v>3.6589011518718094E-2</v>
      </c>
      <c r="K24" s="23">
        <f>IF(TrAvia_ene!K6=0,0,TrAvia_ene!K6/(K12*TrAvia_act!K14))</f>
        <v>2.648093062000971E-2</v>
      </c>
      <c r="L24" s="23">
        <f>IF(TrAvia_ene!L6=0,0,TrAvia_ene!L6/(L12*TrAvia_act!L14))</f>
        <v>3.8282707094627347E-2</v>
      </c>
      <c r="M24" s="23">
        <f>IF(TrAvia_ene!M6=0,0,TrAvia_ene!M6/(M12*TrAvia_act!M14))</f>
        <v>3.43218307300815E-2</v>
      </c>
      <c r="N24" s="23">
        <f>IF(TrAvia_ene!N6=0,0,TrAvia_ene!N6/(N12*TrAvia_act!N14))</f>
        <v>2.8730340081539636E-2</v>
      </c>
      <c r="O24" s="23">
        <f>IF(TrAvia_ene!O6=0,0,TrAvia_ene!O6/(O12*TrAvia_act!O14))</f>
        <v>3.0790383426701352E-2</v>
      </c>
      <c r="P24" s="23">
        <f>IF(TrAvia_ene!P6=0,0,TrAvia_ene!P6/(P12*TrAvia_act!P14))</f>
        <v>3.3371797966101353E-2</v>
      </c>
      <c r="Q24" s="23">
        <f>IF(TrAvia_ene!Q6=0,0,TrAvia_ene!Q6/(Q12*TrAvia_act!Q14))</f>
        <v>3.3492446496829635E-2</v>
      </c>
      <c r="R24" s="23">
        <f>IF(TrAvia_ene!R6=0,0,TrAvia_ene!R6/(R12*TrAvia_act!R14))</f>
        <v>3.1665000743806508E-2</v>
      </c>
      <c r="S24" s="23">
        <f>IF(TrAvia_ene!S6=0,0,TrAvia_ene!S6/(S12*TrAvia_act!S14))</f>
        <v>3.34106500191979E-2</v>
      </c>
      <c r="T24" s="23">
        <f>IF(TrAvia_ene!T6=0,0,TrAvia_ene!T6/(T12*TrAvia_act!T14))</f>
        <v>3.2744469768153171E-2</v>
      </c>
      <c r="U24" s="23">
        <f>IF(TrAvia_ene!U6=0,0,TrAvia_ene!U6/(U12*TrAvia_act!U14))</f>
        <v>3.2148644260800781E-2</v>
      </c>
      <c r="V24" s="23">
        <f>IF(TrAvia_ene!V6=0,0,TrAvia_ene!V6/(V12*TrAvia_act!V14))</f>
        <v>3.3312167781507668E-2</v>
      </c>
      <c r="W24" s="23">
        <f>IF(TrAvia_ene!W6=0,0,TrAvia_ene!W6/(W12*TrAvia_act!W14))</f>
        <v>3.4015179153626222E-2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7.3734304688355817E-2</v>
      </c>
      <c r="C25" s="91">
        <f>IF(TrAvia_ene!C7=0,0,TrAvia_ene!C7/(C13*TrAvia_act!C15))</f>
        <v>8.5478508305527792E-2</v>
      </c>
      <c r="D25" s="91">
        <f>IF(TrAvia_ene!D7=0,0,TrAvia_ene!D7/(D13*TrAvia_act!D15))</f>
        <v>9.7391225711485827E-2</v>
      </c>
      <c r="E25" s="91">
        <f>IF(TrAvia_ene!E7=0,0,TrAvia_ene!E7/(E13*TrAvia_act!E15))</f>
        <v>8.531045601615822E-2</v>
      </c>
      <c r="F25" s="91">
        <f>IF(TrAvia_ene!F7=0,0,TrAvia_ene!F7/(F13*TrAvia_act!F15))</f>
        <v>8.6299204222102688E-2</v>
      </c>
      <c r="G25" s="91">
        <f>IF(TrAvia_ene!G7=0,0,TrAvia_ene!G7/(G13*TrAvia_act!G15))</f>
        <v>8.7438633952861444E-2</v>
      </c>
      <c r="H25" s="91">
        <f>IF(TrAvia_ene!H7=0,0,TrAvia_ene!H7/(H13*TrAvia_act!H15))</f>
        <v>0.10274337360076055</v>
      </c>
      <c r="I25" s="91">
        <f>IF(TrAvia_ene!I7=0,0,TrAvia_ene!I7/(I13*TrAvia_act!I15))</f>
        <v>9.2400132647102867E-2</v>
      </c>
      <c r="J25" s="91">
        <f>IF(TrAvia_ene!J7=0,0,TrAvia_ene!J7/(J13*TrAvia_act!J15))</f>
        <v>8.2630504934045085E-2</v>
      </c>
      <c r="K25" s="91">
        <f>IF(TrAvia_ene!K7=0,0,TrAvia_ene!K7/(K13*TrAvia_act!K15))</f>
        <v>8.0904973202178196E-2</v>
      </c>
      <c r="L25" s="91">
        <f>IF(TrAvia_ene!L7=0,0,TrAvia_ene!L7/(L13*TrAvia_act!L15))</f>
        <v>9.8103251708907213E-2</v>
      </c>
      <c r="M25" s="91">
        <f>IF(TrAvia_ene!M7=0,0,TrAvia_ene!M7/(M13*TrAvia_act!M15))</f>
        <v>9.1091182753457928E-2</v>
      </c>
      <c r="N25" s="91">
        <f>IF(TrAvia_ene!N7=0,0,TrAvia_ene!N7/(N13*TrAvia_act!N15))</f>
        <v>0.17613257175633187</v>
      </c>
      <c r="O25" s="91">
        <f>IF(TrAvia_ene!O7=0,0,TrAvia_ene!O7/(O13*TrAvia_act!O15))</f>
        <v>0.18419421616396942</v>
      </c>
      <c r="P25" s="91">
        <f>IF(TrAvia_ene!P7=0,0,TrAvia_ene!P7/(P13*TrAvia_act!P15))</f>
        <v>0.20279732960876079</v>
      </c>
      <c r="Q25" s="91">
        <f>IF(TrAvia_ene!Q7=0,0,TrAvia_ene!Q7/(Q13*TrAvia_act!Q15))</f>
        <v>0.16745324850380131</v>
      </c>
      <c r="R25" s="91">
        <f>IF(TrAvia_ene!R7=0,0,TrAvia_ene!R7/(R13*TrAvia_act!R15))</f>
        <v>8.2705516490825068E-2</v>
      </c>
      <c r="S25" s="91">
        <f>IF(TrAvia_ene!S7=0,0,TrAvia_ene!S7/(S13*TrAvia_act!S15))</f>
        <v>0.11392687059103979</v>
      </c>
      <c r="T25" s="91">
        <f>IF(TrAvia_ene!T7=0,0,TrAvia_ene!T7/(T13*TrAvia_act!T15))</f>
        <v>9.434161848481333E-2</v>
      </c>
      <c r="U25" s="91">
        <f>IF(TrAvia_ene!U7=0,0,TrAvia_ene!U7/(U13*TrAvia_act!U15))</f>
        <v>0.10802541870449001</v>
      </c>
      <c r="V25" s="91">
        <f>IF(TrAvia_ene!V7=0,0,TrAvia_ene!V7/(V13*TrAvia_act!V15))</f>
        <v>9.3175856529986931E-2</v>
      </c>
      <c r="W25" s="91">
        <f>IF(TrAvia_ene!W7=0,0,TrAvia_ene!W7/(W13*TrAvia_act!W15))</f>
        <v>9.2413225103478977E-2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4.4198015535965494E-2</v>
      </c>
      <c r="C26" s="93">
        <f>IF(TrAvia_ene!C8=0,0,TrAvia_ene!C8/(C14*TrAvia_act!C16))</f>
        <v>4.949472131955706E-2</v>
      </c>
      <c r="D26" s="93">
        <f>IF(TrAvia_ene!D8=0,0,TrAvia_ene!D8/(D14*TrAvia_act!D16))</f>
        <v>5.1988923850488956E-2</v>
      </c>
      <c r="E26" s="93">
        <f>IF(TrAvia_ene!E8=0,0,TrAvia_ene!E8/(E14*TrAvia_act!E16))</f>
        <v>5.1087646381022256E-2</v>
      </c>
      <c r="F26" s="93">
        <f>IF(TrAvia_ene!F8=0,0,TrAvia_ene!F8/(F14*TrAvia_act!F16))</f>
        <v>4.3830962926920479E-2</v>
      </c>
      <c r="G26" s="93">
        <f>IF(TrAvia_ene!G8=0,0,TrAvia_ene!G8/(G14*TrAvia_act!G16))</f>
        <v>4.1689545675009702E-2</v>
      </c>
      <c r="H26" s="93">
        <f>IF(TrAvia_ene!H8=0,0,TrAvia_ene!H8/(H14*TrAvia_act!H16))</f>
        <v>3.486160345022956E-2</v>
      </c>
      <c r="I26" s="93">
        <f>IF(TrAvia_ene!I8=0,0,TrAvia_ene!I8/(I14*TrAvia_act!I16))</f>
        <v>3.6979835955335133E-2</v>
      </c>
      <c r="J26" s="93">
        <f>IF(TrAvia_ene!J8=0,0,TrAvia_ene!J8/(J14*TrAvia_act!J16))</f>
        <v>3.4054847547857633E-2</v>
      </c>
      <c r="K26" s="93">
        <f>IF(TrAvia_ene!K8=0,0,TrAvia_ene!K8/(K14*TrAvia_act!K16))</f>
        <v>2.3683307614265278E-2</v>
      </c>
      <c r="L26" s="93">
        <f>IF(TrAvia_ene!L8=0,0,TrAvia_ene!L8/(L14*TrAvia_act!L16))</f>
        <v>3.5067588714836895E-2</v>
      </c>
      <c r="M26" s="93">
        <f>IF(TrAvia_ene!M8=0,0,TrAvia_ene!M8/(M14*TrAvia_act!M16))</f>
        <v>3.2616637557933509E-2</v>
      </c>
      <c r="N26" s="93">
        <f>IF(TrAvia_ene!N8=0,0,TrAvia_ene!N8/(N14*TrAvia_act!N16))</f>
        <v>2.6975867003366308E-2</v>
      </c>
      <c r="O26" s="93">
        <f>IF(TrAvia_ene!O8=0,0,TrAvia_ene!O8/(O14*TrAvia_act!O16))</f>
        <v>2.9392414148512506E-2</v>
      </c>
      <c r="P26" s="93">
        <f>IF(TrAvia_ene!P8=0,0,TrAvia_ene!P8/(P14*TrAvia_act!P16))</f>
        <v>3.3484817655558073E-2</v>
      </c>
      <c r="Q26" s="93">
        <f>IF(TrAvia_ene!Q8=0,0,TrAvia_ene!Q8/(Q14*TrAvia_act!Q16))</f>
        <v>3.5265199727825644E-2</v>
      </c>
      <c r="R26" s="93">
        <f>IF(TrAvia_ene!R8=0,0,TrAvia_ene!R8/(R14*TrAvia_act!R16))</f>
        <v>3.3881635876952448E-2</v>
      </c>
      <c r="S26" s="93">
        <f>IF(TrAvia_ene!S8=0,0,TrAvia_ene!S8/(S14*TrAvia_act!S16))</f>
        <v>3.8090630050170729E-2</v>
      </c>
      <c r="T26" s="93">
        <f>IF(TrAvia_ene!T8=0,0,TrAvia_ene!T8/(T14*TrAvia_act!T16))</f>
        <v>3.9146381099437702E-2</v>
      </c>
      <c r="U26" s="93">
        <f>IF(TrAvia_ene!U8=0,0,TrAvia_ene!U8/(U14*TrAvia_act!U16))</f>
        <v>3.6696142183724356E-2</v>
      </c>
      <c r="V26" s="93">
        <f>IF(TrAvia_ene!V8=0,0,TrAvia_ene!V8/(V14*TrAvia_act!V16))</f>
        <v>3.137701461679606E-2</v>
      </c>
      <c r="W26" s="93">
        <f>IF(TrAvia_ene!W8=0,0,TrAvia_ene!W8/(W14*TrAvia_act!W16))</f>
        <v>3.1880270937163155E-2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4.0136561399523422E-2</v>
      </c>
      <c r="C27" s="94">
        <f>IF(TrAvia_ene!C9=0,0,TrAvia_ene!C9/(C15*TrAvia_act!C17))</f>
        <v>4.5894592605453699E-2</v>
      </c>
      <c r="D27" s="94">
        <f>IF(TrAvia_ene!D9=0,0,TrAvia_ene!D9/(D15*TrAvia_act!D17))</f>
        <v>4.9023289785046283E-2</v>
      </c>
      <c r="E27" s="94">
        <f>IF(TrAvia_ene!E9=0,0,TrAvia_ene!E9/(E15*TrAvia_act!E17))</f>
        <v>4.8620678309816728E-2</v>
      </c>
      <c r="F27" s="94">
        <f>IF(TrAvia_ene!F9=0,0,TrAvia_ene!F9/(F15*TrAvia_act!F17))</f>
        <v>4.2141802323986267E-2</v>
      </c>
      <c r="G27" s="94">
        <f>IF(TrAvia_ene!G9=0,0,TrAvia_ene!G9/(G15*TrAvia_act!G17))</f>
        <v>4.0719145532387861E-2</v>
      </c>
      <c r="H27" s="94">
        <f>IF(TrAvia_ene!H9=0,0,TrAvia_ene!H9/(H15*TrAvia_act!H17))</f>
        <v>3.525967668783947E-2</v>
      </c>
      <c r="I27" s="94">
        <f>IF(TrAvia_ene!I9=0,0,TrAvia_ene!I9/(I15*TrAvia_act!I17))</f>
        <v>3.6015569373470654E-2</v>
      </c>
      <c r="J27" s="94">
        <f>IF(TrAvia_ene!J9=0,0,TrAvia_ene!J9/(J15*TrAvia_act!J17))</f>
        <v>3.0855293046488475E-2</v>
      </c>
      <c r="K27" s="94">
        <f>IF(TrAvia_ene!K9=0,0,TrAvia_ene!K9/(K15*TrAvia_act!K17))</f>
        <v>2.2806233727609301E-2</v>
      </c>
      <c r="L27" s="94">
        <f>IF(TrAvia_ene!L9=0,0,TrAvia_ene!L9/(L15*TrAvia_act!L17))</f>
        <v>3.3672388306827512E-2</v>
      </c>
      <c r="M27" s="94">
        <f>IF(TrAvia_ene!M9=0,0,TrAvia_ene!M9/(M15*TrAvia_act!M17))</f>
        <v>3.0864764715332439E-2</v>
      </c>
      <c r="N27" s="94">
        <f>IF(TrAvia_ene!N9=0,0,TrAvia_ene!N9/(N15*TrAvia_act!N17))</f>
        <v>2.4753435784463918E-2</v>
      </c>
      <c r="O27" s="94">
        <f>IF(TrAvia_ene!O9=0,0,TrAvia_ene!O9/(O15*TrAvia_act!O17))</f>
        <v>2.4634730688353347E-2</v>
      </c>
      <c r="P27" s="94">
        <f>IF(TrAvia_ene!P9=0,0,TrAvia_ene!P9/(P15*TrAvia_act!P17))</f>
        <v>2.4341502575008538E-2</v>
      </c>
      <c r="Q27" s="94">
        <f>IF(TrAvia_ene!Q9=0,0,TrAvia_ene!Q9/(Q15*TrAvia_act!Q17))</f>
        <v>2.2924741413184277E-2</v>
      </c>
      <c r="R27" s="94">
        <f>IF(TrAvia_ene!R9=0,0,TrAvia_ene!R9/(R15*TrAvia_act!R17))</f>
        <v>2.0716808737385746E-2</v>
      </c>
      <c r="S27" s="94">
        <f>IF(TrAvia_ene!S9=0,0,TrAvia_ene!S9/(S15*TrAvia_act!S17))</f>
        <v>1.9691987070793067E-2</v>
      </c>
      <c r="T27" s="94">
        <f>IF(TrAvia_ene!T9=0,0,TrAvia_ene!T9/(T15*TrAvia_act!T17))</f>
        <v>1.824604162783193E-2</v>
      </c>
      <c r="U27" s="94">
        <f>IF(TrAvia_ene!U9=0,0,TrAvia_ene!U9/(U15*TrAvia_act!U17))</f>
        <v>1.9273933463350271E-2</v>
      </c>
      <c r="V27" s="94">
        <f>IF(TrAvia_ene!V9=0,0,TrAvia_ene!V9/(V15*TrAvia_act!V17))</f>
        <v>2.4246710111440438E-2</v>
      </c>
      <c r="W27" s="94">
        <f>IF(TrAvia_ene!W9=0,0,TrAvia_ene!W9/(W15*TrAvia_act!W17))</f>
        <v>2.9165316392455617E-2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192.09899999999999</v>
      </c>
      <c r="C3" s="54">
        <f t="shared" si="0"/>
        <v>166.958</v>
      </c>
      <c r="D3" s="54">
        <f t="shared" si="0"/>
        <v>116.95399999999999</v>
      </c>
      <c r="E3" s="54">
        <f t="shared" si="0"/>
        <v>130.566</v>
      </c>
      <c r="F3" s="54">
        <f t="shared" si="0"/>
        <v>109.87</v>
      </c>
      <c r="G3" s="54">
        <f t="shared" si="0"/>
        <v>147.79</v>
      </c>
      <c r="H3" s="54">
        <f t="shared" si="0"/>
        <v>146.678</v>
      </c>
      <c r="I3" s="54">
        <f t="shared" si="0"/>
        <v>132.65</v>
      </c>
      <c r="J3" s="54">
        <f t="shared" si="0"/>
        <v>140.56700000000001</v>
      </c>
      <c r="K3" s="54">
        <f t="shared" si="0"/>
        <v>149.45599999999999</v>
      </c>
      <c r="L3" s="54">
        <f t="shared" si="0"/>
        <v>134.733</v>
      </c>
      <c r="M3" s="54">
        <f t="shared" si="0"/>
        <v>199.04400000000001</v>
      </c>
      <c r="N3" s="54">
        <f t="shared" si="0"/>
        <v>292.38499999999999</v>
      </c>
      <c r="O3" s="54">
        <f t="shared" si="0"/>
        <v>229.32400000000001</v>
      </c>
      <c r="P3" s="54">
        <f t="shared" si="0"/>
        <v>204.18299999999999</v>
      </c>
      <c r="Q3" s="54">
        <f t="shared" si="0"/>
        <v>164.18</v>
      </c>
      <c r="R3" s="54">
        <f t="shared" ref="R3:V3" si="1">SUM(R4:R5)</f>
        <v>140.428</v>
      </c>
      <c r="S3" s="54">
        <f t="shared" si="1"/>
        <v>128.483</v>
      </c>
      <c r="T3" s="54">
        <f t="shared" si="1"/>
        <v>165.56899999999999</v>
      </c>
      <c r="U3" s="54">
        <f t="shared" si="1"/>
        <v>198.905</v>
      </c>
      <c r="V3" s="54">
        <f t="shared" si="1"/>
        <v>201.54400000000001</v>
      </c>
      <c r="W3" s="54">
        <f t="shared" ref="W3" si="2">SUM(W4:W5)</f>
        <v>223.49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192.09899999999999</v>
      </c>
      <c r="C4" s="56">
        <v>166.958</v>
      </c>
      <c r="D4" s="56">
        <v>116.95399999999999</v>
      </c>
      <c r="E4" s="56">
        <v>130.566</v>
      </c>
      <c r="F4" s="56">
        <v>109.87</v>
      </c>
      <c r="G4" s="56">
        <v>147.79</v>
      </c>
      <c r="H4" s="56">
        <v>146.678</v>
      </c>
      <c r="I4" s="56">
        <v>132.65</v>
      </c>
      <c r="J4" s="56">
        <v>140.56700000000001</v>
      </c>
      <c r="K4" s="56">
        <v>149.45599999999999</v>
      </c>
      <c r="L4" s="56">
        <v>134.733</v>
      </c>
      <c r="M4" s="56">
        <v>199.04400000000001</v>
      </c>
      <c r="N4" s="56">
        <v>292.38499999999999</v>
      </c>
      <c r="O4" s="56">
        <v>229.32400000000001</v>
      </c>
      <c r="P4" s="56">
        <v>204.18299999999999</v>
      </c>
      <c r="Q4" s="56">
        <v>164.18</v>
      </c>
      <c r="R4" s="56">
        <v>140.428</v>
      </c>
      <c r="S4" s="56">
        <v>128.483</v>
      </c>
      <c r="T4" s="56">
        <v>165.56899999999999</v>
      </c>
      <c r="U4" s="56">
        <v>198.905</v>
      </c>
      <c r="V4" s="56">
        <v>201.54400000000001</v>
      </c>
      <c r="W4" s="56">
        <v>223.49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0.14000000000000001</v>
      </c>
      <c r="C7" s="59">
        <f t="shared" si="3"/>
        <v>0.104</v>
      </c>
      <c r="D7" s="59">
        <f t="shared" si="3"/>
        <v>0.09</v>
      </c>
      <c r="E7" s="59">
        <f t="shared" si="3"/>
        <v>0.1</v>
      </c>
      <c r="F7" s="59">
        <f t="shared" si="3"/>
        <v>0.106</v>
      </c>
      <c r="G7" s="59">
        <f t="shared" si="3"/>
        <v>0.111</v>
      </c>
      <c r="H7" s="59">
        <f t="shared" si="3"/>
        <v>0.157</v>
      </c>
      <c r="I7" s="59">
        <f t="shared" si="3"/>
        <v>0.152</v>
      </c>
      <c r="J7" s="59">
        <f t="shared" si="3"/>
        <v>0.15</v>
      </c>
      <c r="K7" s="59">
        <f t="shared" si="3"/>
        <v>0.13100000000000001</v>
      </c>
      <c r="L7" s="59">
        <f t="shared" si="3"/>
        <v>0.122</v>
      </c>
      <c r="M7" s="59">
        <f t="shared" si="3"/>
        <v>0.183</v>
      </c>
      <c r="N7" s="59">
        <f t="shared" si="3"/>
        <v>0.25800000000000001</v>
      </c>
      <c r="O7" s="59">
        <f t="shared" si="3"/>
        <v>0.20799999999999999</v>
      </c>
      <c r="P7" s="59">
        <f t="shared" si="3"/>
        <v>0.17599999999999999</v>
      </c>
      <c r="Q7" s="59">
        <f t="shared" si="3"/>
        <v>0.20899999999999999</v>
      </c>
      <c r="R7" s="59">
        <f t="shared" ref="R7:V7" si="4">SUM(R8:R9)</f>
        <v>0.14499999999999999</v>
      </c>
      <c r="S7" s="59">
        <f t="shared" si="4"/>
        <v>0.13600000000000001</v>
      </c>
      <c r="T7" s="59">
        <f t="shared" si="4"/>
        <v>0.192</v>
      </c>
      <c r="U7" s="59">
        <f t="shared" si="4"/>
        <v>0.248</v>
      </c>
      <c r="V7" s="59">
        <f t="shared" si="4"/>
        <v>0.224</v>
      </c>
      <c r="W7" s="59">
        <f t="shared" ref="W7" si="5">SUM(W8:W9)</f>
        <v>0.254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0.14000000000000001</v>
      </c>
      <c r="C8" s="60">
        <v>0.104</v>
      </c>
      <c r="D8" s="60">
        <v>0.09</v>
      </c>
      <c r="E8" s="60">
        <v>0.1</v>
      </c>
      <c r="F8" s="60">
        <v>0.106</v>
      </c>
      <c r="G8" s="60">
        <v>0.111</v>
      </c>
      <c r="H8" s="60">
        <v>0.157</v>
      </c>
      <c r="I8" s="60">
        <v>0.152</v>
      </c>
      <c r="J8" s="60">
        <v>0.15</v>
      </c>
      <c r="K8" s="60">
        <v>0.13100000000000001</v>
      </c>
      <c r="L8" s="60">
        <v>0.122</v>
      </c>
      <c r="M8" s="60">
        <v>0.183</v>
      </c>
      <c r="N8" s="60">
        <v>0.25800000000000001</v>
      </c>
      <c r="O8" s="60">
        <v>0.20799999999999999</v>
      </c>
      <c r="P8" s="60">
        <v>0.17599999999999999</v>
      </c>
      <c r="Q8" s="60">
        <v>0.20899999999999999</v>
      </c>
      <c r="R8" s="60">
        <v>0.14499999999999999</v>
      </c>
      <c r="S8" s="60">
        <v>0.13600000000000001</v>
      </c>
      <c r="T8" s="60">
        <v>0.192</v>
      </c>
      <c r="U8" s="60">
        <v>0.248</v>
      </c>
      <c r="V8" s="60">
        <v>0.224</v>
      </c>
      <c r="W8" s="60">
        <v>0.254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1372.1357142857141</v>
      </c>
      <c r="C13" s="62">
        <f t="shared" si="6"/>
        <v>1605.3653846153848</v>
      </c>
      <c r="D13" s="62">
        <f t="shared" si="6"/>
        <v>1299.4888888888888</v>
      </c>
      <c r="E13" s="62">
        <f t="shared" si="6"/>
        <v>1305.6599999999999</v>
      </c>
      <c r="F13" s="62">
        <f t="shared" ref="F13:V13" si="7">IF(F3=0,0,F3/F7)</f>
        <v>1036.5094339622642</v>
      </c>
      <c r="G13" s="62">
        <f t="shared" si="7"/>
        <v>1331.4414414414414</v>
      </c>
      <c r="H13" s="62">
        <f t="shared" si="7"/>
        <v>934.25477707006371</v>
      </c>
      <c r="I13" s="62">
        <f t="shared" si="7"/>
        <v>872.69736842105272</v>
      </c>
      <c r="J13" s="62">
        <f t="shared" si="7"/>
        <v>937.11333333333346</v>
      </c>
      <c r="K13" s="62">
        <f t="shared" si="7"/>
        <v>1140.885496183206</v>
      </c>
      <c r="L13" s="62">
        <f t="shared" si="7"/>
        <v>1104.3688524590164</v>
      </c>
      <c r="M13" s="62">
        <f t="shared" si="7"/>
        <v>1087.672131147541</v>
      </c>
      <c r="N13" s="62">
        <f t="shared" si="7"/>
        <v>1133.2751937984494</v>
      </c>
      <c r="O13" s="62">
        <f t="shared" si="7"/>
        <v>1102.5192307692309</v>
      </c>
      <c r="P13" s="62">
        <f t="shared" si="7"/>
        <v>1160.1306818181818</v>
      </c>
      <c r="Q13" s="62">
        <f t="shared" si="7"/>
        <v>785.5502392344498</v>
      </c>
      <c r="R13" s="62">
        <f t="shared" si="7"/>
        <v>968.46896551724137</v>
      </c>
      <c r="S13" s="62">
        <f t="shared" si="7"/>
        <v>944.72794117647049</v>
      </c>
      <c r="T13" s="62">
        <f t="shared" si="7"/>
        <v>862.33854166666663</v>
      </c>
      <c r="U13" s="62">
        <f t="shared" si="7"/>
        <v>802.03629032258061</v>
      </c>
      <c r="V13" s="62">
        <f t="shared" si="7"/>
        <v>899.75</v>
      </c>
      <c r="W13" s="62">
        <f t="shared" ref="W13" si="8">IF(W3=0,0,W3/W7)</f>
        <v>879.88188976377955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1372.1357142857141</v>
      </c>
      <c r="C14" s="63">
        <f t="shared" si="6"/>
        <v>1605.3653846153848</v>
      </c>
      <c r="D14" s="63">
        <f t="shared" si="6"/>
        <v>1299.4888888888888</v>
      </c>
      <c r="E14" s="63">
        <f t="shared" si="6"/>
        <v>1305.6599999999999</v>
      </c>
      <c r="F14" s="63">
        <f t="shared" ref="F14:V14" si="9">IF(F4=0,0,F4/F8)</f>
        <v>1036.5094339622642</v>
      </c>
      <c r="G14" s="63">
        <f t="shared" si="9"/>
        <v>1331.4414414414414</v>
      </c>
      <c r="H14" s="63">
        <f t="shared" si="9"/>
        <v>934.25477707006371</v>
      </c>
      <c r="I14" s="63">
        <f t="shared" si="9"/>
        <v>872.69736842105272</v>
      </c>
      <c r="J14" s="63">
        <f t="shared" si="9"/>
        <v>937.11333333333346</v>
      </c>
      <c r="K14" s="63">
        <f t="shared" si="9"/>
        <v>1140.885496183206</v>
      </c>
      <c r="L14" s="63">
        <f t="shared" si="9"/>
        <v>1104.3688524590164</v>
      </c>
      <c r="M14" s="63">
        <f t="shared" si="9"/>
        <v>1087.672131147541</v>
      </c>
      <c r="N14" s="63">
        <f t="shared" si="9"/>
        <v>1133.2751937984494</v>
      </c>
      <c r="O14" s="63">
        <f t="shared" si="9"/>
        <v>1102.5192307692309</v>
      </c>
      <c r="P14" s="63">
        <f t="shared" si="9"/>
        <v>1160.1306818181818</v>
      </c>
      <c r="Q14" s="63">
        <f t="shared" si="9"/>
        <v>785.5502392344498</v>
      </c>
      <c r="R14" s="63">
        <f t="shared" si="9"/>
        <v>968.46896551724137</v>
      </c>
      <c r="S14" s="63">
        <f t="shared" si="9"/>
        <v>944.72794117647049</v>
      </c>
      <c r="T14" s="63">
        <f t="shared" si="9"/>
        <v>862.33854166666663</v>
      </c>
      <c r="U14" s="63">
        <f t="shared" si="9"/>
        <v>802.03629032258061</v>
      </c>
      <c r="V14" s="63">
        <f t="shared" si="9"/>
        <v>899.75</v>
      </c>
      <c r="W14" s="63">
        <f t="shared" ref="W14" si="10">IF(W4=0,0,W4/W8)</f>
        <v>879.88188976377955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48.325709372312978</v>
      </c>
      <c r="C3" s="62">
        <f t="shared" ref="C3:V3" si="0">SUM(C4,C10)</f>
        <v>48.48632846087704</v>
      </c>
      <c r="D3" s="62">
        <f t="shared" si="0"/>
        <v>51.60051590713671</v>
      </c>
      <c r="E3" s="62">
        <f t="shared" si="0"/>
        <v>55.700773860705084</v>
      </c>
      <c r="F3" s="62">
        <f t="shared" si="0"/>
        <v>72.588392089423905</v>
      </c>
      <c r="G3" s="62">
        <f t="shared" si="0"/>
        <v>67.4536543422184</v>
      </c>
      <c r="H3" s="62">
        <f t="shared" si="0"/>
        <v>106.26233877901976</v>
      </c>
      <c r="I3" s="62">
        <f t="shared" si="0"/>
        <v>89.301375752364578</v>
      </c>
      <c r="J3" s="62">
        <f t="shared" si="0"/>
        <v>91.624677558039537</v>
      </c>
      <c r="K3" s="62">
        <f t="shared" si="0"/>
        <v>86.004127257093714</v>
      </c>
      <c r="L3" s="62">
        <f t="shared" si="0"/>
        <v>84.226655202063625</v>
      </c>
      <c r="M3" s="62">
        <f t="shared" si="0"/>
        <v>75.717798796216684</v>
      </c>
      <c r="N3" s="62">
        <f t="shared" si="0"/>
        <v>78.899570077386073</v>
      </c>
      <c r="O3" s="62">
        <f t="shared" si="0"/>
        <v>77.605503009458289</v>
      </c>
      <c r="P3" s="62">
        <f t="shared" si="0"/>
        <v>87.264918314703337</v>
      </c>
      <c r="Q3" s="62">
        <f t="shared" si="0"/>
        <v>71.4993981083405</v>
      </c>
      <c r="R3" s="62">
        <f t="shared" si="0"/>
        <v>85.920894239036969</v>
      </c>
      <c r="S3" s="62">
        <f t="shared" si="0"/>
        <v>75.868099742046425</v>
      </c>
      <c r="T3" s="62">
        <f t="shared" si="0"/>
        <v>83.913671539122959</v>
      </c>
      <c r="U3" s="62">
        <f t="shared" si="0"/>
        <v>89.371109200343923</v>
      </c>
      <c r="V3" s="62">
        <f t="shared" si="0"/>
        <v>109.2957007738607</v>
      </c>
      <c r="W3" s="62">
        <f t="shared" ref="W3" si="1">SUM(W4,W10)</f>
        <v>116.8748065348237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48.325709372312978</v>
      </c>
      <c r="C4" s="71">
        <f t="shared" ref="C4:V4" si="2">SUM(C5:C9)</f>
        <v>48.48632846087704</v>
      </c>
      <c r="D4" s="71">
        <f t="shared" si="2"/>
        <v>51.60051590713671</v>
      </c>
      <c r="E4" s="71">
        <f t="shared" si="2"/>
        <v>55.700773860705084</v>
      </c>
      <c r="F4" s="71">
        <f t="shared" si="2"/>
        <v>72.588392089423905</v>
      </c>
      <c r="G4" s="71">
        <f t="shared" si="2"/>
        <v>67.4536543422184</v>
      </c>
      <c r="H4" s="71">
        <f t="shared" si="2"/>
        <v>106.26233877901976</v>
      </c>
      <c r="I4" s="71">
        <f t="shared" si="2"/>
        <v>89.301375752364578</v>
      </c>
      <c r="J4" s="71">
        <f t="shared" si="2"/>
        <v>91.624677558039537</v>
      </c>
      <c r="K4" s="71">
        <f t="shared" si="2"/>
        <v>86.004127257093714</v>
      </c>
      <c r="L4" s="71">
        <f t="shared" si="2"/>
        <v>84.226655202063625</v>
      </c>
      <c r="M4" s="71">
        <f t="shared" si="2"/>
        <v>75.717798796216684</v>
      </c>
      <c r="N4" s="71">
        <f t="shared" si="2"/>
        <v>78.899570077386073</v>
      </c>
      <c r="O4" s="71">
        <f t="shared" si="2"/>
        <v>77.605503009458289</v>
      </c>
      <c r="P4" s="71">
        <f t="shared" si="2"/>
        <v>87.264918314703337</v>
      </c>
      <c r="Q4" s="71">
        <f t="shared" si="2"/>
        <v>71.4993981083405</v>
      </c>
      <c r="R4" s="71">
        <f t="shared" si="2"/>
        <v>85.920894239036969</v>
      </c>
      <c r="S4" s="71">
        <f t="shared" si="2"/>
        <v>75.868099742046425</v>
      </c>
      <c r="T4" s="71">
        <f t="shared" si="2"/>
        <v>83.913671539122959</v>
      </c>
      <c r="U4" s="71">
        <f t="shared" si="2"/>
        <v>89.371109200343923</v>
      </c>
      <c r="V4" s="71">
        <f t="shared" si="2"/>
        <v>109.2957007738607</v>
      </c>
      <c r="W4" s="71">
        <f t="shared" ref="W4" si="3">SUM(W5:W9)</f>
        <v>116.8748065348237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23.703095442820288</v>
      </c>
      <c r="C5" s="73">
        <v>28.78822012037833</v>
      </c>
      <c r="D5" s="73">
        <v>33.872226999140153</v>
      </c>
      <c r="E5" s="73">
        <v>38.957351676698202</v>
      </c>
      <c r="F5" s="73">
        <v>54.860103181427341</v>
      </c>
      <c r="G5" s="73">
        <v>49.725365434221843</v>
      </c>
      <c r="H5" s="73">
        <v>80.654772141014604</v>
      </c>
      <c r="I5" s="73">
        <v>63.693809114359411</v>
      </c>
      <c r="J5" s="73">
        <v>66.017110920034384</v>
      </c>
      <c r="K5" s="73">
        <v>64.336199484092859</v>
      </c>
      <c r="L5" s="73">
        <v>64.528546861564919</v>
      </c>
      <c r="M5" s="73">
        <v>56.019690455717971</v>
      </c>
      <c r="N5" s="73">
        <v>59.20146173688736</v>
      </c>
      <c r="O5" s="73">
        <v>57.907394668959583</v>
      </c>
      <c r="P5" s="73">
        <v>72.491315563198611</v>
      </c>
      <c r="Q5" s="73">
        <v>71.4993981083405</v>
      </c>
      <c r="R5" s="73">
        <v>85.920894239036969</v>
      </c>
      <c r="S5" s="73">
        <v>75.868099742046425</v>
      </c>
      <c r="T5" s="73">
        <v>83.913671539122959</v>
      </c>
      <c r="U5" s="73">
        <v>89.371109200343923</v>
      </c>
      <c r="V5" s="73">
        <v>109.2957007738607</v>
      </c>
      <c r="W5" s="73">
        <v>116.8748065348237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24.62261392949269</v>
      </c>
      <c r="C6" s="73">
        <v>19.69810834049871</v>
      </c>
      <c r="D6" s="73">
        <v>17.728288907996557</v>
      </c>
      <c r="E6" s="73">
        <v>16.743422184006882</v>
      </c>
      <c r="F6" s="73">
        <v>17.728288907996564</v>
      </c>
      <c r="G6" s="73">
        <v>17.728288907996557</v>
      </c>
      <c r="H6" s="73">
        <v>25.607566638005153</v>
      </c>
      <c r="I6" s="73">
        <v>25.607566638005167</v>
      </c>
      <c r="J6" s="73">
        <v>25.607566638005153</v>
      </c>
      <c r="K6" s="73">
        <v>21.667927773000855</v>
      </c>
      <c r="L6" s="73">
        <v>19.698108340498706</v>
      </c>
      <c r="M6" s="73">
        <v>19.698108340498713</v>
      </c>
      <c r="N6" s="73">
        <v>19.698108340498713</v>
      </c>
      <c r="O6" s="73">
        <v>19.698108340498706</v>
      </c>
      <c r="P6" s="73">
        <v>14.773602751504725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34518.363837366414</v>
      </c>
      <c r="C19" s="62">
        <f>IF(C3=0,0,C3/TrNavi_act!C7*100)</f>
        <v>46621.469673920234</v>
      </c>
      <c r="D19" s="62">
        <f>IF(D3=0,0,D3/TrNavi_act!D7*100)</f>
        <v>57333.90656348523</v>
      </c>
      <c r="E19" s="62">
        <f>IF(E3=0,0,E3/TrNavi_act!E7*100)</f>
        <v>55700.773860705078</v>
      </c>
      <c r="F19" s="62">
        <f>IF(F3=0,0,F3/TrNavi_act!F7*100)</f>
        <v>68479.615178701788</v>
      </c>
      <c r="G19" s="62">
        <f>IF(G3=0,0,G3/TrNavi_act!G7*100)</f>
        <v>60769.057965962522</v>
      </c>
      <c r="H19" s="62">
        <f>IF(H3=0,0,H3/TrNavi_act!H7*100)</f>
        <v>67683.018330585837</v>
      </c>
      <c r="I19" s="62">
        <f>IF(I3=0,0,I3/TrNavi_act!I7*100)</f>
        <v>58750.905100239856</v>
      </c>
      <c r="J19" s="62">
        <f>IF(J3=0,0,J3/TrNavi_act!J7*100)</f>
        <v>61083.118372026365</v>
      </c>
      <c r="K19" s="62">
        <f>IF(K3=0,0,K3/TrNavi_act!K7*100)</f>
        <v>65652.005539766193</v>
      </c>
      <c r="L19" s="62">
        <f>IF(L3=0,0,L3/TrNavi_act!L7*100)</f>
        <v>69038.241968904622</v>
      </c>
      <c r="M19" s="62">
        <f>IF(M3=0,0,M3/TrNavi_act!M7*100)</f>
        <v>41375.846336730428</v>
      </c>
      <c r="N19" s="62">
        <f>IF(N3=0,0,N3/TrNavi_act!N7*100)</f>
        <v>30581.228712165142</v>
      </c>
      <c r="O19" s="62">
        <f>IF(O3=0,0,O3/TrNavi_act!O7*100)</f>
        <v>37310.337985316488</v>
      </c>
      <c r="P19" s="62">
        <f>IF(P3=0,0,P3/TrNavi_act!P7*100)</f>
        <v>49582.339951535985</v>
      </c>
      <c r="Q19" s="62">
        <f>IF(Q3=0,0,Q3/TrNavi_act!Q7*100)</f>
        <v>34210.238329349522</v>
      </c>
      <c r="R19" s="62">
        <f>IF(R3=0,0,R3/TrNavi_act!R7*100)</f>
        <v>59255.789130370329</v>
      </c>
      <c r="S19" s="62">
        <f>IF(S3=0,0,S3/TrNavi_act!S7*100)</f>
        <v>55785.367457387074</v>
      </c>
      <c r="T19" s="62">
        <f>IF(T3=0,0,T3/TrNavi_act!T7*100)</f>
        <v>43705.037259959878</v>
      </c>
      <c r="U19" s="62">
        <f>IF(U3=0,0,U3/TrNavi_act!U7*100)</f>
        <v>36036.73758078384</v>
      </c>
      <c r="V19" s="62">
        <f>IF(V3=0,0,V3/TrNavi_act!V7*100)</f>
        <v>48792.723559759244</v>
      </c>
      <c r="W19" s="62">
        <f>IF(W3=0,0,W3/TrNavi_act!W7*100)</f>
        <v>46013.703360166815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34518.363837366414</v>
      </c>
      <c r="C20" s="63">
        <f>IF(C4=0,0,C4/TrNavi_act!C8*100)</f>
        <v>46621.469673920234</v>
      </c>
      <c r="D20" s="63">
        <f>IF(D4=0,0,D4/TrNavi_act!D8*100)</f>
        <v>57333.90656348523</v>
      </c>
      <c r="E20" s="63">
        <f>IF(E4=0,0,E4/TrNavi_act!E8*100)</f>
        <v>55700.773860705078</v>
      </c>
      <c r="F20" s="63">
        <f>IF(F4=0,0,F4/TrNavi_act!F8*100)</f>
        <v>68479.615178701788</v>
      </c>
      <c r="G20" s="63">
        <f>IF(G4=0,0,G4/TrNavi_act!G8*100)</f>
        <v>60769.057965962522</v>
      </c>
      <c r="H20" s="63">
        <f>IF(H4=0,0,H4/TrNavi_act!H8*100)</f>
        <v>67683.018330585837</v>
      </c>
      <c r="I20" s="63">
        <f>IF(I4=0,0,I4/TrNavi_act!I8*100)</f>
        <v>58750.905100239856</v>
      </c>
      <c r="J20" s="63">
        <f>IF(J4=0,0,J4/TrNavi_act!J8*100)</f>
        <v>61083.118372026365</v>
      </c>
      <c r="K20" s="63">
        <f>IF(K4=0,0,K4/TrNavi_act!K8*100)</f>
        <v>65652.005539766193</v>
      </c>
      <c r="L20" s="63">
        <f>IF(L4=0,0,L4/TrNavi_act!L8*100)</f>
        <v>69038.241968904622</v>
      </c>
      <c r="M20" s="63">
        <f>IF(M4=0,0,M4/TrNavi_act!M8*100)</f>
        <v>41375.846336730428</v>
      </c>
      <c r="N20" s="63">
        <f>IF(N4=0,0,N4/TrNavi_act!N8*100)</f>
        <v>30581.228712165142</v>
      </c>
      <c r="O20" s="63">
        <f>IF(O4=0,0,O4/TrNavi_act!O8*100)</f>
        <v>37310.337985316488</v>
      </c>
      <c r="P20" s="63">
        <f>IF(P4=0,0,P4/TrNavi_act!P8*100)</f>
        <v>49582.339951535985</v>
      </c>
      <c r="Q20" s="63">
        <f>IF(Q4=0,0,Q4/TrNavi_act!Q8*100)</f>
        <v>34210.238329349522</v>
      </c>
      <c r="R20" s="63">
        <f>IF(R4=0,0,R4/TrNavi_act!R8*100)</f>
        <v>59255.789130370329</v>
      </c>
      <c r="S20" s="63">
        <f>IF(S4=0,0,S4/TrNavi_act!S8*100)</f>
        <v>55785.367457387074</v>
      </c>
      <c r="T20" s="63">
        <f>IF(T4=0,0,T4/TrNavi_act!T8*100)</f>
        <v>43705.037259959878</v>
      </c>
      <c r="U20" s="63">
        <f>IF(U4=0,0,U4/TrNavi_act!U8*100)</f>
        <v>36036.73758078384</v>
      </c>
      <c r="V20" s="63">
        <f>IF(V4=0,0,V4/TrNavi_act!V8*100)</f>
        <v>48792.723559759244</v>
      </c>
      <c r="W20" s="63">
        <f>IF(W4=0,0,W4/TrNavi_act!W8*100)</f>
        <v>46013.703360166815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251.5666889068292</v>
      </c>
      <c r="C23" s="62">
        <f>IF(C3=0,0,C3/TrNavi_act!C3*1000)</f>
        <v>290.4103335023002</v>
      </c>
      <c r="D23" s="62">
        <f>IF(D3=0,0,D3/TrNavi_act!D3*1000)</f>
        <v>441.20351511822355</v>
      </c>
      <c r="E23" s="62">
        <f>IF(E3=0,0,E3/TrNavi_act!E3*1000)</f>
        <v>426.61009650831829</v>
      </c>
      <c r="F23" s="62">
        <f>IF(F3=0,0,F3/TrNavi_act!F3*1000)</f>
        <v>660.67527158845814</v>
      </c>
      <c r="G23" s="62">
        <f>IF(G3=0,0,G3/TrNavi_act!G3*1000)</f>
        <v>456.41555140549701</v>
      </c>
      <c r="H23" s="62">
        <f>IF(H3=0,0,H3/TrNavi_act!H3*1000)</f>
        <v>724.45996522327664</v>
      </c>
      <c r="I23" s="62">
        <f>IF(I3=0,0,I3/TrNavi_act!I3*1000)</f>
        <v>673.21052206833451</v>
      </c>
      <c r="J23" s="62">
        <f>IF(J3=0,0,J3/TrNavi_act!J3*1000)</f>
        <v>651.82210304011278</v>
      </c>
      <c r="K23" s="62">
        <f>IF(K3=0,0,K3/TrNavi_act!K3*1000)</f>
        <v>575.44780575616721</v>
      </c>
      <c r="L23" s="62">
        <f>IF(L3=0,0,L3/TrNavi_act!L3*1000)</f>
        <v>625.1375327652737</v>
      </c>
      <c r="M23" s="62">
        <f>IF(M3=0,0,M3/TrNavi_act!M3*1000)</f>
        <v>380.40734107140474</v>
      </c>
      <c r="N23" s="62">
        <f>IF(N3=0,0,N3/TrNavi_act!N3*1000)</f>
        <v>269.84821409233058</v>
      </c>
      <c r="O23" s="62">
        <f>IF(O3=0,0,O3/TrNavi_act!O3*1000)</f>
        <v>338.40986119838436</v>
      </c>
      <c r="P23" s="62">
        <f>IF(P3=0,0,P3/TrNavi_act!P3*1000)</f>
        <v>427.38581720663984</v>
      </c>
      <c r="Q23" s="62">
        <f>IF(Q3=0,0,Q3/TrNavi_act!Q3*1000)</f>
        <v>435.49395851102753</v>
      </c>
      <c r="R23" s="62">
        <f>IF(R3=0,0,R3/TrNavi_act!R3*1000)</f>
        <v>611.85015979033369</v>
      </c>
      <c r="S23" s="62">
        <f>IF(S3=0,0,S3/TrNavi_act!S3*1000)</f>
        <v>590.49134704238247</v>
      </c>
      <c r="T23" s="62">
        <f>IF(T3=0,0,T3/TrNavi_act!T3*1000)</f>
        <v>506.81994539510998</v>
      </c>
      <c r="U23" s="62">
        <f>IF(U3=0,0,U3/TrNavi_act!U3*1000)</f>
        <v>449.31554863047148</v>
      </c>
      <c r="V23" s="62">
        <f>IF(V3=0,0,V3/TrNavi_act!V3*1000)</f>
        <v>542.29200955553483</v>
      </c>
      <c r="W23" s="62">
        <f>IF(W3=0,0,W3/TrNavi_act!W3*1000)</f>
        <v>522.9531815062137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251.5666889068292</v>
      </c>
      <c r="C24" s="63">
        <f>IF(C4=0,0,C4/TrNavi_act!C4*1000)</f>
        <v>290.4103335023002</v>
      </c>
      <c r="D24" s="63">
        <f>IF(D4=0,0,D4/TrNavi_act!D4*1000)</f>
        <v>441.20351511822355</v>
      </c>
      <c r="E24" s="63">
        <f>IF(E4=0,0,E4/TrNavi_act!E4*1000)</f>
        <v>426.61009650831829</v>
      </c>
      <c r="F24" s="63">
        <f>IF(F4=0,0,F4/TrNavi_act!F4*1000)</f>
        <v>660.67527158845814</v>
      </c>
      <c r="G24" s="63">
        <f>IF(G4=0,0,G4/TrNavi_act!G4*1000)</f>
        <v>456.41555140549701</v>
      </c>
      <c r="H24" s="63">
        <f>IF(H4=0,0,H4/TrNavi_act!H4*1000)</f>
        <v>724.45996522327664</v>
      </c>
      <c r="I24" s="63">
        <f>IF(I4=0,0,I4/TrNavi_act!I4*1000)</f>
        <v>673.21052206833451</v>
      </c>
      <c r="J24" s="63">
        <f>IF(J4=0,0,J4/TrNavi_act!J4*1000)</f>
        <v>651.82210304011278</v>
      </c>
      <c r="K24" s="63">
        <f>IF(K4=0,0,K4/TrNavi_act!K4*1000)</f>
        <v>575.44780575616721</v>
      </c>
      <c r="L24" s="63">
        <f>IF(L4=0,0,L4/TrNavi_act!L4*1000)</f>
        <v>625.1375327652737</v>
      </c>
      <c r="M24" s="63">
        <f>IF(M4=0,0,M4/TrNavi_act!M4*1000)</f>
        <v>380.40734107140474</v>
      </c>
      <c r="N24" s="63">
        <f>IF(N4=0,0,N4/TrNavi_act!N4*1000)</f>
        <v>269.84821409233058</v>
      </c>
      <c r="O24" s="63">
        <f>IF(O4=0,0,O4/TrNavi_act!O4*1000)</f>
        <v>338.40986119838436</v>
      </c>
      <c r="P24" s="63">
        <f>IF(P4=0,0,P4/TrNavi_act!P4*1000)</f>
        <v>427.38581720663984</v>
      </c>
      <c r="Q24" s="63">
        <f>IF(Q4=0,0,Q4/TrNavi_act!Q4*1000)</f>
        <v>435.49395851102753</v>
      </c>
      <c r="R24" s="63">
        <f>IF(R4=0,0,R4/TrNavi_act!R4*1000)</f>
        <v>611.85015979033369</v>
      </c>
      <c r="S24" s="63">
        <f>IF(S4=0,0,S4/TrNavi_act!S4*1000)</f>
        <v>590.49134704238247</v>
      </c>
      <c r="T24" s="63">
        <f>IF(T4=0,0,T4/TrNavi_act!T4*1000)</f>
        <v>506.81994539510998</v>
      </c>
      <c r="U24" s="63">
        <f>IF(U4=0,0,U4/TrNavi_act!U4*1000)</f>
        <v>449.31554863047148</v>
      </c>
      <c r="V24" s="63">
        <f>IF(V4=0,0,V4/TrNavi_act!V4*1000)</f>
        <v>542.29200955553483</v>
      </c>
      <c r="W24" s="63">
        <f>IF(W4=0,0,W4/TrNavi_act!W4*1000)</f>
        <v>522.9531815062137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153.32855796000001</v>
      </c>
      <c r="C3" s="54">
        <f t="shared" ref="C3:V3" si="1">SUM(C4:C5)</f>
        <v>153.14647428000001</v>
      </c>
      <c r="D3" s="54">
        <f t="shared" si="1"/>
        <v>162.53582904000001</v>
      </c>
      <c r="E3" s="54">
        <f t="shared" si="1"/>
        <v>175.12047288000005</v>
      </c>
      <c r="F3" s="54">
        <f t="shared" si="1"/>
        <v>227.64901068000003</v>
      </c>
      <c r="G3" s="54">
        <f t="shared" si="1"/>
        <v>211.71890376000005</v>
      </c>
      <c r="H3" s="54">
        <f t="shared" si="1"/>
        <v>333.20833163999998</v>
      </c>
      <c r="I3" s="54">
        <f t="shared" si="1"/>
        <v>280.58832108000001</v>
      </c>
      <c r="J3" s="54">
        <f t="shared" si="1"/>
        <v>287.79617628</v>
      </c>
      <c r="K3" s="54">
        <f t="shared" si="1"/>
        <v>269.81455751999999</v>
      </c>
      <c r="L3" s="54">
        <f t="shared" si="1"/>
        <v>264.02793588000003</v>
      </c>
      <c r="M3" s="54">
        <f t="shared" si="1"/>
        <v>237.62989980000003</v>
      </c>
      <c r="N3" s="54">
        <f t="shared" si="1"/>
        <v>247.50108684000006</v>
      </c>
      <c r="O3" s="54">
        <f t="shared" si="1"/>
        <v>243.48634884000001</v>
      </c>
      <c r="P3" s="54">
        <f t="shared" si="1"/>
        <v>272.77350911999997</v>
      </c>
      <c r="Q3" s="54">
        <f t="shared" si="1"/>
        <v>221.82107688000002</v>
      </c>
      <c r="R3" s="54">
        <f t="shared" si="1"/>
        <v>266.5625976</v>
      </c>
      <c r="S3" s="54">
        <f t="shared" si="1"/>
        <v>235.37461895999999</v>
      </c>
      <c r="T3" s="54">
        <f t="shared" si="1"/>
        <v>260.33535216000001</v>
      </c>
      <c r="U3" s="54">
        <f t="shared" si="1"/>
        <v>277.26660935999996</v>
      </c>
      <c r="V3" s="54">
        <f t="shared" si="1"/>
        <v>339.08103684000002</v>
      </c>
      <c r="W3" s="54">
        <f t="shared" ref="W3" si="2">SUM(W4:W5)</f>
        <v>362.59459703999994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153.32855796000001</v>
      </c>
      <c r="C4" s="56">
        <v>153.14647428000001</v>
      </c>
      <c r="D4" s="56">
        <v>162.53582904000001</v>
      </c>
      <c r="E4" s="56">
        <v>175.12047288000005</v>
      </c>
      <c r="F4" s="56">
        <v>227.64901068000003</v>
      </c>
      <c r="G4" s="56">
        <v>211.71890376000005</v>
      </c>
      <c r="H4" s="56">
        <v>333.20833163999998</v>
      </c>
      <c r="I4" s="56">
        <v>280.58832108000001</v>
      </c>
      <c r="J4" s="56">
        <v>287.79617628</v>
      </c>
      <c r="K4" s="56">
        <v>269.81455751999999</v>
      </c>
      <c r="L4" s="56">
        <v>264.02793588000003</v>
      </c>
      <c r="M4" s="56">
        <v>237.62989980000003</v>
      </c>
      <c r="N4" s="56">
        <v>247.50108684000006</v>
      </c>
      <c r="O4" s="56">
        <v>243.48634884000001</v>
      </c>
      <c r="P4" s="56">
        <v>272.77350911999997</v>
      </c>
      <c r="Q4" s="56">
        <v>221.82107688000002</v>
      </c>
      <c r="R4" s="56">
        <v>266.5625976</v>
      </c>
      <c r="S4" s="56">
        <v>235.37461895999999</v>
      </c>
      <c r="T4" s="56">
        <v>260.33535216000001</v>
      </c>
      <c r="U4" s="56">
        <v>277.26660935999996</v>
      </c>
      <c r="V4" s="56">
        <v>339.08103684000002</v>
      </c>
      <c r="W4" s="56">
        <v>362.59459703999994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3.1728154630637624</v>
      </c>
      <c r="C9" s="79">
        <f>IF(C3=0,0,C3/TrNavi_ene!C3)</f>
        <v>3.1585496188595061</v>
      </c>
      <c r="D9" s="79">
        <f>IF(D3=0,0,D3/TrNavi_ene!D3)</f>
        <v>3.1498876742338959</v>
      </c>
      <c r="E9" s="79">
        <f>IF(E3=0,0,E3/TrNavi_ene!E3)</f>
        <v>3.1439504470429149</v>
      </c>
      <c r="F9" s="79">
        <f>IF(F3=0,0,F3/TrNavi_ene!F3)</f>
        <v>3.1361627407251578</v>
      </c>
      <c r="G9" s="79">
        <f>IF(G3=0,0,G3/TrNavi_ene!G3)</f>
        <v>3.1387314123245038</v>
      </c>
      <c r="H9" s="79">
        <f>IF(H3=0,0,H3/TrNavi_ene!H3)</f>
        <v>3.1357142659256811</v>
      </c>
      <c r="I9" s="79">
        <f>IF(I3=0,0,I3/TrNavi_ene!I3)</f>
        <v>3.1420380561446213</v>
      </c>
      <c r="J9" s="79">
        <f>IF(J3=0,0,J3/TrNavi_ene!J3)</f>
        <v>3.1410334415386716</v>
      </c>
      <c r="K9" s="79">
        <f>IF(K3=0,0,K3/TrNavi_ene!K3)</f>
        <v>3.137228015969959</v>
      </c>
      <c r="L9" s="79">
        <f>IF(L3=0,0,L3/TrNavi_ene!L3)</f>
        <v>3.1347313418369143</v>
      </c>
      <c r="M9" s="79">
        <f>IF(M3=0,0,M3/TrNavi_ene!M3)</f>
        <v>3.138362493071754</v>
      </c>
      <c r="N9" s="79">
        <f>IF(N3=0,0,N3/TrNavi_ene!N3)</f>
        <v>3.1369129970828316</v>
      </c>
      <c r="O9" s="79">
        <f>IF(O3=0,0,O3/TrNavi_ene!O3)</f>
        <v>3.1374881857324568</v>
      </c>
      <c r="P9" s="79">
        <f>IF(P3=0,0,P3/TrNavi_ene!P3)</f>
        <v>3.1258094820681239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3.1728154630637624</v>
      </c>
      <c r="C10" s="80">
        <f>IF(C4=0,0,C4/TrNavi_ene!C4)</f>
        <v>3.1585496188595061</v>
      </c>
      <c r="D10" s="80">
        <f>IF(D4=0,0,D4/TrNavi_ene!D4)</f>
        <v>3.1498876742338959</v>
      </c>
      <c r="E10" s="80">
        <f>IF(E4=0,0,E4/TrNavi_ene!E4)</f>
        <v>3.1439504470429149</v>
      </c>
      <c r="F10" s="80">
        <f>IF(F4=0,0,F4/TrNavi_ene!F4)</f>
        <v>3.1361627407251578</v>
      </c>
      <c r="G10" s="80">
        <f>IF(G4=0,0,G4/TrNavi_ene!G4)</f>
        <v>3.1387314123245038</v>
      </c>
      <c r="H10" s="80">
        <f>IF(H4=0,0,H4/TrNavi_ene!H4)</f>
        <v>3.1357142659256811</v>
      </c>
      <c r="I10" s="80">
        <f>IF(I4=0,0,I4/TrNavi_ene!I4)</f>
        <v>3.1420380561446213</v>
      </c>
      <c r="J10" s="80">
        <f>IF(J4=0,0,J4/TrNavi_ene!J4)</f>
        <v>3.1410334415386716</v>
      </c>
      <c r="K10" s="80">
        <f>IF(K4=0,0,K4/TrNavi_ene!K4)</f>
        <v>3.137228015969959</v>
      </c>
      <c r="L10" s="80">
        <f>IF(L4=0,0,L4/TrNavi_ene!L4)</f>
        <v>3.1347313418369143</v>
      </c>
      <c r="M10" s="80">
        <f>IF(M4=0,0,M4/TrNavi_ene!M4)</f>
        <v>3.138362493071754</v>
      </c>
      <c r="N10" s="80">
        <f>IF(N4=0,0,N4/TrNavi_ene!N4)</f>
        <v>3.1369129970828316</v>
      </c>
      <c r="O10" s="80">
        <f>IF(O4=0,0,O4/TrNavi_ene!O4)</f>
        <v>3.1374881857324568</v>
      </c>
      <c r="P10" s="80">
        <f>IF(P4=0,0,P4/TrNavi_ene!P4)</f>
        <v>3.1258094820681239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3.1024188000000001</v>
      </c>
      <c r="W10" s="80">
        <f>IF(W4=0,0,W4/TrNavi_ene!W4)</f>
        <v>3.1024188000000001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1095203.9854285715</v>
      </c>
      <c r="C13" s="54">
        <f>IF(C3=0,0,C3/TrNavi_act!C7*1000)</f>
        <v>1472562.2526923078</v>
      </c>
      <c r="D13" s="54">
        <f>IF(D3=0,0,D3/TrNavi_act!D7*1000)</f>
        <v>1805953.6560000002</v>
      </c>
      <c r="E13" s="54">
        <f>IF(E3=0,0,E3/TrNavi_act!E7*1000)</f>
        <v>1751204.7288000004</v>
      </c>
      <c r="F13" s="54">
        <f>IF(F3=0,0,F3/TrNavi_act!F7*1000)</f>
        <v>2147632.1762264157</v>
      </c>
      <c r="G13" s="54">
        <f>IF(G3=0,0,G3/TrNavi_act!G7*1000)</f>
        <v>1907377.5113513519</v>
      </c>
      <c r="H13" s="54">
        <f>IF(H3=0,0,H3/TrNavi_act!H7*1000)</f>
        <v>2122346.0614012736</v>
      </c>
      <c r="I13" s="54">
        <f>IF(I3=0,0,I3/TrNavi_act!I7*1000)</f>
        <v>1845975.7965789475</v>
      </c>
      <c r="J13" s="54">
        <f>IF(J3=0,0,J3/TrNavi_act!J7*1000)</f>
        <v>1918641.1752000002</v>
      </c>
      <c r="K13" s="54">
        <f>IF(K3=0,0,K3/TrNavi_act!K7*1000)</f>
        <v>2059653.1108396943</v>
      </c>
      <c r="L13" s="54">
        <f>IF(L3=0,0,L3/TrNavi_act!L7*1000)</f>
        <v>2164163.4088524594</v>
      </c>
      <c r="M13" s="54">
        <f>IF(M3=0,0,M3/TrNavi_act!M7*1000)</f>
        <v>1298524.0426229511</v>
      </c>
      <c r="N13" s="54">
        <f>IF(N3=0,0,N3/TrNavi_act!N7*1000)</f>
        <v>959306.53813953511</v>
      </c>
      <c r="O13" s="54">
        <f>IF(O3=0,0,O3/TrNavi_act!O7*1000)</f>
        <v>1170607.446346154</v>
      </c>
      <c r="P13" s="54">
        <f>IF(P3=0,0,P3/TrNavi_act!P7*1000)</f>
        <v>1549849.4836363636</v>
      </c>
      <c r="Q13" s="54">
        <f>IF(Q3=0,0,Q3/TrNavi_act!Q7*1000)</f>
        <v>1061344.8654545457</v>
      </c>
      <c r="R13" s="54">
        <f>IF(R3=0,0,R3/TrNavi_act!R7*1000)</f>
        <v>1838362.7420689657</v>
      </c>
      <c r="S13" s="54">
        <f>IF(S3=0,0,S3/TrNavi_act!S7*1000)</f>
        <v>1730695.7276470587</v>
      </c>
      <c r="T13" s="54">
        <f>IF(T3=0,0,T3/TrNavi_act!T7*1000)</f>
        <v>1355913.2925000002</v>
      </c>
      <c r="U13" s="54">
        <f>IF(U3=0,0,U3/TrNavi_act!U7*1000)</f>
        <v>1118010.5216129031</v>
      </c>
      <c r="V13" s="54">
        <f>IF(V3=0,0,V3/TrNavi_act!V7*1000)</f>
        <v>1513754.6287500001</v>
      </c>
      <c r="W13" s="54">
        <f>IF(W3=0,0,W3/TrNavi_act!W7*1000)</f>
        <v>1427537.7836220472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1095203.9854285715</v>
      </c>
      <c r="C14" s="56">
        <f>IF(C4=0,0,C4/TrNavi_act!C8*1000)</f>
        <v>1472562.2526923078</v>
      </c>
      <c r="D14" s="56">
        <f>IF(D4=0,0,D4/TrNavi_act!D8*1000)</f>
        <v>1805953.6560000002</v>
      </c>
      <c r="E14" s="56">
        <f>IF(E4=0,0,E4/TrNavi_act!E8*1000)</f>
        <v>1751204.7288000004</v>
      </c>
      <c r="F14" s="56">
        <f>IF(F4=0,0,F4/TrNavi_act!F8*1000)</f>
        <v>2147632.1762264157</v>
      </c>
      <c r="G14" s="56">
        <f>IF(G4=0,0,G4/TrNavi_act!G8*1000)</f>
        <v>1907377.5113513519</v>
      </c>
      <c r="H14" s="56">
        <f>IF(H4=0,0,H4/TrNavi_act!H8*1000)</f>
        <v>2122346.0614012736</v>
      </c>
      <c r="I14" s="56">
        <f>IF(I4=0,0,I4/TrNavi_act!I8*1000)</f>
        <v>1845975.7965789475</v>
      </c>
      <c r="J14" s="56">
        <f>IF(J4=0,0,J4/TrNavi_act!J8*1000)</f>
        <v>1918641.1752000002</v>
      </c>
      <c r="K14" s="56">
        <f>IF(K4=0,0,K4/TrNavi_act!K8*1000)</f>
        <v>2059653.1108396943</v>
      </c>
      <c r="L14" s="56">
        <f>IF(L4=0,0,L4/TrNavi_act!L8*1000)</f>
        <v>2164163.4088524594</v>
      </c>
      <c r="M14" s="56">
        <f>IF(M4=0,0,M4/TrNavi_act!M8*1000)</f>
        <v>1298524.0426229511</v>
      </c>
      <c r="N14" s="56">
        <f>IF(N4=0,0,N4/TrNavi_act!N8*1000)</f>
        <v>959306.53813953511</v>
      </c>
      <c r="O14" s="56">
        <f>IF(O4=0,0,O4/TrNavi_act!O8*1000)</f>
        <v>1170607.446346154</v>
      </c>
      <c r="P14" s="56">
        <f>IF(P4=0,0,P4/TrNavi_act!P8*1000)</f>
        <v>1549849.4836363636</v>
      </c>
      <c r="Q14" s="56">
        <f>IF(Q4=0,0,Q4/TrNavi_act!Q8*1000)</f>
        <v>1061344.8654545457</v>
      </c>
      <c r="R14" s="56">
        <f>IF(R4=0,0,R4/TrNavi_act!R8*1000)</f>
        <v>1838362.7420689657</v>
      </c>
      <c r="S14" s="56">
        <f>IF(S4=0,0,S4/TrNavi_act!S8*1000)</f>
        <v>1730695.7276470587</v>
      </c>
      <c r="T14" s="56">
        <f>IF(T4=0,0,T4/TrNavi_act!T8*1000)</f>
        <v>1355913.2925000002</v>
      </c>
      <c r="U14" s="56">
        <f>IF(U4=0,0,U4/TrNavi_act!U8*1000)</f>
        <v>1118010.5216129031</v>
      </c>
      <c r="V14" s="56">
        <f>IF(V4=0,0,V4/TrNavi_act!V8*1000)</f>
        <v>1513754.6287500001</v>
      </c>
      <c r="W14" s="56">
        <f>IF(W4=0,0,W4/TrNavi_act!W8*1000)</f>
        <v>1427537.7836220472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798.1746805553388</v>
      </c>
      <c r="C17" s="62">
        <f>IF(C3=0,0,C3/TrNavi_act!C3*1000)</f>
        <v>917.27544819655247</v>
      </c>
      <c r="D17" s="62">
        <f>IF(D3=0,0,D3/TrNavi_act!D3*1000)</f>
        <v>1389.7415140995606</v>
      </c>
      <c r="E17" s="62">
        <f>IF(E3=0,0,E3/TrNavi_act!E3*1000)</f>
        <v>1341.2410036303481</v>
      </c>
      <c r="F17" s="62">
        <f>IF(F3=0,0,F3/TrNavi_act!F3*1000)</f>
        <v>2071.9851704741973</v>
      </c>
      <c r="G17" s="62">
        <f>IF(G3=0,0,G3/TrNavi_act!G3*1000)</f>
        <v>1432.5658282698428</v>
      </c>
      <c r="H17" s="62">
        <f>IF(H3=0,0,H3/TrNavi_act!H3*1000)</f>
        <v>2271.6994480426515</v>
      </c>
      <c r="I17" s="62">
        <f>IF(I3=0,0,I3/TrNavi_act!I3*1000)</f>
        <v>2115.2530801356957</v>
      </c>
      <c r="J17" s="62">
        <f>IF(J3=0,0,J3/TrNavi_act!J3*1000)</f>
        <v>2047.3950235830598</v>
      </c>
      <c r="K17" s="62">
        <f>IF(K3=0,0,K3/TrNavi_act!K3*1000)</f>
        <v>1805.3109779466868</v>
      </c>
      <c r="L17" s="62">
        <f>IF(L3=0,0,L3/TrNavi_act!L3*1000)</f>
        <v>1959.6382169179046</v>
      </c>
      <c r="M17" s="62">
        <f>IF(M3=0,0,M3/TrNavi_act!M3*1000)</f>
        <v>1193.8561313076505</v>
      </c>
      <c r="N17" s="62">
        <f>IF(N3=0,0,N3/TrNavi_act!N3*1000)</f>
        <v>846.49037002582236</v>
      </c>
      <c r="O17" s="62">
        <f>IF(O3=0,0,O3/TrNavi_act!O3*1000)</f>
        <v>1061.7569414452914</v>
      </c>
      <c r="P17" s="62">
        <f>IF(P3=0,0,P3/TrNavi_act!P3*1000)</f>
        <v>1335.9266399259486</v>
      </c>
      <c r="Q17" s="62">
        <f>IF(Q3=0,0,Q3/TrNavi_act!Q3*1000)</f>
        <v>1351.0846441710319</v>
      </c>
      <c r="R17" s="62">
        <f>IF(R3=0,0,R3/TrNavi_act!R3*1000)</f>
        <v>1898.2154385165352</v>
      </c>
      <c r="S17" s="62">
        <f>IF(S3=0,0,S3/TrNavi_act!S3*1000)</f>
        <v>1831.9514563016116</v>
      </c>
      <c r="T17" s="62">
        <f>IF(T3=0,0,T3/TrNavi_act!T3*1000)</f>
        <v>1572.3677268087629</v>
      </c>
      <c r="U17" s="62">
        <f>IF(U3=0,0,U3/TrNavi_act!U3*1000)</f>
        <v>1393.9650052034888</v>
      </c>
      <c r="V17" s="62">
        <f>IF(V3=0,0,V3/TrNavi_act!V3*1000)</f>
        <v>1682.4169255348709</v>
      </c>
      <c r="W17" s="62">
        <f>IF(W3=0,0,W3/TrNavi_act!W3*1000)</f>
        <v>1622.4197818246896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798.1746805553388</v>
      </c>
      <c r="C18" s="63">
        <f>IF(C4=0,0,C4/TrNavi_act!C4*1000)</f>
        <v>917.27544819655247</v>
      </c>
      <c r="D18" s="63">
        <f>IF(D4=0,0,D4/TrNavi_act!D4*1000)</f>
        <v>1389.7415140995606</v>
      </c>
      <c r="E18" s="63">
        <f>IF(E4=0,0,E4/TrNavi_act!E4*1000)</f>
        <v>1341.2410036303481</v>
      </c>
      <c r="F18" s="63">
        <f>IF(F4=0,0,F4/TrNavi_act!F4*1000)</f>
        <v>2071.9851704741973</v>
      </c>
      <c r="G18" s="63">
        <f>IF(G4=0,0,G4/TrNavi_act!G4*1000)</f>
        <v>1432.5658282698428</v>
      </c>
      <c r="H18" s="63">
        <f>IF(H4=0,0,H4/TrNavi_act!H4*1000)</f>
        <v>2271.6994480426515</v>
      </c>
      <c r="I18" s="63">
        <f>IF(I4=0,0,I4/TrNavi_act!I4*1000)</f>
        <v>2115.2530801356957</v>
      </c>
      <c r="J18" s="63">
        <f>IF(J4=0,0,J4/TrNavi_act!J4*1000)</f>
        <v>2047.3950235830598</v>
      </c>
      <c r="K18" s="63">
        <f>IF(K4=0,0,K4/TrNavi_act!K4*1000)</f>
        <v>1805.3109779466868</v>
      </c>
      <c r="L18" s="63">
        <f>IF(L4=0,0,L4/TrNavi_act!L4*1000)</f>
        <v>1959.6382169179046</v>
      </c>
      <c r="M18" s="63">
        <f>IF(M4=0,0,M4/TrNavi_act!M4*1000)</f>
        <v>1193.8561313076505</v>
      </c>
      <c r="N18" s="63">
        <f>IF(N4=0,0,N4/TrNavi_act!N4*1000)</f>
        <v>846.49037002582236</v>
      </c>
      <c r="O18" s="63">
        <f>IF(O4=0,0,O4/TrNavi_act!O4*1000)</f>
        <v>1061.7569414452914</v>
      </c>
      <c r="P18" s="63">
        <f>IF(P4=0,0,P4/TrNavi_act!P4*1000)</f>
        <v>1335.9266399259486</v>
      </c>
      <c r="Q18" s="63">
        <f>IF(Q4=0,0,Q4/TrNavi_act!Q4*1000)</f>
        <v>1351.0846441710319</v>
      </c>
      <c r="R18" s="63">
        <f>IF(R4=0,0,R4/TrNavi_act!R4*1000)</f>
        <v>1898.2154385165352</v>
      </c>
      <c r="S18" s="63">
        <f>IF(S4=0,0,S4/TrNavi_act!S4*1000)</f>
        <v>1831.9514563016116</v>
      </c>
      <c r="T18" s="63">
        <f>IF(T4=0,0,T4/TrNavi_act!T4*1000)</f>
        <v>1572.3677268087629</v>
      </c>
      <c r="U18" s="63">
        <f>IF(U4=0,0,U4/TrNavi_act!U4*1000)</f>
        <v>1393.9650052034888</v>
      </c>
      <c r="V18" s="63">
        <f>IF(V4=0,0,V4/TrNavi_act!V4*1000)</f>
        <v>1682.4169255348709</v>
      </c>
      <c r="W18" s="63">
        <f>IF(W4=0,0,W4/TrNavi_act!W4*1000)</f>
        <v>1622.4197818246896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47158.639575000001</v>
      </c>
      <c r="C3" s="54">
        <f t="shared" si="0"/>
        <v>52640.976501000005</v>
      </c>
      <c r="D3" s="54">
        <f t="shared" si="0"/>
        <v>57626.170567000001</v>
      </c>
      <c r="E3" s="54">
        <f t="shared" si="0"/>
        <v>57755.690337</v>
      </c>
      <c r="F3" s="54">
        <f t="shared" si="0"/>
        <v>58141.324795</v>
      </c>
      <c r="G3" s="54">
        <f t="shared" si="0"/>
        <v>59929.877742999997</v>
      </c>
      <c r="H3" s="54">
        <f t="shared" si="0"/>
        <v>30306.877352</v>
      </c>
      <c r="I3" s="54">
        <f t="shared" si="0"/>
        <v>65318.672028000001</v>
      </c>
      <c r="J3" s="54">
        <f t="shared" si="0"/>
        <v>59533.083792999998</v>
      </c>
      <c r="K3" s="54">
        <f t="shared" si="0"/>
        <v>41692.114971000003</v>
      </c>
      <c r="L3" s="54">
        <f t="shared" si="0"/>
        <v>45275.037665999997</v>
      </c>
      <c r="M3" s="54">
        <f t="shared" si="0"/>
        <v>46093.615263</v>
      </c>
      <c r="N3" s="54">
        <f t="shared" si="0"/>
        <v>50809.217792000003</v>
      </c>
      <c r="O3" s="54">
        <f t="shared" si="0"/>
        <v>48755.422253000004</v>
      </c>
      <c r="P3" s="54">
        <f t="shared" si="0"/>
        <v>50072.724374999998</v>
      </c>
      <c r="Q3" s="54">
        <f t="shared" si="0"/>
        <v>53934.239312999998</v>
      </c>
      <c r="R3" s="54">
        <f t="shared" ref="R3:W3" si="1">SUM(R4:R5)</f>
        <v>52605.122173999996</v>
      </c>
      <c r="S3" s="54">
        <f t="shared" si="1"/>
        <v>54901.898125000007</v>
      </c>
      <c r="T3" s="54">
        <f t="shared" si="1"/>
        <v>55431.681814999996</v>
      </c>
      <c r="U3" s="54">
        <f t="shared" si="1"/>
        <v>53311.200199000006</v>
      </c>
      <c r="V3" s="54">
        <f t="shared" si="1"/>
        <v>53855.812842999992</v>
      </c>
      <c r="W3" s="54">
        <f t="shared" si="1"/>
        <v>57895.773394000003</v>
      </c>
      <c r="DA3" s="172" t="s">
        <v>387</v>
      </c>
    </row>
    <row r="4" spans="1:105" ht="11.45" customHeight="1" x14ac:dyDescent="0.25">
      <c r="A4" s="55" t="s">
        <v>170</v>
      </c>
      <c r="B4" s="56">
        <v>11509.197969999999</v>
      </c>
      <c r="C4" s="56">
        <v>12362.392159000001</v>
      </c>
      <c r="D4" s="56">
        <v>13140.510358</v>
      </c>
      <c r="E4" s="56">
        <v>14308.316695000001</v>
      </c>
      <c r="F4" s="56">
        <v>15807.039368</v>
      </c>
      <c r="G4" s="56">
        <v>15922.999759</v>
      </c>
      <c r="H4" s="56">
        <v>15435.041131</v>
      </c>
      <c r="I4" s="56">
        <v>19466.437543</v>
      </c>
      <c r="J4" s="56">
        <v>17399.718765000001</v>
      </c>
      <c r="K4" s="56">
        <v>14713.530663000001</v>
      </c>
      <c r="L4" s="56">
        <v>15396.359646999999</v>
      </c>
      <c r="M4" s="56">
        <v>13732.336946000001</v>
      </c>
      <c r="N4" s="56">
        <v>14494.242265999999</v>
      </c>
      <c r="O4" s="56">
        <v>15864.59799</v>
      </c>
      <c r="P4" s="56">
        <v>14593.397926</v>
      </c>
      <c r="Q4" s="56">
        <v>16083.479971000001</v>
      </c>
      <c r="R4" s="56">
        <v>16379.397043999999</v>
      </c>
      <c r="S4" s="56">
        <v>16706.950433000002</v>
      </c>
      <c r="T4" s="56">
        <v>17841.694137999999</v>
      </c>
      <c r="U4" s="56">
        <v>17661.595001000002</v>
      </c>
      <c r="V4" s="56">
        <v>16908.481268</v>
      </c>
      <c r="W4" s="56">
        <v>18836.446991000001</v>
      </c>
      <c r="DA4" s="181" t="s">
        <v>388</v>
      </c>
    </row>
    <row r="5" spans="1:105" ht="11.45" customHeight="1" x14ac:dyDescent="0.25">
      <c r="A5" s="57" t="s">
        <v>171</v>
      </c>
      <c r="B5" s="58">
        <v>35649.441605</v>
      </c>
      <c r="C5" s="58">
        <v>40278.584342000002</v>
      </c>
      <c r="D5" s="58">
        <v>44485.660209000001</v>
      </c>
      <c r="E5" s="58">
        <v>43447.373641999999</v>
      </c>
      <c r="F5" s="58">
        <v>42334.285427000003</v>
      </c>
      <c r="G5" s="58">
        <v>44006.877983999999</v>
      </c>
      <c r="H5" s="58">
        <v>14871.836221</v>
      </c>
      <c r="I5" s="58">
        <v>45852.234485000001</v>
      </c>
      <c r="J5" s="58">
        <v>42133.365028</v>
      </c>
      <c r="K5" s="58">
        <v>26978.584308000001</v>
      </c>
      <c r="L5" s="58">
        <v>29878.678018999999</v>
      </c>
      <c r="M5" s="58">
        <v>32361.278316999997</v>
      </c>
      <c r="N5" s="58">
        <v>36314.975526000002</v>
      </c>
      <c r="O5" s="58">
        <v>32890.824263000002</v>
      </c>
      <c r="P5" s="58">
        <v>35479.326449</v>
      </c>
      <c r="Q5" s="58">
        <v>37850.759341999998</v>
      </c>
      <c r="R5" s="58">
        <v>36225.725129999999</v>
      </c>
      <c r="S5" s="58">
        <v>38194.947692000002</v>
      </c>
      <c r="T5" s="58">
        <v>37589.987676999997</v>
      </c>
      <c r="U5" s="58">
        <v>35649.605198000005</v>
      </c>
      <c r="V5" s="58">
        <v>36947.331574999997</v>
      </c>
      <c r="W5" s="58">
        <v>39059.326402999999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6.9451979999999995</v>
      </c>
      <c r="C7" s="59">
        <f t="shared" si="2"/>
        <v>7.4689649999999999</v>
      </c>
      <c r="D7" s="59">
        <f t="shared" si="2"/>
        <v>7.9841259999999998</v>
      </c>
      <c r="E7" s="59">
        <f t="shared" si="2"/>
        <v>8.2137460000000004</v>
      </c>
      <c r="F7" s="59">
        <f t="shared" si="2"/>
        <v>8.5968279999999986</v>
      </c>
      <c r="G7" s="59">
        <f t="shared" si="2"/>
        <v>8.1560769999999998</v>
      </c>
      <c r="H7" s="59">
        <f t="shared" si="2"/>
        <v>6.2788260000000005</v>
      </c>
      <c r="I7" s="59">
        <f t="shared" si="2"/>
        <v>8.2020729999999986</v>
      </c>
      <c r="J7" s="59">
        <f t="shared" si="2"/>
        <v>7.2888549999999999</v>
      </c>
      <c r="K7" s="59">
        <f t="shared" si="2"/>
        <v>6.1826140000000001</v>
      </c>
      <c r="L7" s="59">
        <f t="shared" si="2"/>
        <v>6.4343120000000003</v>
      </c>
      <c r="M7" s="59">
        <f t="shared" si="2"/>
        <v>5.7010269999999998</v>
      </c>
      <c r="N7" s="59">
        <f t="shared" si="2"/>
        <v>5.6181619999999999</v>
      </c>
      <c r="O7" s="59">
        <f t="shared" si="2"/>
        <v>6.0067970000000006</v>
      </c>
      <c r="P7" s="59">
        <f t="shared" si="2"/>
        <v>5.8688510000000003</v>
      </c>
      <c r="Q7" s="59">
        <f t="shared" si="2"/>
        <v>6.1553310000000003</v>
      </c>
      <c r="R7" s="59">
        <f t="shared" si="2"/>
        <v>6.1621170000000003</v>
      </c>
      <c r="S7" s="59">
        <f t="shared" si="2"/>
        <v>6.4245549999999998</v>
      </c>
      <c r="T7" s="59">
        <f t="shared" si="2"/>
        <v>6.5562900000000006</v>
      </c>
      <c r="U7" s="59">
        <f t="shared" si="2"/>
        <v>6.5911989999999996</v>
      </c>
      <c r="V7" s="59">
        <f t="shared" si="2"/>
        <v>5.892379</v>
      </c>
      <c r="W7" s="59">
        <f t="shared" si="2"/>
        <v>6.5036240000000003</v>
      </c>
      <c r="DA7" s="172" t="s">
        <v>961</v>
      </c>
    </row>
    <row r="8" spans="1:105" ht="11.45" customHeight="1" x14ac:dyDescent="0.25">
      <c r="A8" s="55" t="s">
        <v>170</v>
      </c>
      <c r="B8" s="60">
        <v>4.0288509999999995</v>
      </c>
      <c r="C8" s="60">
        <v>4.341024</v>
      </c>
      <c r="D8" s="60">
        <v>4.4671149999999997</v>
      </c>
      <c r="E8" s="60">
        <v>4.7412179999999999</v>
      </c>
      <c r="F8" s="60">
        <v>5.1740009999999996</v>
      </c>
      <c r="G8" s="60">
        <v>4.8510520000000001</v>
      </c>
      <c r="H8" s="60">
        <v>4.3961240000000004</v>
      </c>
      <c r="I8" s="60">
        <v>5.1341859999999997</v>
      </c>
      <c r="J8" s="60">
        <v>4.5165930000000003</v>
      </c>
      <c r="K8" s="60">
        <v>4.057264</v>
      </c>
      <c r="L8" s="60">
        <v>4.2362219999999997</v>
      </c>
      <c r="M8" s="60">
        <v>3.5341990000000001</v>
      </c>
      <c r="N8" s="60">
        <v>3.5297459999999998</v>
      </c>
      <c r="O8" s="60">
        <v>3.9677800000000003</v>
      </c>
      <c r="P8" s="60">
        <v>3.7335760000000002</v>
      </c>
      <c r="Q8" s="60">
        <v>3.9587949999999998</v>
      </c>
      <c r="R8" s="60">
        <v>3.9133979999999999</v>
      </c>
      <c r="S8" s="60">
        <v>4.0570950000000003</v>
      </c>
      <c r="T8" s="60">
        <v>4.2401210000000003</v>
      </c>
      <c r="U8" s="60">
        <v>4.2988689999999998</v>
      </c>
      <c r="V8" s="60">
        <v>3.7698019999999999</v>
      </c>
      <c r="W8" s="60">
        <v>4.3247330000000002</v>
      </c>
      <c r="DA8" s="181" t="s">
        <v>962</v>
      </c>
    </row>
    <row r="9" spans="1:105" ht="11.45" customHeight="1" x14ac:dyDescent="0.25">
      <c r="A9" s="57" t="s">
        <v>171</v>
      </c>
      <c r="B9" s="61">
        <v>2.916347</v>
      </c>
      <c r="C9" s="61">
        <v>3.1279409999999999</v>
      </c>
      <c r="D9" s="61">
        <v>3.5170110000000001</v>
      </c>
      <c r="E9" s="61">
        <v>3.4725279999999996</v>
      </c>
      <c r="F9" s="61">
        <v>3.4228269999999998</v>
      </c>
      <c r="G9" s="61">
        <v>3.3050250000000001</v>
      </c>
      <c r="H9" s="61">
        <v>1.8827020000000001</v>
      </c>
      <c r="I9" s="61">
        <v>3.0678869999999998</v>
      </c>
      <c r="J9" s="61">
        <v>2.772262</v>
      </c>
      <c r="K9" s="61">
        <v>2.1253500000000001</v>
      </c>
      <c r="L9" s="61">
        <v>2.1980900000000001</v>
      </c>
      <c r="M9" s="61">
        <v>2.1668279999999998</v>
      </c>
      <c r="N9" s="61">
        <v>2.0884160000000001</v>
      </c>
      <c r="O9" s="61">
        <v>2.0390169999999999</v>
      </c>
      <c r="P9" s="61">
        <v>2.135275</v>
      </c>
      <c r="Q9" s="61">
        <v>2.196536</v>
      </c>
      <c r="R9" s="61">
        <v>2.2487190000000004</v>
      </c>
      <c r="S9" s="61">
        <v>2.3674599999999999</v>
      </c>
      <c r="T9" s="61">
        <v>2.3161689999999999</v>
      </c>
      <c r="U9" s="61">
        <v>2.2923300000000002</v>
      </c>
      <c r="V9" s="61">
        <v>2.1225769999999997</v>
      </c>
      <c r="W9" s="61">
        <v>2.1788910000000001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6790.1072906776744</v>
      </c>
      <c r="C13" s="62">
        <f t="shared" si="3"/>
        <v>7047.9613307867967</v>
      </c>
      <c r="D13" s="62">
        <f t="shared" si="3"/>
        <v>7217.5928294468304</v>
      </c>
      <c r="E13" s="62">
        <f t="shared" si="3"/>
        <v>7031.5895252908958</v>
      </c>
      <c r="F13" s="62">
        <f t="shared" si="3"/>
        <v>6763.1136501742285</v>
      </c>
      <c r="G13" s="62">
        <f t="shared" si="3"/>
        <v>7347.880328128339</v>
      </c>
      <c r="H13" s="62">
        <f t="shared" si="3"/>
        <v>4826.8382261269853</v>
      </c>
      <c r="I13" s="62">
        <f t="shared" si="3"/>
        <v>7963.6784539713326</v>
      </c>
      <c r="J13" s="62">
        <f t="shared" si="3"/>
        <v>8167.6866658755043</v>
      </c>
      <c r="K13" s="62">
        <f t="shared" si="3"/>
        <v>6743.4445965735531</v>
      </c>
      <c r="L13" s="62">
        <f t="shared" si="3"/>
        <v>7036.5001986226334</v>
      </c>
      <c r="M13" s="62">
        <f t="shared" si="3"/>
        <v>8085.1424248648536</v>
      </c>
      <c r="N13" s="62">
        <f t="shared" si="3"/>
        <v>9043.7438066043669</v>
      </c>
      <c r="O13" s="62">
        <f t="shared" si="3"/>
        <v>8116.7088305131665</v>
      </c>
      <c r="P13" s="62">
        <f t="shared" si="3"/>
        <v>8531.9467771459858</v>
      </c>
      <c r="Q13" s="62">
        <f t="shared" si="3"/>
        <v>8762.1996791074271</v>
      </c>
      <c r="R13" s="62">
        <f t="shared" si="3"/>
        <v>8536.8587084600949</v>
      </c>
      <c r="S13" s="62">
        <f t="shared" si="3"/>
        <v>8545.6343863504953</v>
      </c>
      <c r="T13" s="62">
        <f t="shared" si="3"/>
        <v>8454.7330601605463</v>
      </c>
      <c r="U13" s="62">
        <f t="shared" si="3"/>
        <v>8088.2401212586674</v>
      </c>
      <c r="V13" s="62">
        <f t="shared" si="3"/>
        <v>9139.9098467698695</v>
      </c>
      <c r="W13" s="62">
        <f t="shared" si="3"/>
        <v>8902.0788092915591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2856.6948666009243</v>
      </c>
      <c r="C14" s="63">
        <f t="shared" si="3"/>
        <v>2847.8055313677146</v>
      </c>
      <c r="D14" s="63">
        <f t="shared" si="3"/>
        <v>2941.6100454096213</v>
      </c>
      <c r="E14" s="63">
        <f t="shared" si="3"/>
        <v>3017.8567395551104</v>
      </c>
      <c r="F14" s="63">
        <f t="shared" si="3"/>
        <v>3055.0901261905442</v>
      </c>
      <c r="G14" s="63">
        <f t="shared" si="3"/>
        <v>3282.3807617399275</v>
      </c>
      <c r="H14" s="63">
        <f t="shared" si="3"/>
        <v>3511.0568152763658</v>
      </c>
      <c r="I14" s="63">
        <f t="shared" si="3"/>
        <v>3791.5333692624304</v>
      </c>
      <c r="J14" s="63">
        <f t="shared" si="3"/>
        <v>3852.3990904205893</v>
      </c>
      <c r="K14" s="63">
        <f t="shared" si="3"/>
        <v>3626.466175974746</v>
      </c>
      <c r="L14" s="63">
        <f t="shared" si="3"/>
        <v>3634.4553347298606</v>
      </c>
      <c r="M14" s="63">
        <f t="shared" si="3"/>
        <v>3885.5584945839214</v>
      </c>
      <c r="N14" s="63">
        <f t="shared" si="3"/>
        <v>4106.3131075153851</v>
      </c>
      <c r="O14" s="63">
        <f t="shared" si="3"/>
        <v>3998.3562571513539</v>
      </c>
      <c r="P14" s="63">
        <f t="shared" si="3"/>
        <v>3908.6918080681894</v>
      </c>
      <c r="Q14" s="63">
        <f t="shared" si="3"/>
        <v>4062.721098465569</v>
      </c>
      <c r="R14" s="63">
        <f t="shared" si="3"/>
        <v>4185.4667079607034</v>
      </c>
      <c r="S14" s="63">
        <f t="shared" si="3"/>
        <v>4117.9588925080634</v>
      </c>
      <c r="T14" s="63">
        <f t="shared" si="3"/>
        <v>4207.8266488149748</v>
      </c>
      <c r="U14" s="63">
        <f t="shared" si="3"/>
        <v>4108.4282868354449</v>
      </c>
      <c r="V14" s="63">
        <f t="shared" si="3"/>
        <v>4485.2438584307611</v>
      </c>
      <c r="W14" s="63">
        <f t="shared" si="3"/>
        <v>4355.5167431145464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12224.005444139535</v>
      </c>
      <c r="C15" s="64">
        <f t="shared" si="3"/>
        <v>12877.028160697406</v>
      </c>
      <c r="D15" s="64">
        <f t="shared" si="3"/>
        <v>12648.712275565815</v>
      </c>
      <c r="E15" s="64">
        <f t="shared" si="3"/>
        <v>12511.741774868338</v>
      </c>
      <c r="F15" s="64">
        <f t="shared" si="3"/>
        <v>12368.222357425602</v>
      </c>
      <c r="G15" s="64">
        <f t="shared" si="3"/>
        <v>13315.142240678966</v>
      </c>
      <c r="H15" s="64">
        <f t="shared" si="3"/>
        <v>7899.1981848428477</v>
      </c>
      <c r="I15" s="64">
        <f t="shared" si="3"/>
        <v>14945.868112156675</v>
      </c>
      <c r="J15" s="64">
        <f t="shared" si="3"/>
        <v>15198.190152301622</v>
      </c>
      <c r="K15" s="64">
        <f t="shared" si="3"/>
        <v>12693.713650928083</v>
      </c>
      <c r="L15" s="64">
        <f t="shared" si="3"/>
        <v>13593.018492873358</v>
      </c>
      <c r="M15" s="64">
        <f t="shared" si="3"/>
        <v>14934.862535005086</v>
      </c>
      <c r="N15" s="64">
        <f t="shared" si="3"/>
        <v>17388.765229724348</v>
      </c>
      <c r="O15" s="64">
        <f t="shared" si="3"/>
        <v>16130.725865944229</v>
      </c>
      <c r="P15" s="64">
        <f t="shared" si="3"/>
        <v>16615.811288475725</v>
      </c>
      <c r="Q15" s="64">
        <f t="shared" si="3"/>
        <v>17232.023213823948</v>
      </c>
      <c r="R15" s="64">
        <f t="shared" si="3"/>
        <v>16109.493951889939</v>
      </c>
      <c r="S15" s="64">
        <f t="shared" si="3"/>
        <v>16133.302227703954</v>
      </c>
      <c r="T15" s="64">
        <f t="shared" si="3"/>
        <v>16229.380359118872</v>
      </c>
      <c r="U15" s="64">
        <f t="shared" si="3"/>
        <v>15551.689851810168</v>
      </c>
      <c r="V15" s="64">
        <f t="shared" si="3"/>
        <v>17406.827443715825</v>
      </c>
      <c r="W15" s="64">
        <f t="shared" si="3"/>
        <v>17926.241561877119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0.24405279867533158</v>
      </c>
      <c r="C18" s="66">
        <f t="shared" si="4"/>
        <v>0.23484351888428887</v>
      </c>
      <c r="D18" s="66">
        <f t="shared" si="4"/>
        <v>0.22803025480796044</v>
      </c>
      <c r="E18" s="66">
        <f t="shared" si="4"/>
        <v>0.24773864898007583</v>
      </c>
      <c r="F18" s="66">
        <f t="shared" si="4"/>
        <v>0.27187270712757072</v>
      </c>
      <c r="G18" s="66">
        <f t="shared" si="4"/>
        <v>0.26569384685353975</v>
      </c>
      <c r="H18" s="66">
        <f t="shared" si="4"/>
        <v>0.50929170140919899</v>
      </c>
      <c r="I18" s="66">
        <f t="shared" si="4"/>
        <v>0.29802255524508164</v>
      </c>
      <c r="J18" s="66">
        <f t="shared" si="4"/>
        <v>0.29226973736989398</v>
      </c>
      <c r="K18" s="66">
        <f t="shared" si="4"/>
        <v>0.35290919333870124</v>
      </c>
      <c r="L18" s="66">
        <f t="shared" si="4"/>
        <v>0.34006287881152086</v>
      </c>
      <c r="M18" s="66">
        <f t="shared" si="4"/>
        <v>0.2979227571464359</v>
      </c>
      <c r="N18" s="66">
        <f t="shared" si="4"/>
        <v>0.28526796703180385</v>
      </c>
      <c r="O18" s="66">
        <f t="shared" si="4"/>
        <v>0.32539145918326706</v>
      </c>
      <c r="P18" s="66">
        <f t="shared" si="4"/>
        <v>0.2914440567824606</v>
      </c>
      <c r="Q18" s="66">
        <f t="shared" si="4"/>
        <v>0.29820537335590697</v>
      </c>
      <c r="R18" s="66">
        <f t="shared" si="4"/>
        <v>0.31136506041792811</v>
      </c>
      <c r="S18" s="66">
        <f t="shared" si="4"/>
        <v>0.3043055159033265</v>
      </c>
      <c r="T18" s="66">
        <f t="shared" si="4"/>
        <v>0.32186817274542762</v>
      </c>
      <c r="U18" s="66">
        <f t="shared" si="4"/>
        <v>0.33129239137503591</v>
      </c>
      <c r="V18" s="66">
        <f t="shared" si="4"/>
        <v>0.31395833384395216</v>
      </c>
      <c r="W18" s="66">
        <f t="shared" si="4"/>
        <v>0.32535098655322747</v>
      </c>
      <c r="DA18" s="181"/>
    </row>
    <row r="19" spans="1:105" ht="11.45" customHeight="1" x14ac:dyDescent="0.25">
      <c r="A19" s="57" t="s">
        <v>171</v>
      </c>
      <c r="B19" s="67">
        <f t="shared" si="4"/>
        <v>0.75594720132466842</v>
      </c>
      <c r="C19" s="67">
        <f t="shared" si="4"/>
        <v>0.76515648111571111</v>
      </c>
      <c r="D19" s="67">
        <f t="shared" si="4"/>
        <v>0.77196974519203954</v>
      </c>
      <c r="E19" s="67">
        <f t="shared" si="4"/>
        <v>0.7522613510199242</v>
      </c>
      <c r="F19" s="67">
        <f t="shared" si="4"/>
        <v>0.72812729287242928</v>
      </c>
      <c r="G19" s="67">
        <f t="shared" si="4"/>
        <v>0.73430615314646031</v>
      </c>
      <c r="H19" s="67">
        <f t="shared" si="4"/>
        <v>0.49070829859080101</v>
      </c>
      <c r="I19" s="67">
        <f t="shared" si="4"/>
        <v>0.7019774447549183</v>
      </c>
      <c r="J19" s="67">
        <f t="shared" si="4"/>
        <v>0.70773026263010608</v>
      </c>
      <c r="K19" s="67">
        <f t="shared" si="4"/>
        <v>0.6470908066612987</v>
      </c>
      <c r="L19" s="67">
        <f t="shared" si="4"/>
        <v>0.65993712118847914</v>
      </c>
      <c r="M19" s="67">
        <f t="shared" si="4"/>
        <v>0.70207724285356399</v>
      </c>
      <c r="N19" s="67">
        <f t="shared" si="4"/>
        <v>0.7147320329681961</v>
      </c>
      <c r="O19" s="67">
        <f t="shared" si="4"/>
        <v>0.67460854081673294</v>
      </c>
      <c r="P19" s="67">
        <f t="shared" si="4"/>
        <v>0.70855594321753945</v>
      </c>
      <c r="Q19" s="67">
        <f t="shared" si="4"/>
        <v>0.70179462664409298</v>
      </c>
      <c r="R19" s="67">
        <f t="shared" si="4"/>
        <v>0.68863493958207189</v>
      </c>
      <c r="S19" s="67">
        <f t="shared" si="4"/>
        <v>0.69569448409667345</v>
      </c>
      <c r="T19" s="67">
        <f t="shared" si="4"/>
        <v>0.67813182725457233</v>
      </c>
      <c r="U19" s="67">
        <f t="shared" si="4"/>
        <v>0.66870760862496414</v>
      </c>
      <c r="V19" s="67">
        <f t="shared" si="4"/>
        <v>0.68604166615604789</v>
      </c>
      <c r="W19" s="67">
        <f t="shared" si="4"/>
        <v>0.67464901344677242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0.58009159710061542</v>
      </c>
      <c r="C22" s="66">
        <f t="shared" si="5"/>
        <v>0.58120823969586144</v>
      </c>
      <c r="D22" s="66">
        <f t="shared" si="5"/>
        <v>0.55949956200591022</v>
      </c>
      <c r="E22" s="66">
        <f t="shared" si="5"/>
        <v>0.57722968302160793</v>
      </c>
      <c r="F22" s="66">
        <f t="shared" si="5"/>
        <v>0.60185000793315868</v>
      </c>
      <c r="G22" s="66">
        <f t="shared" si="5"/>
        <v>0.59477761183470934</v>
      </c>
      <c r="H22" s="66">
        <f t="shared" si="5"/>
        <v>0.70015063325532512</v>
      </c>
      <c r="I22" s="66">
        <f t="shared" si="5"/>
        <v>0.6259619976559585</v>
      </c>
      <c r="J22" s="66">
        <f t="shared" si="5"/>
        <v>0.61965740846813389</v>
      </c>
      <c r="K22" s="66">
        <f t="shared" si="5"/>
        <v>0.65623763670188695</v>
      </c>
      <c r="L22" s="66">
        <f t="shared" si="5"/>
        <v>0.65837994800376476</v>
      </c>
      <c r="M22" s="66">
        <f t="shared" si="5"/>
        <v>0.61992321734312084</v>
      </c>
      <c r="N22" s="66">
        <f t="shared" si="5"/>
        <v>0.62827415798974828</v>
      </c>
      <c r="O22" s="66">
        <f t="shared" si="5"/>
        <v>0.66054837544867917</v>
      </c>
      <c r="P22" s="66">
        <f t="shared" si="5"/>
        <v>0.63616813580716225</v>
      </c>
      <c r="Q22" s="66">
        <f t="shared" si="5"/>
        <v>0.64314900368477335</v>
      </c>
      <c r="R22" s="66">
        <f t="shared" si="5"/>
        <v>0.63507362810540591</v>
      </c>
      <c r="S22" s="66">
        <f t="shared" si="5"/>
        <v>0.6314982127166785</v>
      </c>
      <c r="T22" s="66">
        <f t="shared" si="5"/>
        <v>0.64672566344685789</v>
      </c>
      <c r="U22" s="66">
        <f t="shared" si="5"/>
        <v>0.6522135047052896</v>
      </c>
      <c r="V22" s="66">
        <f t="shared" si="5"/>
        <v>0.63977588678528652</v>
      </c>
      <c r="W22" s="66">
        <f t="shared" si="5"/>
        <v>0.66497279055492753</v>
      </c>
      <c r="DA22" s="181"/>
    </row>
    <row r="23" spans="1:105" ht="11.45" customHeight="1" x14ac:dyDescent="0.25">
      <c r="A23" s="57" t="s">
        <v>171</v>
      </c>
      <c r="B23" s="67">
        <f t="shared" si="5"/>
        <v>0.41990840289938464</v>
      </c>
      <c r="C23" s="67">
        <f t="shared" si="5"/>
        <v>0.41879176030413851</v>
      </c>
      <c r="D23" s="67">
        <f t="shared" si="5"/>
        <v>0.44050043799408978</v>
      </c>
      <c r="E23" s="67">
        <f t="shared" si="5"/>
        <v>0.42277031697839201</v>
      </c>
      <c r="F23" s="67">
        <f t="shared" si="5"/>
        <v>0.39814999206684143</v>
      </c>
      <c r="G23" s="67">
        <f t="shared" si="5"/>
        <v>0.40522238816529077</v>
      </c>
      <c r="H23" s="67">
        <f t="shared" si="5"/>
        <v>0.29984936674467488</v>
      </c>
      <c r="I23" s="67">
        <f t="shared" si="5"/>
        <v>0.37403800234404161</v>
      </c>
      <c r="J23" s="67">
        <f t="shared" si="5"/>
        <v>0.38034259153186611</v>
      </c>
      <c r="K23" s="67">
        <f t="shared" si="5"/>
        <v>0.34376236329811305</v>
      </c>
      <c r="L23" s="67">
        <f t="shared" si="5"/>
        <v>0.34162005199623519</v>
      </c>
      <c r="M23" s="67">
        <f t="shared" si="5"/>
        <v>0.38007678265687916</v>
      </c>
      <c r="N23" s="67">
        <f t="shared" si="5"/>
        <v>0.37172584201025177</v>
      </c>
      <c r="O23" s="67">
        <f t="shared" si="5"/>
        <v>0.33945162455132072</v>
      </c>
      <c r="P23" s="67">
        <f t="shared" si="5"/>
        <v>0.36383186419283775</v>
      </c>
      <c r="Q23" s="67">
        <f t="shared" si="5"/>
        <v>0.3568509963152266</v>
      </c>
      <c r="R23" s="67">
        <f t="shared" si="5"/>
        <v>0.36492637189459404</v>
      </c>
      <c r="S23" s="67">
        <f t="shared" si="5"/>
        <v>0.36850178728332156</v>
      </c>
      <c r="T23" s="67">
        <f t="shared" si="5"/>
        <v>0.35327433655314205</v>
      </c>
      <c r="U23" s="67">
        <f t="shared" si="5"/>
        <v>0.34778649529471045</v>
      </c>
      <c r="V23" s="67">
        <f t="shared" si="5"/>
        <v>0.36022411321471337</v>
      </c>
      <c r="W23" s="67">
        <f t="shared" si="5"/>
        <v>0.33502720944507247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154.36233877901981</v>
      </c>
      <c r="C3" s="62">
        <f t="shared" ref="C3:W3" si="0">SUM(C4,C10)</f>
        <v>164.755803955288</v>
      </c>
      <c r="D3" s="62">
        <f t="shared" si="0"/>
        <v>146.3792777300086</v>
      </c>
      <c r="E3" s="62">
        <f t="shared" si="0"/>
        <v>173.71401547721413</v>
      </c>
      <c r="F3" s="62">
        <f t="shared" si="0"/>
        <v>152.73413585554599</v>
      </c>
      <c r="G3" s="62">
        <f t="shared" si="0"/>
        <v>106.64058469475495</v>
      </c>
      <c r="H3" s="62">
        <f t="shared" si="0"/>
        <v>130.70060189165949</v>
      </c>
      <c r="I3" s="62">
        <f t="shared" si="0"/>
        <v>113.73215821152192</v>
      </c>
      <c r="J3" s="62">
        <f t="shared" si="0"/>
        <v>70.809630266552006</v>
      </c>
      <c r="K3" s="62">
        <f t="shared" si="0"/>
        <v>97.217454858125521</v>
      </c>
      <c r="L3" s="62">
        <f t="shared" si="0"/>
        <v>138.74746345657786</v>
      </c>
      <c r="M3" s="62">
        <f t="shared" si="0"/>
        <v>108.44230438521065</v>
      </c>
      <c r="N3" s="62">
        <f t="shared" si="0"/>
        <v>128.47979363714532</v>
      </c>
      <c r="O3" s="62">
        <f t="shared" si="0"/>
        <v>145.91969045571796</v>
      </c>
      <c r="P3" s="62">
        <f t="shared" si="0"/>
        <v>134.09174548581251</v>
      </c>
      <c r="Q3" s="62">
        <f t="shared" si="0"/>
        <v>159.77678417884778</v>
      </c>
      <c r="R3" s="62">
        <f t="shared" si="0"/>
        <v>159.94075666380053</v>
      </c>
      <c r="S3" s="62">
        <f t="shared" si="0"/>
        <v>155.81418744625964</v>
      </c>
      <c r="T3" s="62">
        <f t="shared" si="0"/>
        <v>172.71246775580403</v>
      </c>
      <c r="U3" s="62">
        <f t="shared" si="0"/>
        <v>142.20249355116079</v>
      </c>
      <c r="V3" s="62">
        <f t="shared" si="0"/>
        <v>154.96698194325023</v>
      </c>
      <c r="W3" s="62">
        <f t="shared" si="0"/>
        <v>171.78194325021497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59.677937980614018</v>
      </c>
      <c r="C4" s="71">
        <f t="shared" ref="C4:W4" si="1">SUM(C5:C9)</f>
        <v>63.256581449119793</v>
      </c>
      <c r="D4" s="71">
        <f t="shared" si="1"/>
        <v>54.333873244662207</v>
      </c>
      <c r="E4" s="71">
        <f t="shared" si="1"/>
        <v>67.059548046785608</v>
      </c>
      <c r="F4" s="71">
        <f t="shared" si="1"/>
        <v>61.60143712637614</v>
      </c>
      <c r="G4" s="71">
        <f t="shared" si="1"/>
        <v>42.774022328754121</v>
      </c>
      <c r="H4" s="71">
        <f t="shared" si="1"/>
        <v>63.212697831350916</v>
      </c>
      <c r="I4" s="71">
        <f t="shared" si="1"/>
        <v>48.616303219283189</v>
      </c>
      <c r="J4" s="71">
        <f t="shared" si="1"/>
        <v>29.889150735521863</v>
      </c>
      <c r="K4" s="71">
        <f t="shared" si="1"/>
        <v>43.088819840023319</v>
      </c>
      <c r="L4" s="71">
        <f t="shared" si="1"/>
        <v>61.275986232840367</v>
      </c>
      <c r="M4" s="71">
        <f t="shared" si="1"/>
        <v>44.899668401119804</v>
      </c>
      <c r="N4" s="71">
        <f t="shared" si="1"/>
        <v>53.807560070471922</v>
      </c>
      <c r="O4" s="71">
        <f t="shared" si="1"/>
        <v>64.547732748971754</v>
      </c>
      <c r="P4" s="71">
        <f t="shared" si="1"/>
        <v>56.503248222175046</v>
      </c>
      <c r="Q4" s="71">
        <f t="shared" si="1"/>
        <v>68.154938577548677</v>
      </c>
      <c r="R4" s="71">
        <f t="shared" si="1"/>
        <v>67.881961346132385</v>
      </c>
      <c r="S4" s="71">
        <f t="shared" si="1"/>
        <v>65.451179228052453</v>
      </c>
      <c r="T4" s="71">
        <f t="shared" si="1"/>
        <v>74.562642336710383</v>
      </c>
      <c r="U4" s="71">
        <f t="shared" si="1"/>
        <v>61.755744305298116</v>
      </c>
      <c r="V4" s="71">
        <f t="shared" si="1"/>
        <v>61.46079582238788</v>
      </c>
      <c r="W4" s="71">
        <f t="shared" si="1"/>
        <v>70.653442534936815</v>
      </c>
      <c r="DA4" s="186" t="s">
        <v>969</v>
      </c>
    </row>
    <row r="5" spans="1:105" ht="11.45" customHeight="1" x14ac:dyDescent="0.25">
      <c r="A5" s="72" t="s">
        <v>145</v>
      </c>
      <c r="B5" s="73">
        <v>59.677937980614018</v>
      </c>
      <c r="C5" s="73">
        <v>63.256581449119793</v>
      </c>
      <c r="D5" s="73">
        <v>54.333873244662207</v>
      </c>
      <c r="E5" s="73">
        <v>67.059548046785608</v>
      </c>
      <c r="F5" s="73">
        <v>61.60143712637614</v>
      </c>
      <c r="G5" s="73">
        <v>42.774022328754121</v>
      </c>
      <c r="H5" s="73">
        <v>59.015820140855823</v>
      </c>
      <c r="I5" s="73">
        <v>38.148200777669018</v>
      </c>
      <c r="J5" s="73">
        <v>20.248088916006402</v>
      </c>
      <c r="K5" s="73">
        <v>43.032163151855954</v>
      </c>
      <c r="L5" s="73">
        <v>61.275986232840367</v>
      </c>
      <c r="M5" s="73">
        <v>44.899668401119804</v>
      </c>
      <c r="N5" s="73">
        <v>53.807560070471922</v>
      </c>
      <c r="O5" s="73">
        <v>64.547732748971754</v>
      </c>
      <c r="P5" s="73">
        <v>56.503248222175046</v>
      </c>
      <c r="Q5" s="73">
        <v>68.154938577548677</v>
      </c>
      <c r="R5" s="73">
        <v>67.881961346132385</v>
      </c>
      <c r="S5" s="73">
        <v>65.451179228052453</v>
      </c>
      <c r="T5" s="73">
        <v>74.562642336710383</v>
      </c>
      <c r="U5" s="73">
        <v>61.755744305298116</v>
      </c>
      <c r="V5" s="73">
        <v>61.46079582238788</v>
      </c>
      <c r="W5" s="73">
        <v>70.653442534936815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4.1968776904950946</v>
      </c>
      <c r="I6" s="73">
        <v>10.468102441614169</v>
      </c>
      <c r="J6" s="73">
        <v>9.6410618195154605</v>
      </c>
      <c r="K6" s="73">
        <v>5.6656688167363356E-2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94.68440079840579</v>
      </c>
      <c r="C10" s="71">
        <f t="shared" ref="C10:W10" si="2">SUM(C11:C15)</f>
        <v>101.49922250616821</v>
      </c>
      <c r="D10" s="71">
        <f t="shared" si="2"/>
        <v>92.045404485346381</v>
      </c>
      <c r="E10" s="71">
        <f t="shared" si="2"/>
        <v>106.65446743042853</v>
      </c>
      <c r="F10" s="71">
        <f t="shared" si="2"/>
        <v>91.132698729169846</v>
      </c>
      <c r="G10" s="71">
        <f t="shared" si="2"/>
        <v>63.866562366000828</v>
      </c>
      <c r="H10" s="71">
        <f t="shared" si="2"/>
        <v>67.48790406030858</v>
      </c>
      <c r="I10" s="71">
        <f t="shared" si="2"/>
        <v>65.115854992238724</v>
      </c>
      <c r="J10" s="71">
        <f t="shared" si="2"/>
        <v>40.920479531030146</v>
      </c>
      <c r="K10" s="71">
        <f t="shared" si="2"/>
        <v>54.128635018102202</v>
      </c>
      <c r="L10" s="71">
        <f t="shared" si="2"/>
        <v>77.471477223737494</v>
      </c>
      <c r="M10" s="71">
        <f t="shared" si="2"/>
        <v>63.542635984090843</v>
      </c>
      <c r="N10" s="71">
        <f t="shared" si="2"/>
        <v>74.672233566673398</v>
      </c>
      <c r="O10" s="71">
        <f t="shared" si="2"/>
        <v>81.371957706746187</v>
      </c>
      <c r="P10" s="71">
        <f t="shared" si="2"/>
        <v>77.588497263637464</v>
      </c>
      <c r="Q10" s="71">
        <f t="shared" si="2"/>
        <v>91.621845601299086</v>
      </c>
      <c r="R10" s="71">
        <f t="shared" si="2"/>
        <v>92.058795317668142</v>
      </c>
      <c r="S10" s="71">
        <f t="shared" si="2"/>
        <v>90.363008218207185</v>
      </c>
      <c r="T10" s="71">
        <f t="shared" si="2"/>
        <v>98.149825419093645</v>
      </c>
      <c r="U10" s="71">
        <f t="shared" si="2"/>
        <v>80.446749245862662</v>
      </c>
      <c r="V10" s="71">
        <f t="shared" si="2"/>
        <v>93.506186120862353</v>
      </c>
      <c r="W10" s="71">
        <f t="shared" si="2"/>
        <v>101.12850071527815</v>
      </c>
      <c r="DA10" s="186" t="s">
        <v>975</v>
      </c>
    </row>
    <row r="11" spans="1:105" ht="11.45" customHeight="1" x14ac:dyDescent="0.25">
      <c r="A11" s="72" t="s">
        <v>145</v>
      </c>
      <c r="B11" s="73">
        <v>58.242956258422979</v>
      </c>
      <c r="C11" s="73">
        <v>66.042644690175095</v>
      </c>
      <c r="D11" s="73">
        <v>40.830357193858852</v>
      </c>
      <c r="E11" s="73">
        <v>43.620589528450893</v>
      </c>
      <c r="F11" s="73">
        <v>42.872337594174155</v>
      </c>
      <c r="G11" s="73">
        <v>40.22881516049781</v>
      </c>
      <c r="H11" s="73">
        <v>22.439553891818292</v>
      </c>
      <c r="I11" s="73">
        <v>9.5953073908606381</v>
      </c>
      <c r="J11" s="73">
        <v>5.2559523565645367</v>
      </c>
      <c r="K11" s="73">
        <v>22.66835275528075</v>
      </c>
      <c r="L11" s="73">
        <v>39.060213251252534</v>
      </c>
      <c r="M11" s="73">
        <v>40.889841487100306</v>
      </c>
      <c r="N11" s="73">
        <v>51.03448636117038</v>
      </c>
      <c r="O11" s="73">
        <v>63.64366879874963</v>
      </c>
      <c r="P11" s="73">
        <v>57.890388923138758</v>
      </c>
      <c r="Q11" s="73">
        <v>77.833195558306826</v>
      </c>
      <c r="R11" s="73">
        <v>81.224831431167701</v>
      </c>
      <c r="S11" s="73">
        <v>76.807806154578643</v>
      </c>
      <c r="T11" s="73">
        <v>82.419988789686926</v>
      </c>
      <c r="U11" s="73">
        <v>70.205734628493786</v>
      </c>
      <c r="V11" s="73">
        <v>83.141095837113411</v>
      </c>
      <c r="W11" s="73">
        <v>94.402619373919592</v>
      </c>
      <c r="DA11" s="187" t="s">
        <v>976</v>
      </c>
    </row>
    <row r="12" spans="1:105" ht="11.45" customHeight="1" x14ac:dyDescent="0.25">
      <c r="A12" s="72" t="s">
        <v>146</v>
      </c>
      <c r="B12" s="73">
        <v>36.441444539982811</v>
      </c>
      <c r="C12" s="73">
        <v>35.456577815993114</v>
      </c>
      <c r="D12" s="73">
        <v>51.215047291487537</v>
      </c>
      <c r="E12" s="73">
        <v>63.033877901977633</v>
      </c>
      <c r="F12" s="73">
        <v>48.260361134995691</v>
      </c>
      <c r="G12" s="73">
        <v>23.637747205503018</v>
      </c>
      <c r="H12" s="73">
        <v>45.048350168490281</v>
      </c>
      <c r="I12" s="73">
        <v>55.520547601378091</v>
      </c>
      <c r="J12" s="73">
        <v>35.664527174465611</v>
      </c>
      <c r="K12" s="73">
        <v>31.460282262821451</v>
      </c>
      <c r="L12" s="73">
        <v>38.41126397248496</v>
      </c>
      <c r="M12" s="73">
        <v>22.652794496990538</v>
      </c>
      <c r="N12" s="73">
        <v>23.637747205503018</v>
      </c>
      <c r="O12" s="73">
        <v>17.728288907996557</v>
      </c>
      <c r="P12" s="73">
        <v>19.698108340498706</v>
      </c>
      <c r="Q12" s="73">
        <v>13.788650042992259</v>
      </c>
      <c r="R12" s="73">
        <v>10.833963886500442</v>
      </c>
      <c r="S12" s="73">
        <v>13.555202063628542</v>
      </c>
      <c r="T12" s="73">
        <v>15.729836629406719</v>
      </c>
      <c r="U12" s="73">
        <v>10.241014617368876</v>
      </c>
      <c r="V12" s="73">
        <v>10.365090283748941</v>
      </c>
      <c r="W12" s="73">
        <v>6.7258813413585585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2222.5765021964789</v>
      </c>
      <c r="C19" s="62">
        <f>IF(C3=0,0,C3/MBunk_act!C7*100)</f>
        <v>2205.8719508698728</v>
      </c>
      <c r="D19" s="62">
        <f>IF(D3=0,0,D3/MBunk_act!D7*100)</f>
        <v>1833.3788536153938</v>
      </c>
      <c r="E19" s="62">
        <f>IF(E3=0,0,E3/MBunk_act!E7*100)</f>
        <v>2114.9182781792151</v>
      </c>
      <c r="F19" s="62">
        <f>IF(F3=0,0,F3/MBunk_act!F7*100)</f>
        <v>1776.6336124852796</v>
      </c>
      <c r="G19" s="62">
        <f>IF(G3=0,0,G3/MBunk_act!G7*100)</f>
        <v>1307.4985031989638</v>
      </c>
      <c r="H19" s="62">
        <f>IF(H3=0,0,H3/MBunk_act!H7*100)</f>
        <v>2081.6089168844537</v>
      </c>
      <c r="I19" s="62">
        <f>IF(I3=0,0,I3/MBunk_act!I7*100)</f>
        <v>1386.6269930970127</v>
      </c>
      <c r="J19" s="62">
        <f>IF(J3=0,0,J3/MBunk_act!J7*100)</f>
        <v>971.47810275484971</v>
      </c>
      <c r="K19" s="62">
        <f>IF(K3=0,0,K3/MBunk_act!K7*100)</f>
        <v>1572.4328715673585</v>
      </c>
      <c r="L19" s="62">
        <f>IF(L3=0,0,L3/MBunk_act!L7*100)</f>
        <v>2156.3682870301886</v>
      </c>
      <c r="M19" s="62">
        <f>IF(M3=0,0,M3/MBunk_act!M7*100)</f>
        <v>1902.1538467579728</v>
      </c>
      <c r="N19" s="62">
        <f>IF(N3=0,0,N3/MBunk_act!N7*100)</f>
        <v>2286.8652352343224</v>
      </c>
      <c r="O19" s="62">
        <f>IF(O3=0,0,O3/MBunk_act!O7*100)</f>
        <v>2429.2429135813636</v>
      </c>
      <c r="P19" s="62">
        <f>IF(P3=0,0,P3/MBunk_act!P7*100)</f>
        <v>2284.8040525447404</v>
      </c>
      <c r="Q19" s="62">
        <f>IF(Q3=0,0,Q3/MBunk_act!Q7*100)</f>
        <v>2595.7464217415404</v>
      </c>
      <c r="R19" s="62">
        <f>IF(R3=0,0,R3/MBunk_act!R7*100)</f>
        <v>2595.5488456937856</v>
      </c>
      <c r="S19" s="62">
        <f>IF(S3=0,0,S3/MBunk_act!S7*100)</f>
        <v>2425.2915174087489</v>
      </c>
      <c r="T19" s="62">
        <f>IF(T3=0,0,T3/MBunk_act!T7*100)</f>
        <v>2634.3018346626523</v>
      </c>
      <c r="U19" s="62">
        <f>IF(U3=0,0,U3/MBunk_act!U7*100)</f>
        <v>2157.46017607966</v>
      </c>
      <c r="V19" s="62">
        <f>IF(V3=0,0,V3/MBunk_act!V7*100)</f>
        <v>2629.9561169308736</v>
      </c>
      <c r="W19" s="62">
        <f>IF(W3=0,0,W3/MBunk_act!W7*100)</f>
        <v>2641.3264858210587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1481.2644592866309</v>
      </c>
      <c r="C20" s="63">
        <f>IF(C4=0,0,C4/MBunk_act!C8*100)</f>
        <v>1457.1811040233777</v>
      </c>
      <c r="D20" s="63">
        <f>IF(D4=0,0,D4/MBunk_act!D8*100)</f>
        <v>1216.3079133772517</v>
      </c>
      <c r="E20" s="63">
        <f>IF(E4=0,0,E4/MBunk_act!E8*100)</f>
        <v>1414.3949518200936</v>
      </c>
      <c r="F20" s="63">
        <f>IF(F4=0,0,F4/MBunk_act!F8*100)</f>
        <v>1190.5957715581451</v>
      </c>
      <c r="G20" s="63">
        <f>IF(G4=0,0,G4/MBunk_act!G8*100)</f>
        <v>881.74734735381367</v>
      </c>
      <c r="H20" s="63">
        <f>IF(H4=0,0,H4/MBunk_act!H8*100)</f>
        <v>1437.9188992701504</v>
      </c>
      <c r="I20" s="63">
        <f>IF(I4=0,0,I4/MBunk_act!I8*100)</f>
        <v>946.91355590317914</v>
      </c>
      <c r="J20" s="63">
        <f>IF(J4=0,0,J4/MBunk_act!J8*100)</f>
        <v>661.7632081421076</v>
      </c>
      <c r="K20" s="63">
        <f>IF(K4=0,0,K4/MBunk_act!K8*100)</f>
        <v>1062.0166654184525</v>
      </c>
      <c r="L20" s="63">
        <f>IF(L4=0,0,L4/MBunk_act!L8*100)</f>
        <v>1446.4772203354869</v>
      </c>
      <c r="M20" s="63">
        <f>IF(M4=0,0,M4/MBunk_act!M8*100)</f>
        <v>1270.4340757586033</v>
      </c>
      <c r="N20" s="63">
        <f>IF(N4=0,0,N4/MBunk_act!N8*100)</f>
        <v>1524.403174349427</v>
      </c>
      <c r="O20" s="63">
        <f>IF(O4=0,0,O4/MBunk_act!O8*100)</f>
        <v>1626.7971699280642</v>
      </c>
      <c r="P20" s="63">
        <f>IF(P4=0,0,P4/MBunk_act!P8*100)</f>
        <v>1513.3814932969101</v>
      </c>
      <c r="Q20" s="63">
        <f>IF(Q4=0,0,Q4/MBunk_act!Q8*100)</f>
        <v>1721.6081807102587</v>
      </c>
      <c r="R20" s="63">
        <f>IF(R4=0,0,R4/MBunk_act!R8*100)</f>
        <v>1734.6040792715789</v>
      </c>
      <c r="S20" s="63">
        <f>IF(S4=0,0,S4/MBunk_act!S8*100)</f>
        <v>1613.2523203931</v>
      </c>
      <c r="T20" s="63">
        <f>IF(T4=0,0,T4/MBunk_act!T8*100)</f>
        <v>1758.5027016141846</v>
      </c>
      <c r="U20" s="63">
        <f>IF(U4=0,0,U4/MBunk_act!U8*100)</f>
        <v>1436.557948271932</v>
      </c>
      <c r="V20" s="63">
        <f>IF(V4=0,0,V4/MBunk_act!V8*100)</f>
        <v>1630.3454617082775</v>
      </c>
      <c r="W20" s="63">
        <f>IF(W4=0,0,W4/MBunk_act!W8*100)</f>
        <v>1633.7064631489809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3246.6781490133299</v>
      </c>
      <c r="C21" s="64">
        <f>IF(C10=0,0,C10/MBunk_act!C9*100)</f>
        <v>3244.9212599012649</v>
      </c>
      <c r="D21" s="64">
        <f>IF(D10=0,0,D10/MBunk_act!D9*100)</f>
        <v>2617.148609582011</v>
      </c>
      <c r="E21" s="64">
        <f>IF(E10=0,0,E10/MBunk_act!E9*100)</f>
        <v>3071.3781841479331</v>
      </c>
      <c r="F21" s="64">
        <f>IF(F10=0,0,F10/MBunk_act!F9*100)</f>
        <v>2662.4979506463474</v>
      </c>
      <c r="G21" s="64">
        <f>IF(G10=0,0,G10/MBunk_act!G9*100)</f>
        <v>1932.4078446002929</v>
      </c>
      <c r="H21" s="64">
        <f>IF(H10=0,0,H10/MBunk_act!H9*100)</f>
        <v>3584.6301783451963</v>
      </c>
      <c r="I21" s="64">
        <f>IF(I10=0,0,I10/MBunk_act!I9*100)</f>
        <v>2122.4984816011388</v>
      </c>
      <c r="J21" s="64">
        <f>IF(J10=0,0,J10/MBunk_act!J9*100)</f>
        <v>1476.0682623442569</v>
      </c>
      <c r="K21" s="64">
        <f>IF(K10=0,0,K10/MBunk_act!K9*100)</f>
        <v>2546.8104085492837</v>
      </c>
      <c r="L21" s="64">
        <f>IF(L10=0,0,L10/MBunk_act!L9*100)</f>
        <v>3524.4906816252969</v>
      </c>
      <c r="M21" s="64">
        <f>IF(M10=0,0,M10/MBunk_act!M9*100)</f>
        <v>2932.5186855666834</v>
      </c>
      <c r="N21" s="64">
        <f>IF(N10=0,0,N10/MBunk_act!N9*100)</f>
        <v>3575.5440279462237</v>
      </c>
      <c r="O21" s="64">
        <f>IF(O10=0,0,O10/MBunk_act!O9*100)</f>
        <v>3990.7444472874031</v>
      </c>
      <c r="P21" s="64">
        <f>IF(P10=0,0,P10/MBunk_act!P9*100)</f>
        <v>3633.6536166834462</v>
      </c>
      <c r="Q21" s="64">
        <f>IF(Q10=0,0,Q10/MBunk_act!Q9*100)</f>
        <v>4171.1970849236741</v>
      </c>
      <c r="R21" s="64">
        <f>IF(R10=0,0,R10/MBunk_act!R9*100)</f>
        <v>4093.8327695753947</v>
      </c>
      <c r="S21" s="64">
        <f>IF(S10=0,0,S10/MBunk_act!S9*100)</f>
        <v>3816.8758170447313</v>
      </c>
      <c r="T21" s="64">
        <f>IF(T10=0,0,T10/MBunk_act!T9*100)</f>
        <v>4237.5934320463512</v>
      </c>
      <c r="U21" s="64">
        <f>IF(U10=0,0,U10/MBunk_act!U9*100)</f>
        <v>3509.3877952067396</v>
      </c>
      <c r="V21" s="64">
        <f>IF(V10=0,0,V10/MBunk_act!V9*100)</f>
        <v>4405.3142063097057</v>
      </c>
      <c r="W21" s="64">
        <f>IF(W10=0,0,W10/MBunk_act!W9*100)</f>
        <v>4641.2831442820288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3.2732568235673027</v>
      </c>
      <c r="C23" s="62">
        <f>IF(C3=0,0,C3/MBunk_act!C3*1000)</f>
        <v>3.1298014380899297</v>
      </c>
      <c r="D23" s="62">
        <f>IF(D3=0,0,D3/MBunk_act!D3*1000)</f>
        <v>2.5401527863077131</v>
      </c>
      <c r="E23" s="62">
        <f>IF(E3=0,0,E3/MBunk_act!E3*1000)</f>
        <v>3.0077385356075954</v>
      </c>
      <c r="F23" s="62">
        <f>IF(F3=0,0,F3/MBunk_act!F3*1000)</f>
        <v>2.626946262302587</v>
      </c>
      <c r="G23" s="62">
        <f>IF(G3=0,0,G3/MBunk_act!G3*1000)</f>
        <v>1.7794226971739637</v>
      </c>
      <c r="H23" s="62">
        <f>IF(H3=0,0,H3/MBunk_act!H3*1000)</f>
        <v>4.3125723700806926</v>
      </c>
      <c r="I23" s="62">
        <f>IF(I3=0,0,I3/MBunk_act!I3*1000)</f>
        <v>1.7411890762685536</v>
      </c>
      <c r="J23" s="62">
        <f>IF(J3=0,0,J3/MBunk_act!J3*1000)</f>
        <v>1.1894164682071773</v>
      </c>
      <c r="K23" s="62">
        <f>IF(K3=0,0,K3/MBunk_act!K3*1000)</f>
        <v>2.3317947512556647</v>
      </c>
      <c r="L23" s="62">
        <f>IF(L3=0,0,L3/MBunk_act!L3*1000)</f>
        <v>3.064546615734181</v>
      </c>
      <c r="M23" s="62">
        <f>IF(M3=0,0,M3/MBunk_act!M3*1000)</f>
        <v>2.3526534806710817</v>
      </c>
      <c r="N23" s="62">
        <f>IF(N3=0,0,N3/MBunk_act!N3*1000)</f>
        <v>2.528670962090164</v>
      </c>
      <c r="O23" s="62">
        <f>IF(O3=0,0,O3/MBunk_act!O3*1000)</f>
        <v>2.9928915331409991</v>
      </c>
      <c r="P23" s="62">
        <f>IF(P3=0,0,P3/MBunk_act!P3*1000)</f>
        <v>2.6779398796355687</v>
      </c>
      <c r="Q23" s="62">
        <f>IF(Q3=0,0,Q3/MBunk_act!Q3*1000)</f>
        <v>2.9624369642372264</v>
      </c>
      <c r="R23" s="62">
        <f>IF(R3=0,0,R3/MBunk_act!R3*1000)</f>
        <v>3.0404027222818808</v>
      </c>
      <c r="S23" s="62">
        <f>IF(S3=0,0,S3/MBunk_act!S3*1000)</f>
        <v>2.8380473675336999</v>
      </c>
      <c r="T23" s="62">
        <f>IF(T3=0,0,T3/MBunk_act!T3*1000)</f>
        <v>3.1157717410094432</v>
      </c>
      <c r="U23" s="62">
        <f>IF(U3=0,0,U3/MBunk_act!U3*1000)</f>
        <v>2.6674037166739337</v>
      </c>
      <c r="V23" s="62">
        <f>IF(V3=0,0,V3/MBunk_act!V3*1000)</f>
        <v>2.8774420765871396</v>
      </c>
      <c r="W23" s="62">
        <f>IF(W3=0,0,W3/MBunk_act!W3*1000)</f>
        <v>2.9670895331371026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5.1852386357564777</v>
      </c>
      <c r="C24" s="63">
        <f>IF(C4=0,0,C4/MBunk_act!C4*1000)</f>
        <v>5.1168560773303149</v>
      </c>
      <c r="D24" s="63">
        <f>IF(D4=0,0,D4/MBunk_act!D4*1000)</f>
        <v>4.1348373666159404</v>
      </c>
      <c r="E24" s="63">
        <f>IF(E4=0,0,E4/MBunk_act!E4*1000)</f>
        <v>4.6867531294033604</v>
      </c>
      <c r="F24" s="63">
        <f>IF(F4=0,0,F4/MBunk_act!F4*1000)</f>
        <v>3.8970888660581808</v>
      </c>
      <c r="G24" s="63">
        <f>IF(G4=0,0,G4/MBunk_act!G4*1000)</f>
        <v>2.6863042753346389</v>
      </c>
      <c r="H24" s="63">
        <f>IF(H4=0,0,H4/MBunk_act!H4*1000)</f>
        <v>4.0954019684724683</v>
      </c>
      <c r="I24" s="63">
        <f>IF(I4=0,0,I4/MBunk_act!I4*1000)</f>
        <v>2.4974422316303726</v>
      </c>
      <c r="J24" s="63">
        <f>IF(J4=0,0,J4/MBunk_act!J4*1000)</f>
        <v>1.7177950482535778</v>
      </c>
      <c r="K24" s="63">
        <f>IF(K4=0,0,K4/MBunk_act!K4*1000)</f>
        <v>2.9285166712826056</v>
      </c>
      <c r="L24" s="63">
        <f>IF(L4=0,0,L4/MBunk_act!L4*1000)</f>
        <v>3.9799009400757974</v>
      </c>
      <c r="M24" s="63">
        <f>IF(M4=0,0,M4/MBunk_act!M4*1000)</f>
        <v>3.2696305499697429</v>
      </c>
      <c r="N24" s="63">
        <f>IF(N4=0,0,N4/MBunk_act!N4*1000)</f>
        <v>3.7123403267993869</v>
      </c>
      <c r="O24" s="63">
        <f>IF(O4=0,0,O4/MBunk_act!O4*1000)</f>
        <v>4.0686648845220281</v>
      </c>
      <c r="P24" s="63">
        <f>IF(P4=0,0,P4/MBunk_act!P4*1000)</f>
        <v>3.8718363268575922</v>
      </c>
      <c r="Q24" s="63">
        <f>IF(Q4=0,0,Q4/MBunk_act!Q4*1000)</f>
        <v>4.2375741257761579</v>
      </c>
      <c r="R24" s="63">
        <f>IF(R4=0,0,R4/MBunk_act!R4*1000)</f>
        <v>4.1443504399936684</v>
      </c>
      <c r="S24" s="63">
        <f>IF(S4=0,0,S4/MBunk_act!S4*1000)</f>
        <v>3.9176018083331101</v>
      </c>
      <c r="T24" s="63">
        <f>IF(T4=0,0,T4/MBunk_act!T4*1000)</f>
        <v>4.1791234487034332</v>
      </c>
      <c r="U24" s="63">
        <f>IF(U4=0,0,U4/MBunk_act!U4*1000)</f>
        <v>3.4966119595541341</v>
      </c>
      <c r="V24" s="63">
        <f>IF(V4=0,0,V4/MBunk_act!V4*1000)</f>
        <v>3.6349093007368425</v>
      </c>
      <c r="W24" s="63">
        <f>IF(W4=0,0,W4/MBunk_act!W4*1000)</f>
        <v>3.7508900998524202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2.6559855227893907</v>
      </c>
      <c r="C25" s="64">
        <f>IF(C10=0,0,C10/MBunk_act!C5*1000)</f>
        <v>2.5199302349941615</v>
      </c>
      <c r="D25" s="64">
        <f>IF(D10=0,0,D10/MBunk_act!D5*1000)</f>
        <v>2.0691028087006891</v>
      </c>
      <c r="E25" s="64">
        <f>IF(E10=0,0,E10/MBunk_act!E5*1000)</f>
        <v>2.4547966537458796</v>
      </c>
      <c r="F25" s="64">
        <f>IF(F10=0,0,F10/MBunk_act!F5*1000)</f>
        <v>2.1526924999434889</v>
      </c>
      <c r="G25" s="64">
        <f>IF(G10=0,0,G10/MBunk_act!G5*1000)</f>
        <v>1.4512859191970264</v>
      </c>
      <c r="H25" s="64">
        <f>IF(H10=0,0,H10/MBunk_act!H5*1000)</f>
        <v>4.5379671385172511</v>
      </c>
      <c r="I25" s="64">
        <f>IF(I10=0,0,I10/MBunk_act!I5*1000)</f>
        <v>1.4201239203193157</v>
      </c>
      <c r="J25" s="64">
        <f>IF(J10=0,0,J10/MBunk_act!J5*1000)</f>
        <v>0.97121318232797638</v>
      </c>
      <c r="K25" s="64">
        <f>IF(K10=0,0,K10/MBunk_act!K5*1000)</f>
        <v>2.0063556486190919</v>
      </c>
      <c r="L25" s="64">
        <f>IF(L10=0,0,L10/MBunk_act!L5*1000)</f>
        <v>2.5928683047647891</v>
      </c>
      <c r="M25" s="64">
        <f>IF(M10=0,0,M10/MBunk_act!M5*1000)</f>
        <v>1.9635391210955557</v>
      </c>
      <c r="N25" s="64">
        <f>IF(N10=0,0,N10/MBunk_act!N5*1000)</f>
        <v>2.0562380253626</v>
      </c>
      <c r="O25" s="64">
        <f>IF(O10=0,0,O10/MBunk_act!O5*1000)</f>
        <v>2.4740017780060395</v>
      </c>
      <c r="P25" s="64">
        <f>IF(P10=0,0,P10/MBunk_act!P5*1000)</f>
        <v>2.1868650008101924</v>
      </c>
      <c r="Q25" s="64">
        <f>IF(Q10=0,0,Q10/MBunk_act!Q5*1000)</f>
        <v>2.420607860821264</v>
      </c>
      <c r="R25" s="64">
        <f>IF(R10=0,0,R10/MBunk_act!R5*1000)</f>
        <v>2.5412547295410937</v>
      </c>
      <c r="S25" s="64">
        <f>IF(S10=0,0,S10/MBunk_act!S5*1000)</f>
        <v>2.3658366794185679</v>
      </c>
      <c r="T25" s="64">
        <f>IF(T10=0,0,T10/MBunk_act!T5*1000)</f>
        <v>2.6110629847093061</v>
      </c>
      <c r="U25" s="64">
        <f>IF(U10=0,0,U10/MBunk_act!U5*1000)</f>
        <v>2.2565957967572623</v>
      </c>
      <c r="V25" s="64">
        <f>IF(V10=0,0,V10/MBunk_act!V5*1000)</f>
        <v>2.5307967351052838</v>
      </c>
      <c r="W25" s="64">
        <f>IF(W10=0,0,W10/MBunk_act!W5*1000)</f>
        <v>2.5890999673642825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0.38660944406943099</v>
      </c>
      <c r="C28" s="77">
        <f t="shared" si="3"/>
        <v>0.38394144503878347</v>
      </c>
      <c r="D28" s="77">
        <f t="shared" si="3"/>
        <v>0.3711855536333436</v>
      </c>
      <c r="E28" s="77">
        <f t="shared" si="3"/>
        <v>0.386034183036784</v>
      </c>
      <c r="F28" s="77">
        <f t="shared" si="3"/>
        <v>0.40332461883071119</v>
      </c>
      <c r="G28" s="77">
        <f t="shared" si="3"/>
        <v>0.40110453680640723</v>
      </c>
      <c r="H28" s="77">
        <f t="shared" si="3"/>
        <v>0.48364504001098074</v>
      </c>
      <c r="I28" s="77">
        <f t="shared" si="3"/>
        <v>0.42746312022730959</v>
      </c>
      <c r="J28" s="77">
        <f t="shared" si="3"/>
        <v>0.42210573085904746</v>
      </c>
      <c r="K28" s="77">
        <f t="shared" si="3"/>
        <v>0.44322102345617947</v>
      </c>
      <c r="L28" s="77">
        <f t="shared" si="3"/>
        <v>0.44163680334247829</v>
      </c>
      <c r="M28" s="77">
        <f t="shared" si="3"/>
        <v>0.41404199823738913</v>
      </c>
      <c r="N28" s="77">
        <f t="shared" si="3"/>
        <v>0.41880173175274621</v>
      </c>
      <c r="O28" s="77">
        <f t="shared" si="3"/>
        <v>0.44235108056619654</v>
      </c>
      <c r="P28" s="77">
        <f t="shared" si="3"/>
        <v>0.42137752788185856</v>
      </c>
      <c r="Q28" s="77">
        <f t="shared" si="3"/>
        <v>0.42656346432194275</v>
      </c>
      <c r="R28" s="77">
        <f t="shared" si="3"/>
        <v>0.4244194085490165</v>
      </c>
      <c r="S28" s="77">
        <f t="shared" si="3"/>
        <v>0.42005917625843014</v>
      </c>
      <c r="T28" s="77">
        <f t="shared" si="3"/>
        <v>0.43171545925760008</v>
      </c>
      <c r="U28" s="77">
        <f t="shared" si="3"/>
        <v>0.43428031930452748</v>
      </c>
      <c r="V28" s="77">
        <f t="shared" si="3"/>
        <v>0.39660574821606298</v>
      </c>
      <c r="W28" s="77">
        <f t="shared" si="3"/>
        <v>0.41129725975927567</v>
      </c>
      <c r="DA28" s="184"/>
    </row>
    <row r="29" spans="1:105" ht="11.45" customHeight="1" x14ac:dyDescent="0.25">
      <c r="A29" s="57" t="s">
        <v>171</v>
      </c>
      <c r="B29" s="78">
        <f>IF(B10=0,0,B10/B$3)</f>
        <v>0.61339055593056901</v>
      </c>
      <c r="C29" s="78">
        <f t="shared" ref="C29:W29" si="4">IF(C10=0,0,C10/C$3)</f>
        <v>0.61605855496121653</v>
      </c>
      <c r="D29" s="78">
        <f t="shared" si="4"/>
        <v>0.62881444636665629</v>
      </c>
      <c r="E29" s="78">
        <f t="shared" si="4"/>
        <v>0.61396581696321606</v>
      </c>
      <c r="F29" s="78">
        <f t="shared" si="4"/>
        <v>0.59667538116928887</v>
      </c>
      <c r="G29" s="78">
        <f t="shared" si="4"/>
        <v>0.59889546319359277</v>
      </c>
      <c r="H29" s="78">
        <f t="shared" si="4"/>
        <v>0.51635495998901937</v>
      </c>
      <c r="I29" s="78">
        <f t="shared" si="4"/>
        <v>0.57253687977269041</v>
      </c>
      <c r="J29" s="78">
        <f t="shared" si="4"/>
        <v>0.57789426914095254</v>
      </c>
      <c r="K29" s="78">
        <f t="shared" si="4"/>
        <v>0.55677897654382058</v>
      </c>
      <c r="L29" s="78">
        <f t="shared" si="4"/>
        <v>0.55836319665752177</v>
      </c>
      <c r="M29" s="78">
        <f t="shared" si="4"/>
        <v>0.58595800176261081</v>
      </c>
      <c r="N29" s="78">
        <f t="shared" si="4"/>
        <v>0.58119826824725385</v>
      </c>
      <c r="O29" s="78">
        <f t="shared" si="4"/>
        <v>0.55764891943380335</v>
      </c>
      <c r="P29" s="78">
        <f t="shared" si="4"/>
        <v>0.57862247211814144</v>
      </c>
      <c r="Q29" s="78">
        <f t="shared" si="4"/>
        <v>0.57343653567805719</v>
      </c>
      <c r="R29" s="78">
        <f t="shared" si="4"/>
        <v>0.5755805914509835</v>
      </c>
      <c r="S29" s="78">
        <f t="shared" si="4"/>
        <v>0.57994082374156986</v>
      </c>
      <c r="T29" s="78">
        <f t="shared" si="4"/>
        <v>0.56828454074239987</v>
      </c>
      <c r="U29" s="78">
        <f t="shared" si="4"/>
        <v>0.56571968069547252</v>
      </c>
      <c r="V29" s="78">
        <f t="shared" si="4"/>
        <v>0.60339425178393702</v>
      </c>
      <c r="W29" s="78">
        <f t="shared" si="4"/>
        <v>0.58870274024072433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483.93153216000007</v>
      </c>
      <c r="C3" s="62">
        <f t="shared" ref="C3:W3" si="1">SUM(C4:C5)</f>
        <v>516.04034039999988</v>
      </c>
      <c r="D3" s="62">
        <f t="shared" si="1"/>
        <v>461.20591944</v>
      </c>
      <c r="E3" s="62">
        <f t="shared" si="1"/>
        <v>547.64266536000014</v>
      </c>
      <c r="F3" s="62">
        <f t="shared" si="1"/>
        <v>480.51311831999999</v>
      </c>
      <c r="G3" s="62">
        <f t="shared" si="1"/>
        <v>334.10964996000007</v>
      </c>
      <c r="H3" s="62">
        <f t="shared" si="1"/>
        <v>412.29194184000005</v>
      </c>
      <c r="I3" s="62">
        <f t="shared" si="1"/>
        <v>361.96206804000008</v>
      </c>
      <c r="J3" s="62">
        <f t="shared" si="1"/>
        <v>225.94074768000002</v>
      </c>
      <c r="K3" s="62">
        <f t="shared" si="1"/>
        <v>305.96377859999996</v>
      </c>
      <c r="L3" s="62">
        <f t="shared" si="1"/>
        <v>435.75980832000022</v>
      </c>
      <c r="M3" s="62">
        <f t="shared" si="1"/>
        <v>339.5632536</v>
      </c>
      <c r="N3" s="62">
        <f t="shared" si="1"/>
        <v>401.86402236000004</v>
      </c>
      <c r="O3" s="62">
        <f t="shared" si="1"/>
        <v>455.15340935999996</v>
      </c>
      <c r="P3" s="62">
        <f t="shared" si="1"/>
        <v>418.73032943999988</v>
      </c>
      <c r="Q3" s="62">
        <f t="shared" si="1"/>
        <v>497.59959959999986</v>
      </c>
      <c r="R3" s="62">
        <f t="shared" si="1"/>
        <v>497.70007848000006</v>
      </c>
      <c r="S3" s="62">
        <f t="shared" si="1"/>
        <v>485.27371079999995</v>
      </c>
      <c r="T3" s="62">
        <f t="shared" si="1"/>
        <v>537.99971040000025</v>
      </c>
      <c r="U3" s="62">
        <f t="shared" si="1"/>
        <v>442.58663304000004</v>
      </c>
      <c r="V3" s="62">
        <f t="shared" si="1"/>
        <v>482.20456464000006</v>
      </c>
      <c r="W3" s="62">
        <f t="shared" si="1"/>
        <v>533.86880759999997</v>
      </c>
      <c r="DA3" s="172" t="s">
        <v>985</v>
      </c>
    </row>
    <row r="4" spans="1:105" ht="11.45" customHeight="1" x14ac:dyDescent="0.25">
      <c r="A4" s="55" t="s">
        <v>170</v>
      </c>
      <c r="B4" s="63">
        <v>185.145956736291</v>
      </c>
      <c r="C4" s="63">
        <v>196.24840751148054</v>
      </c>
      <c r="D4" s="63">
        <v>168.56642983105704</v>
      </c>
      <c r="E4" s="63">
        <v>208.04680257985095</v>
      </c>
      <c r="F4" s="63">
        <v>191.11345664788732</v>
      </c>
      <c r="G4" s="63">
        <v>132.70293102434658</v>
      </c>
      <c r="H4" s="63">
        <v>196.69212123868297</v>
      </c>
      <c r="I4" s="63">
        <v>152.27445218698887</v>
      </c>
      <c r="J4" s="63">
        <v>94.060714679573138</v>
      </c>
      <c r="K4" s="63">
        <v>133.68739267882796</v>
      </c>
      <c r="L4" s="63">
        <v>190.10377167730519</v>
      </c>
      <c r="M4" s="63">
        <v>139.29757536140005</v>
      </c>
      <c r="N4" s="63">
        <v>166.93358594476143</v>
      </c>
      <c r="O4" s="63">
        <v>200.25409957778569</v>
      </c>
      <c r="P4" s="63">
        <v>175.29673954554244</v>
      </c>
      <c r="Q4" s="63">
        <v>211.44516275583226</v>
      </c>
      <c r="R4" s="63">
        <v>210.59827306111441</v>
      </c>
      <c r="S4" s="63">
        <v>203.05696891927943</v>
      </c>
      <c r="T4" s="63">
        <v>231.32454336308624</v>
      </c>
      <c r="U4" s="63">
        <v>191.59218214074983</v>
      </c>
      <c r="V4" s="63">
        <v>190.67712842233763</v>
      </c>
      <c r="W4" s="63">
        <v>219.1965684051076</v>
      </c>
      <c r="DA4" s="181" t="s">
        <v>986</v>
      </c>
    </row>
    <row r="5" spans="1:105" ht="11.45" customHeight="1" x14ac:dyDescent="0.25">
      <c r="A5" s="57" t="s">
        <v>171</v>
      </c>
      <c r="B5" s="64">
        <v>298.78557542370908</v>
      </c>
      <c r="C5" s="64">
        <v>319.7919328885194</v>
      </c>
      <c r="D5" s="64">
        <v>292.63948960894299</v>
      </c>
      <c r="E5" s="64">
        <v>339.59586278014916</v>
      </c>
      <c r="F5" s="64">
        <v>289.39966167211264</v>
      </c>
      <c r="G5" s="64">
        <v>201.40671893565346</v>
      </c>
      <c r="H5" s="64">
        <v>215.59982060131705</v>
      </c>
      <c r="I5" s="64">
        <v>209.68761585301121</v>
      </c>
      <c r="J5" s="64">
        <v>131.88003300042689</v>
      </c>
      <c r="K5" s="64">
        <v>172.27638592117199</v>
      </c>
      <c r="L5" s="64">
        <v>245.65603664269503</v>
      </c>
      <c r="M5" s="64">
        <v>200.26567823859995</v>
      </c>
      <c r="N5" s="64">
        <v>234.9304364152386</v>
      </c>
      <c r="O5" s="64">
        <v>254.89930978221429</v>
      </c>
      <c r="P5" s="64">
        <v>243.43358989445744</v>
      </c>
      <c r="Q5" s="64">
        <v>286.15443684416761</v>
      </c>
      <c r="R5" s="64">
        <v>287.10180541888565</v>
      </c>
      <c r="S5" s="64">
        <v>282.21674188072052</v>
      </c>
      <c r="T5" s="64">
        <v>306.67516703691405</v>
      </c>
      <c r="U5" s="64">
        <v>250.99445089925018</v>
      </c>
      <c r="V5" s="64">
        <v>291.52743621766245</v>
      </c>
      <c r="W5" s="64">
        <v>314.67223919489237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3.13503627884766</v>
      </c>
      <c r="C9" s="79">
        <f>IF(C3=0,0,C3/MBunk_ene!C3)</f>
        <v>3.1321527254969705</v>
      </c>
      <c r="D9" s="79">
        <f>IF(D3=0,0,D3/MBunk_ene!D3)</f>
        <v>3.1507596334139456</v>
      </c>
      <c r="E9" s="79">
        <f>IF(E3=0,0,E3/MBunk_ene!E3)</f>
        <v>3.1525531423331459</v>
      </c>
      <c r="F9" s="79">
        <f>IF(F3=0,0,F3/MBunk_ene!F3)</f>
        <v>3.1460754704793907</v>
      </c>
      <c r="G9" s="79">
        <f>IF(G3=0,0,G3/MBunk_ene!G3)</f>
        <v>3.1330440555661454</v>
      </c>
      <c r="H9" s="79">
        <f>IF(H3=0,0,H3/MBunk_ene!H3)</f>
        <v>3.1544762294343345</v>
      </c>
      <c r="I9" s="79">
        <f>IF(I3=0,0,I3/MBunk_ene!I3)</f>
        <v>3.182583305654096</v>
      </c>
      <c r="J9" s="79">
        <f>IF(J3=0,0,J3/MBunk_ene!J3)</f>
        <v>3.1908194807610304</v>
      </c>
      <c r="K9" s="79">
        <f>IF(K3=0,0,K3/MBunk_ene!K3)</f>
        <v>3.1472103342605378</v>
      </c>
      <c r="L9" s="79">
        <f>IF(L3=0,0,L3/MBunk_ene!L3)</f>
        <v>3.1406686469362</v>
      </c>
      <c r="M9" s="79">
        <f>IF(M3=0,0,M3/MBunk_ene!M3)</f>
        <v>3.1312803202133872</v>
      </c>
      <c r="N9" s="79">
        <f>IF(N3=0,0,N3/MBunk_ene!N3)</f>
        <v>3.1278383237052108</v>
      </c>
      <c r="O9" s="79">
        <f>IF(O3=0,0,O3/MBunk_ene!O3)</f>
        <v>3.1192048717929861</v>
      </c>
      <c r="P9" s="79">
        <f>IF(P3=0,0,P3/MBunk_ene!P3)</f>
        <v>3.1227151822280019</v>
      </c>
      <c r="Q9" s="79">
        <f>IF(Q3=0,0,Q3/MBunk_ene!Q3)</f>
        <v>3.1143423129796295</v>
      </c>
      <c r="R9" s="79">
        <f>IF(R3=0,0,R3/MBunk_ene!R3)</f>
        <v>3.1117776910745651</v>
      </c>
      <c r="S9" s="79">
        <f>IF(S3=0,0,S3/MBunk_ene!S3)</f>
        <v>3.1144385421730032</v>
      </c>
      <c r="T9" s="79">
        <f>IF(T3=0,0,T3/MBunk_ene!T3)</f>
        <v>3.115002161631268</v>
      </c>
      <c r="U9" s="79">
        <f>IF(U3=0,0,U3/MBunk_ene!U3)</f>
        <v>3.1123690027331961</v>
      </c>
      <c r="V9" s="79">
        <f>IF(V3=0,0,V3/MBunk_ene!V3)</f>
        <v>3.1116600361784554</v>
      </c>
      <c r="W9" s="79">
        <f>IF(W3=0,0,W3/MBunk_ene!W3)</f>
        <v>3.1078284335296802</v>
      </c>
      <c r="DA9" s="172"/>
    </row>
    <row r="10" spans="1:105" ht="11.45" customHeight="1" x14ac:dyDescent="0.25">
      <c r="A10" s="55" t="s">
        <v>170</v>
      </c>
      <c r="B10" s="80">
        <f>IF(B4=0,0,B4/MBunk_ene!B4)</f>
        <v>3.1024188000000006</v>
      </c>
      <c r="C10" s="80">
        <f>IF(C4=0,0,C4/MBunk_ene!C4)</f>
        <v>3.1024188000000006</v>
      </c>
      <c r="D10" s="80">
        <f>IF(D4=0,0,D4/MBunk_ene!D4)</f>
        <v>3.1024188000000001</v>
      </c>
      <c r="E10" s="80">
        <f>IF(E4=0,0,E4/MBunk_ene!E4)</f>
        <v>3.1024188000000001</v>
      </c>
      <c r="F10" s="80">
        <f>IF(F4=0,0,F4/MBunk_ene!F4)</f>
        <v>3.1024188000000001</v>
      </c>
      <c r="G10" s="80">
        <f>IF(G4=0,0,G4/MBunk_ene!G4)</f>
        <v>3.1024188000000006</v>
      </c>
      <c r="H10" s="80">
        <f>IF(H4=0,0,H4/MBunk_ene!H4)</f>
        <v>3.1115919425468932</v>
      </c>
      <c r="I10" s="80">
        <f>IF(I4=0,0,I4/MBunk_ene!I4)</f>
        <v>3.1321684723776091</v>
      </c>
      <c r="J10" s="80">
        <f>IF(J4=0,0,J4/MBunk_ene!J4)</f>
        <v>3.1469851891036287</v>
      </c>
      <c r="K10" s="80">
        <f>IF(K4=0,0,K4/MBunk_ene!K4)</f>
        <v>3.1026004698010223</v>
      </c>
      <c r="L10" s="80">
        <f>IF(L4=0,0,L4/MBunk_ene!L4)</f>
        <v>3.102418800000001</v>
      </c>
      <c r="M10" s="80">
        <f>IF(M4=0,0,M4/MBunk_ene!M4)</f>
        <v>3.1024188000000006</v>
      </c>
      <c r="N10" s="80">
        <f>IF(N4=0,0,N4/MBunk_ene!N4)</f>
        <v>3.1024188000000001</v>
      </c>
      <c r="O10" s="80">
        <f>IF(O4=0,0,O4/MBunk_ene!O4)</f>
        <v>3.1024188000000006</v>
      </c>
      <c r="P10" s="80">
        <f>IF(P4=0,0,P4/MBunk_ene!P4)</f>
        <v>3.1024188000000001</v>
      </c>
      <c r="Q10" s="80">
        <f>IF(Q4=0,0,Q4/MBunk_ene!Q4)</f>
        <v>3.1024187999999997</v>
      </c>
      <c r="R10" s="80">
        <f>IF(R4=0,0,R4/MBunk_ene!R4)</f>
        <v>3.1024187999999997</v>
      </c>
      <c r="S10" s="80">
        <f>IF(S4=0,0,S4/MBunk_ene!S4)</f>
        <v>3.1024188000000001</v>
      </c>
      <c r="T10" s="80">
        <f>IF(T4=0,0,T4/MBunk_ene!T4)</f>
        <v>3.1024188000000001</v>
      </c>
      <c r="U10" s="80">
        <f>IF(U4=0,0,U4/MBunk_ene!U4)</f>
        <v>3.1024188000000001</v>
      </c>
      <c r="V10" s="80">
        <f>IF(V4=0,0,V4/MBunk_ene!V4)</f>
        <v>3.1024188000000001</v>
      </c>
      <c r="W10" s="80">
        <f>IF(W4=0,0,W4/MBunk_ene!W4)</f>
        <v>3.1024187999999997</v>
      </c>
      <c r="DA10" s="181"/>
    </row>
    <row r="11" spans="1:105" ht="11.45" customHeight="1" x14ac:dyDescent="0.25">
      <c r="A11" s="57" t="s">
        <v>171</v>
      </c>
      <c r="B11" s="81">
        <f>IF(B5=0,0,B5/MBunk_ene!B10)</f>
        <v>3.1555945108620231</v>
      </c>
      <c r="C11" s="81">
        <f>IF(C5=0,0,C5/MBunk_ene!C10)</f>
        <v>3.1506835716804167</v>
      </c>
      <c r="D11" s="81">
        <f>IF(D5=0,0,D5/MBunk_ene!D10)</f>
        <v>3.17929494954342</v>
      </c>
      <c r="E11" s="81">
        <f>IF(E5=0,0,E5/MBunk_ene!E10)</f>
        <v>3.1840753693854409</v>
      </c>
      <c r="F11" s="81">
        <f>IF(F5=0,0,F5/MBunk_ene!F10)</f>
        <v>3.1755853355353483</v>
      </c>
      <c r="G11" s="81">
        <f>IF(G5=0,0,G5/MBunk_ene!G10)</f>
        <v>3.1535550290220682</v>
      </c>
      <c r="H11" s="81">
        <f>IF(H5=0,0,H5/MBunk_ene!H10)</f>
        <v>3.1946438936472616</v>
      </c>
      <c r="I11" s="81">
        <f>IF(I5=0,0,I5/MBunk_ene!I10)</f>
        <v>3.2202236441186907</v>
      </c>
      <c r="J11" s="81">
        <f>IF(J5=0,0,J5/MBunk_ene!J10)</f>
        <v>3.2228369391522351</v>
      </c>
      <c r="K11" s="81">
        <f>IF(K5=0,0,K5/MBunk_ene!K10)</f>
        <v>3.1827217860483223</v>
      </c>
      <c r="L11" s="81">
        <f>IF(L5=0,0,L5/MBunk_ene!L10)</f>
        <v>3.1709223245252032</v>
      </c>
      <c r="M11" s="81">
        <f>IF(M5=0,0,M5/MBunk_ene!M10)</f>
        <v>3.1516740710715938</v>
      </c>
      <c r="N11" s="81">
        <f>IF(N5=0,0,N5/MBunk_ene!N10)</f>
        <v>3.146155206479444</v>
      </c>
      <c r="O11" s="81">
        <f>IF(O5=0,0,O5/MBunk_ene!O10)</f>
        <v>3.1325203051011483</v>
      </c>
      <c r="P11" s="81">
        <f>IF(P5=0,0,P5/MBunk_ene!P10)</f>
        <v>3.1374958721947661</v>
      </c>
      <c r="Q11" s="81">
        <f>IF(Q5=0,0,Q5/MBunk_ene!Q10)</f>
        <v>3.1232118821246524</v>
      </c>
      <c r="R11" s="81">
        <f>IF(R5=0,0,R5/MBunk_ene!R10)</f>
        <v>3.1186787142736421</v>
      </c>
      <c r="S11" s="81">
        <f>IF(S5=0,0,S5/MBunk_ene!S10)</f>
        <v>3.1231446080151284</v>
      </c>
      <c r="T11" s="81">
        <f>IF(T5=0,0,T5/MBunk_ene!T10)</f>
        <v>3.1245615132521141</v>
      </c>
      <c r="U11" s="81">
        <f>IF(U5=0,0,U5/MBunk_ene!U10)</f>
        <v>3.1200073744702457</v>
      </c>
      <c r="V11" s="81">
        <f>IF(V5=0,0,V5/MBunk_ene!V10)</f>
        <v>3.1177342196466635</v>
      </c>
      <c r="W11" s="81">
        <f>IF(W5=0,0,W5/MBunk_ene!W10)</f>
        <v>3.1116078748248737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6967.8579669002975</v>
      </c>
      <c r="C13" s="62">
        <f>IF(C3=0,0,C3/MBunk_act!C7*100)</f>
        <v>6909.1278430143921</v>
      </c>
      <c r="D13" s="62">
        <f>IF(D3=0,0,D3/MBunk_act!D7*100)</f>
        <v>5776.5360847261181</v>
      </c>
      <c r="E13" s="62">
        <f>IF(E3=0,0,E3/MBunk_act!E7*100)</f>
        <v>6667.3922636516891</v>
      </c>
      <c r="F13" s="62">
        <f>IF(F3=0,0,F3/MBunk_act!F7*100)</f>
        <v>5589.423428269125</v>
      </c>
      <c r="G13" s="62">
        <f>IF(G3=0,0,G3/MBunk_act!G7*100)</f>
        <v>4096.4504131091462</v>
      </c>
      <c r="H13" s="62">
        <f>IF(H3=0,0,H3/MBunk_act!H7*100)</f>
        <v>6566.3858472905604</v>
      </c>
      <c r="I13" s="62">
        <f>IF(I3=0,0,I3/MBunk_act!I7*100)</f>
        <v>4413.0559193998897</v>
      </c>
      <c r="J13" s="62">
        <f>IF(J3=0,0,J3/MBunk_act!J7*100)</f>
        <v>3099.8112554029408</v>
      </c>
      <c r="K13" s="62">
        <f>IF(K3=0,0,K3/MBunk_act!K7*100)</f>
        <v>4948.7769833277634</v>
      </c>
      <c r="L13" s="62">
        <f>IF(L3=0,0,L3/MBunk_act!L7*100)</f>
        <v>6772.4382703232322</v>
      </c>
      <c r="M13" s="62">
        <f>IF(M3=0,0,M3/MBunk_act!M7*100)</f>
        <v>5956.176906371431</v>
      </c>
      <c r="N13" s="62">
        <f>IF(N3=0,0,N3/MBunk_act!N7*100)</f>
        <v>7152.9447239150459</v>
      </c>
      <c r="O13" s="62">
        <f>IF(O3=0,0,O3/MBunk_act!O7*100)</f>
        <v>7577.3063308115779</v>
      </c>
      <c r="P13" s="62">
        <f>IF(P3=0,0,P3/MBunk_act!P7*100)</f>
        <v>7134.7923032975259</v>
      </c>
      <c r="Q13" s="62">
        <f>IF(Q3=0,0,Q3/MBunk_act!Q7*100)</f>
        <v>8084.042914995146</v>
      </c>
      <c r="R13" s="62">
        <f>IF(R3=0,0,R3/MBunk_act!R7*100)</f>
        <v>8076.7709941242601</v>
      </c>
      <c r="S13" s="62">
        <f>IF(S3=0,0,S3/MBunk_act!S7*100)</f>
        <v>7553.4213778230551</v>
      </c>
      <c r="T13" s="62">
        <f>IF(T3=0,0,T3/MBunk_act!T7*100)</f>
        <v>8205.8559093633776</v>
      </c>
      <c r="U13" s="62">
        <f>IF(U3=0,0,U3/MBunk_act!U7*100)</f>
        <v>6714.8121766616368</v>
      </c>
      <c r="V13" s="62">
        <f>IF(V3=0,0,V3/MBunk_act!V7*100)</f>
        <v>8183.529345956872</v>
      </c>
      <c r="W13" s="62">
        <f>IF(W3=0,0,W3/MBunk_act!W7*100)</f>
        <v>8208.7895548697143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4595.5027062626787</v>
      </c>
      <c r="C14" s="63">
        <f>IF(C4=0,0,C4/MBunk_act!C8*100)</f>
        <v>4520.786052126884</v>
      </c>
      <c r="D14" s="63">
        <f>IF(D4=0,0,D4/MBunk_act!D8*100)</f>
        <v>3773.4965370503564</v>
      </c>
      <c r="E14" s="63">
        <f>IF(E4=0,0,E4/MBunk_act!E8*100)</f>
        <v>4388.0454891517529</v>
      </c>
      <c r="F14" s="63">
        <f>IF(F4=0,0,F4/MBunk_act!F8*100)</f>
        <v>3693.7267048824951</v>
      </c>
      <c r="G14" s="63">
        <f>IF(G4=0,0,G4/MBunk_act!G8*100)</f>
        <v>2735.5495472806019</v>
      </c>
      <c r="H14" s="63">
        <f>IF(H4=0,0,H4/MBunk_act!H8*100)</f>
        <v>4474.2168610048975</v>
      </c>
      <c r="I14" s="63">
        <f>IF(I4=0,0,I4/MBunk_act!I8*100)</f>
        <v>2965.8927858669103</v>
      </c>
      <c r="J14" s="63">
        <f>IF(J4=0,0,J4/MBunk_act!J8*100)</f>
        <v>2082.5590147169146</v>
      </c>
      <c r="K14" s="63">
        <f>IF(K4=0,0,K4/MBunk_act!K8*100)</f>
        <v>3295.0134050638057</v>
      </c>
      <c r="L14" s="63">
        <f>IF(L4=0,0,L4/MBunk_act!L8*100)</f>
        <v>4487.5781221405578</v>
      </c>
      <c r="M14" s="63">
        <f>IF(M4=0,0,M4/MBunk_act!M8*100)</f>
        <v>3941.4185607941163</v>
      </c>
      <c r="N14" s="63">
        <f>IF(N4=0,0,N4/MBunk_act!N8*100)</f>
        <v>4729.3370668813404</v>
      </c>
      <c r="O14" s="63">
        <f>IF(O4=0,0,O4/MBunk_act!O8*100)</f>
        <v>5047.0061237716227</v>
      </c>
      <c r="P14" s="63">
        <f>IF(P4=0,0,P4/MBunk_act!P8*100)</f>
        <v>4695.143196376408</v>
      </c>
      <c r="Q14" s="63">
        <f>IF(Q4=0,0,Q4/MBunk_act!Q8*100)</f>
        <v>5341.149586069303</v>
      </c>
      <c r="R14" s="63">
        <f>IF(R4=0,0,R4/MBunk_act!R8*100)</f>
        <v>5381.4683060888374</v>
      </c>
      <c r="S14" s="63">
        <f>IF(S4=0,0,S4/MBunk_act!S8*100)</f>
        <v>5004.9843279311772</v>
      </c>
      <c r="T14" s="63">
        <f>IF(T4=0,0,T4/MBunk_act!T8*100)</f>
        <v>5455.6118413386366</v>
      </c>
      <c r="U14" s="63">
        <f>IF(U4=0,0,U4/MBunk_act!U8*100)</f>
        <v>4456.8043860082698</v>
      </c>
      <c r="V14" s="63">
        <f>IF(V4=0,0,V4/MBunk_act!V8*100)</f>
        <v>5058.0144108984405</v>
      </c>
      <c r="W14" s="63">
        <f>IF(W4=0,0,W4/MBunk_act!W8*100)</f>
        <v>5068.4416449549044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10245.19974556214</v>
      </c>
      <c r="C15" s="64">
        <f>IF(C5=0,0,C5/MBunk_act!C9*100)</f>
        <v>10223.720104967433</v>
      </c>
      <c r="D15" s="64">
        <f>IF(D5=0,0,D5/MBunk_act!D9*100)</f>
        <v>8320.6873566486702</v>
      </c>
      <c r="E15" s="64">
        <f>IF(E5=0,0,E5/MBunk_act!E9*100)</f>
        <v>9779.4996262132154</v>
      </c>
      <c r="F15" s="64">
        <f>IF(F5=0,0,F5/MBunk_act!F9*100)</f>
        <v>8454.9894479654577</v>
      </c>
      <c r="G15" s="64">
        <f>IF(G5=0,0,G5/MBunk_act!G9*100)</f>
        <v>6093.9544764609482</v>
      </c>
      <c r="H15" s="64">
        <f>IF(H5=0,0,H5/MBunk_act!H9*100)</f>
        <v>11451.616910234176</v>
      </c>
      <c r="I15" s="64">
        <f>IF(I5=0,0,I5/MBunk_act!I9*100)</f>
        <v>6834.9197950580065</v>
      </c>
      <c r="J15" s="64">
        <f>IF(J5=0,0,J5/MBunk_act!J9*100)</f>
        <v>4757.1273205933239</v>
      </c>
      <c r="K15" s="64">
        <f>IF(K5=0,0,K5/MBunk_act!K9*100)</f>
        <v>8105.7889722244327</v>
      </c>
      <c r="L15" s="64">
        <f>IF(L5=0,0,L5/MBunk_act!L9*100)</f>
        <v>11175.886184946703</v>
      </c>
      <c r="M15" s="64">
        <f>IF(M5=0,0,M5/MBunk_act!M9*100)</f>
        <v>9242.3431042334687</v>
      </c>
      <c r="N15" s="64">
        <f>IF(N5=0,0,N5/MBunk_act!N9*100)</f>
        <v>11249.216459519492</v>
      </c>
      <c r="O15" s="64">
        <f>IF(O5=0,0,O5/MBunk_act!O9*100)</f>
        <v>12501.088013597449</v>
      </c>
      <c r="P15" s="64">
        <f>IF(P5=0,0,P5/MBunk_act!P9*100)</f>
        <v>11400.573223329895</v>
      </c>
      <c r="Q15" s="64">
        <f>IF(Q5=0,0,Q5/MBunk_act!Q9*100)</f>
        <v>13027.532298317332</v>
      </c>
      <c r="R15" s="64">
        <f>IF(R5=0,0,R5/MBunk_act!R9*100)</f>
        <v>12767.349118270695</v>
      </c>
      <c r="S15" s="64">
        <f>IF(S5=0,0,S5/MBunk_act!S9*100)</f>
        <v>11920.655127466589</v>
      </c>
      <c r="T15" s="64">
        <f>IF(T5=0,0,T5/MBunk_act!T9*100)</f>
        <v>13240.621346581966</v>
      </c>
      <c r="U15" s="64">
        <f>IF(U5=0,0,U5/MBunk_act!U9*100)</f>
        <v>10949.315800920904</v>
      </c>
      <c r="V15" s="64">
        <f>IF(V5=0,0,V5/MBunk_act!V9*100)</f>
        <v>13734.598849307353</v>
      </c>
      <c r="W15" s="64">
        <f>IF(W5=0,0,W5/MBunk_act!W9*100)</f>
        <v>14441.853181039911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10.261778891869149</v>
      </c>
      <c r="C17" s="62">
        <f>IF(C3=0,0,C3/MBunk_act!C3*1000)</f>
        <v>9.8030161045777113</v>
      </c>
      <c r="D17" s="62">
        <f>IF(D3=0,0,D3/MBunk_act!D3*1000)</f>
        <v>8.003410861802303</v>
      </c>
      <c r="E17" s="62">
        <f>IF(E3=0,0,E3/MBunk_act!E3*1000)</f>
        <v>9.4820555717462192</v>
      </c>
      <c r="F17" s="62">
        <f>IF(F3=0,0,F3/MBunk_act!F3*1000)</f>
        <v>8.2645711980976877</v>
      </c>
      <c r="G17" s="62">
        <f>IF(G3=0,0,G3/MBunk_act!G3*1000)</f>
        <v>5.5750097037203643</v>
      </c>
      <c r="H17" s="62">
        <f>IF(H3=0,0,H3/MBunk_act!H3*1000)</f>
        <v>13.603907029134831</v>
      </c>
      <c r="I17" s="62">
        <f>IF(I3=0,0,I3/MBunk_act!I3*1000)</f>
        <v>5.5414792861195741</v>
      </c>
      <c r="J17" s="62">
        <f>IF(J3=0,0,J3/MBunk_act!J3*1000)</f>
        <v>3.795213237493444</v>
      </c>
      <c r="K17" s="62">
        <f>IF(K3=0,0,K3/MBunk_act!K3*1000)</f>
        <v>7.3386485385263072</v>
      </c>
      <c r="L17" s="62">
        <f>IF(L3=0,0,L3/MBunk_act!L3*1000)</f>
        <v>9.6247254731107805</v>
      </c>
      <c r="M17" s="62">
        <f>IF(M3=0,0,M3/MBunk_act!M3*1000)</f>
        <v>7.3668175443068842</v>
      </c>
      <c r="N17" s="62">
        <f>IF(N3=0,0,N3/MBunk_act!N3*1000)</f>
        <v>7.9092739432661405</v>
      </c>
      <c r="O17" s="62">
        <f>IF(O3=0,0,O3/MBunk_act!O3*1000)</f>
        <v>9.3354418509213843</v>
      </c>
      <c r="P17" s="62">
        <f>IF(P3=0,0,P3/MBunk_act!P3*1000)</f>
        <v>8.3624435192318192</v>
      </c>
      <c r="Q17" s="62">
        <f>IF(Q3=0,0,Q3/MBunk_act!Q3*1000)</f>
        <v>9.2260427872589155</v>
      </c>
      <c r="R17" s="62">
        <f>IF(R3=0,0,R3/MBunk_act!R3*1000)</f>
        <v>9.4610573630791333</v>
      </c>
      <c r="S17" s="62">
        <f>IF(S3=0,0,S3/MBunk_act!S3*1000)</f>
        <v>8.8389241059595864</v>
      </c>
      <c r="T17" s="62">
        <f>IF(T3=0,0,T3/MBunk_act!T3*1000)</f>
        <v>9.7056357083940359</v>
      </c>
      <c r="U17" s="62">
        <f>IF(U3=0,0,U3/MBunk_act!U3*1000)</f>
        <v>8.3019446455512718</v>
      </c>
      <c r="V17" s="62">
        <f>IF(V3=0,0,V3/MBunk_act!V3*1000)</f>
        <v>8.9536215161345485</v>
      </c>
      <c r="W17" s="62">
        <f>IF(W3=0,0,W3/MBunk_act!W3*1000)</f>
        <v>9.221205215911791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16.086781826057251</v>
      </c>
      <c r="C18" s="63">
        <f>IF(C4=0,0,C4/MBunk_act!C4*1000)</f>
        <v>15.874630491203828</v>
      </c>
      <c r="D18" s="63">
        <f>IF(D4=0,0,D4/MBunk_act!D4*1000)</f>
        <v>12.827997181131785</v>
      </c>
      <c r="E18" s="63">
        <f>IF(E4=0,0,E4/MBunk_act!E4*1000)</f>
        <v>14.540271019619817</v>
      </c>
      <c r="F18" s="63">
        <f>IF(F4=0,0,F4/MBunk_act!F4*1000)</f>
        <v>12.090401763329583</v>
      </c>
      <c r="G18" s="63">
        <f>IF(G4=0,0,G4/MBunk_act!G4*1000)</f>
        <v>8.3340408863185598</v>
      </c>
      <c r="H18" s="63">
        <f>IF(H4=0,0,H4/MBunk_act!H4*1000)</f>
        <v>12.743219766589618</v>
      </c>
      <c r="I18" s="63">
        <f>IF(I4=0,0,I4/MBunk_act!I4*1000)</f>
        <v>7.8224098194970315</v>
      </c>
      <c r="J18" s="63">
        <f>IF(J4=0,0,J4/MBunk_act!J4*1000)</f>
        <v>5.4058755747695635</v>
      </c>
      <c r="K18" s="63">
        <f>IF(K4=0,0,K4/MBunk_act!K4*1000)</f>
        <v>9.0860172001415389</v>
      </c>
      <c r="L18" s="63">
        <f>IF(L4=0,0,L4/MBunk_act!L4*1000)</f>
        <v>12.347319498628829</v>
      </c>
      <c r="M18" s="63">
        <f>IF(M4=0,0,M4/MBunk_act!M4*1000)</f>
        <v>10.143763287280471</v>
      </c>
      <c r="N18" s="63">
        <f>IF(N4=0,0,N4/MBunk_act!N4*1000)</f>
        <v>11.517234421860563</v>
      </c>
      <c r="O18" s="63">
        <f>IF(O4=0,0,O4/MBunk_act!O4*1000)</f>
        <v>12.622702428640974</v>
      </c>
      <c r="P18" s="63">
        <f>IF(P4=0,0,P4/MBunk_act!P4*1000)</f>
        <v>12.01205781096594</v>
      </c>
      <c r="Q18" s="63">
        <f>IF(Q4=0,0,Q4/MBunk_act!Q4*1000)</f>
        <v>13.146729634201517</v>
      </c>
      <c r="R18" s="63">
        <f>IF(R4=0,0,R4/MBunk_act!R4*1000)</f>
        <v>12.857510718824628</v>
      </c>
      <c r="S18" s="63">
        <f>IF(S4=0,0,S4/MBunk_act!S4*1000)</f>
        <v>12.15404150108664</v>
      </c>
      <c r="T18" s="63">
        <f>IF(T4=0,0,T4/MBunk_act!T4*1000)</f>
        <v>12.965391154778366</v>
      </c>
      <c r="U18" s="63">
        <f>IF(U4=0,0,U4/MBunk_act!U4*1000)</f>
        <v>10.847954679625587</v>
      </c>
      <c r="V18" s="63">
        <f>IF(V4=0,0,V4/MBunk_act!V4*1000)</f>
        <v>11.277010950900834</v>
      </c>
      <c r="W18" s="63">
        <f>IF(W4=0,0,W4/MBunk_act!W4*1000)</f>
        <v>11.636831962516023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8.3812133366432029</v>
      </c>
      <c r="C19" s="64">
        <f>IF(C5=0,0,C5/MBunk_act!C5*1000)</f>
        <v>7.9395027931768762</v>
      </c>
      <c r="D19" s="64">
        <f>IF(D5=0,0,D5/MBunk_act!D5*1000)</f>
        <v>6.5782881097882049</v>
      </c>
      <c r="E19" s="64">
        <f>IF(E5=0,0,E5/MBunk_act!E5*1000)</f>
        <v>7.8162575620420549</v>
      </c>
      <c r="F19" s="64">
        <f>IF(F5=0,0,F5/MBunk_act!F5*1000)</f>
        <v>6.8360587347374722</v>
      </c>
      <c r="G19" s="64">
        <f>IF(G5=0,0,G5/MBunk_act!G5*1000)</f>
        <v>4.5767100090326975</v>
      </c>
      <c r="H19" s="64">
        <f>IF(H5=0,0,H5/MBunk_act!H5*1000)</f>
        <v>14.497189008636076</v>
      </c>
      <c r="I19" s="64">
        <f>IF(I5=0,0,I5/MBunk_act!I5*1000)</f>
        <v>4.5731166257907878</v>
      </c>
      <c r="J19" s="64">
        <f>IF(J5=0,0,J5/MBunk_act!J5*1000)</f>
        <v>3.130061719798197</v>
      </c>
      <c r="K19" s="64">
        <f>IF(K5=0,0,K5/MBunk_act!K5*1000)</f>
        <v>6.3856718334210969</v>
      </c>
      <c r="L19" s="64">
        <f>IF(L5=0,0,L5/MBunk_act!L5*1000)</f>
        <v>8.2217839921324867</v>
      </c>
      <c r="M19" s="64">
        <f>IF(M5=0,0,M5/MBunk_act!M5*1000)</f>
        <v>6.1884353354915707</v>
      </c>
      <c r="N19" s="64">
        <f>IF(N5=0,0,N5/MBunk_act!N5*1000)</f>
        <v>6.4692439692555554</v>
      </c>
      <c r="O19" s="64">
        <f>IF(O5=0,0,O5/MBunk_act!O5*1000)</f>
        <v>7.749860804460261</v>
      </c>
      <c r="P19" s="64">
        <f>IF(P5=0,0,P5/MBunk_act!P5*1000)</f>
        <v>6.8612799130891817</v>
      </c>
      <c r="Q19" s="64">
        <f>IF(Q5=0,0,Q5/MBunk_act!Q5*1000)</f>
        <v>7.5600712328813078</v>
      </c>
      <c r="R19" s="64">
        <f>IF(R5=0,0,R5/MBunk_act!R5*1000)</f>
        <v>7.9253570325670299</v>
      </c>
      <c r="S19" s="64">
        <f>IF(S5=0,0,S5/MBunk_act!S5*1000)</f>
        <v>7.388850068770517</v>
      </c>
      <c r="T19" s="64">
        <f>IF(T5=0,0,T5/MBunk_act!T5*1000)</f>
        <v>8.158426910699891</v>
      </c>
      <c r="U19" s="64">
        <f>IF(U5=0,0,U5/MBunk_act!U5*1000)</f>
        <v>7.0405955270812184</v>
      </c>
      <c r="V19" s="64">
        <f>IF(V5=0,0,V5/MBunk_act!V5*1000)</f>
        <v>7.8903515840077958</v>
      </c>
      <c r="W19" s="64">
        <f>IF(W5=0,0,W5/MBunk_act!W5*1000)</f>
        <v>8.0562638471595243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0.38258709018175124</v>
      </c>
      <c r="C22" s="77">
        <f t="shared" si="2"/>
        <v>0.38029663990873647</v>
      </c>
      <c r="D22" s="77">
        <f t="shared" si="2"/>
        <v>0.36549060349384016</v>
      </c>
      <c r="E22" s="77">
        <f t="shared" si="2"/>
        <v>0.37989516839979703</v>
      </c>
      <c r="F22" s="77">
        <f t="shared" si="2"/>
        <v>0.39772786498747453</v>
      </c>
      <c r="G22" s="77">
        <f t="shared" si="2"/>
        <v>0.39718377197496063</v>
      </c>
      <c r="H22" s="77">
        <f t="shared" si="2"/>
        <v>0.47707001102392188</v>
      </c>
      <c r="I22" s="77">
        <f t="shared" si="2"/>
        <v>0.42069173991502656</v>
      </c>
      <c r="J22" s="77">
        <f t="shared" si="2"/>
        <v>0.41630699927040771</v>
      </c>
      <c r="K22" s="77">
        <f t="shared" si="2"/>
        <v>0.43693862486122398</v>
      </c>
      <c r="L22" s="77">
        <f t="shared" si="2"/>
        <v>0.43625815884723007</v>
      </c>
      <c r="M22" s="77">
        <f t="shared" si="2"/>
        <v>0.41022570576935963</v>
      </c>
      <c r="N22" s="77">
        <f t="shared" si="2"/>
        <v>0.41539818609394713</v>
      </c>
      <c r="O22" s="77">
        <f t="shared" si="2"/>
        <v>0.43997055818908809</v>
      </c>
      <c r="P22" s="77">
        <f t="shared" si="2"/>
        <v>0.41863874484559116</v>
      </c>
      <c r="Q22" s="77">
        <f t="shared" si="2"/>
        <v>0.42493033138652936</v>
      </c>
      <c r="R22" s="77">
        <f t="shared" si="2"/>
        <v>0.42314293721691115</v>
      </c>
      <c r="S22" s="77">
        <f t="shared" si="2"/>
        <v>0.41843801631975702</v>
      </c>
      <c r="T22" s="77">
        <f t="shared" si="2"/>
        <v>0.42997150164095355</v>
      </c>
      <c r="U22" s="77">
        <f t="shared" si="2"/>
        <v>0.43289193084020261</v>
      </c>
      <c r="V22" s="77">
        <f t="shared" si="2"/>
        <v>0.39542787937872725</v>
      </c>
      <c r="W22" s="77">
        <f t="shared" si="2"/>
        <v>0.41058133624720056</v>
      </c>
      <c r="DA22" s="184"/>
    </row>
    <row r="23" spans="1:105" ht="11.45" customHeight="1" x14ac:dyDescent="0.25">
      <c r="A23" s="57" t="s">
        <v>171</v>
      </c>
      <c r="B23" s="78">
        <f t="shared" si="2"/>
        <v>0.61741290981824881</v>
      </c>
      <c r="C23" s="78">
        <f t="shared" si="2"/>
        <v>0.6197033600912637</v>
      </c>
      <c r="D23" s="78">
        <f t="shared" si="2"/>
        <v>0.6345093965061599</v>
      </c>
      <c r="E23" s="78">
        <f t="shared" si="2"/>
        <v>0.62010483160020291</v>
      </c>
      <c r="F23" s="78">
        <f t="shared" si="2"/>
        <v>0.60227213501252541</v>
      </c>
      <c r="G23" s="78">
        <f t="shared" si="2"/>
        <v>0.60281622802503931</v>
      </c>
      <c r="H23" s="78">
        <f t="shared" si="2"/>
        <v>0.52292998897607812</v>
      </c>
      <c r="I23" s="78">
        <f t="shared" si="2"/>
        <v>0.57930826008497338</v>
      </c>
      <c r="J23" s="78">
        <f t="shared" si="2"/>
        <v>0.5836930007295924</v>
      </c>
      <c r="K23" s="78">
        <f t="shared" si="2"/>
        <v>0.56306137513877608</v>
      </c>
      <c r="L23" s="78">
        <f t="shared" si="2"/>
        <v>0.56374184115276993</v>
      </c>
      <c r="M23" s="78">
        <f t="shared" si="2"/>
        <v>0.58977429423064032</v>
      </c>
      <c r="N23" s="78">
        <f t="shared" si="2"/>
        <v>0.58460181390605281</v>
      </c>
      <c r="O23" s="78">
        <f t="shared" si="2"/>
        <v>0.56002944181091197</v>
      </c>
      <c r="P23" s="78">
        <f t="shared" si="2"/>
        <v>0.58136125515440884</v>
      </c>
      <c r="Q23" s="78">
        <f t="shared" si="2"/>
        <v>0.57506966861347064</v>
      </c>
      <c r="R23" s="78">
        <f t="shared" si="2"/>
        <v>0.5768570627830889</v>
      </c>
      <c r="S23" s="78">
        <f t="shared" si="2"/>
        <v>0.58156198368024303</v>
      </c>
      <c r="T23" s="78">
        <f t="shared" si="2"/>
        <v>0.57002849835904656</v>
      </c>
      <c r="U23" s="78">
        <f t="shared" si="2"/>
        <v>0.56710806915979728</v>
      </c>
      <c r="V23" s="78">
        <f t="shared" si="2"/>
        <v>0.60457212062127286</v>
      </c>
      <c r="W23" s="78">
        <f t="shared" si="2"/>
        <v>0.5894186637527995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2024-05-20T16:51:54Z</dcterms:created>
  <dcterms:modified xsi:type="dcterms:W3CDTF">2024-05-20T16:51:54Z</dcterms:modified>
</cp:coreProperties>
</file>