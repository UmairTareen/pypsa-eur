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X20" i="59"/>
  <c r="W20" i="59"/>
  <c r="V20" i="59"/>
  <c r="U20" i="59"/>
  <c r="W90" i="59"/>
  <c r="T90" i="59"/>
  <c r="Y89" i="59"/>
  <c r="Y120" i="59"/>
  <c r="W84" i="59"/>
  <c r="U116" i="59"/>
  <c r="U115" i="59"/>
  <c r="U113" i="59"/>
  <c r="Y80" i="59"/>
  <c r="W80" i="59"/>
  <c r="Y111" i="59"/>
  <c r="V111" i="59"/>
  <c r="Y77" i="59"/>
  <c r="Y107" i="59"/>
  <c r="W75" i="59"/>
  <c r="W74" i="59"/>
  <c r="M106" i="59"/>
  <c r="Y73" i="59"/>
  <c r="W105" i="59"/>
  <c r="W72" i="59"/>
  <c r="W104" i="59"/>
  <c r="Y71" i="59"/>
  <c r="T71" i="59"/>
  <c r="V101" i="59"/>
  <c r="U101" i="59"/>
  <c r="Y67" i="59"/>
  <c r="W81" i="59"/>
  <c r="V74" i="59"/>
  <c r="U71" i="59"/>
  <c r="X122" i="59"/>
  <c r="V113" i="59"/>
  <c r="T112" i="59"/>
  <c r="X110" i="59"/>
  <c r="Y93" i="59"/>
  <c r="T80" i="59"/>
  <c r="Y122" i="59"/>
  <c r="W122" i="59"/>
  <c r="U121" i="59"/>
  <c r="T118" i="59"/>
  <c r="Y84" i="59"/>
  <c r="V115" i="59"/>
  <c r="Y114" i="59"/>
  <c r="W113" i="59"/>
  <c r="W110" i="59"/>
  <c r="U109" i="59"/>
  <c r="U108" i="59"/>
  <c r="Y72" i="59"/>
  <c r="V103" i="59"/>
  <c r="Y102" i="59"/>
  <c r="W101" i="59"/>
  <c r="U100" i="59"/>
  <c r="Y99" i="59"/>
  <c r="W98" i="59"/>
  <c r="Y65" i="59"/>
  <c r="Y20" i="59"/>
  <c r="U94" i="59"/>
  <c r="U13" i="59"/>
  <c r="W5" i="59"/>
  <c r="T5" i="59"/>
  <c r="Y5" i="59"/>
  <c r="U5" i="59"/>
  <c r="W69" i="59" l="1"/>
  <c r="W78" i="59"/>
  <c r="Y70" i="59"/>
  <c r="W87" i="59"/>
  <c r="U103" i="59"/>
  <c r="Y69" i="59"/>
  <c r="V94" i="59"/>
  <c r="W85" i="59"/>
  <c r="W67" i="59"/>
  <c r="W65" i="59"/>
  <c r="Y75" i="59"/>
  <c r="E106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3" i="59"/>
  <c r="Y82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<sst xmlns="http://schemas.openxmlformats.org/spreadsheetml/2006/main" count="722" uniqueCount="281">
  <si>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</si>
  <si>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</si>
  <si>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</si>
  <si>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</si>
  <si>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</si>
  <si>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</si>
  <si>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</si>
  <si>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</si>
  <si>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</si>
  <si>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</si>
  <si>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</si>
  <si>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</si>
  <si>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</si>
  <si>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</si>
  <si>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</si>
  <si>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</si>
  <si>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</si>
  <si>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</si>
  <si>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</si>
  <si>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</si>
  <si>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</si>
  <si>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</si>
  <si>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</si>
  <si>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</si>
  <si>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</si>
  <si>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</si>
  <si>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</si>
  <si>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</si>
  <si>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</si>
  <si>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</si>
  <si>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</si>
  <si>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</si>
  <si>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</si>
  <si>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</si>
  <si>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</si>
  <si>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</si>
  <si>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</si>
  <si>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</si>
  <si>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</si>
  <si>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</si>
  <si>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</si>
  <si>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</si>
  <si>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</si>
  <si>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</si>
  <si>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</si>
  <si>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</si>
  <si>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</si>
  <si>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</si>
  <si>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</si>
  <si>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</si>
  <si>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</si>
  <si>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</si>
  <si>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</si>
  <si>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</si>
  <si>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</si>
  <si>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</si>
  <si>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</si>
  <si>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</si>
  <si>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</si>
  <si>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</si>
  <si>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</si>
  <si>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</si>
  <si>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</si>
  <si>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</si>
  <si>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</si>
  <si>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</si>
  <si>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</si>
  <si>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</si>
  <si>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</si>
  <si>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</si>
  <si>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</si>
  <si>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</si>
  <si>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</si>
  <si>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</si>
  <si>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</si>
  <si>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</si>
  <si>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</si>
  <si>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</si>
  <si>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</si>
  <si>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</si>
  <si>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</si>
  <si>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</si>
  <si>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</si>
  <si>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</si>
  <si>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</si>
  <si>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</si>
  <si>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</si>
  <si>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</si>
  <si>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</si>
  <si>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</si>
  <si>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</si>
  <si>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</si>
  <si>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</si>
  <si>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</si>
  <si>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</si>
  <si>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</si>
  <si>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</si>
  <si>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</si>
  <si>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</si>
  <si>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</si>
  <si>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</si>
  <si>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</si>
  <si>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</si>
  <si>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</si>
  <si>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</si>
  <si>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</si>
  <si>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</si>
  <si>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</si>
  <si>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</si>
  <si>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</si>
  <si>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</si>
  <si>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</si>
  <si>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</si>
  <si>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</si>
  <si>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</si>
  <si>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</si>
  <si>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</si>
  <si>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</si>
  <si>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</si>
  <si>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</si>
  <si>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</si>
  <si>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</si>
  <si>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</si>
  <si>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</si>
  <si>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</si>
  <si>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</si>
  <si>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</si>
  <si>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</si>
  <si>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</si>
  <si>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</si>
  <si>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</si>
  <si>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</si>
  <si>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</si>
  <si>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</si>
  <si>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</si>
  <si>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</si>
  <si>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</si>
  <si>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</si>
  <si>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</si>
  <si>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</si>
  <si>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</si>
  <si>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</si>
  <si>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</si>
  <si>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</si>
  <si>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</si>
  <si>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</si>
  <si>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</si>
  <si>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</si>
  <si>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</si>
  <si>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</si>
  <si>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</si>
  <si>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</si>
  <si>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</si>
  <si>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</si>
  <si>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</si>
  <si>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</si>
  <si>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</si>
  <si>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</si>
  <si>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</si>
  <si>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</si>
  <si>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</si>
  <si>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</si>
  <si>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</si>
  <si>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</si>
  <si>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</si>
  <si>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</si>
  <si>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</si>
  <si>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</si>
  <si>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</si>
  <si>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</si>
  <si>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</si>
  <si>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</si>
  <si>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</si>
  <si>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</si>
  <si>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</si>
  <si>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</si>
  <si>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</si>
  <si>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</si>
  <si>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</si>
  <si>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</si>
  <si>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</si>
  <si>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</si>
  <si>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</si>
  <si>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</si>
  <si>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</si>
  <si>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</si>
  <si>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</si>
  <si>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</si>
  <si>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</si>
  <si>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</si>
  <si>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</si>
  <si>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</si>
  <si>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</si>
  <si>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</si>
  <si>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</si>
  <si>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</si>
  <si>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</si>
  <si>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</si>
  <si>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</si>
  <si>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</si>
  <si>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</si>
  <si>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</si>
  <si>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</si>
  <si>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</si>
  <si>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</si>
  <si>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</si>
  <si>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</si>
  <si>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</si>
  <si>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</si>
  <si>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</si>
  <si>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</si>
  <si>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</si>
  <si>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</si>
  <si>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</si>
  <si>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</si>
  <si>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</si>
  <si>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</si>
  <si>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</si>
  <si>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</si>
  <si>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</si>
  <si>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</si>
  <si>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</si>
  <si>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</si>
  <si>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</si>
  <si>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</si>
  <si>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</si>
  <si>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</si>
  <si>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</si>
  <si>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</si>
  <si>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</si>
  <si>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</si>
  <si>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</si>
  <si>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</si>
  <si>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</si>
  <si>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</si>
  <si>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</si>
  <si>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</si>
  <si>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</si>
  <si>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</si>
  <si>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</si>
  <si>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</si>
  <si>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</si>
  <si>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</si>
  <si>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</si>
  <si>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</si>
  <si>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</si>
  <si>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</si>
  <si>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</si>
  <si>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</si>
  <si>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</si>
  <si>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</si>
  <si>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</si>
  <si>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</si>
  <si>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</si>
  <si>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</si>
  <si>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</si>
  <si>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</si>
  <si>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</si>
  <si>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</si>
  <si>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</si>
  <si>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</si>
  <si>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</si>
  <si>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</si>
  <si>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</si>
  <si>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</si>
  <si>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</si>
  <si>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</si>
  <si>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</si>
  <si>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</si>
  <si>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</si>
  <si>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</si>
  <si>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</si>
  <si>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</si>
  <si>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</si>
  <si>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</si>
  <si>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</si>
  <si>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</si>
  <si>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</si>
  <si>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</si>
  <si>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EE</t>
  </si>
  <si>
    <t>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</si>
</sst>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45432.783784722225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7328.2185113689466</v>
      </c>
      <c r="E2" s="19">
        <v>8296.6744230293571</v>
      </c>
      <c r="F2" s="19">
        <v>9288.6987697779077</v>
      </c>
      <c r="G2" s="19">
        <v>10383.135014670952</v>
      </c>
      <c r="H2" s="19">
        <v>11609.975851253732</v>
      </c>
      <c r="I2" s="19">
        <v>13469.141471366473</v>
      </c>
      <c r="J2" s="19">
        <v>16111.757316491552</v>
      </c>
      <c r="K2" s="19">
        <v>19475.066991664949</v>
      </c>
      <c r="L2" s="19">
        <v>19732.492693178534</v>
      </c>
      <c r="M2" s="19">
        <v>16780.445888597369</v>
      </c>
      <c r="N2" s="19">
        <v>17503.710652243608</v>
      </c>
      <c r="O2" s="19">
        <v>19803.002951838429</v>
      </c>
      <c r="P2" s="19">
        <v>21274.482306044738</v>
      </c>
      <c r="Q2" s="19">
        <v>22455.026465633771</v>
      </c>
      <c r="R2" s="19">
        <v>23805.490417685447</v>
      </c>
      <c r="S2" s="19">
        <v>24497.930673999999</v>
      </c>
      <c r="T2" s="19">
        <v>25823.915352246375</v>
      </c>
      <c r="U2" s="19">
        <v>28300.373639661426</v>
      </c>
      <c r="V2" s="19">
        <v>30792.340639952421</v>
      </c>
      <c r="W2" s="19">
        <v>33189.487889092794</v>
      </c>
      <c r="X2" s="19">
        <v>32570.7175080747</v>
      </c>
      <c r="Y2" s="19">
        <v>37010.589330240648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3799.5170118775459</v>
      </c>
      <c r="E3" s="23">
        <v>4331.7605292012004</v>
      </c>
      <c r="F3" s="23">
        <v>4907.0277290463573</v>
      </c>
      <c r="G3" s="23">
        <v>5469.573502120078</v>
      </c>
      <c r="H3" s="23">
        <v>6132.5460943519229</v>
      </c>
      <c r="I3" s="23">
        <v>6978.341535933705</v>
      </c>
      <c r="J3" s="23">
        <v>8313.3137001137165</v>
      </c>
      <c r="K3" s="23">
        <v>9726.9787908820617</v>
      </c>
      <c r="L3" s="23">
        <v>10025.767366194892</v>
      </c>
      <c r="M3" s="23">
        <v>8530.8144146473333</v>
      </c>
      <c r="N3" s="23">
        <v>8746.2088633380099</v>
      </c>
      <c r="O3" s="23">
        <v>9484.1906545474085</v>
      </c>
      <c r="P3" s="23">
        <v>10298.751992225461</v>
      </c>
      <c r="Q3" s="23">
        <v>11009.315113526955</v>
      </c>
      <c r="R3" s="23">
        <v>11486.766157094342</v>
      </c>
      <c r="S3" s="23">
        <v>11999.76888</v>
      </c>
      <c r="T3" s="23">
        <v>12666.615748226284</v>
      </c>
      <c r="U3" s="23">
        <v>13546.42113969891</v>
      </c>
      <c r="V3" s="23">
        <v>14706.978324500949</v>
      </c>
      <c r="W3" s="23">
        <v>15802.582039029696</v>
      </c>
      <c r="X3" s="23">
        <v>15448.955964144932</v>
      </c>
      <c r="Y3" s="23">
        <v>17567.61388867304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5512.9</v>
      </c>
      <c r="E4" s="27">
        <v>6236.9</v>
      </c>
      <c r="F4" s="27">
        <v>6962.6</v>
      </c>
      <c r="G4" s="27">
        <v>7807.6</v>
      </c>
      <c r="H4" s="27">
        <v>8664.7000000000007</v>
      </c>
      <c r="I4" s="27">
        <v>10052.700000000001</v>
      </c>
      <c r="J4" s="27">
        <v>11935.199999999997</v>
      </c>
      <c r="K4" s="27">
        <v>14412.1</v>
      </c>
      <c r="L4" s="27">
        <v>14818.7</v>
      </c>
      <c r="M4" s="27">
        <v>12265.7</v>
      </c>
      <c r="N4" s="27">
        <v>12897.6</v>
      </c>
      <c r="O4" s="27">
        <v>14624.700000000003</v>
      </c>
      <c r="P4" s="27">
        <v>15656.499999999998</v>
      </c>
      <c r="Q4" s="27">
        <v>16568.099999999995</v>
      </c>
      <c r="R4" s="27">
        <v>17482.499999999996</v>
      </c>
      <c r="S4" s="27">
        <v>17890.7</v>
      </c>
      <c r="T4" s="27">
        <v>18745.7</v>
      </c>
      <c r="U4" s="27">
        <v>20676.2</v>
      </c>
      <c r="V4" s="27">
        <v>22558.3</v>
      </c>
      <c r="W4" s="27">
        <v>24306.400000000001</v>
      </c>
      <c r="X4" s="27">
        <v>24080.7</v>
      </c>
      <c r="Y4" s="27">
        <v>27321.3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239.8</v>
      </c>
      <c r="E6" s="19">
        <v>244.1</v>
      </c>
      <c r="F6" s="19">
        <v>278</v>
      </c>
      <c r="G6" s="19">
        <v>302.60000000000002</v>
      </c>
      <c r="H6" s="19">
        <v>353.9</v>
      </c>
      <c r="I6" s="19">
        <v>372.9</v>
      </c>
      <c r="J6" s="19">
        <v>426.7</v>
      </c>
      <c r="K6" s="19">
        <v>643.79999999999995</v>
      </c>
      <c r="L6" s="19">
        <v>565.29999999999995</v>
      </c>
      <c r="M6" s="19">
        <v>349.2</v>
      </c>
      <c r="N6" s="19">
        <v>467.5</v>
      </c>
      <c r="O6" s="19">
        <v>613.70000000000005</v>
      </c>
      <c r="P6" s="19">
        <v>594</v>
      </c>
      <c r="Q6" s="19">
        <v>583.99999999999989</v>
      </c>
      <c r="R6" s="19">
        <v>634.4</v>
      </c>
      <c r="S6" s="19">
        <v>589.70000000000005</v>
      </c>
      <c r="T6" s="19">
        <v>459.7</v>
      </c>
      <c r="U6" s="19">
        <v>568.70000000000005</v>
      </c>
      <c r="V6" s="19">
        <v>541.79999999999995</v>
      </c>
      <c r="W6" s="19">
        <v>645.1</v>
      </c>
      <c r="X6" s="19">
        <v>548.6</v>
      </c>
      <c r="Y6" s="19">
        <v>614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1208.7000000000007</v>
      </c>
      <c r="E7" s="23">
        <v>1414.9999999999986</v>
      </c>
      <c r="F7" s="23">
        <v>1558.2000000000003</v>
      </c>
      <c r="G7" s="23">
        <v>1768.7999999999995</v>
      </c>
      <c r="H7" s="23">
        <v>1882.1000000000008</v>
      </c>
      <c r="I7" s="23">
        <v>2124.3000000000006</v>
      </c>
      <c r="J7" s="23">
        <v>2488.8999999999983</v>
      </c>
      <c r="K7" s="23">
        <v>2893.9000000000024</v>
      </c>
      <c r="L7" s="23">
        <v>2938.2000000000007</v>
      </c>
      <c r="M7" s="23">
        <v>2448.5000000000018</v>
      </c>
      <c r="N7" s="23">
        <v>2846.5</v>
      </c>
      <c r="O7" s="23">
        <v>3280.9000000000019</v>
      </c>
      <c r="P7" s="23">
        <v>3372.5000000000018</v>
      </c>
      <c r="Q7" s="23">
        <v>3630.1999999999975</v>
      </c>
      <c r="R7" s="23">
        <v>3887.3999999999987</v>
      </c>
      <c r="S7" s="23">
        <v>3824.900000000001</v>
      </c>
      <c r="T7" s="23">
        <v>4000.2999999999975</v>
      </c>
      <c r="U7" s="23">
        <v>4340.2000000000007</v>
      </c>
      <c r="V7" s="23">
        <v>4668.2999999999975</v>
      </c>
      <c r="W7" s="23">
        <v>4745.2999999999984</v>
      </c>
      <c r="X7" s="23">
        <v>4551.6000000000022</v>
      </c>
      <c r="Y7" s="23">
        <v>5486.8999999999978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327.10000000000002</v>
      </c>
      <c r="E8" s="23">
        <v>367.9</v>
      </c>
      <c r="F8" s="23">
        <v>435.8</v>
      </c>
      <c r="G8" s="23">
        <v>514.6</v>
      </c>
      <c r="H8" s="23">
        <v>604.4</v>
      </c>
      <c r="I8" s="23">
        <v>854.5</v>
      </c>
      <c r="J8" s="23">
        <v>1167.5999999999999</v>
      </c>
      <c r="K8" s="23">
        <v>1515.2</v>
      </c>
      <c r="L8" s="23">
        <v>1419</v>
      </c>
      <c r="M8" s="23">
        <v>869</v>
      </c>
      <c r="N8" s="23">
        <v>750.4</v>
      </c>
      <c r="O8" s="23">
        <v>1008.7</v>
      </c>
      <c r="P8" s="23">
        <v>1154.4000000000001</v>
      </c>
      <c r="Q8" s="23">
        <v>1163.5999999999999</v>
      </c>
      <c r="R8" s="23">
        <v>1079.0999999999999</v>
      </c>
      <c r="S8" s="23">
        <v>1098.5</v>
      </c>
      <c r="T8" s="23">
        <v>1229.5</v>
      </c>
      <c r="U8" s="23">
        <v>1379.7</v>
      </c>
      <c r="V8" s="23">
        <v>1561.8</v>
      </c>
      <c r="W8" s="23">
        <v>1692.7</v>
      </c>
      <c r="X8" s="23">
        <v>1676.7</v>
      </c>
      <c r="Y8" s="23">
        <v>1807.2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1373.9</v>
      </c>
      <c r="E9" s="23">
        <v>1568.2</v>
      </c>
      <c r="F9" s="23">
        <v>1747.5</v>
      </c>
      <c r="G9" s="23">
        <v>1977.1</v>
      </c>
      <c r="H9" s="23">
        <v>2198.5</v>
      </c>
      <c r="I9" s="23">
        <v>2476.9</v>
      </c>
      <c r="J9" s="23">
        <v>2937.7</v>
      </c>
      <c r="K9" s="23">
        <v>3356.8999999999996</v>
      </c>
      <c r="L9" s="23">
        <v>3312.2</v>
      </c>
      <c r="M9" s="23">
        <v>2636.5</v>
      </c>
      <c r="N9" s="23">
        <v>2880.8</v>
      </c>
      <c r="O9" s="23">
        <v>3333.8</v>
      </c>
      <c r="P9" s="23">
        <v>3648.9</v>
      </c>
      <c r="Q9" s="23">
        <v>3846.6</v>
      </c>
      <c r="R9" s="23">
        <v>4112.2</v>
      </c>
      <c r="S9" s="23">
        <v>4045.3</v>
      </c>
      <c r="T9" s="23">
        <v>4249.1000000000004</v>
      </c>
      <c r="U9" s="23">
        <v>4641.3999999999996</v>
      </c>
      <c r="V9" s="23">
        <v>5055.6000000000013</v>
      </c>
      <c r="W9" s="23">
        <v>5385.8</v>
      </c>
      <c r="X9" s="23">
        <v>4964.7</v>
      </c>
      <c r="Y9" s="23">
        <v>5526.6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287.20000000000005</v>
      </c>
      <c r="E10" s="23">
        <v>309.2</v>
      </c>
      <c r="F10" s="23">
        <v>345.9</v>
      </c>
      <c r="G10" s="23">
        <v>387.5</v>
      </c>
      <c r="H10" s="23">
        <v>424</v>
      </c>
      <c r="I10" s="23">
        <v>468.4</v>
      </c>
      <c r="J10" s="23">
        <v>543.29999999999995</v>
      </c>
      <c r="K10" s="23">
        <v>654.6</v>
      </c>
      <c r="L10" s="23">
        <v>733.3</v>
      </c>
      <c r="M10" s="23">
        <v>680.3</v>
      </c>
      <c r="N10" s="23">
        <v>681.1</v>
      </c>
      <c r="O10" s="23">
        <v>739.5</v>
      </c>
      <c r="P10" s="23">
        <v>804.6</v>
      </c>
      <c r="Q10" s="23">
        <v>849</v>
      </c>
      <c r="R10" s="23">
        <v>906</v>
      </c>
      <c r="S10" s="23">
        <v>978.2</v>
      </c>
      <c r="T10" s="23">
        <v>1056.3</v>
      </c>
      <c r="U10" s="23">
        <v>1189.0999999999999</v>
      </c>
      <c r="V10" s="23">
        <v>1402.4</v>
      </c>
      <c r="W10" s="23">
        <v>1624.7</v>
      </c>
      <c r="X10" s="23">
        <v>1814.2</v>
      </c>
      <c r="Y10" s="23">
        <v>1879.7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234.8</v>
      </c>
      <c r="E11" s="23">
        <v>257.2</v>
      </c>
      <c r="F11" s="23">
        <v>310.89999999999992</v>
      </c>
      <c r="G11" s="23">
        <v>294.7</v>
      </c>
      <c r="H11" s="23">
        <v>336</v>
      </c>
      <c r="I11" s="23">
        <v>412.4</v>
      </c>
      <c r="J11" s="23">
        <v>505.8</v>
      </c>
      <c r="K11" s="23">
        <v>700.6</v>
      </c>
      <c r="L11" s="23">
        <v>793.7</v>
      </c>
      <c r="M11" s="23">
        <v>558.4</v>
      </c>
      <c r="N11" s="23">
        <v>649.4</v>
      </c>
      <c r="O11" s="23">
        <v>663.7</v>
      </c>
      <c r="P11" s="23">
        <v>699.9</v>
      </c>
      <c r="Q11" s="23">
        <v>670.5</v>
      </c>
      <c r="R11" s="23">
        <v>716</v>
      </c>
      <c r="S11" s="23">
        <v>779.1</v>
      </c>
      <c r="T11" s="23">
        <v>794.9</v>
      </c>
      <c r="U11" s="23">
        <v>861</v>
      </c>
      <c r="V11" s="23">
        <v>948.1</v>
      </c>
      <c r="W11" s="23">
        <v>1080.0999999999999</v>
      </c>
      <c r="X11" s="23">
        <v>1212.5</v>
      </c>
      <c r="Y11" s="23">
        <v>1268.8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626.40000000000009</v>
      </c>
      <c r="E12" s="23">
        <v>714.5</v>
      </c>
      <c r="F12" s="23">
        <v>741</v>
      </c>
      <c r="G12" s="23">
        <v>778.7</v>
      </c>
      <c r="H12" s="23">
        <v>839.7</v>
      </c>
      <c r="I12" s="23">
        <v>967.3</v>
      </c>
      <c r="J12" s="23">
        <v>1125.5999999999999</v>
      </c>
      <c r="K12" s="23">
        <v>1306.7</v>
      </c>
      <c r="L12" s="23">
        <v>1364.4</v>
      </c>
      <c r="M12" s="23">
        <v>1287.5</v>
      </c>
      <c r="N12" s="23">
        <v>1221.0999999999999</v>
      </c>
      <c r="O12" s="23">
        <v>1312.2</v>
      </c>
      <c r="P12" s="23">
        <v>1463.9</v>
      </c>
      <c r="Q12" s="23">
        <v>1593.7</v>
      </c>
      <c r="R12" s="23">
        <v>1659.3</v>
      </c>
      <c r="S12" s="23">
        <v>1825.6</v>
      </c>
      <c r="T12" s="23">
        <v>1935.6</v>
      </c>
      <c r="U12" s="23">
        <v>2157.6</v>
      </c>
      <c r="V12" s="23">
        <v>2254.4</v>
      </c>
      <c r="W12" s="23">
        <v>2461.5</v>
      </c>
      <c r="X12" s="23">
        <v>2394.6999999999998</v>
      </c>
      <c r="Y12" s="23">
        <v>2996.8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264.60000000000002</v>
      </c>
      <c r="E13" s="23">
        <v>324.39999999999998</v>
      </c>
      <c r="F13" s="23">
        <v>386.8</v>
      </c>
      <c r="G13" s="23">
        <v>494.7</v>
      </c>
      <c r="H13" s="23">
        <v>597.1</v>
      </c>
      <c r="I13" s="23">
        <v>750</v>
      </c>
      <c r="J13" s="23">
        <v>906.2</v>
      </c>
      <c r="K13" s="23">
        <v>1110.9000000000001</v>
      </c>
      <c r="L13" s="23">
        <v>1192.0999999999997</v>
      </c>
      <c r="M13" s="23">
        <v>1077.5999999999999</v>
      </c>
      <c r="N13" s="23">
        <v>1112.3</v>
      </c>
      <c r="O13" s="23">
        <v>1241.8000000000002</v>
      </c>
      <c r="P13" s="23">
        <v>1357.2</v>
      </c>
      <c r="Q13" s="23">
        <v>1438.4</v>
      </c>
      <c r="R13" s="23">
        <v>1501.3</v>
      </c>
      <c r="S13" s="23">
        <v>1542.7</v>
      </c>
      <c r="T13" s="23">
        <v>1638.5</v>
      </c>
      <c r="U13" s="23">
        <v>1863.8</v>
      </c>
      <c r="V13" s="23">
        <v>2101.8000000000002</v>
      </c>
      <c r="W13" s="23">
        <v>2278.9</v>
      </c>
      <c r="X13" s="23">
        <v>2268.9</v>
      </c>
      <c r="Y13" s="23">
        <v>2665.1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804.6</v>
      </c>
      <c r="E14" s="23">
        <v>870</v>
      </c>
      <c r="F14" s="23">
        <v>964.1</v>
      </c>
      <c r="G14" s="23">
        <v>1068.9000000000001</v>
      </c>
      <c r="H14" s="23">
        <v>1181.3</v>
      </c>
      <c r="I14" s="23">
        <v>1340.5</v>
      </c>
      <c r="J14" s="23">
        <v>1504.5</v>
      </c>
      <c r="K14" s="23">
        <v>1843.7</v>
      </c>
      <c r="L14" s="23">
        <v>2150.1</v>
      </c>
      <c r="M14" s="23">
        <v>2059.5</v>
      </c>
      <c r="N14" s="23">
        <v>1998.9999999999998</v>
      </c>
      <c r="O14" s="23">
        <v>2115</v>
      </c>
      <c r="P14" s="23">
        <v>2209.5</v>
      </c>
      <c r="Q14" s="23">
        <v>2397</v>
      </c>
      <c r="R14" s="23">
        <v>2559.1</v>
      </c>
      <c r="S14" s="23">
        <v>2756.7</v>
      </c>
      <c r="T14" s="23">
        <v>2906.4</v>
      </c>
      <c r="U14" s="23">
        <v>3145</v>
      </c>
      <c r="V14" s="23">
        <v>3432.5</v>
      </c>
      <c r="W14" s="23">
        <v>3749.3</v>
      </c>
      <c r="X14" s="23">
        <v>4008.5</v>
      </c>
      <c r="Y14" s="23">
        <v>4357.7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145.80000000000001</v>
      </c>
      <c r="E15" s="23">
        <v>166.4</v>
      </c>
      <c r="F15" s="23">
        <v>194.4</v>
      </c>
      <c r="G15" s="23">
        <v>220</v>
      </c>
      <c r="H15" s="23">
        <v>247.7</v>
      </c>
      <c r="I15" s="23">
        <v>285.5</v>
      </c>
      <c r="J15" s="23">
        <v>328.9</v>
      </c>
      <c r="K15" s="23">
        <v>385.8</v>
      </c>
      <c r="L15" s="23">
        <v>350.4</v>
      </c>
      <c r="M15" s="23">
        <v>299.2</v>
      </c>
      <c r="N15" s="23">
        <v>289.49999999999994</v>
      </c>
      <c r="O15" s="23">
        <v>315.39999999999998</v>
      </c>
      <c r="P15" s="23">
        <v>351.6</v>
      </c>
      <c r="Q15" s="23">
        <v>395.1</v>
      </c>
      <c r="R15" s="23">
        <v>427.7</v>
      </c>
      <c r="S15" s="23">
        <v>450</v>
      </c>
      <c r="T15" s="23">
        <v>475.4</v>
      </c>
      <c r="U15" s="23">
        <v>529.70000000000005</v>
      </c>
      <c r="V15" s="23">
        <v>591.59999999999991</v>
      </c>
      <c r="W15" s="23">
        <v>643</v>
      </c>
      <c r="X15" s="23">
        <v>640.29999999999995</v>
      </c>
      <c r="Y15" s="23">
        <v>718.5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5512.9000000000024</v>
      </c>
      <c r="E16" s="30">
        <f t="shared" ref="E16:S16" si="0">SUM(E6:E15)</f>
        <v>6236.8999999999978</v>
      </c>
      <c r="F16" s="30">
        <f t="shared" si="0"/>
        <v>6962.6</v>
      </c>
      <c r="G16" s="30">
        <f t="shared" si="0"/>
        <v>7807.5999999999985</v>
      </c>
      <c r="H16" s="30">
        <f t="shared" si="0"/>
        <v>8664.7000000000025</v>
      </c>
      <c r="I16" s="30">
        <f t="shared" si="0"/>
        <v>10052.700000000001</v>
      </c>
      <c r="J16" s="30">
        <f t="shared" si="0"/>
        <v>11935.199999999999</v>
      </c>
      <c r="K16" s="30">
        <f t="shared" si="0"/>
        <v>14412.100000000004</v>
      </c>
      <c r="L16" s="30">
        <f t="shared" si="0"/>
        <v>14818.7</v>
      </c>
      <c r="M16" s="30">
        <f t="shared" si="0"/>
        <v>12265.700000000003</v>
      </c>
      <c r="N16" s="30">
        <f t="shared" si="0"/>
        <v>12897.6</v>
      </c>
      <c r="O16" s="30">
        <f t="shared" si="0"/>
        <v>14624.700000000003</v>
      </c>
      <c r="P16" s="30">
        <f t="shared" si="0"/>
        <v>15656.500000000002</v>
      </c>
      <c r="Q16" s="30">
        <f t="shared" si="0"/>
        <v>16568.099999999999</v>
      </c>
      <c r="R16" s="30">
        <f t="shared" si="0"/>
        <v>17482.499999999996</v>
      </c>
      <c r="S16" s="30">
        <f t="shared" si="0"/>
        <v>17890.700000000004</v>
      </c>
      <c r="T16" s="30">
        <f t="shared" ref="T16:Y16" si="1">SUM(T6:T15)</f>
        <v>18745.7</v>
      </c>
      <c r="U16" s="30">
        <f t="shared" si="1"/>
        <v>20676.2</v>
      </c>
      <c r="V16" s="30">
        <f t="shared" si="1"/>
        <v>22558.3</v>
      </c>
      <c r="W16" s="30">
        <f t="shared" si="1"/>
        <v>24306.399999999998</v>
      </c>
      <c r="X16" s="30">
        <f t="shared" si="1"/>
        <v>24080.700000000004</v>
      </c>
      <c r="Y16" s="30">
        <f t="shared" si="1"/>
        <v>27321.299999999996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239.8</v>
      </c>
      <c r="E18" s="19">
        <v>244.1</v>
      </c>
      <c r="F18" s="19">
        <v>278</v>
      </c>
      <c r="G18" s="19">
        <v>302.60000000000002</v>
      </c>
      <c r="H18" s="19">
        <v>353.9</v>
      </c>
      <c r="I18" s="19">
        <v>372.9</v>
      </c>
      <c r="J18" s="19">
        <v>426.7</v>
      </c>
      <c r="K18" s="19">
        <v>643.79999999999995</v>
      </c>
      <c r="L18" s="19">
        <v>565.29999999999995</v>
      </c>
      <c r="M18" s="19">
        <v>349.2</v>
      </c>
      <c r="N18" s="19">
        <v>467.5</v>
      </c>
      <c r="O18" s="19">
        <v>613.70000000000005</v>
      </c>
      <c r="P18" s="19">
        <v>594</v>
      </c>
      <c r="Q18" s="19">
        <v>583.99999999999989</v>
      </c>
      <c r="R18" s="19">
        <v>634.4</v>
      </c>
      <c r="S18" s="19">
        <v>589.70000000000005</v>
      </c>
      <c r="T18" s="19">
        <v>459.7</v>
      </c>
      <c r="U18" s="19">
        <v>568.70000000000005</v>
      </c>
      <c r="V18" s="19">
        <v>541.79999999999995</v>
      </c>
      <c r="W18" s="19">
        <v>645.1</v>
      </c>
      <c r="X18" s="19">
        <v>548.6</v>
      </c>
      <c r="Y18" s="19">
        <v>614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65.300000000000011</v>
      </c>
      <c r="E19" s="23">
        <v>72.000000000000014</v>
      </c>
      <c r="F19" s="23">
        <v>78.400000000000006</v>
      </c>
      <c r="G19" s="23">
        <v>87.6</v>
      </c>
      <c r="H19" s="23">
        <v>91.5</v>
      </c>
      <c r="I19" s="23">
        <v>95</v>
      </c>
      <c r="J19" s="23">
        <v>115</v>
      </c>
      <c r="K19" s="23">
        <v>152.9</v>
      </c>
      <c r="L19" s="23">
        <v>145.4</v>
      </c>
      <c r="M19" s="23">
        <v>151.80000000000001</v>
      </c>
      <c r="N19" s="23">
        <v>179.4</v>
      </c>
      <c r="O19" s="23">
        <v>204</v>
      </c>
      <c r="P19" s="23">
        <v>203.5</v>
      </c>
      <c r="Q19" s="23">
        <v>255.20000000000005</v>
      </c>
      <c r="R19" s="23">
        <v>270.60000000000002</v>
      </c>
      <c r="S19" s="23">
        <v>247.9</v>
      </c>
      <c r="T19" s="23">
        <v>204.2</v>
      </c>
      <c r="U19" s="23">
        <v>255.7</v>
      </c>
      <c r="V19" s="23">
        <v>244.6</v>
      </c>
      <c r="W19" s="23">
        <v>220.5</v>
      </c>
      <c r="X19" s="23">
        <v>166.7</v>
      </c>
      <c r="Y19" s="23">
        <v>169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954.70000000000084</v>
      </c>
      <c r="E20" s="23">
        <v>1121.2999999999986</v>
      </c>
      <c r="F20" s="23">
        <v>1226</v>
      </c>
      <c r="G20" s="23">
        <v>1376.9999999999993</v>
      </c>
      <c r="H20" s="23">
        <v>1458.8000000000006</v>
      </c>
      <c r="I20" s="23">
        <v>1663.7000000000005</v>
      </c>
      <c r="J20" s="23">
        <v>1963.0999999999983</v>
      </c>
      <c r="K20" s="23">
        <v>2274.9000000000019</v>
      </c>
      <c r="L20" s="23">
        <v>2284.2000000000007</v>
      </c>
      <c r="M20" s="23">
        <v>1736.9000000000021</v>
      </c>
      <c r="N20" s="23">
        <v>2026.7</v>
      </c>
      <c r="O20" s="23">
        <v>2436.2000000000016</v>
      </c>
      <c r="P20" s="23">
        <v>2509.8000000000015</v>
      </c>
      <c r="Q20" s="23">
        <v>2597.2999999999975</v>
      </c>
      <c r="R20" s="23">
        <v>2843.2999999999988</v>
      </c>
      <c r="S20" s="23">
        <v>2869.1000000000017</v>
      </c>
      <c r="T20" s="23">
        <v>3019.9999999999977</v>
      </c>
      <c r="U20" s="23">
        <v>3244.1000000000004</v>
      </c>
      <c r="V20" s="23">
        <v>3493.5999999999976</v>
      </c>
      <c r="W20" s="23">
        <v>3667.1999999999989</v>
      </c>
      <c r="X20" s="23">
        <v>3524.3000000000015</v>
      </c>
      <c r="Y20" s="23">
        <v>4133.4999999999982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141.1</v>
      </c>
      <c r="E21" s="23">
        <v>164.6</v>
      </c>
      <c r="F21" s="23">
        <v>188.9</v>
      </c>
      <c r="G21" s="23">
        <v>234.2</v>
      </c>
      <c r="H21" s="23">
        <v>250.1</v>
      </c>
      <c r="I21" s="23">
        <v>278.60000000000002</v>
      </c>
      <c r="J21" s="23">
        <v>301.39999999999998</v>
      </c>
      <c r="K21" s="23">
        <v>339.5</v>
      </c>
      <c r="L21" s="23">
        <v>355.6</v>
      </c>
      <c r="M21" s="23">
        <v>429.6</v>
      </c>
      <c r="N21" s="23">
        <v>499.70000000000005</v>
      </c>
      <c r="O21" s="23">
        <v>505.7</v>
      </c>
      <c r="P21" s="23">
        <v>520.1</v>
      </c>
      <c r="Q21" s="23">
        <v>645.1</v>
      </c>
      <c r="R21" s="23">
        <v>630.20000000000005</v>
      </c>
      <c r="S21" s="23">
        <v>563.79999999999995</v>
      </c>
      <c r="T21" s="23">
        <v>618.6</v>
      </c>
      <c r="U21" s="23">
        <v>663.9</v>
      </c>
      <c r="V21" s="23">
        <v>748.5</v>
      </c>
      <c r="W21" s="23">
        <v>658</v>
      </c>
      <c r="X21" s="23">
        <v>682</v>
      </c>
      <c r="Y21" s="23">
        <v>956.8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47.6</v>
      </c>
      <c r="E22" s="23">
        <v>57.1</v>
      </c>
      <c r="F22" s="23">
        <v>64.900000000000006</v>
      </c>
      <c r="G22" s="23">
        <v>70</v>
      </c>
      <c r="H22" s="23">
        <v>81.7</v>
      </c>
      <c r="I22" s="23">
        <v>87</v>
      </c>
      <c r="J22" s="23">
        <v>109.4</v>
      </c>
      <c r="K22" s="23">
        <v>126.60000000000002</v>
      </c>
      <c r="L22" s="23">
        <v>153</v>
      </c>
      <c r="M22" s="23">
        <v>130.19999999999999</v>
      </c>
      <c r="N22" s="23">
        <v>140.69999999999999</v>
      </c>
      <c r="O22" s="23">
        <v>135</v>
      </c>
      <c r="P22" s="23">
        <v>139.1</v>
      </c>
      <c r="Q22" s="23">
        <v>132.6</v>
      </c>
      <c r="R22" s="23">
        <v>143.30000000000001</v>
      </c>
      <c r="S22" s="23">
        <v>144.1</v>
      </c>
      <c r="T22" s="23">
        <v>157.5</v>
      </c>
      <c r="U22" s="23">
        <v>176.5</v>
      </c>
      <c r="V22" s="23">
        <v>181.6</v>
      </c>
      <c r="W22" s="23">
        <v>199.6</v>
      </c>
      <c r="X22" s="23">
        <v>178.6</v>
      </c>
      <c r="Y22" s="23">
        <v>227.6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327.10000000000002</v>
      </c>
      <c r="E23" s="23">
        <v>367.9</v>
      </c>
      <c r="F23" s="23">
        <v>435.8</v>
      </c>
      <c r="G23" s="23">
        <v>514.6</v>
      </c>
      <c r="H23" s="23">
        <v>604.4</v>
      </c>
      <c r="I23" s="23">
        <v>854.5</v>
      </c>
      <c r="J23" s="23">
        <v>1167.5999999999999</v>
      </c>
      <c r="K23" s="23">
        <v>1515.2</v>
      </c>
      <c r="L23" s="23">
        <v>1419</v>
      </c>
      <c r="M23" s="23">
        <v>869</v>
      </c>
      <c r="N23" s="23">
        <v>750.4</v>
      </c>
      <c r="O23" s="23">
        <v>1008.7</v>
      </c>
      <c r="P23" s="23">
        <v>1154.4000000000001</v>
      </c>
      <c r="Q23" s="23">
        <v>1163.5999999999999</v>
      </c>
      <c r="R23" s="23">
        <v>1079.0999999999999</v>
      </c>
      <c r="S23" s="23">
        <v>1098.5</v>
      </c>
      <c r="T23" s="23">
        <v>1229.5</v>
      </c>
      <c r="U23" s="23">
        <v>1379.7</v>
      </c>
      <c r="V23" s="23">
        <v>1561.8</v>
      </c>
      <c r="W23" s="23">
        <v>1692.7</v>
      </c>
      <c r="X23" s="23">
        <v>1676.7</v>
      </c>
      <c r="Y23" s="23">
        <v>1807.2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695.1</v>
      </c>
      <c r="E24" s="23">
        <v>831.10000000000014</v>
      </c>
      <c r="F24" s="23">
        <v>981.90000000000009</v>
      </c>
      <c r="G24" s="23">
        <v>1100.8999999999996</v>
      </c>
      <c r="H24" s="23">
        <v>1216.5999999999999</v>
      </c>
      <c r="I24" s="23">
        <v>1433.2</v>
      </c>
      <c r="J24" s="23">
        <v>1710.5</v>
      </c>
      <c r="K24" s="23">
        <v>1970.1999999999998</v>
      </c>
      <c r="L24" s="23">
        <v>1880.5000000000002</v>
      </c>
      <c r="M24" s="23">
        <v>1430.5</v>
      </c>
      <c r="N24" s="23">
        <v>1496.3000000000002</v>
      </c>
      <c r="O24" s="23">
        <v>1752.1</v>
      </c>
      <c r="P24" s="23">
        <v>1942.7</v>
      </c>
      <c r="Q24" s="23">
        <v>2022.2000000000003</v>
      </c>
      <c r="R24" s="23">
        <v>2189.0000000000005</v>
      </c>
      <c r="S24" s="23">
        <v>2143.2000000000003</v>
      </c>
      <c r="T24" s="23">
        <v>2397.2000000000007</v>
      </c>
      <c r="U24" s="23">
        <v>2655.2</v>
      </c>
      <c r="V24" s="23">
        <v>2985.3000000000006</v>
      </c>
      <c r="W24" s="23">
        <v>3186.7000000000007</v>
      </c>
      <c r="X24" s="23">
        <v>3131.9</v>
      </c>
      <c r="Y24" s="23">
        <v>3436.3000000000011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590.5</v>
      </c>
      <c r="E25" s="23">
        <v>639.79999999999995</v>
      </c>
      <c r="F25" s="23">
        <v>659.2</v>
      </c>
      <c r="G25" s="23">
        <v>753.7</v>
      </c>
      <c r="H25" s="23">
        <v>841.3</v>
      </c>
      <c r="I25" s="23">
        <v>871.5</v>
      </c>
      <c r="J25" s="23">
        <v>1030.2</v>
      </c>
      <c r="K25" s="23">
        <v>1162.2</v>
      </c>
      <c r="L25" s="23">
        <v>1176.4000000000001</v>
      </c>
      <c r="M25" s="23">
        <v>1025.0999999999999</v>
      </c>
      <c r="N25" s="23">
        <v>1198.0999999999999</v>
      </c>
      <c r="O25" s="23">
        <v>1347.4</v>
      </c>
      <c r="P25" s="23">
        <v>1437.2</v>
      </c>
      <c r="Q25" s="23">
        <v>1517.9</v>
      </c>
      <c r="R25" s="23">
        <v>1593.5</v>
      </c>
      <c r="S25" s="23">
        <v>1563.5</v>
      </c>
      <c r="T25" s="23">
        <v>1480.5</v>
      </c>
      <c r="U25" s="23">
        <v>1571.8</v>
      </c>
      <c r="V25" s="23">
        <v>1625.2</v>
      </c>
      <c r="W25" s="23">
        <v>1710</v>
      </c>
      <c r="X25" s="23">
        <v>1533.3</v>
      </c>
      <c r="Y25" s="23">
        <v>1757.4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88.3</v>
      </c>
      <c r="E26" s="23">
        <v>97.3</v>
      </c>
      <c r="F26" s="23">
        <v>106.4</v>
      </c>
      <c r="G26" s="23">
        <v>122.5</v>
      </c>
      <c r="H26" s="23">
        <v>140.6</v>
      </c>
      <c r="I26" s="23">
        <v>172.2</v>
      </c>
      <c r="J26" s="23">
        <v>197</v>
      </c>
      <c r="K26" s="23">
        <v>224.50000000000003</v>
      </c>
      <c r="L26" s="23">
        <v>255.30000000000004</v>
      </c>
      <c r="M26" s="23">
        <v>180.9</v>
      </c>
      <c r="N26" s="23">
        <v>186.4</v>
      </c>
      <c r="O26" s="23">
        <v>234.30000000000004</v>
      </c>
      <c r="P26" s="23">
        <v>269</v>
      </c>
      <c r="Q26" s="23">
        <v>306.5</v>
      </c>
      <c r="R26" s="23">
        <v>329.7</v>
      </c>
      <c r="S26" s="23">
        <v>338.6</v>
      </c>
      <c r="T26" s="23">
        <v>371.4</v>
      </c>
      <c r="U26" s="23">
        <v>414.4</v>
      </c>
      <c r="V26" s="23">
        <v>445.1</v>
      </c>
      <c r="W26" s="23">
        <v>489.1</v>
      </c>
      <c r="X26" s="23">
        <v>299.50000000000006</v>
      </c>
      <c r="Y26" s="23">
        <v>332.9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287.20000000000005</v>
      </c>
      <c r="E27" s="23">
        <v>309.2</v>
      </c>
      <c r="F27" s="23">
        <v>345.9</v>
      </c>
      <c r="G27" s="23">
        <v>387.5</v>
      </c>
      <c r="H27" s="23">
        <v>424</v>
      </c>
      <c r="I27" s="23">
        <v>468.4</v>
      </c>
      <c r="J27" s="23">
        <v>543.29999999999995</v>
      </c>
      <c r="K27" s="23">
        <v>654.6</v>
      </c>
      <c r="L27" s="23">
        <v>733.3</v>
      </c>
      <c r="M27" s="23">
        <v>680.3</v>
      </c>
      <c r="N27" s="23">
        <v>681.1</v>
      </c>
      <c r="O27" s="23">
        <v>739.5</v>
      </c>
      <c r="P27" s="23">
        <v>804.6</v>
      </c>
      <c r="Q27" s="23">
        <v>849</v>
      </c>
      <c r="R27" s="23">
        <v>906</v>
      </c>
      <c r="S27" s="23">
        <v>978.2</v>
      </c>
      <c r="T27" s="23">
        <v>1056.3</v>
      </c>
      <c r="U27" s="23">
        <v>1189.0999999999999</v>
      </c>
      <c r="V27" s="23">
        <v>1402.4</v>
      </c>
      <c r="W27" s="23">
        <v>1624.7</v>
      </c>
      <c r="X27" s="23">
        <v>1814.2</v>
      </c>
      <c r="Y27" s="23">
        <v>1879.7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234.8</v>
      </c>
      <c r="E28" s="23">
        <v>257.2</v>
      </c>
      <c r="F28" s="23">
        <v>310.89999999999992</v>
      </c>
      <c r="G28" s="23">
        <v>294.7</v>
      </c>
      <c r="H28" s="23">
        <v>336</v>
      </c>
      <c r="I28" s="23">
        <v>412.4</v>
      </c>
      <c r="J28" s="23">
        <v>505.8</v>
      </c>
      <c r="K28" s="23">
        <v>700.6</v>
      </c>
      <c r="L28" s="23">
        <v>793.7</v>
      </c>
      <c r="M28" s="23">
        <v>558.4</v>
      </c>
      <c r="N28" s="23">
        <v>649.4</v>
      </c>
      <c r="O28" s="23">
        <v>663.7</v>
      </c>
      <c r="P28" s="23">
        <v>699.9</v>
      </c>
      <c r="Q28" s="23">
        <v>670.5</v>
      </c>
      <c r="R28" s="23">
        <v>716</v>
      </c>
      <c r="S28" s="23">
        <v>779.1</v>
      </c>
      <c r="T28" s="23">
        <v>794.9</v>
      </c>
      <c r="U28" s="23">
        <v>861</v>
      </c>
      <c r="V28" s="23">
        <v>948.1</v>
      </c>
      <c r="W28" s="23">
        <v>1080.0999999999999</v>
      </c>
      <c r="X28" s="23">
        <v>1212.5</v>
      </c>
      <c r="Y28" s="23">
        <v>1268.8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626.40000000000009</v>
      </c>
      <c r="E29" s="23">
        <v>714.5</v>
      </c>
      <c r="F29" s="23">
        <v>741</v>
      </c>
      <c r="G29" s="23">
        <v>778.7</v>
      </c>
      <c r="H29" s="23">
        <v>839.7</v>
      </c>
      <c r="I29" s="23">
        <v>967.3</v>
      </c>
      <c r="J29" s="23">
        <v>1125.5999999999999</v>
      </c>
      <c r="K29" s="23">
        <v>1306.7</v>
      </c>
      <c r="L29" s="23">
        <v>1364.4</v>
      </c>
      <c r="M29" s="23">
        <v>1287.5</v>
      </c>
      <c r="N29" s="23">
        <v>1221.0999999999999</v>
      </c>
      <c r="O29" s="23">
        <v>1312.2</v>
      </c>
      <c r="P29" s="23">
        <v>1463.9</v>
      </c>
      <c r="Q29" s="23">
        <v>1593.7</v>
      </c>
      <c r="R29" s="23">
        <v>1659.3</v>
      </c>
      <c r="S29" s="23">
        <v>1825.6</v>
      </c>
      <c r="T29" s="23">
        <v>1935.6</v>
      </c>
      <c r="U29" s="23">
        <v>2157.6</v>
      </c>
      <c r="V29" s="23">
        <v>2254.4</v>
      </c>
      <c r="W29" s="23">
        <v>2461.5</v>
      </c>
      <c r="X29" s="23">
        <v>2394.6999999999998</v>
      </c>
      <c r="Y29" s="23">
        <v>2996.8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187.2</v>
      </c>
      <c r="E30" s="23">
        <v>220.29999999999993</v>
      </c>
      <c r="F30" s="23">
        <v>255.3</v>
      </c>
      <c r="G30" s="23">
        <v>293.5</v>
      </c>
      <c r="H30" s="23">
        <v>383.10000000000008</v>
      </c>
      <c r="I30" s="23">
        <v>450.6</v>
      </c>
      <c r="J30" s="23">
        <v>528.20000000000005</v>
      </c>
      <c r="K30" s="23">
        <v>666.00000000000011</v>
      </c>
      <c r="L30" s="23">
        <v>720.89999999999986</v>
      </c>
      <c r="M30" s="23">
        <v>656.79999999999984</v>
      </c>
      <c r="N30" s="23">
        <v>680.99999999999989</v>
      </c>
      <c r="O30" s="23">
        <v>730.50000000000011</v>
      </c>
      <c r="P30" s="23">
        <v>765.4</v>
      </c>
      <c r="Q30" s="23">
        <v>831.5</v>
      </c>
      <c r="R30" s="23">
        <v>886.09999999999991</v>
      </c>
      <c r="S30" s="23">
        <v>901.7</v>
      </c>
      <c r="T30" s="23">
        <v>950</v>
      </c>
      <c r="U30" s="23">
        <v>1061.2</v>
      </c>
      <c r="V30" s="23">
        <v>1202.2</v>
      </c>
      <c r="W30" s="23">
        <v>1311</v>
      </c>
      <c r="X30" s="23">
        <v>1417.5</v>
      </c>
      <c r="Y30" s="23">
        <v>1722.0000000000002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77.400000000000006</v>
      </c>
      <c r="E31" s="23">
        <v>104.1</v>
      </c>
      <c r="F31" s="23">
        <v>131.5</v>
      </c>
      <c r="G31" s="23">
        <v>201.2</v>
      </c>
      <c r="H31" s="23">
        <v>214</v>
      </c>
      <c r="I31" s="23">
        <v>299.39999999999998</v>
      </c>
      <c r="J31" s="23">
        <v>378</v>
      </c>
      <c r="K31" s="23">
        <v>444.9</v>
      </c>
      <c r="L31" s="23">
        <v>471.19999999999993</v>
      </c>
      <c r="M31" s="23">
        <v>420.8</v>
      </c>
      <c r="N31" s="23">
        <v>431.3</v>
      </c>
      <c r="O31" s="23">
        <v>511.3</v>
      </c>
      <c r="P31" s="23">
        <v>591.79999999999995</v>
      </c>
      <c r="Q31" s="23">
        <v>606.9</v>
      </c>
      <c r="R31" s="23">
        <v>615.20000000000016</v>
      </c>
      <c r="S31" s="23">
        <v>641</v>
      </c>
      <c r="T31" s="23">
        <v>688.5</v>
      </c>
      <c r="U31" s="23">
        <v>802.6</v>
      </c>
      <c r="V31" s="23">
        <v>899.6</v>
      </c>
      <c r="W31" s="23">
        <v>967.9</v>
      </c>
      <c r="X31" s="23">
        <v>851.4</v>
      </c>
      <c r="Y31" s="23">
        <v>943.1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339.79999999999995</v>
      </c>
      <c r="E32" s="23">
        <v>362.3</v>
      </c>
      <c r="F32" s="23">
        <v>412.80000000000013</v>
      </c>
      <c r="G32" s="23">
        <v>456.60000000000014</v>
      </c>
      <c r="H32" s="23">
        <v>505.5</v>
      </c>
      <c r="I32" s="23">
        <v>564.49999999999989</v>
      </c>
      <c r="J32" s="23">
        <v>634.50000000000011</v>
      </c>
      <c r="K32" s="23">
        <v>789.9</v>
      </c>
      <c r="L32" s="23">
        <v>933.70000000000016</v>
      </c>
      <c r="M32" s="23">
        <v>890.39999999999986</v>
      </c>
      <c r="N32" s="23">
        <v>871.59999999999991</v>
      </c>
      <c r="O32" s="23">
        <v>941.4</v>
      </c>
      <c r="P32" s="23">
        <v>978.7</v>
      </c>
      <c r="Q32" s="23">
        <v>1054.3</v>
      </c>
      <c r="R32" s="23">
        <v>1121.7</v>
      </c>
      <c r="S32" s="23">
        <v>1197.0999999999999</v>
      </c>
      <c r="T32" s="23">
        <v>1236.6999999999998</v>
      </c>
      <c r="U32" s="23">
        <v>1323.8999999999996</v>
      </c>
      <c r="V32" s="23">
        <v>1386.7000000000003</v>
      </c>
      <c r="W32" s="23">
        <v>1508.4999999999993</v>
      </c>
      <c r="X32" s="23">
        <v>1574.1</v>
      </c>
      <c r="Y32" s="23">
        <v>1669.9999999999998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290.7</v>
      </c>
      <c r="E33" s="23">
        <v>321.2</v>
      </c>
      <c r="F33" s="23">
        <v>351.1</v>
      </c>
      <c r="G33" s="23">
        <v>379.2</v>
      </c>
      <c r="H33" s="23">
        <v>418.2</v>
      </c>
      <c r="I33" s="23">
        <v>465.2</v>
      </c>
      <c r="J33" s="23">
        <v>513.6</v>
      </c>
      <c r="K33" s="23">
        <v>605.4</v>
      </c>
      <c r="L33" s="23">
        <v>708.8</v>
      </c>
      <c r="M33" s="23">
        <v>682.2</v>
      </c>
      <c r="N33" s="23">
        <v>649.79999999999995</v>
      </c>
      <c r="O33" s="23">
        <v>666.9</v>
      </c>
      <c r="P33" s="23">
        <v>691.6</v>
      </c>
      <c r="Q33" s="23">
        <v>752.6</v>
      </c>
      <c r="R33" s="23">
        <v>793.6</v>
      </c>
      <c r="S33" s="23">
        <v>845.5</v>
      </c>
      <c r="T33" s="23">
        <v>893.9</v>
      </c>
      <c r="U33" s="23">
        <v>957.4</v>
      </c>
      <c r="V33" s="23">
        <v>1086</v>
      </c>
      <c r="W33" s="23">
        <v>1200.4000000000001</v>
      </c>
      <c r="X33" s="23">
        <v>1253.9000000000003</v>
      </c>
      <c r="Y33" s="23">
        <v>1323.7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174.1</v>
      </c>
      <c r="E34" s="23">
        <v>186.5</v>
      </c>
      <c r="F34" s="23">
        <v>200.2</v>
      </c>
      <c r="G34" s="23">
        <v>233.1</v>
      </c>
      <c r="H34" s="23">
        <v>257.60000000000002</v>
      </c>
      <c r="I34" s="23">
        <v>310.8</v>
      </c>
      <c r="J34" s="23">
        <v>356.4</v>
      </c>
      <c r="K34" s="23">
        <v>448.4</v>
      </c>
      <c r="L34" s="23">
        <v>507.6</v>
      </c>
      <c r="M34" s="23">
        <v>486.9</v>
      </c>
      <c r="N34" s="23">
        <v>477.59999999999991</v>
      </c>
      <c r="O34" s="23">
        <v>506.7</v>
      </c>
      <c r="P34" s="23">
        <v>539.20000000000005</v>
      </c>
      <c r="Q34" s="23">
        <v>590.1</v>
      </c>
      <c r="R34" s="23">
        <v>643.79999999999995</v>
      </c>
      <c r="S34" s="23">
        <v>714.1</v>
      </c>
      <c r="T34" s="23">
        <v>775.8</v>
      </c>
      <c r="U34" s="23">
        <v>863.7</v>
      </c>
      <c r="V34" s="23">
        <v>959.8</v>
      </c>
      <c r="W34" s="23">
        <v>1040.4000000000001</v>
      </c>
      <c r="X34" s="23">
        <v>1180.5</v>
      </c>
      <c r="Y34" s="23">
        <v>1364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90.600000000000037</v>
      </c>
      <c r="E35" s="23">
        <v>101.5</v>
      </c>
      <c r="F35" s="23">
        <v>115.69999999999999</v>
      </c>
      <c r="G35" s="23">
        <v>130.29999999999995</v>
      </c>
      <c r="H35" s="23">
        <v>149.80000000000001</v>
      </c>
      <c r="I35" s="23">
        <v>183.5</v>
      </c>
      <c r="J35" s="23">
        <v>221.69999999999996</v>
      </c>
      <c r="K35" s="23">
        <v>264.39999999999998</v>
      </c>
      <c r="L35" s="23">
        <v>222.9</v>
      </c>
      <c r="M35" s="23">
        <v>183.70000000000005</v>
      </c>
      <c r="N35" s="23">
        <v>175.99999999999997</v>
      </c>
      <c r="O35" s="23">
        <v>189.69999999999996</v>
      </c>
      <c r="P35" s="23">
        <v>215.9</v>
      </c>
      <c r="Q35" s="23">
        <v>235.79999999999995</v>
      </c>
      <c r="R35" s="23">
        <v>258.5</v>
      </c>
      <c r="S35" s="23">
        <v>272.2</v>
      </c>
      <c r="T35" s="23">
        <v>293.40000000000003</v>
      </c>
      <c r="U35" s="23">
        <v>333.90000000000009</v>
      </c>
      <c r="V35" s="23">
        <v>374.49999999999994</v>
      </c>
      <c r="W35" s="23">
        <v>416.3</v>
      </c>
      <c r="X35" s="23">
        <v>413.79999999999995</v>
      </c>
      <c r="Y35" s="23">
        <v>460.50000000000006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52.8</v>
      </c>
      <c r="E36" s="23">
        <v>62.4</v>
      </c>
      <c r="F36" s="23">
        <v>75.5</v>
      </c>
      <c r="G36" s="23">
        <v>86.4</v>
      </c>
      <c r="H36" s="23">
        <v>94.3</v>
      </c>
      <c r="I36" s="23">
        <v>98.1</v>
      </c>
      <c r="J36" s="23">
        <v>102.8</v>
      </c>
      <c r="K36" s="23">
        <v>116.9</v>
      </c>
      <c r="L36" s="23">
        <v>121.80000000000001</v>
      </c>
      <c r="M36" s="23">
        <v>110.9</v>
      </c>
      <c r="N36" s="23">
        <v>109.2</v>
      </c>
      <c r="O36" s="23">
        <v>120.2</v>
      </c>
      <c r="P36" s="23">
        <v>127.9</v>
      </c>
      <c r="Q36" s="23">
        <v>150.4</v>
      </c>
      <c r="R36" s="23">
        <v>158.39999999999998</v>
      </c>
      <c r="S36" s="23">
        <v>166.5</v>
      </c>
      <c r="T36" s="23">
        <v>169.8</v>
      </c>
      <c r="U36" s="23">
        <v>182.8</v>
      </c>
      <c r="V36" s="23">
        <v>203.5</v>
      </c>
      <c r="W36" s="23">
        <v>212.2</v>
      </c>
      <c r="X36" s="23">
        <v>212.3</v>
      </c>
      <c r="Y36" s="23">
        <v>241.8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2.4</v>
      </c>
      <c r="E37" s="23">
        <v>2.5</v>
      </c>
      <c r="F37" s="23">
        <v>3.2</v>
      </c>
      <c r="G37" s="23">
        <v>3.3</v>
      </c>
      <c r="H37" s="23">
        <v>3.6</v>
      </c>
      <c r="I37" s="23">
        <v>3.9</v>
      </c>
      <c r="J37" s="23">
        <v>4.4000000000000004</v>
      </c>
      <c r="K37" s="23">
        <v>4.5</v>
      </c>
      <c r="L37" s="23">
        <v>5.7</v>
      </c>
      <c r="M37" s="23">
        <v>4.5999999999999996</v>
      </c>
      <c r="N37" s="23">
        <v>4.3</v>
      </c>
      <c r="O37" s="23">
        <v>5.5</v>
      </c>
      <c r="P37" s="23">
        <v>7.8</v>
      </c>
      <c r="Q37" s="23">
        <v>8.9</v>
      </c>
      <c r="R37" s="23">
        <v>10.8</v>
      </c>
      <c r="S37" s="23">
        <v>11.3</v>
      </c>
      <c r="T37" s="23">
        <v>12.2</v>
      </c>
      <c r="U37" s="23">
        <v>13</v>
      </c>
      <c r="V37" s="23">
        <v>13.6</v>
      </c>
      <c r="W37" s="23">
        <v>14.5</v>
      </c>
      <c r="X37" s="23">
        <v>14.2</v>
      </c>
      <c r="Y37" s="23">
        <v>16.2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5512.9000000000015</v>
      </c>
      <c r="E39" s="30">
        <f t="shared" ref="E39:S39" si="2">SUM(E18:E38)</f>
        <v>6236.8999999999987</v>
      </c>
      <c r="F39" s="30">
        <f t="shared" si="2"/>
        <v>6962.6</v>
      </c>
      <c r="G39" s="30">
        <f t="shared" si="2"/>
        <v>7807.5999999999995</v>
      </c>
      <c r="H39" s="30">
        <f t="shared" si="2"/>
        <v>8664.6999999999989</v>
      </c>
      <c r="I39" s="30">
        <f t="shared" si="2"/>
        <v>10052.700000000001</v>
      </c>
      <c r="J39" s="30">
        <f t="shared" si="2"/>
        <v>11935.199999999999</v>
      </c>
      <c r="K39" s="30">
        <f t="shared" si="2"/>
        <v>14412.1</v>
      </c>
      <c r="L39" s="30">
        <f t="shared" si="2"/>
        <v>14818.699999999999</v>
      </c>
      <c r="M39" s="30">
        <f t="shared" si="2"/>
        <v>12265.7</v>
      </c>
      <c r="N39" s="30">
        <f t="shared" si="2"/>
        <v>12897.6</v>
      </c>
      <c r="O39" s="30">
        <f t="shared" si="2"/>
        <v>14624.700000000003</v>
      </c>
      <c r="P39" s="30">
        <f t="shared" si="2"/>
        <v>15656.5</v>
      </c>
      <c r="Q39" s="30">
        <f t="shared" si="2"/>
        <v>16568.100000000002</v>
      </c>
      <c r="R39" s="30">
        <f t="shared" si="2"/>
        <v>17482.5</v>
      </c>
      <c r="S39" s="30">
        <f t="shared" si="2"/>
        <v>17890.700000000004</v>
      </c>
      <c r="T39" s="30">
        <f t="shared" ref="T39:Y39" si="3">SUM(T18:T38)</f>
        <v>18745.7</v>
      </c>
      <c r="U39" s="30">
        <f t="shared" si="3"/>
        <v>20676.200000000004</v>
      </c>
      <c r="V39" s="30">
        <f t="shared" si="3"/>
        <v>22558.3</v>
      </c>
      <c r="W39" s="30">
        <f t="shared" si="3"/>
        <v>24306.400000000005</v>
      </c>
      <c r="X39" s="30">
        <f t="shared" si="3"/>
        <v>24080.7</v>
      </c>
      <c r="Y39" s="30">
        <f t="shared" si="3"/>
        <v>27321.3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176.2</v>
      </c>
      <c r="E41" s="19">
        <v>195.3</v>
      </c>
      <c r="F41" s="19">
        <v>193.9</v>
      </c>
      <c r="G41" s="19">
        <v>206.8</v>
      </c>
      <c r="H41" s="19">
        <v>193.3</v>
      </c>
      <c r="I41" s="19">
        <v>220</v>
      </c>
      <c r="J41" s="19">
        <v>253.4</v>
      </c>
      <c r="K41" s="19">
        <v>283.60000000000002</v>
      </c>
      <c r="L41" s="19">
        <v>300.2</v>
      </c>
      <c r="M41" s="19">
        <v>307.39999999999992</v>
      </c>
      <c r="N41" s="19">
        <v>269.2</v>
      </c>
      <c r="O41" s="19">
        <v>287.10000000000008</v>
      </c>
      <c r="P41" s="19">
        <v>309.39999999999998</v>
      </c>
      <c r="Q41" s="19">
        <v>335.1</v>
      </c>
      <c r="R41" s="19">
        <v>397.5</v>
      </c>
      <c r="S41" s="19">
        <v>380.2</v>
      </c>
      <c r="T41" s="19">
        <v>386</v>
      </c>
      <c r="U41" s="19">
        <v>397.4</v>
      </c>
      <c r="V41" s="19">
        <v>429.5</v>
      </c>
      <c r="W41" s="19">
        <v>455.2</v>
      </c>
      <c r="X41" s="19">
        <v>457.8</v>
      </c>
      <c r="Y41" s="19">
        <v>476.1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140.19999999999999</v>
      </c>
      <c r="E42" s="23">
        <v>169.4</v>
      </c>
      <c r="F42" s="23">
        <v>181.1</v>
      </c>
      <c r="G42" s="23">
        <v>182.4</v>
      </c>
      <c r="H42" s="23">
        <v>182</v>
      </c>
      <c r="I42" s="23">
        <v>169.8</v>
      </c>
      <c r="J42" s="23">
        <v>180</v>
      </c>
      <c r="K42" s="23">
        <v>180.9</v>
      </c>
      <c r="L42" s="23">
        <v>169.6</v>
      </c>
      <c r="M42" s="23">
        <v>130.19999999999999</v>
      </c>
      <c r="N42" s="23">
        <v>134.50000000000003</v>
      </c>
      <c r="O42" s="23">
        <v>145.30000000000001</v>
      </c>
      <c r="P42" s="23">
        <v>157.19999999999999</v>
      </c>
      <c r="Q42" s="23">
        <v>154.50000000000003</v>
      </c>
      <c r="R42" s="23">
        <v>170</v>
      </c>
      <c r="S42" s="23">
        <v>172.8</v>
      </c>
      <c r="T42" s="23">
        <v>180</v>
      </c>
      <c r="U42" s="23">
        <v>191.7</v>
      </c>
      <c r="V42" s="23">
        <v>188.5</v>
      </c>
      <c r="W42" s="23">
        <v>183.7</v>
      </c>
      <c r="X42" s="23">
        <v>181.8</v>
      </c>
      <c r="Y42" s="23">
        <v>174.3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175.5</v>
      </c>
      <c r="E43" s="23">
        <v>213.5</v>
      </c>
      <c r="F43" s="23">
        <v>243.6</v>
      </c>
      <c r="G43" s="23">
        <v>276.3</v>
      </c>
      <c r="H43" s="23">
        <v>297</v>
      </c>
      <c r="I43" s="23">
        <v>323.60000000000002</v>
      </c>
      <c r="J43" s="23">
        <v>377.2</v>
      </c>
      <c r="K43" s="23">
        <v>435.60000000000008</v>
      </c>
      <c r="L43" s="23">
        <v>385.4</v>
      </c>
      <c r="M43" s="23">
        <v>315.10000000000002</v>
      </c>
      <c r="N43" s="23">
        <v>410.1</v>
      </c>
      <c r="O43" s="23">
        <v>456.7</v>
      </c>
      <c r="P43" s="23">
        <v>478.8</v>
      </c>
      <c r="Q43" s="23">
        <v>505.49999999999994</v>
      </c>
      <c r="R43" s="23">
        <v>573</v>
      </c>
      <c r="S43" s="23">
        <v>615</v>
      </c>
      <c r="T43" s="23">
        <v>633.59999999999991</v>
      </c>
      <c r="U43" s="23">
        <v>699.1</v>
      </c>
      <c r="V43" s="23">
        <v>725.9</v>
      </c>
      <c r="W43" s="23">
        <v>718.7</v>
      </c>
      <c r="X43" s="23">
        <v>751.5</v>
      </c>
      <c r="Y43" s="23">
        <v>1051.4000000000001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6.2</v>
      </c>
      <c r="E44" s="23">
        <v>7.7</v>
      </c>
      <c r="F44" s="23">
        <v>7.1</v>
      </c>
      <c r="G44" s="23">
        <v>8.6</v>
      </c>
      <c r="H44" s="23">
        <v>14.5</v>
      </c>
      <c r="I44" s="23">
        <v>24</v>
      </c>
      <c r="J44" s="23">
        <v>39.5</v>
      </c>
      <c r="K44" s="23">
        <v>46.1</v>
      </c>
      <c r="L44" s="23">
        <v>80</v>
      </c>
      <c r="M44" s="23">
        <v>45</v>
      </c>
      <c r="N44" s="23">
        <v>74.90000000000002</v>
      </c>
      <c r="O44" s="23">
        <v>135.19999999999999</v>
      </c>
      <c r="P44" s="23">
        <v>172.3</v>
      </c>
      <c r="Q44" s="23">
        <v>124.59999999999998</v>
      </c>
      <c r="R44" s="23">
        <v>127.30000000000001</v>
      </c>
      <c r="S44" s="23">
        <v>90.7</v>
      </c>
      <c r="T44" s="23">
        <v>68.09999999999998</v>
      </c>
      <c r="U44" s="23">
        <v>65.099999999999994</v>
      </c>
      <c r="V44" s="23">
        <v>83.6</v>
      </c>
      <c r="W44" s="23">
        <v>113.3</v>
      </c>
      <c r="X44" s="23">
        <v>59.5</v>
      </c>
      <c r="Y44" s="23">
        <v>99.7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40.200000000000003</v>
      </c>
      <c r="E45" s="23">
        <v>52.8</v>
      </c>
      <c r="F45" s="23">
        <v>48.4</v>
      </c>
      <c r="G45" s="23">
        <v>59.2</v>
      </c>
      <c r="H45" s="23">
        <v>63.9</v>
      </c>
      <c r="I45" s="23">
        <v>82.8</v>
      </c>
      <c r="J45" s="23">
        <v>85.9</v>
      </c>
      <c r="K45" s="23">
        <v>100.2</v>
      </c>
      <c r="L45" s="23">
        <v>126.50000000000001</v>
      </c>
      <c r="M45" s="23">
        <v>67.09999999999998</v>
      </c>
      <c r="N45" s="23">
        <v>93.8</v>
      </c>
      <c r="O45" s="23">
        <v>117</v>
      </c>
      <c r="P45" s="23">
        <v>77.3</v>
      </c>
      <c r="Q45" s="23">
        <v>88.2</v>
      </c>
      <c r="R45" s="23">
        <v>95.7</v>
      </c>
      <c r="S45" s="23">
        <v>106.1</v>
      </c>
      <c r="T45" s="23">
        <v>116.4</v>
      </c>
      <c r="U45" s="23">
        <v>109.5</v>
      </c>
      <c r="V45" s="23">
        <v>124.1</v>
      </c>
      <c r="W45" s="23">
        <v>115.1</v>
      </c>
      <c r="X45" s="23">
        <v>131.5</v>
      </c>
      <c r="Y45" s="23">
        <v>155.19999999999999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3.9</v>
      </c>
      <c r="E46" s="23">
        <v>5</v>
      </c>
      <c r="F46" s="23">
        <v>5.5</v>
      </c>
      <c r="G46" s="23">
        <v>5.0000000000000009</v>
      </c>
      <c r="H46" s="23">
        <v>4.8</v>
      </c>
      <c r="I46" s="23">
        <v>3.9</v>
      </c>
      <c r="J46" s="23">
        <v>4.9999999999999991</v>
      </c>
      <c r="K46" s="23">
        <v>6.4999999999999991</v>
      </c>
      <c r="L46" s="23">
        <v>9.6</v>
      </c>
      <c r="M46" s="23">
        <v>8.4</v>
      </c>
      <c r="N46" s="23">
        <v>10.3</v>
      </c>
      <c r="O46" s="23">
        <v>11.9</v>
      </c>
      <c r="P46" s="23">
        <v>11.1</v>
      </c>
      <c r="Q46" s="23">
        <v>10.5</v>
      </c>
      <c r="R46" s="23">
        <v>10.4</v>
      </c>
      <c r="S46" s="23">
        <v>11</v>
      </c>
      <c r="T46" s="23">
        <v>14.8</v>
      </c>
      <c r="U46" s="23">
        <v>13.2</v>
      </c>
      <c r="V46" s="23">
        <v>12.5</v>
      </c>
      <c r="W46" s="23">
        <v>14.2</v>
      </c>
      <c r="X46" s="23">
        <v>20.8</v>
      </c>
      <c r="Y46" s="23">
        <v>19.700000000000003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83.5</v>
      </c>
      <c r="E47" s="23">
        <v>103</v>
      </c>
      <c r="F47" s="23">
        <v>115.9</v>
      </c>
      <c r="G47" s="23">
        <v>148.5</v>
      </c>
      <c r="H47" s="23">
        <v>162.60000000000002</v>
      </c>
      <c r="I47" s="23">
        <v>195.5</v>
      </c>
      <c r="J47" s="23">
        <v>261.39999999999998</v>
      </c>
      <c r="K47" s="23">
        <v>316.39999999999998</v>
      </c>
      <c r="L47" s="23">
        <v>235.5</v>
      </c>
      <c r="M47" s="23">
        <v>139.9</v>
      </c>
      <c r="N47" s="23">
        <v>166.9</v>
      </c>
      <c r="O47" s="23">
        <v>207.9</v>
      </c>
      <c r="P47" s="23">
        <v>214.3</v>
      </c>
      <c r="Q47" s="23">
        <v>220.4</v>
      </c>
      <c r="R47" s="23">
        <v>234.4</v>
      </c>
      <c r="S47" s="23">
        <v>239.9</v>
      </c>
      <c r="T47" s="23">
        <v>271.2</v>
      </c>
      <c r="U47" s="23">
        <v>309.10000000000002</v>
      </c>
      <c r="V47" s="23">
        <v>316.3</v>
      </c>
      <c r="W47" s="23">
        <v>325.89999999999998</v>
      </c>
      <c r="X47" s="23">
        <v>300.10000000000002</v>
      </c>
      <c r="Y47" s="23">
        <v>360.6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75.5</v>
      </c>
      <c r="E48" s="23">
        <v>91.6</v>
      </c>
      <c r="F48" s="23">
        <v>91.9</v>
      </c>
      <c r="G48" s="23">
        <v>119.3</v>
      </c>
      <c r="H48" s="23">
        <v>130.5</v>
      </c>
      <c r="I48" s="23">
        <v>160</v>
      </c>
      <c r="J48" s="23">
        <v>214.1</v>
      </c>
      <c r="K48" s="23">
        <v>263.8</v>
      </c>
      <c r="L48" s="23">
        <v>276</v>
      </c>
      <c r="M48" s="23">
        <v>213.6</v>
      </c>
      <c r="N48" s="23">
        <v>231.8</v>
      </c>
      <c r="O48" s="23">
        <v>272</v>
      </c>
      <c r="P48" s="23">
        <v>290.89999999999998</v>
      </c>
      <c r="Q48" s="23">
        <v>309.5</v>
      </c>
      <c r="R48" s="23">
        <v>331.6</v>
      </c>
      <c r="S48" s="23">
        <v>346.5</v>
      </c>
      <c r="T48" s="23">
        <v>382</v>
      </c>
      <c r="U48" s="23">
        <v>422.8</v>
      </c>
      <c r="V48" s="23">
        <v>439.4</v>
      </c>
      <c r="W48" s="23">
        <v>461</v>
      </c>
      <c r="X48" s="23">
        <v>436</v>
      </c>
      <c r="Y48" s="23">
        <v>529.6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35.4</v>
      </c>
      <c r="E49" s="23">
        <v>31.2</v>
      </c>
      <c r="F49" s="23">
        <v>38.1</v>
      </c>
      <c r="G49" s="23">
        <v>42.1</v>
      </c>
      <c r="H49" s="23">
        <v>61</v>
      </c>
      <c r="I49" s="23">
        <v>81</v>
      </c>
      <c r="J49" s="23">
        <v>101.8</v>
      </c>
      <c r="K49" s="23">
        <v>101</v>
      </c>
      <c r="L49" s="23">
        <v>134.99999999999997</v>
      </c>
      <c r="M49" s="23">
        <v>94.4</v>
      </c>
      <c r="N49" s="23">
        <v>131.4</v>
      </c>
      <c r="O49" s="23">
        <v>207.3</v>
      </c>
      <c r="P49" s="23">
        <v>158.39999999999998</v>
      </c>
      <c r="Q49" s="23">
        <v>174.2</v>
      </c>
      <c r="R49" s="23">
        <v>189.5</v>
      </c>
      <c r="S49" s="23">
        <v>158.30000000000001</v>
      </c>
      <c r="T49" s="23">
        <v>176.9</v>
      </c>
      <c r="U49" s="23">
        <v>193.4</v>
      </c>
      <c r="V49" s="23">
        <v>232.7</v>
      </c>
      <c r="W49" s="23">
        <v>262</v>
      </c>
      <c r="X49" s="23">
        <v>248.1</v>
      </c>
      <c r="Y49" s="23">
        <v>241.3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27.4</v>
      </c>
      <c r="E50" s="23">
        <v>17.899999999999999</v>
      </c>
      <c r="F50" s="23">
        <v>22.6</v>
      </c>
      <c r="G50" s="23">
        <v>27.8</v>
      </c>
      <c r="H50" s="23">
        <v>38.9</v>
      </c>
      <c r="I50" s="23">
        <v>71.400000000000006</v>
      </c>
      <c r="J50" s="23">
        <v>84.6</v>
      </c>
      <c r="K50" s="23">
        <v>113.6</v>
      </c>
      <c r="L50" s="23">
        <v>121.9</v>
      </c>
      <c r="M50" s="23">
        <v>96</v>
      </c>
      <c r="N50" s="23">
        <v>112.3</v>
      </c>
      <c r="O50" s="23">
        <v>140.4</v>
      </c>
      <c r="P50" s="23">
        <v>153.69999999999999</v>
      </c>
      <c r="Q50" s="23">
        <v>162.19999999999999</v>
      </c>
      <c r="R50" s="23">
        <v>163.1</v>
      </c>
      <c r="S50" s="23">
        <v>163.19999999999999</v>
      </c>
      <c r="T50" s="23">
        <v>192.8</v>
      </c>
      <c r="U50" s="23">
        <v>200.8</v>
      </c>
      <c r="V50" s="23">
        <v>201.8</v>
      </c>
      <c r="W50" s="23">
        <v>206.6</v>
      </c>
      <c r="X50" s="23">
        <v>215.4</v>
      </c>
      <c r="Y50" s="23">
        <v>220.1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22.7</v>
      </c>
      <c r="E51" s="23">
        <v>31.3</v>
      </c>
      <c r="F51" s="23">
        <v>38.79999999999999</v>
      </c>
      <c r="G51" s="23">
        <v>43.8</v>
      </c>
      <c r="H51" s="23">
        <v>51</v>
      </c>
      <c r="I51" s="23">
        <v>65.099999999999994</v>
      </c>
      <c r="J51" s="23">
        <v>75.900000000000006</v>
      </c>
      <c r="K51" s="23">
        <v>103.1</v>
      </c>
      <c r="L51" s="23">
        <v>97.4</v>
      </c>
      <c r="M51" s="23">
        <v>57.1</v>
      </c>
      <c r="N51" s="23">
        <v>64.3</v>
      </c>
      <c r="O51" s="23">
        <v>95.2</v>
      </c>
      <c r="P51" s="23">
        <v>98.2</v>
      </c>
      <c r="Q51" s="23">
        <v>104.4</v>
      </c>
      <c r="R51" s="23">
        <v>117.1</v>
      </c>
      <c r="S51" s="23">
        <v>122</v>
      </c>
      <c r="T51" s="23">
        <v>124.4</v>
      </c>
      <c r="U51" s="23">
        <v>139.39999999999998</v>
      </c>
      <c r="V51" s="23">
        <v>150.6</v>
      </c>
      <c r="W51" s="23">
        <v>169</v>
      </c>
      <c r="X51" s="23">
        <v>146.69999999999999</v>
      </c>
      <c r="Y51" s="23">
        <v>168.9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25.2</v>
      </c>
      <c r="E52" s="23">
        <v>28.2</v>
      </c>
      <c r="F52" s="23">
        <v>33.299999999999997</v>
      </c>
      <c r="G52" s="23">
        <v>36.200000000000003</v>
      </c>
      <c r="H52" s="23">
        <v>47.3</v>
      </c>
      <c r="I52" s="23">
        <v>49</v>
      </c>
      <c r="J52" s="23">
        <v>53.5</v>
      </c>
      <c r="K52" s="23">
        <v>72.400000000000006</v>
      </c>
      <c r="L52" s="23">
        <v>91.6</v>
      </c>
      <c r="M52" s="23">
        <v>59.999999999999993</v>
      </c>
      <c r="N52" s="23">
        <v>102.8</v>
      </c>
      <c r="O52" s="23">
        <v>108.8</v>
      </c>
      <c r="P52" s="23">
        <v>108.5</v>
      </c>
      <c r="Q52" s="23">
        <v>111.8</v>
      </c>
      <c r="R52" s="23">
        <v>112</v>
      </c>
      <c r="S52" s="23">
        <v>122.2</v>
      </c>
      <c r="T52" s="23">
        <v>123.5</v>
      </c>
      <c r="U52" s="23">
        <v>116.4</v>
      </c>
      <c r="V52" s="23">
        <v>134</v>
      </c>
      <c r="W52" s="23">
        <v>129.19999999999999</v>
      </c>
      <c r="X52" s="23">
        <v>132.69999999999999</v>
      </c>
      <c r="Y52" s="23">
        <v>138.19999999999999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142.80000000000075</v>
      </c>
      <c r="E53" s="23">
        <v>174.3999999999987</v>
      </c>
      <c r="F53" s="23">
        <v>205.79999999999984</v>
      </c>
      <c r="G53" s="23">
        <v>220.99999999999946</v>
      </c>
      <c r="H53" s="23">
        <v>212.00000000000088</v>
      </c>
      <c r="I53" s="23">
        <v>217.60000000000051</v>
      </c>
      <c r="J53" s="23">
        <v>230.7999999999987</v>
      </c>
      <c r="K53" s="23">
        <v>251.70000000000198</v>
      </c>
      <c r="L53" s="23">
        <v>255.5000000000008</v>
      </c>
      <c r="M53" s="23">
        <v>202.70000000000206</v>
      </c>
      <c r="N53" s="23">
        <v>224.39999999999992</v>
      </c>
      <c r="O53" s="23">
        <v>251.40000000000109</v>
      </c>
      <c r="P53" s="23">
        <v>279.70000000000158</v>
      </c>
      <c r="Q53" s="23">
        <v>296.39999999999753</v>
      </c>
      <c r="R53" s="23">
        <v>321.69999999999919</v>
      </c>
      <c r="S53" s="23">
        <v>341.20000000000209</v>
      </c>
      <c r="T53" s="23">
        <v>350.2999999999974</v>
      </c>
      <c r="U53" s="23">
        <v>386.20000000000027</v>
      </c>
      <c r="V53" s="23">
        <v>454.69999999999766</v>
      </c>
      <c r="W53" s="23">
        <v>513.29999999999882</v>
      </c>
      <c r="X53" s="23">
        <v>442.40000000000146</v>
      </c>
      <c r="Y53" s="23">
        <v>498.39999999999759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954.70000000000073</v>
      </c>
      <c r="E54" s="30">
        <f t="shared" ref="E54:S54" si="4">SUM(E41:E53)</f>
        <v>1121.2999999999988</v>
      </c>
      <c r="F54" s="30">
        <f t="shared" si="4"/>
        <v>1225.9999999999998</v>
      </c>
      <c r="G54" s="30">
        <f t="shared" si="4"/>
        <v>1376.9999999999995</v>
      </c>
      <c r="H54" s="30">
        <f t="shared" si="4"/>
        <v>1458.8000000000009</v>
      </c>
      <c r="I54" s="30">
        <f t="shared" si="4"/>
        <v>1663.7000000000005</v>
      </c>
      <c r="J54" s="30">
        <f t="shared" si="4"/>
        <v>1963.0999999999985</v>
      </c>
      <c r="K54" s="30">
        <f t="shared" si="4"/>
        <v>2274.9000000000019</v>
      </c>
      <c r="L54" s="30">
        <f t="shared" si="4"/>
        <v>2284.2000000000007</v>
      </c>
      <c r="M54" s="30">
        <f t="shared" si="4"/>
        <v>1736.9000000000019</v>
      </c>
      <c r="N54" s="30">
        <f t="shared" si="4"/>
        <v>2026.6999999999998</v>
      </c>
      <c r="O54" s="30">
        <f t="shared" si="4"/>
        <v>2436.2000000000016</v>
      </c>
      <c r="P54" s="30">
        <f t="shared" si="4"/>
        <v>2509.8000000000015</v>
      </c>
      <c r="Q54" s="30">
        <f t="shared" si="4"/>
        <v>2597.2999999999975</v>
      </c>
      <c r="R54" s="30">
        <f t="shared" si="4"/>
        <v>2843.2999999999993</v>
      </c>
      <c r="S54" s="30">
        <f t="shared" si="4"/>
        <v>2869.1000000000017</v>
      </c>
      <c r="T54" s="30">
        <f t="shared" ref="T54:Y54" si="5">SUM(T41:T53)</f>
        <v>3019.9999999999977</v>
      </c>
      <c r="U54" s="30">
        <f t="shared" si="5"/>
        <v>3244.1000000000008</v>
      </c>
      <c r="V54" s="30">
        <f t="shared" si="5"/>
        <v>3493.5999999999972</v>
      </c>
      <c r="W54" s="30">
        <f t="shared" si="5"/>
        <v>3667.1999999999985</v>
      </c>
      <c r="X54" s="30">
        <f t="shared" si="5"/>
        <v>3524.3000000000011</v>
      </c>
      <c r="Y54" s="30">
        <f t="shared" si="5"/>
        <v>4133.4999999999982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176.2</v>
      </c>
      <c r="E56" s="19">
        <v>195.3</v>
      </c>
      <c r="F56" s="19">
        <v>193.9</v>
      </c>
      <c r="G56" s="19">
        <v>206.8</v>
      </c>
      <c r="H56" s="19">
        <v>193.3</v>
      </c>
      <c r="I56" s="19">
        <v>220</v>
      </c>
      <c r="J56" s="19">
        <v>253.4</v>
      </c>
      <c r="K56" s="19">
        <v>283.60000000000002</v>
      </c>
      <c r="L56" s="19">
        <v>300.2</v>
      </c>
      <c r="M56" s="19">
        <v>307.39999999999992</v>
      </c>
      <c r="N56" s="19">
        <v>269.2</v>
      </c>
      <c r="O56" s="19">
        <v>287.10000000000008</v>
      </c>
      <c r="P56" s="19">
        <v>309.39999999999998</v>
      </c>
      <c r="Q56" s="19">
        <v>335.1</v>
      </c>
      <c r="R56" s="19">
        <v>397.5</v>
      </c>
      <c r="S56" s="19">
        <v>380.2</v>
      </c>
      <c r="T56" s="19">
        <v>386</v>
      </c>
      <c r="U56" s="19">
        <v>397.4</v>
      </c>
      <c r="V56" s="19">
        <v>429.5</v>
      </c>
      <c r="W56" s="19">
        <v>455.2</v>
      </c>
      <c r="X56" s="19">
        <v>457.8</v>
      </c>
      <c r="Y56" s="19">
        <v>476.1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140.19999999999999</v>
      </c>
      <c r="E57" s="23">
        <v>169.4</v>
      </c>
      <c r="F57" s="23">
        <v>181.1</v>
      </c>
      <c r="G57" s="23">
        <v>182.4</v>
      </c>
      <c r="H57" s="23">
        <v>182</v>
      </c>
      <c r="I57" s="23">
        <v>169.8</v>
      </c>
      <c r="J57" s="23">
        <v>180</v>
      </c>
      <c r="K57" s="23">
        <v>180.9</v>
      </c>
      <c r="L57" s="23">
        <v>169.6</v>
      </c>
      <c r="M57" s="23">
        <v>130.19999999999999</v>
      </c>
      <c r="N57" s="23">
        <v>134.50000000000003</v>
      </c>
      <c r="O57" s="23">
        <v>145.30000000000001</v>
      </c>
      <c r="P57" s="23">
        <v>157.19999999999999</v>
      </c>
      <c r="Q57" s="23">
        <v>154.50000000000003</v>
      </c>
      <c r="R57" s="23">
        <v>170</v>
      </c>
      <c r="S57" s="23">
        <v>172.8</v>
      </c>
      <c r="T57" s="23">
        <v>180</v>
      </c>
      <c r="U57" s="23">
        <v>191.7</v>
      </c>
      <c r="V57" s="23">
        <v>188.5</v>
      </c>
      <c r="W57" s="23">
        <v>183.7</v>
      </c>
      <c r="X57" s="23">
        <v>181.8</v>
      </c>
      <c r="Y57" s="23">
        <v>174.3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129.80000000000001</v>
      </c>
      <c r="E58" s="23">
        <v>158.1</v>
      </c>
      <c r="F58" s="23">
        <v>177.8</v>
      </c>
      <c r="G58" s="23">
        <v>207.2</v>
      </c>
      <c r="H58" s="23">
        <v>227.9</v>
      </c>
      <c r="I58" s="23">
        <v>245.5</v>
      </c>
      <c r="J58" s="23">
        <v>279</v>
      </c>
      <c r="K58" s="23">
        <v>317.60000000000002</v>
      </c>
      <c r="L58" s="23">
        <v>270.5</v>
      </c>
      <c r="M58" s="23">
        <v>226.3</v>
      </c>
      <c r="N58" s="23">
        <v>286.50000000000006</v>
      </c>
      <c r="O58" s="23">
        <v>332.3</v>
      </c>
      <c r="P58" s="23">
        <v>350.6</v>
      </c>
      <c r="Q58" s="23">
        <v>378.7</v>
      </c>
      <c r="R58" s="23">
        <v>442.6</v>
      </c>
      <c r="S58" s="23">
        <v>481.2</v>
      </c>
      <c r="T58" s="23">
        <v>493.5</v>
      </c>
      <c r="U58" s="23">
        <v>542.29999999999995</v>
      </c>
      <c r="V58" s="23">
        <v>566.6</v>
      </c>
      <c r="W58" s="23">
        <v>575.70000000000005</v>
      </c>
      <c r="X58" s="23">
        <v>631.70000000000016</v>
      </c>
      <c r="Y58" s="23">
        <v>901.7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19.2</v>
      </c>
      <c r="E59" s="23">
        <v>21.9</v>
      </c>
      <c r="F59" s="23">
        <v>26.3</v>
      </c>
      <c r="G59" s="23">
        <v>26.2</v>
      </c>
      <c r="H59" s="23">
        <v>23.6</v>
      </c>
      <c r="I59" s="23">
        <v>26.1</v>
      </c>
      <c r="J59" s="23">
        <v>35.299999999999997</v>
      </c>
      <c r="K59" s="23">
        <v>45.6</v>
      </c>
      <c r="L59" s="23">
        <v>46</v>
      </c>
      <c r="M59" s="23">
        <v>32.9</v>
      </c>
      <c r="N59" s="23">
        <v>58.6</v>
      </c>
      <c r="O59" s="23">
        <v>56.3</v>
      </c>
      <c r="P59" s="23">
        <v>52</v>
      </c>
      <c r="Q59" s="23">
        <v>50.2</v>
      </c>
      <c r="R59" s="23">
        <v>52.9</v>
      </c>
      <c r="S59" s="23">
        <v>56.5</v>
      </c>
      <c r="T59" s="23">
        <v>57.5</v>
      </c>
      <c r="U59" s="23">
        <v>69.499999999999986</v>
      </c>
      <c r="V59" s="23">
        <v>76.199999999999989</v>
      </c>
      <c r="W59" s="23">
        <v>61.3</v>
      </c>
      <c r="X59" s="23">
        <v>44.8</v>
      </c>
      <c r="Y59" s="23">
        <v>70.7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26.499999999999972</v>
      </c>
      <c r="E60" s="23">
        <v>33.500000000000007</v>
      </c>
      <c r="F60" s="23">
        <v>39.499999999999972</v>
      </c>
      <c r="G60" s="23">
        <v>42.900000000000027</v>
      </c>
      <c r="H60" s="23">
        <v>45.499999999999993</v>
      </c>
      <c r="I60" s="23">
        <v>52.000000000000036</v>
      </c>
      <c r="J60" s="23">
        <v>62.90000000000002</v>
      </c>
      <c r="K60" s="23">
        <v>72.400000000000006</v>
      </c>
      <c r="L60" s="23">
        <v>68.900000000000034</v>
      </c>
      <c r="M60" s="23">
        <v>55.900000000000034</v>
      </c>
      <c r="N60" s="23">
        <v>64.999999999999957</v>
      </c>
      <c r="O60" s="23">
        <v>68.09999999999998</v>
      </c>
      <c r="P60" s="23">
        <v>76.199999999999989</v>
      </c>
      <c r="Q60" s="23">
        <v>76.599999999999966</v>
      </c>
      <c r="R60" s="23">
        <v>77.5</v>
      </c>
      <c r="S60" s="23">
        <v>77.300000000000011</v>
      </c>
      <c r="T60" s="23">
        <v>82.599999999999923</v>
      </c>
      <c r="U60" s="23">
        <v>87.300000000000111</v>
      </c>
      <c r="V60" s="23">
        <v>83.1</v>
      </c>
      <c r="W60" s="23">
        <v>81.699999999999903</v>
      </c>
      <c r="X60" s="23">
        <v>74.999999999999829</v>
      </c>
      <c r="Y60" s="23">
        <v>79.000000000000185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6.2</v>
      </c>
      <c r="E61" s="23">
        <v>7.7</v>
      </c>
      <c r="F61" s="23">
        <v>7.1</v>
      </c>
      <c r="G61" s="23">
        <v>8.6</v>
      </c>
      <c r="H61" s="23">
        <v>14.5</v>
      </c>
      <c r="I61" s="23">
        <v>24</v>
      </c>
      <c r="J61" s="23">
        <v>39.5</v>
      </c>
      <c r="K61" s="23">
        <v>46.1</v>
      </c>
      <c r="L61" s="23">
        <v>80</v>
      </c>
      <c r="M61" s="23">
        <v>45</v>
      </c>
      <c r="N61" s="23">
        <v>74.90000000000002</v>
      </c>
      <c r="O61" s="23">
        <v>135.19999999999999</v>
      </c>
      <c r="P61" s="23">
        <v>172.3</v>
      </c>
      <c r="Q61" s="23">
        <v>124.59999999999998</v>
      </c>
      <c r="R61" s="23">
        <v>127.30000000000001</v>
      </c>
      <c r="S61" s="23">
        <v>90.7</v>
      </c>
      <c r="T61" s="23">
        <v>68.09999999999998</v>
      </c>
      <c r="U61" s="23">
        <v>65.099999999999994</v>
      </c>
      <c r="V61" s="23">
        <v>83.6</v>
      </c>
      <c r="W61" s="23">
        <v>113.3</v>
      </c>
      <c r="X61" s="23">
        <v>59.5</v>
      </c>
      <c r="Y61" s="23">
        <v>99.7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40.200000000000003</v>
      </c>
      <c r="E62" s="23">
        <v>52.8</v>
      </c>
      <c r="F62" s="23">
        <v>48.4</v>
      </c>
      <c r="G62" s="23">
        <v>59.2</v>
      </c>
      <c r="H62" s="23">
        <v>63.9</v>
      </c>
      <c r="I62" s="23">
        <v>82.8</v>
      </c>
      <c r="J62" s="23">
        <v>85.9</v>
      </c>
      <c r="K62" s="23">
        <v>100.2</v>
      </c>
      <c r="L62" s="23">
        <v>126.50000000000001</v>
      </c>
      <c r="M62" s="23">
        <v>67.09999999999998</v>
      </c>
      <c r="N62" s="23">
        <v>93.8</v>
      </c>
      <c r="O62" s="23">
        <v>117</v>
      </c>
      <c r="P62" s="23">
        <v>77.3</v>
      </c>
      <c r="Q62" s="23">
        <v>88.2</v>
      </c>
      <c r="R62" s="23">
        <v>95.7</v>
      </c>
      <c r="S62" s="23">
        <v>106.1</v>
      </c>
      <c r="T62" s="23">
        <v>116.4</v>
      </c>
      <c r="U62" s="23">
        <v>109.5</v>
      </c>
      <c r="V62" s="23">
        <v>124.1</v>
      </c>
      <c r="W62" s="23">
        <v>115.1</v>
      </c>
      <c r="X62" s="23">
        <v>131.5</v>
      </c>
      <c r="Y62" s="23">
        <v>155.19999999999999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3.9</v>
      </c>
      <c r="E63" s="23">
        <v>5</v>
      </c>
      <c r="F63" s="23">
        <v>5.5</v>
      </c>
      <c r="G63" s="23">
        <v>5.0000000000000009</v>
      </c>
      <c r="H63" s="23">
        <v>4.8</v>
      </c>
      <c r="I63" s="23">
        <v>3.9</v>
      </c>
      <c r="J63" s="23">
        <v>4.9999999999999991</v>
      </c>
      <c r="K63" s="23">
        <v>6.4999999999999991</v>
      </c>
      <c r="L63" s="23">
        <v>9.6</v>
      </c>
      <c r="M63" s="23">
        <v>8.4</v>
      </c>
      <c r="N63" s="23">
        <v>10.3</v>
      </c>
      <c r="O63" s="23">
        <v>11.9</v>
      </c>
      <c r="P63" s="23">
        <v>11.1</v>
      </c>
      <c r="Q63" s="23">
        <v>10.5</v>
      </c>
      <c r="R63" s="23">
        <v>10.4</v>
      </c>
      <c r="S63" s="23">
        <v>11</v>
      </c>
      <c r="T63" s="23">
        <v>14.8</v>
      </c>
      <c r="U63" s="23">
        <v>13.2</v>
      </c>
      <c r="V63" s="23">
        <v>12.5</v>
      </c>
      <c r="W63" s="23">
        <v>14.2</v>
      </c>
      <c r="X63" s="23">
        <v>20.8</v>
      </c>
      <c r="Y63" s="23">
        <v>19.700000000000003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26.8</v>
      </c>
      <c r="E64" s="23">
        <v>35.4</v>
      </c>
      <c r="F64" s="23">
        <v>41.1</v>
      </c>
      <c r="G64" s="23">
        <v>50.7</v>
      </c>
      <c r="H64" s="23">
        <v>53.7</v>
      </c>
      <c r="I64" s="23">
        <v>59.8</v>
      </c>
      <c r="J64" s="23">
        <v>82.1</v>
      </c>
      <c r="K64" s="23">
        <v>87.1</v>
      </c>
      <c r="L64" s="23">
        <v>73.900000000000006</v>
      </c>
      <c r="M64" s="23">
        <v>53.899999999999991</v>
      </c>
      <c r="N64" s="23">
        <v>70.099999999999994</v>
      </c>
      <c r="O64" s="23">
        <v>88.7</v>
      </c>
      <c r="P64" s="23">
        <v>94.1</v>
      </c>
      <c r="Q64" s="23">
        <v>95.6</v>
      </c>
      <c r="R64" s="23">
        <v>102</v>
      </c>
      <c r="S64" s="23">
        <v>98.9</v>
      </c>
      <c r="T64" s="23">
        <v>109.1</v>
      </c>
      <c r="U64" s="23">
        <v>120.4</v>
      </c>
      <c r="V64" s="23">
        <v>134</v>
      </c>
      <c r="W64" s="23">
        <v>138.1</v>
      </c>
      <c r="X64" s="23">
        <v>139</v>
      </c>
      <c r="Y64" s="23">
        <v>169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56.7</v>
      </c>
      <c r="E65" s="23">
        <v>67.600000000000009</v>
      </c>
      <c r="F65" s="23">
        <v>74.8</v>
      </c>
      <c r="G65" s="23">
        <v>97.8</v>
      </c>
      <c r="H65" s="23">
        <v>108.9</v>
      </c>
      <c r="I65" s="23">
        <v>135.69999999999999</v>
      </c>
      <c r="J65" s="23">
        <v>179.3</v>
      </c>
      <c r="K65" s="23">
        <v>229.29999999999993</v>
      </c>
      <c r="L65" s="23">
        <v>161.6</v>
      </c>
      <c r="M65" s="23">
        <v>86</v>
      </c>
      <c r="N65" s="23">
        <v>96.800000000000011</v>
      </c>
      <c r="O65" s="23">
        <v>119.20000000000002</v>
      </c>
      <c r="P65" s="23">
        <v>120.2</v>
      </c>
      <c r="Q65" s="23">
        <v>124.8</v>
      </c>
      <c r="R65" s="23">
        <v>132.4</v>
      </c>
      <c r="S65" s="23">
        <v>141</v>
      </c>
      <c r="T65" s="23">
        <v>162.10000000000002</v>
      </c>
      <c r="U65" s="23">
        <v>188.70000000000005</v>
      </c>
      <c r="V65" s="23">
        <v>182.3</v>
      </c>
      <c r="W65" s="23">
        <v>187.8</v>
      </c>
      <c r="X65" s="23">
        <v>161.10000000000005</v>
      </c>
      <c r="Y65" s="23">
        <v>191.60000000000002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0.7</v>
      </c>
      <c r="E66" s="23">
        <v>1.4</v>
      </c>
      <c r="F66" s="23">
        <v>1.9</v>
      </c>
      <c r="G66" s="23">
        <v>1.9</v>
      </c>
      <c r="H66" s="23">
        <v>3</v>
      </c>
      <c r="I66" s="23">
        <v>2.2999999999999998</v>
      </c>
      <c r="J66" s="23">
        <v>4.2</v>
      </c>
      <c r="K66" s="23">
        <v>7.2000000000000011</v>
      </c>
      <c r="L66" s="23">
        <v>13.8</v>
      </c>
      <c r="M66" s="23">
        <v>6.2</v>
      </c>
      <c r="N66" s="23">
        <v>9.1999999999999993</v>
      </c>
      <c r="O66" s="23">
        <v>9.9</v>
      </c>
      <c r="P66" s="23">
        <v>7.8</v>
      </c>
      <c r="Q66" s="23">
        <v>8.6</v>
      </c>
      <c r="R66" s="23">
        <v>10.8</v>
      </c>
      <c r="S66" s="23">
        <v>12</v>
      </c>
      <c r="T66" s="23">
        <v>16.399999999999999</v>
      </c>
      <c r="U66" s="23">
        <v>29.1</v>
      </c>
      <c r="V66" s="23">
        <v>31.8</v>
      </c>
      <c r="W66" s="23">
        <v>31.4</v>
      </c>
      <c r="X66" s="23">
        <v>22.6</v>
      </c>
      <c r="Y66" s="23">
        <v>30.7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74.8</v>
      </c>
      <c r="E67" s="23">
        <v>90.2</v>
      </c>
      <c r="F67" s="23">
        <v>90</v>
      </c>
      <c r="G67" s="23">
        <v>117.4</v>
      </c>
      <c r="H67" s="23">
        <v>127.5</v>
      </c>
      <c r="I67" s="23">
        <v>157.69999999999999</v>
      </c>
      <c r="J67" s="23">
        <v>209.9</v>
      </c>
      <c r="K67" s="23">
        <v>256.60000000000002</v>
      </c>
      <c r="L67" s="23">
        <v>262.2</v>
      </c>
      <c r="M67" s="23">
        <v>207.4</v>
      </c>
      <c r="N67" s="23">
        <v>222.60000000000002</v>
      </c>
      <c r="O67" s="23">
        <v>262.10000000000002</v>
      </c>
      <c r="P67" s="23">
        <v>283.09999999999991</v>
      </c>
      <c r="Q67" s="23">
        <v>300.89999999999998</v>
      </c>
      <c r="R67" s="23">
        <v>320.8</v>
      </c>
      <c r="S67" s="23">
        <v>334.5</v>
      </c>
      <c r="T67" s="23">
        <v>365.60000000000008</v>
      </c>
      <c r="U67" s="23">
        <v>393.7</v>
      </c>
      <c r="V67" s="23">
        <v>407.6</v>
      </c>
      <c r="W67" s="23">
        <v>429.6</v>
      </c>
      <c r="X67" s="23">
        <v>413.4</v>
      </c>
      <c r="Y67" s="23">
        <v>498.9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35.4</v>
      </c>
      <c r="E68" s="23">
        <v>31.2</v>
      </c>
      <c r="F68" s="23">
        <v>38.1</v>
      </c>
      <c r="G68" s="23">
        <v>42.1</v>
      </c>
      <c r="H68" s="23">
        <v>61</v>
      </c>
      <c r="I68" s="23">
        <v>81</v>
      </c>
      <c r="J68" s="23">
        <v>101.8</v>
      </c>
      <c r="K68" s="23">
        <v>101</v>
      </c>
      <c r="L68" s="23">
        <v>134.99999999999997</v>
      </c>
      <c r="M68" s="23">
        <v>94.4</v>
      </c>
      <c r="N68" s="23">
        <v>131.4</v>
      </c>
      <c r="O68" s="23">
        <v>207.3</v>
      </c>
      <c r="P68" s="23">
        <v>158.39999999999998</v>
      </c>
      <c r="Q68" s="23">
        <v>174.2</v>
      </c>
      <c r="R68" s="23">
        <v>189.5</v>
      </c>
      <c r="S68" s="23">
        <v>158.30000000000001</v>
      </c>
      <c r="T68" s="23">
        <v>176.9</v>
      </c>
      <c r="U68" s="23">
        <v>193.4</v>
      </c>
      <c r="V68" s="23">
        <v>232.7</v>
      </c>
      <c r="W68" s="23">
        <v>262</v>
      </c>
      <c r="X68" s="23">
        <v>248.1</v>
      </c>
      <c r="Y68" s="23">
        <v>241.3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27.4</v>
      </c>
      <c r="E69" s="23">
        <v>17.899999999999999</v>
      </c>
      <c r="F69" s="23">
        <v>22.6</v>
      </c>
      <c r="G69" s="23">
        <v>27.8</v>
      </c>
      <c r="H69" s="23">
        <v>38.9</v>
      </c>
      <c r="I69" s="23">
        <v>71.400000000000006</v>
      </c>
      <c r="J69" s="23">
        <v>84.6</v>
      </c>
      <c r="K69" s="23">
        <v>113.6</v>
      </c>
      <c r="L69" s="23">
        <v>121.9</v>
      </c>
      <c r="M69" s="23">
        <v>96</v>
      </c>
      <c r="N69" s="23">
        <v>112.3</v>
      </c>
      <c r="O69" s="23">
        <v>140.4</v>
      </c>
      <c r="P69" s="23">
        <v>153.69999999999999</v>
      </c>
      <c r="Q69" s="23">
        <v>162.19999999999999</v>
      </c>
      <c r="R69" s="23">
        <v>163.1</v>
      </c>
      <c r="S69" s="23">
        <v>163.19999999999999</v>
      </c>
      <c r="T69" s="23">
        <v>192.8</v>
      </c>
      <c r="U69" s="23">
        <v>200.8</v>
      </c>
      <c r="V69" s="23">
        <v>201.8</v>
      </c>
      <c r="W69" s="23">
        <v>206.6</v>
      </c>
      <c r="X69" s="23">
        <v>215.4</v>
      </c>
      <c r="Y69" s="23">
        <v>220.1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22.7</v>
      </c>
      <c r="E70" s="23">
        <v>31.3</v>
      </c>
      <c r="F70" s="23">
        <v>38.79999999999999</v>
      </c>
      <c r="G70" s="23">
        <v>43.8</v>
      </c>
      <c r="H70" s="23">
        <v>51</v>
      </c>
      <c r="I70" s="23">
        <v>65.099999999999994</v>
      </c>
      <c r="J70" s="23">
        <v>75.900000000000006</v>
      </c>
      <c r="K70" s="23">
        <v>103.1</v>
      </c>
      <c r="L70" s="23">
        <v>97.4</v>
      </c>
      <c r="M70" s="23">
        <v>57.1</v>
      </c>
      <c r="N70" s="23">
        <v>64.3</v>
      </c>
      <c r="O70" s="23">
        <v>95.2</v>
      </c>
      <c r="P70" s="23">
        <v>98.2</v>
      </c>
      <c r="Q70" s="23">
        <v>104.4</v>
      </c>
      <c r="R70" s="23">
        <v>117.1</v>
      </c>
      <c r="S70" s="23">
        <v>122</v>
      </c>
      <c r="T70" s="23">
        <v>124.4</v>
      </c>
      <c r="U70" s="23">
        <v>139.39999999999998</v>
      </c>
      <c r="V70" s="23">
        <v>150.6</v>
      </c>
      <c r="W70" s="23">
        <v>169</v>
      </c>
      <c r="X70" s="23">
        <v>146.69999999999999</v>
      </c>
      <c r="Y70" s="23">
        <v>168.9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24</v>
      </c>
      <c r="E71" s="23">
        <v>25.8</v>
      </c>
      <c r="F71" s="23">
        <v>30.9</v>
      </c>
      <c r="G71" s="23">
        <v>32.200000000000003</v>
      </c>
      <c r="H71" s="23">
        <v>36.4</v>
      </c>
      <c r="I71" s="23">
        <v>38.200000000000003</v>
      </c>
      <c r="J71" s="23">
        <v>45.9</v>
      </c>
      <c r="K71" s="23">
        <v>56.4</v>
      </c>
      <c r="L71" s="23">
        <v>76.599999999999994</v>
      </c>
      <c r="M71" s="23">
        <v>46.5</v>
      </c>
      <c r="N71" s="23">
        <v>84.1</v>
      </c>
      <c r="O71" s="23">
        <v>88.7</v>
      </c>
      <c r="P71" s="23">
        <v>90</v>
      </c>
      <c r="Q71" s="23">
        <v>90.9</v>
      </c>
      <c r="R71" s="23">
        <v>90.5</v>
      </c>
      <c r="S71" s="23">
        <v>98.7</v>
      </c>
      <c r="T71" s="23">
        <v>99.7</v>
      </c>
      <c r="U71" s="23">
        <v>96.2</v>
      </c>
      <c r="V71" s="23">
        <v>107.4</v>
      </c>
      <c r="W71" s="23">
        <v>97.2</v>
      </c>
      <c r="X71" s="23">
        <v>97.4</v>
      </c>
      <c r="Y71" s="23">
        <v>111.1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1.1999999999999995</v>
      </c>
      <c r="E72" s="23">
        <v>2.3999999999999981</v>
      </c>
      <c r="F72" s="23">
        <v>2.3999999999999972</v>
      </c>
      <c r="G72" s="23">
        <v>3.9999999999999978</v>
      </c>
      <c r="H72" s="23">
        <v>10.899999999999999</v>
      </c>
      <c r="I72" s="23">
        <v>10.799999999999994</v>
      </c>
      <c r="J72" s="23">
        <v>7.6000000000000068</v>
      </c>
      <c r="K72" s="23">
        <v>16.000000000000007</v>
      </c>
      <c r="L72" s="23">
        <v>15.000000000000005</v>
      </c>
      <c r="M72" s="23">
        <v>13.499999999999998</v>
      </c>
      <c r="N72" s="23">
        <v>18.700000000000006</v>
      </c>
      <c r="O72" s="23">
        <v>20.099999999999998</v>
      </c>
      <c r="P72" s="23">
        <v>18.499999999999996</v>
      </c>
      <c r="Q72" s="23">
        <v>20.900000000000009</v>
      </c>
      <c r="R72" s="23">
        <v>21.500000000000011</v>
      </c>
      <c r="S72" s="23">
        <v>23.5</v>
      </c>
      <c r="T72" s="23">
        <v>23.799999999999997</v>
      </c>
      <c r="U72" s="23">
        <v>20.199999999999992</v>
      </c>
      <c r="V72" s="23">
        <v>26.6</v>
      </c>
      <c r="W72" s="23">
        <v>31.999999999999986</v>
      </c>
      <c r="X72" s="23">
        <v>35.299999999999983</v>
      </c>
      <c r="Y72" s="23">
        <v>27.099999999999987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83.2</v>
      </c>
      <c r="E73" s="23">
        <v>102.9</v>
      </c>
      <c r="F73" s="23">
        <v>117.4</v>
      </c>
      <c r="G73" s="23">
        <v>126.9</v>
      </c>
      <c r="H73" s="23">
        <v>128.1</v>
      </c>
      <c r="I73" s="23">
        <v>141.4</v>
      </c>
      <c r="J73" s="23">
        <v>155.4</v>
      </c>
      <c r="K73" s="23">
        <v>170.4</v>
      </c>
      <c r="L73" s="23">
        <v>161.30000000000001</v>
      </c>
      <c r="M73" s="23">
        <v>126.2</v>
      </c>
      <c r="N73" s="23">
        <v>142.5</v>
      </c>
      <c r="O73" s="23">
        <v>152.4</v>
      </c>
      <c r="P73" s="23">
        <v>168.2</v>
      </c>
      <c r="Q73" s="23">
        <v>174.7</v>
      </c>
      <c r="R73" s="23">
        <v>187.6</v>
      </c>
      <c r="S73" s="23">
        <v>197.6</v>
      </c>
      <c r="T73" s="23">
        <v>216.6</v>
      </c>
      <c r="U73" s="23">
        <v>233.5</v>
      </c>
      <c r="V73" s="23">
        <v>240</v>
      </c>
      <c r="W73" s="23">
        <v>256.2</v>
      </c>
      <c r="X73" s="23">
        <v>256.39999999999998</v>
      </c>
      <c r="Y73" s="23">
        <v>295.60000000000002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59.600000000000733</v>
      </c>
      <c r="E74" s="23">
        <v>71.499999999998678</v>
      </c>
      <c r="F74" s="23">
        <v>88.399999999999849</v>
      </c>
      <c r="G74" s="23">
        <v>94.09999999999944</v>
      </c>
      <c r="H74" s="23">
        <v>83.900000000000858</v>
      </c>
      <c r="I74" s="23">
        <v>76.200000000000486</v>
      </c>
      <c r="J74" s="23">
        <v>75.399999999998684</v>
      </c>
      <c r="K74" s="23">
        <v>81.300000000001944</v>
      </c>
      <c r="L74" s="23">
        <v>94.200000000000784</v>
      </c>
      <c r="M74" s="23">
        <v>76.500000000002089</v>
      </c>
      <c r="N74" s="23">
        <v>81.899999999999935</v>
      </c>
      <c r="O74" s="23">
        <v>99.000000000001094</v>
      </c>
      <c r="P74" s="23">
        <v>111.50000000000162</v>
      </c>
      <c r="Q74" s="23">
        <v>121.69999999999749</v>
      </c>
      <c r="R74" s="23">
        <v>134.0999999999992</v>
      </c>
      <c r="S74" s="23">
        <v>143.6000000000021</v>
      </c>
      <c r="T74" s="23">
        <v>133.69999999999743</v>
      </c>
      <c r="U74" s="23">
        <v>152.70000000000033</v>
      </c>
      <c r="V74" s="23">
        <v>214.69999999999771</v>
      </c>
      <c r="W74" s="23">
        <v>257.09999999999877</v>
      </c>
      <c r="X74" s="23">
        <v>186.00000000000148</v>
      </c>
      <c r="Y74" s="23">
        <v>202.79999999999754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954.70000000000073</v>
      </c>
      <c r="E75" s="30">
        <f t="shared" ref="E75:S75" si="6">SUM(E56:E74)</f>
        <v>1121.2999999999986</v>
      </c>
      <c r="F75" s="30">
        <f t="shared" si="6"/>
        <v>1225.9999999999998</v>
      </c>
      <c r="G75" s="30">
        <f t="shared" si="6"/>
        <v>1376.9999999999995</v>
      </c>
      <c r="H75" s="30">
        <f t="shared" si="6"/>
        <v>1458.8000000000009</v>
      </c>
      <c r="I75" s="30">
        <f t="shared" si="6"/>
        <v>1663.7000000000005</v>
      </c>
      <c r="J75" s="30">
        <f t="shared" si="6"/>
        <v>1963.0999999999988</v>
      </c>
      <c r="K75" s="30">
        <f t="shared" si="6"/>
        <v>2274.9000000000019</v>
      </c>
      <c r="L75" s="30">
        <f t="shared" si="6"/>
        <v>2284.2000000000007</v>
      </c>
      <c r="M75" s="30">
        <f t="shared" si="6"/>
        <v>1736.9000000000019</v>
      </c>
      <c r="N75" s="30">
        <f t="shared" si="6"/>
        <v>2026.6999999999998</v>
      </c>
      <c r="O75" s="30">
        <f t="shared" si="6"/>
        <v>2436.2000000000012</v>
      </c>
      <c r="P75" s="30">
        <f t="shared" si="6"/>
        <v>2509.8000000000015</v>
      </c>
      <c r="Q75" s="30">
        <f t="shared" si="6"/>
        <v>2597.2999999999975</v>
      </c>
      <c r="R75" s="30">
        <f t="shared" si="6"/>
        <v>2843.2999999999988</v>
      </c>
      <c r="S75" s="30">
        <f t="shared" si="6"/>
        <v>2869.1000000000017</v>
      </c>
      <c r="T75" s="30">
        <f t="shared" ref="T75:Y75" si="7">SUM(T56:T74)</f>
        <v>3019.9999999999977</v>
      </c>
      <c r="U75" s="30">
        <f t="shared" si="7"/>
        <v>3244.1000000000004</v>
      </c>
      <c r="V75" s="30">
        <f t="shared" si="7"/>
        <v>3493.5999999999972</v>
      </c>
      <c r="W75" s="30">
        <f t="shared" si="7"/>
        <v>3667.199999999998</v>
      </c>
      <c r="X75" s="30">
        <f t="shared" si="7"/>
        <v>3524.3000000000015</v>
      </c>
      <c r="Y75" s="30">
        <f t="shared" si="7"/>
        <v>4133.4999999999982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12540.58886879483</v>
      </c>
      <c r="E2" s="19">
        <v>13293.822180787307</v>
      </c>
      <c r="F2" s="19">
        <v>14194.004935404268</v>
      </c>
      <c r="G2" s="19">
        <v>15272.460528154255</v>
      </c>
      <c r="H2" s="19">
        <v>16311.87334211975</v>
      </c>
      <c r="I2" s="19">
        <v>17865.715365715365</v>
      </c>
      <c r="J2" s="19">
        <v>19610.22068706372</v>
      </c>
      <c r="K2" s="19">
        <v>21096.547643548056</v>
      </c>
      <c r="L2" s="19">
        <v>20014.090952885632</v>
      </c>
      <c r="M2" s="19">
        <v>17086.290488338633</v>
      </c>
      <c r="N2" s="19">
        <v>17503.710652243608</v>
      </c>
      <c r="O2" s="19">
        <v>18775.245986535476</v>
      </c>
      <c r="P2" s="19">
        <v>19381.138851629094</v>
      </c>
      <c r="Q2" s="19">
        <v>19663.928460018717</v>
      </c>
      <c r="R2" s="19">
        <v>20256.026835330489</v>
      </c>
      <c r="S2" s="19">
        <v>20631.400000000001</v>
      </c>
      <c r="T2" s="19">
        <v>21282.452758178635</v>
      </c>
      <c r="U2" s="19">
        <v>22515.114873035069</v>
      </c>
      <c r="V2" s="19">
        <v>23367.18419131892</v>
      </c>
      <c r="W2" s="19">
        <v>24309.656545977963</v>
      </c>
      <c r="X2" s="19">
        <v>24074.919252913915</v>
      </c>
      <c r="Y2" s="19">
        <v>25820.320589818995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5771.0091616962027</v>
      </c>
      <c r="E3" s="23">
        <v>6171.9178303073304</v>
      </c>
      <c r="F3" s="23">
        <v>6767.7540190416748</v>
      </c>
      <c r="G3" s="23">
        <v>7425.0291894549264</v>
      </c>
      <c r="H3" s="23">
        <v>8029.0997451549811</v>
      </c>
      <c r="I3" s="23">
        <v>8810.2586083726255</v>
      </c>
      <c r="J3" s="23">
        <v>9944.6309633400124</v>
      </c>
      <c r="K3" s="23">
        <v>10782.953419226958</v>
      </c>
      <c r="L3" s="23">
        <v>10294.452578493574</v>
      </c>
      <c r="M3" s="23">
        <v>8858.6739370578434</v>
      </c>
      <c r="N3" s="23">
        <v>8746.2088633380099</v>
      </c>
      <c r="O3" s="23">
        <v>9014.7905125584894</v>
      </c>
      <c r="P3" s="23">
        <v>9408.4320658354536</v>
      </c>
      <c r="Q3" s="23">
        <v>9756.3984274711147</v>
      </c>
      <c r="R3" s="23">
        <v>10108.65343438468</v>
      </c>
      <c r="S3" s="23">
        <v>10603.5</v>
      </c>
      <c r="T3" s="23">
        <v>11075.411393344482</v>
      </c>
      <c r="U3" s="23">
        <v>11347.787342156156</v>
      </c>
      <c r="V3" s="23">
        <v>11894.61544798045</v>
      </c>
      <c r="W3" s="23">
        <v>12448.761266280946</v>
      </c>
      <c r="X3" s="23">
        <v>12285.940565545296</v>
      </c>
      <c r="Y3" s="23">
        <v>13402.923476744287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10862.64310062856</v>
      </c>
      <c r="E4" s="27">
        <v>11475.648126000478</v>
      </c>
      <c r="F4" s="27">
        <v>12213.1593257205</v>
      </c>
      <c r="G4" s="27">
        <v>13151.414085266226</v>
      </c>
      <c r="H4" s="27">
        <v>13974.871778329732</v>
      </c>
      <c r="I4" s="27">
        <v>15308.136259117699</v>
      </c>
      <c r="J4" s="27">
        <v>16731.197869208663</v>
      </c>
      <c r="K4" s="27">
        <v>17917.252010890512</v>
      </c>
      <c r="L4" s="27">
        <v>17386.718291681333</v>
      </c>
      <c r="M4" s="27">
        <v>14747.922903966622</v>
      </c>
      <c r="N4" s="27">
        <v>15309.996082760586</v>
      </c>
      <c r="O4" s="27">
        <v>16445.551457358764</v>
      </c>
      <c r="P4" s="27">
        <v>16902.738942209075</v>
      </c>
      <c r="Q4" s="27">
        <v>17115.628970775091</v>
      </c>
      <c r="R4" s="27">
        <v>17594.40038645787</v>
      </c>
      <c r="S4" s="27">
        <v>17890.7</v>
      </c>
      <c r="T4" s="27">
        <v>18409.903362664991</v>
      </c>
      <c r="U4" s="27">
        <v>19647.272347178274</v>
      </c>
      <c r="V4" s="27">
        <v>20453.065924401366</v>
      </c>
      <c r="W4" s="27">
        <v>21172.269017360173</v>
      </c>
      <c r="X4" s="27">
        <v>21084.581034935647</v>
      </c>
      <c r="Y4" s="27">
        <v>22448.79010722649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472.50300486689918</v>
      </c>
      <c r="E6" s="19">
        <v>449.13429869914813</v>
      </c>
      <c r="F6" s="19">
        <v>487.64230209265202</v>
      </c>
      <c r="G6" s="19">
        <v>509.710782084323</v>
      </c>
      <c r="H6" s="19">
        <v>570.788039095513</v>
      </c>
      <c r="I6" s="19">
        <v>567.84784297004683</v>
      </c>
      <c r="J6" s="19">
        <v>598.16359430854425</v>
      </c>
      <c r="K6" s="19">
        <v>800.37793552718267</v>
      </c>
      <c r="L6" s="19">
        <v>663.26410888184898</v>
      </c>
      <c r="M6" s="19">
        <v>419.86797965588141</v>
      </c>
      <c r="N6" s="19">
        <v>554.94225039469154</v>
      </c>
      <c r="O6" s="19">
        <v>690.10885210507388</v>
      </c>
      <c r="P6" s="19">
        <v>641.28169972038393</v>
      </c>
      <c r="Q6" s="19">
        <v>603.29955269057132</v>
      </c>
      <c r="R6" s="19">
        <v>638.46060947626904</v>
      </c>
      <c r="S6" s="19">
        <v>589.70000000000005</v>
      </c>
      <c r="T6" s="19">
        <v>451.46527341294785</v>
      </c>
      <c r="U6" s="19">
        <v>540.39928922337208</v>
      </c>
      <c r="V6" s="19">
        <v>491.23697786804229</v>
      </c>
      <c r="W6" s="19">
        <v>561.91911361201369</v>
      </c>
      <c r="X6" s="19">
        <v>480.34322738814467</v>
      </c>
      <c r="Y6" s="19">
        <v>504.49858263834682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2381.6279482177706</v>
      </c>
      <c r="E7" s="23">
        <v>2603.543763454707</v>
      </c>
      <c r="F7" s="23">
        <v>2733.2526443193183</v>
      </c>
      <c r="G7" s="23">
        <v>2979.4330183435231</v>
      </c>
      <c r="H7" s="23">
        <v>3035.5472404116008</v>
      </c>
      <c r="I7" s="23">
        <v>3234.8596750369288</v>
      </c>
      <c r="J7" s="23">
        <v>3489.0306301254623</v>
      </c>
      <c r="K7" s="23">
        <v>3597.7224411651387</v>
      </c>
      <c r="L7" s="23">
        <v>3447.3776839141156</v>
      </c>
      <c r="M7" s="23">
        <v>2944.0055790017941</v>
      </c>
      <c r="N7" s="23">
        <v>3378.9157556117425</v>
      </c>
      <c r="O7" s="23">
        <v>3689.3891687657451</v>
      </c>
      <c r="P7" s="23">
        <v>3640.9470240858518</v>
      </c>
      <c r="Q7" s="23">
        <v>3750.1678701666278</v>
      </c>
      <c r="R7" s="23">
        <v>3912.2821142466073</v>
      </c>
      <c r="S7" s="23">
        <v>3824.9000000000015</v>
      </c>
      <c r="T7" s="23">
        <v>3928.6415776241338</v>
      </c>
      <c r="U7" s="23">
        <v>4124.2148673945485</v>
      </c>
      <c r="V7" s="23">
        <v>4232.634890700223</v>
      </c>
      <c r="W7" s="23">
        <v>4133.4285689398348</v>
      </c>
      <c r="X7" s="23">
        <v>3985.2902547938029</v>
      </c>
      <c r="Y7" s="23">
        <v>4508.3603796064235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644.51931981635835</v>
      </c>
      <c r="E8" s="23">
        <v>676.9213784982245</v>
      </c>
      <c r="F8" s="23">
        <v>764.44070234524372</v>
      </c>
      <c r="G8" s="23">
        <v>866.81152829012751</v>
      </c>
      <c r="H8" s="23">
        <v>974.8072642817973</v>
      </c>
      <c r="I8" s="23">
        <v>1301.2227991898765</v>
      </c>
      <c r="J8" s="23">
        <v>1636.7841872853437</v>
      </c>
      <c r="K8" s="23">
        <v>1883.7102328530402</v>
      </c>
      <c r="L8" s="23">
        <v>1664.9067229848645</v>
      </c>
      <c r="M8" s="23">
        <v>1044.8604648366579</v>
      </c>
      <c r="N8" s="23">
        <v>890.75650202390705</v>
      </c>
      <c r="O8" s="23">
        <v>1134.2884130982368</v>
      </c>
      <c r="P8" s="23">
        <v>1246.2888790525442</v>
      </c>
      <c r="Q8" s="23">
        <v>1202.053697792378</v>
      </c>
      <c r="R8" s="23">
        <v>1086.007004548931</v>
      </c>
      <c r="S8" s="23">
        <v>1098.5</v>
      </c>
      <c r="T8" s="23">
        <v>1207.4756442489002</v>
      </c>
      <c r="U8" s="23">
        <v>1311.0407936372189</v>
      </c>
      <c r="V8" s="23">
        <v>1416.0463492696724</v>
      </c>
      <c r="W8" s="23">
        <v>1474.4388212851582</v>
      </c>
      <c r="X8" s="23">
        <v>1468.0851063829789</v>
      </c>
      <c r="Y8" s="23">
        <v>1484.9020171726715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2707.1387755906289</v>
      </c>
      <c r="E9" s="23">
        <v>2885.4256748054245</v>
      </c>
      <c r="F9" s="23">
        <v>3065.3054780824082</v>
      </c>
      <c r="G9" s="23">
        <v>3330.3013458655482</v>
      </c>
      <c r="H9" s="23">
        <v>3545.853359569046</v>
      </c>
      <c r="I9" s="23">
        <v>3771.7949108407315</v>
      </c>
      <c r="J9" s="23">
        <v>4118.17480899979</v>
      </c>
      <c r="K9" s="23">
        <v>4173.328194736253</v>
      </c>
      <c r="L9" s="23">
        <v>3886.1903085767922</v>
      </c>
      <c r="M9" s="23">
        <v>3170.051341244935</v>
      </c>
      <c r="N9" s="23">
        <v>3419.6313046781338</v>
      </c>
      <c r="O9" s="23">
        <v>3748.8754947822958</v>
      </c>
      <c r="P9" s="23">
        <v>3939.3481382318332</v>
      </c>
      <c r="Q9" s="23">
        <v>3973.7192797595067</v>
      </c>
      <c r="R9" s="23">
        <v>4138.5209935187795</v>
      </c>
      <c r="S9" s="23">
        <v>4045.3</v>
      </c>
      <c r="T9" s="23">
        <v>4172.9847580138285</v>
      </c>
      <c r="U9" s="23">
        <v>4410.4259908587283</v>
      </c>
      <c r="V9" s="23">
        <v>4583.7904490765513</v>
      </c>
      <c r="W9" s="23">
        <v>4691.340818619723</v>
      </c>
      <c r="X9" s="23">
        <v>4346.9923824533753</v>
      </c>
      <c r="Y9" s="23">
        <v>4540.9802391027488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565.90017930681176</v>
      </c>
      <c r="E10" s="23">
        <v>568.91571142063333</v>
      </c>
      <c r="F10" s="23">
        <v>606.74630321528184</v>
      </c>
      <c r="G10" s="23">
        <v>652.71952431485511</v>
      </c>
      <c r="H10" s="23">
        <v>683.84890809973865</v>
      </c>
      <c r="I10" s="23">
        <v>713.27414761912019</v>
      </c>
      <c r="J10" s="23">
        <v>761.61771921216791</v>
      </c>
      <c r="K10" s="23">
        <v>813.80459241393885</v>
      </c>
      <c r="L10" s="23">
        <v>860.37780124369351</v>
      </c>
      <c r="M10" s="23">
        <v>817.97304284048141</v>
      </c>
      <c r="N10" s="23">
        <v>808.49447431834108</v>
      </c>
      <c r="O10" s="23">
        <v>831.57160849226341</v>
      </c>
      <c r="P10" s="23">
        <v>868.6452114394292</v>
      </c>
      <c r="Q10" s="23">
        <v>877.05705519571075</v>
      </c>
      <c r="R10" s="23">
        <v>911.79904190652542</v>
      </c>
      <c r="S10" s="23">
        <v>978.2</v>
      </c>
      <c r="T10" s="23">
        <v>1037.3782212445003</v>
      </c>
      <c r="U10" s="23">
        <v>1129.9257865579596</v>
      </c>
      <c r="V10" s="23">
        <v>1271.5222180918099</v>
      </c>
      <c r="W10" s="23">
        <v>1415.2069196797993</v>
      </c>
      <c r="X10" s="23">
        <v>1588.477366255144</v>
      </c>
      <c r="Y10" s="23">
        <v>1544.4722895526068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462.65098224665525</v>
      </c>
      <c r="E11" s="23">
        <v>473.23777806399386</v>
      </c>
      <c r="F11" s="23">
        <v>545.35248820361687</v>
      </c>
      <c r="G11" s="23">
        <v>496.40372597571042</v>
      </c>
      <c r="H11" s="23">
        <v>541.91800264507594</v>
      </c>
      <c r="I11" s="23">
        <v>627.99798991913997</v>
      </c>
      <c r="J11" s="23">
        <v>709.04885399873842</v>
      </c>
      <c r="K11" s="23">
        <v>870.9922050797519</v>
      </c>
      <c r="L11" s="23">
        <v>931.244866830928</v>
      </c>
      <c r="M11" s="23">
        <v>671.40400870516658</v>
      </c>
      <c r="N11" s="23">
        <v>770.86523509371705</v>
      </c>
      <c r="O11" s="23">
        <v>746.33411299028432</v>
      </c>
      <c r="P11" s="23">
        <v>755.61121487255343</v>
      </c>
      <c r="Q11" s="23">
        <v>692.65813369696593</v>
      </c>
      <c r="R11" s="23">
        <v>720.58290729036673</v>
      </c>
      <c r="S11" s="23">
        <v>779.1</v>
      </c>
      <c r="T11" s="23">
        <v>780.66074795725956</v>
      </c>
      <c r="U11" s="23">
        <v>818.15331109780789</v>
      </c>
      <c r="V11" s="23">
        <v>859.61937747635841</v>
      </c>
      <c r="W11" s="23">
        <v>940.82907241099963</v>
      </c>
      <c r="X11" s="23">
        <v>1061.6408370545487</v>
      </c>
      <c r="Y11" s="23">
        <v>1042.5208495953329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1234.2613938641605</v>
      </c>
      <c r="E12" s="23">
        <v>1314.651603525364</v>
      </c>
      <c r="F12" s="23">
        <v>1299.7947692469611</v>
      </c>
      <c r="G12" s="23">
        <v>1311.6714673134907</v>
      </c>
      <c r="H12" s="23">
        <v>1354.3111512531852</v>
      </c>
      <c r="I12" s="23">
        <v>1472.9933454141224</v>
      </c>
      <c r="J12" s="23">
        <v>1577.9070582463025</v>
      </c>
      <c r="K12" s="23">
        <v>1624.501162400388</v>
      </c>
      <c r="L12" s="23">
        <v>1600.844772967265</v>
      </c>
      <c r="M12" s="23">
        <v>1548.0527600428045</v>
      </c>
      <c r="N12" s="23">
        <v>1449.497287608466</v>
      </c>
      <c r="O12" s="23">
        <v>1475.5757466714647</v>
      </c>
      <c r="P12" s="23">
        <v>1580.4247141762121</v>
      </c>
      <c r="Q12" s="23">
        <v>1646.3672895941156</v>
      </c>
      <c r="R12" s="23">
        <v>1669.9206956241696</v>
      </c>
      <c r="S12" s="23">
        <v>1825.6</v>
      </c>
      <c r="T12" s="23">
        <v>1900.9270898805783</v>
      </c>
      <c r="U12" s="23">
        <v>2050.2294820262837</v>
      </c>
      <c r="V12" s="23">
        <v>2044.0100459684656</v>
      </c>
      <c r="W12" s="23">
        <v>2144.1077323763316</v>
      </c>
      <c r="X12" s="23">
        <v>2096.7515979336308</v>
      </c>
      <c r="Y12" s="23">
        <v>2462.3474795612342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521.36903706330918</v>
      </c>
      <c r="E13" s="23">
        <v>596.88310732488173</v>
      </c>
      <c r="F13" s="23">
        <v>678.48936132891299</v>
      </c>
      <c r="G13" s="23">
        <v>833.29122239628077</v>
      </c>
      <c r="H13" s="23">
        <v>963.03345053385374</v>
      </c>
      <c r="I13" s="23">
        <v>1142.0913977675921</v>
      </c>
      <c r="J13" s="23">
        <v>1270.3441508375975</v>
      </c>
      <c r="K13" s="23">
        <v>1381.080845879384</v>
      </c>
      <c r="L13" s="23">
        <v>1398.6859087175874</v>
      </c>
      <c r="M13" s="23">
        <v>1295.6750712404862</v>
      </c>
      <c r="N13" s="23">
        <v>1320.3470911529741</v>
      </c>
      <c r="O13" s="23">
        <v>1396.4105793450883</v>
      </c>
      <c r="P13" s="23">
        <v>1465.2315199671802</v>
      </c>
      <c r="Q13" s="23">
        <v>1485.9350626543114</v>
      </c>
      <c r="R13" s="23">
        <v>1510.909383680206</v>
      </c>
      <c r="S13" s="23">
        <v>1542.7</v>
      </c>
      <c r="T13" s="23">
        <v>1609.1491200502828</v>
      </c>
      <c r="U13" s="23">
        <v>1771.050105951329</v>
      </c>
      <c r="V13" s="23">
        <v>1905.6513105999475</v>
      </c>
      <c r="W13" s="23">
        <v>1985.0526554184125</v>
      </c>
      <c r="X13" s="23">
        <v>1986.6036249014974</v>
      </c>
      <c r="Y13" s="23">
        <v>2189.8032126864141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1585.3874800496542</v>
      </c>
      <c r="E14" s="23">
        <v>1600.7654234668532</v>
      </c>
      <c r="F14" s="23">
        <v>1691.136487221316</v>
      </c>
      <c r="G14" s="23">
        <v>1800.4952246197386</v>
      </c>
      <c r="H14" s="23">
        <v>1905.2611206090126</v>
      </c>
      <c r="I14" s="23">
        <v>2041.2980249432762</v>
      </c>
      <c r="J14" s="23">
        <v>2109.0628723627956</v>
      </c>
      <c r="K14" s="23">
        <v>2292.1043798252049</v>
      </c>
      <c r="L14" s="23">
        <v>2522.7032734952481</v>
      </c>
      <c r="M14" s="23">
        <v>2476.2832305306065</v>
      </c>
      <c r="N14" s="23">
        <v>2372.897451420296</v>
      </c>
      <c r="O14" s="23">
        <v>2378.3285354444047</v>
      </c>
      <c r="P14" s="23">
        <v>2385.3735951720341</v>
      </c>
      <c r="Q14" s="23">
        <v>2476.2140886974307</v>
      </c>
      <c r="R14" s="23">
        <v>2575.4800531379574</v>
      </c>
      <c r="S14" s="23">
        <v>2756.7</v>
      </c>
      <c r="T14" s="23">
        <v>2854.3368950345694</v>
      </c>
      <c r="U14" s="23">
        <v>2988.4926404211446</v>
      </c>
      <c r="V14" s="23">
        <v>3112.1648699373486</v>
      </c>
      <c r="W14" s="23">
        <v>3265.8554218966406</v>
      </c>
      <c r="X14" s="23">
        <v>3509.7627178005432</v>
      </c>
      <c r="Y14" s="23">
        <v>3580.5431165523191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287.28497960631324</v>
      </c>
      <c r="E15" s="23">
        <v>306.1693867412464</v>
      </c>
      <c r="F15" s="23">
        <v>340.99878966478974</v>
      </c>
      <c r="G15" s="23">
        <v>370.57624606262738</v>
      </c>
      <c r="H15" s="23">
        <v>399.50324183090868</v>
      </c>
      <c r="I15" s="23">
        <v>434.75612541686337</v>
      </c>
      <c r="J15" s="23">
        <v>461.06399383191984</v>
      </c>
      <c r="K15" s="23">
        <v>479.63002101023164</v>
      </c>
      <c r="L15" s="23">
        <v>411.12284406898976</v>
      </c>
      <c r="M15" s="23">
        <v>359.74942586781134</v>
      </c>
      <c r="N15" s="23">
        <v>343.648730458317</v>
      </c>
      <c r="O15" s="23">
        <v>354.66894566390783</v>
      </c>
      <c r="P15" s="23">
        <v>379.58694549105553</v>
      </c>
      <c r="Q15" s="23">
        <v>408.15694052747386</v>
      </c>
      <c r="R15" s="23">
        <v>430.43758302805844</v>
      </c>
      <c r="S15" s="23">
        <v>450</v>
      </c>
      <c r="T15" s="23">
        <v>466.88403519798868</v>
      </c>
      <c r="U15" s="23">
        <v>503.34008000988257</v>
      </c>
      <c r="V15" s="23">
        <v>536.38943541294543</v>
      </c>
      <c r="W15" s="23">
        <v>560.08989312125993</v>
      </c>
      <c r="X15" s="23">
        <v>560.63391997198141</v>
      </c>
      <c r="Y15" s="23">
        <v>590.36194075839126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10862.64310062856</v>
      </c>
      <c r="E16" s="30">
        <f t="shared" ref="E16:S16" si="0">SUM(E6:E15)</f>
        <v>11475.648126000477</v>
      </c>
      <c r="F16" s="30">
        <f t="shared" si="0"/>
        <v>12213.1593257205</v>
      </c>
      <c r="G16" s="30">
        <f t="shared" si="0"/>
        <v>13151.414085266222</v>
      </c>
      <c r="H16" s="30">
        <f t="shared" si="0"/>
        <v>13974.871778329732</v>
      </c>
      <c r="I16" s="30">
        <f t="shared" si="0"/>
        <v>15308.136259117699</v>
      </c>
      <c r="J16" s="30">
        <f t="shared" si="0"/>
        <v>16731.197869208663</v>
      </c>
      <c r="K16" s="30">
        <f t="shared" si="0"/>
        <v>17917.252010890512</v>
      </c>
      <c r="L16" s="30">
        <f t="shared" si="0"/>
        <v>17386.718291681333</v>
      </c>
      <c r="M16" s="30">
        <f t="shared" si="0"/>
        <v>14747.922903966626</v>
      </c>
      <c r="N16" s="30">
        <f t="shared" si="0"/>
        <v>15309.996082760588</v>
      </c>
      <c r="O16" s="30">
        <f t="shared" si="0"/>
        <v>16445.551457358764</v>
      </c>
      <c r="P16" s="30">
        <f t="shared" si="0"/>
        <v>16902.738942209078</v>
      </c>
      <c r="Q16" s="30">
        <f t="shared" si="0"/>
        <v>17115.628970775095</v>
      </c>
      <c r="R16" s="30">
        <f t="shared" si="0"/>
        <v>17594.400386457874</v>
      </c>
      <c r="S16" s="30">
        <f t="shared" si="0"/>
        <v>17890.700000000004</v>
      </c>
      <c r="T16" s="30">
        <f t="shared" ref="T16:Y16" si="1">SUM(T6:T15)</f>
        <v>18409.903362664991</v>
      </c>
      <c r="U16" s="30">
        <f t="shared" si="1"/>
        <v>19647.272347178274</v>
      </c>
      <c r="V16" s="30">
        <f t="shared" si="1"/>
        <v>20453.065924401359</v>
      </c>
      <c r="W16" s="30">
        <f t="shared" si="1"/>
        <v>21172.269017360177</v>
      </c>
      <c r="X16" s="30">
        <f t="shared" si="1"/>
        <v>21084.581034935643</v>
      </c>
      <c r="Y16" s="30">
        <f t="shared" si="1"/>
        <v>22448.790107226487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472.50300486689918</v>
      </c>
      <c r="E18" s="19">
        <v>449.13429869914813</v>
      </c>
      <c r="F18" s="19">
        <v>487.64230209265202</v>
      </c>
      <c r="G18" s="19">
        <v>509.710782084323</v>
      </c>
      <c r="H18" s="19">
        <v>570.788039095513</v>
      </c>
      <c r="I18" s="19">
        <v>567.84784297004683</v>
      </c>
      <c r="J18" s="19">
        <v>598.16359430854425</v>
      </c>
      <c r="K18" s="19">
        <v>800.37793552718267</v>
      </c>
      <c r="L18" s="19">
        <v>663.26410888184898</v>
      </c>
      <c r="M18" s="19">
        <v>419.86797965588141</v>
      </c>
      <c r="N18" s="19">
        <v>554.94225039469154</v>
      </c>
      <c r="O18" s="19">
        <v>690.10885210507388</v>
      </c>
      <c r="P18" s="19">
        <v>641.28169972038393</v>
      </c>
      <c r="Q18" s="19">
        <v>603.29955269057132</v>
      </c>
      <c r="R18" s="19">
        <v>638.46060947626904</v>
      </c>
      <c r="S18" s="19">
        <v>589.70000000000005</v>
      </c>
      <c r="T18" s="19">
        <v>451.46527341294785</v>
      </c>
      <c r="U18" s="19">
        <v>540.39928922337208</v>
      </c>
      <c r="V18" s="19">
        <v>491.23697786804229</v>
      </c>
      <c r="W18" s="19">
        <v>561.91911361201369</v>
      </c>
      <c r="X18" s="19">
        <v>480.34322738814467</v>
      </c>
      <c r="Y18" s="19">
        <v>504.49858263834682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128.66741542038582</v>
      </c>
      <c r="E19" s="23">
        <v>132.47713849380855</v>
      </c>
      <c r="F19" s="23">
        <v>137.52214562612923</v>
      </c>
      <c r="G19" s="23">
        <v>147.55672343220982</v>
      </c>
      <c r="H19" s="23">
        <v>147.57588464888229</v>
      </c>
      <c r="I19" s="23">
        <v>144.66491038389501</v>
      </c>
      <c r="J19" s="23">
        <v>161.21118665451743</v>
      </c>
      <c r="K19" s="23">
        <v>190.08665166527842</v>
      </c>
      <c r="L19" s="23">
        <v>170.59720755602487</v>
      </c>
      <c r="M19" s="23">
        <v>182.51992930058077</v>
      </c>
      <c r="N19" s="23">
        <v>212.95537908194154</v>
      </c>
      <c r="O19" s="23">
        <v>229.39906441165888</v>
      </c>
      <c r="P19" s="23">
        <v>219.6983600893908</v>
      </c>
      <c r="Q19" s="23">
        <v>263.63364014834559</v>
      </c>
      <c r="R19" s="23">
        <v>272.33203172175035</v>
      </c>
      <c r="S19" s="23">
        <v>247.9</v>
      </c>
      <c r="T19" s="23">
        <v>200.5421118793212</v>
      </c>
      <c r="U19" s="23">
        <v>242.97537938177638</v>
      </c>
      <c r="V19" s="23">
        <v>221.77291396552818</v>
      </c>
      <c r="W19" s="23">
        <v>192.06815152914123</v>
      </c>
      <c r="X19" s="23">
        <v>145.95919796865425</v>
      </c>
      <c r="Y19" s="23">
        <v>138.86035906495215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1881.1451991093788</v>
      </c>
      <c r="E20" s="23">
        <v>2063.1474360153798</v>
      </c>
      <c r="F20" s="23">
        <v>2150.5376344086021</v>
      </c>
      <c r="G20" s="23">
        <v>2319.4704128556259</v>
      </c>
      <c r="H20" s="23">
        <v>2352.8273281507059</v>
      </c>
      <c r="I20" s="23">
        <v>2533.4632779545914</v>
      </c>
      <c r="J20" s="23">
        <v>2751.9450480128949</v>
      </c>
      <c r="K20" s="23">
        <v>2828.1760881186547</v>
      </c>
      <c r="L20" s="23">
        <v>2680.0422386483642</v>
      </c>
      <c r="M20" s="23">
        <v>2088.3983214899808</v>
      </c>
      <c r="N20" s="23">
        <v>2405.7785216575858</v>
      </c>
      <c r="O20" s="23">
        <v>2739.5196113709985</v>
      </c>
      <c r="P20" s="23">
        <v>2709.5771211417855</v>
      </c>
      <c r="Q20" s="23">
        <v>2683.1334387041429</v>
      </c>
      <c r="R20" s="23">
        <v>2861.4991344953896</v>
      </c>
      <c r="S20" s="23">
        <v>2869.1000000000017</v>
      </c>
      <c r="T20" s="23">
        <v>2965.9019484600858</v>
      </c>
      <c r="U20" s="23">
        <v>3082.661041268756</v>
      </c>
      <c r="V20" s="23">
        <v>3167.5627646360126</v>
      </c>
      <c r="W20" s="23">
        <v>3194.3416112819341</v>
      </c>
      <c r="X20" s="23">
        <v>3085.8068470361632</v>
      </c>
      <c r="Y20" s="23">
        <v>3396.3271845856771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278.02407834328386</v>
      </c>
      <c r="E21" s="23">
        <v>302.85745827890122</v>
      </c>
      <c r="F21" s="23">
        <v>331.3511901629567</v>
      </c>
      <c r="G21" s="23">
        <v>394.49525830848791</v>
      </c>
      <c r="H21" s="23">
        <v>403.37408470694493</v>
      </c>
      <c r="I21" s="23">
        <v>424.2488845574016</v>
      </c>
      <c r="J21" s="23">
        <v>422.51349267540479</v>
      </c>
      <c r="K21" s="23">
        <v>422.06944565311983</v>
      </c>
      <c r="L21" s="23">
        <v>417.22398216590403</v>
      </c>
      <c r="M21" s="23">
        <v>516.53861414709809</v>
      </c>
      <c r="N21" s="23">
        <v>593.16501074273242</v>
      </c>
      <c r="O21" s="23">
        <v>568.66228859301907</v>
      </c>
      <c r="P21" s="23">
        <v>561.49934684271329</v>
      </c>
      <c r="Q21" s="23">
        <v>666.41873534364311</v>
      </c>
      <c r="R21" s="23">
        <v>634.23372650054353</v>
      </c>
      <c r="S21" s="23">
        <v>563.79999999999995</v>
      </c>
      <c r="T21" s="23">
        <v>607.51885606536769</v>
      </c>
      <c r="U21" s="23">
        <v>630.86176914963369</v>
      </c>
      <c r="V21" s="23">
        <v>678.64687695501982</v>
      </c>
      <c r="W21" s="23">
        <v>573.15575376950085</v>
      </c>
      <c r="X21" s="23">
        <v>597.14560896593991</v>
      </c>
      <c r="Y21" s="23">
        <v>786.16326362926748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93.791255344722273</v>
      </c>
      <c r="E22" s="23">
        <v>105.06173066661761</v>
      </c>
      <c r="F22" s="23">
        <v>113.84167412162994</v>
      </c>
      <c r="G22" s="23">
        <v>117.91062374719962</v>
      </c>
      <c r="H22" s="23">
        <v>131.76994290506758</v>
      </c>
      <c r="I22" s="23">
        <v>132.48260214104067</v>
      </c>
      <c r="J22" s="23">
        <v>153.36090278264527</v>
      </c>
      <c r="K22" s="23">
        <v>157.39025572808535</v>
      </c>
      <c r="L22" s="23">
        <v>179.5142555438226</v>
      </c>
      <c r="M22" s="23">
        <v>156.54871406413446</v>
      </c>
      <c r="N22" s="23">
        <v>167.01684412948256</v>
      </c>
      <c r="O22" s="23">
        <v>151.80820439006837</v>
      </c>
      <c r="P22" s="23">
        <v>150.17219601196197</v>
      </c>
      <c r="Q22" s="23">
        <v>136.98205597049616</v>
      </c>
      <c r="R22" s="23">
        <v>144.21722152892397</v>
      </c>
      <c r="S22" s="23">
        <v>144.1</v>
      </c>
      <c r="T22" s="23">
        <v>154.6786612193589</v>
      </c>
      <c r="U22" s="23">
        <v>167.71667759438222</v>
      </c>
      <c r="V22" s="23">
        <v>164.65233514366278</v>
      </c>
      <c r="W22" s="23">
        <v>173.86305235925892</v>
      </c>
      <c r="X22" s="23">
        <v>156.37860082304528</v>
      </c>
      <c r="Y22" s="23">
        <v>187.00957232652726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644.51931981635835</v>
      </c>
      <c r="E23" s="23">
        <v>676.9213784982245</v>
      </c>
      <c r="F23" s="23">
        <v>764.44070234524372</v>
      </c>
      <c r="G23" s="23">
        <v>866.81152829012751</v>
      </c>
      <c r="H23" s="23">
        <v>974.8072642817973</v>
      </c>
      <c r="I23" s="23">
        <v>1301.2227991898765</v>
      </c>
      <c r="J23" s="23">
        <v>1636.7841872853437</v>
      </c>
      <c r="K23" s="23">
        <v>1883.7102328530402</v>
      </c>
      <c r="L23" s="23">
        <v>1664.9067229848645</v>
      </c>
      <c r="M23" s="23">
        <v>1044.8604648366579</v>
      </c>
      <c r="N23" s="23">
        <v>890.75650202390705</v>
      </c>
      <c r="O23" s="23">
        <v>1134.2884130982368</v>
      </c>
      <c r="P23" s="23">
        <v>1246.2888790525442</v>
      </c>
      <c r="Q23" s="23">
        <v>1202.053697792378</v>
      </c>
      <c r="R23" s="23">
        <v>1086.007004548931</v>
      </c>
      <c r="S23" s="23">
        <v>1098.5</v>
      </c>
      <c r="T23" s="23">
        <v>1207.4756442489002</v>
      </c>
      <c r="U23" s="23">
        <v>1311.0407936372189</v>
      </c>
      <c r="V23" s="23">
        <v>1416.0463492696724</v>
      </c>
      <c r="W23" s="23">
        <v>1474.4388212851582</v>
      </c>
      <c r="X23" s="23">
        <v>1468.0851063829789</v>
      </c>
      <c r="Y23" s="23">
        <v>1484.9020171726715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1369.6281846663121</v>
      </c>
      <c r="E24" s="23">
        <v>1529.1909694750598</v>
      </c>
      <c r="F24" s="23">
        <v>1722.3596274272486</v>
      </c>
      <c r="G24" s="23">
        <v>1854.3972240470291</v>
      </c>
      <c r="H24" s="23">
        <v>1962.1947679107122</v>
      </c>
      <c r="I24" s="23">
        <v>2182.4605217073504</v>
      </c>
      <c r="J24" s="23">
        <v>2397.8411719352353</v>
      </c>
      <c r="K24" s="23">
        <v>2449.3703146561902</v>
      </c>
      <c r="L24" s="23">
        <v>2206.3827290860027</v>
      </c>
      <c r="M24" s="23">
        <v>1719.991823876685</v>
      </c>
      <c r="N24" s="23">
        <v>1776.1713139370634</v>
      </c>
      <c r="O24" s="23">
        <v>1970.2455919395466</v>
      </c>
      <c r="P24" s="23">
        <v>2097.3366297084003</v>
      </c>
      <c r="Q24" s="23">
        <v>2089.0280059090301</v>
      </c>
      <c r="R24" s="23">
        <v>2203.0111509198505</v>
      </c>
      <c r="S24" s="23">
        <v>2143.2000000000003</v>
      </c>
      <c r="T24" s="23">
        <v>2354.2583280955382</v>
      </c>
      <c r="U24" s="23">
        <v>2523.0669821450633</v>
      </c>
      <c r="V24" s="23">
        <v>2706.6994278875363</v>
      </c>
      <c r="W24" s="23">
        <v>2775.798541849952</v>
      </c>
      <c r="X24" s="23">
        <v>2742.2292268627966</v>
      </c>
      <c r="Y24" s="23">
        <v>2823.4665790230483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1163.5238714508089</v>
      </c>
      <c r="E25" s="23">
        <v>1177.2065723380374</v>
      </c>
      <c r="F25" s="23">
        <v>1156.3086530196986</v>
      </c>
      <c r="G25" s="23">
        <v>1269.5605302609194</v>
      </c>
      <c r="H25" s="23">
        <v>1356.8917131705427</v>
      </c>
      <c r="I25" s="23">
        <v>1327.110204205942</v>
      </c>
      <c r="J25" s="23">
        <v>1444.171865143338</v>
      </c>
      <c r="K25" s="23">
        <v>1444.8574660914753</v>
      </c>
      <c r="L25" s="23">
        <v>1380.2651648480582</v>
      </c>
      <c r="M25" s="23">
        <v>1232.5505897630126</v>
      </c>
      <c r="N25" s="23">
        <v>1422.1953159312939</v>
      </c>
      <c r="O25" s="23">
        <v>1515.1583303346529</v>
      </c>
      <c r="P25" s="23">
        <v>1551.5994256534273</v>
      </c>
      <c r="Q25" s="23">
        <v>1568.0623134058533</v>
      </c>
      <c r="R25" s="23">
        <v>1603.6995290044683</v>
      </c>
      <c r="S25" s="23">
        <v>1563.5</v>
      </c>
      <c r="T25" s="23">
        <v>1453.9794154619735</v>
      </c>
      <c r="U25" s="23">
        <v>1493.5811549169969</v>
      </c>
      <c r="V25" s="23">
        <v>1473.529598433264</v>
      </c>
      <c r="W25" s="23">
        <v>1489.5081138994626</v>
      </c>
      <c r="X25" s="23">
        <v>1342.5269240872078</v>
      </c>
      <c r="Y25" s="23">
        <v>1443.9834024896265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173.98671947350792</v>
      </c>
      <c r="E26" s="23">
        <v>179.02813299232739</v>
      </c>
      <c r="F26" s="23">
        <v>186.63719763546106</v>
      </c>
      <c r="G26" s="23">
        <v>206.34359155759935</v>
      </c>
      <c r="H26" s="23">
        <v>226.76687848779071</v>
      </c>
      <c r="I26" s="23">
        <v>262.22418492743913</v>
      </c>
      <c r="J26" s="23">
        <v>276.16177192121683</v>
      </c>
      <c r="K26" s="23">
        <v>279.10041398858738</v>
      </c>
      <c r="L26" s="23">
        <v>299.54241464273144</v>
      </c>
      <c r="M26" s="23">
        <v>217.50892760523755</v>
      </c>
      <c r="N26" s="23">
        <v>221.26467480977649</v>
      </c>
      <c r="O26" s="23">
        <v>263.47157250809647</v>
      </c>
      <c r="P26" s="23">
        <v>290.41208287000552</v>
      </c>
      <c r="Q26" s="23">
        <v>316.62896044462349</v>
      </c>
      <c r="R26" s="23">
        <v>331.81031359446075</v>
      </c>
      <c r="S26" s="23">
        <v>338.6</v>
      </c>
      <c r="T26" s="23">
        <v>364.74701445631678</v>
      </c>
      <c r="U26" s="23">
        <v>393.77785379666847</v>
      </c>
      <c r="V26" s="23">
        <v>403.56142275575058</v>
      </c>
      <c r="W26" s="23">
        <v>426.03416287030825</v>
      </c>
      <c r="X26" s="23">
        <v>262.23623150337102</v>
      </c>
      <c r="Y26" s="23">
        <v>273.53025759007437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565.90017930681176</v>
      </c>
      <c r="E27" s="23">
        <v>568.91571142063333</v>
      </c>
      <c r="F27" s="23">
        <v>606.74630321528184</v>
      </c>
      <c r="G27" s="23">
        <v>652.71952431485511</v>
      </c>
      <c r="H27" s="23">
        <v>683.84890809973865</v>
      </c>
      <c r="I27" s="23">
        <v>713.27414761912019</v>
      </c>
      <c r="J27" s="23">
        <v>761.61771921216791</v>
      </c>
      <c r="K27" s="23">
        <v>813.80459241393885</v>
      </c>
      <c r="L27" s="23">
        <v>860.37780124369351</v>
      </c>
      <c r="M27" s="23">
        <v>817.97304284048141</v>
      </c>
      <c r="N27" s="23">
        <v>808.49447431834108</v>
      </c>
      <c r="O27" s="23">
        <v>831.57160849226341</v>
      </c>
      <c r="P27" s="23">
        <v>868.6452114394292</v>
      </c>
      <c r="Q27" s="23">
        <v>877.05705519571075</v>
      </c>
      <c r="R27" s="23">
        <v>911.79904190652542</v>
      </c>
      <c r="S27" s="23">
        <v>978.2</v>
      </c>
      <c r="T27" s="23">
        <v>1037.3782212445003</v>
      </c>
      <c r="U27" s="23">
        <v>1129.9257865579596</v>
      </c>
      <c r="V27" s="23">
        <v>1271.5222180918099</v>
      </c>
      <c r="W27" s="23">
        <v>1415.2069196797993</v>
      </c>
      <c r="X27" s="23">
        <v>1588.477366255144</v>
      </c>
      <c r="Y27" s="23">
        <v>1544.4722895526068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462.65098224665525</v>
      </c>
      <c r="E28" s="23">
        <v>473.23777806399386</v>
      </c>
      <c r="F28" s="23">
        <v>545.35248820361687</v>
      </c>
      <c r="G28" s="23">
        <v>496.40372597571042</v>
      </c>
      <c r="H28" s="23">
        <v>541.91800264507594</v>
      </c>
      <c r="I28" s="23">
        <v>627.99798991913997</v>
      </c>
      <c r="J28" s="23">
        <v>709.04885399873842</v>
      </c>
      <c r="K28" s="23">
        <v>870.9922050797519</v>
      </c>
      <c r="L28" s="23">
        <v>931.244866830928</v>
      </c>
      <c r="M28" s="23">
        <v>671.40400870516658</v>
      </c>
      <c r="N28" s="23">
        <v>770.86523509371705</v>
      </c>
      <c r="O28" s="23">
        <v>746.33411299028432</v>
      </c>
      <c r="P28" s="23">
        <v>755.61121487255343</v>
      </c>
      <c r="Q28" s="23">
        <v>692.65813369696593</v>
      </c>
      <c r="R28" s="23">
        <v>720.58290729036673</v>
      </c>
      <c r="S28" s="23">
        <v>779.1</v>
      </c>
      <c r="T28" s="23">
        <v>780.66074795725956</v>
      </c>
      <c r="U28" s="23">
        <v>818.15331109780789</v>
      </c>
      <c r="V28" s="23">
        <v>859.61937747635841</v>
      </c>
      <c r="W28" s="23">
        <v>940.82907241099963</v>
      </c>
      <c r="X28" s="23">
        <v>1061.6408370545487</v>
      </c>
      <c r="Y28" s="23">
        <v>1042.5208495953329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1234.2613938641605</v>
      </c>
      <c r="E29" s="23">
        <v>1314.651603525364</v>
      </c>
      <c r="F29" s="23">
        <v>1299.7947692469611</v>
      </c>
      <c r="G29" s="23">
        <v>1311.6714673134907</v>
      </c>
      <c r="H29" s="23">
        <v>1354.3111512531852</v>
      </c>
      <c r="I29" s="23">
        <v>1472.9933454141224</v>
      </c>
      <c r="J29" s="23">
        <v>1577.9070582463025</v>
      </c>
      <c r="K29" s="23">
        <v>1624.501162400388</v>
      </c>
      <c r="L29" s="23">
        <v>1600.844772967265</v>
      </c>
      <c r="M29" s="23">
        <v>1548.0527600428045</v>
      </c>
      <c r="N29" s="23">
        <v>1449.497287608466</v>
      </c>
      <c r="O29" s="23">
        <v>1475.5757466714647</v>
      </c>
      <c r="P29" s="23">
        <v>1580.4247141762121</v>
      </c>
      <c r="Q29" s="23">
        <v>1646.3672895941156</v>
      </c>
      <c r="R29" s="23">
        <v>1669.9206956241696</v>
      </c>
      <c r="S29" s="23">
        <v>1825.6</v>
      </c>
      <c r="T29" s="23">
        <v>1900.9270898805783</v>
      </c>
      <c r="U29" s="23">
        <v>2050.2294820262837</v>
      </c>
      <c r="V29" s="23">
        <v>2044.0100459684656</v>
      </c>
      <c r="W29" s="23">
        <v>2144.1077323763316</v>
      </c>
      <c r="X29" s="23">
        <v>2096.7515979336308</v>
      </c>
      <c r="Y29" s="23">
        <v>2462.3474795612342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368.85972690193302</v>
      </c>
      <c r="E30" s="23">
        <v>405.34324458591686</v>
      </c>
      <c r="F30" s="23">
        <v>447.82402778508657</v>
      </c>
      <c r="G30" s="23">
        <v>494.38240099718701</v>
      </c>
      <c r="H30" s="23">
        <v>617.8832940872876</v>
      </c>
      <c r="I30" s="23">
        <v>686.16851177876936</v>
      </c>
      <c r="J30" s="23">
        <v>740.44998948622708</v>
      </c>
      <c r="K30" s="23">
        <v>827.97717468329267</v>
      </c>
      <c r="L30" s="23">
        <v>845.82893347412858</v>
      </c>
      <c r="M30" s="23">
        <v>789.71732256008841</v>
      </c>
      <c r="N30" s="23">
        <v>808.37577009365759</v>
      </c>
      <c r="O30" s="23">
        <v>821.45106153292568</v>
      </c>
      <c r="P30" s="23">
        <v>826.32493765316815</v>
      </c>
      <c r="Q30" s="23">
        <v>858.97872955857895</v>
      </c>
      <c r="R30" s="23">
        <v>891.77166780725395</v>
      </c>
      <c r="S30" s="23">
        <v>901.7</v>
      </c>
      <c r="T30" s="23">
        <v>932.98240100565681</v>
      </c>
      <c r="U30" s="23">
        <v>1008.3905850603876</v>
      </c>
      <c r="V30" s="23">
        <v>1090.0057120578822</v>
      </c>
      <c r="W30" s="23">
        <v>1141.9562206562546</v>
      </c>
      <c r="X30" s="23">
        <v>1241.1347517730496</v>
      </c>
      <c r="Y30" s="23">
        <v>1414.896676389631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152.50931016137616</v>
      </c>
      <c r="E31" s="23">
        <v>191.53986273896484</v>
      </c>
      <c r="F31" s="23">
        <v>230.66533354382642</v>
      </c>
      <c r="G31" s="23">
        <v>338.90882139909377</v>
      </c>
      <c r="H31" s="23">
        <v>345.1501564465662</v>
      </c>
      <c r="I31" s="23">
        <v>455.92288598882271</v>
      </c>
      <c r="J31" s="23">
        <v>529.89416135137037</v>
      </c>
      <c r="K31" s="23">
        <v>553.10367119609134</v>
      </c>
      <c r="L31" s="23">
        <v>552.85697524345881</v>
      </c>
      <c r="M31" s="23">
        <v>505.95774868039774</v>
      </c>
      <c r="N31" s="23">
        <v>511.97132105931655</v>
      </c>
      <c r="O31" s="23">
        <v>574.95951781216263</v>
      </c>
      <c r="P31" s="23">
        <v>638.9065823140121</v>
      </c>
      <c r="Q31" s="23">
        <v>626.95633309573248</v>
      </c>
      <c r="R31" s="23">
        <v>619.13771587295207</v>
      </c>
      <c r="S31" s="23">
        <v>641</v>
      </c>
      <c r="T31" s="23">
        <v>676.16671904462601</v>
      </c>
      <c r="U31" s="23">
        <v>762.65952089094139</v>
      </c>
      <c r="V31" s="23">
        <v>815.64559854206516</v>
      </c>
      <c r="W31" s="23">
        <v>843.09643476215786</v>
      </c>
      <c r="X31" s="23">
        <v>745.46887312844763</v>
      </c>
      <c r="Y31" s="23">
        <v>774.9065362967832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669.54345727177781</v>
      </c>
      <c r="E32" s="23">
        <v>666.61760105981716</v>
      </c>
      <c r="F32" s="23">
        <v>724.09619533757848</v>
      </c>
      <c r="G32" s="23">
        <v>769.11415432816239</v>
      </c>
      <c r="H32" s="23">
        <v>815.29628076513654</v>
      </c>
      <c r="I32" s="23">
        <v>859.61412538640752</v>
      </c>
      <c r="J32" s="23">
        <v>889.46519941122892</v>
      </c>
      <c r="K32" s="23">
        <v>982.01076618968887</v>
      </c>
      <c r="L32" s="23">
        <v>1095.5062771324651</v>
      </c>
      <c r="M32" s="23">
        <v>1070.5912058579518</v>
      </c>
      <c r="N32" s="23">
        <v>1034.626022340135</v>
      </c>
      <c r="O32" s="23">
        <v>1058.6092119467435</v>
      </c>
      <c r="P32" s="23">
        <v>1056.6033661891242</v>
      </c>
      <c r="Q32" s="23">
        <v>1089.141641098749</v>
      </c>
      <c r="R32" s="23">
        <v>1128.8796747312911</v>
      </c>
      <c r="S32" s="23">
        <v>1197.0999999999999</v>
      </c>
      <c r="T32" s="23">
        <v>1214.5466687617848</v>
      </c>
      <c r="U32" s="23">
        <v>1258.0176173779182</v>
      </c>
      <c r="V32" s="23">
        <v>1257.2874071790595</v>
      </c>
      <c r="W32" s="23">
        <v>1313.9900525247594</v>
      </c>
      <c r="X32" s="23">
        <v>1378.2505910165485</v>
      </c>
      <c r="Y32" s="23">
        <v>1372.1704120619529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572.7965951409825</v>
      </c>
      <c r="E33" s="23">
        <v>590.99523450293475</v>
      </c>
      <c r="F33" s="23">
        <v>615.8676700170148</v>
      </c>
      <c r="G33" s="23">
        <v>638.73869321340146</v>
      </c>
      <c r="H33" s="23">
        <v>674.49437114931777</v>
      </c>
      <c r="I33" s="23">
        <v>708.40122432197848</v>
      </c>
      <c r="J33" s="23">
        <v>719.98317796313177</v>
      </c>
      <c r="K33" s="23">
        <v>752.63871104093892</v>
      </c>
      <c r="L33" s="23">
        <v>831.63205444092455</v>
      </c>
      <c r="M33" s="23">
        <v>820.25754788442816</v>
      </c>
      <c r="N33" s="23">
        <v>771.34005199245041</v>
      </c>
      <c r="O33" s="23">
        <v>749.93252968693776</v>
      </c>
      <c r="P33" s="23">
        <v>746.65054465760522</v>
      </c>
      <c r="Q33" s="23">
        <v>777.4713071145959</v>
      </c>
      <c r="R33" s="23">
        <v>798.67960227044</v>
      </c>
      <c r="S33" s="23">
        <v>845.5</v>
      </c>
      <c r="T33" s="23">
        <v>877.88733500942806</v>
      </c>
      <c r="U33" s="23">
        <v>909.75607438448458</v>
      </c>
      <c r="V33" s="23">
        <v>984.64997778644147</v>
      </c>
      <c r="W33" s="23">
        <v>1045.6172748098918</v>
      </c>
      <c r="X33" s="23">
        <v>1097.8898520269681</v>
      </c>
      <c r="Y33" s="23">
        <v>1087.6299248182079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343.04742763689387</v>
      </c>
      <c r="E34" s="23">
        <v>343.15258790410127</v>
      </c>
      <c r="F34" s="23">
        <v>351.17262186672281</v>
      </c>
      <c r="G34" s="23">
        <v>392.64237707817477</v>
      </c>
      <c r="H34" s="23">
        <v>415.47046869455829</v>
      </c>
      <c r="I34" s="23">
        <v>473.28267523489018</v>
      </c>
      <c r="J34" s="23">
        <v>499.6144949884349</v>
      </c>
      <c r="K34" s="23">
        <v>557.45490259457711</v>
      </c>
      <c r="L34" s="23">
        <v>595.56494192185846</v>
      </c>
      <c r="M34" s="23">
        <v>585.43447678822645</v>
      </c>
      <c r="N34" s="23">
        <v>566.93137708771053</v>
      </c>
      <c r="O34" s="23">
        <v>569.78679381072334</v>
      </c>
      <c r="P34" s="23">
        <v>582.11968432530477</v>
      </c>
      <c r="Q34" s="23">
        <v>609.60114048408593</v>
      </c>
      <c r="R34" s="23">
        <v>647.92077613622632</v>
      </c>
      <c r="S34" s="23">
        <v>714.1</v>
      </c>
      <c r="T34" s="23">
        <v>761.90289126335642</v>
      </c>
      <c r="U34" s="23">
        <v>820.71894865874174</v>
      </c>
      <c r="V34" s="23">
        <v>870.22748497184762</v>
      </c>
      <c r="W34" s="23">
        <v>906.24809456198898</v>
      </c>
      <c r="X34" s="23">
        <v>1033.6222747570266</v>
      </c>
      <c r="Y34" s="23">
        <v>1120.7427796721581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178.51864987882018</v>
      </c>
      <c r="E35" s="23">
        <v>186.75596607113286</v>
      </c>
      <c r="F35" s="23">
        <v>202.95041133856054</v>
      </c>
      <c r="G35" s="23">
        <v>219.48220391800155</v>
      </c>
      <c r="H35" s="23">
        <v>241.60510951259639</v>
      </c>
      <c r="I35" s="23">
        <v>279.43169532047085</v>
      </c>
      <c r="J35" s="23">
        <v>310.78713114179573</v>
      </c>
      <c r="K35" s="23">
        <v>328.70445193132514</v>
      </c>
      <c r="L35" s="23">
        <v>261.5276311158043</v>
      </c>
      <c r="M35" s="23">
        <v>220.87556661736949</v>
      </c>
      <c r="N35" s="23">
        <v>208.9194354427074</v>
      </c>
      <c r="O35" s="23">
        <v>213.31863979848862</v>
      </c>
      <c r="P35" s="23">
        <v>233.08538547075906</v>
      </c>
      <c r="Q35" s="23">
        <v>243.59252487061082</v>
      </c>
      <c r="R35" s="23">
        <v>260.15458314882653</v>
      </c>
      <c r="S35" s="23">
        <v>272.2</v>
      </c>
      <c r="T35" s="23">
        <v>288.14424890006291</v>
      </c>
      <c r="U35" s="23">
        <v>317.28384503549142</v>
      </c>
      <c r="V35" s="23">
        <v>339.55010744108864</v>
      </c>
      <c r="W35" s="23">
        <v>362.62118585751244</v>
      </c>
      <c r="X35" s="23">
        <v>362.31503370983273</v>
      </c>
      <c r="Y35" s="23">
        <v>378.37393697876018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104.03735886977597</v>
      </c>
      <c r="E36" s="23">
        <v>114.8135200279674</v>
      </c>
      <c r="F36" s="23">
        <v>132.4352295251627</v>
      </c>
      <c r="G36" s="23">
        <v>145.53539845368641</v>
      </c>
      <c r="H36" s="23">
        <v>152.09186800425792</v>
      </c>
      <c r="I36" s="23">
        <v>149.38555482800103</v>
      </c>
      <c r="J36" s="23">
        <v>144.10878250508168</v>
      </c>
      <c r="K36" s="23">
        <v>145.33112870942477</v>
      </c>
      <c r="L36" s="23">
        <v>142.90742696233721</v>
      </c>
      <c r="M36" s="23">
        <v>133.34295230193942</v>
      </c>
      <c r="N36" s="23">
        <v>129.62501335422527</v>
      </c>
      <c r="O36" s="23">
        <v>135.16552716804605</v>
      </c>
      <c r="P36" s="23">
        <v>138.08068921588739</v>
      </c>
      <c r="Q36" s="23">
        <v>155.37029576140742</v>
      </c>
      <c r="R36" s="23">
        <v>159.41387222736603</v>
      </c>
      <c r="S36" s="23">
        <v>166.5</v>
      </c>
      <c r="T36" s="23">
        <v>166.75832809553739</v>
      </c>
      <c r="U36" s="23">
        <v>173.70316523656129</v>
      </c>
      <c r="V36" s="23">
        <v>184.50853635316838</v>
      </c>
      <c r="W36" s="23">
        <v>184.83837530378128</v>
      </c>
      <c r="X36" s="23">
        <v>185.88564924262326</v>
      </c>
      <c r="Y36" s="23">
        <v>198.67712912370075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4.7289708577170897</v>
      </c>
      <c r="E37" s="23">
        <v>4.5999006421461299</v>
      </c>
      <c r="F37" s="23">
        <v>5.6131488010664983</v>
      </c>
      <c r="G37" s="23">
        <v>5.5586436909394115</v>
      </c>
      <c r="H37" s="23">
        <v>5.8062643140543848</v>
      </c>
      <c r="I37" s="23">
        <v>5.9388752683914792</v>
      </c>
      <c r="J37" s="23">
        <v>6.168080185042407</v>
      </c>
      <c r="K37" s="23">
        <v>5.5944403694817062</v>
      </c>
      <c r="L37" s="23">
        <v>6.6877859908482922</v>
      </c>
      <c r="M37" s="23">
        <v>5.5309069485024462</v>
      </c>
      <c r="N37" s="23">
        <v>5.1042816613843289</v>
      </c>
      <c r="O37" s="23">
        <v>6.1847786973731562</v>
      </c>
      <c r="P37" s="23">
        <v>8.4208708044090823</v>
      </c>
      <c r="Q37" s="23">
        <v>9.1941198954556249</v>
      </c>
      <c r="R37" s="23">
        <v>10.869127651865867</v>
      </c>
      <c r="S37" s="23">
        <v>11.3</v>
      </c>
      <c r="T37" s="23">
        <v>11.981458202388435</v>
      </c>
      <c r="U37" s="23">
        <v>12.353069737829852</v>
      </c>
      <c r="V37" s="23">
        <v>12.330791618688401</v>
      </c>
      <c r="W37" s="23">
        <v>12.630331959966203</v>
      </c>
      <c r="X37" s="23">
        <v>12.433237019525436</v>
      </c>
      <c r="Y37" s="23">
        <v>13.310874655930323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10862.643100628564</v>
      </c>
      <c r="E39" s="30">
        <f t="shared" ref="E39:S39" si="2">SUM(E18:E38)</f>
        <v>11475.648126000475</v>
      </c>
      <c r="F39" s="30">
        <f t="shared" si="2"/>
        <v>12213.159325720502</v>
      </c>
      <c r="G39" s="30">
        <f t="shared" si="2"/>
        <v>13151.414085266224</v>
      </c>
      <c r="H39" s="30">
        <f t="shared" si="2"/>
        <v>13974.871778329732</v>
      </c>
      <c r="I39" s="30">
        <f t="shared" si="2"/>
        <v>15308.136259117699</v>
      </c>
      <c r="J39" s="30">
        <f t="shared" si="2"/>
        <v>16731.197869208663</v>
      </c>
      <c r="K39" s="30">
        <f t="shared" si="2"/>
        <v>17917.252010890512</v>
      </c>
      <c r="L39" s="30">
        <f t="shared" si="2"/>
        <v>17386.718291681336</v>
      </c>
      <c r="M39" s="30">
        <f t="shared" si="2"/>
        <v>14747.922903966626</v>
      </c>
      <c r="N39" s="30">
        <f t="shared" si="2"/>
        <v>15309.996082760585</v>
      </c>
      <c r="O39" s="30">
        <f t="shared" si="2"/>
        <v>16445.551457358764</v>
      </c>
      <c r="P39" s="30">
        <f t="shared" si="2"/>
        <v>16902.738942209078</v>
      </c>
      <c r="Q39" s="30">
        <f t="shared" si="2"/>
        <v>17115.628970775095</v>
      </c>
      <c r="R39" s="30">
        <f t="shared" si="2"/>
        <v>17594.400386457874</v>
      </c>
      <c r="S39" s="30">
        <f t="shared" si="2"/>
        <v>17890.700000000004</v>
      </c>
      <c r="T39" s="30">
        <f t="shared" ref="T39:Y39" si="3">SUM(T18:T38)</f>
        <v>18409.903362664991</v>
      </c>
      <c r="U39" s="30">
        <f t="shared" si="3"/>
        <v>19647.272347178274</v>
      </c>
      <c r="V39" s="30">
        <f t="shared" si="3"/>
        <v>20453.06592440137</v>
      </c>
      <c r="W39" s="30">
        <f t="shared" si="3"/>
        <v>21172.269017360173</v>
      </c>
      <c r="X39" s="30">
        <f t="shared" si="3"/>
        <v>21084.581034935651</v>
      </c>
      <c r="Y39" s="30">
        <f t="shared" si="3"/>
        <v>22448.790107226494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347.18527713739633</v>
      </c>
      <c r="E41" s="19">
        <v>359.34423816445565</v>
      </c>
      <c r="F41" s="19">
        <v>340.12173516462315</v>
      </c>
      <c r="G41" s="19">
        <v>348.34167129886976</v>
      </c>
      <c r="H41" s="19">
        <v>311.76413664075352</v>
      </c>
      <c r="I41" s="19">
        <v>335.01347667849365</v>
      </c>
      <c r="J41" s="19">
        <v>355.22534520221495</v>
      </c>
      <c r="K41" s="19">
        <v>352.57406417444713</v>
      </c>
      <c r="L41" s="19">
        <v>352.22339551801008</v>
      </c>
      <c r="M41" s="19">
        <v>369.60886868905476</v>
      </c>
      <c r="N41" s="19">
        <v>319.55177284759566</v>
      </c>
      <c r="O41" s="19">
        <v>322.84544800287881</v>
      </c>
      <c r="P41" s="19">
        <v>334.0278752415602</v>
      </c>
      <c r="Q41" s="19">
        <v>346.17410977159324</v>
      </c>
      <c r="R41" s="19">
        <v>400.04428163117427</v>
      </c>
      <c r="S41" s="19">
        <v>380.2</v>
      </c>
      <c r="T41" s="19">
        <v>379.08548082966689</v>
      </c>
      <c r="U41" s="19">
        <v>377.62383952412176</v>
      </c>
      <c r="V41" s="19">
        <v>389.41727942843153</v>
      </c>
      <c r="W41" s="19">
        <v>396.50531780528382</v>
      </c>
      <c r="X41" s="19">
        <v>400.84055686892566</v>
      </c>
      <c r="Y41" s="19">
        <v>391.19181627706342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276.25071427163994</v>
      </c>
      <c r="E42" s="23">
        <v>311.68926751182175</v>
      </c>
      <c r="F42" s="23">
        <v>317.66913996035714</v>
      </c>
      <c r="G42" s="23">
        <v>307.24139673556016</v>
      </c>
      <c r="H42" s="23">
        <v>293.53891809941615</v>
      </c>
      <c r="I42" s="23">
        <v>258.56949245458287</v>
      </c>
      <c r="J42" s="23">
        <v>252.33055302446206</v>
      </c>
      <c r="K42" s="23">
        <v>224.89650285316461</v>
      </c>
      <c r="L42" s="23">
        <v>198.99096562243341</v>
      </c>
      <c r="M42" s="23">
        <v>156.54871406413446</v>
      </c>
      <c r="N42" s="23">
        <v>159.65718219911449</v>
      </c>
      <c r="O42" s="23">
        <v>163.39060813242176</v>
      </c>
      <c r="P42" s="23">
        <v>169.71293467347533</v>
      </c>
      <c r="Q42" s="23">
        <v>159.60578919639261</v>
      </c>
      <c r="R42" s="23">
        <v>171.08812044603678</v>
      </c>
      <c r="S42" s="23">
        <v>172.8</v>
      </c>
      <c r="T42" s="23">
        <v>176.77561282212446</v>
      </c>
      <c r="U42" s="23">
        <v>182.16026682630635</v>
      </c>
      <c r="V42" s="23">
        <v>170.90839853843852</v>
      </c>
      <c r="W42" s="23">
        <v>160.01324007212355</v>
      </c>
      <c r="X42" s="23">
        <v>159.18045705279749</v>
      </c>
      <c r="Y42" s="23">
        <v>143.21515139065775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345.80599397056216</v>
      </c>
      <c r="E43" s="23">
        <v>392.83151483927952</v>
      </c>
      <c r="F43" s="23">
        <v>427.30095248118715</v>
      </c>
      <c r="G43" s="23">
        <v>465.41007630501798</v>
      </c>
      <c r="H43" s="23">
        <v>479.01680590948678</v>
      </c>
      <c r="I43" s="23">
        <v>492.77436842345713</v>
      </c>
      <c r="J43" s="23">
        <v>528.77269222681718</v>
      </c>
      <c r="K43" s="23">
        <v>541.54182776582923</v>
      </c>
      <c r="L43" s="23">
        <v>452.18819664437405</v>
      </c>
      <c r="M43" s="23">
        <v>378.86712597241768</v>
      </c>
      <c r="N43" s="23">
        <v>486.80602542644493</v>
      </c>
      <c r="O43" s="23">
        <v>513.56153292551278</v>
      </c>
      <c r="P43" s="23">
        <v>516.91191553218823</v>
      </c>
      <c r="Q43" s="23">
        <v>522.20534911829418</v>
      </c>
      <c r="R43" s="23">
        <v>576.66760597399457</v>
      </c>
      <c r="S43" s="23">
        <v>615</v>
      </c>
      <c r="T43" s="23">
        <v>622.25015713387802</v>
      </c>
      <c r="U43" s="23">
        <v>664.31008105514229</v>
      </c>
      <c r="V43" s="23">
        <v>658.15600264749344</v>
      </c>
      <c r="W43" s="23">
        <v>626.02893652604894</v>
      </c>
      <c r="X43" s="23">
        <v>657.99842395587075</v>
      </c>
      <c r="Y43" s="23">
        <v>863.89219834846574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12.216508049102481</v>
      </c>
      <c r="E44" s="23">
        <v>14.16769397781008</v>
      </c>
      <c r="F44" s="23">
        <v>12.454173902366293</v>
      </c>
      <c r="G44" s="23">
        <v>14.486162346084527</v>
      </c>
      <c r="H44" s="23">
        <v>23.386342376052383</v>
      </c>
      <c r="I44" s="23">
        <v>36.546924728562949</v>
      </c>
      <c r="J44" s="23">
        <v>55.372538024812506</v>
      </c>
      <c r="K44" s="23">
        <v>57.311933562912593</v>
      </c>
      <c r="L44" s="23">
        <v>93.863663029449725</v>
      </c>
      <c r="M44" s="23">
        <v>54.106698409263068</v>
      </c>
      <c r="N44" s="23">
        <v>88.909464287834027</v>
      </c>
      <c r="O44" s="23">
        <v>152.03310543360919</v>
      </c>
      <c r="P44" s="23">
        <v>186.01487687175447</v>
      </c>
      <c r="Q44" s="23">
        <v>128.71767853637874</v>
      </c>
      <c r="R44" s="23">
        <v>128.11481019282638</v>
      </c>
      <c r="S44" s="23">
        <v>90.7</v>
      </c>
      <c r="T44" s="23">
        <v>66.88010685103707</v>
      </c>
      <c r="U44" s="23">
        <v>61.86037230251717</v>
      </c>
      <c r="V44" s="23">
        <v>75.798101420761057</v>
      </c>
      <c r="W44" s="23">
        <v>98.690800763046269</v>
      </c>
      <c r="X44" s="23">
        <v>52.097014271955175</v>
      </c>
      <c r="Y44" s="23">
        <v>81.919395259027979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79.210261866761257</v>
      </c>
      <c r="E45" s="23">
        <v>97.14990156212626</v>
      </c>
      <c r="F45" s="23">
        <v>84.89887561613078</v>
      </c>
      <c r="G45" s="23">
        <v>99.718698940488835</v>
      </c>
      <c r="H45" s="23">
        <v>103.06119157446534</v>
      </c>
      <c r="I45" s="23">
        <v>126.08689031354217</v>
      </c>
      <c r="J45" s="23">
        <v>120.41774724889606</v>
      </c>
      <c r="K45" s="23">
        <v>124.56953889379267</v>
      </c>
      <c r="L45" s="23">
        <v>148.42191716531738</v>
      </c>
      <c r="M45" s="23">
        <v>80.679099183590026</v>
      </c>
      <c r="N45" s="23">
        <v>111.34456275298838</v>
      </c>
      <c r="O45" s="23">
        <v>131.5671104713926</v>
      </c>
      <c r="P45" s="23">
        <v>83.452988869336153</v>
      </c>
      <c r="Q45" s="23">
        <v>91.114761211144511</v>
      </c>
      <c r="R45" s="23">
        <v>96.312547804033656</v>
      </c>
      <c r="S45" s="23">
        <v>106.1</v>
      </c>
      <c r="T45" s="23">
        <v>114.31489629164048</v>
      </c>
      <c r="U45" s="23">
        <v>104.05085663787452</v>
      </c>
      <c r="V45" s="23">
        <v>112.51847352053167</v>
      </c>
      <c r="W45" s="23">
        <v>100.25870404083517</v>
      </c>
      <c r="X45" s="23">
        <v>115.13877944137992</v>
      </c>
      <c r="Y45" s="23">
        <v>127.52146583952999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7.6845776437902709</v>
      </c>
      <c r="E46" s="23">
        <v>9.1998012842922599</v>
      </c>
      <c r="F46" s="23">
        <v>9.647599501833044</v>
      </c>
      <c r="G46" s="23">
        <v>8.42218741051426</v>
      </c>
      <c r="H46" s="23">
        <v>7.7416857520725131</v>
      </c>
      <c r="I46" s="23">
        <v>5.9388752683914792</v>
      </c>
      <c r="J46" s="23">
        <v>7.0091820284572792</v>
      </c>
      <c r="K46" s="23">
        <v>8.080858311473575</v>
      </c>
      <c r="L46" s="23">
        <v>11.263639563533966</v>
      </c>
      <c r="M46" s="23">
        <v>10.099917036395773</v>
      </c>
      <c r="N46" s="23">
        <v>12.226535142385718</v>
      </c>
      <c r="O46" s="23">
        <v>13.3816120906801</v>
      </c>
      <c r="P46" s="23">
        <v>11.983546913966771</v>
      </c>
      <c r="Q46" s="23">
        <v>10.846995382279108</v>
      </c>
      <c r="R46" s="23">
        <v>10.466567368463426</v>
      </c>
      <c r="S46" s="23">
        <v>11</v>
      </c>
      <c r="T46" s="23">
        <v>14.534883720930234</v>
      </c>
      <c r="U46" s="23">
        <v>12.543116964565694</v>
      </c>
      <c r="V46" s="23">
        <v>11.333448178941547</v>
      </c>
      <c r="W46" s="23">
        <v>12.369014747001385</v>
      </c>
      <c r="X46" s="23">
        <v>18.212065493389371</v>
      </c>
      <c r="Y46" s="23">
        <v>16.186680908754777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164.52877775807374</v>
      </c>
      <c r="E47" s="23">
        <v>189.51590645642057</v>
      </c>
      <c r="F47" s="23">
        <v>203.30123313862723</v>
      </c>
      <c r="G47" s="23">
        <v>250.13896609227351</v>
      </c>
      <c r="H47" s="23">
        <v>262.24960485145641</v>
      </c>
      <c r="I47" s="23">
        <v>297.70515768475235</v>
      </c>
      <c r="J47" s="23">
        <v>366.44003644774654</v>
      </c>
      <c r="K47" s="23">
        <v>393.3513184231137</v>
      </c>
      <c r="L47" s="23">
        <v>276.31115804294262</v>
      </c>
      <c r="M47" s="23">
        <v>168.21171349902008</v>
      </c>
      <c r="N47" s="23">
        <v>198.11735099652199</v>
      </c>
      <c r="O47" s="23">
        <v>233.7846347607053</v>
      </c>
      <c r="P47" s="23">
        <v>231.35802735703413</v>
      </c>
      <c r="Q47" s="23">
        <v>227.68359830993481</v>
      </c>
      <c r="R47" s="23">
        <v>235.90032607382955</v>
      </c>
      <c r="S47" s="23">
        <v>239.9</v>
      </c>
      <c r="T47" s="23">
        <v>266.34192331866751</v>
      </c>
      <c r="U47" s="23">
        <v>293.71798892024674</v>
      </c>
      <c r="V47" s="23">
        <v>286.78157271993689</v>
      </c>
      <c r="W47" s="23">
        <v>283.87759901744727</v>
      </c>
      <c r="X47" s="23">
        <v>262.76157954644958</v>
      </c>
      <c r="Y47" s="23">
        <v>296.29020993385649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148.76554156568344</v>
      </c>
      <c r="E48" s="23">
        <v>168.54035952823421</v>
      </c>
      <c r="F48" s="23">
        <v>161.20261713062848</v>
      </c>
      <c r="G48" s="23">
        <v>200.95339161487021</v>
      </c>
      <c r="H48" s="23">
        <v>210.47708138447146</v>
      </c>
      <c r="I48" s="23">
        <v>243.64616485708632</v>
      </c>
      <c r="J48" s="23">
        <v>300.13317445854074</v>
      </c>
      <c r="K48" s="23">
        <v>327.9585265487276</v>
      </c>
      <c r="L48" s="23">
        <v>323.82963745160151</v>
      </c>
      <c r="M48" s="23">
        <v>256.82646178263536</v>
      </c>
      <c r="N48" s="23">
        <v>275.15639281602034</v>
      </c>
      <c r="O48" s="23">
        <v>305.86541921554516</v>
      </c>
      <c r="P48" s="23">
        <v>314.05529705161558</v>
      </c>
      <c r="Q48" s="23">
        <v>319.72810198241751</v>
      </c>
      <c r="R48" s="23">
        <v>333.72247494062236</v>
      </c>
      <c r="S48" s="23">
        <v>346.5</v>
      </c>
      <c r="T48" s="23">
        <v>375.15713387806414</v>
      </c>
      <c r="U48" s="23">
        <v>401.75983731957393</v>
      </c>
      <c r="V48" s="23">
        <v>398.39337038615321</v>
      </c>
      <c r="W48" s="23">
        <v>401.55745058927033</v>
      </c>
      <c r="X48" s="23">
        <v>381.75291130373876</v>
      </c>
      <c r="Y48" s="23">
        <v>435.15056899880858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69.752320151327069</v>
      </c>
      <c r="E49" s="23">
        <v>57.4067600139837</v>
      </c>
      <c r="F49" s="23">
        <v>66.831552912698001</v>
      </c>
      <c r="G49" s="23">
        <v>70.914817996530061</v>
      </c>
      <c r="H49" s="23">
        <v>98.383923099254858</v>
      </c>
      <c r="I49" s="23">
        <v>123.34587095889994</v>
      </c>
      <c r="J49" s="23">
        <v>142.70694609939022</v>
      </c>
      <c r="K49" s="23">
        <v>125.5641060705894</v>
      </c>
      <c r="L49" s="23">
        <v>158.39493136219639</v>
      </c>
      <c r="M49" s="23">
        <v>113.50382955187631</v>
      </c>
      <c r="N49" s="23">
        <v>155.97735123393042</v>
      </c>
      <c r="O49" s="23">
        <v>233.10993163008277</v>
      </c>
      <c r="P49" s="23">
        <v>171.00845325876904</v>
      </c>
      <c r="Q49" s="23">
        <v>179.95681862790673</v>
      </c>
      <c r="R49" s="23">
        <v>190.7129342619057</v>
      </c>
      <c r="S49" s="23">
        <v>158.30000000000001</v>
      </c>
      <c r="T49" s="23">
        <v>173.73114393463231</v>
      </c>
      <c r="U49" s="23">
        <v>183.77566825356101</v>
      </c>
      <c r="V49" s="23">
        <v>210.98347129917582</v>
      </c>
      <c r="W49" s="23">
        <v>228.21703265594104</v>
      </c>
      <c r="X49" s="23">
        <v>217.23141581297611</v>
      </c>
      <c r="Y49" s="23">
        <v>198.26629965901154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53.989083958936774</v>
      </c>
      <c r="E50" s="23">
        <v>32.935288597766288</v>
      </c>
      <c r="F50" s="23">
        <v>39.642863407532147</v>
      </c>
      <c r="G50" s="23">
        <v>46.827362002459282</v>
      </c>
      <c r="H50" s="23">
        <v>62.73991161575433</v>
      </c>
      <c r="I50" s="23">
        <v>108.72710106747478</v>
      </c>
      <c r="J50" s="23">
        <v>118.59535992149718</v>
      </c>
      <c r="K50" s="23">
        <v>141.2285391051382</v>
      </c>
      <c r="L50" s="23">
        <v>143.02475654112402</v>
      </c>
      <c r="M50" s="23">
        <v>115.42762327309455</v>
      </c>
      <c r="N50" s="23">
        <v>133.30484431940934</v>
      </c>
      <c r="O50" s="23">
        <v>157.8805325656711</v>
      </c>
      <c r="P50" s="23">
        <v>165.93433879970203</v>
      </c>
      <c r="Q50" s="23">
        <v>167.5602524767306</v>
      </c>
      <c r="R50" s="23">
        <v>164.1439555573447</v>
      </c>
      <c r="S50" s="23">
        <v>163.19999999999999</v>
      </c>
      <c r="T50" s="23">
        <v>189.34632306725331</v>
      </c>
      <c r="U50" s="23">
        <v>190.80741564278725</v>
      </c>
      <c r="V50" s="23">
        <v>182.96718740083233</v>
      </c>
      <c r="W50" s="23">
        <v>179.96045399510467</v>
      </c>
      <c r="X50" s="23">
        <v>188.5999474651957</v>
      </c>
      <c r="Y50" s="23">
        <v>180.84713035618915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44.728182695907471</v>
      </c>
      <c r="E51" s="23">
        <v>57.59075603966955</v>
      </c>
      <c r="F51" s="23">
        <v>68.059429212931278</v>
      </c>
      <c r="G51" s="23">
        <v>73.778361716104911</v>
      </c>
      <c r="H51" s="23">
        <v>82.255411115770457</v>
      </c>
      <c r="I51" s="23">
        <v>99.133533326226981</v>
      </c>
      <c r="J51" s="23">
        <v>106.39938319198151</v>
      </c>
      <c r="K51" s="23">
        <v>128.17484490968087</v>
      </c>
      <c r="L51" s="23">
        <v>114.27900973835503</v>
      </c>
      <c r="M51" s="23">
        <v>68.655388425976028</v>
      </c>
      <c r="N51" s="23">
        <v>76.326816471398217</v>
      </c>
      <c r="O51" s="23">
        <v>107.0528967254408</v>
      </c>
      <c r="P51" s="23">
        <v>106.01660422986819</v>
      </c>
      <c r="Q51" s="23">
        <v>107.85012551523228</v>
      </c>
      <c r="R51" s="23">
        <v>117.84952296606416</v>
      </c>
      <c r="S51" s="23">
        <v>122</v>
      </c>
      <c r="T51" s="23">
        <v>122.171590194846</v>
      </c>
      <c r="U51" s="23">
        <v>132.46291703488316</v>
      </c>
      <c r="V51" s="23">
        <v>136.54538365988773</v>
      </c>
      <c r="W51" s="23">
        <v>147.20869663684746</v>
      </c>
      <c r="X51" s="23">
        <v>128.4475965327029</v>
      </c>
      <c r="Y51" s="23">
        <v>138.77819317201431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49.654194006029442</v>
      </c>
      <c r="E52" s="23">
        <v>51.886879243408345</v>
      </c>
      <c r="F52" s="23">
        <v>58.411829711098243</v>
      </c>
      <c r="G52" s="23">
        <v>60.976636852123242</v>
      </c>
      <c r="H52" s="23">
        <v>76.287861681881225</v>
      </c>
      <c r="I52" s="23">
        <v>74.616637987482676</v>
      </c>
      <c r="J52" s="23">
        <v>74.998247704492897</v>
      </c>
      <c r="K52" s="23">
        <v>90.008329500105688</v>
      </c>
      <c r="L52" s="23">
        <v>107.47389416871992</v>
      </c>
      <c r="M52" s="23">
        <v>72.142264545684085</v>
      </c>
      <c r="N52" s="23">
        <v>122.02794297449047</v>
      </c>
      <c r="O52" s="23">
        <v>122.34616768621807</v>
      </c>
      <c r="P52" s="23">
        <v>117.13647208697249</v>
      </c>
      <c r="Q52" s="23">
        <v>115.49467464179089</v>
      </c>
      <c r="R52" s="23">
        <v>112.71687935268307</v>
      </c>
      <c r="S52" s="23">
        <v>122.2</v>
      </c>
      <c r="T52" s="23">
        <v>121.28771213073539</v>
      </c>
      <c r="U52" s="23">
        <v>110.60748596026113</v>
      </c>
      <c r="V52" s="23">
        <v>121.49456447825337</v>
      </c>
      <c r="W52" s="23">
        <v>112.54061305018161</v>
      </c>
      <c r="X52" s="23">
        <v>116.18947552753698</v>
      </c>
      <c r="Y52" s="23">
        <v>113.55326404009695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281.37376603416828</v>
      </c>
      <c r="E53" s="23">
        <v>320.88906879611159</v>
      </c>
      <c r="F53" s="23">
        <v>360.99563226858891</v>
      </c>
      <c r="G53" s="23">
        <v>372.26068354472932</v>
      </c>
      <c r="H53" s="23">
        <v>341.92445404987075</v>
      </c>
      <c r="I53" s="23">
        <v>331.35878420563813</v>
      </c>
      <c r="J53" s="23">
        <v>323.54384243358618</v>
      </c>
      <c r="K53" s="23">
        <v>312.9156979996792</v>
      </c>
      <c r="L53" s="23">
        <v>299.77707380030597</v>
      </c>
      <c r="M53" s="23">
        <v>243.72061705683859</v>
      </c>
      <c r="N53" s="23">
        <v>266.37228018945189</v>
      </c>
      <c r="O53" s="23">
        <v>282.70061173083968</v>
      </c>
      <c r="P53" s="23">
        <v>301.96379025554279</v>
      </c>
      <c r="Q53" s="23">
        <v>306.19518393404769</v>
      </c>
      <c r="R53" s="23">
        <v>323.75910792641116</v>
      </c>
      <c r="S53" s="23">
        <v>341.20000000000209</v>
      </c>
      <c r="T53" s="23">
        <v>344.02498428660965</v>
      </c>
      <c r="U53" s="23">
        <v>366.98119482691482</v>
      </c>
      <c r="V53" s="23">
        <v>412.26551095717559</v>
      </c>
      <c r="W53" s="23">
        <v>447.11375138280255</v>
      </c>
      <c r="X53" s="23">
        <v>387.35662376324444</v>
      </c>
      <c r="Y53" s="23">
        <v>409.51481040220006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1881.1451991093788</v>
      </c>
      <c r="E54" s="30">
        <f t="shared" ref="E54:S54" si="4">SUM(E41:E53)</f>
        <v>2063.1474360153798</v>
      </c>
      <c r="F54" s="30">
        <f t="shared" si="4"/>
        <v>2150.5376344086021</v>
      </c>
      <c r="G54" s="30">
        <f t="shared" si="4"/>
        <v>2319.4704128556259</v>
      </c>
      <c r="H54" s="30">
        <f t="shared" si="4"/>
        <v>2352.8273281507059</v>
      </c>
      <c r="I54" s="30">
        <f t="shared" si="4"/>
        <v>2533.4632779545914</v>
      </c>
      <c r="J54" s="30">
        <f t="shared" si="4"/>
        <v>2751.9450480128949</v>
      </c>
      <c r="K54" s="30">
        <f t="shared" si="4"/>
        <v>2828.1760881186547</v>
      </c>
      <c r="L54" s="30">
        <f t="shared" si="4"/>
        <v>2680.0422386483642</v>
      </c>
      <c r="M54" s="30">
        <f t="shared" si="4"/>
        <v>2088.3983214899808</v>
      </c>
      <c r="N54" s="30">
        <f t="shared" si="4"/>
        <v>2405.7785216575858</v>
      </c>
      <c r="O54" s="30">
        <f t="shared" si="4"/>
        <v>2739.5196113709985</v>
      </c>
      <c r="P54" s="30">
        <f t="shared" si="4"/>
        <v>2709.5771211417855</v>
      </c>
      <c r="Q54" s="30">
        <f t="shared" si="4"/>
        <v>2683.1334387041429</v>
      </c>
      <c r="R54" s="30">
        <f t="shared" si="4"/>
        <v>2861.4991344953896</v>
      </c>
      <c r="S54" s="30">
        <f t="shared" si="4"/>
        <v>2869.1000000000017</v>
      </c>
      <c r="T54" s="30">
        <f t="shared" ref="T54:Y54" si="5">SUM(T41:T53)</f>
        <v>2965.9019484600858</v>
      </c>
      <c r="U54" s="30">
        <f t="shared" si="5"/>
        <v>3082.661041268756</v>
      </c>
      <c r="V54" s="30">
        <f t="shared" si="5"/>
        <v>3167.5627646360126</v>
      </c>
      <c r="W54" s="30">
        <f t="shared" si="5"/>
        <v>3194.3416112819341</v>
      </c>
      <c r="X54" s="30">
        <f t="shared" si="5"/>
        <v>3085.8068470361632</v>
      </c>
      <c r="Y54" s="30">
        <f t="shared" si="5"/>
        <v>3396.3271845856771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347.18527713739633</v>
      </c>
      <c r="E56" s="19">
        <v>359.34423816445565</v>
      </c>
      <c r="F56" s="19">
        <v>340.12173516462315</v>
      </c>
      <c r="G56" s="19">
        <v>348.34167129886976</v>
      </c>
      <c r="H56" s="19">
        <v>311.76413664075352</v>
      </c>
      <c r="I56" s="19">
        <v>335.01347667849365</v>
      </c>
      <c r="J56" s="19">
        <v>355.22534520221495</v>
      </c>
      <c r="K56" s="19">
        <v>352.57406417444713</v>
      </c>
      <c r="L56" s="19">
        <v>352.22339551801008</v>
      </c>
      <c r="M56" s="19">
        <v>369.60886868905476</v>
      </c>
      <c r="N56" s="19">
        <v>319.55177284759566</v>
      </c>
      <c r="O56" s="19">
        <v>322.84544800287881</v>
      </c>
      <c r="P56" s="19">
        <v>334.0278752415602</v>
      </c>
      <c r="Q56" s="19">
        <v>346.17410977159324</v>
      </c>
      <c r="R56" s="19">
        <v>400.04428163117427</v>
      </c>
      <c r="S56" s="19">
        <v>380.2</v>
      </c>
      <c r="T56" s="19">
        <v>379.08548082966689</v>
      </c>
      <c r="U56" s="19">
        <v>377.62383952412176</v>
      </c>
      <c r="V56" s="19">
        <v>389.41727942843153</v>
      </c>
      <c r="W56" s="19">
        <v>396.50531780528382</v>
      </c>
      <c r="X56" s="19">
        <v>400.84055686892566</v>
      </c>
      <c r="Y56" s="19">
        <v>391.19181627706342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276.25071427163994</v>
      </c>
      <c r="E57" s="23">
        <v>311.68926751182175</v>
      </c>
      <c r="F57" s="23">
        <v>317.66913996035714</v>
      </c>
      <c r="G57" s="23">
        <v>307.24139673556016</v>
      </c>
      <c r="H57" s="23">
        <v>293.53891809941615</v>
      </c>
      <c r="I57" s="23">
        <v>258.56949245458287</v>
      </c>
      <c r="J57" s="23">
        <v>252.33055302446206</v>
      </c>
      <c r="K57" s="23">
        <v>224.89650285316461</v>
      </c>
      <c r="L57" s="23">
        <v>198.99096562243341</v>
      </c>
      <c r="M57" s="23">
        <v>156.54871406413446</v>
      </c>
      <c r="N57" s="23">
        <v>159.65718219911449</v>
      </c>
      <c r="O57" s="23">
        <v>163.39060813242176</v>
      </c>
      <c r="P57" s="23">
        <v>169.71293467347533</v>
      </c>
      <c r="Q57" s="23">
        <v>159.60578919639261</v>
      </c>
      <c r="R57" s="23">
        <v>171.08812044603678</v>
      </c>
      <c r="S57" s="23">
        <v>172.8</v>
      </c>
      <c r="T57" s="23">
        <v>176.77561282212446</v>
      </c>
      <c r="U57" s="23">
        <v>182.16026682630635</v>
      </c>
      <c r="V57" s="23">
        <v>170.90839853843852</v>
      </c>
      <c r="W57" s="23">
        <v>160.01324007212355</v>
      </c>
      <c r="X57" s="23">
        <v>159.18045705279749</v>
      </c>
      <c r="Y57" s="23">
        <v>143.21515139065775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255.75850722153262</v>
      </c>
      <c r="E58" s="23">
        <v>290.89771660932126</v>
      </c>
      <c r="F58" s="23">
        <v>311.88058025925733</v>
      </c>
      <c r="G58" s="23">
        <v>349.01544629171087</v>
      </c>
      <c r="H58" s="23">
        <v>367.56878810360956</v>
      </c>
      <c r="I58" s="23">
        <v>373.84458420259182</v>
      </c>
      <c r="J58" s="23">
        <v>391.11235718791619</v>
      </c>
      <c r="K58" s="23">
        <v>394.84316918830893</v>
      </c>
      <c r="L58" s="23">
        <v>317.37651061832685</v>
      </c>
      <c r="M58" s="23">
        <v>272.09657444480519</v>
      </c>
      <c r="N58" s="23">
        <v>340.08760371781636</v>
      </c>
      <c r="O58" s="23">
        <v>373.67308384310905</v>
      </c>
      <c r="P58" s="23">
        <v>378.50734666997744</v>
      </c>
      <c r="Q58" s="23">
        <v>391.21496678753317</v>
      </c>
      <c r="R58" s="23">
        <v>445.43295358479929</v>
      </c>
      <c r="S58" s="23">
        <v>481.2</v>
      </c>
      <c r="T58" s="23">
        <v>484.65980515399121</v>
      </c>
      <c r="U58" s="23">
        <v>515.3130552942406</v>
      </c>
      <c r="V58" s="23">
        <v>513.72253905506238</v>
      </c>
      <c r="W58" s="23">
        <v>501.46773167948578</v>
      </c>
      <c r="X58" s="23">
        <v>553.1039313545225</v>
      </c>
      <c r="Y58" s="23">
        <v>740.88985662051687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37.831766861736718</v>
      </c>
      <c r="E59" s="23">
        <v>40.295129625200097</v>
      </c>
      <c r="F59" s="23">
        <v>46.133066708765284</v>
      </c>
      <c r="G59" s="23">
        <v>44.132262031094719</v>
      </c>
      <c r="H59" s="23">
        <v>38.063288281023191</v>
      </c>
      <c r="I59" s="23">
        <v>39.744780642312207</v>
      </c>
      <c r="J59" s="23">
        <v>49.48482512090839</v>
      </c>
      <c r="K59" s="23">
        <v>56.690329077414624</v>
      </c>
      <c r="L59" s="23">
        <v>53.971606241933586</v>
      </c>
      <c r="M59" s="23">
        <v>39.558008392550107</v>
      </c>
      <c r="N59" s="23">
        <v>69.560675664446904</v>
      </c>
      <c r="O59" s="23">
        <v>63.309643756747036</v>
      </c>
      <c r="P59" s="23">
        <v>56.139138696060549</v>
      </c>
      <c r="Q59" s="23">
        <v>51.858968399086784</v>
      </c>
      <c r="R59" s="23">
        <v>53.238597479972626</v>
      </c>
      <c r="S59" s="23">
        <v>56.5</v>
      </c>
      <c r="T59" s="23">
        <v>56.469987429289759</v>
      </c>
      <c r="U59" s="23">
        <v>66.041411290705739</v>
      </c>
      <c r="V59" s="23">
        <v>69.088700098827658</v>
      </c>
      <c r="W59" s="23">
        <v>53.395817182477813</v>
      </c>
      <c r="X59" s="23">
        <v>39.225987216530953</v>
      </c>
      <c r="Y59" s="23">
        <v>58.091286307053942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52.215719887292813</v>
      </c>
      <c r="E60" s="23">
        <v>61.638668604758159</v>
      </c>
      <c r="F60" s="23">
        <v>69.28730551316454</v>
      </c>
      <c r="G60" s="23">
        <v>72.262367982212396</v>
      </c>
      <c r="H60" s="23">
        <v>73.384729524854023</v>
      </c>
      <c r="I60" s="23">
        <v>79.185003578553108</v>
      </c>
      <c r="J60" s="23">
        <v>88.175509917992599</v>
      </c>
      <c r="K60" s="23">
        <v>90.008329500105674</v>
      </c>
      <c r="L60" s="23">
        <v>80.840079784113613</v>
      </c>
      <c r="M60" s="23">
        <v>67.21254313506239</v>
      </c>
      <c r="N60" s="23">
        <v>77.157746044181664</v>
      </c>
      <c r="O60" s="23">
        <v>76.578805325656688</v>
      </c>
      <c r="P60" s="23">
        <v>82.265430166150253</v>
      </c>
      <c r="Q60" s="23">
        <v>79.131413931674217</v>
      </c>
      <c r="R60" s="23">
        <v>77.99605490922265</v>
      </c>
      <c r="S60" s="23">
        <v>77.300000000000011</v>
      </c>
      <c r="T60" s="23">
        <v>81.120364550597046</v>
      </c>
      <c r="U60" s="23">
        <v>82.955614470195954</v>
      </c>
      <c r="V60" s="23">
        <v>75.344763493603395</v>
      </c>
      <c r="W60" s="23">
        <v>71.165387664085344</v>
      </c>
      <c r="X60" s="23">
        <v>65.668505384817294</v>
      </c>
      <c r="Y60" s="23">
        <v>64.91105542089494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12.216508049102481</v>
      </c>
      <c r="E61" s="23">
        <v>14.16769397781008</v>
      </c>
      <c r="F61" s="23">
        <v>12.454173902366293</v>
      </c>
      <c r="G61" s="23">
        <v>14.486162346084527</v>
      </c>
      <c r="H61" s="23">
        <v>23.386342376052383</v>
      </c>
      <c r="I61" s="23">
        <v>36.546924728562949</v>
      </c>
      <c r="J61" s="23">
        <v>55.372538024812506</v>
      </c>
      <c r="K61" s="23">
        <v>57.311933562912593</v>
      </c>
      <c r="L61" s="23">
        <v>93.863663029449725</v>
      </c>
      <c r="M61" s="23">
        <v>54.106698409263068</v>
      </c>
      <c r="N61" s="23">
        <v>88.909464287834027</v>
      </c>
      <c r="O61" s="23">
        <v>152.03310543360919</v>
      </c>
      <c r="P61" s="23">
        <v>186.01487687175447</v>
      </c>
      <c r="Q61" s="23">
        <v>128.71767853637874</v>
      </c>
      <c r="R61" s="23">
        <v>128.11481019282638</v>
      </c>
      <c r="S61" s="23">
        <v>90.7</v>
      </c>
      <c r="T61" s="23">
        <v>66.88010685103707</v>
      </c>
      <c r="U61" s="23">
        <v>61.86037230251717</v>
      </c>
      <c r="V61" s="23">
        <v>75.798101420761057</v>
      </c>
      <c r="W61" s="23">
        <v>98.690800763046269</v>
      </c>
      <c r="X61" s="23">
        <v>52.097014271955175</v>
      </c>
      <c r="Y61" s="23">
        <v>81.919395259027979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79.210261866761257</v>
      </c>
      <c r="E62" s="23">
        <v>97.14990156212626</v>
      </c>
      <c r="F62" s="23">
        <v>84.89887561613078</v>
      </c>
      <c r="G62" s="23">
        <v>99.718698940488835</v>
      </c>
      <c r="H62" s="23">
        <v>103.06119157446534</v>
      </c>
      <c r="I62" s="23">
        <v>126.08689031354217</v>
      </c>
      <c r="J62" s="23">
        <v>120.41774724889606</v>
      </c>
      <c r="K62" s="23">
        <v>124.56953889379267</v>
      </c>
      <c r="L62" s="23">
        <v>148.42191716531738</v>
      </c>
      <c r="M62" s="23">
        <v>80.679099183590026</v>
      </c>
      <c r="N62" s="23">
        <v>111.34456275298838</v>
      </c>
      <c r="O62" s="23">
        <v>131.5671104713926</v>
      </c>
      <c r="P62" s="23">
        <v>83.452988869336153</v>
      </c>
      <c r="Q62" s="23">
        <v>91.114761211144511</v>
      </c>
      <c r="R62" s="23">
        <v>96.312547804033656</v>
      </c>
      <c r="S62" s="23">
        <v>106.1</v>
      </c>
      <c r="T62" s="23">
        <v>114.31489629164048</v>
      </c>
      <c r="U62" s="23">
        <v>104.05085663787452</v>
      </c>
      <c r="V62" s="23">
        <v>112.51847352053167</v>
      </c>
      <c r="W62" s="23">
        <v>100.25870404083517</v>
      </c>
      <c r="X62" s="23">
        <v>115.13877944137992</v>
      </c>
      <c r="Y62" s="23">
        <v>127.52146583952999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7.6845776437902709</v>
      </c>
      <c r="E63" s="23">
        <v>9.1998012842922599</v>
      </c>
      <c r="F63" s="23">
        <v>9.647599501833044</v>
      </c>
      <c r="G63" s="23">
        <v>8.42218741051426</v>
      </c>
      <c r="H63" s="23">
        <v>7.7416857520725131</v>
      </c>
      <c r="I63" s="23">
        <v>5.9388752683914792</v>
      </c>
      <c r="J63" s="23">
        <v>7.0091820284572792</v>
      </c>
      <c r="K63" s="23">
        <v>8.080858311473575</v>
      </c>
      <c r="L63" s="23">
        <v>11.263639563533966</v>
      </c>
      <c r="M63" s="23">
        <v>10.099917036395773</v>
      </c>
      <c r="N63" s="23">
        <v>12.226535142385718</v>
      </c>
      <c r="O63" s="23">
        <v>13.3816120906801</v>
      </c>
      <c r="P63" s="23">
        <v>11.983546913966771</v>
      </c>
      <c r="Q63" s="23">
        <v>10.846995382279108</v>
      </c>
      <c r="R63" s="23">
        <v>10.466567368463426</v>
      </c>
      <c r="S63" s="23">
        <v>11</v>
      </c>
      <c r="T63" s="23">
        <v>14.534883720930234</v>
      </c>
      <c r="U63" s="23">
        <v>12.543116964565694</v>
      </c>
      <c r="V63" s="23">
        <v>11.333448178941547</v>
      </c>
      <c r="W63" s="23">
        <v>12.369014747001385</v>
      </c>
      <c r="X63" s="23">
        <v>18.212065493389371</v>
      </c>
      <c r="Y63" s="23">
        <v>16.186680908754777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52.806841244507503</v>
      </c>
      <c r="E64" s="23">
        <v>65.134593092789203</v>
      </c>
      <c r="F64" s="23">
        <v>72.093879913697833</v>
      </c>
      <c r="G64" s="23">
        <v>85.400980342614588</v>
      </c>
      <c r="H64" s="23">
        <v>86.610109351311252</v>
      </c>
      <c r="I64" s="23">
        <v>91.062754115336006</v>
      </c>
      <c r="J64" s="23">
        <v>115.09076890726853</v>
      </c>
      <c r="K64" s="23">
        <v>108.28350137374592</v>
      </c>
      <c r="L64" s="23">
        <v>86.706558723454194</v>
      </c>
      <c r="M64" s="23">
        <v>64.807800983539536</v>
      </c>
      <c r="N64" s="23">
        <v>83.211661503032886</v>
      </c>
      <c r="O64" s="23">
        <v>99.743612810363445</v>
      </c>
      <c r="P64" s="23">
        <v>101.59024906344803</v>
      </c>
      <c r="Q64" s="23">
        <v>98.759310337703127</v>
      </c>
      <c r="R64" s="23">
        <v>102.65287226762207</v>
      </c>
      <c r="S64" s="23">
        <v>98.9</v>
      </c>
      <c r="T64" s="23">
        <v>107.14566310496544</v>
      </c>
      <c r="U64" s="23">
        <v>114.40843049497801</v>
      </c>
      <c r="V64" s="23">
        <v>121.49456447825337</v>
      </c>
      <c r="W64" s="23">
        <v>120.29302370147121</v>
      </c>
      <c r="X64" s="23">
        <v>121.70562997986167</v>
      </c>
      <c r="Y64" s="23">
        <v>138.86035906495215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111.72193651356625</v>
      </c>
      <c r="E65" s="23">
        <v>124.38131336363136</v>
      </c>
      <c r="F65" s="23">
        <v>131.20735322492939</v>
      </c>
      <c r="G65" s="23">
        <v>164.73798574965892</v>
      </c>
      <c r="H65" s="23">
        <v>175.63949550014516</v>
      </c>
      <c r="I65" s="23">
        <v>206.64240356941633</v>
      </c>
      <c r="J65" s="23">
        <v>251.34926754047802</v>
      </c>
      <c r="K65" s="23">
        <v>285.06781704936776</v>
      </c>
      <c r="L65" s="23">
        <v>189.60459931948844</v>
      </c>
      <c r="M65" s="23">
        <v>103.40391251548054</v>
      </c>
      <c r="N65" s="23">
        <v>114.90568949348911</v>
      </c>
      <c r="O65" s="23">
        <v>134.04102195034187</v>
      </c>
      <c r="P65" s="23">
        <v>129.7677782935861</v>
      </c>
      <c r="Q65" s="23">
        <v>128.9242879722317</v>
      </c>
      <c r="R65" s="23">
        <v>133.24745380620749</v>
      </c>
      <c r="S65" s="23">
        <v>141</v>
      </c>
      <c r="T65" s="23">
        <v>159.19626021370209</v>
      </c>
      <c r="U65" s="23">
        <v>179.30955842526873</v>
      </c>
      <c r="V65" s="23">
        <v>165.28700824168351</v>
      </c>
      <c r="W65" s="23">
        <v>163.58457531597605</v>
      </c>
      <c r="X65" s="23">
        <v>141.05594956658791</v>
      </c>
      <c r="Y65" s="23">
        <v>157.42985086890434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1.3792831668341512</v>
      </c>
      <c r="E66" s="23">
        <v>2.5759443596018325</v>
      </c>
      <c r="F66" s="23">
        <v>3.3328071006332332</v>
      </c>
      <c r="G66" s="23">
        <v>3.2004312159954185</v>
      </c>
      <c r="H66" s="23">
        <v>4.8385535950453207</v>
      </c>
      <c r="I66" s="23">
        <v>3.5024136198206151</v>
      </c>
      <c r="J66" s="23">
        <v>5.8877129039041147</v>
      </c>
      <c r="K66" s="23">
        <v>8.951104591170731</v>
      </c>
      <c r="L66" s="23">
        <v>16.191481872580077</v>
      </c>
      <c r="M66" s="23">
        <v>7.4547006697206895</v>
      </c>
      <c r="N66" s="23">
        <v>10.920788670868795</v>
      </c>
      <c r="O66" s="23">
        <v>11.132601655271682</v>
      </c>
      <c r="P66" s="23">
        <v>8.4208708044090823</v>
      </c>
      <c r="Q66" s="23">
        <v>8.8842057416762223</v>
      </c>
      <c r="R66" s="23">
        <v>10.869127651865867</v>
      </c>
      <c r="S66" s="23">
        <v>12</v>
      </c>
      <c r="T66" s="23">
        <v>16.106222501571338</v>
      </c>
      <c r="U66" s="23">
        <v>27.651871490065282</v>
      </c>
      <c r="V66" s="23">
        <v>28.832292167227294</v>
      </c>
      <c r="W66" s="23">
        <v>27.351201623650951</v>
      </c>
      <c r="X66" s="23">
        <v>19.78810962262499</v>
      </c>
      <c r="Y66" s="23">
        <v>25.224929131917342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147.38625839884929</v>
      </c>
      <c r="E67" s="23">
        <v>165.96441516863237</v>
      </c>
      <c r="F67" s="23">
        <v>157.86981002999525</v>
      </c>
      <c r="G67" s="23">
        <v>197.75296039887479</v>
      </c>
      <c r="H67" s="23">
        <v>205.63852778942615</v>
      </c>
      <c r="I67" s="23">
        <v>240.14375123726569</v>
      </c>
      <c r="J67" s="23">
        <v>294.24546155463662</v>
      </c>
      <c r="K67" s="23">
        <v>319.00742195755686</v>
      </c>
      <c r="L67" s="23">
        <v>307.63815557902143</v>
      </c>
      <c r="M67" s="23">
        <v>249.37176111291467</v>
      </c>
      <c r="N67" s="23">
        <v>264.23560414515157</v>
      </c>
      <c r="O67" s="23">
        <v>294.73281756027347</v>
      </c>
      <c r="P67" s="23">
        <v>305.63442624720648</v>
      </c>
      <c r="Q67" s="23">
        <v>310.84389624074129</v>
      </c>
      <c r="R67" s="23">
        <v>322.85334728875648</v>
      </c>
      <c r="S67" s="23">
        <v>334.5</v>
      </c>
      <c r="T67" s="23">
        <v>359.05091137649282</v>
      </c>
      <c r="U67" s="23">
        <v>374.10796582950866</v>
      </c>
      <c r="V67" s="23">
        <v>369.5610782189259</v>
      </c>
      <c r="W67" s="23">
        <v>374.20624896561935</v>
      </c>
      <c r="X67" s="23">
        <v>361.96480168111378</v>
      </c>
      <c r="Y67" s="23">
        <v>409.92563986689123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69.752320151327069</v>
      </c>
      <c r="E68" s="23">
        <v>57.4067600139837</v>
      </c>
      <c r="F68" s="23">
        <v>66.831552912698001</v>
      </c>
      <c r="G68" s="23">
        <v>70.914817996530061</v>
      </c>
      <c r="H68" s="23">
        <v>98.383923099254858</v>
      </c>
      <c r="I68" s="23">
        <v>123.34587095889994</v>
      </c>
      <c r="J68" s="23">
        <v>142.70694609939022</v>
      </c>
      <c r="K68" s="23">
        <v>125.5641060705894</v>
      </c>
      <c r="L68" s="23">
        <v>158.39493136219639</v>
      </c>
      <c r="M68" s="23">
        <v>113.50382955187631</v>
      </c>
      <c r="N68" s="23">
        <v>155.97735123393042</v>
      </c>
      <c r="O68" s="23">
        <v>233.10993163008277</v>
      </c>
      <c r="P68" s="23">
        <v>171.00845325876904</v>
      </c>
      <c r="Q68" s="23">
        <v>179.95681862790673</v>
      </c>
      <c r="R68" s="23">
        <v>190.7129342619057</v>
      </c>
      <c r="S68" s="23">
        <v>158.30000000000001</v>
      </c>
      <c r="T68" s="23">
        <v>173.73114393463231</v>
      </c>
      <c r="U68" s="23">
        <v>183.77566825356101</v>
      </c>
      <c r="V68" s="23">
        <v>210.98347129917582</v>
      </c>
      <c r="W68" s="23">
        <v>228.21703265594104</v>
      </c>
      <c r="X68" s="23">
        <v>217.23141581297611</v>
      </c>
      <c r="Y68" s="23">
        <v>198.26629965901154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53.989083958936774</v>
      </c>
      <c r="E69" s="23">
        <v>32.935288597766288</v>
      </c>
      <c r="F69" s="23">
        <v>39.642863407532147</v>
      </c>
      <c r="G69" s="23">
        <v>46.827362002459282</v>
      </c>
      <c r="H69" s="23">
        <v>62.73991161575433</v>
      </c>
      <c r="I69" s="23">
        <v>108.72710106747478</v>
      </c>
      <c r="J69" s="23">
        <v>118.59535992149718</v>
      </c>
      <c r="K69" s="23">
        <v>141.2285391051382</v>
      </c>
      <c r="L69" s="23">
        <v>143.02475654112402</v>
      </c>
      <c r="M69" s="23">
        <v>115.42762327309455</v>
      </c>
      <c r="N69" s="23">
        <v>133.30484431940934</v>
      </c>
      <c r="O69" s="23">
        <v>157.8805325656711</v>
      </c>
      <c r="P69" s="23">
        <v>165.93433879970203</v>
      </c>
      <c r="Q69" s="23">
        <v>167.5602524767306</v>
      </c>
      <c r="R69" s="23">
        <v>164.1439555573447</v>
      </c>
      <c r="S69" s="23">
        <v>163.19999999999999</v>
      </c>
      <c r="T69" s="23">
        <v>189.34632306725331</v>
      </c>
      <c r="U69" s="23">
        <v>190.80741564278725</v>
      </c>
      <c r="V69" s="23">
        <v>182.96718740083233</v>
      </c>
      <c r="W69" s="23">
        <v>179.96045399510467</v>
      </c>
      <c r="X69" s="23">
        <v>188.5999474651957</v>
      </c>
      <c r="Y69" s="23">
        <v>180.84713035618915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44.728182695907471</v>
      </c>
      <c r="E70" s="23">
        <v>57.59075603966955</v>
      </c>
      <c r="F70" s="23">
        <v>68.059429212931278</v>
      </c>
      <c r="G70" s="23">
        <v>73.778361716104911</v>
      </c>
      <c r="H70" s="23">
        <v>82.255411115770457</v>
      </c>
      <c r="I70" s="23">
        <v>99.133533326226981</v>
      </c>
      <c r="J70" s="23">
        <v>106.39938319198151</v>
      </c>
      <c r="K70" s="23">
        <v>128.17484490968087</v>
      </c>
      <c r="L70" s="23">
        <v>114.27900973835503</v>
      </c>
      <c r="M70" s="23">
        <v>68.655388425976028</v>
      </c>
      <c r="N70" s="23">
        <v>76.326816471398217</v>
      </c>
      <c r="O70" s="23">
        <v>107.0528967254408</v>
      </c>
      <c r="P70" s="23">
        <v>106.01660422986819</v>
      </c>
      <c r="Q70" s="23">
        <v>107.85012551523228</v>
      </c>
      <c r="R70" s="23">
        <v>117.84952296606416</v>
      </c>
      <c r="S70" s="23">
        <v>122</v>
      </c>
      <c r="T70" s="23">
        <v>122.171590194846</v>
      </c>
      <c r="U70" s="23">
        <v>132.46291703488316</v>
      </c>
      <c r="V70" s="23">
        <v>136.54538365988773</v>
      </c>
      <c r="W70" s="23">
        <v>147.20869663684746</v>
      </c>
      <c r="X70" s="23">
        <v>128.4475965327029</v>
      </c>
      <c r="Y70" s="23">
        <v>138.77819317201431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47.289708577170899</v>
      </c>
      <c r="E71" s="23">
        <v>47.470974626948063</v>
      </c>
      <c r="F71" s="23">
        <v>54.201968110298374</v>
      </c>
      <c r="G71" s="23">
        <v>54.238886923711839</v>
      </c>
      <c r="H71" s="23">
        <v>58.70778361988323</v>
      </c>
      <c r="I71" s="23">
        <v>58.170521859629361</v>
      </c>
      <c r="J71" s="23">
        <v>64.344291021237822</v>
      </c>
      <c r="K71" s="23">
        <v>70.116985964170723</v>
      </c>
      <c r="L71" s="23">
        <v>89.874457350698094</v>
      </c>
      <c r="M71" s="23">
        <v>55.910255022905169</v>
      </c>
      <c r="N71" s="23">
        <v>99.8302529587028</v>
      </c>
      <c r="O71" s="23">
        <v>99.743612810363445</v>
      </c>
      <c r="P71" s="23">
        <v>97.163893897027876</v>
      </c>
      <c r="Q71" s="23">
        <v>93.903988595159134</v>
      </c>
      <c r="R71" s="23">
        <v>91.079264119801934</v>
      </c>
      <c r="S71" s="23">
        <v>98.7</v>
      </c>
      <c r="T71" s="23">
        <v>97.914047768698936</v>
      </c>
      <c r="U71" s="23">
        <v>91.412716059940905</v>
      </c>
      <c r="V71" s="23">
        <v>97.376986753465758</v>
      </c>
      <c r="W71" s="23">
        <v>84.66677700060103</v>
      </c>
      <c r="X71" s="23">
        <v>85.28149899308292</v>
      </c>
      <c r="Y71" s="23">
        <v>91.286307053941911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2.3644854288585435</v>
      </c>
      <c r="E72" s="23">
        <v>4.4159046164602813</v>
      </c>
      <c r="F72" s="23">
        <v>4.2098616007998686</v>
      </c>
      <c r="G72" s="23">
        <v>6.7377499284114037</v>
      </c>
      <c r="H72" s="23">
        <v>17.580078061997995</v>
      </c>
      <c r="I72" s="23">
        <v>16.446116127853315</v>
      </c>
      <c r="J72" s="23">
        <v>10.653956683255075</v>
      </c>
      <c r="K72" s="23">
        <v>19.891343535934965</v>
      </c>
      <c r="L72" s="23">
        <v>17.599436818021829</v>
      </c>
      <c r="M72" s="23">
        <v>16.232009522778917</v>
      </c>
      <c r="N72" s="23">
        <v>22.197690015787671</v>
      </c>
      <c r="O72" s="23">
        <v>22.602554875854622</v>
      </c>
      <c r="P72" s="23">
        <v>19.972578189944613</v>
      </c>
      <c r="Q72" s="23">
        <v>21.59068604663176</v>
      </c>
      <c r="R72" s="23">
        <v>21.637615232881132</v>
      </c>
      <c r="S72" s="23">
        <v>23.5</v>
      </c>
      <c r="T72" s="23">
        <v>23.37366436203645</v>
      </c>
      <c r="U72" s="23">
        <v>19.194769900320225</v>
      </c>
      <c r="V72" s="23">
        <v>24.117577724787608</v>
      </c>
      <c r="W72" s="23">
        <v>27.873836049580575</v>
      </c>
      <c r="X72" s="23">
        <v>30.907976534454065</v>
      </c>
      <c r="Y72" s="23">
        <v>22.266956986155037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163.93765640085911</v>
      </c>
      <c r="E73" s="23">
        <v>189.33191043073469</v>
      </c>
      <c r="F73" s="23">
        <v>205.93239663912715</v>
      </c>
      <c r="G73" s="23">
        <v>213.7551164788519</v>
      </c>
      <c r="H73" s="23">
        <v>206.60623850843521</v>
      </c>
      <c r="I73" s="23">
        <v>215.32229819245003</v>
      </c>
      <c r="J73" s="23">
        <v>217.84537744445225</v>
      </c>
      <c r="K73" s="23">
        <v>211.84280865770728</v>
      </c>
      <c r="L73" s="23">
        <v>189.25261058312802</v>
      </c>
      <c r="M73" s="23">
        <v>151.73922976108886</v>
      </c>
      <c r="N73" s="23">
        <v>169.15352017378299</v>
      </c>
      <c r="O73" s="23">
        <v>171.37459517812164</v>
      </c>
      <c r="P73" s="23">
        <v>181.5885217053343</v>
      </c>
      <c r="Q73" s="23">
        <v>180.47334221753908</v>
      </c>
      <c r="R73" s="23">
        <v>188.80077291574412</v>
      </c>
      <c r="S73" s="23">
        <v>197.6</v>
      </c>
      <c r="T73" s="23">
        <v>212.71998742928974</v>
      </c>
      <c r="U73" s="23">
        <v>221.88013721409772</v>
      </c>
      <c r="V73" s="23">
        <v>217.60220503567768</v>
      </c>
      <c r="W73" s="23">
        <v>223.16489987195456</v>
      </c>
      <c r="X73" s="23">
        <v>224.49873040889588</v>
      </c>
      <c r="Y73" s="23">
        <v>242.88237952425951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117.43610963330917</v>
      </c>
      <c r="E74" s="23">
        <v>131.55715836537689</v>
      </c>
      <c r="F74" s="23">
        <v>155.06323562946176</v>
      </c>
      <c r="G74" s="23">
        <v>158.50556706587741</v>
      </c>
      <c r="H74" s="23">
        <v>135.31821554143553</v>
      </c>
      <c r="I74" s="23">
        <v>116.0364860131881</v>
      </c>
      <c r="J74" s="23">
        <v>105.69846498913392</v>
      </c>
      <c r="K74" s="23">
        <v>101.07288934197192</v>
      </c>
      <c r="L74" s="23">
        <v>110.52446321717795</v>
      </c>
      <c r="M74" s="23">
        <v>91.981387295749727</v>
      </c>
      <c r="N74" s="23">
        <v>97.218760015668892</v>
      </c>
      <c r="O74" s="23">
        <v>111.32601655271804</v>
      </c>
      <c r="P74" s="23">
        <v>120.37526855020849</v>
      </c>
      <c r="Q74" s="23">
        <v>125.72184171650861</v>
      </c>
      <c r="R74" s="23">
        <v>134.95833501066704</v>
      </c>
      <c r="S74" s="23">
        <v>143.6000000000021</v>
      </c>
      <c r="T74" s="23">
        <v>131.30499685731991</v>
      </c>
      <c r="U74" s="23">
        <v>145.1010576128171</v>
      </c>
      <c r="V74" s="23">
        <v>194.66330592149791</v>
      </c>
      <c r="W74" s="23">
        <v>223.94885151084799</v>
      </c>
      <c r="X74" s="23">
        <v>162.85789335434856</v>
      </c>
      <c r="Y74" s="23">
        <v>166.63243087794055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1881.1451991093788</v>
      </c>
      <c r="E75" s="30">
        <f t="shared" ref="E75:S75" si="6">SUM(E56:E74)</f>
        <v>2063.1474360153793</v>
      </c>
      <c r="F75" s="30">
        <f t="shared" si="6"/>
        <v>2150.5376344086021</v>
      </c>
      <c r="G75" s="30">
        <f t="shared" si="6"/>
        <v>2319.4704128556259</v>
      </c>
      <c r="H75" s="30">
        <f t="shared" si="6"/>
        <v>2352.8273281507063</v>
      </c>
      <c r="I75" s="30">
        <f t="shared" si="6"/>
        <v>2533.4632779545909</v>
      </c>
      <c r="J75" s="30">
        <f t="shared" si="6"/>
        <v>2751.9450480128953</v>
      </c>
      <c r="K75" s="30">
        <f t="shared" si="6"/>
        <v>2828.1760881186542</v>
      </c>
      <c r="L75" s="30">
        <f t="shared" si="6"/>
        <v>2680.0422386483638</v>
      </c>
      <c r="M75" s="30">
        <f t="shared" si="6"/>
        <v>2088.3983214899808</v>
      </c>
      <c r="N75" s="30">
        <f t="shared" si="6"/>
        <v>2405.7785216575862</v>
      </c>
      <c r="O75" s="30">
        <f t="shared" si="6"/>
        <v>2739.519611370999</v>
      </c>
      <c r="P75" s="30">
        <f t="shared" si="6"/>
        <v>2709.5771211417855</v>
      </c>
      <c r="Q75" s="30">
        <f t="shared" si="6"/>
        <v>2683.1334387041425</v>
      </c>
      <c r="R75" s="30">
        <f t="shared" si="6"/>
        <v>2861.4991344953896</v>
      </c>
      <c r="S75" s="30">
        <f t="shared" si="6"/>
        <v>2869.1000000000017</v>
      </c>
      <c r="T75" s="30">
        <f t="shared" ref="T75:Y75" si="7">SUM(T56:T74)</f>
        <v>2965.9019484600854</v>
      </c>
      <c r="U75" s="30">
        <f t="shared" si="7"/>
        <v>3082.661041268756</v>
      </c>
      <c r="V75" s="30">
        <f t="shared" si="7"/>
        <v>3167.5627646360126</v>
      </c>
      <c r="W75" s="30">
        <f t="shared" si="7"/>
        <v>3194.3416112819341</v>
      </c>
      <c r="X75" s="30">
        <f t="shared" si="7"/>
        <v>3085.8068470361632</v>
      </c>
      <c r="Y75" s="30">
        <f t="shared" si="7"/>
        <v>3396.3271845856766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1401250</v>
      </c>
      <c r="E3" s="42">
        <v>1392720</v>
      </c>
      <c r="F3" s="42">
        <v>1383510</v>
      </c>
      <c r="G3" s="42">
        <v>1375190</v>
      </c>
      <c r="H3" s="42">
        <v>1366250</v>
      </c>
      <c r="I3" s="42">
        <v>1358850</v>
      </c>
      <c r="J3" s="42">
        <v>1350700</v>
      </c>
      <c r="K3" s="42">
        <v>1342920</v>
      </c>
      <c r="L3" s="42">
        <v>1338440</v>
      </c>
      <c r="M3" s="42">
        <v>1335740</v>
      </c>
      <c r="N3" s="42">
        <v>1333290</v>
      </c>
      <c r="O3" s="42">
        <v>1329660</v>
      </c>
      <c r="P3" s="42">
        <v>1325217</v>
      </c>
      <c r="Q3" s="42">
        <v>1320174</v>
      </c>
      <c r="R3" s="42">
        <v>1315819</v>
      </c>
      <c r="S3" s="42">
        <v>1314870</v>
      </c>
      <c r="T3" s="42">
        <v>1315944</v>
      </c>
      <c r="U3" s="42">
        <v>1315635</v>
      </c>
      <c r="V3" s="42">
        <v>1319133</v>
      </c>
      <c r="W3" s="42">
        <v>1324820</v>
      </c>
      <c r="X3" s="42">
        <v>1328976</v>
      </c>
      <c r="Y3" s="42">
        <v>1330068</v>
      </c>
    </row>
    <row r="4" spans="1:25" x14ac:dyDescent="0.25">
      <c r="A4" s="43" t="s">
        <v>239</v>
      </c>
      <c r="B4" s="44"/>
      <c r="C4" s="44"/>
      <c r="D4" s="45">
        <v>552343</v>
      </c>
      <c r="E4" s="45">
        <v>557269</v>
      </c>
      <c r="F4" s="45">
        <v>562069</v>
      </c>
      <c r="G4" s="45">
        <v>567386</v>
      </c>
      <c r="H4" s="45">
        <v>572611</v>
      </c>
      <c r="I4" s="45">
        <v>569271</v>
      </c>
      <c r="J4" s="45">
        <v>575256</v>
      </c>
      <c r="K4" s="45">
        <v>581351</v>
      </c>
      <c r="L4" s="45">
        <v>591445</v>
      </c>
      <c r="M4" s="45">
        <v>590774</v>
      </c>
      <c r="N4" s="45">
        <v>589900</v>
      </c>
      <c r="O4" s="45">
        <v>588606</v>
      </c>
      <c r="P4" s="45">
        <v>588572</v>
      </c>
      <c r="Q4" s="45">
        <v>588575</v>
      </c>
      <c r="R4" s="45">
        <v>589525</v>
      </c>
      <c r="S4" s="45">
        <v>590953</v>
      </c>
      <c r="T4" s="45">
        <v>595450</v>
      </c>
      <c r="U4" s="45">
        <v>607123</v>
      </c>
      <c r="V4" s="45">
        <v>612695</v>
      </c>
      <c r="W4" s="45">
        <v>626985</v>
      </c>
      <c r="X4" s="45">
        <v>634053</v>
      </c>
      <c r="Y4" s="45">
        <v>635788</v>
      </c>
    </row>
    <row r="5" spans="1:25" x14ac:dyDescent="0.25">
      <c r="A5" s="46" t="s">
        <v>240</v>
      </c>
      <c r="B5" s="47"/>
      <c r="C5" s="47"/>
      <c r="D5" s="48">
        <f>D3/D4</f>
        <v>2.5369199935547297</v>
      </c>
      <c r="E5" s="48">
        <f t="shared" ref="E5:S5" si="0">E3/E4</f>
        <v>2.4991880043569621</v>
      </c>
      <c r="F5" s="48">
        <f t="shared" si="0"/>
        <v>2.4614593581926774</v>
      </c>
      <c r="G5" s="48">
        <f t="shared" si="0"/>
        <v>2.4237291720275085</v>
      </c>
      <c r="H5" s="48">
        <f t="shared" si="0"/>
        <v>2.3860002689434885</v>
      </c>
      <c r="I5" s="48">
        <f t="shared" si="0"/>
        <v>2.3870002160658106</v>
      </c>
      <c r="J5" s="48">
        <f t="shared" si="0"/>
        <v>2.3479981086681407</v>
      </c>
      <c r="K5" s="48">
        <f t="shared" si="0"/>
        <v>2.3099986066937186</v>
      </c>
      <c r="L5" s="48">
        <f t="shared" si="0"/>
        <v>2.2629999408228998</v>
      </c>
      <c r="M5" s="48">
        <f t="shared" si="0"/>
        <v>2.2609999763022746</v>
      </c>
      <c r="N5" s="48">
        <f t="shared" si="0"/>
        <v>2.2601966434988983</v>
      </c>
      <c r="O5" s="48">
        <f t="shared" si="0"/>
        <v>2.2589983792214148</v>
      </c>
      <c r="P5" s="48">
        <f t="shared" si="0"/>
        <v>2.2515800955533054</v>
      </c>
      <c r="Q5" s="48">
        <f t="shared" si="0"/>
        <v>2.2430004672301744</v>
      </c>
      <c r="R5" s="48">
        <f t="shared" si="0"/>
        <v>2.2319986429752765</v>
      </c>
      <c r="S5" s="48">
        <f t="shared" si="0"/>
        <v>2.2249992808226713</v>
      </c>
      <c r="T5" s="48">
        <f t="shared" ref="T5:Y5" si="1">T3/T4</f>
        <v>2.2099991602989335</v>
      </c>
      <c r="U5" s="48">
        <f t="shared" si="1"/>
        <v>2.1669991089120328</v>
      </c>
      <c r="V5" s="48">
        <f t="shared" si="1"/>
        <v>2.1530010853687398</v>
      </c>
      <c r="W5" s="48">
        <f t="shared" si="1"/>
        <v>2.1130011084794691</v>
      </c>
      <c r="X5" s="48">
        <f t="shared" si="1"/>
        <v>2.0960014383655623</v>
      </c>
      <c r="Y5" s="48">
        <f t="shared" si="1"/>
        <v>2.0919992198657416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3904.14</v>
      </c>
      <c r="E8" s="42">
        <v>4356.83</v>
      </c>
      <c r="F8" s="42">
        <v>4277.7</v>
      </c>
      <c r="G8" s="42">
        <v>4436.75</v>
      </c>
      <c r="H8" s="42">
        <v>4338.2</v>
      </c>
      <c r="I8" s="42">
        <v>4331.9399999999996</v>
      </c>
      <c r="J8" s="42">
        <v>4173.78</v>
      </c>
      <c r="K8" s="42">
        <v>4056.17</v>
      </c>
      <c r="L8" s="42">
        <v>3882.35</v>
      </c>
      <c r="M8" s="42">
        <v>4318.1499999999996</v>
      </c>
      <c r="N8" s="42">
        <v>4887.2299999999996</v>
      </c>
      <c r="O8" s="42">
        <v>4084</v>
      </c>
      <c r="P8" s="42">
        <v>4579.62</v>
      </c>
      <c r="Q8" s="42">
        <v>4154.32</v>
      </c>
      <c r="R8" s="42">
        <v>4143.17</v>
      </c>
      <c r="S8" s="42">
        <v>3795.56</v>
      </c>
      <c r="T8" s="42">
        <v>4208.45</v>
      </c>
      <c r="U8" s="42">
        <v>4209.57</v>
      </c>
      <c r="V8" s="42">
        <v>4064.64</v>
      </c>
      <c r="W8" s="42">
        <v>3883.05</v>
      </c>
      <c r="X8" s="42">
        <v>3553.49</v>
      </c>
      <c r="Y8" s="42">
        <v>4283.1000000000004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4173.2909523809521</v>
      </c>
      <c r="E9" s="45">
        <f t="shared" si="2"/>
        <v>4173.2909523809521</v>
      </c>
      <c r="F9" s="45">
        <f t="shared" si="2"/>
        <v>4173.2909523809521</v>
      </c>
      <c r="G9" s="45">
        <f t="shared" si="2"/>
        <v>4173.2909523809521</v>
      </c>
      <c r="H9" s="45">
        <f t="shared" si="2"/>
        <v>4173.2909523809521</v>
      </c>
      <c r="I9" s="45">
        <f t="shared" si="2"/>
        <v>4173.2909523809521</v>
      </c>
      <c r="J9" s="45">
        <f t="shared" si="2"/>
        <v>4173.2909523809521</v>
      </c>
      <c r="K9" s="45">
        <f t="shared" si="2"/>
        <v>4173.2909523809521</v>
      </c>
      <c r="L9" s="45">
        <f t="shared" si="2"/>
        <v>4173.2909523809521</v>
      </c>
      <c r="M9" s="45">
        <f t="shared" si="2"/>
        <v>4173.2909523809521</v>
      </c>
      <c r="N9" s="45">
        <f t="shared" si="2"/>
        <v>4173.2909523809521</v>
      </c>
      <c r="O9" s="45">
        <f t="shared" si="2"/>
        <v>4173.2909523809521</v>
      </c>
      <c r="P9" s="45">
        <f t="shared" si="2"/>
        <v>4173.2909523809521</v>
      </c>
      <c r="Q9" s="45">
        <f t="shared" si="2"/>
        <v>4173.2909523809521</v>
      </c>
      <c r="R9" s="45">
        <f t="shared" si="2"/>
        <v>4173.2909523809521</v>
      </c>
      <c r="S9" s="45">
        <f t="shared" si="2"/>
        <v>4173.2909523809521</v>
      </c>
      <c r="T9" s="45">
        <f t="shared" si="2"/>
        <v>4173.2909523809521</v>
      </c>
      <c r="U9" s="45">
        <f t="shared" si="2"/>
        <v>4173.2909523809521</v>
      </c>
      <c r="V9" s="45">
        <f t="shared" si="2"/>
        <v>4173.2909523809521</v>
      </c>
      <c r="W9" s="45">
        <f t="shared" si="2"/>
        <v>4173.2909523809521</v>
      </c>
      <c r="X9" s="45">
        <f>AVERAGE($D8:$X8)</f>
        <v>4173.2909523809521</v>
      </c>
      <c r="Y9" s="45">
        <f t="shared" ref="Y9" si="3">AVERAGE($D8:$X8)</f>
        <v>4173.2909523809521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0.93550630534700774</v>
      </c>
      <c r="E10" s="53">
        <f t="shared" si="4"/>
        <v>1.0439794516397987</v>
      </c>
      <c r="F10" s="53">
        <f t="shared" si="4"/>
        <v>1.0250183964670567</v>
      </c>
      <c r="G10" s="53">
        <f t="shared" si="4"/>
        <v>1.0631298058595073</v>
      </c>
      <c r="H10" s="53">
        <f t="shared" si="4"/>
        <v>1.0395153487980424</v>
      </c>
      <c r="I10" s="53">
        <f t="shared" si="4"/>
        <v>1.0380153335651172</v>
      </c>
      <c r="J10" s="53">
        <f t="shared" si="4"/>
        <v>1.0001171851243127</v>
      </c>
      <c r="K10" s="53">
        <f t="shared" si="4"/>
        <v>0.97193558903097033</v>
      </c>
      <c r="L10" s="53">
        <f t="shared" si="4"/>
        <v>0.93028500631738509</v>
      </c>
      <c r="M10" s="53">
        <f t="shared" si="4"/>
        <v>1.0347109869098396</v>
      </c>
      <c r="N10" s="53">
        <f t="shared" si="4"/>
        <v>1.1710733940588853</v>
      </c>
      <c r="O10" s="53">
        <f t="shared" si="4"/>
        <v>0.97860418710322372</v>
      </c>
      <c r="P10" s="53">
        <f t="shared" si="4"/>
        <v>1.0973641790748445</v>
      </c>
      <c r="Q10" s="53">
        <f t="shared" si="4"/>
        <v>0.99545419847371797</v>
      </c>
      <c r="R10" s="53">
        <f t="shared" si="4"/>
        <v>0.99278244610197441</v>
      </c>
      <c r="S10" s="53">
        <f t="shared" si="4"/>
        <v>0.90948846924620763</v>
      </c>
      <c r="T10" s="53">
        <f t="shared" ref="T10:Y10" si="5">IF(T8=0,0,T8/T9)</f>
        <v>1.0084247774766311</v>
      </c>
      <c r="U10" s="53">
        <f t="shared" si="5"/>
        <v>1.0086931508090395</v>
      </c>
      <c r="V10" s="53">
        <f t="shared" si="5"/>
        <v>0.97396516235730834</v>
      </c>
      <c r="W10" s="53">
        <f t="shared" si="5"/>
        <v>0.9304527396501403</v>
      </c>
      <c r="X10" s="53">
        <f t="shared" si="5"/>
        <v>0.85148388658898977</v>
      </c>
      <c r="Y10" s="53">
        <f t="shared" si="5"/>
        <v>1.02631233931974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6.67</v>
      </c>
      <c r="F11" s="45">
        <v>5.48</v>
      </c>
      <c r="G11" s="45">
        <v>13.9</v>
      </c>
      <c r="H11" s="45">
        <v>0</v>
      </c>
      <c r="I11" s="45">
        <v>7.0000000000000007E-2</v>
      </c>
      <c r="J11" s="45">
        <v>7.48</v>
      </c>
      <c r="K11" s="45">
        <v>0.94</v>
      </c>
      <c r="L11" s="45">
        <v>0.16</v>
      </c>
      <c r="M11" s="45">
        <v>0</v>
      </c>
      <c r="N11" s="45">
        <v>42.99</v>
      </c>
      <c r="O11" s="45">
        <v>14.4</v>
      </c>
      <c r="P11" s="45">
        <v>6.45</v>
      </c>
      <c r="Q11" s="45">
        <v>3.38</v>
      </c>
      <c r="R11" s="45">
        <v>9.23</v>
      </c>
      <c r="S11" s="45">
        <v>0</v>
      </c>
      <c r="T11" s="45">
        <v>1.52</v>
      </c>
      <c r="U11" s="45">
        <v>0</v>
      </c>
      <c r="V11" s="45">
        <v>25.65</v>
      </c>
      <c r="W11" s="45">
        <v>1.33</v>
      </c>
      <c r="X11" s="45">
        <v>1.67</v>
      </c>
      <c r="Y11" s="45">
        <v>38.1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6.7295238095238092</v>
      </c>
      <c r="E12" s="45">
        <f t="shared" ref="E12" si="7">AVERAGE($D11:$X11)</f>
        <v>6.7295238095238092</v>
      </c>
      <c r="F12" s="45">
        <f t="shared" ref="F12" si="8">AVERAGE($D11:$X11)</f>
        <v>6.7295238095238092</v>
      </c>
      <c r="G12" s="45">
        <f t="shared" ref="G12" si="9">AVERAGE($D11:$X11)</f>
        <v>6.7295238095238092</v>
      </c>
      <c r="H12" s="45">
        <f t="shared" ref="H12" si="10">AVERAGE($D11:$X11)</f>
        <v>6.7295238095238092</v>
      </c>
      <c r="I12" s="45">
        <f t="shared" ref="I12" si="11">AVERAGE($D11:$X11)</f>
        <v>6.7295238095238092</v>
      </c>
      <c r="J12" s="45">
        <f t="shared" ref="J12" si="12">AVERAGE($D11:$X11)</f>
        <v>6.7295238095238092</v>
      </c>
      <c r="K12" s="45">
        <f t="shared" ref="K12" si="13">AVERAGE($D11:$X11)</f>
        <v>6.7295238095238092</v>
      </c>
      <c r="L12" s="45">
        <f t="shared" ref="L12" si="14">AVERAGE($D11:$X11)</f>
        <v>6.7295238095238092</v>
      </c>
      <c r="M12" s="45">
        <f t="shared" ref="M12" si="15">AVERAGE($D11:$X11)</f>
        <v>6.7295238095238092</v>
      </c>
      <c r="N12" s="45">
        <f t="shared" ref="N12" si="16">AVERAGE($D11:$X11)</f>
        <v>6.7295238095238092</v>
      </c>
      <c r="O12" s="45">
        <f t="shared" ref="O12" si="17">AVERAGE($D11:$X11)</f>
        <v>6.7295238095238092</v>
      </c>
      <c r="P12" s="45">
        <f t="shared" ref="P12" si="18">AVERAGE($D11:$X11)</f>
        <v>6.7295238095238092</v>
      </c>
      <c r="Q12" s="45">
        <f t="shared" ref="Q12" si="19">AVERAGE($D11:$X11)</f>
        <v>6.7295238095238092</v>
      </c>
      <c r="R12" s="45">
        <f t="shared" ref="R12" si="20">AVERAGE($D11:$X11)</f>
        <v>6.7295238095238092</v>
      </c>
      <c r="S12" s="45">
        <f t="shared" ref="S12" si="21">AVERAGE($D11:$X11)</f>
        <v>6.7295238095238092</v>
      </c>
      <c r="T12" s="45">
        <f t="shared" ref="T12" si="22">AVERAGE($D11:$X11)</f>
        <v>6.7295238095238092</v>
      </c>
      <c r="U12" s="45">
        <f t="shared" ref="U12" si="23">AVERAGE($D11:$X11)</f>
        <v>6.7295238095238092</v>
      </c>
      <c r="V12" s="45">
        <f t="shared" ref="V12" si="24">AVERAGE($D11:$X11)</f>
        <v>6.7295238095238092</v>
      </c>
      <c r="W12" s="45">
        <f t="shared" ref="W12" si="25">AVERAGE($D11:$X11)</f>
        <v>6.7295238095238092</v>
      </c>
      <c r="X12" s="45">
        <f>AVERAGE($D11:$X11)</f>
        <v>6.7295238095238092</v>
      </c>
      <c r="Y12" s="45">
        <f t="shared" ref="Y12" si="26">AVERAGE($D11:$X11)</f>
        <v>6.7295238095238092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0.99115482592697424</v>
      </c>
      <c r="F13" s="55">
        <f t="shared" ref="F13" si="28">IF(F11=0,0,F11/F12)</f>
        <v>0.81432210585904341</v>
      </c>
      <c r="G13" s="55">
        <f t="shared" ref="G13" si="29">IF(G11=0,0,G11/G12)</f>
        <v>2.0655250495329751</v>
      </c>
      <c r="H13" s="55">
        <f t="shared" ref="H13" si="30">IF(H11=0,0,H11/H12)</f>
        <v>0</v>
      </c>
      <c r="I13" s="55">
        <f t="shared" ref="I13" si="31">IF(I11=0,0,I11/I12)</f>
        <v>1.0401924709878291E-2</v>
      </c>
      <c r="J13" s="55">
        <f t="shared" ref="J13" si="32">IF(J11=0,0,J11/J12)</f>
        <v>1.1115199547127088</v>
      </c>
      <c r="K13" s="55">
        <f t="shared" ref="K13" si="33">IF(K11=0,0,K11/K12)</f>
        <v>0.13968298896122275</v>
      </c>
      <c r="L13" s="55">
        <f t="shared" ref="L13" si="34">IF(L11=0,0,L11/L12)</f>
        <v>2.3775827908293235E-2</v>
      </c>
      <c r="M13" s="55">
        <f t="shared" ref="M13" si="35">IF(M11=0,0,M11/M12)</f>
        <v>0</v>
      </c>
      <c r="N13" s="55">
        <f t="shared" ref="N13" si="36">IF(N11=0,0,N11/N12)</f>
        <v>6.3882677611095389</v>
      </c>
      <c r="O13" s="55">
        <f t="shared" ref="O13" si="37">IF(O11=0,0,O11/O12)</f>
        <v>2.1398245117463914</v>
      </c>
      <c r="P13" s="55">
        <f t="shared" ref="P13" si="38">IF(P11=0,0,P11/P12)</f>
        <v>0.95846306255307112</v>
      </c>
      <c r="Q13" s="55">
        <f t="shared" ref="Q13" si="39">IF(Q11=0,0,Q11/Q12)</f>
        <v>0.50226436456269463</v>
      </c>
      <c r="R13" s="55">
        <f t="shared" ref="R13" si="40">IF(R11=0,0,R11/R12)</f>
        <v>1.3715680724596662</v>
      </c>
      <c r="S13" s="55">
        <f t="shared" ref="S13:Y13" si="41">IF(S11=0,0,S11/S12)</f>
        <v>0</v>
      </c>
      <c r="T13" s="55">
        <f t="shared" si="41"/>
        <v>0.22587036512878575</v>
      </c>
      <c r="U13" s="55">
        <f t="shared" si="41"/>
        <v>0</v>
      </c>
      <c r="V13" s="55">
        <f t="shared" si="41"/>
        <v>3.8115624115482594</v>
      </c>
      <c r="W13" s="55">
        <f t="shared" si="41"/>
        <v>0.19763656948768754</v>
      </c>
      <c r="X13" s="55">
        <f t="shared" si="41"/>
        <v>0.24816020379281065</v>
      </c>
      <c r="Y13" s="55">
        <f t="shared" si="41"/>
        <v>5.6616190206623269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12540.58886879483</v>
      </c>
      <c r="E16" s="42">
        <v>13293.822180787307</v>
      </c>
      <c r="F16" s="42">
        <v>14194.004935404268</v>
      </c>
      <c r="G16" s="42">
        <v>15272.460528154255</v>
      </c>
      <c r="H16" s="42">
        <v>16311.87334211975</v>
      </c>
      <c r="I16" s="42">
        <v>17865.715365715365</v>
      </c>
      <c r="J16" s="42">
        <v>19610.22068706372</v>
      </c>
      <c r="K16" s="42">
        <v>21096.547643548056</v>
      </c>
      <c r="L16" s="42">
        <v>20014.090952885632</v>
      </c>
      <c r="M16" s="42">
        <v>17086.290488338633</v>
      </c>
      <c r="N16" s="42">
        <v>17503.710652243608</v>
      </c>
      <c r="O16" s="42">
        <v>18775.245986535476</v>
      </c>
      <c r="P16" s="42">
        <v>19381.138851629094</v>
      </c>
      <c r="Q16" s="42">
        <v>19663.928460018717</v>
      </c>
      <c r="R16" s="42">
        <v>20256.026835330489</v>
      </c>
      <c r="S16" s="42">
        <v>20631.400000000001</v>
      </c>
      <c r="T16" s="42">
        <v>21282.452758178635</v>
      </c>
      <c r="U16" s="42">
        <v>22515.114873035069</v>
      </c>
      <c r="V16" s="42">
        <v>23367.18419131892</v>
      </c>
      <c r="W16" s="42">
        <v>24309.656545977963</v>
      </c>
      <c r="X16" s="42">
        <v>24074.919252913915</v>
      </c>
      <c r="Y16" s="42">
        <v>25820.320589818995</v>
      </c>
    </row>
    <row r="17" spans="1:25" x14ac:dyDescent="0.25">
      <c r="A17" s="46" t="s">
        <v>141</v>
      </c>
      <c r="B17" s="47"/>
      <c r="C17" s="47"/>
      <c r="D17" s="57">
        <v>5771.0091616962027</v>
      </c>
      <c r="E17" s="57">
        <v>6171.9178303073304</v>
      </c>
      <c r="F17" s="57">
        <v>6767.7540190416748</v>
      </c>
      <c r="G17" s="57">
        <v>7425.0291894549264</v>
      </c>
      <c r="H17" s="57">
        <v>8029.0997451549811</v>
      </c>
      <c r="I17" s="57">
        <v>8810.2586083726255</v>
      </c>
      <c r="J17" s="57">
        <v>9944.6309633400124</v>
      </c>
      <c r="K17" s="57">
        <v>10782.953419226958</v>
      </c>
      <c r="L17" s="57">
        <v>10294.452578493574</v>
      </c>
      <c r="M17" s="57">
        <v>8858.6739370578434</v>
      </c>
      <c r="N17" s="57">
        <v>8746.2088633380099</v>
      </c>
      <c r="O17" s="57">
        <v>9014.7905125584894</v>
      </c>
      <c r="P17" s="57">
        <v>9408.4320658354536</v>
      </c>
      <c r="Q17" s="57">
        <v>9756.3984274711147</v>
      </c>
      <c r="R17" s="57">
        <v>10108.65343438468</v>
      </c>
      <c r="S17" s="57">
        <v>10603.5</v>
      </c>
      <c r="T17" s="57">
        <v>11075.411393344482</v>
      </c>
      <c r="U17" s="57">
        <v>11347.787342156156</v>
      </c>
      <c r="V17" s="57">
        <v>11894.61544798045</v>
      </c>
      <c r="W17" s="57">
        <v>12448.761266280946</v>
      </c>
      <c r="X17" s="57">
        <v>12285.940565545296</v>
      </c>
      <c r="Y17" s="57">
        <v>13402.923476744287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8949.5727877215559</v>
      </c>
      <c r="E20" s="42">
        <f t="shared" ref="E20:S20" si="42">1000000*E16/E$3</f>
        <v>9545.2224286197561</v>
      </c>
      <c r="F20" s="42">
        <f t="shared" si="42"/>
        <v>10259.41622063033</v>
      </c>
      <c r="G20" s="42">
        <f t="shared" si="42"/>
        <v>11105.709413356884</v>
      </c>
      <c r="H20" s="42">
        <f t="shared" si="42"/>
        <v>11939.157066510339</v>
      </c>
      <c r="I20" s="42">
        <f t="shared" si="42"/>
        <v>13147.672933521262</v>
      </c>
      <c r="J20" s="42">
        <f t="shared" si="42"/>
        <v>14518.561254952041</v>
      </c>
      <c r="K20" s="42">
        <f t="shared" si="42"/>
        <v>15709.459717293701</v>
      </c>
      <c r="L20" s="42">
        <f t="shared" si="42"/>
        <v>14953.297086821696</v>
      </c>
      <c r="M20" s="42">
        <f t="shared" si="42"/>
        <v>12791.628975952381</v>
      </c>
      <c r="N20" s="42">
        <f t="shared" si="42"/>
        <v>13128.209655996525</v>
      </c>
      <c r="O20" s="42">
        <f t="shared" si="42"/>
        <v>14120.336015624653</v>
      </c>
      <c r="P20" s="42">
        <f t="shared" si="42"/>
        <v>14624.879436069032</v>
      </c>
      <c r="Q20" s="42">
        <f t="shared" si="42"/>
        <v>14894.952074513447</v>
      </c>
      <c r="R20" s="42">
        <f t="shared" si="42"/>
        <v>15394.234948218935</v>
      </c>
      <c r="S20" s="42">
        <f t="shared" si="42"/>
        <v>15690.82875113129</v>
      </c>
      <c r="T20" s="42">
        <f t="shared" ref="T20:Y20" si="43">1000000*T16/T$3</f>
        <v>16172.764766721559</v>
      </c>
      <c r="U20" s="42">
        <f t="shared" si="43"/>
        <v>17113.496427987298</v>
      </c>
      <c r="V20" s="42">
        <f t="shared" si="43"/>
        <v>17714.047174408435</v>
      </c>
      <c r="W20" s="42">
        <f t="shared" si="43"/>
        <v>18349.403349872406</v>
      </c>
      <c r="X20" s="42">
        <f t="shared" si="43"/>
        <v>18115.390535956943</v>
      </c>
      <c r="Y20" s="42">
        <f t="shared" si="43"/>
        <v>19412.782346330412</v>
      </c>
    </row>
    <row r="21" spans="1:25" x14ac:dyDescent="0.25">
      <c r="A21" s="46" t="s">
        <v>141</v>
      </c>
      <c r="B21" s="47"/>
      <c r="C21" s="47"/>
      <c r="D21" s="57">
        <f>1000000*D17/D$3</f>
        <v>4118.4721938955945</v>
      </c>
      <c r="E21" s="57">
        <f t="shared" ref="E21:S21" si="44">1000000*E17/E$3</f>
        <v>4431.5568314573857</v>
      </c>
      <c r="F21" s="57">
        <f t="shared" si="44"/>
        <v>4891.7275762673744</v>
      </c>
      <c r="G21" s="57">
        <f t="shared" si="44"/>
        <v>5399.2751470378107</v>
      </c>
      <c r="H21" s="57">
        <f t="shared" si="44"/>
        <v>5876.7427228947708</v>
      </c>
      <c r="I21" s="57">
        <f t="shared" si="44"/>
        <v>6483.6137972348861</v>
      </c>
      <c r="J21" s="57">
        <f t="shared" si="44"/>
        <v>7362.5756743466436</v>
      </c>
      <c r="K21" s="57">
        <f t="shared" si="44"/>
        <v>8029.4830810673448</v>
      </c>
      <c r="L21" s="57">
        <f t="shared" si="44"/>
        <v>7691.3814429437061</v>
      </c>
      <c r="M21" s="57">
        <f t="shared" si="44"/>
        <v>6632.034630285717</v>
      </c>
      <c r="N21" s="57">
        <f t="shared" si="44"/>
        <v>6559.8698432734145</v>
      </c>
      <c r="O21" s="57">
        <f t="shared" si="44"/>
        <v>6779.7711539479933</v>
      </c>
      <c r="P21" s="57">
        <f t="shared" si="44"/>
        <v>7099.5407286772306</v>
      </c>
      <c r="Q21" s="57">
        <f t="shared" si="44"/>
        <v>7390.2367623291439</v>
      </c>
      <c r="R21" s="57">
        <f t="shared" si="44"/>
        <v>7682.4042169817276</v>
      </c>
      <c r="S21" s="57">
        <f t="shared" si="44"/>
        <v>8064.2953295763082</v>
      </c>
      <c r="T21" s="57">
        <f t="shared" ref="T21:Y21" si="45">1000000*T17/T$3</f>
        <v>8416.3242458223776</v>
      </c>
      <c r="U21" s="57">
        <f t="shared" si="45"/>
        <v>8625.3309938973616</v>
      </c>
      <c r="V21" s="57">
        <f t="shared" si="45"/>
        <v>9016.9948352292377</v>
      </c>
      <c r="W21" s="57">
        <f t="shared" si="45"/>
        <v>9396.5680366245579</v>
      </c>
      <c r="X21" s="57">
        <f t="shared" si="45"/>
        <v>9244.666995901578</v>
      </c>
      <c r="Y21" s="57">
        <f t="shared" si="45"/>
        <v>10076.870864304898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10862.64310062856</v>
      </c>
      <c r="E23" s="60">
        <v>11475.648126000478</v>
      </c>
      <c r="F23" s="60">
        <v>12213.1593257205</v>
      </c>
      <c r="G23" s="60">
        <v>13151.414085266226</v>
      </c>
      <c r="H23" s="60">
        <v>13974.871778329732</v>
      </c>
      <c r="I23" s="60">
        <v>15308.136259117699</v>
      </c>
      <c r="J23" s="60">
        <v>16731.197869208663</v>
      </c>
      <c r="K23" s="60">
        <v>17917.252010890512</v>
      </c>
      <c r="L23" s="60">
        <v>17386.718291681333</v>
      </c>
      <c r="M23" s="60">
        <v>14747.922903966622</v>
      </c>
      <c r="N23" s="60">
        <v>15309.996082760586</v>
      </c>
      <c r="O23" s="60">
        <v>16445.551457358764</v>
      </c>
      <c r="P23" s="60">
        <v>16902.738942209075</v>
      </c>
      <c r="Q23" s="60">
        <v>17115.628970775091</v>
      </c>
      <c r="R23" s="60">
        <v>17594.40038645787</v>
      </c>
      <c r="S23" s="60">
        <v>17890.7</v>
      </c>
      <c r="T23" s="60">
        <v>18409.903362664991</v>
      </c>
      <c r="U23" s="60">
        <v>19647.272347178274</v>
      </c>
      <c r="V23" s="60">
        <v>20453.065924401366</v>
      </c>
      <c r="W23" s="60">
        <v>21172.269017360173</v>
      </c>
      <c r="X23" s="60">
        <v>21084.581034935647</v>
      </c>
      <c r="Y23" s="60">
        <v>22448.79010722649</v>
      </c>
    </row>
    <row r="24" spans="1:25" x14ac:dyDescent="0.25">
      <c r="A24" s="61" t="s">
        <v>33</v>
      </c>
      <c r="B24" s="62"/>
      <c r="C24" s="62"/>
      <c r="D24" s="63">
        <v>472.50300486689918</v>
      </c>
      <c r="E24" s="63">
        <v>449.13429869914813</v>
      </c>
      <c r="F24" s="63">
        <v>487.64230209265202</v>
      </c>
      <c r="G24" s="63">
        <v>509.710782084323</v>
      </c>
      <c r="H24" s="63">
        <v>570.788039095513</v>
      </c>
      <c r="I24" s="63">
        <v>567.84784297004683</v>
      </c>
      <c r="J24" s="63">
        <v>598.16359430854425</v>
      </c>
      <c r="K24" s="63">
        <v>800.37793552718267</v>
      </c>
      <c r="L24" s="63">
        <v>663.26410888184898</v>
      </c>
      <c r="M24" s="63">
        <v>419.86797965588141</v>
      </c>
      <c r="N24" s="63">
        <v>554.94225039469154</v>
      </c>
      <c r="O24" s="63">
        <v>690.10885210507388</v>
      </c>
      <c r="P24" s="63">
        <v>641.28169972038393</v>
      </c>
      <c r="Q24" s="63">
        <v>603.29955269057132</v>
      </c>
      <c r="R24" s="63">
        <v>638.46060947626904</v>
      </c>
      <c r="S24" s="63">
        <v>589.70000000000005</v>
      </c>
      <c r="T24" s="63">
        <v>451.46527341294785</v>
      </c>
      <c r="U24" s="63">
        <v>540.39928922337208</v>
      </c>
      <c r="V24" s="63">
        <v>491.23697786804229</v>
      </c>
      <c r="W24" s="63">
        <v>561.91911361201369</v>
      </c>
      <c r="X24" s="63">
        <v>480.34322738814467</v>
      </c>
      <c r="Y24" s="63">
        <v>504.49858263834682</v>
      </c>
    </row>
    <row r="25" spans="1:25" x14ac:dyDescent="0.25">
      <c r="A25" s="64" t="s">
        <v>56</v>
      </c>
      <c r="B25" s="65"/>
      <c r="C25" s="65"/>
      <c r="D25" s="66">
        <v>128.66741542038582</v>
      </c>
      <c r="E25" s="66">
        <v>132.47713849380855</v>
      </c>
      <c r="F25" s="66">
        <v>137.52214562612923</v>
      </c>
      <c r="G25" s="66">
        <v>147.55672343220982</v>
      </c>
      <c r="H25" s="66">
        <v>147.57588464888229</v>
      </c>
      <c r="I25" s="66">
        <v>144.66491038389501</v>
      </c>
      <c r="J25" s="66">
        <v>161.21118665451743</v>
      </c>
      <c r="K25" s="66">
        <v>190.08665166527842</v>
      </c>
      <c r="L25" s="66">
        <v>170.59720755602487</v>
      </c>
      <c r="M25" s="66">
        <v>182.51992930058077</v>
      </c>
      <c r="N25" s="66">
        <v>212.95537908194154</v>
      </c>
      <c r="O25" s="66">
        <v>229.39906441165888</v>
      </c>
      <c r="P25" s="66">
        <v>219.6983600893908</v>
      </c>
      <c r="Q25" s="66">
        <v>263.63364014834559</v>
      </c>
      <c r="R25" s="66">
        <v>272.33203172175035</v>
      </c>
      <c r="S25" s="66">
        <v>247.9</v>
      </c>
      <c r="T25" s="66">
        <v>200.5421118793212</v>
      </c>
      <c r="U25" s="66">
        <v>242.97537938177638</v>
      </c>
      <c r="V25" s="66">
        <v>221.77291396552818</v>
      </c>
      <c r="W25" s="66">
        <v>192.06815152914123</v>
      </c>
      <c r="X25" s="66">
        <v>145.95919796865425</v>
      </c>
      <c r="Y25" s="66">
        <v>138.86035906495215</v>
      </c>
    </row>
    <row r="26" spans="1:25" x14ac:dyDescent="0.25">
      <c r="A26" s="67" t="s">
        <v>146</v>
      </c>
      <c r="B26" s="44"/>
      <c r="C26" s="44"/>
      <c r="D26" s="45">
        <v>7575.2201927055648</v>
      </c>
      <c r="E26" s="45">
        <v>7982.6675743803926</v>
      </c>
      <c r="F26" s="45">
        <v>8496.7285867143764</v>
      </c>
      <c r="G26" s="45">
        <v>9071.8749473613261</v>
      </c>
      <c r="H26" s="45">
        <v>9660.8173929873265</v>
      </c>
      <c r="I26" s="45">
        <v>10452.725030075075</v>
      </c>
      <c r="J26" s="45">
        <v>11266.278825261094</v>
      </c>
      <c r="K26" s="45">
        <v>11893.90454641521</v>
      </c>
      <c r="L26" s="45">
        <v>11901.208494661507</v>
      </c>
      <c r="M26" s="45">
        <v>10587.718981832173</v>
      </c>
      <c r="N26" s="45">
        <v>10749.617178875396</v>
      </c>
      <c r="O26" s="45">
        <v>11194.899244332497</v>
      </c>
      <c r="P26" s="45">
        <v>11644.768803912464</v>
      </c>
      <c r="Q26" s="45">
        <v>11822.811747812517</v>
      </c>
      <c r="R26" s="45">
        <v>12236.826214725656</v>
      </c>
      <c r="S26" s="45">
        <v>12665.300000000005</v>
      </c>
      <c r="T26" s="45">
        <v>13108.304525455686</v>
      </c>
      <c r="U26" s="45">
        <v>13984.435132130335</v>
      </c>
      <c r="V26" s="45">
        <v>14672.463347628589</v>
      </c>
      <c r="W26" s="45">
        <v>15400.294417393272</v>
      </c>
      <c r="X26" s="45">
        <v>15470.098940548114</v>
      </c>
      <c r="Y26" s="45">
        <v>16304.671131013516</v>
      </c>
    </row>
    <row r="27" spans="1:25" x14ac:dyDescent="0.25">
      <c r="A27" s="68" t="s">
        <v>148</v>
      </c>
      <c r="B27" s="69"/>
      <c r="C27" s="69"/>
      <c r="D27" s="70">
        <v>3101.4167208527911</v>
      </c>
      <c r="E27" s="70">
        <v>3143.7560948683508</v>
      </c>
      <c r="F27" s="70">
        <v>3237.0327492150363</v>
      </c>
      <c r="G27" s="70">
        <v>3495.8815503562591</v>
      </c>
      <c r="H27" s="70">
        <v>3730.5248217799426</v>
      </c>
      <c r="I27" s="70">
        <v>3910.064109397128</v>
      </c>
      <c r="J27" s="70">
        <v>4140.1836405691465</v>
      </c>
      <c r="K27" s="70">
        <v>4344.7667118365925</v>
      </c>
      <c r="L27" s="70">
        <v>4464.0384841018413</v>
      </c>
      <c r="M27" s="70">
        <v>4147.2183145162262</v>
      </c>
      <c r="N27" s="70">
        <v>4225.2768776040739</v>
      </c>
      <c r="O27" s="70">
        <v>4370.2770780856426</v>
      </c>
      <c r="P27" s="70">
        <v>4460.4704891662268</v>
      </c>
      <c r="Q27" s="70">
        <v>4604.4978874185181</v>
      </c>
      <c r="R27" s="70">
        <v>4771.1444788857125</v>
      </c>
      <c r="S27" s="70">
        <v>4931</v>
      </c>
      <c r="T27" s="70">
        <v>4961.2075738529229</v>
      </c>
      <c r="U27" s="70">
        <v>5193.1354941703012</v>
      </c>
      <c r="V27" s="70">
        <v>5328.8059985674518</v>
      </c>
      <c r="W27" s="70">
        <v>5544.0188845239236</v>
      </c>
      <c r="X27" s="70">
        <v>5476.8409071009555</v>
      </c>
      <c r="Y27" s="70">
        <v>5676.43071361078</v>
      </c>
    </row>
    <row r="28" spans="1:25" x14ac:dyDescent="0.25">
      <c r="A28" s="68" t="s">
        <v>150</v>
      </c>
      <c r="B28" s="71"/>
      <c r="C28" s="71"/>
      <c r="D28" s="70">
        <v>2892.9479222084301</v>
      </c>
      <c r="E28" s="70">
        <v>3073.1016210049866</v>
      </c>
      <c r="F28" s="70">
        <v>3268.4313003210018</v>
      </c>
      <c r="G28" s="70">
        <v>3445.1799821449622</v>
      </c>
      <c r="H28" s="70">
        <v>3701.0096448501654</v>
      </c>
      <c r="I28" s="70">
        <v>4111.6813108163669</v>
      </c>
      <c r="J28" s="70">
        <v>4469.1946449849302</v>
      </c>
      <c r="K28" s="70">
        <v>4841.3043748523696</v>
      </c>
      <c r="L28" s="70">
        <v>4940.7485627126589</v>
      </c>
      <c r="M28" s="70">
        <v>4471.9787420793809</v>
      </c>
      <c r="N28" s="70">
        <v>4483.9333831891081</v>
      </c>
      <c r="O28" s="70">
        <v>4591.2423533645197</v>
      </c>
      <c r="P28" s="70">
        <v>4816.4142204756708</v>
      </c>
      <c r="Q28" s="70">
        <v>4866.581956797967</v>
      </c>
      <c r="R28" s="70">
        <v>4983.4950283804992</v>
      </c>
      <c r="S28" s="70">
        <v>5303.4000000000005</v>
      </c>
      <c r="T28" s="70">
        <v>5506.8549654305471</v>
      </c>
      <c r="U28" s="70">
        <v>5955.4149206077709</v>
      </c>
      <c r="V28" s="70">
        <v>6277.6422801084382</v>
      </c>
      <c r="W28" s="70">
        <v>6682.6650871492911</v>
      </c>
      <c r="X28" s="70">
        <v>6931.7923124069694</v>
      </c>
      <c r="Y28" s="70">
        <v>7451.1318351752188</v>
      </c>
    </row>
    <row r="29" spans="1:25" x14ac:dyDescent="0.25">
      <c r="A29" s="68" t="s">
        <v>152</v>
      </c>
      <c r="B29" s="71"/>
      <c r="C29" s="71"/>
      <c r="D29" s="70">
        <v>1580.8555496443435</v>
      </c>
      <c r="E29" s="70">
        <v>1765.8098585070543</v>
      </c>
      <c r="F29" s="70">
        <v>1991.2645371783403</v>
      </c>
      <c r="G29" s="70">
        <v>2130.8134148601061</v>
      </c>
      <c r="H29" s="70">
        <v>2229.2829263572153</v>
      </c>
      <c r="I29" s="70">
        <v>2430.9796098615793</v>
      </c>
      <c r="J29" s="70">
        <v>2656.9005397070141</v>
      </c>
      <c r="K29" s="70">
        <v>2707.8334597262474</v>
      </c>
      <c r="L29" s="70">
        <v>2496.421447847003</v>
      </c>
      <c r="M29" s="70">
        <v>1968.5219252365691</v>
      </c>
      <c r="N29" s="70">
        <v>2040.4069180822148</v>
      </c>
      <c r="O29" s="70">
        <v>2233.3798128823332</v>
      </c>
      <c r="P29" s="70">
        <v>2367.884094270571</v>
      </c>
      <c r="Q29" s="70">
        <v>2351.731903596035</v>
      </c>
      <c r="R29" s="70">
        <v>2482.1867074594411</v>
      </c>
      <c r="S29" s="70">
        <v>2430.9000000000024</v>
      </c>
      <c r="T29" s="70">
        <v>2640.2419861722169</v>
      </c>
      <c r="U29" s="70">
        <v>2835.8847173522627</v>
      </c>
      <c r="V29" s="70">
        <v>3066.0150689526968</v>
      </c>
      <c r="W29" s="70">
        <v>3173.6104457200586</v>
      </c>
      <c r="X29" s="70">
        <v>3061.4657210401906</v>
      </c>
      <c r="Y29" s="70">
        <v>3177.1085822275159</v>
      </c>
    </row>
    <row r="30" spans="1:25" x14ac:dyDescent="0.25">
      <c r="A30" s="64" t="s">
        <v>154</v>
      </c>
      <c r="B30" s="65"/>
      <c r="C30" s="65"/>
      <c r="D30" s="66">
        <v>290.24058639238632</v>
      </c>
      <c r="E30" s="66">
        <v>317.02515225671129</v>
      </c>
      <c r="F30" s="66">
        <v>343.80536406532298</v>
      </c>
      <c r="G30" s="66">
        <v>408.98142065457245</v>
      </c>
      <c r="H30" s="66">
        <v>426.7604270829973</v>
      </c>
      <c r="I30" s="66">
        <v>460.79580928596454</v>
      </c>
      <c r="J30" s="66">
        <v>477.8860307002173</v>
      </c>
      <c r="K30" s="66">
        <v>479.38137921603243</v>
      </c>
      <c r="L30" s="66">
        <v>511.08764519535373</v>
      </c>
      <c r="M30" s="66">
        <v>570.6453125563612</v>
      </c>
      <c r="N30" s="66">
        <v>682.07447503056642</v>
      </c>
      <c r="O30" s="66">
        <v>720.69539402662826</v>
      </c>
      <c r="P30" s="66">
        <v>747.51422371446779</v>
      </c>
      <c r="Q30" s="66">
        <v>795.13641388002179</v>
      </c>
      <c r="R30" s="66">
        <v>762.34853669336985</v>
      </c>
      <c r="S30" s="66">
        <v>654.5</v>
      </c>
      <c r="T30" s="66">
        <v>674.3989629164048</v>
      </c>
      <c r="U30" s="66">
        <v>692.72214145215082</v>
      </c>
      <c r="V30" s="66">
        <v>754.44497837578092</v>
      </c>
      <c r="W30" s="66">
        <v>671.84655453254709</v>
      </c>
      <c r="X30" s="66">
        <v>649.24262323789503</v>
      </c>
      <c r="Y30" s="66">
        <v>868.08265888829544</v>
      </c>
    </row>
    <row r="31" spans="1:25" x14ac:dyDescent="0.25">
      <c r="A31" s="64" t="s">
        <v>37</v>
      </c>
      <c r="B31" s="65"/>
      <c r="C31" s="65"/>
      <c r="D31" s="66">
        <v>644.51931981635835</v>
      </c>
      <c r="E31" s="66">
        <v>676.9213784982245</v>
      </c>
      <c r="F31" s="66">
        <v>764.44070234524372</v>
      </c>
      <c r="G31" s="66">
        <v>866.81152829012751</v>
      </c>
      <c r="H31" s="66">
        <v>974.8072642817973</v>
      </c>
      <c r="I31" s="66">
        <v>1301.2227991898765</v>
      </c>
      <c r="J31" s="66">
        <v>1636.7841872853437</v>
      </c>
      <c r="K31" s="66">
        <v>1883.7102328530402</v>
      </c>
      <c r="L31" s="66">
        <v>1664.9067229848645</v>
      </c>
      <c r="M31" s="66">
        <v>1044.8604648366579</v>
      </c>
      <c r="N31" s="66">
        <v>890.75650202390705</v>
      </c>
      <c r="O31" s="66">
        <v>1134.2884130982368</v>
      </c>
      <c r="P31" s="66">
        <v>1246.2888790525442</v>
      </c>
      <c r="Q31" s="66">
        <v>1202.053697792378</v>
      </c>
      <c r="R31" s="66">
        <v>1086.007004548931</v>
      </c>
      <c r="S31" s="66">
        <v>1098.5</v>
      </c>
      <c r="T31" s="66">
        <v>1207.4756442489002</v>
      </c>
      <c r="U31" s="66">
        <v>1311.0407936372189</v>
      </c>
      <c r="V31" s="66">
        <v>1416.0463492696724</v>
      </c>
      <c r="W31" s="66">
        <v>1474.4388212851582</v>
      </c>
      <c r="X31" s="66">
        <v>1468.0851063829789</v>
      </c>
      <c r="Y31" s="66">
        <v>1484.9020171726715</v>
      </c>
    </row>
    <row r="32" spans="1:25" x14ac:dyDescent="0.25">
      <c r="A32" s="64" t="s">
        <v>58</v>
      </c>
      <c r="B32" s="65"/>
      <c r="C32" s="65"/>
      <c r="D32" s="66">
        <v>1751.4925814269673</v>
      </c>
      <c r="E32" s="66">
        <v>1917.4225836721928</v>
      </c>
      <c r="F32" s="66">
        <v>1983.0202248767739</v>
      </c>
      <c r="G32" s="66">
        <v>2146.4786834436636</v>
      </c>
      <c r="H32" s="66">
        <v>2194.122770233218</v>
      </c>
      <c r="I32" s="66">
        <v>2380.8798672128405</v>
      </c>
      <c r="J32" s="66">
        <v>2590.8740449989486</v>
      </c>
      <c r="K32" s="66">
        <v>2669.7912652137702</v>
      </c>
      <c r="L32" s="66">
        <v>2475.6541124017367</v>
      </c>
      <c r="M32" s="66">
        <v>1942.310235784968</v>
      </c>
      <c r="N32" s="66">
        <v>2219.6502973540828</v>
      </c>
      <c r="O32" s="66">
        <v>2476.1604893846711</v>
      </c>
      <c r="P32" s="66">
        <v>2403.1869757198224</v>
      </c>
      <c r="Q32" s="66">
        <v>2428.6939184512557</v>
      </c>
      <c r="R32" s="66">
        <v>2598.4259892918963</v>
      </c>
      <c r="S32" s="66">
        <v>2634.7999999999997</v>
      </c>
      <c r="T32" s="66">
        <v>2767.7168447517288</v>
      </c>
      <c r="U32" s="66">
        <v>2875.6996113534219</v>
      </c>
      <c r="V32" s="66">
        <v>2897.1013572937536</v>
      </c>
      <c r="W32" s="66">
        <v>2871.7019590080399</v>
      </c>
      <c r="X32" s="66">
        <v>2870.8519394098594</v>
      </c>
      <c r="Y32" s="66">
        <v>3147.7753584487086</v>
      </c>
    </row>
    <row r="33" spans="1:25" x14ac:dyDescent="0.25">
      <c r="A33" s="72" t="s">
        <v>158</v>
      </c>
      <c r="B33" s="65"/>
      <c r="C33" s="65"/>
      <c r="D33" s="66">
        <v>1.3792831668341512</v>
      </c>
      <c r="E33" s="66">
        <v>2.5759443596018325</v>
      </c>
      <c r="F33" s="66">
        <v>3.3328071006332332</v>
      </c>
      <c r="G33" s="66">
        <v>3.2004312159954185</v>
      </c>
      <c r="H33" s="66">
        <v>4.8385535950453207</v>
      </c>
      <c r="I33" s="66">
        <v>3.5024136198206151</v>
      </c>
      <c r="J33" s="66">
        <v>5.8877129039041147</v>
      </c>
      <c r="K33" s="66">
        <v>8.951104591170731</v>
      </c>
      <c r="L33" s="66">
        <v>16.191481872580077</v>
      </c>
      <c r="M33" s="66">
        <v>7.4547006697206895</v>
      </c>
      <c r="N33" s="66">
        <v>10.920788670868795</v>
      </c>
      <c r="O33" s="66">
        <v>11.132601655271682</v>
      </c>
      <c r="P33" s="66">
        <v>8.4208708044090823</v>
      </c>
      <c r="Q33" s="66">
        <v>8.8842057416762223</v>
      </c>
      <c r="R33" s="66">
        <v>10.869127651865867</v>
      </c>
      <c r="S33" s="66">
        <v>12</v>
      </c>
      <c r="T33" s="66">
        <v>16.106222501571338</v>
      </c>
      <c r="U33" s="66">
        <v>27.651871490065282</v>
      </c>
      <c r="V33" s="66">
        <v>28.832292167227294</v>
      </c>
      <c r="W33" s="66">
        <v>27.351201623650951</v>
      </c>
      <c r="X33" s="66">
        <v>19.78810962262499</v>
      </c>
      <c r="Y33" s="66">
        <v>25.224929131917342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1.3792831668341512</v>
      </c>
      <c r="E37" s="66">
        <v>2.5759443596018325</v>
      </c>
      <c r="F37" s="66">
        <v>3.3328071006332332</v>
      </c>
      <c r="G37" s="66">
        <v>3.2004312159954185</v>
      </c>
      <c r="H37" s="66">
        <v>4.8385535950453207</v>
      </c>
      <c r="I37" s="66">
        <v>3.5024136198206151</v>
      </c>
      <c r="J37" s="66">
        <v>5.8877129039041147</v>
      </c>
      <c r="K37" s="66">
        <v>8.951104591170731</v>
      </c>
      <c r="L37" s="66">
        <v>16.191481872580077</v>
      </c>
      <c r="M37" s="66">
        <v>7.4547006697206895</v>
      </c>
      <c r="N37" s="66">
        <v>10.920788670868795</v>
      </c>
      <c r="O37" s="66">
        <v>11.132601655271682</v>
      </c>
      <c r="P37" s="66">
        <v>8.4208708044090823</v>
      </c>
      <c r="Q37" s="66">
        <v>8.8842057416762223</v>
      </c>
      <c r="R37" s="66">
        <v>10.869127651865867</v>
      </c>
      <c r="S37" s="66">
        <v>12</v>
      </c>
      <c r="T37" s="66">
        <v>16.106222501571338</v>
      </c>
      <c r="U37" s="66">
        <v>27.651871490065282</v>
      </c>
      <c r="V37" s="66">
        <v>28.832292167227294</v>
      </c>
      <c r="W37" s="66">
        <v>27.351201623650951</v>
      </c>
      <c r="X37" s="66">
        <v>19.78810962262499</v>
      </c>
      <c r="Y37" s="66">
        <v>25.224929131917342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1.3792831668341512</v>
      </c>
      <c r="E42" s="45">
        <v>2.5759443596018325</v>
      </c>
      <c r="F42" s="45">
        <v>3.3328071006332332</v>
      </c>
      <c r="G42" s="45">
        <v>3.2004312159954185</v>
      </c>
      <c r="H42" s="45">
        <v>4.8385535950453207</v>
      </c>
      <c r="I42" s="45">
        <v>3.5024136198206151</v>
      </c>
      <c r="J42" s="45">
        <v>5.8877129039041147</v>
      </c>
      <c r="K42" s="45">
        <v>8.951104591170731</v>
      </c>
      <c r="L42" s="45">
        <v>16.191481872580077</v>
      </c>
      <c r="M42" s="45">
        <v>7.4547006697206895</v>
      </c>
      <c r="N42" s="45">
        <v>10.920788670868795</v>
      </c>
      <c r="O42" s="45">
        <v>11.132601655271682</v>
      </c>
      <c r="P42" s="45">
        <v>8.4208708044090823</v>
      </c>
      <c r="Q42" s="45">
        <v>8.8842057416762223</v>
      </c>
      <c r="R42" s="45">
        <v>10.869127651865867</v>
      </c>
      <c r="S42" s="45">
        <v>12</v>
      </c>
      <c r="T42" s="45">
        <v>16.106222501571338</v>
      </c>
      <c r="U42" s="45">
        <v>27.651871490065282</v>
      </c>
      <c r="V42" s="45">
        <v>28.832292167227294</v>
      </c>
      <c r="W42" s="45">
        <v>27.351201623650951</v>
      </c>
      <c r="X42" s="45">
        <v>19.78810962262499</v>
      </c>
      <c r="Y42" s="45">
        <v>25.224929131917342</v>
      </c>
    </row>
    <row r="43" spans="1:25" x14ac:dyDescent="0.25">
      <c r="A43" s="72" t="s">
        <v>271</v>
      </c>
      <c r="B43" s="65"/>
      <c r="C43" s="65"/>
      <c r="D43" s="66">
        <v>86.894839510551535</v>
      </c>
      <c r="E43" s="66">
        <v>106.34970284641852</v>
      </c>
      <c r="F43" s="66">
        <v>94.546475117963823</v>
      </c>
      <c r="G43" s="66">
        <v>108.14088635100309</v>
      </c>
      <c r="H43" s="66">
        <v>110.80287732653785</v>
      </c>
      <c r="I43" s="66">
        <v>132.02576558193365</v>
      </c>
      <c r="J43" s="66">
        <v>127.42692927735334</v>
      </c>
      <c r="K43" s="66">
        <v>132.65039720526624</v>
      </c>
      <c r="L43" s="66">
        <v>159.68555672885134</v>
      </c>
      <c r="M43" s="66">
        <v>90.779016219985806</v>
      </c>
      <c r="N43" s="66">
        <v>123.57109789537409</v>
      </c>
      <c r="O43" s="66">
        <v>144.9487225620727</v>
      </c>
      <c r="P43" s="66">
        <v>95.436535783302929</v>
      </c>
      <c r="Q43" s="66">
        <v>101.96175659342362</v>
      </c>
      <c r="R43" s="66">
        <v>106.77911517249709</v>
      </c>
      <c r="S43" s="66">
        <v>117.1</v>
      </c>
      <c r="T43" s="66">
        <v>128.8497800125707</v>
      </c>
      <c r="U43" s="66">
        <v>116.59397360244022</v>
      </c>
      <c r="V43" s="66">
        <v>123.85192169947322</v>
      </c>
      <c r="W43" s="66">
        <v>112.62771878783656</v>
      </c>
      <c r="X43" s="66">
        <v>133.3508449347693</v>
      </c>
      <c r="Y43" s="66">
        <v>143.70814674828478</v>
      </c>
    </row>
    <row r="44" spans="1:25" x14ac:dyDescent="0.25">
      <c r="A44" s="73" t="s">
        <v>272</v>
      </c>
      <c r="B44" s="65"/>
      <c r="C44" s="65"/>
      <c r="D44" s="66">
        <v>79.210261866761257</v>
      </c>
      <c r="E44" s="66">
        <v>97.14990156212626</v>
      </c>
      <c r="F44" s="66">
        <v>84.89887561613078</v>
      </c>
      <c r="G44" s="66">
        <v>99.718698940488835</v>
      </c>
      <c r="H44" s="66">
        <v>103.06119157446534</v>
      </c>
      <c r="I44" s="66">
        <v>126.08689031354217</v>
      </c>
      <c r="J44" s="66">
        <v>120.41774724889606</v>
      </c>
      <c r="K44" s="66">
        <v>124.56953889379267</v>
      </c>
      <c r="L44" s="66">
        <v>148.42191716531738</v>
      </c>
      <c r="M44" s="66">
        <v>80.679099183590026</v>
      </c>
      <c r="N44" s="66">
        <v>111.34456275298838</v>
      </c>
      <c r="O44" s="66">
        <v>131.5671104713926</v>
      </c>
      <c r="P44" s="66">
        <v>83.452988869336153</v>
      </c>
      <c r="Q44" s="66">
        <v>91.114761211144511</v>
      </c>
      <c r="R44" s="66">
        <v>96.312547804033656</v>
      </c>
      <c r="S44" s="66">
        <v>106.1</v>
      </c>
      <c r="T44" s="66">
        <v>114.31489629164048</v>
      </c>
      <c r="U44" s="66">
        <v>104.05085663787452</v>
      </c>
      <c r="V44" s="66">
        <v>112.51847352053167</v>
      </c>
      <c r="W44" s="66">
        <v>100.25870404083517</v>
      </c>
      <c r="X44" s="66">
        <v>115.13877944137992</v>
      </c>
      <c r="Y44" s="66">
        <v>127.52146583952999</v>
      </c>
    </row>
    <row r="45" spans="1:25" x14ac:dyDescent="0.25">
      <c r="A45" s="74" t="s">
        <v>20</v>
      </c>
      <c r="B45" s="44"/>
      <c r="C45" s="44"/>
      <c r="D45" s="45">
        <v>50.987798552767515</v>
      </c>
      <c r="E45" s="45">
        <v>56.46726058872914</v>
      </c>
      <c r="F45" s="45">
        <v>45.901688952400761</v>
      </c>
      <c r="G45" s="45">
        <v>71.066995988458274</v>
      </c>
      <c r="H45" s="45">
        <v>72.248234034612821</v>
      </c>
      <c r="I45" s="45">
        <v>79.912482679386002</v>
      </c>
      <c r="J45" s="45">
        <v>78.095301429418726</v>
      </c>
      <c r="K45" s="45">
        <v>79.430186969239841</v>
      </c>
      <c r="L45" s="45">
        <v>86.701912007462624</v>
      </c>
      <c r="M45" s="45">
        <v>6.2961910433654653</v>
      </c>
      <c r="N45" s="45">
        <v>37.811846819089951</v>
      </c>
      <c r="O45" s="45">
        <v>55.942982423799108</v>
      </c>
      <c r="P45" s="45">
        <v>11.724800089080286</v>
      </c>
      <c r="Q45" s="45">
        <v>21.513207508186902</v>
      </c>
      <c r="R45" s="45">
        <v>48.283559207484714</v>
      </c>
      <c r="S45" s="45">
        <v>49.241282051282049</v>
      </c>
      <c r="T45" s="45">
        <v>61.974490945530874</v>
      </c>
      <c r="U45" s="45">
        <v>59.055891605280131</v>
      </c>
      <c r="V45" s="45">
        <v>52.156050934962813</v>
      </c>
      <c r="W45" s="45">
        <v>34.656124571077399</v>
      </c>
      <c r="X45" s="45">
        <v>32.327782803734181</v>
      </c>
      <c r="Y45" s="45">
        <v>33.093180623691971</v>
      </c>
    </row>
    <row r="46" spans="1:25" x14ac:dyDescent="0.25">
      <c r="A46" s="74" t="s">
        <v>12</v>
      </c>
      <c r="B46" s="44"/>
      <c r="C46" s="44"/>
      <c r="D46" s="45">
        <v>28.222463313993742</v>
      </c>
      <c r="E46" s="45">
        <v>40.68264097339712</v>
      </c>
      <c r="F46" s="45">
        <v>38.99718666373002</v>
      </c>
      <c r="G46" s="45">
        <v>28.651702952030561</v>
      </c>
      <c r="H46" s="45">
        <v>30.812957539852519</v>
      </c>
      <c r="I46" s="45">
        <v>46.174407634156168</v>
      </c>
      <c r="J46" s="45">
        <v>42.322445819477338</v>
      </c>
      <c r="K46" s="45">
        <v>45.139351924552827</v>
      </c>
      <c r="L46" s="45">
        <v>61.720005157854757</v>
      </c>
      <c r="M46" s="45">
        <v>74.382908140224558</v>
      </c>
      <c r="N46" s="45">
        <v>73.53271593389843</v>
      </c>
      <c r="O46" s="45">
        <v>75.624128047593487</v>
      </c>
      <c r="P46" s="45">
        <v>71.728188780255863</v>
      </c>
      <c r="Q46" s="45">
        <v>69.601553702957602</v>
      </c>
      <c r="R46" s="45">
        <v>48.028988596548942</v>
      </c>
      <c r="S46" s="45">
        <v>56.858717948717945</v>
      </c>
      <c r="T46" s="45">
        <v>52.340405346109605</v>
      </c>
      <c r="U46" s="45">
        <v>44.994965032594386</v>
      </c>
      <c r="V46" s="45">
        <v>60.362422585568858</v>
      </c>
      <c r="W46" s="45">
        <v>65.602579469757771</v>
      </c>
      <c r="X46" s="45">
        <v>82.810996637645744</v>
      </c>
      <c r="Y46" s="45">
        <v>94.428285215838031</v>
      </c>
    </row>
    <row r="47" spans="1:25" x14ac:dyDescent="0.25">
      <c r="A47" s="73" t="s">
        <v>11</v>
      </c>
      <c r="B47" s="65"/>
      <c r="C47" s="65"/>
      <c r="D47" s="66">
        <v>7.6845776437902709</v>
      </c>
      <c r="E47" s="66">
        <v>9.1998012842922599</v>
      </c>
      <c r="F47" s="66">
        <v>9.647599501833044</v>
      </c>
      <c r="G47" s="66">
        <v>8.42218741051426</v>
      </c>
      <c r="H47" s="66">
        <v>7.7416857520725131</v>
      </c>
      <c r="I47" s="66">
        <v>5.9388752683914792</v>
      </c>
      <c r="J47" s="66">
        <v>7.0091820284572792</v>
      </c>
      <c r="K47" s="66">
        <v>8.080858311473575</v>
      </c>
      <c r="L47" s="66">
        <v>11.263639563533966</v>
      </c>
      <c r="M47" s="66">
        <v>10.099917036395773</v>
      </c>
      <c r="N47" s="66">
        <v>12.226535142385718</v>
      </c>
      <c r="O47" s="66">
        <v>13.3816120906801</v>
      </c>
      <c r="P47" s="66">
        <v>11.983546913966771</v>
      </c>
      <c r="Q47" s="66">
        <v>10.846995382279108</v>
      </c>
      <c r="R47" s="66">
        <v>10.466567368463426</v>
      </c>
      <c r="S47" s="66">
        <v>11</v>
      </c>
      <c r="T47" s="66">
        <v>14.534883720930234</v>
      </c>
      <c r="U47" s="66">
        <v>12.543116964565694</v>
      </c>
      <c r="V47" s="66">
        <v>11.333448178941547</v>
      </c>
      <c r="W47" s="66">
        <v>12.369014747001385</v>
      </c>
      <c r="X47" s="66">
        <v>18.212065493389371</v>
      </c>
      <c r="Y47" s="66">
        <v>16.186680908754777</v>
      </c>
    </row>
    <row r="48" spans="1:25" x14ac:dyDescent="0.25">
      <c r="A48" s="72" t="s">
        <v>4</v>
      </c>
      <c r="B48" s="65"/>
      <c r="C48" s="65"/>
      <c r="D48" s="66">
        <v>111.72193651356625</v>
      </c>
      <c r="E48" s="66">
        <v>124.38131336363136</v>
      </c>
      <c r="F48" s="66">
        <v>131.20735322492939</v>
      </c>
      <c r="G48" s="66">
        <v>164.73798574965892</v>
      </c>
      <c r="H48" s="66">
        <v>175.63949550014516</v>
      </c>
      <c r="I48" s="66">
        <v>206.64240356941633</v>
      </c>
      <c r="J48" s="66">
        <v>251.34926754047802</v>
      </c>
      <c r="K48" s="66">
        <v>285.06781704936776</v>
      </c>
      <c r="L48" s="66">
        <v>189.60459931948844</v>
      </c>
      <c r="M48" s="66">
        <v>103.40391251548054</v>
      </c>
      <c r="N48" s="66">
        <v>114.90568949348911</v>
      </c>
      <c r="O48" s="66">
        <v>134.04102195034187</v>
      </c>
      <c r="P48" s="66">
        <v>129.7677782935861</v>
      </c>
      <c r="Q48" s="66">
        <v>128.9242879722317</v>
      </c>
      <c r="R48" s="66">
        <v>133.24745380620749</v>
      </c>
      <c r="S48" s="66">
        <v>141</v>
      </c>
      <c r="T48" s="66">
        <v>159.19626021370209</v>
      </c>
      <c r="U48" s="66">
        <v>179.30955842526873</v>
      </c>
      <c r="V48" s="66">
        <v>165.28700824168351</v>
      </c>
      <c r="W48" s="66">
        <v>163.58457531597605</v>
      </c>
      <c r="X48" s="66">
        <v>141.05594956658791</v>
      </c>
      <c r="Y48" s="66">
        <v>157.42985086890434</v>
      </c>
    </row>
    <row r="49" spans="1:25" x14ac:dyDescent="0.25">
      <c r="A49" s="77" t="s">
        <v>10</v>
      </c>
      <c r="B49" s="44"/>
      <c r="C49" s="44"/>
      <c r="D49" s="45">
        <v>42.187078618051885</v>
      </c>
      <c r="E49" s="45">
        <v>50.222651490170989</v>
      </c>
      <c r="F49" s="45">
        <v>59.862405438721076</v>
      </c>
      <c r="G49" s="45">
        <v>71.253356790074776</v>
      </c>
      <c r="H49" s="45">
        <v>83.055370091424138</v>
      </c>
      <c r="I49" s="45">
        <v>115.16279363520549</v>
      </c>
      <c r="J49" s="45">
        <v>131.16351422641546</v>
      </c>
      <c r="K49" s="45">
        <v>163.53884148555309</v>
      </c>
      <c r="L49" s="45">
        <v>104.83429002670269</v>
      </c>
      <c r="M49" s="45">
        <v>34.352868534307703</v>
      </c>
      <c r="N49" s="45">
        <v>42.929593245976946</v>
      </c>
      <c r="O49" s="45">
        <v>71.950268934384241</v>
      </c>
      <c r="P49" s="45">
        <v>67.88205759715369</v>
      </c>
      <c r="Q49" s="45">
        <v>63.746760301613065</v>
      </c>
      <c r="R49" s="45">
        <v>72.494300208833906</v>
      </c>
      <c r="S49" s="45">
        <v>76.475995274097983</v>
      </c>
      <c r="T49" s="45">
        <v>91.744402667546709</v>
      </c>
      <c r="U49" s="45">
        <v>104.89486044527823</v>
      </c>
      <c r="V49" s="45">
        <v>94.346536833124532</v>
      </c>
      <c r="W49" s="45">
        <v>84.860781117384775</v>
      </c>
      <c r="X49" s="45">
        <v>87.306322362905249</v>
      </c>
      <c r="Y49" s="45">
        <v>111.516466461821</v>
      </c>
    </row>
    <row r="50" spans="1:25" x14ac:dyDescent="0.25">
      <c r="A50" s="77" t="s">
        <v>18</v>
      </c>
      <c r="B50" s="44"/>
      <c r="C50" s="44"/>
      <c r="D50" s="45">
        <v>60.035396390227824</v>
      </c>
      <c r="E50" s="45">
        <v>58.14032476305875</v>
      </c>
      <c r="F50" s="45">
        <v>64.695589795103388</v>
      </c>
      <c r="G50" s="45">
        <v>84.34056516326811</v>
      </c>
      <c r="H50" s="45">
        <v>84.51696612001696</v>
      </c>
      <c r="I50" s="45">
        <v>83.683604927537331</v>
      </c>
      <c r="J50" s="45">
        <v>107.8461105616007</v>
      </c>
      <c r="K50" s="45">
        <v>104.88535497460593</v>
      </c>
      <c r="L50" s="45">
        <v>67.486818234329391</v>
      </c>
      <c r="M50" s="45">
        <v>57.896459005464898</v>
      </c>
      <c r="N50" s="45">
        <v>59.89867978114129</v>
      </c>
      <c r="O50" s="45">
        <v>46.348580878007205</v>
      </c>
      <c r="P50" s="45">
        <v>46.921852777930674</v>
      </c>
      <c r="Q50" s="45">
        <v>45.7587282767525</v>
      </c>
      <c r="R50" s="45">
        <v>44.73253084138797</v>
      </c>
      <c r="S50" s="45">
        <v>48.951744732047416</v>
      </c>
      <c r="T50" s="45">
        <v>51.161794290224272</v>
      </c>
      <c r="U50" s="45">
        <v>51.557153688993104</v>
      </c>
      <c r="V50" s="45">
        <v>48.566585013316839</v>
      </c>
      <c r="W50" s="45">
        <v>55.245024628477296</v>
      </c>
      <c r="X50" s="45">
        <v>39.774147594569314</v>
      </c>
      <c r="Y50" s="45">
        <v>43.971119959544374</v>
      </c>
    </row>
    <row r="51" spans="1:25" x14ac:dyDescent="0.25">
      <c r="A51" s="77" t="s">
        <v>9</v>
      </c>
      <c r="B51" s="44"/>
      <c r="C51" s="44"/>
      <c r="D51" s="45">
        <v>9.4994615052865399</v>
      </c>
      <c r="E51" s="45">
        <v>16.018337110401625</v>
      </c>
      <c r="F51" s="45">
        <v>6.649357991104921</v>
      </c>
      <c r="G51" s="45">
        <v>9.1440637963160327</v>
      </c>
      <c r="H51" s="45">
        <v>8.0671592887040617</v>
      </c>
      <c r="I51" s="45">
        <v>7.7960050066735107</v>
      </c>
      <c r="J51" s="45">
        <v>12.33964275246187</v>
      </c>
      <c r="K51" s="45">
        <v>16.643620589208737</v>
      </c>
      <c r="L51" s="45">
        <v>17.283491058456363</v>
      </c>
      <c r="M51" s="45">
        <v>11.154584975707941</v>
      </c>
      <c r="N51" s="45">
        <v>12.07741646637087</v>
      </c>
      <c r="O51" s="45">
        <v>15.742172137950426</v>
      </c>
      <c r="P51" s="45">
        <v>14.963867918501741</v>
      </c>
      <c r="Q51" s="45">
        <v>19.418799393866131</v>
      </c>
      <c r="R51" s="45">
        <v>16.020622755985613</v>
      </c>
      <c r="S51" s="45">
        <v>15.572259993854601</v>
      </c>
      <c r="T51" s="45">
        <v>16.290063255931109</v>
      </c>
      <c r="U51" s="45">
        <v>22.857544290997403</v>
      </c>
      <c r="V51" s="45">
        <v>22.373886395242138</v>
      </c>
      <c r="W51" s="45">
        <v>23.478769570113982</v>
      </c>
      <c r="X51" s="45">
        <v>13.97547960911335</v>
      </c>
      <c r="Y51" s="45">
        <v>1.9422644475389674</v>
      </c>
    </row>
    <row r="52" spans="1:25" x14ac:dyDescent="0.25">
      <c r="A52" s="72" t="s">
        <v>3</v>
      </c>
      <c r="B52" s="65"/>
      <c r="C52" s="65"/>
      <c r="D52" s="66">
        <v>90.047486749029531</v>
      </c>
      <c r="E52" s="66">
        <v>101.93379822995826</v>
      </c>
      <c r="F52" s="66">
        <v>115.42037222192982</v>
      </c>
      <c r="G52" s="66">
        <v>116.39463001330711</v>
      </c>
      <c r="H52" s="66">
        <v>111.44801780587721</v>
      </c>
      <c r="I52" s="66">
        <v>118.92978422086532</v>
      </c>
      <c r="J52" s="66">
        <v>137.660335038901</v>
      </c>
      <c r="K52" s="66">
        <v>146.69865857752029</v>
      </c>
      <c r="L52" s="66">
        <v>134.8116860260472</v>
      </c>
      <c r="M52" s="66">
        <v>106.7705515276125</v>
      </c>
      <c r="N52" s="66">
        <v>146.71842170862857</v>
      </c>
      <c r="O52" s="66">
        <v>139.88844908240372</v>
      </c>
      <c r="P52" s="66">
        <v>138.40456886221079</v>
      </c>
      <c r="Q52" s="66">
        <v>130.99038233076101</v>
      </c>
      <c r="R52" s="66">
        <v>131.23465238919528</v>
      </c>
      <c r="S52" s="66">
        <v>133.80000000000001</v>
      </c>
      <c r="T52" s="66">
        <v>137.5903519798868</v>
      </c>
      <c r="U52" s="66">
        <v>148.99702576090169</v>
      </c>
      <c r="V52" s="66">
        <v>144.43346359243105</v>
      </c>
      <c r="W52" s="66">
        <v>124.56120484656316</v>
      </c>
      <c r="X52" s="66">
        <v>104.89449260134825</v>
      </c>
      <c r="Y52" s="66">
        <v>123.00234172794887</v>
      </c>
    </row>
    <row r="53" spans="1:25" x14ac:dyDescent="0.25">
      <c r="A53" s="73" t="s">
        <v>21</v>
      </c>
      <c r="B53" s="65"/>
      <c r="C53" s="65"/>
      <c r="D53" s="66">
        <v>37.831766861736718</v>
      </c>
      <c r="E53" s="66">
        <v>40.295129625200097</v>
      </c>
      <c r="F53" s="66">
        <v>46.133066708765284</v>
      </c>
      <c r="G53" s="66">
        <v>44.132262031094719</v>
      </c>
      <c r="H53" s="66">
        <v>38.063288281023191</v>
      </c>
      <c r="I53" s="66">
        <v>39.744780642312207</v>
      </c>
      <c r="J53" s="66">
        <v>49.48482512090839</v>
      </c>
      <c r="K53" s="66">
        <v>56.690329077414624</v>
      </c>
      <c r="L53" s="66">
        <v>53.971606241933586</v>
      </c>
      <c r="M53" s="66">
        <v>39.558008392550107</v>
      </c>
      <c r="N53" s="66">
        <v>69.560675664446904</v>
      </c>
      <c r="O53" s="66">
        <v>63.309643756747036</v>
      </c>
      <c r="P53" s="66">
        <v>56.139138696060549</v>
      </c>
      <c r="Q53" s="66">
        <v>51.858968399086784</v>
      </c>
      <c r="R53" s="66">
        <v>53.238597479972626</v>
      </c>
      <c r="S53" s="66">
        <v>56.5</v>
      </c>
      <c r="T53" s="66">
        <v>56.469987429289759</v>
      </c>
      <c r="U53" s="66">
        <v>66.041411290705739</v>
      </c>
      <c r="V53" s="66">
        <v>69.088700098827658</v>
      </c>
      <c r="W53" s="66">
        <v>53.395817182477813</v>
      </c>
      <c r="X53" s="66">
        <v>39.225987216530953</v>
      </c>
      <c r="Y53" s="66">
        <v>58.091286307053942</v>
      </c>
    </row>
    <row r="54" spans="1:25" x14ac:dyDescent="0.25">
      <c r="A54" s="74" t="s">
        <v>8</v>
      </c>
      <c r="B54" s="44"/>
      <c r="C54" s="44"/>
      <c r="D54" s="45">
        <v>2.564833758403263</v>
      </c>
      <c r="E54" s="45">
        <v>2.0156428362028209</v>
      </c>
      <c r="F54" s="45">
        <v>2.7220315636323349</v>
      </c>
      <c r="G54" s="45">
        <v>3.1369047428425758</v>
      </c>
      <c r="H54" s="45">
        <v>2.6907486439299153</v>
      </c>
      <c r="I54" s="45">
        <v>2.8190720803182012</v>
      </c>
      <c r="J54" s="45">
        <v>5.8631576515156123</v>
      </c>
      <c r="K54" s="45">
        <v>9.408081444299901</v>
      </c>
      <c r="L54" s="45">
        <v>10.715970448126726</v>
      </c>
      <c r="M54" s="45">
        <v>8.0198760472442885</v>
      </c>
      <c r="N54" s="45">
        <v>13.795351403506496</v>
      </c>
      <c r="O54" s="45">
        <v>12.652158083272635</v>
      </c>
      <c r="P54" s="45">
        <v>11.203578818296446</v>
      </c>
      <c r="Q54" s="45">
        <v>10.438373981971438</v>
      </c>
      <c r="R54" s="45">
        <v>10.839559898855818</v>
      </c>
      <c r="S54" s="45">
        <v>11.663827646466967</v>
      </c>
      <c r="T54" s="45">
        <v>11.540253950919414</v>
      </c>
      <c r="U54" s="45">
        <v>13.356997616541216</v>
      </c>
      <c r="V54" s="45">
        <v>13.902411242475708</v>
      </c>
      <c r="W54" s="45">
        <v>10.593935286697521</v>
      </c>
      <c r="X54" s="45">
        <v>8.1400251847539877</v>
      </c>
      <c r="Y54" s="45">
        <v>12.311488783692555</v>
      </c>
    </row>
    <row r="55" spans="1:25" x14ac:dyDescent="0.25">
      <c r="A55" s="74" t="s">
        <v>17</v>
      </c>
      <c r="B55" s="44"/>
      <c r="C55" s="44"/>
      <c r="D55" s="45">
        <v>35.266933103333457</v>
      </c>
      <c r="E55" s="45">
        <v>38.279486788997275</v>
      </c>
      <c r="F55" s="45">
        <v>43.411035145132949</v>
      </c>
      <c r="G55" s="45">
        <v>40.995357288252144</v>
      </c>
      <c r="H55" s="45">
        <v>35.372539637093276</v>
      </c>
      <c r="I55" s="45">
        <v>36.925708561994007</v>
      </c>
      <c r="J55" s="45">
        <v>43.621667469392776</v>
      </c>
      <c r="K55" s="45">
        <v>47.282247633114721</v>
      </c>
      <c r="L55" s="45">
        <v>43.25563579380686</v>
      </c>
      <c r="M55" s="45">
        <v>31.538132345305819</v>
      </c>
      <c r="N55" s="45">
        <v>55.76532426094041</v>
      </c>
      <c r="O55" s="45">
        <v>50.657485673474397</v>
      </c>
      <c r="P55" s="45">
        <v>44.935559877764106</v>
      </c>
      <c r="Q55" s="45">
        <v>41.420594417115346</v>
      </c>
      <c r="R55" s="45">
        <v>42.399037581116808</v>
      </c>
      <c r="S55" s="45">
        <v>44.83617235353303</v>
      </c>
      <c r="T55" s="45">
        <v>44.929733478370345</v>
      </c>
      <c r="U55" s="45">
        <v>52.684413674164524</v>
      </c>
      <c r="V55" s="45">
        <v>55.18628885635195</v>
      </c>
      <c r="W55" s="45">
        <v>42.801881895780291</v>
      </c>
      <c r="X55" s="45">
        <v>31.085962031776965</v>
      </c>
      <c r="Y55" s="45">
        <v>45.779797523361388</v>
      </c>
    </row>
    <row r="56" spans="1:25" x14ac:dyDescent="0.25">
      <c r="A56" s="73" t="s">
        <v>16</v>
      </c>
      <c r="B56" s="65"/>
      <c r="C56" s="65"/>
      <c r="D56" s="66">
        <v>52.215719887292813</v>
      </c>
      <c r="E56" s="66">
        <v>61.638668604758159</v>
      </c>
      <c r="F56" s="66">
        <v>69.28730551316454</v>
      </c>
      <c r="G56" s="66">
        <v>72.262367982212396</v>
      </c>
      <c r="H56" s="66">
        <v>73.384729524854023</v>
      </c>
      <c r="I56" s="66">
        <v>79.185003578553108</v>
      </c>
      <c r="J56" s="66">
        <v>88.175509917992599</v>
      </c>
      <c r="K56" s="66">
        <v>90.008329500105674</v>
      </c>
      <c r="L56" s="66">
        <v>80.840079784113613</v>
      </c>
      <c r="M56" s="66">
        <v>67.21254313506239</v>
      </c>
      <c r="N56" s="66">
        <v>77.157746044181664</v>
      </c>
      <c r="O56" s="66">
        <v>76.578805325656688</v>
      </c>
      <c r="P56" s="66">
        <v>82.265430166150253</v>
      </c>
      <c r="Q56" s="66">
        <v>79.131413931674217</v>
      </c>
      <c r="R56" s="66">
        <v>77.99605490922265</v>
      </c>
      <c r="S56" s="66">
        <v>77.300000000000011</v>
      </c>
      <c r="T56" s="66">
        <v>81.120364550597046</v>
      </c>
      <c r="U56" s="66">
        <v>82.955614470195954</v>
      </c>
      <c r="V56" s="66">
        <v>75.344763493603395</v>
      </c>
      <c r="W56" s="66">
        <v>71.165387664085344</v>
      </c>
      <c r="X56" s="66">
        <v>65.668505384817294</v>
      </c>
      <c r="Y56" s="66">
        <v>64.91105542089494</v>
      </c>
    </row>
    <row r="57" spans="1:25" x14ac:dyDescent="0.25">
      <c r="A57" s="72" t="s">
        <v>2</v>
      </c>
      <c r="B57" s="65"/>
      <c r="C57" s="65"/>
      <c r="D57" s="66">
        <v>347.18527713739633</v>
      </c>
      <c r="E57" s="66">
        <v>359.34423816445565</v>
      </c>
      <c r="F57" s="66">
        <v>340.12173516462315</v>
      </c>
      <c r="G57" s="66">
        <v>348.34167129886976</v>
      </c>
      <c r="H57" s="66">
        <v>311.76413664075352</v>
      </c>
      <c r="I57" s="66">
        <v>335.01347667849365</v>
      </c>
      <c r="J57" s="66">
        <v>355.22534520221495</v>
      </c>
      <c r="K57" s="66">
        <v>352.57406417444713</v>
      </c>
      <c r="L57" s="66">
        <v>352.22339551801008</v>
      </c>
      <c r="M57" s="66">
        <v>369.60886868905476</v>
      </c>
      <c r="N57" s="66">
        <v>319.55177284759566</v>
      </c>
      <c r="O57" s="66">
        <v>322.84544800287881</v>
      </c>
      <c r="P57" s="66">
        <v>334.0278752415602</v>
      </c>
      <c r="Q57" s="66">
        <v>346.17410977159324</v>
      </c>
      <c r="R57" s="66">
        <v>400.04428163117427</v>
      </c>
      <c r="S57" s="66">
        <v>380.2</v>
      </c>
      <c r="T57" s="66">
        <v>379.08548082966689</v>
      </c>
      <c r="U57" s="66">
        <v>377.62383952412176</v>
      </c>
      <c r="V57" s="66">
        <v>389.41727942843153</v>
      </c>
      <c r="W57" s="66">
        <v>396.50531780528382</v>
      </c>
      <c r="X57" s="66">
        <v>400.84055686892566</v>
      </c>
      <c r="Y57" s="66">
        <v>391.19181627706342</v>
      </c>
    </row>
    <row r="58" spans="1:25" x14ac:dyDescent="0.25">
      <c r="A58" s="72" t="s">
        <v>275</v>
      </c>
      <c r="B58" s="65"/>
      <c r="C58" s="65"/>
      <c r="D58" s="66">
        <v>49.654194006029442</v>
      </c>
      <c r="E58" s="66">
        <v>51.886879243408345</v>
      </c>
      <c r="F58" s="66">
        <v>58.411829711098243</v>
      </c>
      <c r="G58" s="66">
        <v>60.976636852123242</v>
      </c>
      <c r="H58" s="66">
        <v>76.287861681881225</v>
      </c>
      <c r="I58" s="66">
        <v>74.616637987482676</v>
      </c>
      <c r="J58" s="66">
        <v>74.998247704492897</v>
      </c>
      <c r="K58" s="66">
        <v>90.008329500105688</v>
      </c>
      <c r="L58" s="66">
        <v>107.47389416871992</v>
      </c>
      <c r="M58" s="66">
        <v>72.142264545684085</v>
      </c>
      <c r="N58" s="66">
        <v>122.02794297449047</v>
      </c>
      <c r="O58" s="66">
        <v>122.34616768621807</v>
      </c>
      <c r="P58" s="66">
        <v>117.13647208697249</v>
      </c>
      <c r="Q58" s="66">
        <v>115.49467464179089</v>
      </c>
      <c r="R58" s="66">
        <v>112.71687935268307</v>
      </c>
      <c r="S58" s="66">
        <v>122.2</v>
      </c>
      <c r="T58" s="66">
        <v>121.28771213073539</v>
      </c>
      <c r="U58" s="66">
        <v>110.60748596026113</v>
      </c>
      <c r="V58" s="66">
        <v>121.49456447825337</v>
      </c>
      <c r="W58" s="66">
        <v>112.54061305018161</v>
      </c>
      <c r="X58" s="66">
        <v>116.18947552753698</v>
      </c>
      <c r="Y58" s="66">
        <v>113.55326404009695</v>
      </c>
    </row>
    <row r="59" spans="1:25" x14ac:dyDescent="0.25">
      <c r="A59" s="72" t="s">
        <v>276</v>
      </c>
      <c r="B59" s="65"/>
      <c r="C59" s="65"/>
      <c r="D59" s="66">
        <v>315.85584520502061</v>
      </c>
      <c r="E59" s="66">
        <v>313.89721982005187</v>
      </c>
      <c r="F59" s="66">
        <v>332.40365556315669</v>
      </c>
      <c r="G59" s="66">
        <v>389.27350211396902</v>
      </c>
      <c r="H59" s="66">
        <v>449.01777362020584</v>
      </c>
      <c r="I59" s="66">
        <v>571.3502565898674</v>
      </c>
      <c r="J59" s="66">
        <v>661.94715076750549</v>
      </c>
      <c r="K59" s="66">
        <v>713.97491204296534</v>
      </c>
      <c r="L59" s="66">
        <v>723.33685322069687</v>
      </c>
      <c r="M59" s="66">
        <v>546.95860236386147</v>
      </c>
      <c r="N59" s="66">
        <v>629.8446161698896</v>
      </c>
      <c r="O59" s="66">
        <v>792.77617848146815</v>
      </c>
      <c r="P59" s="66">
        <v>748.59382253554577</v>
      </c>
      <c r="Q59" s="66">
        <v>766.21109286061096</v>
      </c>
      <c r="R59" s="66">
        <v>795.55976007407105</v>
      </c>
      <c r="S59" s="66">
        <v>778</v>
      </c>
      <c r="T59" s="66">
        <v>844.29996857322453</v>
      </c>
      <c r="U59" s="66">
        <v>881.1539667607401</v>
      </c>
      <c r="V59" s="66">
        <v>900.05712057882181</v>
      </c>
      <c r="W59" s="66">
        <v>929.59243225351247</v>
      </c>
      <c r="X59" s="66">
        <v>896.24376149198861</v>
      </c>
      <c r="Y59" s="66">
        <v>927.81726305410621</v>
      </c>
    </row>
    <row r="60" spans="1:25" x14ac:dyDescent="0.25">
      <c r="A60" s="72" t="s">
        <v>1</v>
      </c>
      <c r="B60" s="65"/>
      <c r="C60" s="65"/>
      <c r="D60" s="66">
        <v>276.25071427163994</v>
      </c>
      <c r="E60" s="66">
        <v>311.68926751182175</v>
      </c>
      <c r="F60" s="66">
        <v>317.66913996035714</v>
      </c>
      <c r="G60" s="66">
        <v>307.24139673556016</v>
      </c>
      <c r="H60" s="66">
        <v>293.53891809941615</v>
      </c>
      <c r="I60" s="66">
        <v>258.56949245458287</v>
      </c>
      <c r="J60" s="66">
        <v>252.33055302446206</v>
      </c>
      <c r="K60" s="66">
        <v>224.89650285316461</v>
      </c>
      <c r="L60" s="66">
        <v>198.99096562243341</v>
      </c>
      <c r="M60" s="66">
        <v>156.54871406413446</v>
      </c>
      <c r="N60" s="66">
        <v>159.65718219911449</v>
      </c>
      <c r="O60" s="66">
        <v>163.39060813242176</v>
      </c>
      <c r="P60" s="66">
        <v>169.71293467347533</v>
      </c>
      <c r="Q60" s="66">
        <v>159.60578919639261</v>
      </c>
      <c r="R60" s="66">
        <v>171.08812044603678</v>
      </c>
      <c r="S60" s="66">
        <v>172.8</v>
      </c>
      <c r="T60" s="66">
        <v>176.77561282212446</v>
      </c>
      <c r="U60" s="66">
        <v>182.16026682630635</v>
      </c>
      <c r="V60" s="66">
        <v>170.90839853843852</v>
      </c>
      <c r="W60" s="66">
        <v>160.01324007212355</v>
      </c>
      <c r="X60" s="66">
        <v>159.18045705279749</v>
      </c>
      <c r="Y60" s="66">
        <v>143.21515139065775</v>
      </c>
    </row>
    <row r="61" spans="1:25" x14ac:dyDescent="0.25">
      <c r="A61" s="72" t="s">
        <v>0</v>
      </c>
      <c r="B61" s="65"/>
      <c r="C61" s="65"/>
      <c r="D61" s="66">
        <v>255.75850722153262</v>
      </c>
      <c r="E61" s="66">
        <v>290.89771660932126</v>
      </c>
      <c r="F61" s="66">
        <v>311.88058025925733</v>
      </c>
      <c r="G61" s="66">
        <v>349.01544629171087</v>
      </c>
      <c r="H61" s="66">
        <v>367.56878810360956</v>
      </c>
      <c r="I61" s="66">
        <v>373.84458420259182</v>
      </c>
      <c r="J61" s="66">
        <v>391.11235718791619</v>
      </c>
      <c r="K61" s="66">
        <v>394.84316918830893</v>
      </c>
      <c r="L61" s="66">
        <v>317.37651061832685</v>
      </c>
      <c r="M61" s="66">
        <v>272.09657444480519</v>
      </c>
      <c r="N61" s="66">
        <v>340.08760371781636</v>
      </c>
      <c r="O61" s="66">
        <v>373.67308384310905</v>
      </c>
      <c r="P61" s="66">
        <v>378.50734666997744</v>
      </c>
      <c r="Q61" s="66">
        <v>391.21496678753317</v>
      </c>
      <c r="R61" s="66">
        <v>445.43295358479929</v>
      </c>
      <c r="S61" s="66">
        <v>481.2</v>
      </c>
      <c r="T61" s="66">
        <v>484.65980515399121</v>
      </c>
      <c r="U61" s="66">
        <v>515.3130552942406</v>
      </c>
      <c r="V61" s="66">
        <v>513.72253905506238</v>
      </c>
      <c r="W61" s="66">
        <v>501.46773167948578</v>
      </c>
      <c r="X61" s="66">
        <v>553.1039313545225</v>
      </c>
      <c r="Y61" s="66">
        <v>740.88985662051687</v>
      </c>
    </row>
    <row r="62" spans="1:25" x14ac:dyDescent="0.25">
      <c r="A62" s="78" t="s">
        <v>277</v>
      </c>
      <c r="B62" s="79"/>
      <c r="C62" s="79"/>
      <c r="D62" s="80">
        <v>216.74449764536661</v>
      </c>
      <c r="E62" s="80">
        <v>254.4665035235239</v>
      </c>
      <c r="F62" s="80">
        <v>278.02627655282498</v>
      </c>
      <c r="G62" s="80">
        <v>299.15609682146646</v>
      </c>
      <c r="H62" s="80">
        <v>293.21634785974646</v>
      </c>
      <c r="I62" s="80">
        <v>306.38505230778605</v>
      </c>
      <c r="J62" s="80">
        <v>332.93614635172077</v>
      </c>
      <c r="K62" s="80">
        <v>320.12631003145322</v>
      </c>
      <c r="L62" s="80">
        <v>275.95916930658223</v>
      </c>
      <c r="M62" s="80">
        <v>216.54703074462839</v>
      </c>
      <c r="N62" s="80">
        <v>252.36518167681589</v>
      </c>
      <c r="O62" s="80">
        <v>271.1182079884851</v>
      </c>
      <c r="P62" s="80">
        <v>283.17877076878233</v>
      </c>
      <c r="Q62" s="80">
        <v>279.23265255524223</v>
      </c>
      <c r="R62" s="80">
        <v>291.45364518336618</v>
      </c>
      <c r="S62" s="80">
        <v>296.5</v>
      </c>
      <c r="T62" s="80">
        <v>319.86565053425517</v>
      </c>
      <c r="U62" s="80">
        <v>336.28856770907572</v>
      </c>
      <c r="V62" s="80">
        <v>339.09676951393106</v>
      </c>
      <c r="W62" s="80">
        <v>343.45792357342577</v>
      </c>
      <c r="X62" s="80">
        <v>346.20436038875755</v>
      </c>
      <c r="Y62" s="80">
        <v>381.74273858921163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4.3497977471022506E-2</v>
      </c>
      <c r="E66" s="83">
        <f t="shared" ref="E66:S66" si="49">E24/E$23</f>
        <v>3.9138033317834185E-2</v>
      </c>
      <c r="F66" s="83">
        <f t="shared" si="49"/>
        <v>3.9927613247924626E-2</v>
      </c>
      <c r="G66" s="83">
        <f t="shared" si="49"/>
        <v>3.875710845842513E-2</v>
      </c>
      <c r="H66" s="83">
        <f t="shared" si="49"/>
        <v>4.0843883804401758E-2</v>
      </c>
      <c r="I66" s="83">
        <f t="shared" si="49"/>
        <v>3.7094511922170163E-2</v>
      </c>
      <c r="J66" s="83">
        <f t="shared" si="49"/>
        <v>3.5751390843890347E-2</v>
      </c>
      <c r="K66" s="83">
        <f t="shared" si="49"/>
        <v>4.4670797454916346E-2</v>
      </c>
      <c r="L66" s="83">
        <f t="shared" si="49"/>
        <v>3.8147745753676091E-2</v>
      </c>
      <c r="M66" s="83">
        <f t="shared" si="49"/>
        <v>2.8469634835353873E-2</v>
      </c>
      <c r="N66" s="83">
        <f t="shared" si="49"/>
        <v>3.6247053715419919E-2</v>
      </c>
      <c r="O66" s="83">
        <f t="shared" si="49"/>
        <v>4.1963253947089517E-2</v>
      </c>
      <c r="P66" s="83">
        <f t="shared" si="49"/>
        <v>3.7939513939897168E-2</v>
      </c>
      <c r="Q66" s="83">
        <f t="shared" si="49"/>
        <v>3.5248459388825516E-2</v>
      </c>
      <c r="R66" s="83">
        <f t="shared" si="49"/>
        <v>3.6287716287716293E-2</v>
      </c>
      <c r="S66" s="83">
        <f t="shared" si="49"/>
        <v>3.296125920170815E-2</v>
      </c>
      <c r="T66" s="83">
        <f t="shared" ref="T66:Y66" si="50">T24/T$23</f>
        <v>2.4522957264866078E-2</v>
      </c>
      <c r="U66" s="83">
        <f t="shared" si="50"/>
        <v>2.750505412019617E-2</v>
      </c>
      <c r="V66" s="83">
        <f t="shared" si="50"/>
        <v>2.4017767296294488E-2</v>
      </c>
      <c r="W66" s="83">
        <f t="shared" si="50"/>
        <v>2.6540335055787779E-2</v>
      </c>
      <c r="X66" s="83">
        <f t="shared" si="50"/>
        <v>2.2781729766991821E-2</v>
      </c>
      <c r="Y66" s="83">
        <f t="shared" si="50"/>
        <v>2.2473308371124361E-2</v>
      </c>
    </row>
    <row r="67" spans="1:25" x14ac:dyDescent="0.25">
      <c r="A67" s="64" t="s">
        <v>56</v>
      </c>
      <c r="B67" s="65"/>
      <c r="C67" s="65"/>
      <c r="D67" s="83">
        <f t="shared" si="46"/>
        <v>1.1844945491483612E-2</v>
      </c>
      <c r="E67" s="83">
        <f t="shared" ref="E67:S67" si="51">E25/E$23</f>
        <v>1.1544196636149371E-2</v>
      </c>
      <c r="F67" s="83">
        <f t="shared" si="51"/>
        <v>1.1260161433947091E-2</v>
      </c>
      <c r="G67" s="83">
        <f t="shared" si="51"/>
        <v>1.1219837081817716E-2</v>
      </c>
      <c r="H67" s="83">
        <f t="shared" si="51"/>
        <v>1.0560088635498054E-2</v>
      </c>
      <c r="I67" s="83">
        <f t="shared" si="51"/>
        <v>9.4501974593890203E-3</v>
      </c>
      <c r="J67" s="83">
        <f t="shared" si="51"/>
        <v>9.6353643005563389E-3</v>
      </c>
      <c r="K67" s="83">
        <f t="shared" si="51"/>
        <v>1.0609140930190603E-2</v>
      </c>
      <c r="L67" s="83">
        <f t="shared" si="51"/>
        <v>9.8119268221908799E-3</v>
      </c>
      <c r="M67" s="83">
        <f t="shared" si="51"/>
        <v>1.2375975280660706E-2</v>
      </c>
      <c r="N67" s="83">
        <f t="shared" si="51"/>
        <v>1.3909564570152588E-2</v>
      </c>
      <c r="O67" s="83">
        <f t="shared" si="51"/>
        <v>1.3949004082135017E-2</v>
      </c>
      <c r="P67" s="83">
        <f t="shared" si="51"/>
        <v>1.299779644237218E-2</v>
      </c>
      <c r="Q67" s="83">
        <f t="shared" si="51"/>
        <v>1.5403093897308689E-2</v>
      </c>
      <c r="R67" s="83">
        <f t="shared" si="51"/>
        <v>1.5478335478335482E-2</v>
      </c>
      <c r="S67" s="83">
        <f t="shared" si="51"/>
        <v>1.3856361126171697E-2</v>
      </c>
      <c r="T67" s="83">
        <f t="shared" ref="T67:Y67" si="52">T25/T$23</f>
        <v>1.0893164832468247E-2</v>
      </c>
      <c r="U67" s="83">
        <f t="shared" si="52"/>
        <v>1.2366875924976543E-2</v>
      </c>
      <c r="V67" s="83">
        <f t="shared" si="52"/>
        <v>1.0843015652775253E-2</v>
      </c>
      <c r="W67" s="83">
        <f t="shared" si="52"/>
        <v>9.0716848237501237E-3</v>
      </c>
      <c r="X67" s="83">
        <f t="shared" si="52"/>
        <v>6.9225562379831148E-3</v>
      </c>
      <c r="Y67" s="83">
        <f t="shared" si="52"/>
        <v>6.1856500239739695E-3</v>
      </c>
    </row>
    <row r="68" spans="1:25" x14ac:dyDescent="0.25">
      <c r="A68" s="64" t="s">
        <v>146</v>
      </c>
      <c r="B68" s="65"/>
      <c r="C68" s="65"/>
      <c r="D68" s="83">
        <f t="shared" si="46"/>
        <v>0.69736436358359499</v>
      </c>
      <c r="E68" s="83">
        <f t="shared" ref="E68:S68" si="53">E26/E$23</f>
        <v>0.69561801536019485</v>
      </c>
      <c r="F68" s="83">
        <f t="shared" si="53"/>
        <v>0.69570275471806486</v>
      </c>
      <c r="G68" s="83">
        <f t="shared" si="53"/>
        <v>0.68980224396741618</v>
      </c>
      <c r="H68" s="83">
        <f t="shared" si="53"/>
        <v>0.6912991794291784</v>
      </c>
      <c r="I68" s="83">
        <f t="shared" si="53"/>
        <v>0.68282153053408534</v>
      </c>
      <c r="J68" s="83">
        <f t="shared" si="53"/>
        <v>0.67336952878879286</v>
      </c>
      <c r="K68" s="83">
        <f t="shared" si="53"/>
        <v>0.66382414776472554</v>
      </c>
      <c r="L68" s="83">
        <f t="shared" si="53"/>
        <v>0.6844999898776547</v>
      </c>
      <c r="M68" s="83">
        <f t="shared" si="53"/>
        <v>0.71791255289139633</v>
      </c>
      <c r="N68" s="83">
        <f t="shared" si="53"/>
        <v>0.70213062895422396</v>
      </c>
      <c r="O68" s="83">
        <f t="shared" si="53"/>
        <v>0.68072507470238719</v>
      </c>
      <c r="P68" s="83">
        <f t="shared" si="53"/>
        <v>0.68892792131063763</v>
      </c>
      <c r="Q68" s="83">
        <f t="shared" si="53"/>
        <v>0.690761161509165</v>
      </c>
      <c r="R68" s="83">
        <f t="shared" si="53"/>
        <v>0.69549549549549561</v>
      </c>
      <c r="S68" s="83">
        <f t="shared" si="53"/>
        <v>0.707926464587747</v>
      </c>
      <c r="T68" s="83">
        <f t="shared" ref="T68:Y68" si="54">T26/T$23</f>
        <v>0.7120246243138425</v>
      </c>
      <c r="U68" s="83">
        <f t="shared" si="54"/>
        <v>0.71177489093740631</v>
      </c>
      <c r="V68" s="83">
        <f t="shared" si="54"/>
        <v>0.71737231972267412</v>
      </c>
      <c r="W68" s="83">
        <f t="shared" si="54"/>
        <v>0.72738044301089422</v>
      </c>
      <c r="X68" s="83">
        <f t="shared" si="54"/>
        <v>0.73371621256857145</v>
      </c>
      <c r="Y68" s="83">
        <f t="shared" si="54"/>
        <v>0.72630511725283931</v>
      </c>
    </row>
    <row r="69" spans="1:25" x14ac:dyDescent="0.25">
      <c r="A69" s="68" t="s">
        <v>148</v>
      </c>
      <c r="B69" s="69"/>
      <c r="C69" s="69"/>
      <c r="D69" s="84">
        <f t="shared" si="46"/>
        <v>0.28551216238277494</v>
      </c>
      <c r="E69" s="84">
        <f t="shared" ref="E69:S69" si="55">E27/E$23</f>
        <v>0.27395019961840017</v>
      </c>
      <c r="F69" s="84">
        <f t="shared" si="55"/>
        <v>0.26504466722201475</v>
      </c>
      <c r="G69" s="84">
        <f t="shared" si="55"/>
        <v>0.26581792100005125</v>
      </c>
      <c r="H69" s="84">
        <f t="shared" si="55"/>
        <v>0.26694519140881967</v>
      </c>
      <c r="I69" s="84">
        <f t="shared" si="55"/>
        <v>0.25542391596287561</v>
      </c>
      <c r="J69" s="84">
        <f t="shared" si="55"/>
        <v>0.24745291239359213</v>
      </c>
      <c r="K69" s="84">
        <f t="shared" si="55"/>
        <v>0.24249068491059594</v>
      </c>
      <c r="L69" s="84">
        <f t="shared" si="55"/>
        <v>0.25674991733417907</v>
      </c>
      <c r="M69" s="84">
        <f t="shared" si="55"/>
        <v>0.28120694293843806</v>
      </c>
      <c r="N69" s="84">
        <f t="shared" si="55"/>
        <v>0.27598157796799405</v>
      </c>
      <c r="O69" s="84">
        <f t="shared" si="55"/>
        <v>0.26574220325887027</v>
      </c>
      <c r="P69" s="84">
        <f t="shared" si="55"/>
        <v>0.26389039695972927</v>
      </c>
      <c r="Q69" s="84">
        <f t="shared" si="55"/>
        <v>0.26902300203402929</v>
      </c>
      <c r="R69" s="84">
        <f t="shared" si="55"/>
        <v>0.27117403117403116</v>
      </c>
      <c r="S69" s="84">
        <f t="shared" si="55"/>
        <v>0.27561805854438337</v>
      </c>
      <c r="T69" s="84">
        <f t="shared" ref="T69:Y69" si="56">T27/T$23</f>
        <v>0.2694858020772764</v>
      </c>
      <c r="U69" s="84">
        <f t="shared" si="56"/>
        <v>0.2643183950629226</v>
      </c>
      <c r="V69" s="84">
        <f t="shared" si="56"/>
        <v>0.26053824977946033</v>
      </c>
      <c r="W69" s="84">
        <f t="shared" si="56"/>
        <v>0.26185284534114472</v>
      </c>
      <c r="X69" s="84">
        <f t="shared" si="56"/>
        <v>0.25975573799764962</v>
      </c>
      <c r="Y69" s="84">
        <f t="shared" si="56"/>
        <v>0.25286132065458083</v>
      </c>
    </row>
    <row r="70" spans="1:25" x14ac:dyDescent="0.25">
      <c r="A70" s="68" t="s">
        <v>150</v>
      </c>
      <c r="B70" s="71"/>
      <c r="C70" s="71"/>
      <c r="D70" s="84">
        <f t="shared" si="46"/>
        <v>0.26632081118830381</v>
      </c>
      <c r="E70" s="84">
        <f t="shared" ref="E70:S70" si="57">E28/E$23</f>
        <v>0.26779329474578717</v>
      </c>
      <c r="F70" s="84">
        <f t="shared" si="57"/>
        <v>0.26761554591675524</v>
      </c>
      <c r="G70" s="84">
        <f t="shared" si="57"/>
        <v>0.26196270300732616</v>
      </c>
      <c r="H70" s="84">
        <f t="shared" si="57"/>
        <v>0.26483317368171999</v>
      </c>
      <c r="I70" s="84">
        <f t="shared" si="57"/>
        <v>0.26859450694838199</v>
      </c>
      <c r="J70" s="84">
        <f t="shared" si="57"/>
        <v>0.26711743414437966</v>
      </c>
      <c r="K70" s="84">
        <f t="shared" si="57"/>
        <v>0.27020350955100231</v>
      </c>
      <c r="L70" s="84">
        <f t="shared" si="57"/>
        <v>0.2841679769480453</v>
      </c>
      <c r="M70" s="84">
        <f t="shared" si="57"/>
        <v>0.30322770000896809</v>
      </c>
      <c r="N70" s="84">
        <f t="shared" si="57"/>
        <v>0.29287619402059301</v>
      </c>
      <c r="O70" s="84">
        <f t="shared" si="57"/>
        <v>0.27917837630857384</v>
      </c>
      <c r="P70" s="84">
        <f t="shared" si="57"/>
        <v>0.28494874333343978</v>
      </c>
      <c r="Q70" s="84">
        <f t="shared" si="57"/>
        <v>0.28433556050482561</v>
      </c>
      <c r="R70" s="84">
        <f t="shared" si="57"/>
        <v>0.28324324324324324</v>
      </c>
      <c r="S70" s="84">
        <f t="shared" si="57"/>
        <v>0.29643334246284386</v>
      </c>
      <c r="T70" s="84">
        <f t="shared" ref="T70:Y70" si="58">T28/T$23</f>
        <v>0.29912459924142604</v>
      </c>
      <c r="U70" s="84">
        <f t="shared" si="58"/>
        <v>0.30311662684632573</v>
      </c>
      <c r="V70" s="84">
        <f t="shared" si="58"/>
        <v>0.30692915689568806</v>
      </c>
      <c r="W70" s="84">
        <f t="shared" si="58"/>
        <v>0.31563291972484614</v>
      </c>
      <c r="X70" s="84">
        <f t="shared" si="58"/>
        <v>0.32876120710776674</v>
      </c>
      <c r="Y70" s="84">
        <f t="shared" si="58"/>
        <v>0.33191685607932275</v>
      </c>
    </row>
    <row r="71" spans="1:25" x14ac:dyDescent="0.25">
      <c r="A71" s="68" t="s">
        <v>152</v>
      </c>
      <c r="B71" s="71"/>
      <c r="C71" s="71"/>
      <c r="D71" s="84">
        <f t="shared" si="46"/>
        <v>0.14553139001251622</v>
      </c>
      <c r="E71" s="84">
        <f t="shared" ref="E71:S71" si="59">E29/E$23</f>
        <v>0.15387452099600746</v>
      </c>
      <c r="F71" s="84">
        <f t="shared" si="59"/>
        <v>0.1630425415792951</v>
      </c>
      <c r="G71" s="84">
        <f t="shared" si="59"/>
        <v>0.16202161996003883</v>
      </c>
      <c r="H71" s="84">
        <f t="shared" si="59"/>
        <v>0.15952081433863843</v>
      </c>
      <c r="I71" s="84">
        <f t="shared" si="59"/>
        <v>0.15880310762282773</v>
      </c>
      <c r="J71" s="84">
        <f t="shared" si="59"/>
        <v>0.15879918225082099</v>
      </c>
      <c r="K71" s="84">
        <f t="shared" si="59"/>
        <v>0.15112995330312734</v>
      </c>
      <c r="L71" s="84">
        <f t="shared" si="59"/>
        <v>0.14358209559543014</v>
      </c>
      <c r="M71" s="84">
        <f t="shared" si="59"/>
        <v>0.13347790994399034</v>
      </c>
      <c r="N71" s="84">
        <f t="shared" si="59"/>
        <v>0.13327285696563704</v>
      </c>
      <c r="O71" s="84">
        <f t="shared" si="59"/>
        <v>0.135804495134943</v>
      </c>
      <c r="P71" s="84">
        <f t="shared" si="59"/>
        <v>0.14008878101746891</v>
      </c>
      <c r="Q71" s="84">
        <f t="shared" si="59"/>
        <v>0.13740259897031032</v>
      </c>
      <c r="R71" s="84">
        <f t="shared" si="59"/>
        <v>0.14107822107822104</v>
      </c>
      <c r="S71" s="84">
        <f t="shared" si="59"/>
        <v>0.13587506358051962</v>
      </c>
      <c r="T71" s="84">
        <f t="shared" ref="T71:Y71" si="60">T29/T$23</f>
        <v>0.14341422299514012</v>
      </c>
      <c r="U71" s="84">
        <f t="shared" si="60"/>
        <v>0.14433986902815801</v>
      </c>
      <c r="V71" s="84">
        <f t="shared" si="60"/>
        <v>0.14990491304752565</v>
      </c>
      <c r="W71" s="84">
        <f t="shared" si="60"/>
        <v>0.14989467794490335</v>
      </c>
      <c r="X71" s="84">
        <f t="shared" si="60"/>
        <v>0.1451992674631552</v>
      </c>
      <c r="Y71" s="84">
        <f t="shared" si="60"/>
        <v>0.14152694051893572</v>
      </c>
    </row>
    <row r="72" spans="1:25" x14ac:dyDescent="0.25">
      <c r="A72" s="64" t="s">
        <v>154</v>
      </c>
      <c r="B72" s="65"/>
      <c r="C72" s="65"/>
      <c r="D72" s="83">
        <f t="shared" si="46"/>
        <v>2.6719149630865781E-2</v>
      </c>
      <c r="E72" s="83">
        <f t="shared" ref="E72:S72" si="61">E30/E$23</f>
        <v>2.7625903894563007E-2</v>
      </c>
      <c r="F72" s="83">
        <f t="shared" si="61"/>
        <v>2.8150403584867718E-2</v>
      </c>
      <c r="G72" s="83">
        <f t="shared" si="61"/>
        <v>3.109790460576874E-2</v>
      </c>
      <c r="H72" s="83">
        <f t="shared" si="61"/>
        <v>3.0537698939374698E-2</v>
      </c>
      <c r="I72" s="83">
        <f t="shared" si="61"/>
        <v>3.010136580222229E-2</v>
      </c>
      <c r="J72" s="83">
        <f t="shared" si="61"/>
        <v>2.856257121791005E-2</v>
      </c>
      <c r="K72" s="83">
        <f t="shared" si="61"/>
        <v>2.6755295897197492E-2</v>
      </c>
      <c r="L72" s="83">
        <f t="shared" si="61"/>
        <v>2.939529108491298E-2</v>
      </c>
      <c r="M72" s="83">
        <f t="shared" si="61"/>
        <v>3.8693266588943155E-2</v>
      </c>
      <c r="N72" s="83">
        <f t="shared" si="61"/>
        <v>4.4550924202952487E-2</v>
      </c>
      <c r="O72" s="83">
        <f t="shared" si="61"/>
        <v>4.3823121158040844E-2</v>
      </c>
      <c r="P72" s="83">
        <f t="shared" si="61"/>
        <v>4.4224443521859939E-2</v>
      </c>
      <c r="Q72" s="83">
        <f t="shared" si="61"/>
        <v>4.6456745191059932E-2</v>
      </c>
      <c r="R72" s="83">
        <f t="shared" si="61"/>
        <v>4.3329043329043339E-2</v>
      </c>
      <c r="S72" s="83">
        <f t="shared" si="61"/>
        <v>3.6583252751429512E-2</v>
      </c>
      <c r="T72" s="83">
        <f t="shared" ref="T72:Y72" si="62">T30/T$23</f>
        <v>3.6632401030636363E-2</v>
      </c>
      <c r="U72" s="83">
        <f t="shared" si="62"/>
        <v>3.5257929406757524E-2</v>
      </c>
      <c r="V72" s="83">
        <f t="shared" si="62"/>
        <v>3.6886644826959483E-2</v>
      </c>
      <c r="W72" s="83">
        <f t="shared" si="62"/>
        <v>3.1732383240627986E-2</v>
      </c>
      <c r="X72" s="83">
        <f t="shared" si="62"/>
        <v>3.0792294243938086E-2</v>
      </c>
      <c r="Y72" s="83">
        <f t="shared" si="62"/>
        <v>3.8669463019695254E-2</v>
      </c>
    </row>
    <row r="73" spans="1:25" x14ac:dyDescent="0.25">
      <c r="A73" s="64" t="s">
        <v>37</v>
      </c>
      <c r="B73" s="65"/>
      <c r="C73" s="65"/>
      <c r="D73" s="83">
        <f t="shared" si="46"/>
        <v>5.9333563097462315E-2</v>
      </c>
      <c r="E73" s="83">
        <f t="shared" ref="E73:S73" si="63">E31/E$23</f>
        <v>5.8987638089435461E-2</v>
      </c>
      <c r="F73" s="83">
        <f t="shared" si="63"/>
        <v>6.2591560623904863E-2</v>
      </c>
      <c r="G73" s="83">
        <f t="shared" si="63"/>
        <v>6.5910138839079868E-2</v>
      </c>
      <c r="H73" s="83">
        <f t="shared" si="63"/>
        <v>6.9754290396666932E-2</v>
      </c>
      <c r="I73" s="83">
        <f t="shared" si="63"/>
        <v>8.5002039253135958E-2</v>
      </c>
      <c r="J73" s="83">
        <f t="shared" si="63"/>
        <v>9.7828272672431119E-2</v>
      </c>
      <c r="K73" s="83">
        <f t="shared" si="63"/>
        <v>0.1051338805586972</v>
      </c>
      <c r="L73" s="83">
        <f t="shared" si="63"/>
        <v>9.5757387625095322E-2</v>
      </c>
      <c r="M73" s="83">
        <f t="shared" si="63"/>
        <v>7.0847974432767802E-2</v>
      </c>
      <c r="N73" s="83">
        <f t="shared" si="63"/>
        <v>5.8181367076045154E-2</v>
      </c>
      <c r="O73" s="83">
        <f t="shared" si="63"/>
        <v>6.8972354988478382E-2</v>
      </c>
      <c r="P73" s="83">
        <f t="shared" si="63"/>
        <v>7.3732954364002179E-2</v>
      </c>
      <c r="Q73" s="83">
        <f t="shared" si="63"/>
        <v>7.0231348193214679E-2</v>
      </c>
      <c r="R73" s="83">
        <f t="shared" si="63"/>
        <v>6.1724581724581722E-2</v>
      </c>
      <c r="S73" s="83">
        <f t="shared" si="63"/>
        <v>6.14006159624833E-2</v>
      </c>
      <c r="T73" s="83">
        <f t="shared" ref="T73:Y73" si="64">T31/T$23</f>
        <v>6.5588374933984867E-2</v>
      </c>
      <c r="U73" s="83">
        <f t="shared" si="64"/>
        <v>6.6728896025381845E-2</v>
      </c>
      <c r="V73" s="83">
        <f t="shared" si="64"/>
        <v>6.9233940500835603E-2</v>
      </c>
      <c r="W73" s="83">
        <f t="shared" si="64"/>
        <v>6.9640094789849588E-2</v>
      </c>
      <c r="X73" s="83">
        <f t="shared" si="64"/>
        <v>6.9628374590439648E-2</v>
      </c>
      <c r="Y73" s="83">
        <f t="shared" si="64"/>
        <v>6.6146193629146491E-2</v>
      </c>
    </row>
    <row r="74" spans="1:25" x14ac:dyDescent="0.25">
      <c r="A74" s="64" t="s">
        <v>58</v>
      </c>
      <c r="B74" s="65"/>
      <c r="C74" s="65"/>
      <c r="D74" s="83">
        <f t="shared" si="46"/>
        <v>0.16124000072557093</v>
      </c>
      <c r="E74" s="83">
        <f t="shared" ref="E74:S74" si="65">E32/E$23</f>
        <v>0.16708621270182303</v>
      </c>
      <c r="F74" s="83">
        <f t="shared" si="65"/>
        <v>0.16236750639129061</v>
      </c>
      <c r="G74" s="83">
        <f t="shared" si="65"/>
        <v>0.16321276704749216</v>
      </c>
      <c r="H74" s="83">
        <f t="shared" si="65"/>
        <v>0.15700485879488035</v>
      </c>
      <c r="I74" s="83">
        <f t="shared" si="65"/>
        <v>0.15553035502899717</v>
      </c>
      <c r="J74" s="83">
        <f t="shared" si="65"/>
        <v>0.15485287217641933</v>
      </c>
      <c r="K74" s="83">
        <f t="shared" si="65"/>
        <v>0.14900673739427289</v>
      </c>
      <c r="L74" s="83">
        <f t="shared" si="65"/>
        <v>0.14238765883647014</v>
      </c>
      <c r="M74" s="83">
        <f t="shared" si="65"/>
        <v>0.13170059597087813</v>
      </c>
      <c r="N74" s="83">
        <f t="shared" si="65"/>
        <v>0.1449804614812058</v>
      </c>
      <c r="O74" s="83">
        <f t="shared" si="65"/>
        <v>0.15056719112186917</v>
      </c>
      <c r="P74" s="83">
        <f t="shared" si="65"/>
        <v>0.1421773704212308</v>
      </c>
      <c r="Q74" s="83">
        <f t="shared" si="65"/>
        <v>0.14189919182042604</v>
      </c>
      <c r="R74" s="83">
        <f t="shared" si="65"/>
        <v>0.14768482768482769</v>
      </c>
      <c r="S74" s="83">
        <f t="shared" si="65"/>
        <v>0.1472720463704606</v>
      </c>
      <c r="T74" s="83">
        <f t="shared" ref="T74:Y74" si="66">T32/T$23</f>
        <v>0.15033847762420183</v>
      </c>
      <c r="U74" s="83">
        <f t="shared" si="66"/>
        <v>0.14636635358528166</v>
      </c>
      <c r="V74" s="83">
        <f t="shared" si="66"/>
        <v>0.14164631200046102</v>
      </c>
      <c r="W74" s="83">
        <f t="shared" si="66"/>
        <v>0.13563505907909029</v>
      </c>
      <c r="X74" s="83">
        <f t="shared" si="66"/>
        <v>0.13615883259207581</v>
      </c>
      <c r="Y74" s="83">
        <f t="shared" si="66"/>
        <v>0.1402202677032206</v>
      </c>
    </row>
    <row r="75" spans="1:25" x14ac:dyDescent="0.25">
      <c r="A75" s="85" t="s">
        <v>158</v>
      </c>
      <c r="B75" s="86"/>
      <c r="C75" s="86"/>
      <c r="D75" s="87">
        <f t="shared" si="46"/>
        <v>1.2697491338496978E-4</v>
      </c>
      <c r="E75" s="87">
        <f t="shared" ref="E75:S75" si="67">E33/E$23</f>
        <v>2.2447049014734884E-4</v>
      </c>
      <c r="F75" s="87">
        <f t="shared" si="67"/>
        <v>2.7288656536351362E-4</v>
      </c>
      <c r="G75" s="87">
        <f t="shared" si="67"/>
        <v>2.4335263077001896E-4</v>
      </c>
      <c r="H75" s="87">
        <f t="shared" si="67"/>
        <v>3.4623241427862473E-4</v>
      </c>
      <c r="I75" s="87">
        <f t="shared" si="67"/>
        <v>2.2879425427994464E-4</v>
      </c>
      <c r="J75" s="87">
        <f t="shared" si="67"/>
        <v>3.5190026141162281E-4</v>
      </c>
      <c r="K75" s="87">
        <f t="shared" si="67"/>
        <v>4.9958021384808606E-4</v>
      </c>
      <c r="L75" s="87">
        <f t="shared" si="67"/>
        <v>9.3125577817217435E-4</v>
      </c>
      <c r="M75" s="87">
        <f t="shared" si="67"/>
        <v>5.0547461620616845E-4</v>
      </c>
      <c r="N75" s="87">
        <f t="shared" si="67"/>
        <v>7.1331100359756843E-4</v>
      </c>
      <c r="O75" s="87">
        <f t="shared" si="67"/>
        <v>6.7693696280949353E-4</v>
      </c>
      <c r="P75" s="87">
        <f t="shared" si="67"/>
        <v>4.9819563759460938E-4</v>
      </c>
      <c r="Q75" s="87">
        <f t="shared" si="67"/>
        <v>5.1906977867106083E-4</v>
      </c>
      <c r="R75" s="87">
        <f t="shared" si="67"/>
        <v>6.177606177606178E-4</v>
      </c>
      <c r="S75" s="87">
        <f t="shared" si="67"/>
        <v>6.7073954624469688E-4</v>
      </c>
      <c r="T75" s="87">
        <f t="shared" ref="T75:Y75" si="68">T33/T$23</f>
        <v>8.748673029014654E-4</v>
      </c>
      <c r="U75" s="87">
        <f t="shared" si="68"/>
        <v>1.4074152890763295E-3</v>
      </c>
      <c r="V75" s="87">
        <f t="shared" si="68"/>
        <v>1.4096806940239292E-3</v>
      </c>
      <c r="W75" s="87">
        <f t="shared" si="68"/>
        <v>1.2918408320442354E-3</v>
      </c>
      <c r="X75" s="87">
        <f t="shared" si="68"/>
        <v>9.385109236857732E-4</v>
      </c>
      <c r="Y75" s="87">
        <f t="shared" si="68"/>
        <v>1.1236654185562182E-3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1.2697491338496978E-4</v>
      </c>
      <c r="E77" s="89">
        <f t="shared" ref="E77:S77" si="71">E37/E$23</f>
        <v>2.2447049014734884E-4</v>
      </c>
      <c r="F77" s="89">
        <f t="shared" si="71"/>
        <v>2.7288656536351362E-4</v>
      </c>
      <c r="G77" s="89">
        <f t="shared" si="71"/>
        <v>2.4335263077001896E-4</v>
      </c>
      <c r="H77" s="89">
        <f t="shared" si="71"/>
        <v>3.4623241427862473E-4</v>
      </c>
      <c r="I77" s="89">
        <f t="shared" si="71"/>
        <v>2.2879425427994464E-4</v>
      </c>
      <c r="J77" s="89">
        <f t="shared" si="71"/>
        <v>3.5190026141162281E-4</v>
      </c>
      <c r="K77" s="89">
        <f t="shared" si="71"/>
        <v>4.9958021384808606E-4</v>
      </c>
      <c r="L77" s="89">
        <f t="shared" si="71"/>
        <v>9.3125577817217435E-4</v>
      </c>
      <c r="M77" s="89">
        <f t="shared" si="71"/>
        <v>5.0547461620616845E-4</v>
      </c>
      <c r="N77" s="89">
        <f t="shared" si="71"/>
        <v>7.1331100359756843E-4</v>
      </c>
      <c r="O77" s="89">
        <f t="shared" si="71"/>
        <v>6.7693696280949353E-4</v>
      </c>
      <c r="P77" s="89">
        <f t="shared" si="71"/>
        <v>4.9819563759460938E-4</v>
      </c>
      <c r="Q77" s="89">
        <f t="shared" si="71"/>
        <v>5.1906977867106083E-4</v>
      </c>
      <c r="R77" s="89">
        <f t="shared" si="71"/>
        <v>6.177606177606178E-4</v>
      </c>
      <c r="S77" s="89">
        <f t="shared" si="71"/>
        <v>6.7073954624469688E-4</v>
      </c>
      <c r="T77" s="89">
        <f t="shared" ref="T77:Y77" si="72">T37/T$23</f>
        <v>8.748673029014654E-4</v>
      </c>
      <c r="U77" s="89">
        <f t="shared" si="72"/>
        <v>1.4074152890763295E-3</v>
      </c>
      <c r="V77" s="89">
        <f t="shared" si="72"/>
        <v>1.4096806940239292E-3</v>
      </c>
      <c r="W77" s="89">
        <f t="shared" si="72"/>
        <v>1.2918408320442354E-3</v>
      </c>
      <c r="X77" s="89">
        <f t="shared" si="72"/>
        <v>9.385109236857732E-4</v>
      </c>
      <c r="Y77" s="89">
        <f t="shared" si="72"/>
        <v>1.1236654185562182E-3</v>
      </c>
    </row>
    <row r="78" spans="1:25" x14ac:dyDescent="0.25">
      <c r="A78" s="68" t="s">
        <v>271</v>
      </c>
      <c r="B78" s="44"/>
      <c r="C78" s="44"/>
      <c r="D78" s="89">
        <f>D43/D$23</f>
        <v>7.9994195432530977E-3</v>
      </c>
      <c r="E78" s="89">
        <f t="shared" ref="E78:S78" si="73">E43/E$23</f>
        <v>9.2674245217976882E-3</v>
      </c>
      <c r="F78" s="89">
        <f t="shared" si="73"/>
        <v>7.7413609858386226E-3</v>
      </c>
      <c r="G78" s="89">
        <f t="shared" si="73"/>
        <v>8.222757313386956E-3</v>
      </c>
      <c r="H78" s="89">
        <f t="shared" si="73"/>
        <v>7.9287222869805062E-3</v>
      </c>
      <c r="I78" s="89">
        <f t="shared" si="73"/>
        <v>8.6245486287266099E-3</v>
      </c>
      <c r="J78" s="89">
        <f t="shared" si="73"/>
        <v>7.6161270862658359E-3</v>
      </c>
      <c r="K78" s="89">
        <f t="shared" si="73"/>
        <v>7.4035012246653851E-3</v>
      </c>
      <c r="L78" s="89">
        <f t="shared" si="73"/>
        <v>9.1843414064661545E-3</v>
      </c>
      <c r="M78" s="89">
        <f t="shared" si="73"/>
        <v>6.1553763747686629E-3</v>
      </c>
      <c r="N78" s="89">
        <f t="shared" si="73"/>
        <v>8.0712690733159651E-3</v>
      </c>
      <c r="O78" s="89">
        <f t="shared" si="73"/>
        <v>8.8138560107215869E-3</v>
      </c>
      <c r="P78" s="89">
        <f t="shared" si="73"/>
        <v>5.6462172260722384E-3</v>
      </c>
      <c r="Q78" s="89">
        <f t="shared" si="73"/>
        <v>5.957231064515546E-3</v>
      </c>
      <c r="R78" s="89">
        <f t="shared" si="73"/>
        <v>6.0689260689260702E-3</v>
      </c>
      <c r="S78" s="89">
        <f t="shared" si="73"/>
        <v>6.5453000721045007E-3</v>
      </c>
      <c r="T78" s="89">
        <f t="shared" ref="T78:Y78" si="74">T43/T$23</f>
        <v>6.9989384232117232E-3</v>
      </c>
      <c r="U78" s="89">
        <f t="shared" si="74"/>
        <v>5.9343593116723582E-3</v>
      </c>
      <c r="V78" s="89">
        <f t="shared" si="74"/>
        <v>6.0554208428826644E-3</v>
      </c>
      <c r="W78" s="89">
        <f t="shared" si="74"/>
        <v>5.3195866109337457E-3</v>
      </c>
      <c r="X78" s="89">
        <f t="shared" si="74"/>
        <v>6.3245669768735961E-3</v>
      </c>
      <c r="Y78" s="89">
        <f t="shared" si="74"/>
        <v>6.4015987526215802E-3</v>
      </c>
    </row>
    <row r="79" spans="1:25" x14ac:dyDescent="0.25">
      <c r="A79" s="88" t="s">
        <v>272</v>
      </c>
      <c r="B79" s="44"/>
      <c r="C79" s="44"/>
      <c r="D79" s="89">
        <f>D44/D$23</f>
        <v>7.2919878829654089E-3</v>
      </c>
      <c r="E79" s="89">
        <f t="shared" ref="E79:S79" si="75">E44/E$23</f>
        <v>8.4657441998428704E-3</v>
      </c>
      <c r="F79" s="89">
        <f t="shared" si="75"/>
        <v>6.9514261913652944E-3</v>
      </c>
      <c r="G79" s="89">
        <f t="shared" si="75"/>
        <v>7.5823556534658542E-3</v>
      </c>
      <c r="H79" s="89">
        <f t="shared" si="75"/>
        <v>7.3747504241347068E-3</v>
      </c>
      <c r="I79" s="89">
        <f t="shared" si="75"/>
        <v>8.2365931540780077E-3</v>
      </c>
      <c r="J79" s="89">
        <f t="shared" si="75"/>
        <v>7.1971982036329518E-3</v>
      </c>
      <c r="K79" s="89">
        <f t="shared" si="75"/>
        <v>6.9524913093858632E-3</v>
      </c>
      <c r="L79" s="89">
        <f t="shared" si="75"/>
        <v>8.5365112999115991E-3</v>
      </c>
      <c r="M79" s="89">
        <f t="shared" si="75"/>
        <v>5.4705397979732092E-3</v>
      </c>
      <c r="N79" s="89">
        <f t="shared" si="75"/>
        <v>7.2726708845056443E-3</v>
      </c>
      <c r="O79" s="89">
        <f t="shared" si="75"/>
        <v>8.0001641059303779E-3</v>
      </c>
      <c r="P79" s="89">
        <f t="shared" si="75"/>
        <v>4.9372465110337563E-3</v>
      </c>
      <c r="Q79" s="89">
        <f t="shared" si="75"/>
        <v>5.3234830789287858E-3</v>
      </c>
      <c r="R79" s="89">
        <f t="shared" si="75"/>
        <v>5.474045474045475E-3</v>
      </c>
      <c r="S79" s="89">
        <f t="shared" si="75"/>
        <v>5.9304554880468619E-3</v>
      </c>
      <c r="T79" s="89">
        <f t="shared" ref="T79:Y79" si="76">T44/T$23</f>
        <v>6.2094240279104013E-3</v>
      </c>
      <c r="U79" s="89">
        <f t="shared" si="76"/>
        <v>5.2959441289985587E-3</v>
      </c>
      <c r="V79" s="89">
        <f t="shared" si="76"/>
        <v>5.5013010732191704E-3</v>
      </c>
      <c r="W79" s="89">
        <f t="shared" si="76"/>
        <v>4.7353783365697922E-3</v>
      </c>
      <c r="X79" s="89">
        <f t="shared" si="76"/>
        <v>5.4608047108265128E-3</v>
      </c>
      <c r="Y79" s="89">
        <f t="shared" si="76"/>
        <v>5.6805496078151472E-3</v>
      </c>
    </row>
    <row r="80" spans="1:25" x14ac:dyDescent="0.25">
      <c r="A80" s="88" t="s">
        <v>11</v>
      </c>
      <c r="B80" s="44"/>
      <c r="C80" s="44"/>
      <c r="D80" s="89">
        <f>D47/D$23</f>
        <v>7.074316602876889E-4</v>
      </c>
      <c r="E80" s="89">
        <f t="shared" ref="E80:S80" si="77">E47/E$23</f>
        <v>8.0168032195481733E-4</v>
      </c>
      <c r="F80" s="89">
        <f t="shared" si="77"/>
        <v>7.8993479447332898E-4</v>
      </c>
      <c r="G80" s="89">
        <f t="shared" si="77"/>
        <v>6.4040165992110254E-4</v>
      </c>
      <c r="H80" s="89">
        <f t="shared" si="77"/>
        <v>5.5397186284579947E-4</v>
      </c>
      <c r="I80" s="89">
        <f t="shared" si="77"/>
        <v>3.8795547464860188E-4</v>
      </c>
      <c r="J80" s="89">
        <f t="shared" si="77"/>
        <v>4.1892888263288426E-4</v>
      </c>
      <c r="K80" s="89">
        <f t="shared" si="77"/>
        <v>4.5100991527952198E-4</v>
      </c>
      <c r="L80" s="89">
        <f t="shared" si="77"/>
        <v>6.4783010655455604E-4</v>
      </c>
      <c r="M80" s="89">
        <f t="shared" si="77"/>
        <v>6.8483657679545404E-4</v>
      </c>
      <c r="N80" s="89">
        <f t="shared" si="77"/>
        <v>7.985981888103213E-4</v>
      </c>
      <c r="O80" s="89">
        <f t="shared" si="77"/>
        <v>8.1369190479120925E-4</v>
      </c>
      <c r="P80" s="89">
        <f t="shared" si="77"/>
        <v>7.0897071503848248E-4</v>
      </c>
      <c r="Q80" s="89">
        <f t="shared" si="77"/>
        <v>6.3374798558676014E-4</v>
      </c>
      <c r="R80" s="89">
        <f t="shared" si="77"/>
        <v>5.9488059488059487E-4</v>
      </c>
      <c r="S80" s="89">
        <f t="shared" si="77"/>
        <v>6.1484458405763887E-4</v>
      </c>
      <c r="T80" s="89">
        <f t="shared" ref="T80:Y80" si="78">T47/T$23</f>
        <v>7.8951439530132244E-4</v>
      </c>
      <c r="U80" s="89">
        <f t="shared" si="78"/>
        <v>6.3841518267379886E-4</v>
      </c>
      <c r="V80" s="89">
        <f t="shared" si="78"/>
        <v>5.5411976966349423E-4</v>
      </c>
      <c r="W80" s="89">
        <f t="shared" si="78"/>
        <v>5.8420827436395355E-4</v>
      </c>
      <c r="X80" s="89">
        <f t="shared" si="78"/>
        <v>8.6376226604708325E-4</v>
      </c>
      <c r="Y80" s="89">
        <f t="shared" si="78"/>
        <v>7.2104914480643309E-4</v>
      </c>
    </row>
    <row r="81" spans="1:25" x14ac:dyDescent="0.25">
      <c r="A81" s="68" t="s">
        <v>4</v>
      </c>
      <c r="B81" s="44"/>
      <c r="C81" s="44"/>
      <c r="D81" s="89">
        <f>D48/D$23</f>
        <v>1.0284967984182554E-2</v>
      </c>
      <c r="E81" s="89">
        <f t="shared" ref="E81:S81" si="79">E48/E$23</f>
        <v>1.0838717952829131E-2</v>
      </c>
      <c r="F81" s="89">
        <f t="shared" si="79"/>
        <v>1.0743113204837272E-2</v>
      </c>
      <c r="G81" s="89">
        <f t="shared" si="79"/>
        <v>1.2526256468056766E-2</v>
      </c>
      <c r="H81" s="89">
        <f t="shared" si="79"/>
        <v>1.2568236638314079E-2</v>
      </c>
      <c r="I81" s="89">
        <f t="shared" si="79"/>
        <v>1.3498861002516736E-2</v>
      </c>
      <c r="J81" s="89">
        <f t="shared" si="79"/>
        <v>1.5022789731215229E-2</v>
      </c>
      <c r="K81" s="89">
        <f t="shared" si="79"/>
        <v>1.5910242088245288E-2</v>
      </c>
      <c r="L81" s="89">
        <f t="shared" si="79"/>
        <v>1.0905140127001695E-2</v>
      </c>
      <c r="M81" s="89">
        <f t="shared" si="79"/>
        <v>7.0114220957629824E-3</v>
      </c>
      <c r="N81" s="89">
        <f t="shared" si="79"/>
        <v>7.5052722987222443E-3</v>
      </c>
      <c r="O81" s="89">
        <f t="shared" si="79"/>
        <v>8.1505945421102653E-3</v>
      </c>
      <c r="P81" s="89">
        <f t="shared" si="79"/>
        <v>7.6773225178041072E-3</v>
      </c>
      <c r="Q81" s="89">
        <f t="shared" si="79"/>
        <v>7.5325474858312074E-3</v>
      </c>
      <c r="R81" s="89">
        <f t="shared" si="79"/>
        <v>7.5732875732875751E-3</v>
      </c>
      <c r="S81" s="89">
        <f t="shared" si="79"/>
        <v>7.8811896683751888E-3</v>
      </c>
      <c r="T81" s="89">
        <f t="shared" ref="T81:Y81" si="80">T48/T$23</f>
        <v>8.6473164512394854E-3</v>
      </c>
      <c r="U81" s="89">
        <f t="shared" si="80"/>
        <v>9.1264352250413541E-3</v>
      </c>
      <c r="V81" s="89">
        <f t="shared" si="80"/>
        <v>8.0812827207723988E-3</v>
      </c>
      <c r="W81" s="89">
        <f t="shared" si="80"/>
        <v>7.7263601356021457E-3</v>
      </c>
      <c r="X81" s="89">
        <f t="shared" si="80"/>
        <v>6.6900048586627479E-3</v>
      </c>
      <c r="Y81" s="89">
        <f t="shared" si="80"/>
        <v>7.0128434591326195E-3</v>
      </c>
    </row>
    <row r="82" spans="1:25" x14ac:dyDescent="0.25">
      <c r="A82" s="68" t="s">
        <v>3</v>
      </c>
      <c r="B82" s="44"/>
      <c r="C82" s="44"/>
      <c r="D82" s="89">
        <f>D52/D$23</f>
        <v>8.2896479167044526E-3</v>
      </c>
      <c r="E82" s="89">
        <f t="shared" ref="E82:S82" si="81">E52/E$23</f>
        <v>8.8826179672593774E-3</v>
      </c>
      <c r="F82" s="89">
        <f t="shared" si="81"/>
        <v>9.4504926320627316E-3</v>
      </c>
      <c r="G82" s="89">
        <f t="shared" si="81"/>
        <v>8.8503509401096411E-3</v>
      </c>
      <c r="H82" s="89">
        <f t="shared" si="81"/>
        <v>7.9748866088843219E-3</v>
      </c>
      <c r="I82" s="89">
        <f t="shared" si="81"/>
        <v>7.7690570692450821E-3</v>
      </c>
      <c r="J82" s="89">
        <f t="shared" si="81"/>
        <v>8.2277632549098492E-3</v>
      </c>
      <c r="K82" s="89">
        <f t="shared" si="81"/>
        <v>8.1875646158436309E-3</v>
      </c>
      <c r="L82" s="89">
        <f t="shared" si="81"/>
        <v>7.7537165878248451E-3</v>
      </c>
      <c r="M82" s="89">
        <f t="shared" si="81"/>
        <v>7.2397009546948023E-3</v>
      </c>
      <c r="N82" s="89">
        <f t="shared" si="81"/>
        <v>9.5831782657238521E-3</v>
      </c>
      <c r="O82" s="89">
        <f t="shared" si="81"/>
        <v>8.5061573912627239E-3</v>
      </c>
      <c r="P82" s="89">
        <f t="shared" si="81"/>
        <v>8.1882924025165268E-3</v>
      </c>
      <c r="Q82" s="89">
        <f t="shared" si="81"/>
        <v>7.6532613878477311E-3</v>
      </c>
      <c r="R82" s="89">
        <f t="shared" si="81"/>
        <v>7.4588874588874593E-3</v>
      </c>
      <c r="S82" s="89">
        <f t="shared" si="81"/>
        <v>7.4787459406283714E-3</v>
      </c>
      <c r="T82" s="89">
        <f t="shared" ref="T82:Y82" si="82">T52/T$23</f>
        <v>7.473713971737515E-3</v>
      </c>
      <c r="U82" s="89">
        <f t="shared" si="82"/>
        <v>7.5835985335796765E-3</v>
      </c>
      <c r="V82" s="89">
        <f t="shared" si="82"/>
        <v>7.0617023445915693E-3</v>
      </c>
      <c r="W82" s="89">
        <f t="shared" si="82"/>
        <v>5.8832241714116404E-3</v>
      </c>
      <c r="X82" s="89">
        <f t="shared" si="82"/>
        <v>4.9749384361750205E-3</v>
      </c>
      <c r="Y82" s="89">
        <f t="shared" si="82"/>
        <v>5.4792414709402618E-3</v>
      </c>
    </row>
    <row r="83" spans="1:25" x14ac:dyDescent="0.25">
      <c r="A83" s="88" t="s">
        <v>21</v>
      </c>
      <c r="B83" s="44"/>
      <c r="C83" s="44"/>
      <c r="D83" s="89">
        <f>D53/D$23</f>
        <v>3.4827404814163142E-3</v>
      </c>
      <c r="E83" s="89">
        <f t="shared" ref="E83:S83" si="83">E53/E$23</f>
        <v>3.5113598101621001E-3</v>
      </c>
      <c r="F83" s="89">
        <f t="shared" si="83"/>
        <v>3.7773245626633728E-3</v>
      </c>
      <c r="G83" s="89">
        <f t="shared" si="83"/>
        <v>3.3557046979865771E-3</v>
      </c>
      <c r="H83" s="89">
        <f t="shared" si="83"/>
        <v>2.7236949923251813E-3</v>
      </c>
      <c r="I83" s="89">
        <f t="shared" si="83"/>
        <v>2.59631740726372E-3</v>
      </c>
      <c r="J83" s="89">
        <f t="shared" si="83"/>
        <v>2.9576379113881628E-3</v>
      </c>
      <c r="K83" s="89">
        <f t="shared" si="83"/>
        <v>3.1640080210378779E-3</v>
      </c>
      <c r="L83" s="89">
        <f t="shared" si="83"/>
        <v>3.1041859272405809E-3</v>
      </c>
      <c r="M83" s="89">
        <f t="shared" si="83"/>
        <v>2.6822765924488612E-3</v>
      </c>
      <c r="N83" s="89">
        <f t="shared" si="83"/>
        <v>4.5434809576975566E-3</v>
      </c>
      <c r="O83" s="89">
        <f t="shared" si="83"/>
        <v>3.8496516167853012E-3</v>
      </c>
      <c r="P83" s="89">
        <f t="shared" si="83"/>
        <v>3.321304250630729E-3</v>
      </c>
      <c r="Q83" s="89">
        <f t="shared" si="83"/>
        <v>3.0299189406147965E-3</v>
      </c>
      <c r="R83" s="89">
        <f t="shared" si="83"/>
        <v>3.0258830258830262E-3</v>
      </c>
      <c r="S83" s="89">
        <f t="shared" si="83"/>
        <v>3.1580653635687812E-3</v>
      </c>
      <c r="T83" s="89">
        <f t="shared" ref="T83:Y83" si="84">T53/T$23</f>
        <v>3.0673701168801382E-3</v>
      </c>
      <c r="U83" s="89">
        <f t="shared" si="84"/>
        <v>3.3613526663506831E-3</v>
      </c>
      <c r="V83" s="89">
        <f t="shared" si="84"/>
        <v>3.3779141158686602E-3</v>
      </c>
      <c r="W83" s="89">
        <f t="shared" si="84"/>
        <v>2.5219695224303067E-3</v>
      </c>
      <c r="X83" s="89">
        <f t="shared" si="84"/>
        <v>1.8604110345629486E-3</v>
      </c>
      <c r="Y83" s="89">
        <f t="shared" si="84"/>
        <v>2.5877245958281633E-3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4.8069074352881372E-3</v>
      </c>
      <c r="E84" s="89">
        <f t="shared" ref="E84:S84" si="86">E56/E$23</f>
        <v>5.3712581570972782E-3</v>
      </c>
      <c r="F84" s="89">
        <f t="shared" si="86"/>
        <v>5.6731680693993579E-3</v>
      </c>
      <c r="G84" s="89">
        <f t="shared" si="86"/>
        <v>5.4946462421230635E-3</v>
      </c>
      <c r="H84" s="89">
        <f t="shared" si="86"/>
        <v>5.2511916165591411E-3</v>
      </c>
      <c r="I84" s="89">
        <f t="shared" si="86"/>
        <v>5.1727396619813612E-3</v>
      </c>
      <c r="J84" s="89">
        <f t="shared" si="86"/>
        <v>5.2701253435216856E-3</v>
      </c>
      <c r="K84" s="89">
        <f t="shared" si="86"/>
        <v>5.0235565948057535E-3</v>
      </c>
      <c r="L84" s="89">
        <f t="shared" si="86"/>
        <v>4.6495306605842642E-3</v>
      </c>
      <c r="M84" s="89">
        <f t="shared" si="86"/>
        <v>4.5574243622459407E-3</v>
      </c>
      <c r="N84" s="89">
        <f t="shared" si="86"/>
        <v>5.0396973080262964E-3</v>
      </c>
      <c r="O84" s="89">
        <f t="shared" si="86"/>
        <v>4.6565057744774232E-3</v>
      </c>
      <c r="P84" s="89">
        <f t="shared" si="86"/>
        <v>4.8669881518857983E-3</v>
      </c>
      <c r="Q84" s="89">
        <f t="shared" si="86"/>
        <v>4.6233424472329346E-3</v>
      </c>
      <c r="R84" s="89">
        <f t="shared" si="86"/>
        <v>4.4330044330044335E-3</v>
      </c>
      <c r="S84" s="89">
        <f t="shared" si="86"/>
        <v>4.3206805770595897E-3</v>
      </c>
      <c r="T84" s="89">
        <f t="shared" ref="T84:Y84" si="87">T56/T$23</f>
        <v>4.4063438548573768E-3</v>
      </c>
      <c r="U84" s="89">
        <f t="shared" si="87"/>
        <v>4.2222458672289938E-3</v>
      </c>
      <c r="V84" s="89">
        <f t="shared" si="87"/>
        <v>3.683788228722909E-3</v>
      </c>
      <c r="W84" s="89">
        <f t="shared" si="87"/>
        <v>3.3612546489813341E-3</v>
      </c>
      <c r="X84" s="89">
        <f t="shared" si="87"/>
        <v>3.1145274016120719E-3</v>
      </c>
      <c r="Y84" s="89">
        <f t="shared" si="87"/>
        <v>2.8915168751120989E-3</v>
      </c>
    </row>
    <row r="85" spans="1:25" x14ac:dyDescent="0.25">
      <c r="A85" s="68" t="s">
        <v>2</v>
      </c>
      <c r="B85" s="44"/>
      <c r="C85" s="44"/>
      <c r="D85" s="89">
        <f t="shared" si="85"/>
        <v>3.1961399626330968E-2</v>
      </c>
      <c r="E85" s="89">
        <f t="shared" ref="E85:S85" si="88">E57/E$23</f>
        <v>3.1313633375555164E-2</v>
      </c>
      <c r="F85" s="89">
        <f t="shared" si="88"/>
        <v>2.7848792117886996E-2</v>
      </c>
      <c r="G85" s="89">
        <f t="shared" si="88"/>
        <v>2.6487012654336801E-2</v>
      </c>
      <c r="H85" s="89">
        <f t="shared" si="88"/>
        <v>2.2308908560019387E-2</v>
      </c>
      <c r="I85" s="89">
        <f t="shared" si="88"/>
        <v>2.1884667800690358E-2</v>
      </c>
      <c r="J85" s="89">
        <f t="shared" si="88"/>
        <v>2.1231315771834576E-2</v>
      </c>
      <c r="K85" s="89">
        <f t="shared" si="88"/>
        <v>1.967790953434961E-2</v>
      </c>
      <c r="L85" s="89">
        <f t="shared" si="88"/>
        <v>2.0258187290383096E-2</v>
      </c>
      <c r="M85" s="89">
        <f t="shared" si="88"/>
        <v>2.5061757584157442E-2</v>
      </c>
      <c r="N85" s="89">
        <f t="shared" si="88"/>
        <v>2.0872100235702767E-2</v>
      </c>
      <c r="O85" s="89">
        <f t="shared" si="88"/>
        <v>1.9631171921475316E-2</v>
      </c>
      <c r="P85" s="89">
        <f t="shared" si="88"/>
        <v>1.9761760291252834E-2</v>
      </c>
      <c r="Q85" s="89">
        <f t="shared" si="88"/>
        <v>2.0225614282868891E-2</v>
      </c>
      <c r="R85" s="89">
        <f t="shared" si="88"/>
        <v>2.2737022737022741E-2</v>
      </c>
      <c r="S85" s="89">
        <f t="shared" si="88"/>
        <v>2.1251264623519481E-2</v>
      </c>
      <c r="T85" s="89">
        <f t="shared" ref="T85:Y85" si="89">T57/T$23</f>
        <v>2.059138895853449E-2</v>
      </c>
      <c r="U85" s="89">
        <f t="shared" si="89"/>
        <v>1.9220166181406644E-2</v>
      </c>
      <c r="V85" s="89">
        <f t="shared" si="89"/>
        <v>1.9039555285637659E-2</v>
      </c>
      <c r="W85" s="89">
        <f t="shared" si="89"/>
        <v>1.8727577921864202E-2</v>
      </c>
      <c r="X85" s="89">
        <f t="shared" si="89"/>
        <v>1.9011075259440131E-2</v>
      </c>
      <c r="Y85" s="89">
        <f t="shared" si="89"/>
        <v>1.742596435747933E-2</v>
      </c>
    </row>
    <row r="86" spans="1:25" x14ac:dyDescent="0.25">
      <c r="A86" s="68" t="s">
        <v>275</v>
      </c>
      <c r="B86" s="44"/>
      <c r="C86" s="44"/>
      <c r="D86" s="89">
        <f t="shared" si="85"/>
        <v>4.5710968818589125E-3</v>
      </c>
      <c r="E86" s="89">
        <f t="shared" ref="E86:S86" si="90">E58/E$23</f>
        <v>4.5214770158251696E-3</v>
      </c>
      <c r="F86" s="89">
        <f t="shared" si="90"/>
        <v>4.7826961192657912E-3</v>
      </c>
      <c r="G86" s="89">
        <f t="shared" si="90"/>
        <v>4.6365080178287828E-3</v>
      </c>
      <c r="H86" s="89">
        <f t="shared" si="90"/>
        <v>5.458931065126316E-3</v>
      </c>
      <c r="I86" s="89">
        <f t="shared" si="90"/>
        <v>4.8743123737901252E-3</v>
      </c>
      <c r="J86" s="89">
        <f t="shared" si="90"/>
        <v>4.4825390441718621E-3</v>
      </c>
      <c r="K86" s="89">
        <f t="shared" si="90"/>
        <v>5.0235565948057543E-3</v>
      </c>
      <c r="L86" s="89">
        <f t="shared" si="90"/>
        <v>6.1813789333747217E-3</v>
      </c>
      <c r="M86" s="89">
        <f t="shared" si="90"/>
        <v>4.8916898342532423E-3</v>
      </c>
      <c r="N86" s="89">
        <f t="shared" si="90"/>
        <v>7.9704751271554401E-3</v>
      </c>
      <c r="O86" s="89">
        <f t="shared" si="90"/>
        <v>7.4394688438053419E-3</v>
      </c>
      <c r="P86" s="89">
        <f t="shared" si="90"/>
        <v>6.9300290614121938E-3</v>
      </c>
      <c r="Q86" s="89">
        <f t="shared" si="90"/>
        <v>6.7479071227237904E-3</v>
      </c>
      <c r="R86" s="89">
        <f t="shared" si="90"/>
        <v>6.4064064064064076E-3</v>
      </c>
      <c r="S86" s="89">
        <f t="shared" si="90"/>
        <v>6.8303643792584972E-3</v>
      </c>
      <c r="T86" s="89">
        <f t="shared" ref="T86:Y86" si="91">T58/T$23</f>
        <v>6.5881775553860355E-3</v>
      </c>
      <c r="U86" s="89">
        <f t="shared" si="91"/>
        <v>5.6296611563053179E-3</v>
      </c>
      <c r="V86" s="89">
        <f t="shared" si="91"/>
        <v>5.9401639307926574E-3</v>
      </c>
      <c r="W86" s="89">
        <f t="shared" si="91"/>
        <v>5.3154724681565343E-3</v>
      </c>
      <c r="X86" s="89">
        <f t="shared" si="91"/>
        <v>5.5106371492523046E-3</v>
      </c>
      <c r="Y86" s="89">
        <f t="shared" si="91"/>
        <v>5.0583244574745707E-3</v>
      </c>
    </row>
    <row r="87" spans="1:25" x14ac:dyDescent="0.25">
      <c r="A87" s="68" t="s">
        <v>276</v>
      </c>
      <c r="B87" s="44"/>
      <c r="C87" s="44"/>
      <c r="D87" s="89">
        <f t="shared" si="85"/>
        <v>2.9077255165158081E-2</v>
      </c>
      <c r="E87" s="89">
        <f t="shared" ref="E87:S87" si="92">E59/E$23</f>
        <v>2.7353332585098363E-2</v>
      </c>
      <c r="F87" s="89">
        <f t="shared" si="92"/>
        <v>2.7216844282308333E-2</v>
      </c>
      <c r="G87" s="89">
        <f t="shared" si="92"/>
        <v>2.9599364721553355E-2</v>
      </c>
      <c r="H87" s="89">
        <f t="shared" si="92"/>
        <v>3.2130368045056382E-2</v>
      </c>
      <c r="I87" s="89">
        <f t="shared" si="92"/>
        <v>3.7323306176450105E-2</v>
      </c>
      <c r="J87" s="89">
        <f t="shared" si="92"/>
        <v>3.9563643675849594E-2</v>
      </c>
      <c r="K87" s="89">
        <f t="shared" si="92"/>
        <v>3.9848460668466083E-2</v>
      </c>
      <c r="L87" s="89">
        <f t="shared" si="92"/>
        <v>4.1602839655300393E-2</v>
      </c>
      <c r="M87" s="89">
        <f t="shared" si="92"/>
        <v>3.7087161760029998E-2</v>
      </c>
      <c r="N87" s="89">
        <f t="shared" si="92"/>
        <v>4.1139436794442381E-2</v>
      </c>
      <c r="O87" s="89">
        <f t="shared" si="92"/>
        <v>4.8206117048554833E-2</v>
      </c>
      <c r="P87" s="89">
        <f t="shared" si="92"/>
        <v>4.4288314757448981E-2</v>
      </c>
      <c r="Q87" s="89">
        <f t="shared" si="92"/>
        <v>4.4766750562828583E-2</v>
      </c>
      <c r="R87" s="89">
        <f t="shared" si="92"/>
        <v>4.5216645216645222E-2</v>
      </c>
      <c r="S87" s="89">
        <f t="shared" si="92"/>
        <v>4.3486280581531186E-2</v>
      </c>
      <c r="T87" s="89">
        <f t="shared" ref="T87:Y87" si="93">T59/T$23</f>
        <v>4.5861184164901828E-2</v>
      </c>
      <c r="U87" s="89">
        <f t="shared" si="93"/>
        <v>4.4848666582834373E-2</v>
      </c>
      <c r="V87" s="89">
        <f t="shared" si="93"/>
        <v>4.4005975627596054E-2</v>
      </c>
      <c r="W87" s="89">
        <f t="shared" si="93"/>
        <v>4.390613171839515E-2</v>
      </c>
      <c r="X87" s="89">
        <f t="shared" si="93"/>
        <v>4.2507069977201661E-2</v>
      </c>
      <c r="Y87" s="89">
        <f t="shared" si="93"/>
        <v>4.1330390574387012E-2</v>
      </c>
    </row>
    <row r="88" spans="1:25" x14ac:dyDescent="0.25">
      <c r="A88" s="68" t="s">
        <v>1</v>
      </c>
      <c r="B88" s="44"/>
      <c r="C88" s="44"/>
      <c r="D88" s="89">
        <f t="shared" si="85"/>
        <v>2.5431261223675374E-2</v>
      </c>
      <c r="E88" s="89">
        <f t="shared" ref="E88:S88" si="94">E60/E$23</f>
        <v>2.716092930782921E-2</v>
      </c>
      <c r="F88" s="89">
        <f t="shared" si="94"/>
        <v>2.6010398414385429E-2</v>
      </c>
      <c r="G88" s="89">
        <f t="shared" si="94"/>
        <v>2.3361852553921821E-2</v>
      </c>
      <c r="H88" s="89">
        <f t="shared" si="94"/>
        <v>2.1004766466236568E-2</v>
      </c>
      <c r="I88" s="89">
        <f t="shared" si="94"/>
        <v>1.6890984511623745E-2</v>
      </c>
      <c r="J88" s="89">
        <f t="shared" si="94"/>
        <v>1.5081439774783835E-2</v>
      </c>
      <c r="K88" s="89">
        <f t="shared" si="94"/>
        <v>1.255195287293316E-2</v>
      </c>
      <c r="L88" s="89">
        <f t="shared" si="94"/>
        <v>1.1444998549130491E-2</v>
      </c>
      <c r="M88" s="89">
        <f t="shared" si="94"/>
        <v>1.0614966940329536E-2</v>
      </c>
      <c r="N88" s="89">
        <f t="shared" si="94"/>
        <v>1.0428296737377498E-2</v>
      </c>
      <c r="O88" s="89">
        <f t="shared" si="94"/>
        <v>9.9352465349716573E-3</v>
      </c>
      <c r="P88" s="89">
        <f t="shared" si="94"/>
        <v>1.0040558234599048E-2</v>
      </c>
      <c r="Q88" s="89">
        <f t="shared" si="94"/>
        <v>9.3251489307766156E-3</v>
      </c>
      <c r="R88" s="89">
        <f t="shared" si="94"/>
        <v>9.7240097240097242E-3</v>
      </c>
      <c r="S88" s="89">
        <f t="shared" si="94"/>
        <v>9.6586494659236365E-3</v>
      </c>
      <c r="T88" s="89">
        <f t="shared" ref="T88:Y88" si="95">T60/T$23</f>
        <v>9.6022021050160833E-3</v>
      </c>
      <c r="U88" s="89">
        <f t="shared" si="95"/>
        <v>9.2715295847399428E-3</v>
      </c>
      <c r="V88" s="89">
        <f t="shared" si="95"/>
        <v>8.3561261265254917E-3</v>
      </c>
      <c r="W88" s="89">
        <f t="shared" si="95"/>
        <v>7.5576802817364976E-3</v>
      </c>
      <c r="X88" s="89">
        <f t="shared" si="95"/>
        <v>7.54961442150768E-3</v>
      </c>
      <c r="Y88" s="89">
        <f t="shared" si="95"/>
        <v>6.3796378649625023E-3</v>
      </c>
    </row>
    <row r="89" spans="1:25" x14ac:dyDescent="0.25">
      <c r="A89" s="68" t="s">
        <v>0</v>
      </c>
      <c r="B89" s="44"/>
      <c r="C89" s="44"/>
      <c r="D89" s="89">
        <f t="shared" si="85"/>
        <v>2.3544776796241545E-2</v>
      </c>
      <c r="E89" s="89">
        <f t="shared" ref="E89:S89" si="96">E61/E$23</f>
        <v>2.5349131780211327E-2</v>
      </c>
      <c r="F89" s="89">
        <f t="shared" si="96"/>
        <v>2.5536437537701434E-2</v>
      </c>
      <c r="G89" s="89">
        <f t="shared" si="96"/>
        <v>2.6538244787130485E-2</v>
      </c>
      <c r="H89" s="89">
        <f t="shared" si="96"/>
        <v>2.6302122404699525E-2</v>
      </c>
      <c r="I89" s="89">
        <f t="shared" si="96"/>
        <v>2.4421299750315834E-2</v>
      </c>
      <c r="J89" s="89">
        <f t="shared" si="96"/>
        <v>2.3376231650914941E-2</v>
      </c>
      <c r="K89" s="89">
        <f t="shared" si="96"/>
        <v>2.2037038321965574E-2</v>
      </c>
      <c r="L89" s="89">
        <f t="shared" si="96"/>
        <v>1.8253962898229937E-2</v>
      </c>
      <c r="M89" s="89">
        <f t="shared" si="96"/>
        <v>1.8449823491525148E-2</v>
      </c>
      <c r="N89" s="89">
        <f t="shared" si="96"/>
        <v>2.2213435057685152E-2</v>
      </c>
      <c r="O89" s="89">
        <f t="shared" si="96"/>
        <v>2.2721833610262088E-2</v>
      </c>
      <c r="P89" s="89">
        <f t="shared" si="96"/>
        <v>2.2393255197521798E-2</v>
      </c>
      <c r="Q89" s="89">
        <f t="shared" si="96"/>
        <v>2.2857177346829152E-2</v>
      </c>
      <c r="R89" s="89">
        <f t="shared" si="96"/>
        <v>2.5316745316745319E-2</v>
      </c>
      <c r="S89" s="89">
        <f t="shared" si="96"/>
        <v>2.6896655804412348E-2</v>
      </c>
      <c r="T89" s="89">
        <f t="shared" ref="T89:Y89" si="97">T61/T$23</f>
        <v>2.6326037437919097E-2</v>
      </c>
      <c r="U89" s="89">
        <f t="shared" si="97"/>
        <v>2.6228223754848567E-2</v>
      </c>
      <c r="V89" s="89">
        <f t="shared" si="97"/>
        <v>2.5117140919306863E-2</v>
      </c>
      <c r="W89" s="89">
        <f t="shared" si="97"/>
        <v>2.3685119968403386E-2</v>
      </c>
      <c r="X89" s="89">
        <f t="shared" si="97"/>
        <v>2.6232626127978012E-2</v>
      </c>
      <c r="Y89" s="89">
        <f t="shared" si="97"/>
        <v>3.3003554003652832E-2</v>
      </c>
    </row>
    <row r="90" spans="1:25" x14ac:dyDescent="0.25">
      <c r="A90" s="90" t="s">
        <v>278</v>
      </c>
      <c r="B90" s="47"/>
      <c r="C90" s="47"/>
      <c r="D90" s="91">
        <f t="shared" si="85"/>
        <v>1.9953200674780968E-2</v>
      </c>
      <c r="E90" s="91">
        <f t="shared" ref="E90:S90" si="98">E62/E$23</f>
        <v>2.2174477705270246E-2</v>
      </c>
      <c r="F90" s="91">
        <f t="shared" si="98"/>
        <v>2.276448453164048E-2</v>
      </c>
      <c r="G90" s="91">
        <f t="shared" si="98"/>
        <v>2.274706696039756E-2</v>
      </c>
      <c r="H90" s="91">
        <f t="shared" si="98"/>
        <v>2.0981684305284659E-2</v>
      </c>
      <c r="I90" s="91">
        <f t="shared" si="98"/>
        <v>2.0014523461358638E-2</v>
      </c>
      <c r="J90" s="91">
        <f t="shared" si="98"/>
        <v>1.9899121925062001E-2</v>
      </c>
      <c r="K90" s="91">
        <f t="shared" si="98"/>
        <v>1.7866931259150298E-2</v>
      </c>
      <c r="L90" s="91">
        <f t="shared" si="98"/>
        <v>1.5871837610586626E-2</v>
      </c>
      <c r="M90" s="91">
        <f t="shared" si="98"/>
        <v>1.4683222319150148E-2</v>
      </c>
      <c r="N90" s="91">
        <f t="shared" si="98"/>
        <v>1.6483686887482942E-2</v>
      </c>
      <c r="O90" s="91">
        <f t="shared" si="98"/>
        <v>1.6485808255895847E-2</v>
      </c>
      <c r="P90" s="91">
        <f t="shared" si="98"/>
        <v>1.6753425095008465E-2</v>
      </c>
      <c r="Q90" s="91">
        <f t="shared" si="98"/>
        <v>1.6314483857533459E-2</v>
      </c>
      <c r="R90" s="91">
        <f t="shared" si="98"/>
        <v>1.6565136565136564E-2</v>
      </c>
      <c r="S90" s="91">
        <f t="shared" si="98"/>
        <v>1.6572856288462719E-2</v>
      </c>
      <c r="T90" s="91">
        <f t="shared" ref="T90:Y90" si="99">T62/T$23</f>
        <v>1.7374651253354103E-2</v>
      </c>
      <c r="U90" s="91">
        <f t="shared" si="99"/>
        <v>1.7116297965777079E-2</v>
      </c>
      <c r="V90" s="91">
        <f t="shared" si="99"/>
        <v>1.6579263508331745E-2</v>
      </c>
      <c r="W90" s="91">
        <f t="shared" si="99"/>
        <v>1.6222064970542738E-2</v>
      </c>
      <c r="X90" s="91">
        <f t="shared" si="99"/>
        <v>1.6419788461298882E-2</v>
      </c>
      <c r="Y90" s="91">
        <f t="shared" si="99"/>
        <v>1.7005047344013646E-2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6.0063631769858405E-2</v>
      </c>
      <c r="F93" s="92">
        <f t="shared" ref="F93:F94" si="101">IF(E16=0,"",F16/E16-1)</f>
        <v>6.7714367047720492E-2</v>
      </c>
      <c r="G93" s="92">
        <f t="shared" ref="G93:G94" si="102">IF(F16=0,"",G16/F16-1)</f>
        <v>7.5979654625875526E-2</v>
      </c>
      <c r="H93" s="92">
        <f t="shared" ref="H93:H94" si="103">IF(G16=0,"",H16/G16-1)</f>
        <v>6.8057980051699829E-2</v>
      </c>
      <c r="I93" s="92">
        <f t="shared" ref="I93:I94" si="104">IF(H16=0,"",I16/H16-1)</f>
        <v>9.5258342865093049E-2</v>
      </c>
      <c r="J93" s="92">
        <f t="shared" ref="J93:J94" si="105">IF(I16=0,"",J16/I16-1)</f>
        <v>9.7645422287208961E-2</v>
      </c>
      <c r="K93" s="92">
        <f t="shared" ref="K93:K94" si="106">IF(J16=0,"",K16/J16-1)</f>
        <v>7.5793484438694936E-2</v>
      </c>
      <c r="L93" s="92">
        <f t="shared" ref="L93:L94" si="107">IF(K16=0,"",L16/K16-1)</f>
        <v>-5.1309660184777672E-2</v>
      </c>
      <c r="M93" s="92">
        <f t="shared" ref="M93:M94" si="108">IF(L16=0,"",M16/L16-1)</f>
        <v>-0.14628695709633865</v>
      </c>
      <c r="N93" s="92">
        <f t="shared" ref="N93:N94" si="109">IF(M16=0,"",N16/M16-1)</f>
        <v>2.4430122160796985E-2</v>
      </c>
      <c r="O93" s="92">
        <f t="shared" ref="O93:O94" si="110">IF(N16=0,"",O16/N16-1)</f>
        <v>7.2643758775164935E-2</v>
      </c>
      <c r="P93" s="92">
        <f t="shared" ref="P93:P94" si="111">IF(O16=0,"",P16/O16-1)</f>
        <v>3.2270834988160857E-2</v>
      </c>
      <c r="Q93" s="92">
        <f t="shared" ref="Q93:Q94" si="112">IF(P16=0,"",Q16/P16-1)</f>
        <v>1.4590969630551509E-2</v>
      </c>
      <c r="R93" s="92">
        <f t="shared" ref="R93:R94" si="113">IF(Q16=0,"",R16/Q16-1)</f>
        <v>3.0110889414373343E-2</v>
      </c>
      <c r="S93" s="92">
        <f t="shared" ref="S93:S94" si="114">IF(R16=0,"",S16/R16-1)</f>
        <v>1.8531431051166836E-2</v>
      </c>
      <c r="T93" s="92">
        <f t="shared" ref="T93:T94" si="115">IF(S16=0,"",T16/S16-1)</f>
        <v>3.1556402288678065E-2</v>
      </c>
      <c r="U93" s="92">
        <f t="shared" ref="U93:U94" si="116">IF(T16=0,"",U16/T16-1)</f>
        <v>5.791917542881575E-2</v>
      </c>
      <c r="V93" s="92">
        <f t="shared" ref="V93:V94" si="117">IF(U16=0,"",V16/U16-1)</f>
        <v>3.784432471647392E-2</v>
      </c>
      <c r="W93" s="92">
        <f t="shared" ref="W93:W94" si="118">IF(V16=0,"",W16/V16-1)</f>
        <v>4.0333158969542371E-2</v>
      </c>
      <c r="X93" s="92">
        <f t="shared" ref="X93:X94" si="119">IF(W16=0,"",X16/W16-1)</f>
        <v>-9.6561336693539168E-3</v>
      </c>
      <c r="Y93" s="92">
        <f t="shared" ref="Y93:Y94" si="120">IF(X16=0,"",Y16/X16-1)</f>
        <v>7.2498741057826166E-2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6.9469421617291971E-2</v>
      </c>
      <c r="F94" s="93">
        <f t="shared" si="101"/>
        <v>9.6539877087876702E-2</v>
      </c>
      <c r="G94" s="93">
        <f t="shared" si="102"/>
        <v>9.711865540088338E-2</v>
      </c>
      <c r="H94" s="93">
        <f t="shared" si="103"/>
        <v>8.13559839681115E-2</v>
      </c>
      <c r="I94" s="93">
        <f t="shared" si="104"/>
        <v>9.7290965115861328E-2</v>
      </c>
      <c r="J94" s="93">
        <f t="shared" si="105"/>
        <v>0.1287558521709411</v>
      </c>
      <c r="K94" s="93">
        <f t="shared" si="106"/>
        <v>8.4299001036574062E-2</v>
      </c>
      <c r="L94" s="93">
        <f t="shared" si="107"/>
        <v>-4.5303065101101492E-2</v>
      </c>
      <c r="M94" s="93">
        <f t="shared" si="108"/>
        <v>-0.13947110159458653</v>
      </c>
      <c r="N94" s="93">
        <f t="shared" si="109"/>
        <v>-1.2695475024694924E-2</v>
      </c>
      <c r="O94" s="93">
        <f t="shared" si="110"/>
        <v>3.0708350717109978E-2</v>
      </c>
      <c r="P94" s="93">
        <f t="shared" si="111"/>
        <v>4.3666189772084252E-2</v>
      </c>
      <c r="Q94" s="93">
        <f t="shared" si="112"/>
        <v>3.6984521884280808E-2</v>
      </c>
      <c r="R94" s="93">
        <f t="shared" si="113"/>
        <v>3.6105024772432381E-2</v>
      </c>
      <c r="S94" s="93">
        <f t="shared" si="114"/>
        <v>4.8952767925755092E-2</v>
      </c>
      <c r="T94" s="93">
        <f t="shared" si="115"/>
        <v>4.4505247639409884E-2</v>
      </c>
      <c r="U94" s="93">
        <f t="shared" si="116"/>
        <v>2.4592851600560239E-2</v>
      </c>
      <c r="V94" s="93">
        <f t="shared" si="117"/>
        <v>4.8188081899708246E-2</v>
      </c>
      <c r="W94" s="93">
        <f t="shared" si="118"/>
        <v>4.6587955762334765E-2</v>
      </c>
      <c r="X94" s="93">
        <f t="shared" si="119"/>
        <v>-1.3079269274499761E-2</v>
      </c>
      <c r="Y94" s="93">
        <f t="shared" si="120"/>
        <v>9.0915539208406893E-2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6.6556209444478487E-2</v>
      </c>
      <c r="F95" s="92">
        <f t="shared" ref="F95:F96" si="122">IF(E20=0,"",F20/E20-1)</f>
        <v>7.4822121469813263E-2</v>
      </c>
      <c r="G95" s="92">
        <f t="shared" ref="G95:G96" si="123">IF(F20=0,"",G20/F20-1)</f>
        <v>8.2489410169827249E-2</v>
      </c>
      <c r="H95" s="92">
        <f t="shared" ref="H95:H96" si="124">IF(G20=0,"",H20/G20-1)</f>
        <v>7.5046772982468202E-2</v>
      </c>
      <c r="I95" s="92">
        <f t="shared" ref="I95:I96" si="125">IF(H20=0,"",I20/H20-1)</f>
        <v>0.10122288033221727</v>
      </c>
      <c r="J95" s="92">
        <f t="shared" ref="J95:J96" si="126">IF(I20=0,"",J20/I20-1)</f>
        <v>0.10426851415930538</v>
      </c>
      <c r="K95" s="92">
        <f t="shared" ref="K95:K96" si="127">IF(J20=0,"",K20/J20-1)</f>
        <v>8.2025928150109451E-2</v>
      </c>
      <c r="L95" s="92">
        <f t="shared" ref="L95:L96" si="128">IF(K20=0,"",L20/K20-1)</f>
        <v>-4.8134222569066853E-2</v>
      </c>
      <c r="M95" s="92">
        <f t="shared" ref="M95:M96" si="129">IF(L20=0,"",M20/L20-1)</f>
        <v>-0.14456130299012038</v>
      </c>
      <c r="N95" s="92">
        <f t="shared" ref="N95:N96" si="130">IF(M20=0,"",N20/M20-1)</f>
        <v>2.6312573689941887E-2</v>
      </c>
      <c r="O95" s="92">
        <f t="shared" ref="O95:O96" si="131">IF(N20=0,"",O20/N20-1)</f>
        <v>7.5572098985710268E-2</v>
      </c>
      <c r="P95" s="92">
        <f t="shared" ref="P95:P96" si="132">IF(O20=0,"",P20/O20-1)</f>
        <v>3.5731686546700114E-2</v>
      </c>
      <c r="Q95" s="92">
        <f t="shared" ref="Q95:Q96" si="133">IF(P20=0,"",Q20/P20-1)</f>
        <v>1.846665742613518E-2</v>
      </c>
      <c r="R95" s="92">
        <f t="shared" ref="R95:R96" si="134">IF(Q20=0,"",R20/Q20-1)</f>
        <v>3.3520273929568578E-2</v>
      </c>
      <c r="S95" s="92">
        <f t="shared" ref="S95:S96" si="135">IF(R20=0,"",S20/R20-1)</f>
        <v>1.9266550361872303E-2</v>
      </c>
      <c r="T95" s="92">
        <f t="shared" ref="T95:T96" si="136">IF(S20=0,"",T20/S20-1)</f>
        <v>3.0714503563460394E-2</v>
      </c>
      <c r="U95" s="92">
        <f t="shared" ref="U95:U96" si="137">IF(T20=0,"",U20/T20-1)</f>
        <v>5.816764633845839E-2</v>
      </c>
      <c r="V95" s="92">
        <f t="shared" ref="V95:V96" si="138">IF(U20=0,"",V20/U20-1)</f>
        <v>3.5092229629884342E-2</v>
      </c>
      <c r="W95" s="92">
        <f t="shared" ref="W95:W96" si="139">IF(V20=0,"",W20/V20-1)</f>
        <v>3.5867363861482371E-2</v>
      </c>
      <c r="X95" s="92">
        <f t="shared" ref="X95:X96" si="140">IF(W20=0,"",X20/W20-1)</f>
        <v>-1.275315657155085E-2</v>
      </c>
      <c r="Y95" s="92">
        <f t="shared" ref="Y95:Y96" si="141">IF(X20=0,"",Y20/X20-1)</f>
        <v>7.1618208163842567E-2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7.6019606985776367E-2</v>
      </c>
      <c r="F96" s="93">
        <f t="shared" si="122"/>
        <v>0.1038395223871369</v>
      </c>
      <c r="G96" s="93">
        <f t="shared" si="123"/>
        <v>0.10375630344437936</v>
      </c>
      <c r="H96" s="93">
        <f t="shared" si="124"/>
        <v>8.8431791833930129E-2</v>
      </c>
      <c r="I96" s="93">
        <f t="shared" si="125"/>
        <v>0.10326657179934906</v>
      </c>
      <c r="J96" s="93">
        <f t="shared" si="126"/>
        <v>0.1355666615254929</v>
      </c>
      <c r="K96" s="93">
        <f t="shared" si="127"/>
        <v>9.0580720147217075E-2</v>
      </c>
      <c r="L96" s="93">
        <f t="shared" si="128"/>
        <v>-4.2107522328659663E-2</v>
      </c>
      <c r="M96" s="93">
        <f t="shared" si="129"/>
        <v>-0.13773167024889454</v>
      </c>
      <c r="N96" s="93">
        <f t="shared" si="130"/>
        <v>-1.088124399754431E-2</v>
      </c>
      <c r="O96" s="93">
        <f t="shared" si="131"/>
        <v>3.3522206374272612E-2</v>
      </c>
      <c r="P96" s="93">
        <f t="shared" si="132"/>
        <v>4.7165246063361588E-2</v>
      </c>
      <c r="Q96" s="93">
        <f t="shared" si="133"/>
        <v>4.0945751952334408E-2</v>
      </c>
      <c r="R96" s="93">
        <f t="shared" si="134"/>
        <v>3.9534248231649638E-2</v>
      </c>
      <c r="S96" s="93">
        <f t="shared" si="135"/>
        <v>4.9709843664620168E-2</v>
      </c>
      <c r="T96" s="93">
        <f t="shared" si="136"/>
        <v>4.3652780789783519E-2</v>
      </c>
      <c r="U96" s="93">
        <f t="shared" si="137"/>
        <v>2.4833495237392755E-2</v>
      </c>
      <c r="V96" s="93">
        <f t="shared" si="138"/>
        <v>4.5408557840735497E-2</v>
      </c>
      <c r="W96" s="93">
        <f t="shared" si="139"/>
        <v>4.2095310946872688E-2</v>
      </c>
      <c r="X96" s="93">
        <f t="shared" si="140"/>
        <v>-1.6165587279411198E-2</v>
      </c>
      <c r="Y96" s="93">
        <f t="shared" si="141"/>
        <v>9.0019885926908794E-2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5.6432400447405495E-2</v>
      </c>
      <c r="F97" s="89">
        <f t="shared" ref="F97:F106" si="143">IF(E23=0,"",F23/E23-1)</f>
        <v>6.4267498586771499E-2</v>
      </c>
      <c r="G97" s="89">
        <f t="shared" ref="G97:G106" si="144">IF(F23=0,"",G23/F23-1)</f>
        <v>7.6823263704567601E-2</v>
      </c>
      <c r="H97" s="89">
        <f t="shared" ref="H97:H106" si="145">IF(G23=0,"",H23/G23-1)</f>
        <v>6.261362373085344E-2</v>
      </c>
      <c r="I97" s="89">
        <f t="shared" ref="I97:I106" si="146">IF(H23=0,"",I23/H23-1)</f>
        <v>9.5404416007265569E-2</v>
      </c>
      <c r="J97" s="89">
        <f t="shared" ref="J97:J106" si="147">IF(I23=0,"",J23/I23-1)</f>
        <v>9.2961127729926929E-2</v>
      </c>
      <c r="K97" s="89">
        <f t="shared" ref="K97:K106" si="148">IF(J23=0,"",K23/J23-1)</f>
        <v>7.0888776222329586E-2</v>
      </c>
      <c r="L97" s="89">
        <f t="shared" ref="L97:L106" si="149">IF(K23=0,"",L23/K23-1)</f>
        <v>-2.9610216951054147E-2</v>
      </c>
      <c r="M97" s="89">
        <f t="shared" ref="M97:M106" si="150">IF(L23=0,"",M23/L23-1)</f>
        <v>-0.15177075647318916</v>
      </c>
      <c r="N97" s="89">
        <f t="shared" ref="N97:N106" si="151">IF(M23=0,"",N23/M23-1)</f>
        <v>3.8112023127188088E-2</v>
      </c>
      <c r="O97" s="89">
        <f t="shared" ref="O97:O106" si="152">IF(N23=0,"",O23/N23-1)</f>
        <v>7.4170846841485449E-2</v>
      </c>
      <c r="P97" s="89">
        <f t="shared" ref="P97:P106" si="153">IF(O23=0,"",P23/O23-1)</f>
        <v>2.7800070191366988E-2</v>
      </c>
      <c r="Q97" s="89">
        <f t="shared" ref="Q97:Q106" si="154">IF(P23=0,"",Q23/P23-1)</f>
        <v>1.259500186886231E-2</v>
      </c>
      <c r="R97" s="89">
        <f t="shared" ref="R97:R106" si="155">IF(Q23=0,"",R23/Q23-1)</f>
        <v>2.7972762000174178E-2</v>
      </c>
      <c r="S97" s="89">
        <f t="shared" ref="S97:S106" si="156">IF(R23=0,"",S23/R23-1)</f>
        <v>1.6840563306163459E-2</v>
      </c>
      <c r="T97" s="89">
        <f t="shared" ref="T97:T106" si="157">IF(S23=0,"",T23/S23-1)</f>
        <v>2.9020852323553115E-2</v>
      </c>
      <c r="U97" s="89">
        <f t="shared" ref="U97:U106" si="158">IF(T23=0,"",U23/T23-1)</f>
        <v>6.7212139039396046E-2</v>
      </c>
      <c r="V97" s="89">
        <f t="shared" ref="V97:V106" si="159">IF(U23=0,"",V23/U23-1)</f>
        <v>4.1012999819225238E-2</v>
      </c>
      <c r="W97" s="89">
        <f t="shared" ref="W97:W106" si="160">IF(V23=0,"",W23/V23-1)</f>
        <v>3.5163583573099899E-2</v>
      </c>
      <c r="X97" s="89">
        <f t="shared" ref="X97:X106" si="161">IF(W23=0,"",X23/W23-1)</f>
        <v>-4.1416431253837871E-3</v>
      </c>
      <c r="Y97" s="89">
        <f t="shared" ref="Y97:Y106" si="162">IF(X23=0,"",Y23/X23-1)</f>
        <v>6.4701739628140853E-2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-4.9457264667203238E-2</v>
      </c>
      <c r="F98" s="83">
        <f t="shared" si="143"/>
        <v>8.5738282524929987E-2</v>
      </c>
      <c r="G98" s="83">
        <f t="shared" si="144"/>
        <v>4.5255466757020635E-2</v>
      </c>
      <c r="H98" s="83">
        <f t="shared" si="145"/>
        <v>0.11982728079918425</v>
      </c>
      <c r="I98" s="83">
        <f t="shared" si="146"/>
        <v>-5.1511172696002694E-3</v>
      </c>
      <c r="J98" s="83">
        <f t="shared" si="147"/>
        <v>5.3387103101308231E-2</v>
      </c>
      <c r="K98" s="83">
        <f t="shared" si="148"/>
        <v>0.33805858989527926</v>
      </c>
      <c r="L98" s="83">
        <f t="shared" si="149"/>
        <v>-0.17131135249876839</v>
      </c>
      <c r="M98" s="83">
        <f t="shared" si="150"/>
        <v>-0.36696713415760163</v>
      </c>
      <c r="N98" s="83">
        <f t="shared" si="151"/>
        <v>0.32170652987044956</v>
      </c>
      <c r="O98" s="83">
        <f t="shared" si="152"/>
        <v>0.24356877065000515</v>
      </c>
      <c r="P98" s="83">
        <f t="shared" si="153"/>
        <v>-7.0752827232616999E-2</v>
      </c>
      <c r="Q98" s="83">
        <f t="shared" si="154"/>
        <v>-5.9228490453374638E-2</v>
      </c>
      <c r="R98" s="83">
        <f t="shared" si="155"/>
        <v>5.8281257840964384E-2</v>
      </c>
      <c r="S98" s="83">
        <f t="shared" si="156"/>
        <v>-7.6372150063051536E-2</v>
      </c>
      <c r="T98" s="83">
        <f t="shared" si="157"/>
        <v>-0.23441534099890149</v>
      </c>
      <c r="U98" s="83">
        <f t="shared" si="158"/>
        <v>0.19698971559453193</v>
      </c>
      <c r="V98" s="83">
        <f t="shared" si="159"/>
        <v>-9.097404888519145E-2</v>
      </c>
      <c r="W98" s="83">
        <f t="shared" si="160"/>
        <v>0.14388602431911846</v>
      </c>
      <c r="X98" s="83">
        <f t="shared" si="161"/>
        <v>-0.14517371672855117</v>
      </c>
      <c r="Y98" s="83">
        <f t="shared" si="162"/>
        <v>5.0287698197695629E-2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2.960907437967486E-2</v>
      </c>
      <c r="F99" s="83">
        <f t="shared" si="143"/>
        <v>3.8082096199235638E-2</v>
      </c>
      <c r="G99" s="83">
        <f t="shared" si="144"/>
        <v>7.296699568199605E-2</v>
      </c>
      <c r="H99" s="83">
        <f t="shared" si="145"/>
        <v>1.2985661531894621E-4</v>
      </c>
      <c r="I99" s="83">
        <f t="shared" si="146"/>
        <v>-1.9725270642376169E-2</v>
      </c>
      <c r="J99" s="83">
        <f t="shared" si="147"/>
        <v>0.11437657014900049</v>
      </c>
      <c r="K99" s="83">
        <f t="shared" si="148"/>
        <v>0.17911576491675096</v>
      </c>
      <c r="L99" s="83">
        <f t="shared" si="149"/>
        <v>-0.10252926198927592</v>
      </c>
      <c r="M99" s="83">
        <f t="shared" si="150"/>
        <v>6.9888141285316285E-2</v>
      </c>
      <c r="N99" s="83">
        <f t="shared" si="151"/>
        <v>0.16675137831791798</v>
      </c>
      <c r="O99" s="83">
        <f t="shared" si="152"/>
        <v>7.7216576545784621E-2</v>
      </c>
      <c r="P99" s="83">
        <f t="shared" si="153"/>
        <v>-4.2287462449541957E-2</v>
      </c>
      <c r="Q99" s="83">
        <f t="shared" si="154"/>
        <v>0.1999800091410715</v>
      </c>
      <c r="R99" s="83">
        <f t="shared" si="155"/>
        <v>3.2994239917600199E-2</v>
      </c>
      <c r="S99" s="83">
        <f t="shared" si="156"/>
        <v>-8.9714131559497479E-2</v>
      </c>
      <c r="T99" s="83">
        <f t="shared" si="157"/>
        <v>-0.19103625704186689</v>
      </c>
      <c r="U99" s="83">
        <f t="shared" si="158"/>
        <v>0.21159280265279112</v>
      </c>
      <c r="V99" s="83">
        <f t="shared" si="159"/>
        <v>-8.7261785412972692E-2</v>
      </c>
      <c r="W99" s="83">
        <f t="shared" si="160"/>
        <v>-0.1339422470726257</v>
      </c>
      <c r="X99" s="83">
        <f t="shared" si="161"/>
        <v>-0.24006558710224879</v>
      </c>
      <c r="Y99" s="83">
        <f t="shared" si="162"/>
        <v>-4.8635776316245716E-2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5.3786869729169462E-2</v>
      </c>
      <c r="F100" s="83">
        <f t="shared" si="143"/>
        <v>6.4397146385478221E-2</v>
      </c>
      <c r="G100" s="83">
        <f t="shared" si="144"/>
        <v>6.7690329846037178E-2</v>
      </c>
      <c r="H100" s="83">
        <f t="shared" si="145"/>
        <v>6.4919594796365887E-2</v>
      </c>
      <c r="I100" s="83">
        <f t="shared" si="146"/>
        <v>8.1971080176154176E-2</v>
      </c>
      <c r="J100" s="83">
        <f t="shared" si="147"/>
        <v>7.7831741755879369E-2</v>
      </c>
      <c r="K100" s="83">
        <f t="shared" si="148"/>
        <v>5.5708342646984876E-2</v>
      </c>
      <c r="L100" s="83">
        <f t="shared" si="149"/>
        <v>6.1409171544912766E-4</v>
      </c>
      <c r="M100" s="83">
        <f t="shared" si="150"/>
        <v>-0.11036606185149367</v>
      </c>
      <c r="N100" s="83">
        <f t="shared" si="151"/>
        <v>1.5291130915075168E-2</v>
      </c>
      <c r="O100" s="83">
        <f t="shared" si="152"/>
        <v>4.1423062612140793E-2</v>
      </c>
      <c r="P100" s="83">
        <f t="shared" si="153"/>
        <v>4.0185226303641519E-2</v>
      </c>
      <c r="Q100" s="83">
        <f t="shared" si="154"/>
        <v>1.5289521578155663E-2</v>
      </c>
      <c r="R100" s="83">
        <f t="shared" si="155"/>
        <v>3.5018274480242972E-2</v>
      </c>
      <c r="S100" s="83">
        <f t="shared" si="156"/>
        <v>3.5015107492392783E-2</v>
      </c>
      <c r="T100" s="83">
        <f t="shared" si="157"/>
        <v>3.4977815405531798E-2</v>
      </c>
      <c r="U100" s="83">
        <f t="shared" si="158"/>
        <v>6.6837828261713472E-2</v>
      </c>
      <c r="V100" s="83">
        <f t="shared" si="159"/>
        <v>4.9199571451939095E-2</v>
      </c>
      <c r="W100" s="83">
        <f t="shared" si="160"/>
        <v>4.9605240273598472E-2</v>
      </c>
      <c r="X100" s="83">
        <f t="shared" si="161"/>
        <v>4.5326745880913677E-3</v>
      </c>
      <c r="Y100" s="83">
        <f t="shared" si="162"/>
        <v>5.3947437160724032E-2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1.3651623701802285E-2</v>
      </c>
      <c r="F101" s="84">
        <f t="shared" si="143"/>
        <v>2.9670448829966167E-2</v>
      </c>
      <c r="G101" s="84">
        <f t="shared" si="144"/>
        <v>7.9964838540478755E-2</v>
      </c>
      <c r="H101" s="84">
        <f t="shared" si="145"/>
        <v>6.7119914689263815E-2</v>
      </c>
      <c r="I101" s="84">
        <f t="shared" si="146"/>
        <v>4.8127085649981582E-2</v>
      </c>
      <c r="J101" s="84">
        <f t="shared" si="147"/>
        <v>5.8853135072381102E-2</v>
      </c>
      <c r="K101" s="84">
        <f t="shared" si="148"/>
        <v>4.9414008901141893E-2</v>
      </c>
      <c r="L101" s="84">
        <f t="shared" si="149"/>
        <v>2.7451824269485448E-2</v>
      </c>
      <c r="M101" s="84">
        <f t="shared" si="150"/>
        <v>-7.097164836592107E-2</v>
      </c>
      <c r="N101" s="84">
        <f t="shared" si="151"/>
        <v>1.8821908365572293E-2</v>
      </c>
      <c r="O101" s="84">
        <f t="shared" si="152"/>
        <v>3.4317325155692746E-2</v>
      </c>
      <c r="P101" s="84">
        <f t="shared" si="153"/>
        <v>2.0637915964836884E-2</v>
      </c>
      <c r="Q101" s="84">
        <f t="shared" si="154"/>
        <v>3.2289732350457401E-2</v>
      </c>
      <c r="R101" s="84">
        <f t="shared" si="155"/>
        <v>3.6192131159956675E-2</v>
      </c>
      <c r="S101" s="84">
        <f t="shared" si="156"/>
        <v>3.3504649004387543E-2</v>
      </c>
      <c r="T101" s="84">
        <f t="shared" si="157"/>
        <v>6.1260543202033002E-3</v>
      </c>
      <c r="U101" s="84">
        <f t="shared" si="158"/>
        <v>4.6748279902600665E-2</v>
      </c>
      <c r="V101" s="84">
        <f t="shared" si="159"/>
        <v>2.6124969115373764E-2</v>
      </c>
      <c r="W101" s="84">
        <f t="shared" si="160"/>
        <v>4.0386699387128688E-2</v>
      </c>
      <c r="X101" s="84">
        <f t="shared" si="161"/>
        <v>-1.2117198520101513E-2</v>
      </c>
      <c r="Y101" s="84">
        <f t="shared" si="162"/>
        <v>3.6442505797648295E-2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6.2273398499005816E-2</v>
      </c>
      <c r="F102" s="84">
        <f t="shared" si="143"/>
        <v>6.3561086942558465E-2</v>
      </c>
      <c r="G102" s="84">
        <f t="shared" si="144"/>
        <v>5.4077526979563917E-2</v>
      </c>
      <c r="H102" s="84">
        <f t="shared" si="145"/>
        <v>7.4257270746686643E-2</v>
      </c>
      <c r="I102" s="84">
        <f t="shared" si="146"/>
        <v>0.1109620631596131</v>
      </c>
      <c r="J102" s="84">
        <f t="shared" si="147"/>
        <v>8.6950643092905455E-2</v>
      </c>
      <c r="K102" s="84">
        <f t="shared" si="148"/>
        <v>8.3261025626842899E-2</v>
      </c>
      <c r="L102" s="84">
        <f t="shared" si="149"/>
        <v>2.0540784086380048E-2</v>
      </c>
      <c r="M102" s="84">
        <f t="shared" si="150"/>
        <v>-9.4878299246198727E-2</v>
      </c>
      <c r="N102" s="84">
        <f t="shared" si="151"/>
        <v>2.6732329913019548E-3</v>
      </c>
      <c r="O102" s="84">
        <f t="shared" si="152"/>
        <v>2.393188323843698E-2</v>
      </c>
      <c r="P102" s="84">
        <f t="shared" si="153"/>
        <v>4.9043777213403361E-2</v>
      </c>
      <c r="Q102" s="84">
        <f t="shared" si="154"/>
        <v>1.0415992899660109E-2</v>
      </c>
      <c r="R102" s="84">
        <f t="shared" si="155"/>
        <v>2.402365204581014E-2</v>
      </c>
      <c r="S102" s="84">
        <f t="shared" si="156"/>
        <v>6.4192894704956149E-2</v>
      </c>
      <c r="T102" s="84">
        <f t="shared" si="157"/>
        <v>3.8363119023748338E-2</v>
      </c>
      <c r="U102" s="84">
        <f t="shared" si="158"/>
        <v>8.1454833656065651E-2</v>
      </c>
      <c r="V102" s="84">
        <f t="shared" si="159"/>
        <v>5.4106617892508257E-2</v>
      </c>
      <c r="W102" s="84">
        <f t="shared" si="160"/>
        <v>6.4518299859841033E-2</v>
      </c>
      <c r="X102" s="84">
        <f t="shared" si="161"/>
        <v>3.7279621529552331E-2</v>
      </c>
      <c r="Y102" s="84">
        <f t="shared" si="162"/>
        <v>7.4921391086501865E-2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0.11699633714435276</v>
      </c>
      <c r="F103" s="84">
        <f t="shared" si="143"/>
        <v>0.12767777775456635</v>
      </c>
      <c r="G103" s="84">
        <f t="shared" si="144"/>
        <v>7.0080531780829736E-2</v>
      </c>
      <c r="H103" s="84">
        <f t="shared" si="145"/>
        <v>4.6212169873904196E-2</v>
      </c>
      <c r="I103" s="84">
        <f t="shared" si="146"/>
        <v>9.0476036540569904E-2</v>
      </c>
      <c r="J103" s="84">
        <f t="shared" si="147"/>
        <v>9.2934111388247587E-2</v>
      </c>
      <c r="K103" s="84">
        <f t="shared" si="148"/>
        <v>1.9170051440785096E-2</v>
      </c>
      <c r="L103" s="84">
        <f t="shared" si="149"/>
        <v>-7.8074229831186615E-2</v>
      </c>
      <c r="M103" s="84">
        <f t="shared" si="150"/>
        <v>-0.21146250087929341</v>
      </c>
      <c r="N103" s="84">
        <f t="shared" si="151"/>
        <v>3.6517242670287775E-2</v>
      </c>
      <c r="O103" s="84">
        <f t="shared" si="152"/>
        <v>9.4575691294702224E-2</v>
      </c>
      <c r="P103" s="84">
        <f t="shared" si="153"/>
        <v>6.0224544259066537E-2</v>
      </c>
      <c r="Q103" s="84">
        <f t="shared" si="154"/>
        <v>-6.8213603502040865E-3</v>
      </c>
      <c r="R103" s="84">
        <f t="shared" si="155"/>
        <v>5.5471800873189592E-2</v>
      </c>
      <c r="S103" s="84">
        <f t="shared" si="156"/>
        <v>-2.066190561141612E-2</v>
      </c>
      <c r="T103" s="84">
        <f t="shared" si="157"/>
        <v>8.6117070291749753E-2</v>
      </c>
      <c r="U103" s="84">
        <f t="shared" si="158"/>
        <v>7.4100303004303703E-2</v>
      </c>
      <c r="V103" s="84">
        <f t="shared" si="159"/>
        <v>8.1149402933168746E-2</v>
      </c>
      <c r="W103" s="84">
        <f t="shared" si="160"/>
        <v>3.5092905399227048E-2</v>
      </c>
      <c r="X103" s="84">
        <f t="shared" si="161"/>
        <v>-3.5336638380147334E-2</v>
      </c>
      <c r="Y103" s="84">
        <f t="shared" si="162"/>
        <v>3.7773691337635862E-2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9.2284012367980894E-2</v>
      </c>
      <c r="F104" s="83">
        <f t="shared" si="143"/>
        <v>8.4473460916206333E-2</v>
      </c>
      <c r="G104" s="83">
        <f t="shared" si="144"/>
        <v>0.18957254133145529</v>
      </c>
      <c r="H104" s="83">
        <f t="shared" si="145"/>
        <v>4.3471428115168687E-2</v>
      </c>
      <c r="I104" s="83">
        <f t="shared" si="146"/>
        <v>7.9752901260331743E-2</v>
      </c>
      <c r="J104" s="83">
        <f t="shared" si="147"/>
        <v>3.7088491409536184E-2</v>
      </c>
      <c r="K104" s="83">
        <f t="shared" si="148"/>
        <v>3.1290902427594247E-3</v>
      </c>
      <c r="L104" s="83">
        <f t="shared" si="149"/>
        <v>6.6139961529529723E-2</v>
      </c>
      <c r="M104" s="83">
        <f t="shared" si="150"/>
        <v>0.11653122105552494</v>
      </c>
      <c r="N104" s="83">
        <f t="shared" si="151"/>
        <v>0.19526868971380473</v>
      </c>
      <c r="O104" s="83">
        <f t="shared" si="152"/>
        <v>5.6622730229468177E-2</v>
      </c>
      <c r="P104" s="83">
        <f t="shared" si="153"/>
        <v>3.7212433866128825E-2</v>
      </c>
      <c r="Q104" s="83">
        <f t="shared" si="154"/>
        <v>6.3707403357376791E-2</v>
      </c>
      <c r="R104" s="83">
        <f t="shared" si="155"/>
        <v>-4.1235537216384288E-2</v>
      </c>
      <c r="S104" s="83">
        <f t="shared" si="156"/>
        <v>-0.14146880528052808</v>
      </c>
      <c r="T104" s="83">
        <f t="shared" si="157"/>
        <v>3.0403304685110433E-2</v>
      </c>
      <c r="U104" s="83">
        <f t="shared" si="158"/>
        <v>2.7169642219656343E-2</v>
      </c>
      <c r="V104" s="83">
        <f t="shared" si="159"/>
        <v>8.9101868166420628E-2</v>
      </c>
      <c r="W104" s="83">
        <f t="shared" si="160"/>
        <v>-0.10948236943806977</v>
      </c>
      <c r="X104" s="83">
        <f t="shared" si="161"/>
        <v>-3.3644484952935816E-2</v>
      </c>
      <c r="Y104" s="83">
        <f t="shared" si="162"/>
        <v>0.33706972989389383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5.0273215535413973E-2</v>
      </c>
      <c r="F105" s="83">
        <f t="shared" si="143"/>
        <v>0.12929023462249645</v>
      </c>
      <c r="G105" s="83">
        <f t="shared" si="144"/>
        <v>0.13391598018108941</v>
      </c>
      <c r="H105" s="83">
        <f t="shared" si="145"/>
        <v>0.12458963969330461</v>
      </c>
      <c r="I105" s="83">
        <f t="shared" si="146"/>
        <v>0.33485135664081289</v>
      </c>
      <c r="J105" s="83">
        <f t="shared" si="147"/>
        <v>0.25788157747034801</v>
      </c>
      <c r="K105" s="83">
        <f t="shared" si="148"/>
        <v>0.15086047842216188</v>
      </c>
      <c r="L105" s="83">
        <f t="shared" si="149"/>
        <v>-0.11615560931406055</v>
      </c>
      <c r="M105" s="83">
        <f t="shared" si="150"/>
        <v>-0.37242101890043444</v>
      </c>
      <c r="N105" s="83">
        <f t="shared" si="151"/>
        <v>-0.14748760049682019</v>
      </c>
      <c r="O105" s="83">
        <f t="shared" si="152"/>
        <v>0.27339897101059107</v>
      </c>
      <c r="P105" s="83">
        <f t="shared" si="153"/>
        <v>9.8740730012735645E-2</v>
      </c>
      <c r="Q105" s="83">
        <f t="shared" si="154"/>
        <v>-3.5493521609367806E-2</v>
      </c>
      <c r="R105" s="83">
        <f t="shared" si="155"/>
        <v>-9.6540357104322072E-2</v>
      </c>
      <c r="S105" s="83">
        <f t="shared" si="156"/>
        <v>1.1503604855898519E-2</v>
      </c>
      <c r="T105" s="83">
        <f t="shared" si="157"/>
        <v>9.9204045743195302E-2</v>
      </c>
      <c r="U105" s="83">
        <f t="shared" si="158"/>
        <v>8.57699696731693E-2</v>
      </c>
      <c r="V105" s="83">
        <f t="shared" si="159"/>
        <v>8.0093278669946422E-2</v>
      </c>
      <c r="W105" s="83">
        <f t="shared" si="160"/>
        <v>4.1236271712152384E-2</v>
      </c>
      <c r="X105" s="83">
        <f t="shared" si="161"/>
        <v>-4.3092428186618514E-3</v>
      </c>
      <c r="Y105" s="83">
        <f t="shared" si="162"/>
        <v>1.1454997204573214E-2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9.4736343165119141E-2</v>
      </c>
      <c r="F106" s="83">
        <f t="shared" si="143"/>
        <v>3.4211363610284762E-2</v>
      </c>
      <c r="G106" s="83">
        <f t="shared" si="144"/>
        <v>8.242904258681838E-2</v>
      </c>
      <c r="H106" s="83">
        <f t="shared" si="145"/>
        <v>2.2196394102138362E-2</v>
      </c>
      <c r="I106" s="83">
        <f t="shared" si="146"/>
        <v>8.5116976822482648E-2</v>
      </c>
      <c r="J106" s="83">
        <f t="shared" si="147"/>
        <v>8.8200240876469049E-2</v>
      </c>
      <c r="K106" s="83">
        <f t="shared" si="148"/>
        <v>3.0459689990392169E-2</v>
      </c>
      <c r="L106" s="83">
        <f t="shared" si="149"/>
        <v>-7.2716228920798764E-2</v>
      </c>
      <c r="M106" s="83">
        <f t="shared" si="150"/>
        <v>-0.2154355384078066</v>
      </c>
      <c r="N106" s="83">
        <f t="shared" si="151"/>
        <v>0.14278875560630011</v>
      </c>
      <c r="O106" s="83">
        <f t="shared" si="152"/>
        <v>0.1155633355111656</v>
      </c>
      <c r="P106" s="83">
        <f t="shared" si="153"/>
        <v>-2.9470429714748669E-2</v>
      </c>
      <c r="Q106" s="83">
        <f t="shared" si="154"/>
        <v>1.0613798671987862E-2</v>
      </c>
      <c r="R106" s="83">
        <f t="shared" si="155"/>
        <v>6.9886151380029071E-2</v>
      </c>
      <c r="S106" s="83">
        <f t="shared" si="156"/>
        <v>1.3998478639761336E-2</v>
      </c>
      <c r="T106" s="83">
        <f t="shared" si="157"/>
        <v>5.044665430079287E-2</v>
      </c>
      <c r="U106" s="83">
        <f t="shared" si="158"/>
        <v>3.9015106189946858E-2</v>
      </c>
      <c r="V106" s="83">
        <f t="shared" si="159"/>
        <v>7.4422745184636874E-3</v>
      </c>
      <c r="W106" s="83">
        <f t="shared" si="160"/>
        <v>-8.767176274923183E-3</v>
      </c>
      <c r="X106" s="83">
        <f t="shared" si="161"/>
        <v>-2.9599854383011159E-4</v>
      </c>
      <c r="Y106" s="83">
        <f t="shared" si="162"/>
        <v>9.6460362597373894E-2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0.86759645991646561</v>
      </c>
      <c r="F107" s="87">
        <f t="shared" ref="F107:F108" si="164">IF(E33=0,"",F33/E33-1)</f>
        <v>0.29381952223082575</v>
      </c>
      <c r="G107" s="87">
        <f t="shared" ref="G107:G108" si="165">IF(F33=0,"",G33/F33-1)</f>
        <v>-3.9719035827985194E-2</v>
      </c>
      <c r="H107" s="87">
        <f t="shared" ref="H107:H108" si="166">IF(G33=0,"",H33/G33-1)</f>
        <v>0.51184426987923959</v>
      </c>
      <c r="I107" s="87">
        <f t="shared" ref="I107:I108" si="167">IF(H33=0,"",I33/H33-1)</f>
        <v>-0.27614450247960731</v>
      </c>
      <c r="J107" s="87">
        <f t="shared" ref="J107:J108" si="168">IF(I33=0,"",J33/I33-1)</f>
        <v>0.6810444290716493</v>
      </c>
      <c r="K107" s="87">
        <f t="shared" ref="K107:K108" si="169">IF(J33=0,"",K33/J33-1)</f>
        <v>0.52030249050277155</v>
      </c>
      <c r="L107" s="87">
        <f t="shared" ref="L107:L108" si="170">IF(K33=0,"",L33/K33-1)</f>
        <v>0.80888087136767162</v>
      </c>
      <c r="M107" s="87">
        <f t="shared" ref="M107:M108" si="171">IF(L33=0,"",M33/L33-1)</f>
        <v>-0.5395912042896418</v>
      </c>
      <c r="N107" s="87">
        <f t="shared" ref="N107:N108" si="172">IF(M33=0,"",N33/M33-1)</f>
        <v>0.46495334349594653</v>
      </c>
      <c r="O107" s="87">
        <f t="shared" ref="O107:O108" si="173">IF(N33=0,"",O33/N33-1)</f>
        <v>1.9395392657665544E-2</v>
      </c>
      <c r="P107" s="87">
        <f t="shared" ref="P107:P108" si="174">IF(O33=0,"",P33/O33-1)</f>
        <v>-0.24358464758132248</v>
      </c>
      <c r="Q107" s="87">
        <f t="shared" ref="Q107:Q108" si="175">IF(P33=0,"",Q33/P33-1)</f>
        <v>5.5022211838773538E-2</v>
      </c>
      <c r="R107" s="87">
        <f t="shared" ref="R107:R108" si="176">IF(Q33=0,"",R33/Q33-1)</f>
        <v>0.22342142538170662</v>
      </c>
      <c r="S107" s="87">
        <f t="shared" ref="S107:S108" si="177">IF(R33=0,"",S33/R33-1)</f>
        <v>0.10404444444444438</v>
      </c>
      <c r="T107" s="87">
        <f t="shared" ref="T107:T108" si="178">IF(S33=0,"",T33/S33-1)</f>
        <v>0.34218520846427825</v>
      </c>
      <c r="U107" s="87">
        <f t="shared" ref="U107:U108" si="179">IF(T33=0,"",U33/T33-1)</f>
        <v>0.71684400158805328</v>
      </c>
      <c r="V107" s="87">
        <f t="shared" ref="V107:V108" si="180">IF(U33=0,"",V33/U33-1)</f>
        <v>4.2688636014604375E-2</v>
      </c>
      <c r="W107" s="87">
        <f t="shared" ref="W107:W108" si="181">IF(V33=0,"",W33/V33-1)</f>
        <v>-5.1369157019706124E-2</v>
      </c>
      <c r="X107" s="87">
        <f t="shared" ref="X107:X108" si="182">IF(W33=0,"",X33/W33-1)</f>
        <v>-0.27651772324642787</v>
      </c>
      <c r="Y107" s="87">
        <f t="shared" ref="Y107:Y108" si="183">IF(X33=0,"",Y33/X33-1)</f>
        <v>0.27475183900720324</v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0.86759645991646561</v>
      </c>
      <c r="F109" s="89">
        <f t="shared" ref="F109" si="185">IF(E37=0,"",F37/E37-1)</f>
        <v>0.29381952223082575</v>
      </c>
      <c r="G109" s="89">
        <f t="shared" ref="G109" si="186">IF(F37=0,"",G37/F37-1)</f>
        <v>-3.9719035827985194E-2</v>
      </c>
      <c r="H109" s="89">
        <f t="shared" ref="H109" si="187">IF(G37=0,"",H37/G37-1)</f>
        <v>0.51184426987923959</v>
      </c>
      <c r="I109" s="89">
        <f t="shared" ref="I109" si="188">IF(H37=0,"",I37/H37-1)</f>
        <v>-0.27614450247960731</v>
      </c>
      <c r="J109" s="89">
        <f t="shared" ref="J109" si="189">IF(I37=0,"",J37/I37-1)</f>
        <v>0.6810444290716493</v>
      </c>
      <c r="K109" s="89">
        <f t="shared" ref="K109" si="190">IF(J37=0,"",K37/J37-1)</f>
        <v>0.52030249050277155</v>
      </c>
      <c r="L109" s="89">
        <f t="shared" ref="L109" si="191">IF(K37=0,"",L37/K37-1)</f>
        <v>0.80888087136767162</v>
      </c>
      <c r="M109" s="89">
        <f t="shared" ref="M109" si="192">IF(L37=0,"",M37/L37-1)</f>
        <v>-0.5395912042896418</v>
      </c>
      <c r="N109" s="89">
        <f t="shared" ref="N109" si="193">IF(M37=0,"",N37/M37-1)</f>
        <v>0.46495334349594653</v>
      </c>
      <c r="O109" s="89">
        <f t="shared" ref="O109" si="194">IF(N37=0,"",O37/N37-1)</f>
        <v>1.9395392657665544E-2</v>
      </c>
      <c r="P109" s="89">
        <f t="shared" ref="P109" si="195">IF(O37=0,"",P37/O37-1)</f>
        <v>-0.24358464758132248</v>
      </c>
      <c r="Q109" s="89">
        <f t="shared" ref="Q109" si="196">IF(P37=0,"",Q37/P37-1)</f>
        <v>5.5022211838773538E-2</v>
      </c>
      <c r="R109" s="89">
        <f t="shared" ref="R109" si="197">IF(Q37=0,"",R37/Q37-1)</f>
        <v>0.22342142538170662</v>
      </c>
      <c r="S109" s="89">
        <f t="shared" ref="S109" si="198">IF(R37=0,"",S37/R37-1)</f>
        <v>0.10404444444444438</v>
      </c>
      <c r="T109" s="89">
        <f t="shared" ref="T109" si="199">IF(S37=0,"",T37/S37-1)</f>
        <v>0.34218520846427825</v>
      </c>
      <c r="U109" s="89">
        <f t="shared" ref="U109" si="200">IF(T37=0,"",U37/T37-1)</f>
        <v>0.71684400158805328</v>
      </c>
      <c r="V109" s="89">
        <f t="shared" ref="V109" si="201">IF(U37=0,"",V37/U37-1)</f>
        <v>4.2688636014604375E-2</v>
      </c>
      <c r="W109" s="89">
        <f t="shared" ref="W109" si="202">IF(V37=0,"",W37/V37-1)</f>
        <v>-5.1369157019706124E-2</v>
      </c>
      <c r="X109" s="89">
        <f t="shared" ref="X109" si="203">IF(W37=0,"",X37/W37-1)</f>
        <v>-0.27651772324642787</v>
      </c>
      <c r="Y109" s="89">
        <f t="shared" ref="Y109" si="204">IF(X37=0,"",Y37/X37-1)</f>
        <v>0.27475183900720324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0.22388974357337532</v>
      </c>
      <c r="F110" s="89">
        <f t="shared" ref="F110:F111" si="206">IF(E43=0,"",F43/E43-1)</f>
        <v>-0.11098505602314612</v>
      </c>
      <c r="G110" s="89">
        <f t="shared" ref="G110:G111" si="207">IF(F43=0,"",G43/F43-1)</f>
        <v>0.1437854897930122</v>
      </c>
      <c r="H110" s="89">
        <f t="shared" ref="H110:H111" si="208">IF(G43=0,"",H43/G43-1)</f>
        <v>2.461595299759689E-2</v>
      </c>
      <c r="I110" s="89">
        <f t="shared" ref="I110:I111" si="209">IF(H43=0,"",I43/H43-1)</f>
        <v>0.19153733880801327</v>
      </c>
      <c r="J110" s="89">
        <f t="shared" ref="J110:J111" si="210">IF(I43=0,"",J43/I43-1)</f>
        <v>-3.483286981378142E-2</v>
      </c>
      <c r="K110" s="89">
        <f t="shared" ref="K110:K111" si="211">IF(J43=0,"",K43/J43-1)</f>
        <v>4.0991868496992989E-2</v>
      </c>
      <c r="L110" s="89">
        <f t="shared" ref="L110:L111" si="212">IF(K43=0,"",L43/K43-1)</f>
        <v>0.20380760324260683</v>
      </c>
      <c r="M110" s="89">
        <f t="shared" ref="M110:M111" si="213">IF(L43=0,"",M43/L43-1)</f>
        <v>-0.43151391973332909</v>
      </c>
      <c r="N110" s="89">
        <f t="shared" ref="N110:N111" si="214">IF(M43=0,"",N43/M43-1)</f>
        <v>0.36122975375634025</v>
      </c>
      <c r="O110" s="89">
        <f t="shared" ref="O110:O111" si="215">IF(N43=0,"",O43/N43-1)</f>
        <v>0.1729985816327273</v>
      </c>
      <c r="P110" s="89">
        <f t="shared" ref="P110:P111" si="216">IF(O43=0,"",P43/O43-1)</f>
        <v>-0.34158415406225273</v>
      </c>
      <c r="Q110" s="89">
        <f t="shared" ref="Q110:Q111" si="217">IF(P43=0,"",Q43/P43-1)</f>
        <v>6.8372356106227272E-2</v>
      </c>
      <c r="R110" s="89">
        <f t="shared" ref="R110:R111" si="218">IF(Q43=0,"",R43/Q43-1)</f>
        <v>4.7246720143150123E-2</v>
      </c>
      <c r="S110" s="89">
        <f t="shared" ref="S110:S111" si="219">IF(R43=0,"",S43/R43-1)</f>
        <v>9.6656399622996991E-2</v>
      </c>
      <c r="T110" s="89">
        <f t="shared" ref="T110:T111" si="220">IF(S43=0,"",T43/S43-1)</f>
        <v>0.10033970975722206</v>
      </c>
      <c r="U110" s="89">
        <f t="shared" ref="U110:U111" si="221">IF(T43=0,"",U43/T43-1)</f>
        <v>-9.5117014626915131E-2</v>
      </c>
      <c r="V110" s="89">
        <f t="shared" ref="V110:V111" si="222">IF(U43=0,"",V43/U43-1)</f>
        <v>6.2249770487975864E-2</v>
      </c>
      <c r="W110" s="89">
        <f t="shared" ref="W110:W111" si="223">IF(V43=0,"",W43/V43-1)</f>
        <v>-9.0625989145910912E-2</v>
      </c>
      <c r="X110" s="89">
        <f t="shared" ref="X110:X111" si="224">IF(W43=0,"",X43/W43-1)</f>
        <v>0.18399667834851652</v>
      </c>
      <c r="Y110" s="89">
        <f t="shared" ref="Y110:Y111" si="225">IF(X43=0,"",Y43/X43-1)</f>
        <v>7.7669562713171603E-2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0.22648125725857438</v>
      </c>
      <c r="F111" s="89">
        <f t="shared" si="206"/>
        <v>-0.1261043577914599</v>
      </c>
      <c r="G111" s="89">
        <f t="shared" si="207"/>
        <v>0.17455853468973737</v>
      </c>
      <c r="H111" s="89">
        <f t="shared" si="208"/>
        <v>3.3519216250216699E-2</v>
      </c>
      <c r="I111" s="89">
        <f t="shared" si="209"/>
        <v>0.22341774228798772</v>
      </c>
      <c r="J111" s="89">
        <f t="shared" si="210"/>
        <v>-4.496219274302482E-2</v>
      </c>
      <c r="K111" s="89">
        <f t="shared" si="211"/>
        <v>3.4478237134889289E-2</v>
      </c>
      <c r="L111" s="89">
        <f t="shared" si="212"/>
        <v>0.1914784182661311</v>
      </c>
      <c r="M111" s="89">
        <f t="shared" si="213"/>
        <v>-0.45642058312906109</v>
      </c>
      <c r="N111" s="89">
        <f t="shared" si="214"/>
        <v>0.38009179427768891</v>
      </c>
      <c r="O111" s="89">
        <f t="shared" si="215"/>
        <v>0.18162133128374469</v>
      </c>
      <c r="P111" s="89">
        <f t="shared" si="216"/>
        <v>-0.36570022272031411</v>
      </c>
      <c r="Q111" s="89">
        <f t="shared" si="217"/>
        <v>9.1809442005780451E-2</v>
      </c>
      <c r="R111" s="89">
        <f t="shared" si="218"/>
        <v>5.7046591834270188E-2</v>
      </c>
      <c r="S111" s="89">
        <f t="shared" si="219"/>
        <v>0.10162177638453485</v>
      </c>
      <c r="T111" s="89">
        <f t="shared" si="220"/>
        <v>7.7425978243548466E-2</v>
      </c>
      <c r="U111" s="89">
        <f t="shared" si="221"/>
        <v>-8.9787420421397313E-2</v>
      </c>
      <c r="V111" s="89">
        <f t="shared" si="222"/>
        <v>8.137959797992611E-2</v>
      </c>
      <c r="W111" s="89">
        <f t="shared" si="223"/>
        <v>-0.10895783684320437</v>
      </c>
      <c r="X111" s="89">
        <f t="shared" si="224"/>
        <v>0.14841679376270545</v>
      </c>
      <c r="Y111" s="89">
        <f t="shared" si="225"/>
        <v>0.10754575007853373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0.19717721789517029</v>
      </c>
      <c r="F112" s="89">
        <f t="shared" ref="F112:F113" si="227">IF(E47=0,"",F47/E47-1)</f>
        <v>4.8674770650248167E-2</v>
      </c>
      <c r="G112" s="89">
        <f t="shared" ref="G112:G113" si="228">IF(F47=0,"",G47/F47-1)</f>
        <v>-0.12701730529816824</v>
      </c>
      <c r="H112" s="89">
        <f t="shared" ref="H112:H113" si="229">IF(G47=0,"",H47/G47-1)</f>
        <v>-8.0798683913422376E-2</v>
      </c>
      <c r="I112" s="89">
        <f t="shared" ref="I112:I113" si="230">IF(H47=0,"",I47/H47-1)</f>
        <v>-0.23287053251914891</v>
      </c>
      <c r="J112" s="89">
        <f t="shared" ref="J112:J113" si="231">IF(I47=0,"",J47/I47-1)</f>
        <v>0.18022044776092572</v>
      </c>
      <c r="K112" s="89">
        <f t="shared" ref="K112:K113" si="232">IF(J47=0,"",K47/J47-1)</f>
        <v>0.15289605529793482</v>
      </c>
      <c r="L112" s="89">
        <f t="shared" ref="L112:L113" si="233">IF(K47=0,"",L47/K47-1)</f>
        <v>0.39386673164920261</v>
      </c>
      <c r="M112" s="89">
        <f t="shared" ref="M112:M113" si="234">IF(L47=0,"",M47/L47-1)</f>
        <v>-0.10331674061248763</v>
      </c>
      <c r="N112" s="89">
        <f t="shared" ref="N112:N113" si="235">IF(M47=0,"",N47/M47-1)</f>
        <v>0.21055797768699724</v>
      </c>
      <c r="O112" s="89">
        <f t="shared" ref="O112:O113" si="236">IF(N47=0,"",O47/N47-1)</f>
        <v>9.4472958597246359E-2</v>
      </c>
      <c r="P112" s="89">
        <f t="shared" ref="P112:P113" si="237">IF(O47=0,"",P47/O47-1)</f>
        <v>-0.10447658826450668</v>
      </c>
      <c r="Q112" s="89">
        <f t="shared" ref="Q112:Q113" si="238">IF(P47=0,"",Q47/P47-1)</f>
        <v>-9.4842665518588443E-2</v>
      </c>
      <c r="R112" s="89">
        <f t="shared" ref="R112:R113" si="239">IF(Q47=0,"",R47/Q47-1)</f>
        <v>-3.5072202062258806E-2</v>
      </c>
      <c r="S112" s="89">
        <f t="shared" ref="S112:S113" si="240">IF(R47=0,"",S47/R47-1)</f>
        <v>5.0965384615384801E-2</v>
      </c>
      <c r="T112" s="89">
        <f t="shared" ref="T112:T113" si="241">IF(S47=0,"",T47/S47-1)</f>
        <v>0.32135306553911214</v>
      </c>
      <c r="U112" s="89">
        <f t="shared" ref="U112:U113" si="242">IF(T47=0,"",U47/T47-1)</f>
        <v>-0.13703355283788032</v>
      </c>
      <c r="V112" s="89">
        <f t="shared" ref="V112:V113" si="243">IF(U47=0,"",V47/U47-1)</f>
        <v>-9.644084393388519E-2</v>
      </c>
      <c r="W112" s="89">
        <f t="shared" ref="W112:W113" si="244">IF(V47=0,"",W47/V47-1)</f>
        <v>9.1372594792819006E-2</v>
      </c>
      <c r="X112" s="89">
        <f t="shared" ref="X112:X113" si="245">IF(W47=0,"",X47/W47-1)</f>
        <v>0.47239419354759149</v>
      </c>
      <c r="Y112" s="89">
        <f t="shared" ref="Y112:Y113" si="246">IF(X47=0,"",Y47/X47-1)</f>
        <v>-0.11121114106303698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0.11331146993256702</v>
      </c>
      <c r="F113" s="89">
        <f t="shared" si="227"/>
        <v>5.4879946807941726E-2</v>
      </c>
      <c r="G113" s="89">
        <f t="shared" si="228"/>
        <v>0.25555452267410494</v>
      </c>
      <c r="H113" s="89">
        <f t="shared" si="229"/>
        <v>6.6174839402568075E-2</v>
      </c>
      <c r="I113" s="89">
        <f t="shared" si="230"/>
        <v>0.17651444500559688</v>
      </c>
      <c r="J113" s="89">
        <f t="shared" si="231"/>
        <v>0.21634893515959108</v>
      </c>
      <c r="K113" s="89">
        <f t="shared" si="232"/>
        <v>0.13415018010131896</v>
      </c>
      <c r="L113" s="89">
        <f t="shared" si="233"/>
        <v>-0.33487897272299627</v>
      </c>
      <c r="M113" s="89">
        <f t="shared" si="234"/>
        <v>-0.45463394407831648</v>
      </c>
      <c r="N113" s="89">
        <f t="shared" si="235"/>
        <v>0.11123154528883661</v>
      </c>
      <c r="O113" s="89">
        <f t="shared" si="236"/>
        <v>0.16653076571928183</v>
      </c>
      <c r="P113" s="89">
        <f t="shared" si="237"/>
        <v>-3.1880118448655792E-2</v>
      </c>
      <c r="Q113" s="89">
        <f t="shared" si="238"/>
        <v>-6.4999981693922848E-3</v>
      </c>
      <c r="R113" s="89">
        <f t="shared" si="239"/>
        <v>3.3532594222331014E-2</v>
      </c>
      <c r="S113" s="89">
        <f t="shared" si="240"/>
        <v>5.8181570996978849E-2</v>
      </c>
      <c r="T113" s="89">
        <f t="shared" si="241"/>
        <v>0.12905149087731971</v>
      </c>
      <c r="U113" s="89">
        <f t="shared" si="242"/>
        <v>0.12634278082014561</v>
      </c>
      <c r="V113" s="89">
        <f t="shared" si="243"/>
        <v>-7.8203026691571642E-2</v>
      </c>
      <c r="W113" s="89">
        <f t="shared" si="244"/>
        <v>-1.0299859280035739E-2</v>
      </c>
      <c r="X113" s="89">
        <f t="shared" si="245"/>
        <v>-0.13771852086831771</v>
      </c>
      <c r="Y113" s="89">
        <f t="shared" si="246"/>
        <v>0.11608089805943878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0.13200048008065957</v>
      </c>
      <c r="F114" s="89">
        <f t="shared" ref="F114:F115" si="248">IF(E52=0,"",F52/E52-1)</f>
        <v>0.13230718590066104</v>
      </c>
      <c r="G114" s="89">
        <f t="shared" ref="G114:G115" si="249">IF(F52=0,"",G52/F52-1)</f>
        <v>8.4409517368735365E-3</v>
      </c>
      <c r="H114" s="89">
        <f t="shared" ref="H114:H115" si="250">IF(G52=0,"",H52/G52-1)</f>
        <v>-4.2498629076481942E-2</v>
      </c>
      <c r="I114" s="89">
        <f t="shared" ref="I114:I115" si="251">IF(H52=0,"",I52/H52-1)</f>
        <v>6.713234171665583E-2</v>
      </c>
      <c r="J114" s="89">
        <f t="shared" ref="J114:J115" si="252">IF(I52=0,"",J52/I52-1)</f>
        <v>0.15749251493848715</v>
      </c>
      <c r="K114" s="89">
        <f t="shared" ref="K114:K115" si="253">IF(J52=0,"",K52/J52-1)</f>
        <v>6.5656701591385591E-2</v>
      </c>
      <c r="L114" s="89">
        <f t="shared" ref="L114:L115" si="254">IF(K52=0,"",L52/K52-1)</f>
        <v>-8.1029865349393271E-2</v>
      </c>
      <c r="M114" s="89">
        <f t="shared" ref="M114:M115" si="255">IF(L52=0,"",M52/L52-1)</f>
        <v>-0.20800225355105217</v>
      </c>
      <c r="N114" s="89">
        <f t="shared" ref="N114:N115" si="256">IF(M52=0,"",N52/M52-1)</f>
        <v>0.37414689359064468</v>
      </c>
      <c r="O114" s="89">
        <f t="shared" ref="O114:O115" si="257">IF(N52=0,"",O52/N52-1)</f>
        <v>-4.6551568280830069E-2</v>
      </c>
      <c r="P114" s="89">
        <f t="shared" ref="P114:P115" si="258">IF(O52=0,"",P52/O52-1)</f>
        <v>-1.0607596480813219E-2</v>
      </c>
      <c r="Q114" s="89">
        <f t="shared" ref="Q114:Q115" si="259">IF(P52=0,"",Q52/P52-1)</f>
        <v>-5.3568943513931266E-2</v>
      </c>
      <c r="R114" s="89">
        <f t="shared" ref="R114:R115" si="260">IF(Q52=0,"",R52/Q52-1)</f>
        <v>1.8647938427835964E-3</v>
      </c>
      <c r="S114" s="89">
        <f t="shared" ref="S114:S115" si="261">IF(R52=0,"",S52/R52-1)</f>
        <v>1.9547791411043125E-2</v>
      </c>
      <c r="T114" s="89">
        <f t="shared" ref="T114:T115" si="262">IF(S52=0,"",T52/S52-1)</f>
        <v>2.8328490133683104E-2</v>
      </c>
      <c r="U114" s="89">
        <f t="shared" ref="U114:U115" si="263">IF(T52=0,"",U52/T52-1)</f>
        <v>8.290315139743476E-2</v>
      </c>
      <c r="V114" s="89">
        <f t="shared" ref="V114:V115" si="264">IF(U52=0,"",V52/U52-1)</f>
        <v>-3.0628545403274532E-2</v>
      </c>
      <c r="W114" s="89">
        <f t="shared" ref="W114:W115" si="265">IF(V52=0,"",W52/V52-1)</f>
        <v>-0.13758763552153219</v>
      </c>
      <c r="X114" s="89">
        <f t="shared" ref="X114:X115" si="266">IF(W52=0,"",X52/W52-1)</f>
        <v>-0.15788794167044817</v>
      </c>
      <c r="Y114" s="89">
        <f t="shared" ref="Y114:Y115" si="267">IF(X52=0,"",Y52/X52-1)</f>
        <v>0.17262916934466288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6.5113606046109274E-2</v>
      </c>
      <c r="F115" s="89">
        <f t="shared" si="248"/>
        <v>0.14487947148615721</v>
      </c>
      <c r="G115" s="89">
        <f t="shared" si="249"/>
        <v>-4.3370294246890206E-2</v>
      </c>
      <c r="H115" s="89">
        <f t="shared" si="250"/>
        <v>-0.13751784909179254</v>
      </c>
      <c r="I115" s="89">
        <f t="shared" si="251"/>
        <v>4.4176224315526147E-2</v>
      </c>
      <c r="J115" s="89">
        <f t="shared" si="252"/>
        <v>0.24506474362641106</v>
      </c>
      <c r="K115" s="89">
        <f t="shared" si="253"/>
        <v>0.14561037527970888</v>
      </c>
      <c r="L115" s="89">
        <f t="shared" si="254"/>
        <v>-4.7957436122278096E-2</v>
      </c>
      <c r="M115" s="89">
        <f t="shared" si="255"/>
        <v>-0.26705890102238128</v>
      </c>
      <c r="N115" s="89">
        <f t="shared" si="256"/>
        <v>0.75844736605969154</v>
      </c>
      <c r="O115" s="89">
        <f t="shared" si="257"/>
        <v>-8.986445068265525E-2</v>
      </c>
      <c r="P115" s="89">
        <f t="shared" si="258"/>
        <v>-0.11326086572588412</v>
      </c>
      <c r="Q115" s="89">
        <f t="shared" si="259"/>
        <v>-7.6242179634190221E-2</v>
      </c>
      <c r="R115" s="89">
        <f t="shared" si="260"/>
        <v>2.660348100773513E-2</v>
      </c>
      <c r="S115" s="89">
        <f t="shared" si="261"/>
        <v>6.1260113421550022E-2</v>
      </c>
      <c r="T115" s="89">
        <f t="shared" si="262"/>
        <v>-5.3119594177419849E-4</v>
      </c>
      <c r="U115" s="89">
        <f t="shared" si="263"/>
        <v>0.16949576752431672</v>
      </c>
      <c r="V115" s="89">
        <f t="shared" si="264"/>
        <v>4.6142090978464223E-2</v>
      </c>
      <c r="W115" s="89">
        <f t="shared" si="265"/>
        <v>-0.22714109389671566</v>
      </c>
      <c r="X115" s="89">
        <f t="shared" si="266"/>
        <v>-0.26537340776192453</v>
      </c>
      <c r="Y115" s="89">
        <f t="shared" si="267"/>
        <v>0.48093879668049788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0.18046191334342798</v>
      </c>
      <c r="F116" s="89">
        <f t="shared" ref="F116:F122" si="269">IF(E56=0,"",F56/E56-1)</f>
        <v>0.12408828875670985</v>
      </c>
      <c r="G116" s="89">
        <f t="shared" ref="G116:G122" si="270">IF(F56=0,"",G56/F56-1)</f>
        <v>4.2938059822265728E-2</v>
      </c>
      <c r="H116" s="89">
        <f t="shared" ref="H116:H122" si="271">IF(G56=0,"",H56/G56-1)</f>
        <v>1.5531757040094574E-2</v>
      </c>
      <c r="I116" s="89">
        <f t="shared" ref="I116:I122" si="272">IF(H56=0,"",I56/H56-1)</f>
        <v>7.9039250962076979E-2</v>
      </c>
      <c r="J116" s="89">
        <f t="shared" ref="J116:J122" si="273">IF(I56=0,"",J56/I56-1)</f>
        <v>0.1135379924624329</v>
      </c>
      <c r="K116" s="89">
        <f t="shared" ref="K116:K122" si="274">IF(J56=0,"",K56/J56-1)</f>
        <v>2.0786038933233053E-2</v>
      </c>
      <c r="L116" s="89">
        <f t="shared" ref="L116:L122" si="275">IF(K56=0,"",L56/K56-1)</f>
        <v>-0.10186001414437207</v>
      </c>
      <c r="M116" s="89">
        <f t="shared" ref="M116:M122" si="276">IF(L56=0,"",M56/L56-1)</f>
        <v>-0.16857401285901819</v>
      </c>
      <c r="N116" s="89">
        <f t="shared" ref="N116:N122" si="277">IF(M56=0,"",N56/M56-1)</f>
        <v>0.14796647240582117</v>
      </c>
      <c r="O116" s="89">
        <f t="shared" ref="O116:O122" si="278">IF(N56=0,"",O56/N56-1)</f>
        <v>-7.5033389154922636E-3</v>
      </c>
      <c r="P116" s="89">
        <f t="shared" ref="P116:P122" si="279">IF(O56=0,"",P56/O56-1)</f>
        <v>7.425846898904731E-2</v>
      </c>
      <c r="Q116" s="89">
        <f t="shared" ref="Q116:Q122" si="280">IF(P56=0,"",Q56/P56-1)</f>
        <v>-3.8096393930552752E-2</v>
      </c>
      <c r="R116" s="89">
        <f t="shared" ref="R116:R122" si="281">IF(Q56=0,"",R56/Q56-1)</f>
        <v>-1.4347766153046226E-2</v>
      </c>
      <c r="S116" s="89">
        <f t="shared" ref="S116:S122" si="282">IF(R56=0,"",S56/R56-1)</f>
        <v>-8.9242322580642686E-3</v>
      </c>
      <c r="T116" s="89">
        <f t="shared" ref="T116:T122" si="283">IF(S56=0,"",T56/S56-1)</f>
        <v>4.9422568571759751E-2</v>
      </c>
      <c r="U116" s="89">
        <f t="shared" ref="U116:U122" si="284">IF(T56=0,"",U56/T56-1)</f>
        <v>2.2623787870852174E-2</v>
      </c>
      <c r="V116" s="89">
        <f t="shared" ref="V116:V122" si="285">IF(U56=0,"",V56/U56-1)</f>
        <v>-9.1746062339481127E-2</v>
      </c>
      <c r="W116" s="89">
        <f t="shared" ref="W116:W122" si="286">IF(V56=0,"",W56/V56-1)</f>
        <v>-5.5470023870641927E-2</v>
      </c>
      <c r="X116" s="89">
        <f t="shared" ref="X116:X122" si="287">IF(W56=0,"",X56/W56-1)</f>
        <v>-7.7240951812339143E-2</v>
      </c>
      <c r="Y116" s="89">
        <f t="shared" ref="Y116:Y122" si="288">IF(X56=0,"",Y56/X56-1)</f>
        <v>-1.1534448050609658E-2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3.5021534113750752E-2</v>
      </c>
      <c r="F117" s="89">
        <f t="shared" si="269"/>
        <v>-5.3493282925647589E-2</v>
      </c>
      <c r="G117" s="89">
        <f t="shared" si="270"/>
        <v>2.4167629658445877E-2</v>
      </c>
      <c r="H117" s="89">
        <f t="shared" si="271"/>
        <v>-0.10500476305843265</v>
      </c>
      <c r="I117" s="89">
        <f t="shared" si="272"/>
        <v>7.4573490999480851E-2</v>
      </c>
      <c r="J117" s="89">
        <f t="shared" si="273"/>
        <v>6.0331508822011548E-2</v>
      </c>
      <c r="K117" s="89">
        <f t="shared" si="274"/>
        <v>-7.4636595152256513E-3</v>
      </c>
      <c r="L117" s="89">
        <f t="shared" si="275"/>
        <v>-9.9459572347770919E-4</v>
      </c>
      <c r="M117" s="89">
        <f t="shared" si="276"/>
        <v>4.9359223130184482E-2</v>
      </c>
      <c r="N117" s="89">
        <f t="shared" si="277"/>
        <v>-0.13543261561608044</v>
      </c>
      <c r="O117" s="89">
        <f t="shared" si="278"/>
        <v>1.030717221792421E-2</v>
      </c>
      <c r="P117" s="89">
        <f t="shared" si="279"/>
        <v>3.4637091239340334E-2</v>
      </c>
      <c r="Q117" s="89">
        <f t="shared" si="280"/>
        <v>3.6362936839475557E-2</v>
      </c>
      <c r="R117" s="89">
        <f t="shared" si="281"/>
        <v>0.15561583127959722</v>
      </c>
      <c r="S117" s="89">
        <f t="shared" si="282"/>
        <v>-4.9605212578616387E-2</v>
      </c>
      <c r="T117" s="89">
        <f t="shared" si="283"/>
        <v>-2.9314023417493784E-3</v>
      </c>
      <c r="U117" s="89">
        <f t="shared" si="284"/>
        <v>-3.855703738233851E-3</v>
      </c>
      <c r="V117" s="89">
        <f t="shared" si="285"/>
        <v>3.1230655138647423E-2</v>
      </c>
      <c r="W117" s="89">
        <f t="shared" si="286"/>
        <v>1.8201653473764123E-2</v>
      </c>
      <c r="X117" s="89">
        <f t="shared" si="287"/>
        <v>1.0933621489966461E-2</v>
      </c>
      <c r="Y117" s="89">
        <f t="shared" si="288"/>
        <v>-2.4071268304862059E-2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4.4964685905641621E-2</v>
      </c>
      <c r="F118" s="89">
        <f t="shared" si="269"/>
        <v>0.12575338048527596</v>
      </c>
      <c r="G118" s="89">
        <f t="shared" si="270"/>
        <v>4.3909036126935197E-2</v>
      </c>
      <c r="H118" s="89">
        <f t="shared" si="271"/>
        <v>0.2510998575879122</v>
      </c>
      <c r="I118" s="89">
        <f t="shared" si="272"/>
        <v>-2.1906810042304214E-2</v>
      </c>
      <c r="J118" s="89">
        <f t="shared" si="273"/>
        <v>5.114271123743741E-3</v>
      </c>
      <c r="K118" s="89">
        <f t="shared" si="274"/>
        <v>0.20013909997944634</v>
      </c>
      <c r="L118" s="89">
        <f t="shared" si="275"/>
        <v>0.19404387089079056</v>
      </c>
      <c r="M118" s="89">
        <f t="shared" si="276"/>
        <v>-0.32874615641608562</v>
      </c>
      <c r="N118" s="89">
        <f t="shared" si="277"/>
        <v>0.69149033154089978</v>
      </c>
      <c r="O118" s="89">
        <f t="shared" si="278"/>
        <v>2.6078019834696597E-3</v>
      </c>
      <c r="P118" s="89">
        <f t="shared" si="279"/>
        <v>-4.2581600206774928E-2</v>
      </c>
      <c r="Q118" s="89">
        <f t="shared" si="280"/>
        <v>-1.4016108014270556E-2</v>
      </c>
      <c r="R118" s="89">
        <f t="shared" si="281"/>
        <v>-2.4051284595789535E-2</v>
      </c>
      <c r="S118" s="89">
        <f t="shared" si="282"/>
        <v>8.413221428571438E-2</v>
      </c>
      <c r="T118" s="89">
        <f t="shared" si="283"/>
        <v>-7.4655308450459756E-3</v>
      </c>
      <c r="U118" s="89">
        <f t="shared" si="284"/>
        <v>-8.805695138318792E-2</v>
      </c>
      <c r="V118" s="89">
        <f t="shared" si="285"/>
        <v>9.8429852405321983E-2</v>
      </c>
      <c r="W118" s="89">
        <f t="shared" si="286"/>
        <v>-7.3698370511665612E-2</v>
      </c>
      <c r="X118" s="89">
        <f t="shared" si="287"/>
        <v>3.2422628404630727E-2</v>
      </c>
      <c r="Y118" s="89">
        <f t="shared" si="288"/>
        <v>-2.2688900827469993E-2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-6.2010104125108656E-3</v>
      </c>
      <c r="F119" s="89">
        <f t="shared" si="269"/>
        <v>5.8956991571043504E-2</v>
      </c>
      <c r="G119" s="89">
        <f t="shared" si="270"/>
        <v>0.1710867061749477</v>
      </c>
      <c r="H119" s="89">
        <f t="shared" si="271"/>
        <v>0.153476337797956</v>
      </c>
      <c r="I119" s="89">
        <f t="shared" si="272"/>
        <v>0.27244463394701701</v>
      </c>
      <c r="J119" s="89">
        <f t="shared" si="273"/>
        <v>0.15856629647524834</v>
      </c>
      <c r="K119" s="89">
        <f t="shared" si="274"/>
        <v>7.8598059097520823E-2</v>
      </c>
      <c r="L119" s="89">
        <f t="shared" si="275"/>
        <v>1.3112423167563891E-2</v>
      </c>
      <c r="M119" s="89">
        <f t="shared" si="276"/>
        <v>-0.24383971322835496</v>
      </c>
      <c r="N119" s="89">
        <f t="shared" si="277"/>
        <v>0.15153983034147189</v>
      </c>
      <c r="O119" s="89">
        <f t="shared" si="278"/>
        <v>0.25868532988719006</v>
      </c>
      <c r="P119" s="89">
        <f t="shared" si="279"/>
        <v>-5.5731185100127423E-2</v>
      </c>
      <c r="Q119" s="89">
        <f t="shared" si="280"/>
        <v>2.3533817398324386E-2</v>
      </c>
      <c r="R119" s="89">
        <f t="shared" si="281"/>
        <v>3.8303631318998832E-2</v>
      </c>
      <c r="S119" s="89">
        <f t="shared" si="282"/>
        <v>-2.2072207463630589E-2</v>
      </c>
      <c r="T119" s="89">
        <f t="shared" si="283"/>
        <v>8.5218468603116326E-2</v>
      </c>
      <c r="U119" s="89">
        <f t="shared" si="284"/>
        <v>4.3650360724038384E-2</v>
      </c>
      <c r="V119" s="89">
        <f t="shared" si="285"/>
        <v>2.1452725098171754E-2</v>
      </c>
      <c r="W119" s="89">
        <f t="shared" si="286"/>
        <v>3.2814930296531264E-2</v>
      </c>
      <c r="X119" s="89">
        <f t="shared" si="287"/>
        <v>-3.5874507584662929E-2</v>
      </c>
      <c r="Y119" s="89">
        <f t="shared" si="288"/>
        <v>3.5228698841436534E-2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0.12828402392956262</v>
      </c>
      <c r="F120" s="89">
        <f t="shared" si="269"/>
        <v>1.9185365271868315E-2</v>
      </c>
      <c r="G120" s="89">
        <f t="shared" si="270"/>
        <v>-3.2825798647291626E-2</v>
      </c>
      <c r="H120" s="89">
        <f t="shared" si="271"/>
        <v>-4.4598412784647046E-2</v>
      </c>
      <c r="I120" s="89">
        <f t="shared" si="272"/>
        <v>-0.11913045762807439</v>
      </c>
      <c r="J120" s="89">
        <f t="shared" si="273"/>
        <v>-2.4128675702980162E-2</v>
      </c>
      <c r="K120" s="89">
        <f t="shared" si="274"/>
        <v>-0.10872266494275018</v>
      </c>
      <c r="L120" s="89">
        <f t="shared" si="275"/>
        <v>-0.115188706369725</v>
      </c>
      <c r="M120" s="89">
        <f t="shared" si="276"/>
        <v>-0.21328732902793746</v>
      </c>
      <c r="N120" s="89">
        <f t="shared" si="277"/>
        <v>1.985623550830673E-2</v>
      </c>
      <c r="O120" s="89">
        <f t="shared" si="278"/>
        <v>2.3384014936773667E-2</v>
      </c>
      <c r="P120" s="89">
        <f t="shared" si="279"/>
        <v>3.8694552969223084E-2</v>
      </c>
      <c r="Q120" s="89">
        <f t="shared" si="280"/>
        <v>-5.9554361584334692E-2</v>
      </c>
      <c r="R120" s="89">
        <f t="shared" si="281"/>
        <v>7.1941821831508435E-2</v>
      </c>
      <c r="S120" s="89">
        <f t="shared" si="282"/>
        <v>1.0005835294117693E-2</v>
      </c>
      <c r="T120" s="89">
        <f t="shared" si="283"/>
        <v>2.3007018646553412E-2</v>
      </c>
      <c r="U120" s="89">
        <f t="shared" si="284"/>
        <v>3.0460389406767652E-2</v>
      </c>
      <c r="V120" s="89">
        <f t="shared" si="285"/>
        <v>-6.1769059103304547E-2</v>
      </c>
      <c r="W120" s="89">
        <f t="shared" si="286"/>
        <v>-6.3748525874020023E-2</v>
      </c>
      <c r="X120" s="89">
        <f t="shared" si="287"/>
        <v>-5.2044631991121637E-3</v>
      </c>
      <c r="Y120" s="89">
        <f t="shared" si="288"/>
        <v>-0.10029689547156106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0.13739214296145308</v>
      </c>
      <c r="F121" s="89">
        <f t="shared" si="269"/>
        <v>7.2131414074027456E-2</v>
      </c>
      <c r="G121" s="89">
        <f t="shared" si="270"/>
        <v>0.11906758029494613</v>
      </c>
      <c r="H121" s="89">
        <f t="shared" si="271"/>
        <v>5.3159085103619219E-2</v>
      </c>
      <c r="I121" s="89">
        <f t="shared" si="272"/>
        <v>1.7073800339144185E-2</v>
      </c>
      <c r="J121" s="89">
        <f t="shared" si="273"/>
        <v>4.6189710149623808E-2</v>
      </c>
      <c r="K121" s="89">
        <f t="shared" si="274"/>
        <v>9.5389775644449948E-3</v>
      </c>
      <c r="L121" s="89">
        <f t="shared" si="275"/>
        <v>-0.1961960206358202</v>
      </c>
      <c r="M121" s="89">
        <f t="shared" si="276"/>
        <v>-0.14266946247945478</v>
      </c>
      <c r="N121" s="89">
        <f t="shared" si="277"/>
        <v>0.24987829931979966</v>
      </c>
      <c r="O121" s="89">
        <f t="shared" si="278"/>
        <v>9.8755378785166936E-2</v>
      </c>
      <c r="P121" s="89">
        <f t="shared" si="279"/>
        <v>1.2937144889189067E-2</v>
      </c>
      <c r="Q121" s="89">
        <f t="shared" si="280"/>
        <v>3.3572981421244652E-2</v>
      </c>
      <c r="R121" s="89">
        <f t="shared" si="281"/>
        <v>0.13858873356118706</v>
      </c>
      <c r="S121" s="89">
        <f t="shared" si="282"/>
        <v>8.0297261635788653E-2</v>
      </c>
      <c r="T121" s="89">
        <f t="shared" si="283"/>
        <v>7.1899525228413808E-3</v>
      </c>
      <c r="U121" s="89">
        <f t="shared" si="284"/>
        <v>6.3246941079650565E-2</v>
      </c>
      <c r="V121" s="89">
        <f t="shared" si="285"/>
        <v>-3.0865048398007744E-3</v>
      </c>
      <c r="W121" s="89">
        <f t="shared" si="286"/>
        <v>-2.3854914752461487E-2</v>
      </c>
      <c r="X121" s="89">
        <f t="shared" si="287"/>
        <v>0.10297013429378565</v>
      </c>
      <c r="Y121" s="89">
        <f t="shared" si="288"/>
        <v>0.3395129099988794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0.17403904730203279</v>
      </c>
      <c r="F122" s="91">
        <f t="shared" si="269"/>
        <v>9.2584967777981531E-2</v>
      </c>
      <c r="G122" s="91">
        <f t="shared" si="270"/>
        <v>7.5999364270976866E-2</v>
      </c>
      <c r="H122" s="91">
        <f t="shared" si="271"/>
        <v>-1.985501557491165E-2</v>
      </c>
      <c r="I122" s="91">
        <f t="shared" si="272"/>
        <v>4.4911221847488969E-2</v>
      </c>
      <c r="J122" s="91">
        <f t="shared" si="273"/>
        <v>8.6659234332562063E-2</v>
      </c>
      <c r="K122" s="91">
        <f t="shared" si="274"/>
        <v>-3.8475354690790997E-2</v>
      </c>
      <c r="L122" s="91">
        <f t="shared" si="275"/>
        <v>-0.13796785625190089</v>
      </c>
      <c r="M122" s="91">
        <f t="shared" si="276"/>
        <v>-0.2152932214981006</v>
      </c>
      <c r="N122" s="91">
        <f t="shared" si="277"/>
        <v>0.16540587422982256</v>
      </c>
      <c r="O122" s="91">
        <f t="shared" si="278"/>
        <v>7.4309087280054031E-2</v>
      </c>
      <c r="P122" s="91">
        <f t="shared" si="279"/>
        <v>4.4484517914818333E-2</v>
      </c>
      <c r="Q122" s="91">
        <f t="shared" si="280"/>
        <v>-1.3935077840853238E-2</v>
      </c>
      <c r="R122" s="91">
        <f t="shared" si="281"/>
        <v>4.3766345075657576E-2</v>
      </c>
      <c r="S122" s="91">
        <f t="shared" si="282"/>
        <v>1.7314433701657528E-2</v>
      </c>
      <c r="T122" s="91">
        <f t="shared" si="283"/>
        <v>7.8804892189730857E-2</v>
      </c>
      <c r="U122" s="91">
        <f t="shared" si="284"/>
        <v>5.1343172195545739E-2</v>
      </c>
      <c r="V122" s="91">
        <f t="shared" si="285"/>
        <v>8.350571724712097E-3</v>
      </c>
      <c r="W122" s="91">
        <f t="shared" si="286"/>
        <v>1.2861089964808725E-2</v>
      </c>
      <c r="X122" s="91">
        <f t="shared" si="287"/>
        <v>7.9964287524862954E-3</v>
      </c>
      <c r="Y122" s="91">
        <f t="shared" si="288"/>
        <v>0.10265144598568177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2024-05-20T16:48:39Z</dcterms:created>
  <dcterms:modified xsi:type="dcterms:W3CDTF">2024-05-20T16:48:39Z</dcterms:modified>
</cp:coreProperties>
</file>