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P18" i="20"/>
  <c r="N30" i="3"/>
  <c r="M30" i="3"/>
  <c r="K30" i="3"/>
  <c r="J30" i="3"/>
  <c r="I30" i="3"/>
  <c r="H30" i="3"/>
  <c r="G30" i="3"/>
  <c r="C30" i="3"/>
  <c r="C242" i="3" s="1"/>
  <c r="B30" i="3"/>
  <c r="B26" i="1"/>
  <c r="B24" i="1"/>
  <c r="B25" i="1"/>
  <c r="S242" i="3" l="1"/>
  <c r="C18" i="20"/>
  <c r="Q14" i="18"/>
  <c r="E3" i="20"/>
  <c r="E22" i="20" s="1"/>
  <c r="W14" i="18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E21" i="20"/>
  <c r="P14" i="18"/>
  <c r="J14" i="20"/>
  <c r="O3" i="20"/>
  <c r="O23" i="20" s="1"/>
  <c r="O3" i="18"/>
  <c r="O18" i="18" s="1"/>
  <c r="N3" i="20"/>
  <c r="N13" i="20" s="1"/>
  <c r="F24" i="19"/>
  <c r="F20" i="19"/>
  <c r="L20" i="19"/>
  <c r="L10" i="20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H25" i="19"/>
  <c r="K18" i="20"/>
  <c r="K19" i="20"/>
  <c r="I14" i="20"/>
  <c r="I3" i="20"/>
  <c r="I23" i="20" s="1"/>
  <c r="B3" i="18"/>
  <c r="B18" i="18" s="1"/>
  <c r="R3" i="18"/>
  <c r="R19" i="18" s="1"/>
  <c r="P7" i="18"/>
  <c r="P21" i="18" s="1"/>
  <c r="R22" i="18"/>
  <c r="H14" i="18"/>
  <c r="B15" i="18"/>
  <c r="R15" i="18"/>
  <c r="D10" i="19"/>
  <c r="L10" i="19"/>
  <c r="T10" i="19"/>
  <c r="G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M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R3" i="20"/>
  <c r="I21" i="18" l="1"/>
  <c r="H20" i="19"/>
  <c r="W24" i="19"/>
  <c r="N10" i="20"/>
  <c r="Q10" i="20"/>
  <c r="R21" i="19"/>
  <c r="F19" i="18"/>
  <c r="K20" i="19"/>
  <c r="R23" i="18"/>
  <c r="F22" i="20"/>
  <c r="W17" i="20"/>
  <c r="I213" i="3"/>
  <c r="U24" i="19"/>
  <c r="Q24" i="19"/>
  <c r="F18" i="18"/>
  <c r="H3" i="19"/>
  <c r="H19" i="19" s="1"/>
  <c r="D23" i="20"/>
  <c r="T24" i="19"/>
  <c r="D22" i="20"/>
  <c r="R25" i="19"/>
  <c r="E23" i="20"/>
  <c r="M22" i="18"/>
  <c r="T22" i="18"/>
  <c r="T23" i="18"/>
  <c r="G25" i="19"/>
  <c r="T20" i="19"/>
  <c r="K23" i="18"/>
  <c r="E13" i="18"/>
  <c r="Q11" i="20"/>
  <c r="E17" i="20"/>
  <c r="M23" i="20"/>
  <c r="P24" i="19"/>
  <c r="E23" i="18"/>
  <c r="F89" i="3"/>
  <c r="F181" i="3" s="1"/>
  <c r="H11" i="20"/>
  <c r="L21" i="20"/>
  <c r="O11" i="20"/>
  <c r="P10" i="20"/>
  <c r="U18" i="18"/>
  <c r="M22" i="20"/>
  <c r="U19" i="18"/>
  <c r="O21" i="19"/>
  <c r="W23" i="20"/>
  <c r="E13" i="20"/>
  <c r="W3" i="19"/>
  <c r="W28" i="19" s="1"/>
  <c r="M24" i="19"/>
  <c r="J11" i="20"/>
  <c r="N24" i="19"/>
  <c r="Q25" i="19"/>
  <c r="J21" i="19"/>
  <c r="W10" i="20"/>
  <c r="S10" i="20"/>
  <c r="G24" i="19"/>
  <c r="N20" i="19"/>
  <c r="Q21" i="19"/>
  <c r="S23" i="18"/>
  <c r="G18" i="18"/>
  <c r="N23" i="18"/>
  <c r="S22" i="18"/>
  <c r="R212" i="3"/>
  <c r="I22" i="18"/>
  <c r="E17" i="18"/>
  <c r="E18" i="18"/>
  <c r="E19" i="18"/>
  <c r="R29" i="3"/>
  <c r="R123" i="3" s="1"/>
  <c r="L23" i="18"/>
  <c r="N22" i="18"/>
  <c r="U29" i="3"/>
  <c r="U121" i="3" s="1"/>
  <c r="N29" i="3"/>
  <c r="N24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9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P122" i="3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U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H28" i="19" l="1"/>
  <c r="Q241" i="3"/>
  <c r="H23" i="19"/>
  <c r="G28" i="19"/>
  <c r="W29" i="19"/>
  <c r="Q23" i="19"/>
  <c r="W27" i="19"/>
  <c r="Q9" i="20"/>
  <c r="Q122" i="3"/>
  <c r="U122" i="3"/>
  <c r="H9" i="20"/>
  <c r="H27" i="19"/>
  <c r="N121" i="3"/>
  <c r="H29" i="19"/>
  <c r="N123" i="3"/>
  <c r="M27" i="19"/>
  <c r="W19" i="19"/>
  <c r="F182" i="3"/>
  <c r="M23" i="19"/>
  <c r="W9" i="20"/>
  <c r="M9" i="20"/>
  <c r="W23" i="19"/>
  <c r="T123" i="3"/>
  <c r="R241" i="3"/>
  <c r="F152" i="3"/>
  <c r="R122" i="3"/>
  <c r="N122" i="3"/>
  <c r="R121" i="3"/>
  <c r="F183" i="3"/>
  <c r="K183" i="3"/>
  <c r="U182" i="3"/>
  <c r="M182" i="3"/>
  <c r="N9" i="20"/>
  <c r="M19" i="19"/>
  <c r="E28" i="19"/>
  <c r="P9" i="20"/>
  <c r="M28" i="19"/>
  <c r="E27" i="19"/>
  <c r="L121" i="3"/>
  <c r="P121" i="3"/>
  <c r="Q123" i="3"/>
  <c r="D123" i="3"/>
  <c r="P27" i="19"/>
  <c r="E23" i="19"/>
  <c r="F241" i="3"/>
  <c r="T241" i="3"/>
  <c r="N19" i="19"/>
  <c r="G27" i="19"/>
  <c r="N27" i="19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W10" i="5" l="1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 l="1"/>
  <c r="I15" i="17"/>
  <c r="Q15" i="17" l="1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N84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Q75" i="7" l="1"/>
  <c r="H60" i="7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I59" i="7" s="1"/>
  <c r="R59" i="7"/>
  <c r="V60" i="7"/>
  <c r="W23" i="9"/>
  <c r="W26" i="10"/>
  <c r="W232" i="3"/>
  <c r="R100" i="4"/>
  <c r="R31" i="4"/>
  <c r="R257" i="4" s="1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B47" i="6" s="1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111" i="5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I93" i="5" s="1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31" i="4" s="1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02" i="5" s="1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218" i="4" s="1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99" i="4" s="1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99" i="6" s="1"/>
  <c r="S185" i="4"/>
  <c r="S72" i="6"/>
  <c r="S214" i="7" s="1"/>
  <c r="S78" i="5"/>
  <c r="S133" i="7" s="1"/>
  <c r="G186" i="4"/>
  <c r="G73" i="6"/>
  <c r="G215" i="7" s="1"/>
  <c r="O22" i="4"/>
  <c r="O213" i="4" s="1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07" i="5" s="1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46" i="4" s="1"/>
  <c r="U265" i="4" s="1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O184" i="4" s="1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C100" i="4" s="1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U83" i="6" s="1"/>
  <c r="Q14" i="4"/>
  <c r="D15" i="4"/>
  <c r="D206" i="4" s="1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77" i="4" s="1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N77" i="5" s="1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N106" i="6" s="1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R87" i="6" s="1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P201" i="4" s="1"/>
  <c r="B256" i="4"/>
  <c r="G4" i="5"/>
  <c r="P4" i="5"/>
  <c r="C4" i="5"/>
  <c r="K4" i="5"/>
  <c r="K47" i="6" s="1"/>
  <c r="T4" i="5"/>
  <c r="C116" i="5"/>
  <c r="C62" i="5"/>
  <c r="C117" i="7" s="1"/>
  <c r="K116" i="5"/>
  <c r="K62" i="5"/>
  <c r="K117" i="7" s="1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H101" i="6" s="1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200" i="4" s="1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B87" i="6" s="1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L31" i="4" s="1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202" i="4" s="1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3" i="7" s="1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E47" i="7" s="1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U198" i="4" s="1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112" i="4" s="1"/>
  <c r="N31" i="7" s="1"/>
  <c r="N41" i="7"/>
  <c r="V121" i="4"/>
  <c r="V40" i="7" s="1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5"/>
  <c r="F71" i="5"/>
  <c r="F126" i="7" s="1"/>
  <c r="O33" i="5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05" i="6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G77" i="6" s="1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77" i="6" s="1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M17" i="4"/>
  <c r="M208" i="4" s="1"/>
  <c r="Q18" i="4"/>
  <c r="Q102" i="5" s="1"/>
  <c r="D21" i="4"/>
  <c r="D105" i="5" s="1"/>
  <c r="M21" i="4"/>
  <c r="M212" i="4" s="1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M71" i="6" s="1"/>
  <c r="M213" i="7" s="1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119" i="6"/>
  <c r="O27" i="6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7" i="4"/>
  <c r="R206" i="4"/>
  <c r="R93" i="6"/>
  <c r="R99" i="5"/>
  <c r="I87" i="6"/>
  <c r="I219" i="4"/>
  <c r="I106" i="6"/>
  <c r="I112" i="5"/>
  <c r="E219" i="4"/>
  <c r="E106" i="6"/>
  <c r="E112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105" i="6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1" i="4"/>
  <c r="R259" i="4"/>
  <c r="R252" i="4"/>
  <c r="R250" i="4"/>
  <c r="F170" i="4"/>
  <c r="F251" i="4"/>
  <c r="P170" i="4"/>
  <c r="P57" i="6"/>
  <c r="P199" i="7" s="1"/>
  <c r="F258" i="4"/>
  <c r="R177" i="4"/>
  <c r="R70" i="5"/>
  <c r="O46" i="4"/>
  <c r="O265" i="4" s="1"/>
  <c r="O71" i="6"/>
  <c r="O77" i="5"/>
  <c r="P190" i="4"/>
  <c r="P83" i="5"/>
  <c r="P138" i="7" s="1"/>
  <c r="K112" i="4"/>
  <c r="N127" i="4"/>
  <c r="N46" i="7" s="1"/>
  <c r="N47" i="7"/>
  <c r="G216" i="4"/>
  <c r="G103" i="6"/>
  <c r="G109" i="5"/>
  <c r="Q63" i="5"/>
  <c r="Q205" i="4"/>
  <c r="Q92" i="6"/>
  <c r="Q98" i="5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177" i="4"/>
  <c r="T64" i="6"/>
  <c r="T206" i="7" s="1"/>
  <c r="P31" i="4"/>
  <c r="P64" i="6"/>
  <c r="G46" i="4"/>
  <c r="G271" i="4" s="1"/>
  <c r="Q184" i="4"/>
  <c r="R190" i="4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107" i="5"/>
  <c r="B83" i="5"/>
  <c r="B138" i="7" s="1"/>
  <c r="K177" i="4"/>
  <c r="K64" i="6"/>
  <c r="K206" i="7" s="1"/>
  <c r="K70" i="5"/>
  <c r="K125" i="7" s="1"/>
  <c r="H184" i="4"/>
  <c r="H77" i="5"/>
  <c r="H132" i="7" s="1"/>
  <c r="R184" i="4"/>
  <c r="R77" i="5"/>
  <c r="R132" i="7" s="1"/>
  <c r="G83" i="5"/>
  <c r="V190" i="4"/>
  <c r="V77" i="6"/>
  <c r="V219" i="7" s="1"/>
  <c r="N40" i="7"/>
  <c r="V112" i="4"/>
  <c r="V31" i="7" s="1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96" i="6"/>
  <c r="R199" i="4"/>
  <c r="R86" i="6"/>
  <c r="R92" i="5"/>
  <c r="N219" i="4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J251" i="4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83" i="5"/>
  <c r="I138" i="7" s="1"/>
  <c r="C111" i="5"/>
  <c r="S218" i="4"/>
  <c r="O219" i="4"/>
  <c r="O106" i="6"/>
  <c r="O112" i="5"/>
  <c r="O20" i="7"/>
  <c r="B85" i="4"/>
  <c r="B100" i="4"/>
  <c r="F40" i="7"/>
  <c r="F127" i="4"/>
  <c r="F46" i="7" s="1"/>
  <c r="F47" i="7"/>
  <c r="U127" i="4"/>
  <c r="U46" i="7" s="1"/>
  <c r="U47" i="7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101" i="5"/>
  <c r="U196" i="4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71" i="6"/>
  <c r="V213" i="7" s="1"/>
  <c r="V77" i="5"/>
  <c r="D26" i="4"/>
  <c r="P73" i="4"/>
  <c r="P19" i="7" s="1"/>
  <c r="P20" i="7"/>
  <c r="V127" i="4"/>
  <c r="V46" i="7" s="1"/>
  <c r="V47" i="7"/>
  <c r="R47" i="7"/>
  <c r="H199" i="4"/>
  <c r="H86" i="6"/>
  <c r="M200" i="4"/>
  <c r="U202" i="4"/>
  <c r="U89" i="6"/>
  <c r="U95" i="5"/>
  <c r="Q203" i="4"/>
  <c r="Q90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89" i="6"/>
  <c r="N177" i="4"/>
  <c r="R268" i="4"/>
  <c r="R266" i="4"/>
  <c r="M184" i="4"/>
  <c r="M77" i="5"/>
  <c r="M132" i="7" s="1"/>
  <c r="S212" i="4"/>
  <c r="O100" i="6"/>
  <c r="S101" i="6"/>
  <c r="N77" i="6"/>
  <c r="N271" i="4"/>
  <c r="N83" i="5"/>
  <c r="E190" i="4"/>
  <c r="D73" i="4"/>
  <c r="M73" i="4"/>
  <c r="M26" i="7"/>
  <c r="U73" i="4"/>
  <c r="J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D199" i="4"/>
  <c r="D86" i="6"/>
  <c r="D92" i="5"/>
  <c r="N196" i="4"/>
  <c r="N83" i="6"/>
  <c r="N89" i="5"/>
  <c r="R93" i="5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70" i="5"/>
  <c r="E125" i="7" s="1"/>
  <c r="E258" i="4"/>
  <c r="Q64" i="6"/>
  <c r="Q70" i="5"/>
  <c r="V46" i="4"/>
  <c r="N71" i="6"/>
  <c r="N265" i="4"/>
  <c r="T184" i="4"/>
  <c r="O77" i="6"/>
  <c r="O83" i="5"/>
  <c r="R58" i="4"/>
  <c r="R13" i="7"/>
  <c r="R73" i="4"/>
  <c r="R19" i="7" s="1"/>
  <c r="R20" i="7"/>
  <c r="G112" i="4"/>
  <c r="M47" i="7"/>
  <c r="E252" i="4"/>
  <c r="R253" i="4"/>
  <c r="O109" i="5"/>
  <c r="V83" i="6"/>
  <c r="Q215" i="4"/>
  <c r="Q102" i="6"/>
  <c r="Q108" i="5"/>
  <c r="M216" i="4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E58" i="4"/>
  <c r="E168" i="4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U213" i="7" l="1"/>
  <c r="Q106" i="6"/>
  <c r="U132" i="7"/>
  <c r="Q26" i="4"/>
  <c r="Q219" i="4"/>
  <c r="Q100" i="6"/>
  <c r="Q213" i="4"/>
  <c r="B63" i="5"/>
  <c r="B73" i="4"/>
  <c r="B19" i="7" s="1"/>
  <c r="B190" i="4"/>
  <c r="R218" i="4"/>
  <c r="B219" i="7"/>
  <c r="T18" i="5"/>
  <c r="R26" i="4"/>
  <c r="J254" i="4"/>
  <c r="G184" i="4"/>
  <c r="V73" i="4"/>
  <c r="V19" i="7" s="1"/>
  <c r="V59" i="7"/>
  <c r="Q125" i="7"/>
  <c r="J127" i="4"/>
  <c r="J46" i="7" s="1"/>
  <c r="N26" i="4"/>
  <c r="Q206" i="7"/>
  <c r="J213" i="7"/>
  <c r="D99" i="5"/>
  <c r="S105" i="5"/>
  <c r="D93" i="6"/>
  <c r="U63" i="5"/>
  <c r="U125" i="7"/>
  <c r="U256" i="4"/>
  <c r="B59" i="7"/>
  <c r="G132" i="7"/>
  <c r="F125" i="7"/>
  <c r="Q117" i="5"/>
  <c r="T73" i="4"/>
  <c r="O271" i="4"/>
  <c r="V87" i="6"/>
  <c r="B93" i="5"/>
  <c r="U89" i="5"/>
  <c r="S26" i="4"/>
  <c r="S217" i="4" s="1"/>
  <c r="Q118" i="7"/>
  <c r="I200" i="4"/>
  <c r="R127" i="4"/>
  <c r="R46" i="7" s="1"/>
  <c r="R255" i="4"/>
  <c r="R6" i="4"/>
  <c r="U83" i="5"/>
  <c r="S214" i="4"/>
  <c r="D229" i="4"/>
  <c r="U250" i="4"/>
  <c r="J77" i="6"/>
  <c r="J219" i="7" s="1"/>
  <c r="E96" i="6"/>
  <c r="F13" i="7"/>
  <c r="O209" i="4"/>
  <c r="N18" i="5"/>
  <c r="O106" i="5"/>
  <c r="D95" i="5"/>
  <c r="U263" i="4"/>
  <c r="V132" i="7"/>
  <c r="E209" i="4"/>
  <c r="F58" i="4"/>
  <c r="Q170" i="4"/>
  <c r="M58" i="4"/>
  <c r="M4" i="7" s="1"/>
  <c r="R258" i="4"/>
  <c r="R263" i="4"/>
  <c r="I124" i="5"/>
  <c r="V184" i="4"/>
  <c r="B86" i="6"/>
  <c r="M105" i="5"/>
  <c r="H199" i="7"/>
  <c r="V131" i="5"/>
  <c r="S112" i="4"/>
  <c r="S31" i="7" s="1"/>
  <c r="R200" i="4"/>
  <c r="N105" i="6"/>
  <c r="R270" i="4"/>
  <c r="U91" i="5"/>
  <c r="D111" i="5"/>
  <c r="S95" i="6"/>
  <c r="P88" i="6"/>
  <c r="M99" i="6"/>
  <c r="R249" i="4"/>
  <c r="H214" i="4"/>
  <c r="O132" i="7"/>
  <c r="R254" i="4"/>
  <c r="V252" i="4"/>
  <c r="V125" i="6"/>
  <c r="O64" i="6"/>
  <c r="O206" i="7" s="1"/>
  <c r="H118" i="7"/>
  <c r="O70" i="5"/>
  <c r="O125" i="7" s="1"/>
  <c r="T47" i="6"/>
  <c r="P94" i="5"/>
  <c r="U77" i="6"/>
  <c r="J112" i="4"/>
  <c r="N250" i="4"/>
  <c r="I58" i="4"/>
  <c r="I4" i="7" s="1"/>
  <c r="N218" i="4"/>
  <c r="M83" i="6"/>
  <c r="U85" i="6"/>
  <c r="D105" i="6"/>
  <c r="V20" i="7"/>
  <c r="S111" i="5"/>
  <c r="N112" i="5"/>
  <c r="P106" i="5"/>
  <c r="O213" i="7"/>
  <c r="R256" i="4"/>
  <c r="V250" i="4"/>
  <c r="O125" i="6"/>
  <c r="M199" i="7"/>
  <c r="C58" i="4"/>
  <c r="C4" i="7" s="1"/>
  <c r="N111" i="5"/>
  <c r="H58" i="4"/>
  <c r="D26" i="7"/>
  <c r="S125" i="7"/>
  <c r="U170" i="4"/>
  <c r="V262" i="4"/>
  <c r="G59" i="7"/>
  <c r="F206" i="7"/>
  <c r="C111" i="6"/>
  <c r="U59" i="7"/>
  <c r="U118" i="7"/>
  <c r="T213" i="7"/>
  <c r="M13" i="4"/>
  <c r="M204" i="4" s="1"/>
  <c r="K184" i="4"/>
  <c r="B57" i="6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M163" i="4" s="1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97" i="5" s="1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V143" i="4" s="1"/>
  <c r="U6" i="4"/>
  <c r="G213" i="7"/>
  <c r="Q96" i="6"/>
  <c r="O73" i="4"/>
  <c r="O19" i="7" s="1"/>
  <c r="R30" i="4"/>
  <c r="Q20" i="4"/>
  <c r="Q98" i="6" s="1"/>
  <c r="K13" i="4"/>
  <c r="K97" i="5" s="1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4" i="7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57" i="4" s="1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84" i="6" s="1"/>
  <c r="B6" i="4"/>
  <c r="B143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97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150" i="4"/>
  <c r="D204" i="4"/>
  <c r="D91" i="6"/>
  <c r="D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J163" i="4"/>
  <c r="J217" i="4"/>
  <c r="J104" i="6"/>
  <c r="J110" i="5"/>
  <c r="B177" i="4"/>
  <c r="B64" i="6"/>
  <c r="B206" i="7" s="1"/>
  <c r="B70" i="5"/>
  <c r="B125" i="7" s="1"/>
  <c r="I90" i="5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30" i="4"/>
  <c r="E70" i="6"/>
  <c r="E273" i="4"/>
  <c r="E269" i="4"/>
  <c r="E267" i="4"/>
  <c r="E272" i="4"/>
  <c r="E270" i="4"/>
  <c r="E268" i="4"/>
  <c r="E266" i="4"/>
  <c r="E264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O163" i="4"/>
  <c r="O217" i="4"/>
  <c r="O104" i="6"/>
  <c r="O110" i="5"/>
  <c r="U143" i="4"/>
  <c r="U197" i="4"/>
  <c r="U84" i="6"/>
  <c r="U90" i="5"/>
  <c r="K143" i="4"/>
  <c r="K197" i="4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K91" i="6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91" i="6"/>
  <c r="G199" i="4"/>
  <c r="G86" i="6"/>
  <c r="G92" i="5"/>
  <c r="Q143" i="4"/>
  <c r="Q197" i="4"/>
  <c r="Q84" i="6"/>
  <c r="Q9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F6" i="4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C6" i="4"/>
  <c r="T20" i="4"/>
  <c r="R4" i="4"/>
  <c r="R143" i="4"/>
  <c r="B4" i="4"/>
  <c r="B231" i="4" s="1"/>
  <c r="P13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B17" i="5" l="1"/>
  <c r="B144" i="5" s="1"/>
  <c r="M150" i="4"/>
  <c r="V90" i="5"/>
  <c r="V84" i="6"/>
  <c r="V197" i="4"/>
  <c r="J168" i="4"/>
  <c r="M97" i="5"/>
  <c r="F4" i="4"/>
  <c r="F231" i="4" s="1"/>
  <c r="M110" i="5"/>
  <c r="M91" i="6"/>
  <c r="M104" i="6"/>
  <c r="M4" i="4"/>
  <c r="M231" i="4" s="1"/>
  <c r="M217" i="4"/>
  <c r="F204" i="4"/>
  <c r="S204" i="4"/>
  <c r="S150" i="4"/>
  <c r="K150" i="4"/>
  <c r="E4" i="4"/>
  <c r="N91" i="6"/>
  <c r="B90" i="5"/>
  <c r="K110" i="5"/>
  <c r="N204" i="4"/>
  <c r="B84" i="6"/>
  <c r="H157" i="4"/>
  <c r="Q211" i="4"/>
  <c r="K104" i="6"/>
  <c r="B197" i="4"/>
  <c r="K204" i="4"/>
  <c r="K4" i="4"/>
  <c r="K223" i="4" s="1"/>
  <c r="E90" i="5"/>
  <c r="S110" i="5"/>
  <c r="K217" i="4"/>
  <c r="S19" i="4"/>
  <c r="S156" i="4" s="1"/>
  <c r="E84" i="6"/>
  <c r="S104" i="6"/>
  <c r="S231" i="4"/>
  <c r="K90" i="5"/>
  <c r="J57" i="4"/>
  <c r="J3" i="7" s="1"/>
  <c r="J183" i="4"/>
  <c r="H57" i="4"/>
  <c r="H3" i="7" s="1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71" i="4"/>
  <c r="M84" i="6"/>
  <c r="E111" i="4"/>
  <c r="E30" i="7" s="1"/>
  <c r="T204" i="4"/>
  <c r="D253" i="4"/>
  <c r="S104" i="5"/>
  <c r="B4" i="7"/>
  <c r="Q157" i="4"/>
  <c r="Q97" i="5"/>
  <c r="M143" i="4"/>
  <c r="D30" i="4"/>
  <c r="D255" i="4"/>
  <c r="S98" i="6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4" i="5"/>
  <c r="S163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46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35" i="6"/>
  <c r="H141" i="6"/>
  <c r="H149" i="6"/>
  <c r="H154" i="6"/>
  <c r="H148" i="6"/>
  <c r="H139" i="6"/>
  <c r="H159" i="6"/>
  <c r="H156" i="6"/>
  <c r="H142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J159" i="5"/>
  <c r="J155" i="5"/>
  <c r="J161" i="5"/>
  <c r="K17" i="6"/>
  <c r="K151" i="6" s="1"/>
  <c r="H136" i="6"/>
  <c r="N17" i="6"/>
  <c r="N136" i="6" s="1"/>
  <c r="N55" i="6"/>
  <c r="T57" i="4"/>
  <c r="T3" i="7" s="1"/>
  <c r="H158" i="6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67" i="4"/>
  <c r="D143" i="4"/>
  <c r="D197" i="4"/>
  <c r="D84" i="6"/>
  <c r="D90" i="5"/>
  <c r="D224" i="4"/>
  <c r="C265" i="4"/>
  <c r="N195" i="4"/>
  <c r="N234" i="4"/>
  <c r="N222" i="4"/>
  <c r="N230" i="4"/>
  <c r="N223" i="4"/>
  <c r="N232" i="4"/>
  <c r="N229" i="4"/>
  <c r="N227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10" i="4"/>
  <c r="G97" i="6"/>
  <c r="G103" i="5"/>
  <c r="G241" i="4"/>
  <c r="G243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229" i="4"/>
  <c r="J228" i="4"/>
  <c r="J225" i="4"/>
  <c r="J235" i="4"/>
  <c r="J232" i="4"/>
  <c r="J234" i="4"/>
  <c r="J227" i="4"/>
  <c r="J236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97" i="6"/>
  <c r="D240" i="4"/>
  <c r="D245" i="4"/>
  <c r="D246" i="4"/>
  <c r="D241" i="4"/>
  <c r="D242" i="4"/>
  <c r="C211" i="4"/>
  <c r="C98" i="6"/>
  <c r="C104" i="5"/>
  <c r="C238" i="4"/>
  <c r="K233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V147" i="5" l="1"/>
  <c r="S145" i="5"/>
  <c r="S238" i="4"/>
  <c r="S147" i="5"/>
  <c r="S103" i="5"/>
  <c r="S97" i="6"/>
  <c r="E54" i="6"/>
  <c r="S160" i="5"/>
  <c r="S155" i="5"/>
  <c r="S240" i="4"/>
  <c r="S149" i="5"/>
  <c r="S151" i="5"/>
  <c r="S237" i="4"/>
  <c r="D237" i="4"/>
  <c r="G222" i="4"/>
  <c r="J230" i="4"/>
  <c r="J233" i="4"/>
  <c r="G246" i="4"/>
  <c r="G156" i="4"/>
  <c r="N233" i="4"/>
  <c r="N88" i="5"/>
  <c r="H140" i="6"/>
  <c r="H137" i="6"/>
  <c r="S210" i="4"/>
  <c r="S143" i="5"/>
  <c r="S153" i="5"/>
  <c r="S162" i="5"/>
  <c r="S245" i="4"/>
  <c r="D103" i="5"/>
  <c r="G88" i="5"/>
  <c r="P103" i="5"/>
  <c r="G239" i="4"/>
  <c r="U60" i="5"/>
  <c r="N235" i="4"/>
  <c r="N82" i="6"/>
  <c r="H138" i="6"/>
  <c r="H152" i="6"/>
  <c r="H160" i="6"/>
  <c r="H153" i="6"/>
  <c r="S141" i="5"/>
  <c r="S142" i="5"/>
  <c r="K240" i="4"/>
  <c r="G244" i="4"/>
  <c r="D239" i="4"/>
  <c r="D210" i="4"/>
  <c r="J222" i="4"/>
  <c r="N228" i="4"/>
  <c r="N225" i="4"/>
  <c r="N141" i="4"/>
  <c r="K227" i="4"/>
  <c r="H151" i="6"/>
  <c r="H145" i="6"/>
  <c r="J167" i="4"/>
  <c r="S159" i="5"/>
  <c r="S158" i="5"/>
  <c r="S166" i="5"/>
  <c r="S156" i="5"/>
  <c r="S246" i="4"/>
  <c r="S242" i="4"/>
  <c r="S244" i="4"/>
  <c r="K245" i="4"/>
  <c r="M239" i="4"/>
  <c r="D238" i="4"/>
  <c r="D156" i="4"/>
  <c r="J223" i="4"/>
  <c r="J88" i="5"/>
  <c r="G237" i="4"/>
  <c r="N236" i="4"/>
  <c r="N226" i="4"/>
  <c r="H147" i="6"/>
  <c r="S150" i="5"/>
  <c r="S164" i="5"/>
  <c r="S152" i="5"/>
  <c r="S239" i="4"/>
  <c r="S144" i="5"/>
  <c r="S161" i="5"/>
  <c r="S148" i="5"/>
  <c r="S157" i="5"/>
  <c r="S165" i="5"/>
  <c r="S243" i="4"/>
  <c r="J146" i="5"/>
  <c r="J141" i="5"/>
  <c r="J153" i="5"/>
  <c r="J152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42" i="5" l="1"/>
  <c r="L33" i="6"/>
  <c r="L124" i="5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55" i="6" l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V77" i="8" s="1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S80" i="8"/>
  <c r="O80" i="8"/>
  <c r="K80" i="8"/>
  <c r="O79" i="8"/>
  <c r="K79" i="8"/>
  <c r="S77" i="8"/>
  <c r="O77" i="8"/>
  <c r="K77" i="8"/>
  <c r="S76" i="8"/>
  <c r="P76" i="8"/>
  <c r="O76" i="8"/>
  <c r="V75" i="8"/>
  <c r="T75" i="8"/>
  <c r="S75" i="8"/>
  <c r="N75" i="8"/>
  <c r="L75" i="8"/>
  <c r="K75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V8" i="3"/>
  <c r="U8" i="3"/>
  <c r="T8" i="3"/>
  <c r="S8" i="3"/>
  <c r="R8" i="3"/>
  <c r="V7" i="3"/>
  <c r="U7" i="3"/>
  <c r="T7" i="3"/>
  <c r="S7" i="3"/>
  <c r="R7" i="3"/>
  <c r="V6" i="3"/>
  <c r="U6" i="3"/>
  <c r="T6" i="3"/>
  <c r="S6" i="3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6" i="1"/>
  <c r="B15" i="1"/>
  <c r="B12" i="1"/>
  <c r="B21" i="1"/>
  <c r="B9" i="1"/>
  <c r="B13" i="1"/>
  <c r="B7" i="1"/>
  <c r="B18" i="1"/>
  <c r="B22" i="1"/>
  <c r="B20" i="1"/>
  <c r="B8" i="1"/>
  <c r="B4" i="1"/>
  <c r="B16" i="1"/>
  <c r="B17" i="1"/>
  <c r="B11" i="1"/>
  <c r="T218" i="3" l="1"/>
  <c r="R220" i="3"/>
  <c r="S218" i="3"/>
  <c r="V219" i="3"/>
  <c r="T222" i="3"/>
  <c r="T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E219" i="3" s="1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F187" i="3" l="1"/>
  <c r="C230" i="3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1" i="3" l="1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234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C77" i="3" l="1"/>
  <c r="I140" i="3"/>
  <c r="I143" i="3"/>
  <c r="I142" i="3"/>
  <c r="I141" i="3"/>
  <c r="I144" i="3"/>
  <c r="I199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17" i="12"/>
  <c r="B67" i="12" s="1"/>
  <c r="R139" i="3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<sst xmlns="http://schemas.openxmlformats.org/spreadsheetml/2006/main" count="2655" uniqueCount="1167">
  <si>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</si>
  <si>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</si>
  <si>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</si>
  <si>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</si>
  <si>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</si>
  <si>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</si>
  <si>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</si>
  <si>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</si>
  <si>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</si>
  <si>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</si>
  <si>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</si>
  <si>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</si>
  <si>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</si>
  <si>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</si>
  <si>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</si>
  <si>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</si>
  <si>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</si>
  <si>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</si>
  <si>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</si>
  <si>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</si>
  <si>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</si>
  <si>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</si>
  <si>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</si>
  <si>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</si>
  <si>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</si>
  <si>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</si>
  <si>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</si>
  <si>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</si>
  <si>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</si>
  <si>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</si>
  <si>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</si>
  <si>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</si>
  <si>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</si>
  <si>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</si>
  <si>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</si>
  <si>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</si>
  <si>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</si>
  <si>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</si>
  <si>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</si>
  <si>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</si>
  <si>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</si>
  <si>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</si>
  <si>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</si>
  <si>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</si>
  <si>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</si>
  <si>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</si>
  <si>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</si>
  <si>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</si>
  <si>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</si>
  <si>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</si>
  <si>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</si>
  <si>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</si>
  <si>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</si>
  <si>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</si>
  <si>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</si>
  <si>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</si>
  <si>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</si>
  <si>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</si>
  <si>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</si>
  <si>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</si>
  <si>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</si>
  <si>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</si>
  <si>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</si>
  <si>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</si>
  <si>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</si>
  <si>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</si>
  <si>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</si>
  <si>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</si>
  <si>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</si>
  <si>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</si>
  <si>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</si>
  <si>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</si>
  <si>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</si>
  <si>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</si>
  <si>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</si>
  <si>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</si>
  <si>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</si>
  <si>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</si>
  <si>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</si>
  <si>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</si>
  <si>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</si>
  <si>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</si>
  <si>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</si>
  <si>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</si>
  <si>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</si>
  <si>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</si>
  <si>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</si>
  <si>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</si>
  <si>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</si>
  <si>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</si>
  <si>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</si>
  <si>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</si>
  <si>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</si>
  <si>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</si>
  <si>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</si>
  <si>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</si>
  <si>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</si>
  <si>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</si>
  <si>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</si>
  <si>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</si>
  <si>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</si>
  <si>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</si>
  <si>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</si>
  <si>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</si>
  <si>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</si>
  <si>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</si>
  <si>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</si>
  <si>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</si>
  <si>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</si>
  <si>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</si>
  <si>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</si>
  <si>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</si>
  <si>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</si>
  <si>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</si>
  <si>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</si>
  <si>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</si>
  <si>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</si>
  <si>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</si>
  <si>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</si>
  <si>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</si>
  <si>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</si>
  <si>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</si>
  <si>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</si>
  <si>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</si>
  <si>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</si>
  <si>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</si>
  <si>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</si>
  <si>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</si>
  <si>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</si>
  <si>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</si>
  <si>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</si>
  <si>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</si>
  <si>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</si>
  <si>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</si>
  <si>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</si>
  <si>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</si>
  <si>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</si>
  <si>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</si>
  <si>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</si>
  <si>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</si>
  <si>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</si>
  <si>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</si>
  <si>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</si>
  <si>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</si>
  <si>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</si>
  <si>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</si>
  <si>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</si>
  <si>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</si>
  <si>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</si>
  <si>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</si>
  <si>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</si>
  <si>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</si>
  <si>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</si>
  <si>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</si>
  <si>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</si>
  <si>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</si>
  <si>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</si>
  <si>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</si>
  <si>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</si>
  <si>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</si>
  <si>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</si>
  <si>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</si>
  <si>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</si>
  <si>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</si>
  <si>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</si>
  <si>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</si>
  <si>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</si>
  <si>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</si>
  <si>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</si>
  <si>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</si>
  <si>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</si>
  <si>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</si>
  <si>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</si>
  <si>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</si>
  <si>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</si>
  <si>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</si>
  <si>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</si>
  <si>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</si>
  <si>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</si>
  <si>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</si>
  <si>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</si>
  <si>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</si>
  <si>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</si>
  <si>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</si>
  <si>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</si>
  <si>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</si>
  <si>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EE</t>
  </si>
  <si>
    <t>Estonia</t>
  </si>
  <si>
    <t>Aviation - EE - Estonia</t>
  </si>
  <si>
    <t>Activity.Mpkm.EE.Tr.Avia.Passenger</t>
  </si>
  <si>
    <t>Activity.Mpkm.EE.Tr.Avia.Passenger.Domestic</t>
  </si>
  <si>
    <t>Activity.Mpkm.EE.Tr.Avia.Passenger.IntraEEAwUK</t>
  </si>
  <si>
    <t>Activity.Mpkm.EE.Tr.Avia.Passenger.ExtraEEAwUK</t>
  </si>
  <si>
    <t>Activity.Mtkm.EE.Tr.Avia.Freight</t>
  </si>
  <si>
    <t>Activity.Mtkm.EE.Tr.Avia.Freight.Domestic</t>
  </si>
  <si>
    <t>Activity.Mtkm.EE.Tr.Avia.Freight.IntraEEAwUK</t>
  </si>
  <si>
    <t>Activity.Mtkm.EE.Tr.Avia.Freight.ExtraEEAwUK</t>
  </si>
  <si>
    <t>VehicleKm.Mkm.EE.Tr.Avia</t>
  </si>
  <si>
    <t>VehicleKm.Mkm.EE.Tr.Avia.Passenger</t>
  </si>
  <si>
    <t>VehicleKm.Mkm.EE.Tr.Avia.Passenger.Domestic</t>
  </si>
  <si>
    <t>VehicleKm.Mkm.EE.Tr.Avia.Passenger.IntraEEAwUK</t>
  </si>
  <si>
    <t>VehicleKm.Mkm.EE.Tr.Avia.Passenger.ExtraEEAwUK</t>
  </si>
  <si>
    <t>VehicleKm.Mkm.EE.Tr.Avia.Freight</t>
  </si>
  <si>
    <t>VehicleKm.Mkm.EE.Tr.Avia.Freight.Domestic</t>
  </si>
  <si>
    <t>VehicleKm.Mkm.EE.Tr.Avia.Freight.IntraEEAwUK</t>
  </si>
  <si>
    <t>VehicleKm.Mkm.EE.Tr.Avia.Freight.ExtraEEAwUK</t>
  </si>
  <si>
    <t>Flights.number.EE.Tr.Avia</t>
  </si>
  <si>
    <t>Flights.number.EE.Tr.Avia.Passenger</t>
  </si>
  <si>
    <t>Flights.number.EE.Tr.Avia.Passenger.Domestic</t>
  </si>
  <si>
    <t>Flights.number.EE.Tr.Avia.Passenger.IntraEEAwUK</t>
  </si>
  <si>
    <t>Flights.number.EE.Tr.Avia.Passenger.ExtraEEAwUK</t>
  </si>
  <si>
    <t>Flights.number.EE.Tr.Avia.Freight</t>
  </si>
  <si>
    <t>Flights.number.EE.Tr.Avia.Freight.Domestic</t>
  </si>
  <si>
    <t>Flights.number.EE.Tr.Avia.Freight.IntraEEAwUK</t>
  </si>
  <si>
    <t>Flights.number.EE.Tr.Avia.Freight.ExtraEEAwUK</t>
  </si>
  <si>
    <t>VolCarried.passenger.EE.Tr.Avia.Passenger</t>
  </si>
  <si>
    <t>VolCarried.passenger.EE.Tr.Avia.Passenger.Domestic</t>
  </si>
  <si>
    <t>VolCarried.passenger.EE.Tr.Avia.Passenger.IntraEEAwUK</t>
  </si>
  <si>
    <t>VolCarried.passenger.EE.Tr.Avia.Passenger.ExtraEEAwUK</t>
  </si>
  <si>
    <t>VolCarried.t.EE.Tr.Avia.Freight</t>
  </si>
  <si>
    <t>VolCarried.t.EE.Tr.Avia.Freight.Domestic</t>
  </si>
  <si>
    <t>VolCarried.t.EE.Tr.Avia.Freight.IntraEEAwUK</t>
  </si>
  <si>
    <t>VolCarried.t.EE.Tr.Avia.Freight.ExtraEEAwUK</t>
  </si>
  <si>
    <t>Stock.number.EE.Tr.Avia</t>
  </si>
  <si>
    <t>Stock.number.EE.Tr.Avia.Passenger</t>
  </si>
  <si>
    <t>Stock.number.EE.Tr.Avia.Passenger.Domestic</t>
  </si>
  <si>
    <t>Stock.number.EE.Tr.Avia.Passenger.IntraEEAwUK</t>
  </si>
  <si>
    <t>Stock.number.EE.Tr.Avia.Passenger.ExtraEEAwUK</t>
  </si>
  <si>
    <t>Stock.number.EE.Tr.Avia.Freight</t>
  </si>
  <si>
    <t>Stock.number.EE.Tr.Avia.Freight.Domestic</t>
  </si>
  <si>
    <t>Stock.number.EE.Tr.Avia.Freight.IntraEEAwUK</t>
  </si>
  <si>
    <t>Stock.number.EE.Tr.Avia.Freight.ExtraEEAwUK</t>
  </si>
  <si>
    <t>StockNew.number.EE.Tr.Avia</t>
  </si>
  <si>
    <t>StockNew.number.EE.Tr.Avia.Passenger</t>
  </si>
  <si>
    <t>StockNew.number.EE.Tr.Avia.Passenger.Domestic</t>
  </si>
  <si>
    <t>StockNew.number.EE.Tr.Avia.Passenger.IntraEEAwUK</t>
  </si>
  <si>
    <t>StockNew.number.EE.Tr.Avia.Passenger.ExtraEEAwUK</t>
  </si>
  <si>
    <t>StockNew.number.EE.Tr.Avia.Freight</t>
  </si>
  <si>
    <t>StockNew.number.EE.Tr.Avia.Freight.Domestic</t>
  </si>
  <si>
    <t>StockNew.number.EE.Tr.Avia.Freight.IntraEEAwUK</t>
  </si>
  <si>
    <t>StockNew.number.EE.Tr.Avia.Freight.ExtraEEAwUK</t>
  </si>
  <si>
    <t>Load.passenger_per_movement.EE.Tr.Avia.Passenger</t>
  </si>
  <si>
    <t>Load.passenger_per_movement.EE.Tr.Avia.Passenger.Domestic</t>
  </si>
  <si>
    <t>Load.passenger_per_movement.EE.Tr.Avia.Passenger.IntraEEAwUK</t>
  </si>
  <si>
    <t>Load.passenger_per_movement.EE.Tr.Avia.Passenger.ExtraEEAwUK</t>
  </si>
  <si>
    <t>Load.t_per_movement.EE.Tr.Avia.Freight</t>
  </si>
  <si>
    <t>Load.t_per_movement.EE.Tr.Avia.Freight.Domestic</t>
  </si>
  <si>
    <t>Load.t_per_movement.EE.Tr.Avia.Freight.IntraEEAwUK</t>
  </si>
  <si>
    <t>Load.t_per_movement.EE.Tr.Avia.Freight.ExtraEEAwUK</t>
  </si>
  <si>
    <t>VehicleKm_per_flight.km.EE.Tr.Avia</t>
  </si>
  <si>
    <t>VehicleKm_per_flight.km.EE.Tr.Avia.Passenger</t>
  </si>
  <si>
    <t>VehicleKm_per_flight.km.EE.Tr.Avia.Passenger.Domestic</t>
  </si>
  <si>
    <t>VehicleKm_per_flight.km.EE.Tr.Avia.Passenger.IntraEEAwUK</t>
  </si>
  <si>
    <t>VehicleKm_per_flight.km.EE.Tr.Avia.Passenger.ExtraEEAwUK</t>
  </si>
  <si>
    <t>VehicleKm_per_flight.km.EE.Tr.Avia.Freight</t>
  </si>
  <si>
    <t>VehicleKm_per_flight.km.EE.Tr.Avia.Freight.Domestic</t>
  </si>
  <si>
    <t>VehicleKm_per_flight.km.EE.Tr.Avia.Freight.IntraEEAwUK</t>
  </si>
  <si>
    <t>VehicleKm_per_flight.km.EE.Tr.Avia.Freight.ExtraEEAwUK</t>
  </si>
  <si>
    <t>Activity_per_flight.pkm.EE.Tr.Avia.Passenger</t>
  </si>
  <si>
    <t>Activity_per_flight.pkm.EE.Tr.Avia.Passenger.Domestic</t>
  </si>
  <si>
    <t>Activity_per_flight.pkm.EE.Tr.Avia.Passenger.IntraEEAwUK</t>
  </si>
  <si>
    <t>Activity_per_flight.pkm.EE.Tr.Avia.Passenger.ExtraEEAwUK</t>
  </si>
  <si>
    <t>Activity_per_flight.tkm.EE.Tr.Avia.Freight</t>
  </si>
  <si>
    <t>Activity_per_flight.tkm.EE.Tr.Avia.Freight.Domestic</t>
  </si>
  <si>
    <t>Activity_per_flight.tkm.EE.Tr.Avia.Freight.IntraEEAwUK</t>
  </si>
  <si>
    <t>Activity_per_flight.tkm.EE.Tr.Avia.Freight.ExtraEEAwUK</t>
  </si>
  <si>
    <t>Flights_per_vehicle.number.EE.Tr.Avia</t>
  </si>
  <si>
    <t>Flights_per_vehicle.number.EE.Tr.Avia.Passenger</t>
  </si>
  <si>
    <t>Flights_per_vehicle.number.EE.Tr.Avia.Passenger.Domestic</t>
  </si>
  <si>
    <t>Flights_per_vehicle.number.EE.Tr.Avia.Passenger.IntraEEAwUK</t>
  </si>
  <si>
    <t>Flights_per_vehicle.number.EE.Tr.Avia.Passenger.ExtraEEAwUK</t>
  </si>
  <si>
    <t>Flights_per_vehicle.number.EE.Tr.Avia.Freight</t>
  </si>
  <si>
    <t>Flights_per_vehicle.number.EE.Tr.Avia.Freight.Domestic</t>
  </si>
  <si>
    <t>Flights_per_vehicle.number.EE.Tr.Avia.Freight.IntraEEAwUK</t>
  </si>
  <si>
    <t>Flights_per_vehicle.number.EE.Tr.Avia.Freight.ExtraEEAwUK</t>
  </si>
  <si>
    <t>Aviation / energy consumption - EE - Estonia</t>
  </si>
  <si>
    <t>FEC.ktoe.EE.Tr.Avia</t>
  </si>
  <si>
    <t>FEC.ktoe.EE.Tr.Avia.Domestic</t>
  </si>
  <si>
    <t>FEC.ktoe.EE.Tr.Avia.International</t>
  </si>
  <si>
    <t>FEC.ktoe.EE.Tr.Avia.Passenger</t>
  </si>
  <si>
    <t>FEC.ktoe.EE.Tr.Avia.Passenger.Domestic</t>
  </si>
  <si>
    <t>FEC.ktoe.EE.Tr.Avia.Passenger.IntraEEAwUK</t>
  </si>
  <si>
    <t>FEC.ktoe.EE.Tr.Avia.Passenger.ExtraEEAwUK</t>
  </si>
  <si>
    <t>FEC.ktoe.EE.Tr.Avia.Freight</t>
  </si>
  <si>
    <t>FEC.ktoe.EE.Tr.Avia.Freight.Domestic</t>
  </si>
  <si>
    <t>FEC.ktoe.EE.Tr.Avia.Freight.IntraEEAwUK</t>
  </si>
  <si>
    <t>FEC.ktoe.EE.Tr.Avia.Freight.ExtraEEAwUK</t>
  </si>
  <si>
    <t>Eff.kgoe_per_100km.EE.Tr.Avia</t>
  </si>
  <si>
    <t>Eff.kgoe_per_100km.EE.Tr.Avia.Passenger</t>
  </si>
  <si>
    <t>Eff.kgoe_per_100km.EE.Tr.Avia.Passenger.Domestic</t>
  </si>
  <si>
    <t>Eff.kgoe_per_100km.EE.Tr.Avia.Passenger.IntraEEAwUK</t>
  </si>
  <si>
    <t>Eff.kgoe_per_100km.EE.Tr.Avia.Passenger.ExtraEEAwUK</t>
  </si>
  <si>
    <t>Eff.kgoe_per_100km.EE.Tr.Avia.Freight</t>
  </si>
  <si>
    <t>Eff.kgoe_per_100km.EE.Tr.Avia.Freight.Domestic</t>
  </si>
  <si>
    <t>Eff.kgoe_per_100km.EE.Tr.Avia.Freight.IntraEEAwUK</t>
  </si>
  <si>
    <t>Eff.kgoe_per_100km.EE.Tr.Avia.Freight.ExtraEEAwUK</t>
  </si>
  <si>
    <t>Eff.kgoe_per_kpkm.EE.Tr.Avia.Passenger</t>
  </si>
  <si>
    <t>Eff.kgoe_per_kpkm.EE.Tr.Avia.Passenger.Domestic</t>
  </si>
  <si>
    <t>Eff.kgoe_per_kpkm.EE.Tr.Avia.Passenger.IntraEEAwUK</t>
  </si>
  <si>
    <t>Eff.kgoe_per_kpkm.EE.Tr.Avia.Passenger.ExtraEEAwUK</t>
  </si>
  <si>
    <t>Eff.kgoe_per_ktkm.EE.Tr.Avia.Freight</t>
  </si>
  <si>
    <t>Eff.kgoe_per_ktkm.EE.Tr.Avia.Freight.Domestic</t>
  </si>
  <si>
    <t>Eff.kgoe_per_ktkm.EE.Tr.Avia.Freight.IntraEEAwUK</t>
  </si>
  <si>
    <t>Eff.kgoe_per_ktkm.EE.Tr.Avia.Freight.ExtraEEAwUK</t>
  </si>
  <si>
    <t>FEC_per_flight.kgoe.EE.Tr.Avia</t>
  </si>
  <si>
    <t>FEC_per_flight.kgoe.EE.Tr.Avia.Passenger</t>
  </si>
  <si>
    <t>FEC_per_flight.kgoe.EE.Tr.Avia.Passenger.Domestic</t>
  </si>
  <si>
    <t>FEC_per_flight.kgoe.EE.Tr.Avia.Passenger.IntraEEAwUK</t>
  </si>
  <si>
    <t>FEC_per_flight.kgoe.EE.Tr.Avia.Passenger.ExtraEEAwUK</t>
  </si>
  <si>
    <t>FEC_per_flight.kgoe.EE.Tr.Avia.Freight</t>
  </si>
  <si>
    <t>FEC_per_flight.kgoe.EE.Tr.Avia.Freight.Domestic</t>
  </si>
  <si>
    <t>FEC_per_flight.kgoe.EE.Tr.Avia.Freight.IntraEEAwUK</t>
  </si>
  <si>
    <t>FEC_per_flight.kgoe.EE.Tr.Avia.Freight.ExtraEEAwUK</t>
  </si>
  <si>
    <t>Eff_theor.kgoe_per_100km.EE.Tr.Avia</t>
  </si>
  <si>
    <t>Eff_theor.kgoe_per_100km.EE.Tr.Avia.Passenger</t>
  </si>
  <si>
    <t>Eff_theor.kgoe_per_100km.EE.Tr.Avia.Passenger.Domestic</t>
  </si>
  <si>
    <t>Eff_theor.kgoe_per_100km.EE.Tr.Avia.Passenger.IntraEEAwUK</t>
  </si>
  <si>
    <t>Eff_theor.kgoe_per_100km.EE.Tr.Avia.Passenger.ExtraEEAwUK</t>
  </si>
  <si>
    <t>Eff_theor.kgoe_per_100km.EE.Tr.Avia.Freight</t>
  </si>
  <si>
    <t>Eff_theor.kgoe_per_100km.EE.Tr.Avia.Freight.Domestic</t>
  </si>
  <si>
    <t>Eff_theor.kgoe_per_100km.EE.Tr.Avia.Freight.IntraEEAwUK</t>
  </si>
  <si>
    <t>Eff_theor.kgoe_per_100km.EE.Tr.Avia.Freight.ExtraEEAwUK</t>
  </si>
  <si>
    <t>Aviation / CO2 emissions - EE - Estonia</t>
  </si>
  <si>
    <t>EMI.ktCO2.EE.Tr.Avia</t>
  </si>
  <si>
    <t>EMI.ktCO2.EE.Tr.Avia.Domestic</t>
  </si>
  <si>
    <t>EMI.ktCO2.EE.Tr.Avia.International</t>
  </si>
  <si>
    <t>EMI.ktCO2.EE.Tr.Avia.Passenger</t>
  </si>
  <si>
    <t>EMI.ktCO2.EE.Tr.Avia.Passenger.Domestic</t>
  </si>
  <si>
    <t>EMI.ktCO2.EE.Tr.Avia.Passenger.IntraEEAwUK</t>
  </si>
  <si>
    <t>EMI.ktCO2.EE.Tr.Avia.Passenger.ExtraEEAwUK</t>
  </si>
  <si>
    <t>EMI.ktCO2.EE.Tr.Avia.Freight</t>
  </si>
  <si>
    <t>EMI.ktCO2.EE.Tr.Avia.Freight.Domestic</t>
  </si>
  <si>
    <t>EMI.ktCO2.EE.Tr.Avia.Freight.IntraEEAwUK</t>
  </si>
  <si>
    <t>EMI.ktCO2.EE.Tr.Avia.Freight.ExtraEEAwUK</t>
  </si>
  <si>
    <t>EMIint.gCO2_per_km.EE.Tr.Avia</t>
  </si>
  <si>
    <t>EMIint.gCO2_per_km.EE.Tr.Avia.Passenger</t>
  </si>
  <si>
    <t>EMIint.gCO2_per_km.EE.Tr.Avia.Passenger.Domestic</t>
  </si>
  <si>
    <t>EMIint.gCO2_per_km.EE.Tr.Avia.Passenger.IntraEEAwUK</t>
  </si>
  <si>
    <t>EMIint.gCO2_per_km.EE.Tr.Avia.Passenger.ExtraEEAwUK</t>
  </si>
  <si>
    <t>EMIint.gCO2_per_km.EE.Tr.Avia.Freight</t>
  </si>
  <si>
    <t>EMIint.gCO2_per_km.EE.Tr.Avia.Freight.Domestic</t>
  </si>
  <si>
    <t>EMIint.gCO2_per_km.EE.Tr.Avia.Freight.IntraEEAwUK</t>
  </si>
  <si>
    <t>EMIint.gCO2_per_km.EE.Tr.Avia.Freight.ExtraEEAwUK</t>
  </si>
  <si>
    <t>EMIint.gCO2_per_pkm.EE.Tr.Avia.Passenger</t>
  </si>
  <si>
    <t>EMIint.gCO2_per_pkm.EE.Tr.Avia.Passenger.Domestic</t>
  </si>
  <si>
    <t>EMIint.gCO2_per_pkm.EE.Tr.Avia.Passenger.IntraEEAwUK</t>
  </si>
  <si>
    <t>EMIint.gCO2_per_pkm.EE.Tr.Avia.Passenger.ExtraEEAwUK</t>
  </si>
  <si>
    <t>EMIint.gCO2_per_tkm.EE.Tr.Avia.Freight</t>
  </si>
  <si>
    <t>EMIint.gCO2_per_tkm.EE.Tr.Avia.Freight.Domestic</t>
  </si>
  <si>
    <t>EMIint.gCO2_per_tkm.EE.Tr.Avia.Freight.IntraEEAwUK</t>
  </si>
  <si>
    <t>EMIint.gCO2_per_tkm.EE.Tr.Avia.Freight.ExtraEEAwUK</t>
  </si>
  <si>
    <t>EMI_per_flight.kgCO2.EE.Tr.Avia</t>
  </si>
  <si>
    <t>EMI_per_flight.kgCO2.EE.Tr.Avia.Passenger</t>
  </si>
  <si>
    <t>EMI_per_flight.kgCO2.EE.Tr.Avia.Passenger.Domestic</t>
  </si>
  <si>
    <t>EMI_per_flight.kgCO2.EE.Tr.Avia.Passenger.IntraEEAwUK</t>
  </si>
  <si>
    <t>EMI_per_flight.kgCO2.EE.Tr.Avia.Passenger.ExtraEEAwUK</t>
  </si>
  <si>
    <t>EMI_per_flight.kgCO2.EE.Tr.Avia.Freight</t>
  </si>
  <si>
    <t>EMI_per_flight.kgCO2.EE.Tr.Avia.Freight.Domestic</t>
  </si>
  <si>
    <t>EMI_per_flight.kgCO2.EE.Tr.Avia.Freight.IntraEEAwUK</t>
  </si>
  <si>
    <t>EMI_per_flight.kgCO2.EE.Tr.Avia.Freight.ExtraEEAwUK</t>
  </si>
  <si>
    <t>Aviation / passenger transport specific data - EE - Estonia</t>
  </si>
  <si>
    <t>TrCap.seats.EE.Tr.Avia.Passenger</t>
  </si>
  <si>
    <t>TrCap.seats.EE.Tr.Avia.Passenger.Domestic</t>
  </si>
  <si>
    <t>TrCap.seats.EE.Tr.Avia.Passenger.IntraEEAwUK</t>
  </si>
  <si>
    <t>TrCap.seats.EE.Tr.Avia.Passenger.ExtraEEAwUK</t>
  </si>
  <si>
    <t>TrCap_per_flight.seats.EE.Tr.Avia.Passenger</t>
  </si>
  <si>
    <t>TrCap_per_flight.seats.EE.Tr.Avia.Passenger.Domestic</t>
  </si>
  <si>
    <t>TrCap_per_flight.seats.EE.Tr.Avia.Passenger.IntraEEAwUK</t>
  </si>
  <si>
    <t>TrCap_per_flight.seats.EE.Tr.Avia.Passenger.ExtraEEAwUK</t>
  </si>
  <si>
    <t>Transport overview - EE - Estonia</t>
  </si>
  <si>
    <t>Activity.Mpkm.EE.Tr</t>
  </si>
  <si>
    <t>Activity.Mpkm.EE.Tr.Road.Passenger</t>
  </si>
  <si>
    <t>Activity.Mpkm.EE.Tr.Road.Passenger.P2W</t>
  </si>
  <si>
    <t>Activity.Mpkm.EE.Tr.Road.Passenger.Car</t>
  </si>
  <si>
    <t>Activity.Mpkm.EE.Tr.Road.Passenger.Bus</t>
  </si>
  <si>
    <t>Activity.Mpkm.EE.Tr.Rail.Passenger</t>
  </si>
  <si>
    <t>Activity.Mpkm.EE.Tr.Rail.Passenger.MTU</t>
  </si>
  <si>
    <t>Activity.Mpkm.EE.Tr.Rail.Passenger.CPT</t>
  </si>
  <si>
    <t>Activity.Mpkm.EE.Tr.Rail.Passenger.HST</t>
  </si>
  <si>
    <t>Activity.Mtkm.EE.Tr</t>
  </si>
  <si>
    <t>Activity.Mtkm.EE.Tr.Road.Freight</t>
  </si>
  <si>
    <t>Activity.Mtkm.EE.Tr.Road.Freight.LCV</t>
  </si>
  <si>
    <t>Activity.Mtkm.EE.Tr.Road.Freight.HGV</t>
  </si>
  <si>
    <t>Activity.Mtkm.EE.Tr.Rail.Freight</t>
  </si>
  <si>
    <t>Activity.Mtkm.EE.Tr.DNavi.Freight</t>
  </si>
  <si>
    <t>Activity.Mtkm.EE.Tr.DNavi.Freight.DCS</t>
  </si>
  <si>
    <t>Activity.Mtkm.EE.Tr.DNavi.Freight.IWW</t>
  </si>
  <si>
    <t>Activity.Mtkm.EE.MBunk.Freight</t>
  </si>
  <si>
    <t>Activity.Mtkm.EE.MBunk.Freight.IntraEEA</t>
  </si>
  <si>
    <t>Activity.Mtkm.EE.MBunk.Freight.ExtraEEA</t>
  </si>
  <si>
    <t>FEC.ktoe.EE.Tr.Road.Passenger</t>
  </si>
  <si>
    <t>FEC.ktoe.EE.Tr.Road.Passenger.P2W</t>
  </si>
  <si>
    <t>FEC.ktoe.EE.Tr.Road.Passenger.Car</t>
  </si>
  <si>
    <t>FEC.ktoe.EE.Tr.Road.Passenger.Bus</t>
  </si>
  <si>
    <t>FEC.ktoe.EE.Tr.Rail.Passenger</t>
  </si>
  <si>
    <t>FEC.ktoe.EE.Tr.Rail.Passenger.MTU</t>
  </si>
  <si>
    <t>FEC.ktoe.EE.Tr.Rail.Passenger.CPT</t>
  </si>
  <si>
    <t>FEC.ktoe.EE.Tr.Rail.Passenger.HST</t>
  </si>
  <si>
    <t>FEC.ktoe.EE.Tr.Road.Freight</t>
  </si>
  <si>
    <t>FEC.ktoe.EE.Tr.Road.Freight.LCV</t>
  </si>
  <si>
    <t>FEC.ktoe.EE.Tr.Road.Freight.HGV</t>
  </si>
  <si>
    <t>FEC.ktoe.EE.Tr.Rail.Freight</t>
  </si>
  <si>
    <t>EMI.ktCO2.EE.Tr.Road.Passenger</t>
  </si>
  <si>
    <t>EMI.ktCO2.EE.Tr.Road.Passenger.P2W</t>
  </si>
  <si>
    <t>EMI.ktCO2.EE.Tr.Road.Passenger.Car</t>
  </si>
  <si>
    <t>EMI.ktCO2.EE.Tr.Road.Passenger.Bus</t>
  </si>
  <si>
    <t>EMI.ktCO2.EE.Tr.Rail.Passenger</t>
  </si>
  <si>
    <t>EMI.ktCO2.EE.Tr.Rail.Passenger.MTU</t>
  </si>
  <si>
    <t>EMI.ktCO2.EE.Tr.Rail.Passenger.CPT</t>
  </si>
  <si>
    <t>EMI.ktCO2.EE.Tr.Rail.Passenger.HST</t>
  </si>
  <si>
    <t>EMI.ktCO2.EE.Tr.Road.Freight</t>
  </si>
  <si>
    <t>EMI.ktCO2.EE.Tr.Road.Freight.LCV</t>
  </si>
  <si>
    <t>EMI.ktCO2.EE.Tr.Road.Freight.HGV</t>
  </si>
  <si>
    <t>EMI.ktCO2.EE.Tr.Rail.Freight</t>
  </si>
  <si>
    <t>Eff.kgoe_per_kpkm.EE.Tr</t>
  </si>
  <si>
    <t>Eff.kgoe_per_kpkm.EE.Tr.Road.Passenger</t>
  </si>
  <si>
    <t>Eff.kgoe_per_kpkm.EE.Tr.Road.Passenger.P2W</t>
  </si>
  <si>
    <t>Eff.kgoe_per_kpkm.EE.Tr.Road.Passenger.Car</t>
  </si>
  <si>
    <t>Eff.kgoe_per_kpkm.EE.Tr.Road.Passenger.Bus</t>
  </si>
  <si>
    <t>Eff.kgoe_per_kpkm.EE.Tr.Rail.Passenger</t>
  </si>
  <si>
    <t>Eff.kgoe_per_kpkm.EE.Tr.Rail.Passenger.MTU</t>
  </si>
  <si>
    <t>Eff.kgoe_per_kpkm.EE.Tr.Rail.Passenger.CPT</t>
  </si>
  <si>
    <t>Eff.kgoe_per_kpkm.EE.Tr.Rail.Passenger.HST</t>
  </si>
  <si>
    <t>Eff.kgoe_per_ktkm.EE.Tr</t>
  </si>
  <si>
    <t>Eff.kgoe_per_ktkm.EE.Tr.Road.Freight</t>
  </si>
  <si>
    <t>Eff.kgoe_per_ktkm.EE.Tr.Road.Freight.LCV</t>
  </si>
  <si>
    <t>Eff.kgoe_per_ktkm.EE.Tr.Road.Freight.HGV</t>
  </si>
  <si>
    <t>Eff.kgoe_per_ktkm.EE.Tr.Rail.Freight</t>
  </si>
  <si>
    <t>Eff.kgoe_per_ktkm.EE.Tr.DNavi.Freight</t>
  </si>
  <si>
    <t>Eff.kgoe_per_ktkm.EE.Tr.DNavi.Freight.DCS</t>
  </si>
  <si>
    <t>Eff.kgoe_per_ktkm.EE.Tr.DNavi.Freight.IWW</t>
  </si>
  <si>
    <t>Eff.kgoe_per_ktkm.EE.MBunk.Freight</t>
  </si>
  <si>
    <t>Eff.kgoe_per_ktkm.EE.MBunk.Freight.IntraEEA</t>
  </si>
  <si>
    <t>Eff.kgoe_per_ktkm.EE.MBunk.Freight.ExtraEEA</t>
  </si>
  <si>
    <t>EMIint.gCO2_per_pkm.EE.Tr</t>
  </si>
  <si>
    <t>EMIint.gCO2_per_pkm.EE.Tr.Road.Passenger</t>
  </si>
  <si>
    <t>EMIint.gCO2_per_pkm.EE.Tr.Road.Passenger.P2W</t>
  </si>
  <si>
    <t>EMIint.gCO2_per_pkm.EE.Tr.Road.Passenger.Car</t>
  </si>
  <si>
    <t>EMIint.gCO2_per_pkm.EE.Tr.Road.Passenger.Bus</t>
  </si>
  <si>
    <t>EMIint.gCO2_per_pkm.EE.Tr.Rail.Passenger</t>
  </si>
  <si>
    <t>EMIint.gCO2_per_pkm.EE.Tr.Rail.Passenger.MTU</t>
  </si>
  <si>
    <t>EMIint.gCO2_per_pkm.EE.Tr.Rail.Passenger.CPT</t>
  </si>
  <si>
    <t>EMIint.gCO2_per_pkm.EE.Tr.Rail.Passenger.HST</t>
  </si>
  <si>
    <t>EMIint.gCO2_per_tkm.EE.Tr</t>
  </si>
  <si>
    <t>EMIint.gCO2_per_tkm.EE.Tr.Road.Freight</t>
  </si>
  <si>
    <t>EMIint.gCO2_per_tkm.EE.Tr.Road.Freight.LCV</t>
  </si>
  <si>
    <t>EMIint.gCO2_per_tkm.EE.Tr.Road.Freight.HGV</t>
  </si>
  <si>
    <t>EMIint.gCO2_per_tkm.EE.Tr.Rail.Freight</t>
  </si>
  <si>
    <t>EMIint.gCO2_per_tkm.EE.Tr.DNavi.Freight</t>
  </si>
  <si>
    <t>EMIint.gCO2_per_tkm.EE.Tr.DNavi.Freight.DCS</t>
  </si>
  <si>
    <t>EMIint.gCO2_per_tkm.EE.Tr.DNavi.Freight.IWW</t>
  </si>
  <si>
    <t>EMIint.gCO2_per_tkm.EE.MBunk.Freight</t>
  </si>
  <si>
    <t>EMIint.gCO2_per_tkm.EE.MBunk.Freight.IntraEEA</t>
  </si>
  <si>
    <t>EMIint.gCO2_per_tkm.EE.MBunk.Freight.ExtraEEA</t>
  </si>
  <si>
    <t>Road transport - EE - Estonia</t>
  </si>
  <si>
    <t>Activity.Mpkm.EE.Tr.Road.Passenger.Car.ICE.Gasoline</t>
  </si>
  <si>
    <t>Activity.Mpkm.EE.Tr.Road.Passenger.Car.ICE.Diesel</t>
  </si>
  <si>
    <t>Activity.Mpkm.EE.Tr.Road.Passenger.Car.ICE.LPG</t>
  </si>
  <si>
    <t>Activity.Mpkm.EE.Tr.Road.Passenger.Car.ICE.NGas</t>
  </si>
  <si>
    <t>Activity.Mpkm.EE.Tr.Road.Passenger.Car.PHEV</t>
  </si>
  <si>
    <t>Activity.Mpkm.EE.Tr.Road.Passenger.Car.BEV</t>
  </si>
  <si>
    <t>Activity.Mpkm.EE.Tr.Road.Passenger.Bus.ICE.Gasoline</t>
  </si>
  <si>
    <t>Activity.Mpkm.EE.Tr.Road.Passenger.Bus.ICE.Diesel</t>
  </si>
  <si>
    <t>Activity.Mpkm.EE.Tr.Road.Passenger.Bus.ICE.LPG</t>
  </si>
  <si>
    <t>Activity.Mpkm.EE.Tr.Road.Passenger.Bus.ICE.NGas</t>
  </si>
  <si>
    <t>Activity.Mpkm.EE.Tr.Road.Passenger.Bus.ICE.BEV</t>
  </si>
  <si>
    <t>Activity.Mtkm.EE.Tr.Road.Freight.LCV.ICE.Gasoline</t>
  </si>
  <si>
    <t>Activity.Mtkm.EE.Tr.Road.Freight.LCV.ICE.Diesel</t>
  </si>
  <si>
    <t>Activity.Mtkm.EE.Tr.Road.Freight.LCV.ICE.LPG</t>
  </si>
  <si>
    <t>Activity.Mtkm.EE.Tr.Road.Freight.LCV.ICE.NGas</t>
  </si>
  <si>
    <t>Activity.Mtkm.EE.Tr.Road.Freight.LCV.ICE.BEV</t>
  </si>
  <si>
    <t>Activity.Mtkm.EE.Tr.Road.Freight.HGV.Domestic</t>
  </si>
  <si>
    <t>Activity.Mtkm.EE.Tr.Road.Freight.HGV.International</t>
  </si>
  <si>
    <t>VehicleKm.Mkm.EE.Tr.Road</t>
  </si>
  <si>
    <t>VehicleKm.Mkm.EE.Tr.Road.Passenger</t>
  </si>
  <si>
    <t>VehicleKm.Mkm.EE.Tr.Road.Passenger.P2W</t>
  </si>
  <si>
    <t>VehicleKm.Mkm.EE.Tr.Road.Passenger.Car</t>
  </si>
  <si>
    <t>VehicleKm.Mkm.EE.Tr.Road.Passenger.Car.ICE.Gasoline</t>
  </si>
  <si>
    <t>VehicleKm.Mkm.EE.Tr.Road.Passenger.Car.ICE.Diesel</t>
  </si>
  <si>
    <t>VehicleKm.Mkm.EE.Tr.Road.Passenger.Car.ICE.LPG</t>
  </si>
  <si>
    <t>VehicleKm.Mkm.EE.Tr.Road.Passenger.Car.ICE.NGas</t>
  </si>
  <si>
    <t>VehicleKm.Mkm.EE.Tr.Road.Passenger.Car.PHEV</t>
  </si>
  <si>
    <t>VehicleKm.Mkm.EE.Tr.Road.Passenger.Car.BEV</t>
  </si>
  <si>
    <t>VehicleKm.Mkm.EE.Tr.Road.Passenger.Bus</t>
  </si>
  <si>
    <t>VehicleKm.Mkm.EE.Tr.Road.Passenger.Bus.ICE.Gasoline</t>
  </si>
  <si>
    <t>VehicleKm.Mkm.EE.Tr.Road.Passenger.Bus.ICE.Diesel</t>
  </si>
  <si>
    <t>VehicleKm.Mkm.EE.Tr.Road.Passenger.Bus.ICE.LPG</t>
  </si>
  <si>
    <t>VehicleKm.Mkm.EE.Tr.Road.Passenger.Bus.ICE.NGas</t>
  </si>
  <si>
    <t>VehicleKm.Mkm.EE.Tr.Road.Passenger.Bus.ICE.BEV</t>
  </si>
  <si>
    <t>VehicleKm.Mkm.EE.Tr.Road.Freight</t>
  </si>
  <si>
    <t>VehicleKm.Mkm.EE.Tr.Road.Freight.LCV</t>
  </si>
  <si>
    <t>VehicleKm.Mkm.EE.Tr.Road.Freight.LCV.ICE.Gasoline</t>
  </si>
  <si>
    <t>VehicleKm.Mkm.EE.Tr.Road.Freight.LCV.ICE.Diesel</t>
  </si>
  <si>
    <t>VehicleKm.Mkm.EE.Tr.Road.Freight.LCV.ICE.LPG</t>
  </si>
  <si>
    <t>VehicleKm.Mkm.EE.Tr.Road.Freight.LCV.ICE.NGas</t>
  </si>
  <si>
    <t>VehicleKm.Mkm.EE.Tr.Road.Freight.LCV.ICE.BEV</t>
  </si>
  <si>
    <t>VehicleKm.Mkm.EE.Tr.Road.Freight.HGV</t>
  </si>
  <si>
    <t>VehicleKm.Mkm.EE.Tr.Road.Freight.HGV.Domestic</t>
  </si>
  <si>
    <t>VehicleKm.Mkm.EE.Tr.Road.Freight.HGV.International</t>
  </si>
  <si>
    <t>Stock.number.EE.Tr.Road</t>
  </si>
  <si>
    <t>Stock.number.EE.Tr.Road.Passenger</t>
  </si>
  <si>
    <t>Stock.number.EE.Tr.Road.Passenger.P2W</t>
  </si>
  <si>
    <t>Stock.number.EE.Tr.Road.Passenger.Car</t>
  </si>
  <si>
    <t>Stock.number.EE.Tr.Road.Passenger.Car.ICE.Gasoline</t>
  </si>
  <si>
    <t>Stock.number.EE.Tr.Road.Passenger.Car.ICE.Diesel</t>
  </si>
  <si>
    <t>Stock.number.EE.Tr.Road.Passenger.Car.ICE.LPG</t>
  </si>
  <si>
    <t>Stock.number.EE.Tr.Road.Passenger.Car.ICE.NGas</t>
  </si>
  <si>
    <t>Stock.number.EE.Tr.Road.Passenger.Car.PHEV</t>
  </si>
  <si>
    <t>Stock.number.EE.Tr.Road.Passenger.Car.BEV</t>
  </si>
  <si>
    <t>Stock.number.EE.Tr.Road.Passenger.Bus</t>
  </si>
  <si>
    <t>Stock.number.EE.Tr.Road.Passenger.Bus.ICE.Gasoline</t>
  </si>
  <si>
    <t>Stock.number.EE.Tr.Road.Passenger.Bus.ICE.Diesel</t>
  </si>
  <si>
    <t>Stock.number.EE.Tr.Road.Passenger.Bus.ICE.LPG</t>
  </si>
  <si>
    <t>Stock.number.EE.Tr.Road.Passenger.Bus.ICE.NGas</t>
  </si>
  <si>
    <t>Stock.number.EE.Tr.Road.Passenger.Bus.ICE.BEV</t>
  </si>
  <si>
    <t>Stock.number.EE.Tr.Road.Freight</t>
  </si>
  <si>
    <t>Stock.number.EE.Tr.Road.Freight.LCV</t>
  </si>
  <si>
    <t>Stock.number.EE.Tr.Road.Freight.LCV.ICE.Gasoline</t>
  </si>
  <si>
    <t>Stock.number.EE.Tr.Road.Freight.LCV.ICE.Diesel</t>
  </si>
  <si>
    <t>Stock.number.EE.Tr.Road.Freight.LCV.ICE.LPG</t>
  </si>
  <si>
    <t>Stock.number.EE.Tr.Road.Freight.LCV.ICE.NGas</t>
  </si>
  <si>
    <t>Stock.number.EE.Tr.Road.Freight.LCV.ICE.BEV</t>
  </si>
  <si>
    <t>Stock.number.EE.Tr.Road.Freight.HGV</t>
  </si>
  <si>
    <t>Stock.number.EE.Tr.Road.Freight.HGV.Domestic</t>
  </si>
  <si>
    <t>Stock.number.EE.Tr.Road.Freight.HGV.International</t>
  </si>
  <si>
    <t>StockNew.number.EE.Tr.Road</t>
  </si>
  <si>
    <t>StockNew.number.EE.Tr.Road.Passenger</t>
  </si>
  <si>
    <t>StockNew.number.EE.Tr.Road.Passenger.P2W</t>
  </si>
  <si>
    <t>StockNew.number.EE.Tr.Road.Passenger.Car</t>
  </si>
  <si>
    <t>StockNew.number.EE.Tr.Road.Passenger.Car.ICE.Gasoline</t>
  </si>
  <si>
    <t>StockNew.number.EE.Tr.Road.Passenger.Car.ICE.Diesel</t>
  </si>
  <si>
    <t>StockNew.number.EE.Tr.Road.Passenger.Car.ICE.LPG</t>
  </si>
  <si>
    <t>StockNew.number.EE.Tr.Road.Passenger.Car.ICE.NGas</t>
  </si>
  <si>
    <t>StockNew.number.EE.Tr.Road.Passenger.Car.PHEV</t>
  </si>
  <si>
    <t>StockNew.number.EE.Tr.Road.Passenger.Car.BEV</t>
  </si>
  <si>
    <t>StockNew.number.EE.Tr.Road.Passenger.Bus</t>
  </si>
  <si>
    <t>StockNew.number.EE.Tr.Road.Passenger.Bus.ICE.Gasoline</t>
  </si>
  <si>
    <t>StockNew.number.EE.Tr.Road.Passenger.Bus.ICE.Diesel</t>
  </si>
  <si>
    <t>StockNew.number.EE.Tr.Road.Passenger.Bus.ICE.LPG</t>
  </si>
  <si>
    <t>StockNew.number.EE.Tr.Road.Passenger.Bus.ICE.NGas</t>
  </si>
  <si>
    <t>StockNew.number.EE.Tr.Road.Passenger.Bus.ICE.BEV</t>
  </si>
  <si>
    <t>StockNew.number.EE.Tr.Road.Freight</t>
  </si>
  <si>
    <t>StockNew.number.EE.Tr.Road.Freight.LCV</t>
  </si>
  <si>
    <t>StockNew.number.EE.Tr.Road.Freight.LCV.ICE.Gasoline</t>
  </si>
  <si>
    <t>StockNew.number.EE.Tr.Road.Freight.LCV.ICE.Diesel</t>
  </si>
  <si>
    <t>StockNew.number.EE.Tr.Road.Freight.LCV.ICE.LPG</t>
  </si>
  <si>
    <t>StockNew.number.EE.Tr.Road.Freight.LCV.ICE.NGas</t>
  </si>
  <si>
    <t>StockNew.number.EE.Tr.Road.Freight.LCV.ICE.BEV</t>
  </si>
  <si>
    <t>StockNew.number.EE.Tr.Road.Freight.HGV</t>
  </si>
  <si>
    <t>StockNew.number.EE.Tr.Road.Freight.HGV.Domestic</t>
  </si>
  <si>
    <t>StockNew.number.EE.Tr.Road.Freight.HGV.International</t>
  </si>
  <si>
    <t>Load.passenger_per_movement.EE.Tr.Road.Passenger</t>
  </si>
  <si>
    <t>Load.passenger_per_movement.EE.Tr.Road.Passenger.P2W</t>
  </si>
  <si>
    <t>Load.passenger_per_movement.EE.Tr.Road.Passenger.Car</t>
  </si>
  <si>
    <t>Load.passenger_per_movement.EE.Tr.Road.Passenger.Car.ICE.Gasoline</t>
  </si>
  <si>
    <t>Load.passenger_per_movement.EE.Tr.Road.Passenger.Car.ICE.Diesel</t>
  </si>
  <si>
    <t>Load.passenger_per_movement.EE.Tr.Road.Passenger.Car.ICE.LPG</t>
  </si>
  <si>
    <t>Load.passenger_per_movement.EE.Tr.Road.Passenger.Car.ICE.NGas</t>
  </si>
  <si>
    <t>Load.passenger_per_movement.EE.Tr.Road.Passenger.Car.PHEV</t>
  </si>
  <si>
    <t>Load.passenger_per_movement.EE.Tr.Road.Passenger.Car.BEV</t>
  </si>
  <si>
    <t>Load.passenger_per_movement.EE.Tr.Road.Passenger.Bus</t>
  </si>
  <si>
    <t>Load.passenger_per_movement.EE.Tr.Road.Passenger.Bus.ICE.Gasoline</t>
  </si>
  <si>
    <t>Load.passenger_per_movement.EE.Tr.Road.Passenger.Bus.ICE.Diesel</t>
  </si>
  <si>
    <t>Load.passenger_per_movement.EE.Tr.Road.Passenger.Bus.ICE.LPG</t>
  </si>
  <si>
    <t>Load.passenger_per_movement.EE.Tr.Road.Passenger.Bus.ICE.NGas</t>
  </si>
  <si>
    <t>Load.passenger_per_movement.EE.Tr.Road.Passenger.Bus.ICE.BEV</t>
  </si>
  <si>
    <t>Load.t_per_movement.EE.Tr.Road.Freight</t>
  </si>
  <si>
    <t>Load.t_per_movement.EE.Tr.Road.Freight.LCV</t>
  </si>
  <si>
    <t>Load.t_per_movement.EE.Tr.Road.Freight.LCV.ICE.Gasoline</t>
  </si>
  <si>
    <t>Load.t_per_movement.EE.Tr.Road.Freight.LCV.ICE.Diesel</t>
  </si>
  <si>
    <t>Load.t_per_movement.EE.Tr.Road.Freight.LCV.ICE.LPG</t>
  </si>
  <si>
    <t>Load.t_per_movement.EE.Tr.Road.Freight.LCV.ICE.NGas</t>
  </si>
  <si>
    <t>Load.t_per_movement.EE.Tr.Road.Freight.LCV.ICE.BEV</t>
  </si>
  <si>
    <t>Load.t_per_movement.EE.Tr.Road.Freight.HGV</t>
  </si>
  <si>
    <t>Load.t_per_movement.EE.Tr.Road.Freight.HGV.Domestic</t>
  </si>
  <si>
    <t>Load.t_per_movement.EE.Tr.Road.Freight.HGV.International</t>
  </si>
  <si>
    <t>VehicleKm_per_vehicle.km.EE.Tr.Road</t>
  </si>
  <si>
    <t>VehicleKm_per_vehicle.km.EE.Tr.Road.Passenger</t>
  </si>
  <si>
    <t>VehicleKm_per_vehicle.km.EE.Tr.Road.Passenger.P2W</t>
  </si>
  <si>
    <t>VehicleKm_per_vehicle.km.EE.Tr.Road.Passenger.Car</t>
  </si>
  <si>
    <t>VehicleKm_per_vehicle.km.EE.Tr.Road.Passenger.Car.ICE.Gasoline</t>
  </si>
  <si>
    <t>VehicleKm_per_vehicle.km.EE.Tr.Road.Passenger.Car.ICE.Diesel</t>
  </si>
  <si>
    <t>VehicleKm_per_vehicle.km.EE.Tr.Road.Passenger.Car.ICE.LPG</t>
  </si>
  <si>
    <t>VehicleKm_per_vehicle.km.EE.Tr.Road.Passenger.Car.ICE.NGas</t>
  </si>
  <si>
    <t>VehicleKm_per_vehicle.km.EE.Tr.Road.Passenger.Car.PHEV</t>
  </si>
  <si>
    <t>VehicleKm_per_vehicle.km.EE.Tr.Road.Passenger.Car.BEV</t>
  </si>
  <si>
    <t>VehicleKm_per_vehicle.km.EE.Tr.Road.Passenger.Bus</t>
  </si>
  <si>
    <t>VehicleKm_per_vehicle.km.EE.Tr.Road.Passenger.Bus.ICE.Gasoline</t>
  </si>
  <si>
    <t>VehicleKm_per_vehicle.km.EE.Tr.Road.Passenger.Bus.ICE.Diesel</t>
  </si>
  <si>
    <t>VehicleKm_per_vehicle.km.EE.Tr.Road.Passenger.Bus.ICE.LPG</t>
  </si>
  <si>
    <t>VehicleKm_per_vehicle.km.EE.Tr.Road.Passenger.Bus.ICE.NGas</t>
  </si>
  <si>
    <t>VehicleKm_per_vehicle.km.EE.Tr.Road.Passenger.Bus.ICE.BEV</t>
  </si>
  <si>
    <t>VehicleKm_per_vehicle.km.EE.Tr.Road.Freight</t>
  </si>
  <si>
    <t>VehicleKm_per_vehicle.km.EE.Tr.Road.Freight.LCV</t>
  </si>
  <si>
    <t>VehicleKm_per_vehicle.km.EE.Tr.Road.Freight.LCV.ICE.Gasoline</t>
  </si>
  <si>
    <t>VehicleKm_per_vehicle.km.EE.Tr.Road.Freight.LCV.ICE.Diesel</t>
  </si>
  <si>
    <t>VehicleKm_per_vehicle.km.EE.Tr.Road.Freight.LCV.ICE.LPG</t>
  </si>
  <si>
    <t>VehicleKm_per_vehicle.km.EE.Tr.Road.Freight.LCV.ICE.NGas</t>
  </si>
  <si>
    <t>VehicleKm_per_vehicle.km.EE.Tr.Road.Freight.LCV.ICE.BEV</t>
  </si>
  <si>
    <t>VehicleKm_per_vehicle.km.EE.Tr.Road.Freight.HGV</t>
  </si>
  <si>
    <t>VehicleKm_per_vehicle.km.EE.Tr.Road.Freight.HGV.Domestic</t>
  </si>
  <si>
    <t>VehicleKm_per_vehicle.km.EE.Tr.Road.Freight.HGV.International</t>
  </si>
  <si>
    <t>Activity_per_vehicle.pkm.EE.Tr.Road.Passenger</t>
  </si>
  <si>
    <t>Activity_per_vehicle.pkm.EE.Tr.Road.Passenger.P2W</t>
  </si>
  <si>
    <t>Activity_per_vehicle.pkm.EE.Tr.Road.Passenger.Car</t>
  </si>
  <si>
    <t>Activity_per_vehicle.pkm.EE.Tr.Road.Passenger.Car.ICE.Gasoline</t>
  </si>
  <si>
    <t>Activity_per_vehicle.pkm.EE.Tr.Road.Passenger.Car.ICE.Diesel</t>
  </si>
  <si>
    <t>Activity_per_vehicle.pkm.EE.Tr.Road.Passenger.Car.ICE.LPG</t>
  </si>
  <si>
    <t>Activity_per_vehicle.pkm.EE.Tr.Road.Passenger.Car.ICE.NGas</t>
  </si>
  <si>
    <t>Activity_per_vehicle.pkm.EE.Tr.Road.Passenger.Car.PHEV</t>
  </si>
  <si>
    <t>Activity_per_vehicle.pkm.EE.Tr.Road.Passenger.Car.BEV</t>
  </si>
  <si>
    <t>Activity_per_vehicle.pkm.EE.Tr.Road.Passenger.Bus</t>
  </si>
  <si>
    <t>Activity_per_vehicle.pkm.EE.Tr.Road.Passenger.Bus.ICE.Gasoline</t>
  </si>
  <si>
    <t>Activity_per_vehicle.pkm.EE.Tr.Road.Passenger.Bus.ICE.Diesel</t>
  </si>
  <si>
    <t>Activity_per_vehicle.pkm.EE.Tr.Road.Passenger.Bus.ICE.LPG</t>
  </si>
  <si>
    <t>Activity_per_vehicle.pkm.EE.Tr.Road.Passenger.Bus.ICE.NGas</t>
  </si>
  <si>
    <t>Activity_per_vehicle.pkm.EE.Tr.Road.Passenger.Bus.ICE.BEV</t>
  </si>
  <si>
    <t>Activity_per_vehicle.tkm.EE.Tr.Road.Freight</t>
  </si>
  <si>
    <t>Activity_per_vehicle.tkm.EE.Tr.Road.Freight.LCV</t>
  </si>
  <si>
    <t>Activity_per_vehicle.tkm.EE.Tr.Road.Freight.LCV.ICE.Gasoline</t>
  </si>
  <si>
    <t>Activity_per_vehicle.tkm.EE.Tr.Road.Freight.LCV.ICE.Diesel</t>
  </si>
  <si>
    <t>Activity_per_vehicle.tkm.EE.Tr.Road.Freight.LCV.ICE.LPG</t>
  </si>
  <si>
    <t>Activity_per_vehicle.tkm.EE.Tr.Road.Freight.LCV.ICE.NGas</t>
  </si>
  <si>
    <t>Activity_per_vehicle.tkm.EE.Tr.Road.Freight.LCV.ICE.BEV</t>
  </si>
  <si>
    <t>Activity_per_vehicle.tkm.EE.Tr.Road.Freight.HGV</t>
  </si>
  <si>
    <t>Activity_per_vehicle.tkm.EE.Tr.Road.Freight.HGV.Domestic</t>
  </si>
  <si>
    <t>Activity_per_vehicle.tkm.EE.Tr.Road.Freight.HGV.International</t>
  </si>
  <si>
    <t>Road transport / energy consumption - EE - Estonia</t>
  </si>
  <si>
    <t>FEC.ktoe.EE.ES.Tr.Road</t>
  </si>
  <si>
    <t>FEC.ktoe.EE.ES.Tr.Road.LPG</t>
  </si>
  <si>
    <t>FEC.ktoe.EE.ES.Tr.Road.Gasoline</t>
  </si>
  <si>
    <t>FEC.ktoe.EE.ES.Tr.Road.Diesel</t>
  </si>
  <si>
    <t>FEC.ktoe.EE.ES.Tr.Road.NG</t>
  </si>
  <si>
    <t>FEC.ktoe.EE.ES.Tr.Road.Biogas</t>
  </si>
  <si>
    <t>FEC.ktoe.EE.ES.Tr.Road.Biogasoline</t>
  </si>
  <si>
    <t>FEC.ktoe.EE.ES.Tr.Road.Biodiesel</t>
  </si>
  <si>
    <t>FEC.ktoe.EE.ES.Tr.Road.OthLiqBio</t>
  </si>
  <si>
    <t>FEC.ktoe.EE.ES.Tr.Road.Elec</t>
  </si>
  <si>
    <t>FEC.ktoe.EE.Tr.Road</t>
  </si>
  <si>
    <t>FEC.ktoe.EE.Tr.Road.Passenger.P2W.Biogasoline</t>
  </si>
  <si>
    <t>FEC.ktoe.EE.Tr.Road.Passenger.Car.ICE.Gasoline</t>
  </si>
  <si>
    <t>FEC.ktoe.EE.Tr.Road.Passenger.Car.ICE.Gasoline.Biogasoline</t>
  </si>
  <si>
    <t>FEC.ktoe.EE.Tr.Road.Passenger.Car.ICE.Diesel</t>
  </si>
  <si>
    <t>FEC.ktoe.EE.Tr.Road.Passenger.Car.ICE.Diesel.BioDiesel_OthLiqBio</t>
  </si>
  <si>
    <t>FEC.ktoe.EE.Tr.Road.Passenger.Car.ICE.LPG</t>
  </si>
  <si>
    <t>FEC.ktoe.EE.Tr.Road.Passenger.Car.ICE.NGas</t>
  </si>
  <si>
    <t>FEC.ktoe.EE.Tr.Road.Passenger.Car.ICE.NGas.Biogas</t>
  </si>
  <si>
    <t>FEC.ktoe.EE.Tr.Road.Passenger.Car.PHEV</t>
  </si>
  <si>
    <t>FEC.ktoe.EE.Tr.Road.Passenger.Car.PHEV.Biogasoline</t>
  </si>
  <si>
    <t>FEC.ktoe.EE.Tr.Road.Passenger.Car.PHEV.Elec</t>
  </si>
  <si>
    <t>FEC.ktoe.EE.Tr.Road.Passenger.Car.BEV</t>
  </si>
  <si>
    <t>FEC.ktoe.EE.Tr.Road.Passenger.Bus.ICE.Gasoline</t>
  </si>
  <si>
    <t>FEC.ktoe.EE.Tr.Road.Passenger.Bus.ICE.Gasoline.Biogasoline</t>
  </si>
  <si>
    <t>FEC.ktoe.EE.Tr.Road.Passenger.Bus.ICE.Diesel</t>
  </si>
  <si>
    <t>FEC.ktoe.EE.Tr.Road.Passenger.Bus.ICE.Diesel.BioDiesel_OthLiqBio</t>
  </si>
  <si>
    <t>FEC.ktoe.EE.Tr.Road.Passenger.Bus.ICE.LPG</t>
  </si>
  <si>
    <t>FEC.ktoe.EE.Tr.Road.Passenger.Bus.ICE.NGas</t>
  </si>
  <si>
    <t>FEC.ktoe.EE.Tr.Road.Passenger.Bus.ICE.NGas.Biogas</t>
  </si>
  <si>
    <t>FEC.ktoe.EE.Tr.Road.Passenger.Bus.ICE.BEV</t>
  </si>
  <si>
    <t>FEC.ktoe.EE.Tr.Road.Freight.LCV.ICE.Gasoline</t>
  </si>
  <si>
    <t>FEC.ktoe.EE.Tr.Road.Freight.LCV.ICE.Gasoline.Biogasoline</t>
  </si>
  <si>
    <t>FEC.ktoe.EE.Tr.Road.Freight.LCV.ICE.Diesel</t>
  </si>
  <si>
    <t>FEC.ktoe.EE.Tr.Road.Freight.LCV.ICE.Diesel.BioDiesel_OthLiqBio</t>
  </si>
  <si>
    <t>FEC.ktoe.EE.Tr.Road.Freight.LCV.ICE.LPG</t>
  </si>
  <si>
    <t>FEC.ktoe.EE.Tr.Road.Freight.LCV.ICE.NGas</t>
  </si>
  <si>
    <t>FEC.ktoe.EE.Tr.Road.Freight.LCV.ICE.NGas.Biogas</t>
  </si>
  <si>
    <t>FEC.ktoe.EE.Tr.Road.Freight.LCV.ICE.BEV</t>
  </si>
  <si>
    <t>FEC.ktoe.EE.Tr.Road.Freight.HGV.Domestic</t>
  </si>
  <si>
    <t>FEC.ktoe.EE.Tr.Road.Freight.HGV.Domestic.BioDiesel_OthLiqBio</t>
  </si>
  <si>
    <t>FEC.ktoe.EE.Tr.Road.Freight.HGV.International</t>
  </si>
  <si>
    <t>FEC.ktoe.EE.Tr.Road.Freight.HGV.International.BioDiesel_OthLiqBio</t>
  </si>
  <si>
    <t>Eff.kgoe_per_100km.EE.Tr.Road</t>
  </si>
  <si>
    <t>Eff.kgoe_per_100km.EE.Tr.Road.Passenger</t>
  </si>
  <si>
    <t>Eff.kgoe_per_100km.EE.Tr.Road.Passenger.P2W</t>
  </si>
  <si>
    <t>Eff.kgoe_per_100km.EE.Tr.Road.Passenger.Car</t>
  </si>
  <si>
    <t>Eff.kgoe_per_100km.EE.Tr.Road.Passenger.Car.ICE.Gasoline</t>
  </si>
  <si>
    <t>Eff.kgoe_per_100km.EE.Tr.Road.Passenger.Car.ICE.Diesel</t>
  </si>
  <si>
    <t>Eff.kgoe_per_100km.EE.Tr.Road.Passenger.Car.ICE.LPG</t>
  </si>
  <si>
    <t>Eff.kgoe_per_100km.EE.Tr.Road.Passenger.Car.ICE.NGas</t>
  </si>
  <si>
    <t>Eff.kgoe_per_100km.EE.Tr.Road.Passenger.Car.PHEV</t>
  </si>
  <si>
    <t>Eff.kgoe_per_100km.EE.Tr.Road.Passenger.Car.BEV</t>
  </si>
  <si>
    <t>Eff.kgoe_per_100km.EE.Tr.Road.Passenger.Bus</t>
  </si>
  <si>
    <t>Eff.kgoe_per_100km.EE.Tr.Road.Passenger.Bus.ICE.Gasoline</t>
  </si>
  <si>
    <t>Eff.kgoe_per_100km.EE.Tr.Road.Passenger.Bus.ICE.Diesel</t>
  </si>
  <si>
    <t>Eff.kgoe_per_100km.EE.Tr.Road.Passenger.Bus.ICE.LPG</t>
  </si>
  <si>
    <t>Eff.kgoe_per_100km.EE.Tr.Road.Passenger.Bus.ICE.NGas</t>
  </si>
  <si>
    <t>Eff.kgoe_per_100km.EE.Tr.Road.Passenger.Bus.ICE.BEV</t>
  </si>
  <si>
    <t>Eff.kgoe_per_100km.EE.Tr.Road.Freight</t>
  </si>
  <si>
    <t>Eff.kgoe_per_100km.EE.Tr.Road.Freight.LCV</t>
  </si>
  <si>
    <t>Eff.kgoe_per_100km.EE.Tr.Road.Freight.LCV.ICE.Gasoline</t>
  </si>
  <si>
    <t>Eff.kgoe_per_100km.EE.Tr.Road.Freight.LCV.ICE.Diesel</t>
  </si>
  <si>
    <t>Eff.kgoe_per_100km.EE.Tr.Road.Freight.LCV.ICE.LPG</t>
  </si>
  <si>
    <t>Eff.kgoe_per_100km.EE.Tr.Road.Freight.LCV.ICE.NGas</t>
  </si>
  <si>
    <t>Eff.kgoe_per_100km.EE.Tr.Road.Freight.LCV.ICE.BEV</t>
  </si>
  <si>
    <t>Eff.kgoe_per_100km.EE.Tr.Road.Freight.HGV</t>
  </si>
  <si>
    <t>Eff.kgoe_per_100km.EE.Tr.Road.Freight.HGV.Domestic</t>
  </si>
  <si>
    <t>Eff.kgoe_per_100km.EE.Tr.Road.Freight.HGV.International</t>
  </si>
  <si>
    <t>Eff.kgoe_per_kpkm.EE.Tr.Road.Passenger.Car.ICE.Gasoline</t>
  </si>
  <si>
    <t>Eff.kgoe_per_kpkm.EE.Tr.Road.Passenger.Car.ICE.Diesel</t>
  </si>
  <si>
    <t>Eff.kgoe_per_kpkm.EE.Tr.Road.Passenger.Car.ICE.LPG</t>
  </si>
  <si>
    <t>Eff.kgoe_per_kpkm.EE.Tr.Road.Passenger.Car.ICE.NGas</t>
  </si>
  <si>
    <t>Eff.kgoe_per_kpkm.EE.Tr.Road.Passenger.Car.PHEV</t>
  </si>
  <si>
    <t>Eff.kgoe_per_kpkm.EE.Tr.Road.Passenger.Car.BEV</t>
  </si>
  <si>
    <t>Eff.kgoe_per_kpkm.EE.Tr.Road.Passenger.Bus.ICE.Gasoline</t>
  </si>
  <si>
    <t>Eff.kgoe_per_kpkm.EE.Tr.Road.Passenger.Bus.ICE.Diesel</t>
  </si>
  <si>
    <t>Eff.kgoe_per_kpkm.EE.Tr.Road.Passenger.Bus.ICE.LPG</t>
  </si>
  <si>
    <t>Eff.kgoe_per_kpkm.EE.Tr.Road.Passenger.Bus.ICE.NGas</t>
  </si>
  <si>
    <t>Eff.kgoe_per_kpkm.EE.Tr.Road.Passenger.Bus.ICE.BEV</t>
  </si>
  <si>
    <t>Eff.kgoe_per_ktkm.EE.Tr.Road.Freight.LCV.ICE.Gasoline</t>
  </si>
  <si>
    <t>Eff.kgoe_per_ktkm.EE.Tr.Road.Freight.LCV.ICE.Diesel</t>
  </si>
  <si>
    <t>Eff.kgoe_per_ktkm.EE.Tr.Road.Freight.LCV.ICE.LPG</t>
  </si>
  <si>
    <t>Eff.kgoe_per_ktkm.EE.Tr.Road.Freight.LCV.ICE.NGas</t>
  </si>
  <si>
    <t>Eff.kgoe_per_ktkm.EE.Tr.Road.Freight.LCV.ICE.BEV</t>
  </si>
  <si>
    <t>Eff.kgoe_per_ktkm.EE.Tr.Road.Freight.HGV.Domestic</t>
  </si>
  <si>
    <t>Eff.kgoe_per_ktkm.EE.Tr.Road.Freight.HGV.International</t>
  </si>
  <si>
    <t>FEC_per_vehicle.kgoe.EE.Tr.Road.Passenger.P2W</t>
  </si>
  <si>
    <t>FEC_per_vehicle.kgoe.EE.Tr.Road.Passenger.Car</t>
  </si>
  <si>
    <t>FEC_per_vehicle.kgoe.EE.Tr.Road.Passenger.Car.ICE.Gasoline</t>
  </si>
  <si>
    <t>FEC_per_vehicle.kgoe.EE.Tr.Road.Passenger.Car.ICE.Diesel</t>
  </si>
  <si>
    <t>FEC_per_vehicle.kgoe.EE.Tr.Road.Passenger.Car.ICE.LPG</t>
  </si>
  <si>
    <t>FEC_per_vehicle.kgoe.EE.Tr.Road.Passenger.Car.ICE.NGas</t>
  </si>
  <si>
    <t>FEC_per_vehicle.kgoe.EE.Tr.Road.Passenger.Car.PHEV</t>
  </si>
  <si>
    <t>FEC_per_vehicle.kgoe.EE.Tr.Road.Passenger.Car.BEV</t>
  </si>
  <si>
    <t>FEC_per_vehicle.kgoe.EE.Tr.Road.Passenger.Bus</t>
  </si>
  <si>
    <t>FEC_per_vehicle.kgoe.EE.Tr.Road.Passenger.Bus.ICE.Gasoline</t>
  </si>
  <si>
    <t>FEC_per_vehicle.kgoe.EE.Tr.Road.Passenger.Bus.ICE.Diesel</t>
  </si>
  <si>
    <t>FEC_per_vehicle.kgoe.EE.Tr.Road.Passenger.Bus.ICE.LPG</t>
  </si>
  <si>
    <t>FEC_per_vehicle.kgoe.EE.Tr.Road.Passenger.Bus.ICE.NGas</t>
  </si>
  <si>
    <t>FEC_per_vehicle.kgoe.EE.Tr.Road.Passenger.Bus.ICE.BEV</t>
  </si>
  <si>
    <t>FEC_per_vehicle.kgoe.EE.Tr.Road.Freight.LCV</t>
  </si>
  <si>
    <t>FEC_per_vehicle.kgoe.EE.Tr.Road.Freight.LCV.ICE.Gasoline</t>
  </si>
  <si>
    <t>FEC_per_vehicle.kgoe.EE.Tr.Road.Freight.LCV.ICE.Diesel</t>
  </si>
  <si>
    <t>FEC_per_vehicle.kgoe.EE.Tr.Road.Freight.LCV.ICE.LPG</t>
  </si>
  <si>
    <t>FEC_per_vehicle.kgoe.EE.Tr.Road.Freight.LCV.ICE.NGas</t>
  </si>
  <si>
    <t>FEC_per_vehicle.kgoe.EE.Tr.Road.Freight.LCV.ICE.BEV</t>
  </si>
  <si>
    <t>FEC_per_vehicle.kgoe.EE.Tr.Road.Freight.HGV</t>
  </si>
  <si>
    <t>FEC_per_vehicle.kgoe.EE.Tr.Road.Freight.HGV.Domestic</t>
  </si>
  <si>
    <t>FEC_per_vehicle.kgoe.EE.Tr.Road.Freight.HGV.International</t>
  </si>
  <si>
    <t>Road transport / CO2 emissions - EE - Estonia</t>
  </si>
  <si>
    <t>EMI.ktCO2.EE.ES.Tr.Road</t>
  </si>
  <si>
    <t>EMI.ktCO2.EE.ES.Tr.Road.LPG</t>
  </si>
  <si>
    <t>EMI.ktCO2.EE.ES.Tr.Road.Gasoline</t>
  </si>
  <si>
    <t>EMI.ktCO2.EE.ES.Tr.Road.Diesel</t>
  </si>
  <si>
    <t>EMI.ktCO2.EE.ES.Tr.Road.NG</t>
  </si>
  <si>
    <t>EMI.ktCO2.EE.ES.Tr.Road.Biogas</t>
  </si>
  <si>
    <t>EMI.ktCO2.EE.ES.Tr.Road.Biogasoline</t>
  </si>
  <si>
    <t>EMI.ktCO2.EE.ES.Tr.Road.Biodiesel</t>
  </si>
  <si>
    <t>EMI.ktCO2.EE.ES.Tr.Road.OthLiqBio</t>
  </si>
  <si>
    <t>EMI.ktCO2.EE.ES.Tr.Road.Elec</t>
  </si>
  <si>
    <t>EMI.ktCO2.EE.Tr.Road</t>
  </si>
  <si>
    <t>EMI.ktCO2.EE.Tr.Road.Passenger.Car.ICE.Gasoline</t>
  </si>
  <si>
    <t>EMI.ktCO2.EE.Tr.Road.Passenger.Car.ICE.Diesel</t>
  </si>
  <si>
    <t>EMI.ktCO2.EE.Tr.Road.Passenger.Car.ICE.LPG</t>
  </si>
  <si>
    <t>EMI.ktCO2.EE.Tr.Road.Passenger.Car.ICE.NGas</t>
  </si>
  <si>
    <t>EMI.ktCO2.EE.Tr.Road.Passenger.Car.PHEV</t>
  </si>
  <si>
    <t>EMI.ktCO2.EE.Tr.Road.Passenger.Car.BEV</t>
  </si>
  <si>
    <t>EMI.ktCO2.EE.Tr.Road.Passenger.Bus.ICE.Gasoline</t>
  </si>
  <si>
    <t>EMI.ktCO2.EE.Tr.Road.Passenger.Bus.ICE.Diesel</t>
  </si>
  <si>
    <t>EMI.ktCO2.EE.Tr.Road.Passenger.Bus.ICE.LPG</t>
  </si>
  <si>
    <t>EMI.ktCO2.EE.Tr.Road.Passenger.Bus.ICE.NGas</t>
  </si>
  <si>
    <t>EMI.ktCO2.EE.Tr.Road.Passenger.Bus.ICE.BEV</t>
  </si>
  <si>
    <t>EMI.ktCO2.EE.Tr.Road.Freight.LCV.ICE.Gasoline</t>
  </si>
  <si>
    <t>EMI.ktCO2.EE.Tr.Road.Freight.LCV.ICE.Diesel</t>
  </si>
  <si>
    <t>EMI.ktCO2.EE.Tr.Road.Freight.LCV.ICE.LPG</t>
  </si>
  <si>
    <t>EMI.ktCO2.EE.Tr.Road.Freight.LCV.ICE.NGas</t>
  </si>
  <si>
    <t>EMI.ktCO2.EE.Tr.Road.Freight.LCV.ICE.BEV</t>
  </si>
  <si>
    <t>EMI.ktCO2.EE.Tr.Road.Freight.HGV.Domestic</t>
  </si>
  <si>
    <t>EMI.ktCO2.EE.Tr.Road.Freight.HGV.International</t>
  </si>
  <si>
    <t>EMIint.gCO2_per_km.EE.Tr.Road</t>
  </si>
  <si>
    <t>EMIint.gCO2_per_km.EE.Tr.Road.Passenger</t>
  </si>
  <si>
    <t>EMIint.gCO2_per_km.EE.Tr.Road.Passenger.P2W</t>
  </si>
  <si>
    <t>EMIint.gCO2_per_km.EE.Tr.Road.Passenger.Car</t>
  </si>
  <si>
    <t>EMIint.gCO2_per_km.EE.Tr.Road.Passenger.Car.ICE.Gasoline</t>
  </si>
  <si>
    <t>EMIint.gCO2_per_km.EE.Tr.Road.Passenger.Car.ICE.Diesel</t>
  </si>
  <si>
    <t>EMIint.gCO2_per_km.EE.Tr.Road.Passenger.Car.ICE.LPG</t>
  </si>
  <si>
    <t>EMIint.gCO2_per_km.EE.Tr.Road.Passenger.Car.ICE.NGas</t>
  </si>
  <si>
    <t>EMIint.gCO2_per_km.EE.Tr.Road.Passenger.Car.PHEV</t>
  </si>
  <si>
    <t>EMIint.gCO2_per_km.EE.Tr.Road.Passenger.Car.BEV</t>
  </si>
  <si>
    <t>EMIint.gCO2_per_km.EE.Tr.Road.Passenger.Bus</t>
  </si>
  <si>
    <t>EMIint.gCO2_per_km.EE.Tr.Road.Passenger.Bus.ICE.Gasoline</t>
  </si>
  <si>
    <t>EMIint.gCO2_per_km.EE.Tr.Road.Passenger.Bus.ICE.Diesel</t>
  </si>
  <si>
    <t>EMIint.gCO2_per_km.EE.Tr.Road.Passenger.Bus.ICE.LPG</t>
  </si>
  <si>
    <t>EMIint.gCO2_per_km.EE.Tr.Road.Passenger.Bus.ICE.NGas</t>
  </si>
  <si>
    <t>EMIint.gCO2_per_km.EE.Tr.Road.Passenger.Bus.ICE.BEV</t>
  </si>
  <si>
    <t>EMIint.gCO2_per_km.EE.Tr.Road.Freight</t>
  </si>
  <si>
    <t>EMIint.gCO2_per_km.EE.Tr.Road.Freight.LCV</t>
  </si>
  <si>
    <t>EMIint.gCO2_per_km.EE.Tr.Road.Freight.LCV.ICE.Gasoline</t>
  </si>
  <si>
    <t>EMIint.gCO2_per_km.EE.Tr.Road.Freight.LCV.ICE.Diesel</t>
  </si>
  <si>
    <t>EMIint.gCO2_per_km.EE.Tr.Road.Freight.LCV.ICE.LPG</t>
  </si>
  <si>
    <t>EMIint.gCO2_per_km.EE.Tr.Road.Freight.LCV.ICE.NGas</t>
  </si>
  <si>
    <t>EMIint.gCO2_per_km.EE.Tr.Road.Freight.LCV.ICE.BEV</t>
  </si>
  <si>
    <t>EMIint.gCO2_per_km.EE.Tr.Road.Freight.HGV</t>
  </si>
  <si>
    <t>EMIint.gCO2_per_km.EE.Tr.Road.Freight.HGV.Domestic</t>
  </si>
  <si>
    <t>EMIint.gCO2_per_km.EE.Tr.Road.Freight.HGV.International</t>
  </si>
  <si>
    <t>EMIint.gCO2_per_pkm.EE.Tr.Road.Passenger.Car.ICE.Gasoline</t>
  </si>
  <si>
    <t>EMIint.gCO2_per_pkm.EE.Tr.Road.Passenger.Car.ICE.Diesel</t>
  </si>
  <si>
    <t>EMIint.gCO2_per_pkm.EE.Tr.Road.Passenger.Car.ICE.LPG</t>
  </si>
  <si>
    <t>EMIint.gCO2_per_pkm.EE.Tr.Road.Passenger.Car.ICE.NGas</t>
  </si>
  <si>
    <t>EMIint.gCO2_per_pkm.EE.Tr.Road.Passenger.Car.PHEV</t>
  </si>
  <si>
    <t>EMIint.gCO2_per_pkm.EE.Tr.Road.Passenger.Car.BEV</t>
  </si>
  <si>
    <t>EMIint.gCO2_per_pkm.EE.Tr.Road.Passenger.Bus.ICE.Gasoline</t>
  </si>
  <si>
    <t>EMIint.gCO2_per_pkm.EE.Tr.Road.Passenger.Bus.ICE.Diesel</t>
  </si>
  <si>
    <t>EMIint.gCO2_per_pkm.EE.Tr.Road.Passenger.Bus.ICE.LPG</t>
  </si>
  <si>
    <t>EMIint.gCO2_per_pkm.EE.Tr.Road.Passenger.Bus.ICE.NGas</t>
  </si>
  <si>
    <t>EMIint.gCO2_per_pkm.EE.Tr.Road.Passenger.Bus.ICE.BEV</t>
  </si>
  <si>
    <t>EMIint.gCO2_per_tkm.EE.Tr.Road.Freight.LCV.ICE.Gasoline</t>
  </si>
  <si>
    <t>EMIint.gCO2_per_tkm.EE.Tr.Road.Freight.LCV.ICE.Diesel</t>
  </si>
  <si>
    <t>EMIint.gCO2_per_tkm.EE.Tr.Road.Freight.LCV.ICE.LPG</t>
  </si>
  <si>
    <t>EMIint.gCO2_per_tkm.EE.Tr.Road.Freight.LCV.ICE.NGas</t>
  </si>
  <si>
    <t>EMIint.gCO2_per_tkm.EE.Tr.Road.Freight.LCV.ICE.BEV</t>
  </si>
  <si>
    <t>EMIint.gCO2_per_tkm.EE.Tr.Road.Freight.HGV.Domestic</t>
  </si>
  <si>
    <t>EMIint.gCO2_per_tkm.EE.Tr.Road.Freight.HGV.International</t>
  </si>
  <si>
    <t>EMI_per_vehicle.kgCO2.EE.Tr.Road.Passenger.P2W</t>
  </si>
  <si>
    <t>EMI_per_vehicle.kgCO2.EE.Tr.Road.Passenger.Car</t>
  </si>
  <si>
    <t>EMI_per_vehicle.kgCO2.EE.Tr.Road.Passenger.Car.ICE.Gasoline</t>
  </si>
  <si>
    <t>EMI_per_vehicle.kgCO2.EE.Tr.Road.Passenger.Car.ICE.Diesel</t>
  </si>
  <si>
    <t>EMI_per_vehicle.kgCO2.EE.Tr.Road.Passenger.Car.ICE.LPG</t>
  </si>
  <si>
    <t>EMI_per_vehicle.kgCO2.EE.Tr.Road.Passenger.Car.ICE.NGas</t>
  </si>
  <si>
    <t>EMI_per_vehicle.kgCO2.EE.Tr.Road.Passenger.Car.PHEV</t>
  </si>
  <si>
    <t>EMI_per_vehicle.kgCO2.EE.Tr.Road.Passenger.Car.BEV</t>
  </si>
  <si>
    <t>EMI_per_vehicle.kgCO2.EE.Tr.Road.Passenger.Bus</t>
  </si>
  <si>
    <t>EMI_per_vehicle.kgCO2.EE.Tr.Road.Passenger.Bus.ICE.Gasoline</t>
  </si>
  <si>
    <t>EMI_per_vehicle.kgCO2.EE.Tr.Road.Passenger.Bus.ICE.Diesel</t>
  </si>
  <si>
    <t>EMI_per_vehicle.kgCO2.EE.Tr.Road.Passenger.Bus.ICE.LPG</t>
  </si>
  <si>
    <t>EMI_per_vehicle.kgCO2.EE.Tr.Road.Passenger.Bus.ICE.NGas</t>
  </si>
  <si>
    <t>EMI_per_vehicle.kgCO2.EE.Tr.Road.Passenger.Bus.ICE.BEV</t>
  </si>
  <si>
    <t>EMI_per_vehicle.kgCO2.EE.Tr.Road.Freight.LCV</t>
  </si>
  <si>
    <t>EMI_per_vehicle.kgCO2.EE.Tr.Road.Freight.LCV.ICE.Gasoline</t>
  </si>
  <si>
    <t>EMI_per_vehicle.kgCO2.EE.Tr.Road.Freight.LCV.ICE.Diesel</t>
  </si>
  <si>
    <t>EMI_per_vehicle.kgCO2.EE.Tr.Road.Freight.LCV.ICE.LPG</t>
  </si>
  <si>
    <t>EMI_per_vehicle.kgCO2.EE.Tr.Road.Freight.LCV.ICE.NGas</t>
  </si>
  <si>
    <t>EMI_per_vehicle.kgCO2.EE.Tr.Road.Freight.LCV.ICE.BEV</t>
  </si>
  <si>
    <t>EMI_per_vehicle.kgCO2.EE.Tr.Road.Freight.HGV</t>
  </si>
  <si>
    <t>EMI_per_vehicle.kgCO2.EE.Tr.Road.Freight.HGV.Domestic</t>
  </si>
  <si>
    <t>EMI_per_vehicle.kgCO2.EE.Tr.Road.Freight.HGV.International</t>
  </si>
  <si>
    <t>Road transport / technologies - EE - Estonia</t>
  </si>
  <si>
    <t>StockVin.number.EE.Tr.Road</t>
  </si>
  <si>
    <t>StockVin.number.EE.Tr.Road.Passenger</t>
  </si>
  <si>
    <t>StockVin.number.EE.Tr.Road.Passenger.P2W</t>
  </si>
  <si>
    <t>StockVin.number.EE.Tr.Road.Passenger.Car</t>
  </si>
  <si>
    <t>StockVin.number.EE.Tr.Road.Passenger.Car.ICE.Gasoline</t>
  </si>
  <si>
    <t>StockVin.number.EE.Tr.Road.Passenger.Car.ICE.Diesel</t>
  </si>
  <si>
    <t>StockVin.number.EE.Tr.Road.Passenger.Car.ICE.LPG</t>
  </si>
  <si>
    <t>StockVin.number.EE.Tr.Road.Passenger.Car.ICE.NGas</t>
  </si>
  <si>
    <t>StockVin.number.EE.Tr.Road.Passenger.Car.PHEV</t>
  </si>
  <si>
    <t>StockVin.number.EE.Tr.Road.Passenger.Car.BEV</t>
  </si>
  <si>
    <t>StockVin.number.EE.Tr.Road.Passenger.Bus</t>
  </si>
  <si>
    <t>StockVin.number.EE.Tr.Road.Passenger.Bus.ICE.Gasoline</t>
  </si>
  <si>
    <t>StockVin.number.EE.Tr.Road.Passenger.Bus.ICE.Diesel</t>
  </si>
  <si>
    <t>StockVin.number.EE.Tr.Road.Passenger.Bus.ICE.LPG</t>
  </si>
  <si>
    <t>StockVin.number.EE.Tr.Road.Passenger.Bus.ICE.NGas</t>
  </si>
  <si>
    <t>StockVin.number.EE.Tr.Road.Passenger.Bus.ICE.BEV</t>
  </si>
  <si>
    <t>StockVin.number.EE.Tr.Road.Freight</t>
  </si>
  <si>
    <t>StockVin.number.EE.Tr.Road.Freight.LCV</t>
  </si>
  <si>
    <t>StockVin.number.EE.Tr.Road.Freight.LCV.ICE.Gasoline</t>
  </si>
  <si>
    <t>StockVin.number.EE.Tr.Road.Freight.LCV.ICE.Diesel</t>
  </si>
  <si>
    <t>StockVin.number.EE.Tr.Road.Freight.LCV.ICE.LPG</t>
  </si>
  <si>
    <t>StockVin.number.EE.Tr.Road.Freight.LCV.ICE.NGas</t>
  </si>
  <si>
    <t>StockVin.number.EE.Tr.Road.Freight.LCV.ICE.BEV</t>
  </si>
  <si>
    <t>StockVin.number.EE.Tr.Road.Freight.HGV</t>
  </si>
  <si>
    <t>StockVin.number.EE.Tr.Road.Freight.HGV.Domestic</t>
  </si>
  <si>
    <t>StockVin.number.EE.Tr.Road.Freight.HGV.International</t>
  </si>
  <si>
    <t>Eff_test_stock.kgoe_per_100km.EE.Tr.Road.Passenger.P2W</t>
  </si>
  <si>
    <t>Eff_test_stock.kgoe_per_100km.EE.Tr.Road.Passenger.Car</t>
  </si>
  <si>
    <t>Eff_test_stock.kgoe_per_100km.EE.Tr.Road.Passenger.Car.ICE.Gasoline</t>
  </si>
  <si>
    <t>Eff_test_stock.kgoe_per_100km.EE.Tr.Road.Passenger.Car.ICE.Diesel</t>
  </si>
  <si>
    <t>Eff_test_stock.kgoe_per_100km.EE.Tr.Road.Passenger.Car.ICE.LPG</t>
  </si>
  <si>
    <t>Eff_test_stock.kgoe_per_100km.EE.Tr.Road.Passenger.Car.ICE.NGas</t>
  </si>
  <si>
    <t>Eff_test_stock.kgoe_per_100km.EE.Tr.Road.Passenger.Car.PHEV</t>
  </si>
  <si>
    <t>Eff_test_stock.kgoe_per_100km.EE.Tr.Road.Passenger.Car.BEV</t>
  </si>
  <si>
    <t>Eff_test_stock.kgoe_per_100km.EE.Tr.Road.Passenger.Bus</t>
  </si>
  <si>
    <t>Eff_test_stock.kgoe_per_100km.EE.Tr.Road.Passenger.Bus.ICE.Gasoline</t>
  </si>
  <si>
    <t>Eff_test_stock.kgoe_per_100km.EE.Tr.Road.Passenger.Bus.ICE.Diesel</t>
  </si>
  <si>
    <t>Eff_test_stock.kgoe_per_100km.EE.Tr.Road.Passenger.Bus.ICE.LPG</t>
  </si>
  <si>
    <t>Eff_test_stock.kgoe_per_100km.EE.Tr.Road.Passenger.Bus.ICE.NGas</t>
  </si>
  <si>
    <t>Eff_test_stock.kgoe_per_100km.EE.Tr.Road.Passenger.Bus.ICE.BEV</t>
  </si>
  <si>
    <t>Eff_test_stock.kgoe_per_100km.EE.Tr.Road.Freight.LCV</t>
  </si>
  <si>
    <t>Eff_test_stock.kgoe_per_100km.EE.Tr.Road.Freight.LCV.ICE.Gasoline</t>
  </si>
  <si>
    <t>Eff_test_stock.kgoe_per_100km.EE.Tr.Road.Freight.LCV.ICE.Diesel</t>
  </si>
  <si>
    <t>Eff_test_stock.kgoe_per_100km.EE.Tr.Road.Freight.LCV.ICE.LPG</t>
  </si>
  <si>
    <t>Eff_test_stock.kgoe_per_100km.EE.Tr.Road.Freight.LCV.ICE.NGas</t>
  </si>
  <si>
    <t>Eff_test_stock.kgoe_per_100km.EE.Tr.Road.Freight.LCV.ICE.BEV</t>
  </si>
  <si>
    <t>Eff_test_stock.kgoe_per_100km.EE.Tr.Road.Freight.HGV</t>
  </si>
  <si>
    <t>Eff_test_stock.kgoe_per_100km.EE.Tr.Road.Freight.HGV.Domestic</t>
  </si>
  <si>
    <t>Eff_test_stock.kgoe_per_100km.EE.Tr.Road.Freight.HGV.International</t>
  </si>
  <si>
    <t>Eff_test_new.kgoe_per_100km.EE.Tr.Road.Passenger.P2W</t>
  </si>
  <si>
    <t>Eff_test_new.kgoe_per_100km.EE.Tr.Road.Passenger.Car</t>
  </si>
  <si>
    <t>Eff_test_new.kgoe_per_100km.EE.Tr.Road.Passenger.Car.ICE.Gasoline</t>
  </si>
  <si>
    <t>Eff_test_new.kgoe_per_100km.EE.Tr.Road.Passenger.Car.ICE.Diesel</t>
  </si>
  <si>
    <t>Eff_test_new.kgoe_per_100km.EE.Tr.Road.Passenger.Car.ICE.LPG</t>
  </si>
  <si>
    <t>Eff_test_new.kgoe_per_100km.EE.Tr.Road.Passenger.Car.ICE.NGas</t>
  </si>
  <si>
    <t>Eff_test_new.kgoe_per_100km.EE.Tr.Road.Passenger.Car.PHEV</t>
  </si>
  <si>
    <t>Eff_test_new.kgoe_per_100km.EE.Tr.Road.Passenger.Car.BEV</t>
  </si>
  <si>
    <t>Eff_test_new.kgoe_per_100km.EE.Tr.Road.Passenger.Bus</t>
  </si>
  <si>
    <t>Eff_test_new.kgoe_per_100km.EE.Tr.Road.Passenger.Bus.ICE.Gasoline</t>
  </si>
  <si>
    <t>Eff_test_new.kgoe_per_100km.EE.Tr.Road.Passenger.Bus.ICE.Diesel</t>
  </si>
  <si>
    <t>Eff_test_new.kgoe_per_100km.EE.Tr.Road.Passenger.Bus.ICE.LPG</t>
  </si>
  <si>
    <t>Eff_test_new.kgoe_per_100km.EE.Tr.Road.Passenger.Bus.ICE.NGas</t>
  </si>
  <si>
    <t>Eff_test_new.kgoe_per_100km.EE.Tr.Road.Passenger.Bus.ICE.BEV</t>
  </si>
  <si>
    <t>Eff_test_new.kgoe_per_100km.EE.Tr.Road.Freight.LCV</t>
  </si>
  <si>
    <t>Eff_test_new.kgoe_per_100km.EE.Tr.Road.Freight.LCV.ICE.Gasoline</t>
  </si>
  <si>
    <t>Eff_test_new.kgoe_per_100km.EE.Tr.Road.Freight.LCV.ICE.Diesel</t>
  </si>
  <si>
    <t>Eff_test_new.kgoe_per_100km.EE.Tr.Road.Freight.LCV.ICE.LPG</t>
  </si>
  <si>
    <t>Eff_test_new.kgoe_per_100km.EE.Tr.Road.Freight.LCV.ICE.NGas</t>
  </si>
  <si>
    <t>Eff_test_new.kgoe_per_100km.EE.Tr.Road.Freight.LCV.ICE.BEV</t>
  </si>
  <si>
    <t>Eff_test_new.kgoe_per_100km.EE.Tr.Road.Freight.HGV</t>
  </si>
  <si>
    <t>Eff_test_new.kgoe_per_100km.EE.Tr.Road.Freight.HGV.Domestic</t>
  </si>
  <si>
    <t>Eff_test_new.kgoe_per_100km.EE.Tr.Road.Freight.HGV.International</t>
  </si>
  <si>
    <t>EMIint_test_stock.gCO2_per_km.EE.Tr.Road.Passenger.P2W</t>
  </si>
  <si>
    <t>EMIint_test_stock.gCO2_per_km.EE.Tr.Road.Passenger.Car</t>
  </si>
  <si>
    <t>EMIint_test_stock.gCO2_per_km.EE.Tr.Road.Passenger.Car.ICE.Gasoline</t>
  </si>
  <si>
    <t>EMIint_test_stock.gCO2_per_km.EE.Tr.Road.Passenger.Car.ICE.Diesel</t>
  </si>
  <si>
    <t>EMIint_test_stock.gCO2_per_km.EE.Tr.Road.Passenger.Car.ICE.LPG</t>
  </si>
  <si>
    <t>EMIint_test_stock.gCO2_per_km.EE.Tr.Road.Passenger.Car.ICE.NGas</t>
  </si>
  <si>
    <t>EMIint_test_stock.gCO2_per_km.EE.Tr.Road.Passenger.Car.PHEV</t>
  </si>
  <si>
    <t>EMIint_test_stock.gCO2_per_km.EE.Tr.Road.Passenger.Car.BEV</t>
  </si>
  <si>
    <t>EMIint_test_stock.gCO2_per_km.EE.Tr.Road.Passenger.Bus</t>
  </si>
  <si>
    <t>EMIint_test_stock.gCO2_per_km.EE.Tr.Road.Passenger.Bus.ICE.Gasoline</t>
  </si>
  <si>
    <t>EMIint_test_stock.gCO2_per_km.EE.Tr.Road.Passenger.Bus.ICE.Diesel</t>
  </si>
  <si>
    <t>EMIint_test_stock.gCO2_per_km.EE.Tr.Road.Passenger.Bus.ICE.LPG</t>
  </si>
  <si>
    <t>EMIint_test_stock.gCO2_per_km.EE.Tr.Road.Passenger.Bus.ICE.NGas</t>
  </si>
  <si>
    <t>EMIint_test_stock.gCO2_per_km.EE.Tr.Road.Passenger.Bus.ICE.BEV</t>
  </si>
  <si>
    <t>EMIint_test_stock.gCO2_per_km.EE.Tr.Road.Freight.LCV</t>
  </si>
  <si>
    <t>EMIint_test_stock.gCO2_per_km.EE.Tr.Road.Freight.LCV.ICE.Gasoline</t>
  </si>
  <si>
    <t>EMIint_test_stock.gCO2_per_km.EE.Tr.Road.Freight.LCV.ICE.Diesel</t>
  </si>
  <si>
    <t>EMIint_test_stock.gCO2_per_km.EE.Tr.Road.Freight.LCV.ICE.LPG</t>
  </si>
  <si>
    <t>EMIint_test_stock.gCO2_per_km.EE.Tr.Road.Freight.LCV.ICE.NGas</t>
  </si>
  <si>
    <t>EMIint_test_stock.gCO2_per_km.EE.Tr.Road.Freight.LCV.ICE.BEV</t>
  </si>
  <si>
    <t>EMIint_test_stock.gCO2_per_km.EE.Tr.Road.Freight.HGV</t>
  </si>
  <si>
    <t>EMIint_test_stock.gCO2_per_km.EE.Tr.Road.Freight.HGV.Domestic</t>
  </si>
  <si>
    <t>EMIint_test_stock.gCO2_per_km.EE.Tr.Road.Freight.HGV.International</t>
  </si>
  <si>
    <t>EMIint_test_new.gCO2_per_km.EE.Tr.Road.Passenger.P2W</t>
  </si>
  <si>
    <t>EMIint_test_new.gCO2_per_km.EE.Tr.Road.Passenger.Car</t>
  </si>
  <si>
    <t>EMIint_test_new.gCO2_per_km.EE.Tr.Road.Passenger.Car.ICE.Gasoline</t>
  </si>
  <si>
    <t>EMIint_test_new.gCO2_per_km.EE.Tr.Road.Passenger.Car.ICE.Diesel</t>
  </si>
  <si>
    <t>EMIint_test_new.gCO2_per_km.EE.Tr.Road.Passenger.Car.ICE.LPG</t>
  </si>
  <si>
    <t>EMIint_test_new.gCO2_per_km.EE.Tr.Road.Passenger.Car.ICE.NGas</t>
  </si>
  <si>
    <t>EMIint_test_new.gCO2_per_km.EE.Tr.Road.Passenger.Car.PHEV</t>
  </si>
  <si>
    <t>EMIint_test_new.gCO2_per_km.EE.Tr.Road.Passenger.Car.BEV</t>
  </si>
  <si>
    <t>EMIint_test_new.gCO2_per_km.EE.Tr.Road.Passenger.Bus</t>
  </si>
  <si>
    <t>EMIint_test_new.gCO2_per_km.EE.Tr.Road.Passenger.Bus.ICE.Gasoline</t>
  </si>
  <si>
    <t>EMIint_test_new.gCO2_per_km.EE.Tr.Road.Passenger.Bus.ICE.Diesel</t>
  </si>
  <si>
    <t>EMIint_test_new.gCO2_per_km.EE.Tr.Road.Passenger.Bus.ICE.LPG</t>
  </si>
  <si>
    <t>EMIint_test_new.gCO2_per_km.EE.Tr.Road.Passenger.Bus.ICE.NGas</t>
  </si>
  <si>
    <t>EMIint_test_new.gCO2_per_km.EE.Tr.Road.Passenger.Bus.ICE.BEV</t>
  </si>
  <si>
    <t>EMIint_test_new.gCO2_per_km.EE.Tr.Road.Freight.LCV</t>
  </si>
  <si>
    <t>EMIint_test_new.gCO2_per_km.EE.Tr.Road.Freight.LCV.ICE.Gasoline</t>
  </si>
  <si>
    <t>EMIint_test_new.gCO2_per_km.EE.Tr.Road.Freight.LCV.ICE.Diesel</t>
  </si>
  <si>
    <t>EMIint_test_new.gCO2_per_km.EE.Tr.Road.Freight.LCV.ICE.LPG</t>
  </si>
  <si>
    <t>EMIint_test_new.gCO2_per_km.EE.Tr.Road.Freight.LCV.ICE.NGas</t>
  </si>
  <si>
    <t>EMIint_test_new.gCO2_per_km.EE.Tr.Road.Freight.LCV.ICE.BEV</t>
  </si>
  <si>
    <t>EMIint_test_new.gCO2_per_km.EE.Tr.Road.Freight.HGV</t>
  </si>
  <si>
    <t>EMIint_test_new.gCO2_per_km.EE.Tr.Road.Freight.HGV.Domestic</t>
  </si>
  <si>
    <t>EMIint_test_new.gCO2_per_km.EE.Tr.Road.Freight.HGV.International</t>
  </si>
  <si>
    <t>FEC.ktoe.EE.MBunk</t>
  </si>
  <si>
    <t>FEC.ktoe.EE.MBunk.IntraEEA</t>
  </si>
  <si>
    <t>FEC.ktoe.EE.MBunk.ExtraEEA</t>
  </si>
  <si>
    <t>EMI.ktCO2.EE.MBunk</t>
  </si>
  <si>
    <t>EMI.ktCO2.EE.MBunk.IntraEEA</t>
  </si>
  <si>
    <t>EMI.ktCO2.EE.MBunk.ExtraEEA</t>
  </si>
  <si>
    <t>International maritime bunkers - EE - Estonia</t>
  </si>
  <si>
    <t>VehicleKm.Mkm.EE.MBunk.Freight</t>
  </si>
  <si>
    <t>VehicleKm.Mkm.EE.MBunk.Freight.IntraEEA</t>
  </si>
  <si>
    <t>VehicleKm.Mkm.EE.MBunk.Freight.ExtraEEA</t>
  </si>
  <si>
    <t>Load.t_per_movement.EE.MBunk.Freight</t>
  </si>
  <si>
    <t>Load.t_per_movement.EE.MBunk.Freight.IntraEEA</t>
  </si>
  <si>
    <t>Load.t_per_movement.EE.MBunk.Freight.ExtraEEA</t>
  </si>
  <si>
    <t>International maritime bunkers / energy consumption - EE - Estonia</t>
  </si>
  <si>
    <t>FEC.ktoe.EE.ES.MBunk</t>
  </si>
  <si>
    <t>FEC.ktoe.EE.ES.MBunk.IntraEEA</t>
  </si>
  <si>
    <t>FEC.ktoe.EE.ES.MBunk.IntraEEA.Diesel</t>
  </si>
  <si>
    <t>FEC.ktoe.EE.ES.MBunk.IntraEEA.RFO_Other</t>
  </si>
  <si>
    <t>FEC.ktoe.EE.ES.MBunk.IntraEEA.LiqBio</t>
  </si>
  <si>
    <t>FEC.ktoe.EE.ES.MBunk.IntraEEA.NG</t>
  </si>
  <si>
    <t>FEC.ktoe.EE.ES.MBunk.IntraEEA.Biogas</t>
  </si>
  <si>
    <t>FEC.ktoe.EE.ES.MBunk.ExtraEEA</t>
  </si>
  <si>
    <t>FEC.ktoe.EE.ES.MBunk.ExtraEEA.Diesel</t>
  </si>
  <si>
    <t>FEC.ktoe.EE.ES.MBunk.ExtraEEA.RFO_Other</t>
  </si>
  <si>
    <t>FEC.ktoe.EE.ES.MBunk.ExtraEEA.LiqBio</t>
  </si>
  <si>
    <t>FEC.ktoe.EE.ES.MBunk.ExtraEEA.NG</t>
  </si>
  <si>
    <t>FEC.ktoe.EE.ES.MBunk.ExtraEEA.Biogas</t>
  </si>
  <si>
    <t>Eff.kgoe_per_100km.EE.MBunk.Freight</t>
  </si>
  <si>
    <t>Eff.kgoe_per_100km.EE.MBunk.Freight.IntraEEA</t>
  </si>
  <si>
    <t>Eff.kgoe_per_100km.EE.MBunk.Freight.ExtraEEA</t>
  </si>
  <si>
    <t>International maritime bunkers / CO2 emissions - EE - Estonia</t>
  </si>
  <si>
    <t>EMI.ktCO2.EE.ES.MBunk</t>
  </si>
  <si>
    <t>EMI.ktCO2.EE.ES.MBunk.IntraEEA</t>
  </si>
  <si>
    <t>EMI.ktCO2.EE.ES.MBunk.ExtraEEA</t>
  </si>
  <si>
    <t>EMIint.gCO2_per_km.EE.MBunk.Freight</t>
  </si>
  <si>
    <t>EMIint.gCO2_per_km.EE.MBunk.Freight.IntraEEA</t>
  </si>
  <si>
    <t>EMIint.gCO2_per_km.EE.MBunk.Freight.ExtraEEA</t>
  </si>
  <si>
    <t>FEC.ktoe.EE.Tr.DNavi</t>
  </si>
  <si>
    <t>FEC.ktoe.EE.Tr.Dnavi.DCS</t>
  </si>
  <si>
    <t>FEC.ktoe.EE.Tr.Dnavi.IWW</t>
  </si>
  <si>
    <t>EMI.ktCO2.EE.Tr.DNavi</t>
  </si>
  <si>
    <t>EMI.ktCO2.EE.Tr.Dnavi.DCS</t>
  </si>
  <si>
    <t>EMI.ktCO2.EE.Tr.Dnavi.IWW</t>
  </si>
  <si>
    <t>Domestic navigation - EE - Estonia</t>
  </si>
  <si>
    <t>VehicleKm.Mkm.EE.Tr.DNavi.Freight</t>
  </si>
  <si>
    <t>VehicleKm.Mkm.EE.Tr.DNavi.Freight.DCS</t>
  </si>
  <si>
    <t>VehicleKm.Mkm.EE.Tr.DNavi.Freight.IWW</t>
  </si>
  <si>
    <t>Load.t_per_movement.EE.Tr.DNavi.Freight</t>
  </si>
  <si>
    <t>Load.t_per_movement.EE.Tr.DNavi.Freight.DCS</t>
  </si>
  <si>
    <t>Load.t_per_movement.EE.Tr.DNavi.Freight.IWW</t>
  </si>
  <si>
    <t>Domestic navigation / energy consumption - EE - Estonia</t>
  </si>
  <si>
    <t>FEC.ktoe.EE.ES.Tr.DNavi</t>
  </si>
  <si>
    <t>FEC.ktoe.EE.ES.Tr.DNavi.DCS</t>
  </si>
  <si>
    <t>FEC.ktoe.EE.ES.Tr.DNavi.DCS.Diesel</t>
  </si>
  <si>
    <t>FEC.ktoe.EE.ES.Tr.DNavi.DCS.RFO_Other</t>
  </si>
  <si>
    <t>FEC.ktoe.EE.ES.Tr.DNavi.DCS.LiqBio</t>
  </si>
  <si>
    <t>FEC.ktoe.EE.ES.Tr.DNavi.DCS.NG</t>
  </si>
  <si>
    <t>FEC.ktoe.EE.ES.Tr.DNavi.DCS.Biogas</t>
  </si>
  <si>
    <t>FEC.ktoe.EE.ES.Tr.DNavi.IWW</t>
  </si>
  <si>
    <t>FEC.ktoe.EE.ES.Tr.DNavi.IWW.Diesel</t>
  </si>
  <si>
    <t>FEC.ktoe.EE.ES.Tr.DNavi.IWW.RFO_Other</t>
  </si>
  <si>
    <t>FEC.ktoe.EE.ES.Tr.DNavi.IWW.LiqBio</t>
  </si>
  <si>
    <t>FEC.ktoe.EE.ES.Tr.DNavi.IWW.NG</t>
  </si>
  <si>
    <t>FEC.ktoe.EE.ES.Tr.DNavi.IWW.Biogas</t>
  </si>
  <si>
    <t>Eff.kgoe_per_100km.EE.Tr.DNavi.Freight</t>
  </si>
  <si>
    <t>Eff.kgoe_per_100km.EE.Tr.DNavi.Freight.DCS</t>
  </si>
  <si>
    <t>Eff.kgoe_per_100km.EE.Tr.DNavi.Freight.IWW</t>
  </si>
  <si>
    <t>Domestic navigation / CO2 emissions - EE - Estonia</t>
  </si>
  <si>
    <t>EMI.ktCO2.EE.ES.Tr.DNavi</t>
  </si>
  <si>
    <t>EMI.ktCO2.EE.ES.Tr.DNavi.DCS</t>
  </si>
  <si>
    <t>EMI.ktCO2.EE.ES.Tr.DNavi.IWW</t>
  </si>
  <si>
    <t>EMIint.gCO2_per_km.EE.Tr.DNavi.Freight</t>
  </si>
  <si>
    <t>EMIint.gCO2_per_km.EE.Tr.DNavi.Freight.DCS</t>
  </si>
  <si>
    <t>EMIint.gCO2_per_km.EE.Tr.DNavi.Freight.IWW</t>
  </si>
  <si>
    <t>Rail, metro and tram - EE - Estonia</t>
  </si>
  <si>
    <t>Activity.Mpkm.EE.Tr.Rail.Passenger.CPT.Diesel</t>
  </si>
  <si>
    <t>Activity.Mpkm.EE.Tr.Rail.Passenger.CPT.Elc</t>
  </si>
  <si>
    <t>Activity.Mtkm.EE.Tr.Rail.Freight.Diesel</t>
  </si>
  <si>
    <t>Activity.Mtkm.EE.Tr.Rail.Freight.Elc</t>
  </si>
  <si>
    <t>VehicleKm.Mkm.EE.Tr.Rail</t>
  </si>
  <si>
    <t>VehicleKm.Mkm.EE.Tr.Rail.Passenger</t>
  </si>
  <si>
    <t>VehicleKm.Mkm.EE.Tr.Rail.Passenger.MTU</t>
  </si>
  <si>
    <t>VehicleKm.Mkm.EE.Tr.Rail.Passenger.CPT</t>
  </si>
  <si>
    <t>VehicleKm.Mkm.EE.Tr.Rail.Passenger.CPT.Diesel</t>
  </si>
  <si>
    <t>VehicleKm.Mkm.EE.Tr.Rail.Passenger.CPT.Elc</t>
  </si>
  <si>
    <t>VehicleKm.Mkm.EE.Tr.Rail.Passenger.HST</t>
  </si>
  <si>
    <t>VehicleKm.Mkm.EE.Tr.Rail.Freight</t>
  </si>
  <si>
    <t>VehicleKm.Mkm.EE.Tr.Rail.Freight.Diesel</t>
  </si>
  <si>
    <t>VehicleKm.Mkm.EE.Tr.Rail.Freight.Elc</t>
  </si>
  <si>
    <t>Stock.number.EE.Tr.Rail</t>
  </si>
  <si>
    <t>Stock.number.EE.Tr.Rail.Passenger</t>
  </si>
  <si>
    <t>Stock.number.EE.Tr.Rail.Passenger.MTU</t>
  </si>
  <si>
    <t>Stock.number.EE.Tr.Rail.Passenger.CPT</t>
  </si>
  <si>
    <t>Stock.number.EE.Tr.Rail.Passenger.CPT.Diesel</t>
  </si>
  <si>
    <t>Stock.number.EE.Tr.Rail.Passenger.CPT.Elc</t>
  </si>
  <si>
    <t>Stock.number.EE.Tr.Rail.Passenger.HST</t>
  </si>
  <si>
    <t>Stock.number.EE.Tr.Rail.Freight</t>
  </si>
  <si>
    <t>Stock.number.EE.Tr.Rail.Freight.Diesel</t>
  </si>
  <si>
    <t>Stock.number.EE.Tr.Rail.Freight.Elc</t>
  </si>
  <si>
    <t>StockNew.number.EE.Tr.Rail</t>
  </si>
  <si>
    <t>StockNew.number.EE.Tr.Rail.Passenger</t>
  </si>
  <si>
    <t>StockNew.number.EE.Tr.Rail.Passenger.MTU</t>
  </si>
  <si>
    <t>StockNew.number.EE.Tr.Rail.Passenger.CPT</t>
  </si>
  <si>
    <t>StockNew.number.EE.Tr.Rail.Passenger.CPT.Diesel</t>
  </si>
  <si>
    <t>StockNew.number.EE.Tr.Rail.Passenger.CPT.Elc</t>
  </si>
  <si>
    <t>StockNew.number.EE.Tr.Rail.Passenger.HST</t>
  </si>
  <si>
    <t>StockNew.number.EE.Tr.Rail.Freight</t>
  </si>
  <si>
    <t>StockNew.number.EE.Tr.Rail.Freight.Diesel</t>
  </si>
  <si>
    <t>StockNew.number.EE.Tr.Rail.Freight.Elc</t>
  </si>
  <si>
    <t>Load.passenger_per_movement.EE.Tr.Rail.Passenger</t>
  </si>
  <si>
    <t>Load.passenger_per_movement.EE.Tr.Rail.Passenger.MTU</t>
  </si>
  <si>
    <t>Load.passenger_per_movement.EE.Tr.Rail.Passenger.CPT</t>
  </si>
  <si>
    <t>Load.passenger_per_movement.EE.Tr.Rail.Passenger.CPT.Diesel</t>
  </si>
  <si>
    <t>Load.passenger_per_movement.EE.Tr.Rail.Passenger.CPT.Elc</t>
  </si>
  <si>
    <t>Load.passenger_per_movement.EE.Tr.Rail.Passenger.HST</t>
  </si>
  <si>
    <t>Load.t_per_movement.EE.Tr.Rail.Freight</t>
  </si>
  <si>
    <t>Load.t_per_movement.EE.Tr.Rail.Freight.Diesel</t>
  </si>
  <si>
    <t>Load.t_per_movement.EE.Tr.Rail.Freight.Elc</t>
  </si>
  <si>
    <t>TrCap.seats.EE.Tr.Rail.Passenger</t>
  </si>
  <si>
    <t>TrCap.seats.EE.Tr.Rail.Passenger.MTU</t>
  </si>
  <si>
    <t>TrCap.seats.EE.Tr.Rail.Passenger.CPT</t>
  </si>
  <si>
    <t>TrCap.seats.EE.Tr.Rail.Passenger.CPT.Diesel</t>
  </si>
  <si>
    <t>TrCap.seats.EE.Tr.Rail.Passenger.CPT.Elc</t>
  </si>
  <si>
    <t>TrCap.seats.EE.Tr.Rail.Passenger.HST</t>
  </si>
  <si>
    <t>TrCap.t.EE.Tr.Rail.Freight</t>
  </si>
  <si>
    <t>TrCap.t.EE.Tr.Rail.Freight.Diesel</t>
  </si>
  <si>
    <t>TrCap.t.EE.Tr.Rail.Freight.Elc</t>
  </si>
  <si>
    <t>VehicleKm_per_vehicle.km.EE.Tr.Rail</t>
  </si>
  <si>
    <t>VehicleKm_per_vehicle.km.EE.Tr.Rail.Passenger</t>
  </si>
  <si>
    <t>VehicleKm_per_vehicle.km.EE.Tr.Rail.Passenger.MTU</t>
  </si>
  <si>
    <t>VehicleKm_per_vehicle.km.EE.Tr.Rail.Passenger.CPT</t>
  </si>
  <si>
    <t>VehicleKm_per_vehicle.km.EE.Tr.Rail.Passenger.CPT.Diesel</t>
  </si>
  <si>
    <t>VehicleKm_per_vehicle.km.EE.Tr.Rail.Passenger.CPT.Elc</t>
  </si>
  <si>
    <t>VehicleKm_per_vehicle.km.EE.Tr.Rail.Passenger.HST</t>
  </si>
  <si>
    <t>VehicleKm_per_vehicle.km.EE.Tr.Rail.Freight</t>
  </si>
  <si>
    <t>VehicleKm_per_vehicle.km.EE.Tr.Rail.Freight.Diesel</t>
  </si>
  <si>
    <t>VehicleKm_per_vehicle.km.EE.Tr.Rail.Freight.Elc</t>
  </si>
  <si>
    <t>Activity_per_vehicle.pkm.EE.Tr.Rail.Passenger</t>
  </si>
  <si>
    <t>Activity_per_vehicle.pkm.EE.Tr.Rail.Passenger.MTU</t>
  </si>
  <si>
    <t>Activity_per_vehicle.pkm.EE.Tr.Rail.Passenger.CPT</t>
  </si>
  <si>
    <t>Activity_per_vehicle.pkm.EE.Tr.Rail.Passenger.CPT.Diesel</t>
  </si>
  <si>
    <t>Activity_per_vehicle.pkm.EE.Tr.Rail.Passenger.CPT.Elc</t>
  </si>
  <si>
    <t>Activity_per_vehicle.pkm.EE.Tr.Rail.Passenger.HST</t>
  </si>
  <si>
    <t>Activity_per_vehicle.tkm.EE.Tr.Rail.Freight</t>
  </si>
  <si>
    <t>Activity_per_vehicle.tkm.EE.Tr.Rail.Freight.Diesel</t>
  </si>
  <si>
    <t>Activity_per_vehicle.tkm.EE.Tr.Rail.Freight.Elc</t>
  </si>
  <si>
    <t>Rail, metro and tram / energy consumption - EE - Estonia</t>
  </si>
  <si>
    <t>FEC.ktoe.EE.ES.Tr.Rail</t>
  </si>
  <si>
    <t>FEC.ktoe.EE.ES.Tr.Rail.Diesel</t>
  </si>
  <si>
    <t>FEC.ktoe.EE.ES.Tr.Rail.LiqBio</t>
  </si>
  <si>
    <t>FEC.ktoe.EE.ES.Tr.Rail.Elec</t>
  </si>
  <si>
    <t>FEC.ktoe.EE.Tr.Rail</t>
  </si>
  <si>
    <t>FEC.ktoe.EE.Tr.Rail.Passenger.CPT.Diesel</t>
  </si>
  <si>
    <t>FEC.ktoe.EE.Tr.Rail.Passenger.CPT.Elc</t>
  </si>
  <si>
    <t>FEC.ktoe.EE.Tr.Rail.Freight.Diesel</t>
  </si>
  <si>
    <t>FEC.ktoe.EE.Tr.Rail.Freight.Elc</t>
  </si>
  <si>
    <t>Eff.kgoe_per_100km.EE.Tr.Rail</t>
  </si>
  <si>
    <t>Eff.kgoe_per_100km.EE.Tr.Rail.Passenger</t>
  </si>
  <si>
    <t>Eff.kgoe_per_100km.EE.Tr.Rail.Passenger.MTU</t>
  </si>
  <si>
    <t>Eff.kgoe_per_100km.EE.Tr.Rail.Passenger.CPT</t>
  </si>
  <si>
    <t>Eff.kgoe_per_100km.EE.Tr.Rail.Passenger.CPT.Diesel</t>
  </si>
  <si>
    <t>Eff.kgoe_per_100km.EE.Tr.Rail.Passenger.CPT.Elc</t>
  </si>
  <si>
    <t>Eff.kgoe_per_100km.EE.Tr.Rail.Passenger.HST</t>
  </si>
  <si>
    <t>Eff.kgoe_per_100km.EE.Tr.Rail.Freight</t>
  </si>
  <si>
    <t>Eff.kgoe_per_100km.EE.Tr.Rail.Freight.Diesel</t>
  </si>
  <si>
    <t>Eff.kgoe_per_100km.EE.Tr.Rail.Freight.Elc</t>
  </si>
  <si>
    <t>Eff.kgoe_per_kpkm.EE.Tr.Rail.Passenger.CPT.Diesel</t>
  </si>
  <si>
    <t>Eff.kgoe_per_kpkm.EE.Tr.Rail.Passenger.CPT.Elc</t>
  </si>
  <si>
    <t>Eff.kgoe_per_ktkm.EE.Tr.Rail.Freight.Diesel</t>
  </si>
  <si>
    <t>Eff.kgoe_per_ktkm.EE.Tr.Rail.Freight.Elc</t>
  </si>
  <si>
    <t>FEC_per_vehicle.kgoe.EE.Tr.Rail</t>
  </si>
  <si>
    <t>FEC_per_vehicle.kgoe.EE.Tr.Rail.Passenger</t>
  </si>
  <si>
    <t>FEC_per_vehicle.kgoe.EE.Tr.Rail.Passenger.MTU</t>
  </si>
  <si>
    <t>FEC_per_vehicle.kgoe.EE.Tr.Rail.Passenger.CPT</t>
  </si>
  <si>
    <t>FEC_per_vehicle.kgoe.EE.Tr.Rail.Passenger.CPT.Diesel</t>
  </si>
  <si>
    <t>FEC_per_vehicle.kgoe.EE.Tr.Rail.Passenger.CPT.Elc</t>
  </si>
  <si>
    <t>FEC_per_vehicle.kgoe.EE.Tr.Rail.Passenger.HST</t>
  </si>
  <si>
    <t>FEC_per_vehicle.kgoe.EE.Tr.Rail.Freight</t>
  </si>
  <si>
    <t>FEC_per_vehicle.kgoe.EE.Tr.Rail.Freight.Diesel</t>
  </si>
  <si>
    <t>FEC_per_vehicle.kgoe.EE.Tr.Rail.Freight.Elc</t>
  </si>
  <si>
    <t>Rail, metro and tram / CO2 emissions - EE - Estonia</t>
  </si>
  <si>
    <t>EMI.ktCO2.EE.ES.Tr.Rail</t>
  </si>
  <si>
    <t>EMI.ktCO2.EE.ES.Tr.Rail.Diesel</t>
  </si>
  <si>
    <t>EMI.ktCO2.EE.ES.Tr.Rail.Elec</t>
  </si>
  <si>
    <t>EMI.ktCO2.EE.Tr.Rail</t>
  </si>
  <si>
    <t>EMI.ktCO2.EE.Tr.Rail.Passenger.CPT.Diesel</t>
  </si>
  <si>
    <t>EMI.ktCO2.EE.Tr.Rail.Passenger.CPT.Elc</t>
  </si>
  <si>
    <t>EMI.ktCO2.EE.Tr.Rail.Freight.Diesel</t>
  </si>
  <si>
    <t>EMI.ktCO2.EE.Tr.Rail.Freight.Elc</t>
  </si>
  <si>
    <t>EMIint.gCO2_per_km.EE.Tr.Rail</t>
  </si>
  <si>
    <t>EMIint.gCO2_per_km.EE.Tr.Rail.Passenger</t>
  </si>
  <si>
    <t>EMIint.gCO2_per_km.EE.Tr.Rail.Passenger.MTU</t>
  </si>
  <si>
    <t>EMIint.gCO2_per_km.EE.Tr.Rail.Passenger.CPT</t>
  </si>
  <si>
    <t>EMIint.gCO2_per_km.EE.Tr.Rail.Passenger.CPT.Diesel</t>
  </si>
  <si>
    <t>EMIint.gCO2_per_km.EE.Tr.Rail.Passenger.CPT.Elc</t>
  </si>
  <si>
    <t>EMIint.gCO2_per_km.EE.Tr.Rail.Passenger.HST</t>
  </si>
  <si>
    <t>EMIint.gCO2_per_km.EE.Tr.Rail.Freight</t>
  </si>
  <si>
    <t>EMIint.gCO2_per_km.EE.Tr.Rail.Freight.Diesel</t>
  </si>
  <si>
    <t>EMIint.gCO2_per_km.EE.Tr.Rail.Freight.Elc</t>
  </si>
  <si>
    <t>EMIint.gCO2_per_pkm.EE.Tr.Rail.Passenger.CPT.Diesel</t>
  </si>
  <si>
    <t>EMIint.gCO2_per_pkm.EE.Tr.Rail.Passenger.CPT.Elc</t>
  </si>
  <si>
    <t>EMIint.gCO2_per_tkm.EE.Tr.Rail.Freight.Diesel</t>
  </si>
  <si>
    <t>EMIint.gCO2_per_tkm.EE.Tr.Rail.Freight.Elc</t>
  </si>
  <si>
    <t>EMI_per_vehicle.tCO2.EE.Tr.Rail</t>
  </si>
  <si>
    <t>EMI_per_vehicle.tCO2.EE.Tr.Rail.Passenger</t>
  </si>
  <si>
    <t>EMI_per_vehicle.tCO2.EE.Tr.Rail.Passenger.MTU</t>
  </si>
  <si>
    <t>EMI_per_vehicle.tCO2.EE.Tr.Rail.Passenger.CPT</t>
  </si>
  <si>
    <t>EMI_per_vehicle.tCO2.EE.Tr.Rail.Passenger.CPT.Diesel</t>
  </si>
  <si>
    <t>EMI_per_vehicle.tCO2.EE.Tr.Rail.Passenger.CPT.Elc</t>
  </si>
  <si>
    <t>EMI_per_vehicle.tCO2.EE.Tr.Rail.Passenger.HST</t>
  </si>
  <si>
    <t>EMI_per_vehicle.tCO2.EE.Tr.Rail.Freight</t>
  </si>
  <si>
    <t>EMI_per_vehicle.tCO2.EE.Tr.Rail.Freight.Diesel</t>
  </si>
  <si>
    <t>EMI_per_vehicle.tCO2.EE.Tr.Rail.Freight.Elc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</si>
</sst>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45432.783958333333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10204.064954757851</v>
      </c>
      <c r="C4" s="28">
        <f t="shared" si="0"/>
        <v>9988.4603641963131</v>
      </c>
      <c r="D4" s="28">
        <f t="shared" si="0"/>
        <v>10127.915992115708</v>
      </c>
      <c r="E4" s="28">
        <f t="shared" si="0"/>
        <v>10782.539423864113</v>
      </c>
      <c r="F4" s="28">
        <f t="shared" si="0"/>
        <v>11314.807442017143</v>
      </c>
      <c r="G4" s="28">
        <f t="shared" si="0"/>
        <v>14107.324850602879</v>
      </c>
      <c r="H4" s="28">
        <f t="shared" si="0"/>
        <v>14331.272027142171</v>
      </c>
      <c r="I4" s="28">
        <f t="shared" si="0"/>
        <v>14262.284056228025</v>
      </c>
      <c r="J4" s="28">
        <f t="shared" si="0"/>
        <v>14551.738834391763</v>
      </c>
      <c r="K4" s="28">
        <f t="shared" si="0"/>
        <v>13731.094494572171</v>
      </c>
      <c r="L4" s="28">
        <f t="shared" si="0"/>
        <v>13375.207165586648</v>
      </c>
      <c r="M4" s="28">
        <f t="shared" si="0"/>
        <v>13952.575853719871</v>
      </c>
      <c r="N4" s="28">
        <f t="shared" si="0"/>
        <v>14435.953202903886</v>
      </c>
      <c r="O4" s="28">
        <f t="shared" si="0"/>
        <v>14621.326308192556</v>
      </c>
      <c r="P4" s="28">
        <f t="shared" si="0"/>
        <v>15374.008484088239</v>
      </c>
      <c r="Q4" s="28">
        <f t="shared" si="0"/>
        <v>16417.073514868065</v>
      </c>
      <c r="R4" s="28">
        <f t="shared" ref="R4:V4" si="1">R5+R9+R13</f>
        <v>17540.929254287908</v>
      </c>
      <c r="S4" s="28">
        <f t="shared" si="1"/>
        <v>17962.706461709717</v>
      </c>
      <c r="T4" s="28">
        <f t="shared" si="1"/>
        <v>18517.99744362769</v>
      </c>
      <c r="U4" s="28">
        <f t="shared" si="1"/>
        <v>19792.192379816712</v>
      </c>
      <c r="V4" s="28">
        <f t="shared" si="1"/>
        <v>14454.194106920351</v>
      </c>
      <c r="W4" s="28">
        <f t="shared" ref="W4" si="2">W5+W9+W13</f>
        <v>15838.62319196988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9321.4477789292177</v>
      </c>
      <c r="C5" s="137">
        <f t="shared" si="3"/>
        <v>9279.6165325981128</v>
      </c>
      <c r="D5" s="137">
        <f t="shared" si="3"/>
        <v>9399.7523856801563</v>
      </c>
      <c r="E5" s="137">
        <f t="shared" si="3"/>
        <v>9971.4791404153366</v>
      </c>
      <c r="F5" s="137">
        <f t="shared" si="3"/>
        <v>10294.521911565083</v>
      </c>
      <c r="G5" s="137">
        <f t="shared" si="3"/>
        <v>12659.005262880864</v>
      </c>
      <c r="H5" s="137">
        <f t="shared" si="3"/>
        <v>12844.231271318135</v>
      </c>
      <c r="I5" s="137">
        <f t="shared" si="3"/>
        <v>12697.2476761827</v>
      </c>
      <c r="J5" s="137">
        <f t="shared" si="3"/>
        <v>12977.13525681212</v>
      </c>
      <c r="K5" s="137">
        <f t="shared" si="3"/>
        <v>12639.322454444089</v>
      </c>
      <c r="L5" s="137">
        <f t="shared" si="3"/>
        <v>12187.693661661877</v>
      </c>
      <c r="M5" s="137">
        <f t="shared" si="3"/>
        <v>12483.175410518201</v>
      </c>
      <c r="N5" s="137">
        <f t="shared" si="3"/>
        <v>12737.301822257876</v>
      </c>
      <c r="O5" s="137">
        <f t="shared" si="3"/>
        <v>13227.593893942867</v>
      </c>
      <c r="P5" s="137">
        <f t="shared" si="3"/>
        <v>13884.383735465814</v>
      </c>
      <c r="Q5" s="137">
        <f t="shared" si="3"/>
        <v>14751.743258112343</v>
      </c>
      <c r="R5" s="137">
        <f t="shared" ref="R5:V5" si="4">R6+R7+R8</f>
        <v>15845.053521748809</v>
      </c>
      <c r="S5" s="137">
        <f t="shared" si="4"/>
        <v>16013.415264946099</v>
      </c>
      <c r="T5" s="137">
        <f t="shared" si="4"/>
        <v>16241.004747282019</v>
      </c>
      <c r="U5" s="137">
        <f t="shared" si="4"/>
        <v>17313.662699665219</v>
      </c>
      <c r="V5" s="137">
        <f t="shared" si="4"/>
        <v>13637.469237045136</v>
      </c>
      <c r="W5" s="137">
        <f t="shared" ref="W5" si="5">W6+W7+W8</f>
        <v>14450.793725719896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9.3320789292189712</v>
      </c>
      <c r="C6" s="102">
        <f>TrRoad_act!C$5</f>
        <v>9.4635325981126961</v>
      </c>
      <c r="D6" s="102">
        <f>TrRoad_act!D$5</f>
        <v>10.112785680156502</v>
      </c>
      <c r="E6" s="102">
        <f>TrRoad_act!E$5</f>
        <v>11.167640415337718</v>
      </c>
      <c r="F6" s="102">
        <f>TrRoad_act!F$5</f>
        <v>12.521911565083904</v>
      </c>
      <c r="G6" s="102">
        <f>TrRoad_act!G$5</f>
        <v>14.005262880865113</v>
      </c>
      <c r="H6" s="102">
        <f>TrRoad_act!H$5</f>
        <v>17.231271318134564</v>
      </c>
      <c r="I6" s="102">
        <f>TrRoad_act!I$5</f>
        <v>20.247676182702449</v>
      </c>
      <c r="J6" s="102">
        <f>TrRoad_act!J$5</f>
        <v>24.135256812120755</v>
      </c>
      <c r="K6" s="102">
        <f>TrRoad_act!K$5</f>
        <v>25.322454444087821</v>
      </c>
      <c r="L6" s="102">
        <f>TrRoad_act!L$5</f>
        <v>26.693661661878945</v>
      </c>
      <c r="M6" s="102">
        <f>TrRoad_act!M$5</f>
        <v>31.39888797027978</v>
      </c>
      <c r="N6" s="102">
        <f>TrRoad_act!N$5</f>
        <v>47.406745104748516</v>
      </c>
      <c r="O6" s="102">
        <f>TrRoad_act!O$5</f>
        <v>51.860571445915191</v>
      </c>
      <c r="P6" s="102">
        <f>TrRoad_act!P$5</f>
        <v>56.632393053032928</v>
      </c>
      <c r="Q6" s="102">
        <f>TrRoad_act!Q$5</f>
        <v>60.794771131102578</v>
      </c>
      <c r="R6" s="102">
        <f>TrRoad_act!R$5</f>
        <v>66.204736145334735</v>
      </c>
      <c r="S6" s="102">
        <f>TrRoad_act!S$5</f>
        <v>63.172158623024558</v>
      </c>
      <c r="T6" s="102">
        <f>TrRoad_act!T$5</f>
        <v>60.822224620304972</v>
      </c>
      <c r="U6" s="102">
        <f>TrRoad_act!U$5</f>
        <v>65.162699665214319</v>
      </c>
      <c r="V6" s="102">
        <f>TrRoad_act!V$5</f>
        <v>58.774633911389316</v>
      </c>
      <c r="W6" s="102">
        <f>TrRoad_act!W$5</f>
        <v>61.538855660825355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6682.1156999999994</v>
      </c>
      <c r="C7" s="102">
        <f>TrRoad_act!C$6</f>
        <v>6809.1529999999993</v>
      </c>
      <c r="D7" s="102">
        <f>TrRoad_act!D$6</f>
        <v>7059.6396000000004</v>
      </c>
      <c r="E7" s="102">
        <f>TrRoad_act!E$6</f>
        <v>7663.3114999999998</v>
      </c>
      <c r="F7" s="102">
        <f>TrRoad_act!F$6</f>
        <v>7813</v>
      </c>
      <c r="G7" s="102">
        <f>TrRoad_act!G$6</f>
        <v>9929</v>
      </c>
      <c r="H7" s="102">
        <f>TrRoad_act!H$6</f>
        <v>9946</v>
      </c>
      <c r="I7" s="102">
        <f>TrRoad_act!I$6</f>
        <v>9999.9999999999982</v>
      </c>
      <c r="J7" s="102">
        <f>TrRoad_act!J$6</f>
        <v>10500</v>
      </c>
      <c r="K7" s="102">
        <f>TrRoad_act!K$6</f>
        <v>10500.000000000002</v>
      </c>
      <c r="L7" s="102">
        <f>TrRoad_act!L$6</f>
        <v>10099.999999999998</v>
      </c>
      <c r="M7" s="102">
        <f>TrRoad_act!M$6</f>
        <v>10381.082222547921</v>
      </c>
      <c r="N7" s="102">
        <f>TrRoad_act!N$6</f>
        <v>10808.595077153128</v>
      </c>
      <c r="O7" s="102">
        <f>TrRoad_act!O$6</f>
        <v>11246.133322496951</v>
      </c>
      <c r="P7" s="102">
        <f>TrRoad_act!P$6</f>
        <v>11852.001342412781</v>
      </c>
      <c r="Q7" s="102">
        <f>TrRoad_act!Q$6</f>
        <v>12331.94848698124</v>
      </c>
      <c r="R7" s="102">
        <f>TrRoad_act!R$6</f>
        <v>12840.848785603474</v>
      </c>
      <c r="S7" s="102">
        <f>TrRoad_act!S$6</f>
        <v>13081.243106323074</v>
      </c>
      <c r="T7" s="102">
        <f>TrRoad_act!T$6</f>
        <v>13340.182522661713</v>
      </c>
      <c r="U7" s="102">
        <f>TrRoad_act!U$6</f>
        <v>14095.500000000004</v>
      </c>
      <c r="V7" s="102">
        <f>TrRoad_act!V$6</f>
        <v>12204.694603133747</v>
      </c>
      <c r="W7" s="102">
        <f>TrRoad_act!W$6</f>
        <v>13101.254870059071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2630</v>
      </c>
      <c r="C8" s="102">
        <f>TrRoad_act!C$13</f>
        <v>2461</v>
      </c>
      <c r="D8" s="102">
        <f>TrRoad_act!D$13</f>
        <v>2330</v>
      </c>
      <c r="E8" s="102">
        <f>TrRoad_act!E$13</f>
        <v>2297</v>
      </c>
      <c r="F8" s="102">
        <f>TrRoad_act!F$13</f>
        <v>2469</v>
      </c>
      <c r="G8" s="102">
        <f>TrRoad_act!G$13</f>
        <v>2716</v>
      </c>
      <c r="H8" s="102">
        <f>TrRoad_act!H$13</f>
        <v>2881</v>
      </c>
      <c r="I8" s="102">
        <f>TrRoad_act!I$13</f>
        <v>2676.9999999999995</v>
      </c>
      <c r="J8" s="102">
        <f>TrRoad_act!J$13</f>
        <v>2453</v>
      </c>
      <c r="K8" s="102">
        <f>TrRoad_act!K$13</f>
        <v>2114</v>
      </c>
      <c r="L8" s="102">
        <f>TrRoad_act!L$13</f>
        <v>2061</v>
      </c>
      <c r="M8" s="102">
        <f>TrRoad_act!M$13</f>
        <v>2070.6943000000001</v>
      </c>
      <c r="N8" s="102">
        <f>TrRoad_act!N$13</f>
        <v>1881.3000000000002</v>
      </c>
      <c r="O8" s="102">
        <f>TrRoad_act!O$13</f>
        <v>1929.6</v>
      </c>
      <c r="P8" s="102">
        <f>TrRoad_act!P$13</f>
        <v>1975.7500000000002</v>
      </c>
      <c r="Q8" s="102">
        <f>TrRoad_act!Q$13</f>
        <v>2359</v>
      </c>
      <c r="R8" s="102">
        <f>TrRoad_act!R$13</f>
        <v>2938.0000000000005</v>
      </c>
      <c r="S8" s="102">
        <f>TrRoad_act!S$13</f>
        <v>2869</v>
      </c>
      <c r="T8" s="102">
        <f>TrRoad_act!T$13</f>
        <v>2840</v>
      </c>
      <c r="U8" s="102">
        <f>TrRoad_act!U$13</f>
        <v>3153</v>
      </c>
      <c r="V8" s="102">
        <f>TrRoad_act!V$13</f>
        <v>1373.9999999999998</v>
      </c>
      <c r="W8" s="102">
        <f>TrRoad_act!W$13</f>
        <v>1288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365.7</v>
      </c>
      <c r="C9" s="110">
        <f t="shared" si="6"/>
        <v>270.24900000000002</v>
      </c>
      <c r="D9" s="110">
        <f t="shared" si="6"/>
        <v>269.35000000000002</v>
      </c>
      <c r="E9" s="110">
        <f t="shared" si="6"/>
        <v>275.11399999999998</v>
      </c>
      <c r="F9" s="110">
        <f t="shared" si="6"/>
        <v>276.39999999999998</v>
      </c>
      <c r="G9" s="110">
        <f t="shared" si="6"/>
        <v>323.3</v>
      </c>
      <c r="H9" s="110">
        <f t="shared" si="6"/>
        <v>335.6</v>
      </c>
      <c r="I9" s="110">
        <f t="shared" si="6"/>
        <v>353.2</v>
      </c>
      <c r="J9" s="110">
        <f t="shared" si="6"/>
        <v>345.84699999999998</v>
      </c>
      <c r="K9" s="110">
        <f t="shared" si="6"/>
        <v>320.84699999999998</v>
      </c>
      <c r="L9" s="110">
        <f t="shared" si="6"/>
        <v>318.84699999999998</v>
      </c>
      <c r="M9" s="110">
        <f t="shared" si="6"/>
        <v>307.84800000000001</v>
      </c>
      <c r="N9" s="110">
        <f t="shared" si="6"/>
        <v>327.40100000000001</v>
      </c>
      <c r="O9" s="110">
        <f t="shared" si="6"/>
        <v>298.76400000000001</v>
      </c>
      <c r="P9" s="110">
        <f t="shared" si="6"/>
        <v>338.51800000000003</v>
      </c>
      <c r="Q9" s="110">
        <f t="shared" si="6"/>
        <v>341.14600000000002</v>
      </c>
      <c r="R9" s="110">
        <f t="shared" ref="R9:V9" si="7">R10+R11+R12</f>
        <v>373.03399999999999</v>
      </c>
      <c r="S9" s="110">
        <f t="shared" si="7"/>
        <v>425.60500000000002</v>
      </c>
      <c r="T9" s="110">
        <f t="shared" si="7"/>
        <v>500.892</v>
      </c>
      <c r="U9" s="110">
        <f t="shared" si="7"/>
        <v>479.34800000000001</v>
      </c>
      <c r="V9" s="110">
        <f t="shared" si="7"/>
        <v>313.43399999999997</v>
      </c>
      <c r="W9" s="110">
        <f t="shared" ref="W9" si="8">W10+W11+W12</f>
        <v>346.89963879999999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104.7</v>
      </c>
      <c r="C10" s="102">
        <f>TrRail_act!C$5</f>
        <v>87.6</v>
      </c>
      <c r="D10" s="102">
        <f>TrRail_act!D$5</f>
        <v>92.4</v>
      </c>
      <c r="E10" s="102">
        <f>TrRail_act!E$5</f>
        <v>93.3</v>
      </c>
      <c r="F10" s="102">
        <f>TrRail_act!F$5</f>
        <v>83.4</v>
      </c>
      <c r="G10" s="102">
        <f>TrRail_act!G$5</f>
        <v>75.300000000000011</v>
      </c>
      <c r="H10" s="102">
        <f>TrRail_act!H$5</f>
        <v>78.600000000000009</v>
      </c>
      <c r="I10" s="102">
        <f>TrRail_act!I$5</f>
        <v>79.199999999999989</v>
      </c>
      <c r="J10" s="102">
        <f>TrRail_act!J$5</f>
        <v>71.846999999999994</v>
      </c>
      <c r="K10" s="102">
        <f>TrRail_act!K$5</f>
        <v>71.846999999999994</v>
      </c>
      <c r="L10" s="102">
        <f>TrRail_act!L$5</f>
        <v>71.846999999999994</v>
      </c>
      <c r="M10" s="102">
        <f>TrRail_act!M$5</f>
        <v>64.847999999999999</v>
      </c>
      <c r="N10" s="102">
        <f>TrRail_act!N$5</f>
        <v>92.400999999999996</v>
      </c>
      <c r="O10" s="102">
        <f>TrRail_act!O$5</f>
        <v>75.763999999999996</v>
      </c>
      <c r="P10" s="102">
        <f>TrRail_act!P$5</f>
        <v>58.518000000000001</v>
      </c>
      <c r="Q10" s="102">
        <f>TrRail_act!Q$5</f>
        <v>55.146000000000001</v>
      </c>
      <c r="R10" s="102">
        <f>TrRail_act!R$5</f>
        <v>57.033999999999999</v>
      </c>
      <c r="S10" s="102">
        <f>TrRail_act!S$5</f>
        <v>59.604999999999997</v>
      </c>
      <c r="T10" s="102">
        <f>TrRail_act!T$5</f>
        <v>83.891999999999996</v>
      </c>
      <c r="U10" s="102">
        <f>TrRail_act!U$5</f>
        <v>87.347999999999999</v>
      </c>
      <c r="V10" s="102">
        <f>TrRail_act!V$5</f>
        <v>50.433999999999997</v>
      </c>
      <c r="W10" s="102">
        <f>TrRail_act!W$5</f>
        <v>56.899638799999998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261</v>
      </c>
      <c r="C11" s="102">
        <f>TrRail_act!C$6</f>
        <v>182.649</v>
      </c>
      <c r="D11" s="102">
        <f>TrRail_act!D$6</f>
        <v>176.95</v>
      </c>
      <c r="E11" s="102">
        <f>TrRail_act!E$6</f>
        <v>181.81399999999999</v>
      </c>
      <c r="F11" s="102">
        <f>TrRail_act!F$6</f>
        <v>193</v>
      </c>
      <c r="G11" s="102">
        <f>TrRail_act!G$6</f>
        <v>248</v>
      </c>
      <c r="H11" s="102">
        <f>TrRail_act!H$6</f>
        <v>257</v>
      </c>
      <c r="I11" s="102">
        <f>TrRail_act!I$6</f>
        <v>274</v>
      </c>
      <c r="J11" s="102">
        <f>TrRail_act!J$6</f>
        <v>274</v>
      </c>
      <c r="K11" s="102">
        <f>TrRail_act!K$6</f>
        <v>249</v>
      </c>
      <c r="L11" s="102">
        <f>TrRail_act!L$6</f>
        <v>247</v>
      </c>
      <c r="M11" s="102">
        <f>TrRail_act!M$6</f>
        <v>243</v>
      </c>
      <c r="N11" s="102">
        <f>TrRail_act!N$6</f>
        <v>235</v>
      </c>
      <c r="O11" s="102">
        <f>TrRail_act!O$6</f>
        <v>223</v>
      </c>
      <c r="P11" s="102">
        <f>TrRail_act!P$6</f>
        <v>280</v>
      </c>
      <c r="Q11" s="102">
        <f>TrRail_act!Q$6</f>
        <v>286</v>
      </c>
      <c r="R11" s="102">
        <f>TrRail_act!R$6</f>
        <v>316</v>
      </c>
      <c r="S11" s="102">
        <f>TrRail_act!S$6</f>
        <v>366</v>
      </c>
      <c r="T11" s="102">
        <f>TrRail_act!T$6</f>
        <v>417</v>
      </c>
      <c r="U11" s="102">
        <f>TrRail_act!U$6</f>
        <v>392</v>
      </c>
      <c r="V11" s="102">
        <f>TrRail_act!V$6</f>
        <v>263</v>
      </c>
      <c r="W11" s="102">
        <f>TrRail_act!W$6</f>
        <v>290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516.91717582863112</v>
      </c>
      <c r="C13" s="110">
        <f t="shared" ref="C13:V13" si="10">C14+C15+C16</f>
        <v>438.59483159819985</v>
      </c>
      <c r="D13" s="110">
        <f t="shared" si="10"/>
        <v>458.81360643555161</v>
      </c>
      <c r="E13" s="110">
        <f t="shared" si="10"/>
        <v>535.94628344877617</v>
      </c>
      <c r="F13" s="110">
        <f t="shared" si="10"/>
        <v>743.88553045205936</v>
      </c>
      <c r="G13" s="110">
        <f t="shared" si="10"/>
        <v>1125.0195877220151</v>
      </c>
      <c r="H13" s="110">
        <f t="shared" si="10"/>
        <v>1151.4407558240373</v>
      </c>
      <c r="I13" s="110">
        <f t="shared" si="10"/>
        <v>1211.8363800453246</v>
      </c>
      <c r="J13" s="110">
        <f t="shared" si="10"/>
        <v>1228.7565775796425</v>
      </c>
      <c r="K13" s="110">
        <f t="shared" si="10"/>
        <v>770.92504012808263</v>
      </c>
      <c r="L13" s="110">
        <f t="shared" si="10"/>
        <v>868.66650392477027</v>
      </c>
      <c r="M13" s="110">
        <f t="shared" si="10"/>
        <v>1161.5524432016707</v>
      </c>
      <c r="N13" s="110">
        <f t="shared" si="10"/>
        <v>1371.2503806460093</v>
      </c>
      <c r="O13" s="110">
        <f t="shared" si="10"/>
        <v>1094.9684142496903</v>
      </c>
      <c r="P13" s="110">
        <f t="shared" si="10"/>
        <v>1151.1067486224263</v>
      </c>
      <c r="Q13" s="110">
        <f t="shared" si="10"/>
        <v>1324.1842567557205</v>
      </c>
      <c r="R13" s="110">
        <f t="shared" si="10"/>
        <v>1322.8417325391015</v>
      </c>
      <c r="S13" s="110">
        <f t="shared" si="10"/>
        <v>1523.6861967636166</v>
      </c>
      <c r="T13" s="110">
        <f t="shared" si="10"/>
        <v>1776.1006963456712</v>
      </c>
      <c r="U13" s="110">
        <f t="shared" si="10"/>
        <v>1999.1816801514888</v>
      </c>
      <c r="V13" s="110">
        <f t="shared" si="10"/>
        <v>503.29086987521646</v>
      </c>
      <c r="W13" s="110">
        <f t="shared" ref="W13" si="11">W14+W15+W16</f>
        <v>1040.9298274499845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441.60303149397254</v>
      </c>
      <c r="C15" s="102">
        <f>TrAvia_act!C$6</f>
        <v>375.86656296380124</v>
      </c>
      <c r="D15" s="102">
        <f>TrAvia_act!D$6</f>
        <v>386.66919373444284</v>
      </c>
      <c r="E15" s="102">
        <f>TrAvia_act!E$6</f>
        <v>447.43392889374002</v>
      </c>
      <c r="F15" s="102">
        <f>TrAvia_act!F$6</f>
        <v>603.91306308870992</v>
      </c>
      <c r="G15" s="102">
        <f>TrAvia_act!G$6</f>
        <v>924.13829379408708</v>
      </c>
      <c r="H15" s="102">
        <f>TrAvia_act!H$6</f>
        <v>948.94514320112592</v>
      </c>
      <c r="I15" s="102">
        <f>TrAvia_act!I$6</f>
        <v>955.56473959783898</v>
      </c>
      <c r="J15" s="102">
        <f>TrAvia_act!J$6</f>
        <v>910.78304730295986</v>
      </c>
      <c r="K15" s="102">
        <f>TrAvia_act!K$6</f>
        <v>557.61954874417086</v>
      </c>
      <c r="L15" s="102">
        <f>TrAvia_act!L$6</f>
        <v>599.868504348324</v>
      </c>
      <c r="M15" s="102">
        <f>TrAvia_act!M$6</f>
        <v>923.93075503851674</v>
      </c>
      <c r="N15" s="102">
        <f>TrAvia_act!N$6</f>
        <v>994.1949994773081</v>
      </c>
      <c r="O15" s="102">
        <f>TrAvia_act!O$6</f>
        <v>854.60429622979802</v>
      </c>
      <c r="P15" s="102">
        <f>TrAvia_act!P$6</f>
        <v>892.91702422371463</v>
      </c>
      <c r="Q15" s="102">
        <f>TrAvia_act!Q$6</f>
        <v>985.24390717054246</v>
      </c>
      <c r="R15" s="102">
        <f>TrAvia_act!R$6</f>
        <v>1065.5196556776386</v>
      </c>
      <c r="S15" s="102">
        <f>TrAvia_act!S$6</f>
        <v>1219.9643242586963</v>
      </c>
      <c r="T15" s="102">
        <f>TrAvia_act!T$6</f>
        <v>1385.8914557789033</v>
      </c>
      <c r="U15" s="102">
        <f>TrAvia_act!U$6</f>
        <v>1453.1389934639799</v>
      </c>
      <c r="V15" s="102">
        <f>TrAvia_act!V$6</f>
        <v>386.00380293275913</v>
      </c>
      <c r="W15" s="102">
        <f>TrAvia_act!W$6</f>
        <v>614.33545937726353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75.314144334658607</v>
      </c>
      <c r="C16" s="102">
        <f>TrAvia_act!C$7</f>
        <v>62.72826863439861</v>
      </c>
      <c r="D16" s="102">
        <f>TrAvia_act!D$7</f>
        <v>72.144412701108735</v>
      </c>
      <c r="E16" s="102">
        <f>TrAvia_act!E$7</f>
        <v>88.512354555036183</v>
      </c>
      <c r="F16" s="102">
        <f>TrAvia_act!F$7</f>
        <v>139.97246736334941</v>
      </c>
      <c r="G16" s="102">
        <f>TrAvia_act!G$7</f>
        <v>200.88129392792794</v>
      </c>
      <c r="H16" s="102">
        <f>TrAvia_act!H$7</f>
        <v>202.49561262291147</v>
      </c>
      <c r="I16" s="102">
        <f>TrAvia_act!I$7</f>
        <v>256.27164044748559</v>
      </c>
      <c r="J16" s="102">
        <f>TrAvia_act!J$7</f>
        <v>317.97353027668271</v>
      </c>
      <c r="K16" s="102">
        <f>TrAvia_act!K$7</f>
        <v>213.30549138391177</v>
      </c>
      <c r="L16" s="102">
        <f>TrAvia_act!L$7</f>
        <v>268.79799957644627</v>
      </c>
      <c r="M16" s="102">
        <f>TrAvia_act!M$7</f>
        <v>237.621688163154</v>
      </c>
      <c r="N16" s="102">
        <f>TrAvia_act!N$7</f>
        <v>377.0553811687011</v>
      </c>
      <c r="O16" s="102">
        <f>TrAvia_act!O$7</f>
        <v>240.3641180198922</v>
      </c>
      <c r="P16" s="102">
        <f>TrAvia_act!P$7</f>
        <v>258.18972439871158</v>
      </c>
      <c r="Q16" s="102">
        <f>TrAvia_act!Q$7</f>
        <v>338.94034958517796</v>
      </c>
      <c r="R16" s="102">
        <f>TrAvia_act!R$7</f>
        <v>257.32207686146285</v>
      </c>
      <c r="S16" s="102">
        <f>TrAvia_act!S$7</f>
        <v>303.72187250492033</v>
      </c>
      <c r="T16" s="102">
        <f>TrAvia_act!T$7</f>
        <v>390.20924056676796</v>
      </c>
      <c r="U16" s="102">
        <f>TrAvia_act!U$7</f>
        <v>546.04268668750899</v>
      </c>
      <c r="V16" s="102">
        <f>TrAvia_act!V$7</f>
        <v>117.28706694245734</v>
      </c>
      <c r="W16" s="102">
        <f>TrAvia_act!W$7</f>
        <v>426.59436807272095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9696.3238717458789</v>
      </c>
      <c r="C17" s="28">
        <f t="shared" si="12"/>
        <v>10029.41219269296</v>
      </c>
      <c r="D17" s="28">
        <f t="shared" si="12"/>
        <v>11419.658294537752</v>
      </c>
      <c r="E17" s="28">
        <f t="shared" si="12"/>
        <v>12202.796603011488</v>
      </c>
      <c r="F17" s="28">
        <f t="shared" si="12"/>
        <v>13048.049494333964</v>
      </c>
      <c r="G17" s="28">
        <f t="shared" si="12"/>
        <v>13566.548799983002</v>
      </c>
      <c r="H17" s="28">
        <f t="shared" si="12"/>
        <v>13522.26024103575</v>
      </c>
      <c r="I17" s="28">
        <f t="shared" si="12"/>
        <v>11631.538473901217</v>
      </c>
      <c r="J17" s="28">
        <f t="shared" si="12"/>
        <v>8937.3940455774627</v>
      </c>
      <c r="K17" s="28">
        <f t="shared" si="12"/>
        <v>8232.2319549212789</v>
      </c>
      <c r="L17" s="28">
        <f t="shared" si="12"/>
        <v>9019.3697861932324</v>
      </c>
      <c r="M17" s="28">
        <f t="shared" si="12"/>
        <v>8981.1375104867784</v>
      </c>
      <c r="N17" s="28">
        <f t="shared" si="12"/>
        <v>7902.6863317745874</v>
      </c>
      <c r="O17" s="28">
        <f t="shared" si="12"/>
        <v>7674.5465755525584</v>
      </c>
      <c r="P17" s="28">
        <f t="shared" si="12"/>
        <v>6173.5427631948605</v>
      </c>
      <c r="Q17" s="28">
        <f t="shared" si="12"/>
        <v>6231.4392291723188</v>
      </c>
      <c r="R17" s="28">
        <f t="shared" ref="R17:V17" si="13">R18+R21+R22+R26</f>
        <v>5756.794391141656</v>
      </c>
      <c r="S17" s="28">
        <f t="shared" si="13"/>
        <v>5563.5890388582293</v>
      </c>
      <c r="T17" s="28">
        <f t="shared" si="13"/>
        <v>5971.0153789034821</v>
      </c>
      <c r="U17" s="28">
        <f t="shared" si="13"/>
        <v>5543.8266035780489</v>
      </c>
      <c r="V17" s="28">
        <f t="shared" si="13"/>
        <v>4908.5974063959875</v>
      </c>
      <c r="W17" s="28">
        <f t="shared" ref="W17" si="14">W18+W21+W22+W26</f>
        <v>5766.6066710549821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1557.0978616004443</v>
      </c>
      <c r="C18" s="137">
        <f t="shared" si="15"/>
        <v>1434.7786085926784</v>
      </c>
      <c r="D18" s="137">
        <f t="shared" si="15"/>
        <v>1682.461338911605</v>
      </c>
      <c r="E18" s="137">
        <f t="shared" si="15"/>
        <v>2486.5248186960484</v>
      </c>
      <c r="F18" s="137">
        <f t="shared" si="15"/>
        <v>2496.8611289851087</v>
      </c>
      <c r="G18" s="137">
        <f t="shared" si="15"/>
        <v>2879.8311518254318</v>
      </c>
      <c r="H18" s="137">
        <f t="shared" si="15"/>
        <v>3072.0890284974248</v>
      </c>
      <c r="I18" s="137">
        <f t="shared" si="15"/>
        <v>3131.1873101182564</v>
      </c>
      <c r="J18" s="137">
        <f t="shared" si="15"/>
        <v>2970.1344599629706</v>
      </c>
      <c r="K18" s="137">
        <f t="shared" si="15"/>
        <v>2270.0572865030972</v>
      </c>
      <c r="L18" s="137">
        <f t="shared" si="15"/>
        <v>2363.9189021270067</v>
      </c>
      <c r="M18" s="137">
        <f t="shared" si="15"/>
        <v>2683.2477307446111</v>
      </c>
      <c r="N18" s="137">
        <f t="shared" si="15"/>
        <v>2744.5824268077895</v>
      </c>
      <c r="O18" s="137">
        <f t="shared" si="15"/>
        <v>2919.8609413258273</v>
      </c>
      <c r="P18" s="137">
        <f t="shared" si="15"/>
        <v>2885.9908135826695</v>
      </c>
      <c r="Q18" s="137">
        <f t="shared" si="15"/>
        <v>3094.1233107376743</v>
      </c>
      <c r="R18" s="137">
        <f t="shared" ref="R18:V18" si="16">R19+R20</f>
        <v>3401.038855034481</v>
      </c>
      <c r="S18" s="137">
        <f t="shared" si="16"/>
        <v>3228.0766635052951</v>
      </c>
      <c r="T18" s="137">
        <f t="shared" si="16"/>
        <v>3365.0692868949773</v>
      </c>
      <c r="U18" s="137">
        <f t="shared" si="16"/>
        <v>3366.5042025114317</v>
      </c>
      <c r="V18" s="137">
        <f t="shared" si="16"/>
        <v>3153.0468778276299</v>
      </c>
      <c r="W18" s="137">
        <f t="shared" ref="W18" si="17">W19+W20</f>
        <v>3598.688882312611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247.98942932788398</v>
      </c>
      <c r="C19" s="102">
        <f>TrRoad_act!C$20</f>
        <v>250.39674822583311</v>
      </c>
      <c r="D19" s="102">
        <f>TrRoad_act!D$20</f>
        <v>246.52943556846486</v>
      </c>
      <c r="E19" s="102">
        <f>TrRoad_act!E$20</f>
        <v>233.63002247656249</v>
      </c>
      <c r="F19" s="102">
        <f>TrRoad_act!F$20</f>
        <v>223.94071992067583</v>
      </c>
      <c r="G19" s="102">
        <f>TrRoad_act!G$20</f>
        <v>209.61289532047471</v>
      </c>
      <c r="H19" s="102">
        <f>TrRoad_act!H$20</f>
        <v>203.03211501311077</v>
      </c>
      <c r="I19" s="102">
        <f>TrRoad_act!I$20</f>
        <v>195.69904534696965</v>
      </c>
      <c r="J19" s="102">
        <f>TrRoad_act!J$20</f>
        <v>198.57148276166257</v>
      </c>
      <c r="K19" s="102">
        <f>TrRoad_act!K$20</f>
        <v>193.86643797320198</v>
      </c>
      <c r="L19" s="102">
        <f>TrRoad_act!L$20</f>
        <v>193.16482850086146</v>
      </c>
      <c r="M19" s="102">
        <f>TrRoad_act!M$20</f>
        <v>201.87166188327001</v>
      </c>
      <c r="N19" s="102">
        <f>TrRoad_act!N$20</f>
        <v>211.95219373154859</v>
      </c>
      <c r="O19" s="102">
        <f>TrRoad_act!O$20</f>
        <v>230.82994961197514</v>
      </c>
      <c r="P19" s="102">
        <f>TrRoad_act!P$20</f>
        <v>243.87790074007654</v>
      </c>
      <c r="Q19" s="102">
        <f>TrRoad_act!Q$20</f>
        <v>258.01820561589864</v>
      </c>
      <c r="R19" s="102">
        <f>TrRoad_act!R$20</f>
        <v>286.11073555860349</v>
      </c>
      <c r="S19" s="102">
        <f>TrRoad_act!S$20</f>
        <v>315.52630702668489</v>
      </c>
      <c r="T19" s="102">
        <f>TrRoad_act!T$20</f>
        <v>351.06928689497721</v>
      </c>
      <c r="U19" s="102">
        <f>TrRoad_act!U$20</f>
        <v>388.50420251143174</v>
      </c>
      <c r="V19" s="102">
        <f>TrRoad_act!V$20</f>
        <v>402.04687782763</v>
      </c>
      <c r="W19" s="102">
        <f>TrRoad_act!W$20</f>
        <v>427.68888231261087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1309.1084322725603</v>
      </c>
      <c r="C20" s="102">
        <f>TrRoad_act!C$26</f>
        <v>1184.3818603668453</v>
      </c>
      <c r="D20" s="102">
        <f>TrRoad_act!D$26</f>
        <v>1435.9319033431402</v>
      </c>
      <c r="E20" s="102">
        <f>TrRoad_act!E$26</f>
        <v>2252.8947962194861</v>
      </c>
      <c r="F20" s="102">
        <f>TrRoad_act!F$26</f>
        <v>2272.920409064433</v>
      </c>
      <c r="G20" s="102">
        <f>TrRoad_act!G$26</f>
        <v>2670.218256504957</v>
      </c>
      <c r="H20" s="102">
        <f>TrRoad_act!H$26</f>
        <v>2869.056913484314</v>
      </c>
      <c r="I20" s="102">
        <f>TrRoad_act!I$26</f>
        <v>2935.4882647712866</v>
      </c>
      <c r="J20" s="102">
        <f>TrRoad_act!J$26</f>
        <v>2771.5629772013081</v>
      </c>
      <c r="K20" s="102">
        <f>TrRoad_act!K$26</f>
        <v>2076.1908485298954</v>
      </c>
      <c r="L20" s="102">
        <f>TrRoad_act!L$26</f>
        <v>2170.7540736261453</v>
      </c>
      <c r="M20" s="102">
        <f>TrRoad_act!M$26</f>
        <v>2481.3760688613411</v>
      </c>
      <c r="N20" s="102">
        <f>TrRoad_act!N$26</f>
        <v>2532.630233076241</v>
      </c>
      <c r="O20" s="102">
        <f>TrRoad_act!O$26</f>
        <v>2689.030991713852</v>
      </c>
      <c r="P20" s="102">
        <f>TrRoad_act!P$26</f>
        <v>2642.1129128425928</v>
      </c>
      <c r="Q20" s="102">
        <f>TrRoad_act!Q$26</f>
        <v>2836.1051051217755</v>
      </c>
      <c r="R20" s="102">
        <f>TrRoad_act!R$26</f>
        <v>3114.9281194758773</v>
      </c>
      <c r="S20" s="102">
        <f>TrRoad_act!S$26</f>
        <v>2912.5503564786104</v>
      </c>
      <c r="T20" s="102">
        <f>TrRoad_act!T$26</f>
        <v>3014</v>
      </c>
      <c r="U20" s="102">
        <f>TrRoad_act!U$26</f>
        <v>2978</v>
      </c>
      <c r="V20" s="102">
        <f>TrRoad_act!V$26</f>
        <v>2751</v>
      </c>
      <c r="W20" s="102">
        <f>TrRoad_act!W$26</f>
        <v>3171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8102.0000000000009</v>
      </c>
      <c r="C21" s="110">
        <f>TrRail_act!C$10</f>
        <v>8557</v>
      </c>
      <c r="D21" s="110">
        <f>TrRail_act!D$10</f>
        <v>9697</v>
      </c>
      <c r="E21" s="110">
        <f>TrRail_act!E$10</f>
        <v>9670</v>
      </c>
      <c r="F21" s="110">
        <f>TrRail_act!F$10</f>
        <v>10488</v>
      </c>
      <c r="G21" s="110">
        <f>TrRail_act!G$10</f>
        <v>10639</v>
      </c>
      <c r="H21" s="110">
        <f>TrRail_act!H$10</f>
        <v>10418</v>
      </c>
      <c r="I21" s="110">
        <f>TrRail_act!I$10</f>
        <v>8430</v>
      </c>
      <c r="J21" s="110">
        <f>TrRail_act!J$10</f>
        <v>5943</v>
      </c>
      <c r="K21" s="110">
        <f>TrRail_act!K$10</f>
        <v>5947</v>
      </c>
      <c r="L21" s="110">
        <f>TrRail_act!L$10</f>
        <v>6638.0000000000009</v>
      </c>
      <c r="M21" s="110">
        <f>TrRail_act!M$10</f>
        <v>6271</v>
      </c>
      <c r="N21" s="110">
        <f>TrRail_act!N$10</f>
        <v>5129</v>
      </c>
      <c r="O21" s="110">
        <f>TrRail_act!O$10</f>
        <v>4722</v>
      </c>
      <c r="P21" s="110">
        <f>TrRail_act!P$10</f>
        <v>3255.9999999999995</v>
      </c>
      <c r="Q21" s="110">
        <f>TrRail_act!Q$10</f>
        <v>3117</v>
      </c>
      <c r="R21" s="110">
        <f>TrRail_act!R$10</f>
        <v>2340</v>
      </c>
      <c r="S21" s="110">
        <f>TrRail_act!S$10</f>
        <v>2324.9999999999995</v>
      </c>
      <c r="T21" s="110">
        <f>TrRail_act!T$10</f>
        <v>2588</v>
      </c>
      <c r="U21" s="110">
        <f>TrRail_act!U$10</f>
        <v>2155</v>
      </c>
      <c r="V21" s="110">
        <f>TrRail_act!V$10</f>
        <v>1729</v>
      </c>
      <c r="W21" s="110">
        <f>TrRail_act!W$10</f>
        <v>2124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3.8180101454337509</v>
      </c>
      <c r="C22" s="110">
        <f t="shared" ref="C22:V22" si="19">C23+C24+C25</f>
        <v>3.7335841002815444</v>
      </c>
      <c r="D22" s="110">
        <f t="shared" si="19"/>
        <v>2.693955626146292</v>
      </c>
      <c r="E22" s="110">
        <f t="shared" si="19"/>
        <v>2.7497843154370973</v>
      </c>
      <c r="F22" s="110">
        <f t="shared" si="19"/>
        <v>2.5353653488541257</v>
      </c>
      <c r="G22" s="110">
        <f t="shared" si="19"/>
        <v>4.0106481575685535</v>
      </c>
      <c r="H22" s="110">
        <f t="shared" si="19"/>
        <v>2.8172125383261477</v>
      </c>
      <c r="I22" s="110">
        <f t="shared" si="19"/>
        <v>2.3831637829597607</v>
      </c>
      <c r="J22" s="110">
        <f t="shared" si="19"/>
        <v>2.2205856144919833</v>
      </c>
      <c r="K22" s="110">
        <f t="shared" si="19"/>
        <v>1.4696684181820652</v>
      </c>
      <c r="L22" s="110">
        <f t="shared" si="19"/>
        <v>2.8198840662268974</v>
      </c>
      <c r="M22" s="110">
        <f t="shared" si="19"/>
        <v>2.6287797421670627</v>
      </c>
      <c r="N22" s="110">
        <f t="shared" si="19"/>
        <v>3.7319049667972406</v>
      </c>
      <c r="O22" s="110">
        <f t="shared" si="19"/>
        <v>3.5166342267314761</v>
      </c>
      <c r="P22" s="110">
        <f t="shared" si="19"/>
        <v>4.3279496121913414</v>
      </c>
      <c r="Q22" s="110">
        <f t="shared" si="19"/>
        <v>4.8519184346448077</v>
      </c>
      <c r="R22" s="110">
        <f t="shared" si="19"/>
        <v>7.6995361071750441</v>
      </c>
      <c r="S22" s="110">
        <f t="shared" si="19"/>
        <v>5.8823753529337566</v>
      </c>
      <c r="T22" s="110">
        <f t="shared" si="19"/>
        <v>6.2780920085055092</v>
      </c>
      <c r="U22" s="110">
        <f t="shared" si="19"/>
        <v>7.4134010666175971</v>
      </c>
      <c r="V22" s="110">
        <f t="shared" si="19"/>
        <v>4.6965285683569222</v>
      </c>
      <c r="W22" s="110">
        <f t="shared" ref="W22" si="20">W23+W24+W25</f>
        <v>7.8967887423711716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1.2890782616362619</v>
      </c>
      <c r="C24" s="102">
        <f>TrAvia_act!C$10</f>
        <v>1.2735846291525235</v>
      </c>
      <c r="D24" s="102">
        <f>TrAvia_act!D$10</f>
        <v>1.0855328647326234</v>
      </c>
      <c r="E24" s="102">
        <f>TrAvia_act!E$10</f>
        <v>1.1256817750618653</v>
      </c>
      <c r="F24" s="102">
        <f>TrAvia_act!F$10</f>
        <v>1.1165282091159856</v>
      </c>
      <c r="G24" s="102">
        <f>TrAvia_act!G$10</f>
        <v>1.2601198958146633</v>
      </c>
      <c r="H24" s="102">
        <f>TrAvia_act!H$10</f>
        <v>1.275995416437729</v>
      </c>
      <c r="I24" s="102">
        <f>TrAvia_act!I$10</f>
        <v>1.5010035541408744</v>
      </c>
      <c r="J24" s="102">
        <f>TrAvia_act!J$10</f>
        <v>1.6426170252613332</v>
      </c>
      <c r="K24" s="102">
        <f>TrAvia_act!K$10</f>
        <v>1.2821247949425809</v>
      </c>
      <c r="L24" s="102">
        <f>TrAvia_act!L$10</f>
        <v>1.9133069504824571</v>
      </c>
      <c r="M24" s="102">
        <f>TrAvia_act!M$10</f>
        <v>2.2345244725697193</v>
      </c>
      <c r="N24" s="102">
        <f>TrAvia_act!N$10</f>
        <v>3.0890174666466175</v>
      </c>
      <c r="O24" s="102">
        <f>TrAvia_act!O$10</f>
        <v>3.137891367189245</v>
      </c>
      <c r="P24" s="102">
        <f>TrAvia_act!P$10</f>
        <v>3.9004812647467122</v>
      </c>
      <c r="Q24" s="102">
        <f>TrAvia_act!Q$10</f>
        <v>4.2651974660893552</v>
      </c>
      <c r="R24" s="102">
        <f>TrAvia_act!R$10</f>
        <v>4.7115138302321631</v>
      </c>
      <c r="S24" s="102">
        <f>TrAvia_act!S$10</f>
        <v>4.7674359881979314</v>
      </c>
      <c r="T24" s="102">
        <f>TrAvia_act!T$10</f>
        <v>5.6103491289174752</v>
      </c>
      <c r="U24" s="102">
        <f>TrAvia_act!U$10</f>
        <v>6.2137611148752789</v>
      </c>
      <c r="V24" s="102">
        <f>TrAvia_act!V$10</f>
        <v>4.3117326511077838</v>
      </c>
      <c r="W24" s="102">
        <f>TrAvia_act!W$10</f>
        <v>5.7746162865925816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2.528931883797489</v>
      </c>
      <c r="C25" s="102">
        <f>TrAvia_act!C$11</f>
        <v>2.459999471129021</v>
      </c>
      <c r="D25" s="102">
        <f>TrAvia_act!D$11</f>
        <v>1.6084227614136688</v>
      </c>
      <c r="E25" s="102">
        <f>TrAvia_act!E$11</f>
        <v>1.6241025403752321</v>
      </c>
      <c r="F25" s="102">
        <f>TrAvia_act!F$11</f>
        <v>1.4188371397381401</v>
      </c>
      <c r="G25" s="102">
        <f>TrAvia_act!G$11</f>
        <v>2.7505282617538902</v>
      </c>
      <c r="H25" s="102">
        <f>TrAvia_act!H$11</f>
        <v>1.541217121888419</v>
      </c>
      <c r="I25" s="102">
        <f>TrAvia_act!I$11</f>
        <v>0.88216022881888634</v>
      </c>
      <c r="J25" s="102">
        <f>TrAvia_act!J$11</f>
        <v>0.57796858923064987</v>
      </c>
      <c r="K25" s="102">
        <f>TrAvia_act!K$11</f>
        <v>0.18754362323948434</v>
      </c>
      <c r="L25" s="102">
        <f>TrAvia_act!L$11</f>
        <v>0.90657711574444011</v>
      </c>
      <c r="M25" s="102">
        <f>TrAvia_act!M$11</f>
        <v>0.39425526959734342</v>
      </c>
      <c r="N25" s="102">
        <f>TrAvia_act!N$11</f>
        <v>0.64288750015062335</v>
      </c>
      <c r="O25" s="102">
        <f>TrAvia_act!O$11</f>
        <v>0.37874285954223108</v>
      </c>
      <c r="P25" s="102">
        <f>TrAvia_act!P$11</f>
        <v>0.42746834744462964</v>
      </c>
      <c r="Q25" s="102">
        <f>TrAvia_act!Q$11</f>
        <v>0.58672096855545253</v>
      </c>
      <c r="R25" s="102">
        <f>TrAvia_act!R$11</f>
        <v>2.988022276942881</v>
      </c>
      <c r="S25" s="102">
        <f>TrAvia_act!S$11</f>
        <v>1.1149393647358257</v>
      </c>
      <c r="T25" s="102">
        <f>TrAvia_act!T$11</f>
        <v>0.66774287958803391</v>
      </c>
      <c r="U25" s="102">
        <f>TrAvia_act!U$11</f>
        <v>1.1996399517423184</v>
      </c>
      <c r="V25" s="102">
        <f>TrAvia_act!V$11</f>
        <v>0.38479591724913864</v>
      </c>
      <c r="W25" s="102">
        <f>TrAvia_act!W$11</f>
        <v>2.1221724557785904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33.408000000000001</v>
      </c>
      <c r="C26" s="110">
        <f t="shared" si="21"/>
        <v>33.9</v>
      </c>
      <c r="D26" s="110">
        <f t="shared" si="21"/>
        <v>37.503</v>
      </c>
      <c r="E26" s="110">
        <f t="shared" si="21"/>
        <v>43.521999999999998</v>
      </c>
      <c r="F26" s="110">
        <f t="shared" si="21"/>
        <v>60.652999999999999</v>
      </c>
      <c r="G26" s="110">
        <f t="shared" si="21"/>
        <v>43.707000000000001</v>
      </c>
      <c r="H26" s="110">
        <f t="shared" si="21"/>
        <v>29.353999999999999</v>
      </c>
      <c r="I26" s="110">
        <f t="shared" si="21"/>
        <v>67.968000000000004</v>
      </c>
      <c r="J26" s="110">
        <f t="shared" si="21"/>
        <v>22.039000000000001</v>
      </c>
      <c r="K26" s="110">
        <f t="shared" si="21"/>
        <v>13.705</v>
      </c>
      <c r="L26" s="110">
        <f t="shared" si="21"/>
        <v>14.631</v>
      </c>
      <c r="M26" s="110">
        <f t="shared" si="21"/>
        <v>24.260999999999999</v>
      </c>
      <c r="N26" s="110">
        <f t="shared" si="21"/>
        <v>25.372</v>
      </c>
      <c r="O26" s="110">
        <f t="shared" si="21"/>
        <v>29.169</v>
      </c>
      <c r="P26" s="110">
        <f t="shared" si="21"/>
        <v>27.224</v>
      </c>
      <c r="Q26" s="110">
        <f t="shared" si="21"/>
        <v>15.464</v>
      </c>
      <c r="R26" s="110">
        <f t="shared" ref="R26:V26" si="22">R27+R28</f>
        <v>8.0559999999999992</v>
      </c>
      <c r="S26" s="110">
        <f t="shared" si="22"/>
        <v>4.63</v>
      </c>
      <c r="T26" s="110">
        <f t="shared" si="22"/>
        <v>11.667999999999999</v>
      </c>
      <c r="U26" s="110">
        <f t="shared" si="22"/>
        <v>14.909000000000001</v>
      </c>
      <c r="V26" s="110">
        <f t="shared" si="22"/>
        <v>21.853999999999999</v>
      </c>
      <c r="W26" s="110">
        <f t="shared" ref="W26" si="23">W27+W28</f>
        <v>36.021000000000001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33.408000000000001</v>
      </c>
      <c r="C27" s="102">
        <f>TrNavi_act!C4</f>
        <v>33.9</v>
      </c>
      <c r="D27" s="102">
        <f>TrNavi_act!D4</f>
        <v>37.503</v>
      </c>
      <c r="E27" s="102">
        <f>TrNavi_act!E4</f>
        <v>43.521999999999998</v>
      </c>
      <c r="F27" s="102">
        <f>TrNavi_act!F4</f>
        <v>60.652999999999999</v>
      </c>
      <c r="G27" s="102">
        <f>TrNavi_act!G4</f>
        <v>43.707000000000001</v>
      </c>
      <c r="H27" s="102">
        <f>TrNavi_act!H4</f>
        <v>29.353999999999999</v>
      </c>
      <c r="I27" s="102">
        <f>TrNavi_act!I4</f>
        <v>67.968000000000004</v>
      </c>
      <c r="J27" s="102">
        <f>TrNavi_act!J4</f>
        <v>22.039000000000001</v>
      </c>
      <c r="K27" s="102">
        <f>TrNavi_act!K4</f>
        <v>13.705</v>
      </c>
      <c r="L27" s="102">
        <f>TrNavi_act!L4</f>
        <v>14.631</v>
      </c>
      <c r="M27" s="102">
        <f>TrNavi_act!M4</f>
        <v>24.260999999999999</v>
      </c>
      <c r="N27" s="102">
        <f>TrNavi_act!N4</f>
        <v>25.372</v>
      </c>
      <c r="O27" s="102">
        <f>TrNavi_act!O4</f>
        <v>29.169</v>
      </c>
      <c r="P27" s="102">
        <f>TrNavi_act!P4</f>
        <v>27.224</v>
      </c>
      <c r="Q27" s="102">
        <f>TrNavi_act!Q4</f>
        <v>15.464</v>
      </c>
      <c r="R27" s="102">
        <f>TrNavi_act!R4</f>
        <v>8.0559999999999992</v>
      </c>
      <c r="S27" s="102">
        <f>TrNavi_act!S4</f>
        <v>4.63</v>
      </c>
      <c r="T27" s="102">
        <f>TrNavi_act!T4</f>
        <v>11.667999999999999</v>
      </c>
      <c r="U27" s="102">
        <f>TrNavi_act!U4</f>
        <v>14.909000000000001</v>
      </c>
      <c r="V27" s="102">
        <f>TrNavi_act!V4</f>
        <v>21.853999999999999</v>
      </c>
      <c r="W27" s="102">
        <f>TrNavi_act!W4</f>
        <v>36.021000000000001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70708.090179999999</v>
      </c>
      <c r="C29" s="28">
        <f t="shared" si="24"/>
        <v>66593.464240999994</v>
      </c>
      <c r="D29" s="28">
        <f t="shared" si="24"/>
        <v>78459.302033</v>
      </c>
      <c r="E29" s="28">
        <f t="shared" si="24"/>
        <v>65621.575140000001</v>
      </c>
      <c r="F29" s="28">
        <f t="shared" si="24"/>
        <v>84229.404739000005</v>
      </c>
      <c r="G29" s="28">
        <f t="shared" si="24"/>
        <v>90259.979227999997</v>
      </c>
      <c r="H29" s="28">
        <f t="shared" si="24"/>
        <v>91028.13147800001</v>
      </c>
      <c r="I29" s="28">
        <f t="shared" si="24"/>
        <v>90476.000038000013</v>
      </c>
      <c r="J29" s="28">
        <f t="shared" si="24"/>
        <v>75548.585672999994</v>
      </c>
      <c r="K29" s="28">
        <f t="shared" si="24"/>
        <v>86923.726734999989</v>
      </c>
      <c r="L29" s="28">
        <f t="shared" si="24"/>
        <v>108684.525677</v>
      </c>
      <c r="M29" s="28">
        <f t="shared" si="24"/>
        <v>107497.623979</v>
      </c>
      <c r="N29" s="28">
        <f t="shared" si="24"/>
        <v>113758.487374</v>
      </c>
      <c r="O29" s="28">
        <f t="shared" si="24"/>
        <v>95674.122323000003</v>
      </c>
      <c r="P29" s="28">
        <f t="shared" si="24"/>
        <v>86937.996972000008</v>
      </c>
      <c r="Q29" s="28">
        <f t="shared" si="24"/>
        <v>67029.038939000005</v>
      </c>
      <c r="R29" s="28">
        <f t="shared" si="24"/>
        <v>62381.975632000001</v>
      </c>
      <c r="S29" s="28">
        <f t="shared" si="24"/>
        <v>63879.815640000008</v>
      </c>
      <c r="T29" s="28">
        <f t="shared" si="24"/>
        <v>65442.407934000003</v>
      </c>
      <c r="U29" s="28">
        <f t="shared" si="24"/>
        <v>73152.81492199999</v>
      </c>
      <c r="V29" s="28">
        <f t="shared" si="24"/>
        <v>77370.179980000001</v>
      </c>
      <c r="W29" s="28">
        <f t="shared" si="24"/>
        <v>77442.097651999997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28209.662514</v>
      </c>
      <c r="C30" s="102">
        <f>MBunk_act!C$4</f>
        <v>26228.035092000002</v>
      </c>
      <c r="D30" s="102">
        <f>MBunk_act!D$4</f>
        <v>30891.586480000002</v>
      </c>
      <c r="E30" s="102">
        <f>MBunk_act!E$4</f>
        <v>31478.256688000001</v>
      </c>
      <c r="F30" s="102">
        <f>MBunk_act!F$4</f>
        <v>29770.047990999999</v>
      </c>
      <c r="G30" s="102">
        <f>MBunk_act!G$4</f>
        <v>25028.230243000002</v>
      </c>
      <c r="H30" s="102">
        <f>MBunk_act!H$4</f>
        <v>26094.070985000002</v>
      </c>
      <c r="I30" s="102">
        <f>MBunk_act!I$4</f>
        <v>21166.768219000001</v>
      </c>
      <c r="J30" s="102">
        <f>MBunk_act!J$4</f>
        <v>15746.605336999999</v>
      </c>
      <c r="K30" s="102">
        <f>MBunk_act!K$4</f>
        <v>16927.827534</v>
      </c>
      <c r="L30" s="102">
        <f>MBunk_act!L$4</f>
        <v>20282.797577999998</v>
      </c>
      <c r="M30" s="102">
        <f>MBunk_act!M$4</f>
        <v>21558.713854999998</v>
      </c>
      <c r="N30" s="102">
        <f>MBunk_act!N$4</f>
        <v>15007.907091000001</v>
      </c>
      <c r="O30" s="102">
        <f>MBunk_act!O$4</f>
        <v>21665.367784999999</v>
      </c>
      <c r="P30" s="102">
        <f>MBunk_act!P$4</f>
        <v>19830.474157000001</v>
      </c>
      <c r="Q30" s="102">
        <f>MBunk_act!Q$4</f>
        <v>13198.835773000001</v>
      </c>
      <c r="R30" s="102">
        <f>MBunk_act!R$4</f>
        <v>11855.711134000001</v>
      </c>
      <c r="S30" s="102">
        <f>MBunk_act!S$4</f>
        <v>12451.504778</v>
      </c>
      <c r="T30" s="102">
        <f>MBunk_act!T$4</f>
        <v>13289.576877</v>
      </c>
      <c r="U30" s="102">
        <f>MBunk_act!U$4</f>
        <v>13179.245278</v>
      </c>
      <c r="V30" s="102">
        <f>MBunk_act!V$4</f>
        <v>11069.137557999999</v>
      </c>
      <c r="W30" s="102">
        <f>MBunk_act!W$4</f>
        <v>12687.214993000001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42498.427666000003</v>
      </c>
      <c r="C31" s="86">
        <f>MBunk_act!C$5</f>
        <v>40365.429148999996</v>
      </c>
      <c r="D31" s="86">
        <f>MBunk_act!D$5</f>
        <v>47567.715553000002</v>
      </c>
      <c r="E31" s="86">
        <f>MBunk_act!E$5</f>
        <v>34143.318452</v>
      </c>
      <c r="F31" s="86">
        <f>MBunk_act!F$5</f>
        <v>54459.356748000006</v>
      </c>
      <c r="G31" s="86">
        <f>MBunk_act!G$5</f>
        <v>65231.748984999998</v>
      </c>
      <c r="H31" s="86">
        <f>MBunk_act!H$5</f>
        <v>64934.060493000004</v>
      </c>
      <c r="I31" s="86">
        <f>MBunk_act!I$5</f>
        <v>69309.231819000008</v>
      </c>
      <c r="J31" s="86">
        <f>MBunk_act!J$5</f>
        <v>59801.980335999993</v>
      </c>
      <c r="K31" s="86">
        <f>MBunk_act!K$5</f>
        <v>69995.899200999993</v>
      </c>
      <c r="L31" s="86">
        <f>MBunk_act!L$5</f>
        <v>88401.728099</v>
      </c>
      <c r="M31" s="86">
        <f>MBunk_act!M$5</f>
        <v>85938.910124000002</v>
      </c>
      <c r="N31" s="86">
        <f>MBunk_act!N$5</f>
        <v>98750.580283000003</v>
      </c>
      <c r="O31" s="86">
        <f>MBunk_act!O$5</f>
        <v>74008.754538000008</v>
      </c>
      <c r="P31" s="86">
        <f>MBunk_act!P$5</f>
        <v>67107.522815000004</v>
      </c>
      <c r="Q31" s="86">
        <f>MBunk_act!Q$5</f>
        <v>53830.203165999999</v>
      </c>
      <c r="R31" s="86">
        <f>MBunk_act!R$5</f>
        <v>50526.264497999997</v>
      </c>
      <c r="S31" s="86">
        <f>MBunk_act!S$5</f>
        <v>51428.310862000006</v>
      </c>
      <c r="T31" s="86">
        <f>MBunk_act!T$5</f>
        <v>52152.831057000003</v>
      </c>
      <c r="U31" s="86">
        <f>MBunk_act!U$5</f>
        <v>59973.569643999996</v>
      </c>
      <c r="V31" s="86">
        <f>MBunk_act!V$5</f>
        <v>66301.042421999999</v>
      </c>
      <c r="W31" s="86">
        <f>MBunk_act!W$5</f>
        <v>64754.882659000003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388.74205717511711</v>
      </c>
      <c r="C34" s="28">
        <f t="shared" si="25"/>
        <v>471.46725443869241</v>
      </c>
      <c r="D34" s="28">
        <f t="shared" si="25"/>
        <v>466.90355109006191</v>
      </c>
      <c r="E34" s="28">
        <f t="shared" si="25"/>
        <v>456.07881124384681</v>
      </c>
      <c r="F34" s="28">
        <f t="shared" si="25"/>
        <v>477.35282184953036</v>
      </c>
      <c r="G34" s="28">
        <f t="shared" si="25"/>
        <v>527.72713507234312</v>
      </c>
      <c r="H34" s="28">
        <f t="shared" si="25"/>
        <v>578.89049313381361</v>
      </c>
      <c r="I34" s="28">
        <f t="shared" si="25"/>
        <v>617.22323038197226</v>
      </c>
      <c r="J34" s="28">
        <f t="shared" si="25"/>
        <v>611.28566171458669</v>
      </c>
      <c r="K34" s="28">
        <f t="shared" si="25"/>
        <v>550.9730495366997</v>
      </c>
      <c r="L34" s="28">
        <f t="shared" si="25"/>
        <v>558.50359753690975</v>
      </c>
      <c r="M34" s="28">
        <f t="shared" si="25"/>
        <v>567.74610728455787</v>
      </c>
      <c r="N34" s="28">
        <f t="shared" si="25"/>
        <v>595.20492344214199</v>
      </c>
      <c r="O34" s="28">
        <f t="shared" si="25"/>
        <v>576.66161455534359</v>
      </c>
      <c r="P34" s="28">
        <f t="shared" si="25"/>
        <v>589.82698329638379</v>
      </c>
      <c r="Q34" s="28">
        <f t="shared" si="25"/>
        <v>615.69003757153791</v>
      </c>
      <c r="R34" s="28">
        <f t="shared" ref="R34:V34" si="26">R35+R39+R43</f>
        <v>635.73872283491926</v>
      </c>
      <c r="S34" s="28">
        <f t="shared" si="26"/>
        <v>680.86290683744176</v>
      </c>
      <c r="T34" s="28">
        <f t="shared" si="26"/>
        <v>713.57032398967863</v>
      </c>
      <c r="U34" s="28">
        <f t="shared" si="26"/>
        <v>713.8096824257949</v>
      </c>
      <c r="V34" s="28">
        <f t="shared" si="26"/>
        <v>632.53627879756459</v>
      </c>
      <c r="W34" s="28">
        <f t="shared" ref="W34" si="27">W35+W39+W43</f>
        <v>666.64818855978172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364.06583235586174</v>
      </c>
      <c r="C35" s="137">
        <f t="shared" si="28"/>
        <v>451.60275136952936</v>
      </c>
      <c r="D35" s="137">
        <f t="shared" si="28"/>
        <v>446.20142224805556</v>
      </c>
      <c r="E35" s="137">
        <f t="shared" si="28"/>
        <v>432.58518423684836</v>
      </c>
      <c r="F35" s="137">
        <f t="shared" si="28"/>
        <v>442.89642938285363</v>
      </c>
      <c r="G35" s="137">
        <f t="shared" si="28"/>
        <v>474.42879571801859</v>
      </c>
      <c r="H35" s="137">
        <f t="shared" si="28"/>
        <v>524.11305936681333</v>
      </c>
      <c r="I35" s="137">
        <f t="shared" si="28"/>
        <v>554.82011076516494</v>
      </c>
      <c r="J35" s="137">
        <f t="shared" si="28"/>
        <v>541.32458017245017</v>
      </c>
      <c r="K35" s="137">
        <f t="shared" si="28"/>
        <v>511.80127309412029</v>
      </c>
      <c r="L35" s="137">
        <f t="shared" si="28"/>
        <v>521.95431666390209</v>
      </c>
      <c r="M35" s="137">
        <f t="shared" si="28"/>
        <v>519.64661703830097</v>
      </c>
      <c r="N35" s="137">
        <f t="shared" si="28"/>
        <v>533.38747119465268</v>
      </c>
      <c r="O35" s="137">
        <f t="shared" si="28"/>
        <v>526.58411041531474</v>
      </c>
      <c r="P35" s="137">
        <f t="shared" si="28"/>
        <v>539.22851926822557</v>
      </c>
      <c r="Q35" s="137">
        <f t="shared" si="28"/>
        <v>562.75575184405739</v>
      </c>
      <c r="R35" s="137">
        <f t="shared" ref="R35:V35" si="29">R36+R37+R38</f>
        <v>586.99346758938032</v>
      </c>
      <c r="S35" s="137">
        <f t="shared" si="29"/>
        <v>617.83171940014677</v>
      </c>
      <c r="T35" s="137">
        <f t="shared" si="29"/>
        <v>640.30256060416434</v>
      </c>
      <c r="U35" s="137">
        <f t="shared" si="29"/>
        <v>640.36876767101239</v>
      </c>
      <c r="V35" s="137">
        <f t="shared" si="29"/>
        <v>603.6892184117645</v>
      </c>
      <c r="W35" s="137">
        <f t="shared" ref="W35" si="30">W36+W37+W38</f>
        <v>621.0266951237528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0.43276968303612501</v>
      </c>
      <c r="C36" s="102">
        <f>TrRoad_ene!C$19</f>
        <v>0.43736798950814332</v>
      </c>
      <c r="D36" s="102">
        <f>TrRoad_ene!D$19</f>
        <v>0.46304067864827997</v>
      </c>
      <c r="E36" s="102">
        <f>TrRoad_ene!E$19</f>
        <v>0.50462526040590172</v>
      </c>
      <c r="F36" s="102">
        <f>TrRoad_ene!F$19</f>
        <v>0.55896771947749668</v>
      </c>
      <c r="G36" s="102">
        <f>TrRoad_ene!G$19</f>
        <v>0.61856081489096881</v>
      </c>
      <c r="H36" s="102">
        <f>TrRoad_ene!H$19</f>
        <v>0.74685423052835542</v>
      </c>
      <c r="I36" s="102">
        <f>TrRoad_ene!I$19</f>
        <v>0.86468772940291316</v>
      </c>
      <c r="J36" s="102">
        <f>TrRoad_ene!J$19</f>
        <v>1.0109936460458391</v>
      </c>
      <c r="K36" s="102">
        <f>TrRoad_ene!K$19</f>
        <v>1.0497370258691066</v>
      </c>
      <c r="L36" s="102">
        <f>TrRoad_ene!L$19</f>
        <v>1.095912516823393</v>
      </c>
      <c r="M36" s="102">
        <f>TrRoad_ene!M$19</f>
        <v>1.25570900622341</v>
      </c>
      <c r="N36" s="102">
        <f>TrRoad_ene!N$19</f>
        <v>1.8128607667482051</v>
      </c>
      <c r="O36" s="102">
        <f>TrRoad_ene!O$19</f>
        <v>1.9558976965156001</v>
      </c>
      <c r="P36" s="102">
        <f>TrRoad_ene!P$19</f>
        <v>2.0983771645834386</v>
      </c>
      <c r="Q36" s="102">
        <f>TrRoad_ene!Q$19</f>
        <v>2.2238351836261687</v>
      </c>
      <c r="R36" s="102">
        <f>TrRoad_ene!R$19</f>
        <v>2.3828988371293027</v>
      </c>
      <c r="S36" s="102">
        <f>TrRoad_ene!S$19</f>
        <v>2.2478596956380121</v>
      </c>
      <c r="T36" s="102">
        <f>TrRoad_ene!T$19</f>
        <v>2.1496666967581812</v>
      </c>
      <c r="U36" s="102">
        <f>TrRoad_ene!U$19</f>
        <v>2.2855157604342038</v>
      </c>
      <c r="V36" s="102">
        <f>TrRoad_ene!V$19</f>
        <v>2.0477723885615542</v>
      </c>
      <c r="W36" s="102">
        <f>TrRoad_ene!W$19</f>
        <v>1.9905173593555787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278.90292182775346</v>
      </c>
      <c r="C37" s="102">
        <f>TrRoad_ene!C$21</f>
        <v>350.56673268961481</v>
      </c>
      <c r="D37" s="102">
        <f>TrRoad_ene!D$21</f>
        <v>334.78184670098886</v>
      </c>
      <c r="E37" s="102">
        <f>TrRoad_ene!E$21</f>
        <v>333.78162486898475</v>
      </c>
      <c r="F37" s="102">
        <f>TrRoad_ene!F$21</f>
        <v>340.68800744927557</v>
      </c>
      <c r="G37" s="102">
        <f>TrRoad_ene!G$21</f>
        <v>367.1407183376437</v>
      </c>
      <c r="H37" s="102">
        <f>TrRoad_ene!H$21</f>
        <v>414.49317695821412</v>
      </c>
      <c r="I37" s="102">
        <f>TrRoad_ene!I$21</f>
        <v>460.60116377959798</v>
      </c>
      <c r="J37" s="102">
        <f>TrRoad_ene!J$21</f>
        <v>455.10554813524499</v>
      </c>
      <c r="K37" s="102">
        <f>TrRoad_ene!K$21</f>
        <v>436.49114794991931</v>
      </c>
      <c r="L37" s="102">
        <f>TrRoad_ene!L$21</f>
        <v>439.81117870176183</v>
      </c>
      <c r="M37" s="102">
        <f>TrRoad_ene!M$21</f>
        <v>438.24714590744401</v>
      </c>
      <c r="N37" s="102">
        <f>TrRoad_ene!N$21</f>
        <v>450.32444096800151</v>
      </c>
      <c r="O37" s="102">
        <f>TrRoad_ene!O$21</f>
        <v>443.61406809048822</v>
      </c>
      <c r="P37" s="102">
        <f>TrRoad_ene!P$21</f>
        <v>452.57309227374037</v>
      </c>
      <c r="Q37" s="102">
        <f>TrRoad_ene!Q$21</f>
        <v>474.28060686039487</v>
      </c>
      <c r="R37" s="102">
        <f>TrRoad_ene!R$21</f>
        <v>488.22048188953295</v>
      </c>
      <c r="S37" s="102">
        <f>TrRoad_ene!S$21</f>
        <v>506.16480816926884</v>
      </c>
      <c r="T37" s="102">
        <f>TrRoad_ene!T$21</f>
        <v>528.0728795428895</v>
      </c>
      <c r="U37" s="102">
        <f>TrRoad_ene!U$21</f>
        <v>535.818672902461</v>
      </c>
      <c r="V37" s="102">
        <f>TrRoad_ene!V$21</f>
        <v>502.77841079495062</v>
      </c>
      <c r="W37" s="102">
        <f>TrRoad_ene!W$21</f>
        <v>511.56835467175313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84.730140845072214</v>
      </c>
      <c r="C38" s="102">
        <f>TrRoad_ene!C$33</f>
        <v>100.59865069040642</v>
      </c>
      <c r="D38" s="102">
        <f>TrRoad_ene!D$33</f>
        <v>110.95653486841843</v>
      </c>
      <c r="E38" s="102">
        <f>TrRoad_ene!E$33</f>
        <v>98.29893410745774</v>
      </c>
      <c r="F38" s="102">
        <f>TrRoad_ene!F$33</f>
        <v>101.64945421410053</v>
      </c>
      <c r="G38" s="102">
        <f>TrRoad_ene!G$33</f>
        <v>106.66951656548392</v>
      </c>
      <c r="H38" s="102">
        <f>TrRoad_ene!H$33</f>
        <v>108.87302817807091</v>
      </c>
      <c r="I38" s="102">
        <f>TrRoad_ene!I$33</f>
        <v>93.354259256164028</v>
      </c>
      <c r="J38" s="102">
        <f>TrRoad_ene!J$33</f>
        <v>85.208038391159306</v>
      </c>
      <c r="K38" s="102">
        <f>TrRoad_ene!K$33</f>
        <v>74.260388118331889</v>
      </c>
      <c r="L38" s="102">
        <f>TrRoad_ene!L$33</f>
        <v>81.047225445316897</v>
      </c>
      <c r="M38" s="102">
        <f>TrRoad_ene!M$33</f>
        <v>80.143762124633568</v>
      </c>
      <c r="N38" s="102">
        <f>TrRoad_ene!N$33</f>
        <v>81.250169459902921</v>
      </c>
      <c r="O38" s="102">
        <f>TrRoad_ene!O$33</f>
        <v>81.014144628310916</v>
      </c>
      <c r="P38" s="102">
        <f>TrRoad_ene!P$33</f>
        <v>84.557049829901757</v>
      </c>
      <c r="Q38" s="102">
        <f>TrRoad_ene!Q$33</f>
        <v>86.251309800036296</v>
      </c>
      <c r="R38" s="102">
        <f>TrRoad_ene!R$33</f>
        <v>96.390086862718022</v>
      </c>
      <c r="S38" s="102">
        <f>TrRoad_ene!S$33</f>
        <v>109.41905153523987</v>
      </c>
      <c r="T38" s="102">
        <f>TrRoad_ene!T$33</f>
        <v>110.08001436451663</v>
      </c>
      <c r="U38" s="102">
        <f>TrRoad_ene!U$33</f>
        <v>102.26457900811714</v>
      </c>
      <c r="V38" s="102">
        <f>TrRoad_ene!V$33</f>
        <v>98.863035228252315</v>
      </c>
      <c r="W38" s="102">
        <f>TrRoad_ene!W$33</f>
        <v>107.46782309264412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4.4089920072364084</v>
      </c>
      <c r="C39" s="110">
        <f t="shared" si="31"/>
        <v>3.1337102228720686</v>
      </c>
      <c r="D39" s="110">
        <f t="shared" si="31"/>
        <v>3.1018199110662006</v>
      </c>
      <c r="E39" s="110">
        <f t="shared" si="31"/>
        <v>3.06160485099088</v>
      </c>
      <c r="F39" s="110">
        <f t="shared" si="31"/>
        <v>2.8146338508290869</v>
      </c>
      <c r="G39" s="110">
        <f t="shared" si="31"/>
        <v>3.066123523289543</v>
      </c>
      <c r="H39" s="110">
        <f t="shared" si="31"/>
        <v>3.3375872458273155</v>
      </c>
      <c r="I39" s="110">
        <f t="shared" si="31"/>
        <v>3.8046897728599536</v>
      </c>
      <c r="J39" s="110">
        <f t="shared" si="31"/>
        <v>3.0080025394609411</v>
      </c>
      <c r="K39" s="110">
        <f t="shared" si="31"/>
        <v>2.8428838553506797</v>
      </c>
      <c r="L39" s="110">
        <f t="shared" si="31"/>
        <v>3.2895175909418017</v>
      </c>
      <c r="M39" s="110">
        <f t="shared" si="31"/>
        <v>3.1278012786578215</v>
      </c>
      <c r="N39" s="110">
        <f t="shared" si="31"/>
        <v>2.6672927381341123</v>
      </c>
      <c r="O39" s="110">
        <f t="shared" si="31"/>
        <v>3.0577967608926944</v>
      </c>
      <c r="P39" s="110">
        <f t="shared" si="31"/>
        <v>3.5393469024011304</v>
      </c>
      <c r="Q39" s="110">
        <f t="shared" si="31"/>
        <v>3.5428201939686113</v>
      </c>
      <c r="R39" s="110">
        <f t="shared" ref="R39:V39" si="32">R40+R41+R42</f>
        <v>3.4540937409510772</v>
      </c>
      <c r="S39" s="110">
        <f t="shared" si="32"/>
        <v>4.0415358697828054</v>
      </c>
      <c r="T39" s="110">
        <f t="shared" si="32"/>
        <v>4.5568894351371823</v>
      </c>
      <c r="U39" s="110">
        <f t="shared" si="32"/>
        <v>5.7092204863643978</v>
      </c>
      <c r="V39" s="110">
        <f t="shared" si="32"/>
        <v>5.5552270966724882</v>
      </c>
      <c r="W39" s="110">
        <f t="shared" ref="W39" si="33">W40+W41+W42</f>
        <v>4.0540925842289193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0.54333608215994622</v>
      </c>
      <c r="C40" s="102">
        <f>TrRail_ene!C$12</f>
        <v>0.47905988358336832</v>
      </c>
      <c r="D40" s="102">
        <f>TrRail_ene!D$12</f>
        <v>0.52602226821378684</v>
      </c>
      <c r="E40" s="102">
        <f>TrRail_ene!E$12</f>
        <v>0.53085991846870195</v>
      </c>
      <c r="F40" s="102">
        <f>TrRail_ene!F$12</f>
        <v>0.42117517046143926</v>
      </c>
      <c r="G40" s="102">
        <f>TrRail_ene!G$12</f>
        <v>0.33841241116509607</v>
      </c>
      <c r="H40" s="102">
        <f>TrRail_ene!H$12</f>
        <v>0.34215947987325662</v>
      </c>
      <c r="I40" s="102">
        <f>TrRail_ene!I$12</f>
        <v>0.34262082527599358</v>
      </c>
      <c r="J40" s="102">
        <f>TrRail_ene!J$12</f>
        <v>0.2575764791824911</v>
      </c>
      <c r="K40" s="102">
        <f>TrRail_ene!K$12</f>
        <v>0.28606972416333859</v>
      </c>
      <c r="L40" s="102">
        <f>TrRail_ene!L$12</f>
        <v>0.31035285484563119</v>
      </c>
      <c r="M40" s="102">
        <f>TrRail_ene!M$12</f>
        <v>0.27236515242598563</v>
      </c>
      <c r="N40" s="102">
        <f>TrRail_ene!N$12</f>
        <v>0.37507859973874025</v>
      </c>
      <c r="O40" s="102">
        <f>TrRail_ene!O$12</f>
        <v>0.32146493941667509</v>
      </c>
      <c r="P40" s="102">
        <f>TrRail_ene!P$12</f>
        <v>0.24558626953566659</v>
      </c>
      <c r="Q40" s="102">
        <f>TrRail_ene!Q$12</f>
        <v>0.2300318115527733</v>
      </c>
      <c r="R40" s="102">
        <f>TrRail_ene!R$12</f>
        <v>0.23137941818594182</v>
      </c>
      <c r="S40" s="102">
        <f>TrRail_ene!S$12</f>
        <v>0.23201206199436039</v>
      </c>
      <c r="T40" s="102">
        <f>TrRail_ene!T$12</f>
        <v>0.34606192758104104</v>
      </c>
      <c r="U40" s="102">
        <f>TrRail_ene!U$12</f>
        <v>0.36630627649022818</v>
      </c>
      <c r="V40" s="102">
        <f>TrRail_ene!V$12</f>
        <v>0.36188553587846234</v>
      </c>
      <c r="W40" s="102">
        <f>TrRail_ene!W$12</f>
        <v>0.36448540811406349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3.8656559250764619</v>
      </c>
      <c r="C41" s="102">
        <f>TrRail_ene!C$13</f>
        <v>2.6546503392887004</v>
      </c>
      <c r="D41" s="102">
        <f>TrRail_ene!D$13</f>
        <v>2.5757976428524136</v>
      </c>
      <c r="E41" s="102">
        <f>TrRail_ene!E$13</f>
        <v>2.530744932522178</v>
      </c>
      <c r="F41" s="102">
        <f>TrRail_ene!F$13</f>
        <v>2.3934586803676479</v>
      </c>
      <c r="G41" s="102">
        <f>TrRail_ene!G$13</f>
        <v>2.7277111121244468</v>
      </c>
      <c r="H41" s="102">
        <f>TrRail_ene!H$13</f>
        <v>2.9954277659540587</v>
      </c>
      <c r="I41" s="102">
        <f>TrRail_ene!I$13</f>
        <v>3.4620689475839601</v>
      </c>
      <c r="J41" s="102">
        <f>TrRail_ene!J$13</f>
        <v>2.7504260602784498</v>
      </c>
      <c r="K41" s="102">
        <f>TrRail_ene!K$13</f>
        <v>2.5568141311873411</v>
      </c>
      <c r="L41" s="102">
        <f>TrRail_ene!L$13</f>
        <v>2.9791647360961706</v>
      </c>
      <c r="M41" s="102">
        <f>TrRail_ene!M$13</f>
        <v>2.8554361262318357</v>
      </c>
      <c r="N41" s="102">
        <f>TrRail_ene!N$13</f>
        <v>2.292214138395372</v>
      </c>
      <c r="O41" s="102">
        <f>TrRail_ene!O$13</f>
        <v>2.7363318214760195</v>
      </c>
      <c r="P41" s="102">
        <f>TrRail_ene!P$13</f>
        <v>3.2937606328654638</v>
      </c>
      <c r="Q41" s="102">
        <f>TrRail_ene!Q$13</f>
        <v>3.312788382415838</v>
      </c>
      <c r="R41" s="102">
        <f>TrRail_ene!R$13</f>
        <v>3.2227143227651354</v>
      </c>
      <c r="S41" s="102">
        <f>TrRail_ene!S$13</f>
        <v>3.8095238077884455</v>
      </c>
      <c r="T41" s="102">
        <f>TrRail_ene!T$13</f>
        <v>4.2108275075561412</v>
      </c>
      <c r="U41" s="102">
        <f>TrRail_ene!U$13</f>
        <v>5.34291420987417</v>
      </c>
      <c r="V41" s="102">
        <f>TrRail_ene!V$13</f>
        <v>5.1933415607940256</v>
      </c>
      <c r="W41" s="102">
        <f>TrRail_ene!W$13</f>
        <v>3.6896071761148557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20.267232812018982</v>
      </c>
      <c r="C43" s="110">
        <f t="shared" si="34"/>
        <v>16.73079284629096</v>
      </c>
      <c r="D43" s="110">
        <f t="shared" si="34"/>
        <v>17.600308930940166</v>
      </c>
      <c r="E43" s="110">
        <f t="shared" si="34"/>
        <v>20.432022156007569</v>
      </c>
      <c r="F43" s="110">
        <f t="shared" si="34"/>
        <v>31.641758615847685</v>
      </c>
      <c r="G43" s="110">
        <f t="shared" si="34"/>
        <v>50.232215831034992</v>
      </c>
      <c r="H43" s="110">
        <f t="shared" si="34"/>
        <v>51.439846521172981</v>
      </c>
      <c r="I43" s="110">
        <f t="shared" si="34"/>
        <v>58.598429843947365</v>
      </c>
      <c r="J43" s="110">
        <f t="shared" si="34"/>
        <v>66.953079002675679</v>
      </c>
      <c r="K43" s="110">
        <f t="shared" si="34"/>
        <v>36.328892587228822</v>
      </c>
      <c r="L43" s="110">
        <f t="shared" si="34"/>
        <v>33.259763282065798</v>
      </c>
      <c r="M43" s="110">
        <f t="shared" si="34"/>
        <v>44.97168896759915</v>
      </c>
      <c r="N43" s="110">
        <f t="shared" si="34"/>
        <v>59.150159509355177</v>
      </c>
      <c r="O43" s="110">
        <f t="shared" si="34"/>
        <v>47.01970737913625</v>
      </c>
      <c r="P43" s="110">
        <f t="shared" si="34"/>
        <v>47.059117125757041</v>
      </c>
      <c r="Q43" s="110">
        <f t="shared" si="34"/>
        <v>49.39146553351187</v>
      </c>
      <c r="R43" s="110">
        <f t="shared" ref="R43:V43" si="35">R44+R45+R46</f>
        <v>45.291161504587876</v>
      </c>
      <c r="S43" s="110">
        <f t="shared" si="35"/>
        <v>58.989651567512155</v>
      </c>
      <c r="T43" s="110">
        <f t="shared" si="35"/>
        <v>68.710873950377092</v>
      </c>
      <c r="U43" s="110">
        <f t="shared" si="35"/>
        <v>67.731694268418124</v>
      </c>
      <c r="V43" s="110">
        <f t="shared" si="35"/>
        <v>23.291833289127542</v>
      </c>
      <c r="W43" s="110">
        <f t="shared" ref="W43" si="36">W44+W45+W46</f>
        <v>41.567400851800038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18.687252437355973</v>
      </c>
      <c r="C45" s="102">
        <f>TrAvia_ene!C$8</f>
        <v>15.425473180278779</v>
      </c>
      <c r="D45" s="102">
        <f>TrAvia_ene!D$8</f>
        <v>16.139791008823764</v>
      </c>
      <c r="E45" s="102">
        <f>TrAvia_ene!E$8</f>
        <v>18.45982508278696</v>
      </c>
      <c r="F45" s="102">
        <f>TrAvia_ene!F$8</f>
        <v>27.915822891095289</v>
      </c>
      <c r="G45" s="102">
        <f>TrAvia_ene!G$8</f>
        <v>44.99727351497453</v>
      </c>
      <c r="H45" s="102">
        <f>TrAvia_ene!H$8</f>
        <v>46.241340561886147</v>
      </c>
      <c r="I45" s="102">
        <f>TrAvia_ene!I$8</f>
        <v>52.812584685906302</v>
      </c>
      <c r="J45" s="102">
        <f>TrAvia_ene!J$8</f>
        <v>60.036950257066422</v>
      </c>
      <c r="K45" s="102">
        <f>TrAvia_ene!K$8</f>
        <v>32.034096098256228</v>
      </c>
      <c r="L45" s="102">
        <f>TrAvia_ene!L$8</f>
        <v>29.297894082990997</v>
      </c>
      <c r="M45" s="102">
        <f>TrAvia_ene!M$8</f>
        <v>40.492032118263587</v>
      </c>
      <c r="N45" s="102">
        <f>TrAvia_ene!N$8</f>
        <v>52.676357294771869</v>
      </c>
      <c r="O45" s="102">
        <f>TrAvia_ene!O$8</f>
        <v>41.531711925798312</v>
      </c>
      <c r="P45" s="102">
        <f>TrAvia_ene!P$8</f>
        <v>41.597273343504455</v>
      </c>
      <c r="Q45" s="102">
        <f>TrAvia_ene!Q$8</f>
        <v>43.667427707146487</v>
      </c>
      <c r="R45" s="102">
        <f>TrAvia_ene!R$8</f>
        <v>40.166756111550313</v>
      </c>
      <c r="S45" s="102">
        <f>TrAvia_ene!S$8</f>
        <v>52.535506915918674</v>
      </c>
      <c r="T45" s="102">
        <f>TrAvia_ene!T$8</f>
        <v>61.483727468044606</v>
      </c>
      <c r="U45" s="102">
        <f>TrAvia_ene!U$8</f>
        <v>60.417295619675471</v>
      </c>
      <c r="V45" s="102">
        <f>TrAvia_ene!V$8</f>
        <v>20.071597130796075</v>
      </c>
      <c r="W45" s="102">
        <f>TrAvia_ene!W$8</f>
        <v>36.441548378516025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1.5799803746630103</v>
      </c>
      <c r="C46" s="102">
        <f>TrAvia_ene!C$9</f>
        <v>1.30531966601218</v>
      </c>
      <c r="D46" s="102">
        <f>TrAvia_ene!D$9</f>
        <v>1.4605179221164029</v>
      </c>
      <c r="E46" s="102">
        <f>TrAvia_ene!E$9</f>
        <v>1.9721970732206109</v>
      </c>
      <c r="F46" s="102">
        <f>TrAvia_ene!F$9</f>
        <v>3.7259357247523979</v>
      </c>
      <c r="G46" s="102">
        <f>TrAvia_ene!G$9</f>
        <v>5.2349423160604607</v>
      </c>
      <c r="H46" s="102">
        <f>TrAvia_ene!H$9</f>
        <v>5.198505959286833</v>
      </c>
      <c r="I46" s="102">
        <f>TrAvia_ene!I$9</f>
        <v>5.7858451580410604</v>
      </c>
      <c r="J46" s="102">
        <f>TrAvia_ene!J$9</f>
        <v>6.9161287456092619</v>
      </c>
      <c r="K46" s="102">
        <f>TrAvia_ene!K$9</f>
        <v>4.2947964889725929</v>
      </c>
      <c r="L46" s="102">
        <f>TrAvia_ene!L$9</f>
        <v>3.9618691990748012</v>
      </c>
      <c r="M46" s="102">
        <f>TrAvia_ene!M$9</f>
        <v>4.4796568493355595</v>
      </c>
      <c r="N46" s="102">
        <f>TrAvia_ene!N$9</f>
        <v>6.4738022145833112</v>
      </c>
      <c r="O46" s="102">
        <f>TrAvia_ene!O$9</f>
        <v>5.4879954533379394</v>
      </c>
      <c r="P46" s="102">
        <f>TrAvia_ene!P$9</f>
        <v>5.4618437822525836</v>
      </c>
      <c r="Q46" s="102">
        <f>TrAvia_ene!Q$9</f>
        <v>5.7240378263653806</v>
      </c>
      <c r="R46" s="102">
        <f>TrAvia_ene!R$9</f>
        <v>5.1244053930375664</v>
      </c>
      <c r="S46" s="102">
        <f>TrAvia_ene!S$9</f>
        <v>6.4541446515934782</v>
      </c>
      <c r="T46" s="102">
        <f>TrAvia_ene!T$9</f>
        <v>7.2271464823324871</v>
      </c>
      <c r="U46" s="102">
        <f>TrAvia_ene!U$9</f>
        <v>7.3143986487426567</v>
      </c>
      <c r="V46" s="102">
        <f>TrAvia_ene!V$9</f>
        <v>3.2202361583314669</v>
      </c>
      <c r="W46" s="102">
        <f>TrAvia_ene!W$9</f>
        <v>5.1258524732840112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180.73223345256989</v>
      </c>
      <c r="C47" s="28">
        <f t="shared" si="37"/>
        <v>199.88399233688793</v>
      </c>
      <c r="D47" s="28">
        <f t="shared" si="37"/>
        <v>237.64889946883744</v>
      </c>
      <c r="E47" s="28">
        <f t="shared" si="37"/>
        <v>227.7808620149666</v>
      </c>
      <c r="F47" s="28">
        <f t="shared" si="37"/>
        <v>229.29472759157028</v>
      </c>
      <c r="G47" s="28">
        <f t="shared" si="37"/>
        <v>230.60906441174973</v>
      </c>
      <c r="H47" s="28">
        <f t="shared" si="37"/>
        <v>233.37029792379587</v>
      </c>
      <c r="I47" s="28">
        <f t="shared" si="37"/>
        <v>238.24474383588057</v>
      </c>
      <c r="J47" s="28">
        <f t="shared" si="37"/>
        <v>225.40530732411639</v>
      </c>
      <c r="K47" s="28">
        <f t="shared" si="37"/>
        <v>191.18670825748092</v>
      </c>
      <c r="L47" s="28">
        <f t="shared" si="37"/>
        <v>224.06095115168023</v>
      </c>
      <c r="M47" s="28">
        <f t="shared" si="37"/>
        <v>221.63112931555844</v>
      </c>
      <c r="N47" s="28">
        <f t="shared" si="37"/>
        <v>217.34821271566634</v>
      </c>
      <c r="O47" s="28">
        <f t="shared" si="37"/>
        <v>206.19086707636185</v>
      </c>
      <c r="P47" s="28">
        <f t="shared" si="37"/>
        <v>196.67837672127789</v>
      </c>
      <c r="Q47" s="28">
        <f t="shared" si="37"/>
        <v>191.75736916840691</v>
      </c>
      <c r="R47" s="28">
        <f t="shared" ref="R47:V47" si="38">R48+R51+R52+R56</f>
        <v>184.46316823812992</v>
      </c>
      <c r="S47" s="28">
        <f t="shared" si="38"/>
        <v>180.24423373306274</v>
      </c>
      <c r="T47" s="28">
        <f t="shared" si="38"/>
        <v>188.01583932935563</v>
      </c>
      <c r="U47" s="28">
        <f t="shared" si="38"/>
        <v>190.94586969742565</v>
      </c>
      <c r="V47" s="28">
        <f t="shared" si="38"/>
        <v>182.46186656425516</v>
      </c>
      <c r="W47" s="28">
        <f t="shared" ref="W47" si="39">W48+W51+W52+W56</f>
        <v>214.89272106085292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132.97604210673498</v>
      </c>
      <c r="C48" s="137">
        <f t="shared" si="40"/>
        <v>153.8238178480114</v>
      </c>
      <c r="D48" s="137">
        <f t="shared" si="40"/>
        <v>179.45420973818688</v>
      </c>
      <c r="E48" s="137">
        <f t="shared" si="40"/>
        <v>174.46554663159532</v>
      </c>
      <c r="F48" s="137">
        <f t="shared" si="40"/>
        <v>183.0667692413941</v>
      </c>
      <c r="G48" s="137">
        <f t="shared" si="40"/>
        <v>181.46828080820666</v>
      </c>
      <c r="H48" s="137">
        <f t="shared" si="40"/>
        <v>183.51256402097675</v>
      </c>
      <c r="I48" s="137">
        <f t="shared" si="40"/>
        <v>194.95869750255889</v>
      </c>
      <c r="J48" s="137">
        <f t="shared" si="40"/>
        <v>193.35882222824787</v>
      </c>
      <c r="K48" s="137">
        <f t="shared" si="40"/>
        <v>149.20646406377492</v>
      </c>
      <c r="L48" s="137">
        <f t="shared" si="40"/>
        <v>167.16637991806704</v>
      </c>
      <c r="M48" s="137">
        <f t="shared" si="40"/>
        <v>183.91264879655316</v>
      </c>
      <c r="N48" s="137">
        <f t="shared" si="40"/>
        <v>184.06179565963026</v>
      </c>
      <c r="O48" s="137">
        <f t="shared" si="40"/>
        <v>177.36665152593508</v>
      </c>
      <c r="P48" s="137">
        <f t="shared" si="40"/>
        <v>172.22086482510247</v>
      </c>
      <c r="Q48" s="137">
        <f t="shared" si="40"/>
        <v>168.33309943587022</v>
      </c>
      <c r="R48" s="137">
        <f t="shared" ref="R48:V48" si="41">R49+R50</f>
        <v>166.13559459286921</v>
      </c>
      <c r="S48" s="137">
        <f t="shared" si="41"/>
        <v>160.12563613166466</v>
      </c>
      <c r="T48" s="137">
        <f t="shared" si="41"/>
        <v>169.73622524281487</v>
      </c>
      <c r="U48" s="137">
        <f t="shared" si="41"/>
        <v>173.28162538084104</v>
      </c>
      <c r="V48" s="137">
        <f t="shared" si="41"/>
        <v>165.33988137825813</v>
      </c>
      <c r="W48" s="137">
        <f t="shared" ref="W48" si="42">W49+W50</f>
        <v>196.36571922603065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83.353926961160056</v>
      </c>
      <c r="C49" s="102">
        <f>TrRoad_ene!C$43</f>
        <v>101.12575376108641</v>
      </c>
      <c r="D49" s="102">
        <f>TrRoad_ene!D$43</f>
        <v>108.65541264167516</v>
      </c>
      <c r="E49" s="102">
        <f>TrRoad_ene!E$43</f>
        <v>89.664608113256904</v>
      </c>
      <c r="F49" s="102">
        <f>TrRoad_ene!F$43</f>
        <v>87.055805445880637</v>
      </c>
      <c r="G49" s="102">
        <f>TrRoad_ene!G$43</f>
        <v>80.602520975967266</v>
      </c>
      <c r="H49" s="102">
        <f>TrRoad_ene!H$43</f>
        <v>76.354695107991432</v>
      </c>
      <c r="I49" s="102">
        <f>TrRoad_ene!I$43</f>
        <v>72.690267403825274</v>
      </c>
      <c r="J49" s="102">
        <f>TrRoad_ene!J$43</f>
        <v>70.477690314383125</v>
      </c>
      <c r="K49" s="102">
        <f>TrRoad_ene!K$43</f>
        <v>63.187603085576477</v>
      </c>
      <c r="L49" s="102">
        <f>TrRoad_ene!L$43</f>
        <v>67.75476632876817</v>
      </c>
      <c r="M49" s="102">
        <f>TrRoad_ene!M$43</f>
        <v>70.792949747409125</v>
      </c>
      <c r="N49" s="102">
        <f>TrRoad_ene!N$43</f>
        <v>72.628022307207701</v>
      </c>
      <c r="O49" s="102">
        <f>TrRoad_ene!O$43</f>
        <v>73.265977166827255</v>
      </c>
      <c r="P49" s="102">
        <f>TrRoad_ene!P$43</f>
        <v>75.401670089344321</v>
      </c>
      <c r="Q49" s="102">
        <f>TrRoad_ene!Q$43</f>
        <v>74.921168149015358</v>
      </c>
      <c r="R49" s="102">
        <f>TrRoad_ene!R$43</f>
        <v>77.861518712114432</v>
      </c>
      <c r="S49" s="102">
        <f>TrRoad_ene!S$43</f>
        <v>84.578508266815106</v>
      </c>
      <c r="T49" s="102">
        <f>TrRoad_ene!T$43</f>
        <v>92.986670602828582</v>
      </c>
      <c r="U49" s="102">
        <f>TrRoad_ene!U$43</f>
        <v>101.9149491591777</v>
      </c>
      <c r="V49" s="102">
        <f>TrRoad_ene!V$43</f>
        <v>102.08569736139957</v>
      </c>
      <c r="W49" s="102">
        <f>TrRoad_ene!W$43</f>
        <v>112.6992926873133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49.622115145574924</v>
      </c>
      <c r="C50" s="102">
        <f>TrRoad_ene!C$52</f>
        <v>52.698064086924994</v>
      </c>
      <c r="D50" s="102">
        <f>TrRoad_ene!D$52</f>
        <v>70.79879709651172</v>
      </c>
      <c r="E50" s="102">
        <f>TrRoad_ene!E$52</f>
        <v>84.800938518338427</v>
      </c>
      <c r="F50" s="102">
        <f>TrRoad_ene!F$52</f>
        <v>96.010963795513462</v>
      </c>
      <c r="G50" s="102">
        <f>TrRoad_ene!G$52</f>
        <v>100.86575983223941</v>
      </c>
      <c r="H50" s="102">
        <f>TrRoad_ene!H$52</f>
        <v>107.15786891298532</v>
      </c>
      <c r="I50" s="102">
        <f>TrRoad_ene!I$52</f>
        <v>122.2684300987336</v>
      </c>
      <c r="J50" s="102">
        <f>TrRoad_ene!J$52</f>
        <v>122.88113191386475</v>
      </c>
      <c r="K50" s="102">
        <f>TrRoad_ene!K$52</f>
        <v>86.018860978198433</v>
      </c>
      <c r="L50" s="102">
        <f>TrRoad_ene!L$52</f>
        <v>99.411613589298867</v>
      </c>
      <c r="M50" s="102">
        <f>TrRoad_ene!M$52</f>
        <v>113.11969904914403</v>
      </c>
      <c r="N50" s="102">
        <f>TrRoad_ene!N$52</f>
        <v>111.43377335242255</v>
      </c>
      <c r="O50" s="102">
        <f>TrRoad_ene!O$52</f>
        <v>104.10067435910784</v>
      </c>
      <c r="P50" s="102">
        <f>TrRoad_ene!P$52</f>
        <v>96.819194735758145</v>
      </c>
      <c r="Q50" s="102">
        <f>TrRoad_ene!Q$52</f>
        <v>93.411931286854866</v>
      </c>
      <c r="R50" s="102">
        <f>TrRoad_ene!R$52</f>
        <v>88.274075880754765</v>
      </c>
      <c r="S50" s="102">
        <f>TrRoad_ene!S$52</f>
        <v>75.547127864849557</v>
      </c>
      <c r="T50" s="102">
        <f>TrRoad_ene!T$52</f>
        <v>76.749554639986286</v>
      </c>
      <c r="U50" s="102">
        <f>TrRoad_ene!U$52</f>
        <v>71.36667622166334</v>
      </c>
      <c r="V50" s="102">
        <f>TrRoad_ene!V$52</f>
        <v>63.254184016858559</v>
      </c>
      <c r="W50" s="102">
        <f>TrRoad_ene!W$52</f>
        <v>83.666426538717332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40.41044049491321</v>
      </c>
      <c r="C51" s="110">
        <f>TrRail_ene!C$17</f>
        <v>38.740752373860516</v>
      </c>
      <c r="D51" s="110">
        <f>TrRail_ene!D$17</f>
        <v>49.886142255743771</v>
      </c>
      <c r="E51" s="110">
        <f>TrRail_ene!E$17</f>
        <v>43.950432982199139</v>
      </c>
      <c r="F51" s="110">
        <f>TrRail_ene!F$17</f>
        <v>37.79155703481149</v>
      </c>
      <c r="G51" s="110">
        <f>TrRail_ene!G$17</f>
        <v>40.571021790553964</v>
      </c>
      <c r="H51" s="110">
        <f>TrRail_ene!H$17</f>
        <v>42.320194353484808</v>
      </c>
      <c r="I51" s="110">
        <f>TrRail_ene!I$17</f>
        <v>34.694880304526123</v>
      </c>
      <c r="J51" s="110">
        <f>TrRail_ene!J$17</f>
        <v>24.378067967847741</v>
      </c>
      <c r="K51" s="110">
        <f>TrRail_ene!K$17</f>
        <v>33.550065413780878</v>
      </c>
      <c r="L51" s="110">
        <f>TrRail_ene!L$17</f>
        <v>48.430172864776168</v>
      </c>
      <c r="M51" s="110">
        <f>TrRail_ene!M$17</f>
        <v>32.25482984773943</v>
      </c>
      <c r="N51" s="110">
        <f>TrRail_ene!N$17</f>
        <v>28.674065817325896</v>
      </c>
      <c r="O51" s="110">
        <f>TrRail_ene!O$17</f>
        <v>24.156304700844192</v>
      </c>
      <c r="P51" s="110">
        <f>TrRail_ene!P$17</f>
        <v>17.784814748501709</v>
      </c>
      <c r="Q51" s="110">
        <f>TrRail_ene!Q$17</f>
        <v>16.771023314199919</v>
      </c>
      <c r="R51" s="110">
        <f>TrRail_ene!R$17</f>
        <v>12.732492673494324</v>
      </c>
      <c r="S51" s="110">
        <f>TrRail_ene!S$17</f>
        <v>12.841267225660015</v>
      </c>
      <c r="T51" s="110">
        <f>TrRail_ene!T$17</f>
        <v>11.095045216625502</v>
      </c>
      <c r="U51" s="110">
        <f>TrRail_ene!U$17</f>
        <v>11.531106254822182</v>
      </c>
      <c r="V51" s="110">
        <f>TrRail_ene!V$17</f>
        <v>9.935744528434995</v>
      </c>
      <c r="W51" s="110">
        <f>TrRail_ene!W$17</f>
        <v>11.094488671145109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0.27352385178153088</v>
      </c>
      <c r="C52" s="110">
        <f t="shared" si="43"/>
        <v>0.24719511587585441</v>
      </c>
      <c r="D52" s="110">
        <f t="shared" si="43"/>
        <v>0.22600233303231704</v>
      </c>
      <c r="E52" s="110">
        <f t="shared" si="43"/>
        <v>0.27201911656336447</v>
      </c>
      <c r="F52" s="110">
        <f t="shared" si="43"/>
        <v>0.35385617349023363</v>
      </c>
      <c r="G52" s="110">
        <f t="shared" si="43"/>
        <v>0.48721667111463624</v>
      </c>
      <c r="H52" s="110">
        <f t="shared" si="43"/>
        <v>0.46531255019416329</v>
      </c>
      <c r="I52" s="110">
        <f t="shared" si="43"/>
        <v>0.5086208869210721</v>
      </c>
      <c r="J52" s="110">
        <f t="shared" si="43"/>
        <v>0.59619012888063516</v>
      </c>
      <c r="K52" s="110">
        <f t="shared" si="43"/>
        <v>0.34763363805063635</v>
      </c>
      <c r="L52" s="110">
        <f t="shared" si="43"/>
        <v>0.38185322696257584</v>
      </c>
      <c r="M52" s="110">
        <f t="shared" si="43"/>
        <v>0.4120599575943083</v>
      </c>
      <c r="N52" s="110">
        <f t="shared" si="43"/>
        <v>0.57107866777293925</v>
      </c>
      <c r="O52" s="110">
        <f t="shared" si="43"/>
        <v>0.62663827864534016</v>
      </c>
      <c r="P52" s="110">
        <f t="shared" si="43"/>
        <v>0.61078829126789358</v>
      </c>
      <c r="Q52" s="110">
        <f t="shared" si="43"/>
        <v>0.59133756193094411</v>
      </c>
      <c r="R52" s="110">
        <f t="shared" si="43"/>
        <v>0.54349025809483942</v>
      </c>
      <c r="S52" s="110">
        <f t="shared" si="43"/>
        <v>0.66374482113788513</v>
      </c>
      <c r="T52" s="110">
        <f t="shared" si="43"/>
        <v>0.69531693526349214</v>
      </c>
      <c r="U52" s="110">
        <f t="shared" si="43"/>
        <v>0.74809936872717342</v>
      </c>
      <c r="V52" s="110">
        <f t="shared" si="43"/>
        <v>0.71005837037375064</v>
      </c>
      <c r="W52" s="110">
        <f t="shared" ref="W52" si="44">W53+W54+W55</f>
        <v>1.4716361215447566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0.22113429253698819</v>
      </c>
      <c r="C54" s="102">
        <f>TrAvia_ene!C$12</f>
        <v>0.19865497527068515</v>
      </c>
      <c r="D54" s="102">
        <f>TrAvia_ene!D$12</f>
        <v>0.19028842727199163</v>
      </c>
      <c r="E54" s="102">
        <f>TrAvia_ene!E$12</f>
        <v>0.22597965852614998</v>
      </c>
      <c r="F54" s="102">
        <f>TrAvia_ene!F$12</f>
        <v>0.30322071706147152</v>
      </c>
      <c r="G54" s="102">
        <f>TrAvia_ene!G$12</f>
        <v>0.3738985722439529</v>
      </c>
      <c r="H54" s="102">
        <f>TrAvia_ene!H$12</f>
        <v>0.40272786460895843</v>
      </c>
      <c r="I54" s="102">
        <f>TrAvia_ene!I$12</f>
        <v>0.47325754093362538</v>
      </c>
      <c r="J54" s="102">
        <f>TrAvia_ene!J$12</f>
        <v>0.57570512650699435</v>
      </c>
      <c r="K54" s="102">
        <f>TrAvia_ene!K$12</f>
        <v>0.34274235184624235</v>
      </c>
      <c r="L54" s="102">
        <f>TrAvia_ene!L$12</f>
        <v>0.36855180485754957</v>
      </c>
      <c r="M54" s="102">
        <f>TrAvia_ene!M$12</f>
        <v>0.40565958439809791</v>
      </c>
      <c r="N54" s="102">
        <f>TrAvia_ene!N$12</f>
        <v>0.56414647346914659</v>
      </c>
      <c r="O54" s="102">
        <f>TrAvia_ene!O$12</f>
        <v>0.61969888011436403</v>
      </c>
      <c r="P54" s="102">
        <f>TrAvia_ene!P$12</f>
        <v>0.60376113511698226</v>
      </c>
      <c r="Q54" s="102">
        <f>TrAvia_ene!Q$12</f>
        <v>0.58358232030695156</v>
      </c>
      <c r="R54" s="102">
        <f>TrAvia_ene!R$12</f>
        <v>0.49620459777306053</v>
      </c>
      <c r="S54" s="102">
        <f>TrAvia_ene!S$12</f>
        <v>0.6441358558743624</v>
      </c>
      <c r="T54" s="102">
        <f>TrAvia_ene!T$12</f>
        <v>0.68444844752009837</v>
      </c>
      <c r="U54" s="102">
        <f>TrAvia_ene!U$12</f>
        <v>0.7170673888430682</v>
      </c>
      <c r="V54" s="102">
        <f>TrAvia_ene!V$12</f>
        <v>0.6795831929821442</v>
      </c>
      <c r="W54" s="102">
        <f>TrAvia_ene!W$12</f>
        <v>1.3748553980194163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5.238955924454268E-2</v>
      </c>
      <c r="C55" s="102">
        <f>TrAvia_ene!C$13</f>
        <v>4.8540140605169264E-2</v>
      </c>
      <c r="D55" s="102">
        <f>TrAvia_ene!D$13</f>
        <v>3.571390576032539E-2</v>
      </c>
      <c r="E55" s="102">
        <f>TrAvia_ene!E$13</f>
        <v>4.6039458037214494E-2</v>
      </c>
      <c r="F55" s="102">
        <f>TrAvia_ene!F$13</f>
        <v>5.0635456428762118E-2</v>
      </c>
      <c r="G55" s="102">
        <f>TrAvia_ene!G$13</f>
        <v>0.11331809887068335</v>
      </c>
      <c r="H55" s="102">
        <f>TrAvia_ene!H$13</f>
        <v>6.2584685585204844E-2</v>
      </c>
      <c r="I55" s="102">
        <f>TrAvia_ene!I$13</f>
        <v>3.5363345987446761E-2</v>
      </c>
      <c r="J55" s="102">
        <f>TrAvia_ene!J$13</f>
        <v>2.0485002373640804E-2</v>
      </c>
      <c r="K55" s="102">
        <f>TrAvia_ene!K$13</f>
        <v>4.8912862043940051E-3</v>
      </c>
      <c r="L55" s="102">
        <f>TrAvia_ene!L$13</f>
        <v>1.33014221050263E-2</v>
      </c>
      <c r="M55" s="102">
        <f>TrAvia_ene!M$13</f>
        <v>6.4003731962103821E-3</v>
      </c>
      <c r="N55" s="102">
        <f>TrAvia_ene!N$13</f>
        <v>6.9321943037926352E-3</v>
      </c>
      <c r="O55" s="102">
        <f>TrAvia_ene!O$13</f>
        <v>6.9393985309761748E-3</v>
      </c>
      <c r="P55" s="102">
        <f>TrAvia_ene!P$13</f>
        <v>7.0271561509113144E-3</v>
      </c>
      <c r="Q55" s="102">
        <f>TrAvia_ene!Q$13</f>
        <v>7.7552416239925212E-3</v>
      </c>
      <c r="R55" s="102">
        <f>TrAvia_ene!R$13</f>
        <v>4.7285660321778902E-2</v>
      </c>
      <c r="S55" s="102">
        <f>TrAvia_ene!S$13</f>
        <v>1.9608965263522685E-2</v>
      </c>
      <c r="T55" s="102">
        <f>TrAvia_ene!T$13</f>
        <v>1.0868487743393728E-2</v>
      </c>
      <c r="U55" s="102">
        <f>TrAvia_ene!U$13</f>
        <v>3.1031979884105217E-2</v>
      </c>
      <c r="V55" s="102">
        <f>TrAvia_ene!V$13</f>
        <v>3.0475177391606392E-2</v>
      </c>
      <c r="W55" s="102">
        <f>TrAvia_ene!W$13</f>
        <v>9.6780723525340492E-2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7.0722269991401543</v>
      </c>
      <c r="C56" s="110">
        <f t="shared" si="45"/>
        <v>7.0722269991401543</v>
      </c>
      <c r="D56" s="110">
        <f t="shared" si="45"/>
        <v>8.082545141874462</v>
      </c>
      <c r="E56" s="110">
        <f t="shared" si="45"/>
        <v>9.0928632846087698</v>
      </c>
      <c r="F56" s="110">
        <f t="shared" si="45"/>
        <v>8.082545141874462</v>
      </c>
      <c r="G56" s="110">
        <f t="shared" si="45"/>
        <v>8.082545141874462</v>
      </c>
      <c r="H56" s="110">
        <f t="shared" si="45"/>
        <v>7.0722269991401543</v>
      </c>
      <c r="I56" s="110">
        <f t="shared" si="45"/>
        <v>8.082545141874462</v>
      </c>
      <c r="J56" s="110">
        <f t="shared" si="45"/>
        <v>7.0722269991401543</v>
      </c>
      <c r="K56" s="110">
        <f t="shared" si="45"/>
        <v>8.082545141874462</v>
      </c>
      <c r="L56" s="110">
        <f t="shared" si="45"/>
        <v>8.082545141874462</v>
      </c>
      <c r="M56" s="110">
        <f t="shared" si="45"/>
        <v>5.0515907136715388</v>
      </c>
      <c r="N56" s="110">
        <f t="shared" si="45"/>
        <v>4.041272570937231</v>
      </c>
      <c r="O56" s="110">
        <f t="shared" si="45"/>
        <v>4.041272570937231</v>
      </c>
      <c r="P56" s="110">
        <f t="shared" si="45"/>
        <v>6.0619088564058474</v>
      </c>
      <c r="Q56" s="110">
        <f t="shared" si="45"/>
        <v>6.0619088564058474</v>
      </c>
      <c r="R56" s="110">
        <f t="shared" ref="R56:V56" si="46">R57+R58</f>
        <v>5.0515907136715388</v>
      </c>
      <c r="S56" s="110">
        <f t="shared" si="46"/>
        <v>6.6135855546001716</v>
      </c>
      <c r="T56" s="110">
        <f t="shared" si="46"/>
        <v>6.4892519346517634</v>
      </c>
      <c r="U56" s="110">
        <f t="shared" si="46"/>
        <v>5.385038693035253</v>
      </c>
      <c r="V56" s="110">
        <f t="shared" si="46"/>
        <v>6.4761822871883057</v>
      </c>
      <c r="W56" s="110">
        <f t="shared" ref="W56" si="47">W57+W58</f>
        <v>5.9608770421324158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7.0722269991401543</v>
      </c>
      <c r="C57" s="102">
        <f>TrNavi_ene!C4</f>
        <v>7.0722269991401543</v>
      </c>
      <c r="D57" s="102">
        <f>TrNavi_ene!D4</f>
        <v>8.082545141874462</v>
      </c>
      <c r="E57" s="102">
        <f>TrNavi_ene!E4</f>
        <v>9.0928632846087698</v>
      </c>
      <c r="F57" s="102">
        <f>TrNavi_ene!F4</f>
        <v>8.082545141874462</v>
      </c>
      <c r="G57" s="102">
        <f>TrNavi_ene!G4</f>
        <v>8.082545141874462</v>
      </c>
      <c r="H57" s="102">
        <f>TrNavi_ene!H4</f>
        <v>7.0722269991401543</v>
      </c>
      <c r="I57" s="102">
        <f>TrNavi_ene!I4</f>
        <v>8.082545141874462</v>
      </c>
      <c r="J57" s="102">
        <f>TrNavi_ene!J4</f>
        <v>7.0722269991401543</v>
      </c>
      <c r="K57" s="102">
        <f>TrNavi_ene!K4</f>
        <v>8.082545141874462</v>
      </c>
      <c r="L57" s="102">
        <f>TrNavi_ene!L4</f>
        <v>8.082545141874462</v>
      </c>
      <c r="M57" s="102">
        <f>TrNavi_ene!M4</f>
        <v>5.0515907136715388</v>
      </c>
      <c r="N57" s="102">
        <f>TrNavi_ene!N4</f>
        <v>4.041272570937231</v>
      </c>
      <c r="O57" s="102">
        <f>TrNavi_ene!O4</f>
        <v>4.041272570937231</v>
      </c>
      <c r="P57" s="102">
        <f>TrNavi_ene!P4</f>
        <v>6.0619088564058474</v>
      </c>
      <c r="Q57" s="102">
        <f>TrNavi_ene!Q4</f>
        <v>6.0619088564058474</v>
      </c>
      <c r="R57" s="102">
        <f>TrNavi_ene!R4</f>
        <v>5.0515907136715388</v>
      </c>
      <c r="S57" s="102">
        <f>TrNavi_ene!S4</f>
        <v>6.6135855546001716</v>
      </c>
      <c r="T57" s="102">
        <f>TrNavi_ene!T4</f>
        <v>6.4892519346517634</v>
      </c>
      <c r="U57" s="102">
        <f>TrNavi_ene!U4</f>
        <v>5.385038693035253</v>
      </c>
      <c r="V57" s="102">
        <f>TrNavi_ene!V4</f>
        <v>6.4761822871883057</v>
      </c>
      <c r="W57" s="102">
        <f>TrNavi_ene!W4</f>
        <v>5.9608770421324158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104.06758383490973</v>
      </c>
      <c r="C59" s="28">
        <f t="shared" ref="C59:W59" si="48">C60+C61</f>
        <v>99.512725709372305</v>
      </c>
      <c r="D59" s="28">
        <f t="shared" si="48"/>
        <v>116.82906276870162</v>
      </c>
      <c r="E59" s="28">
        <f t="shared" si="48"/>
        <v>110.82923473774719</v>
      </c>
      <c r="F59" s="28">
        <f t="shared" si="48"/>
        <v>148.18237317282893</v>
      </c>
      <c r="G59" s="28">
        <f t="shared" si="48"/>
        <v>118.47712811693894</v>
      </c>
      <c r="H59" s="28">
        <f t="shared" si="48"/>
        <v>208.55786758383482</v>
      </c>
      <c r="I59" s="28">
        <f t="shared" si="48"/>
        <v>241.82433361994833</v>
      </c>
      <c r="J59" s="28">
        <f t="shared" si="48"/>
        <v>245.88228718830604</v>
      </c>
      <c r="K59" s="28">
        <f t="shared" si="48"/>
        <v>219.02166809974204</v>
      </c>
      <c r="L59" s="28">
        <f t="shared" si="48"/>
        <v>215.60137575236456</v>
      </c>
      <c r="M59" s="28">
        <f t="shared" si="48"/>
        <v>182.55898538263108</v>
      </c>
      <c r="N59" s="28">
        <f t="shared" si="48"/>
        <v>391.33224419604466</v>
      </c>
      <c r="O59" s="28">
        <f t="shared" si="48"/>
        <v>407.62012037833188</v>
      </c>
      <c r="P59" s="28">
        <f t="shared" si="48"/>
        <v>313.74368013757521</v>
      </c>
      <c r="Q59" s="28">
        <f t="shared" si="48"/>
        <v>284.98374892519342</v>
      </c>
      <c r="R59" s="28">
        <f t="shared" si="48"/>
        <v>268.58314703353403</v>
      </c>
      <c r="S59" s="28">
        <f t="shared" si="48"/>
        <v>321.46569217540844</v>
      </c>
      <c r="T59" s="28">
        <f t="shared" si="48"/>
        <v>306.38194325021493</v>
      </c>
      <c r="U59" s="28">
        <f t="shared" si="48"/>
        <v>183.57394668959586</v>
      </c>
      <c r="V59" s="28">
        <f t="shared" si="48"/>
        <v>293.49234737747213</v>
      </c>
      <c r="W59" s="28">
        <f t="shared" si="48"/>
        <v>302.14256233877893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51.572757926511244</v>
      </c>
      <c r="C60" s="102">
        <f>MBunk_ene!C$4</f>
        <v>49.282205373733177</v>
      </c>
      <c r="D60" s="102">
        <f>MBunk_ene!D$4</f>
        <v>57.671980649923256</v>
      </c>
      <c r="E60" s="102">
        <f>MBunk_ene!E$4</f>
        <v>56.79874377012127</v>
      </c>
      <c r="F60" s="102">
        <f>MBunk_ene!F$4</f>
        <v>69.002637336052203</v>
      </c>
      <c r="G60" s="102">
        <f>MBunk_ene!G$4</f>
        <v>49.685395956711346</v>
      </c>
      <c r="H60" s="102">
        <f>MBunk_ene!H$4</f>
        <v>88.461758861541057</v>
      </c>
      <c r="I60" s="102">
        <f>MBunk_ene!I$4</f>
        <v>101.46753110609251</v>
      </c>
      <c r="J60" s="102">
        <f>MBunk_ene!J$4</f>
        <v>100.74214221005013</v>
      </c>
      <c r="K60" s="102">
        <f>MBunk_ene!K$4</f>
        <v>85.990790161413727</v>
      </c>
      <c r="L60" s="102">
        <f>MBunk_ene!L$4</f>
        <v>82.425842369183698</v>
      </c>
      <c r="M60" s="102">
        <f>MBunk_ene!M$4</f>
        <v>71.633787556519238</v>
      </c>
      <c r="N60" s="102">
        <f>MBunk_ene!N$4</f>
        <v>122.83182717737634</v>
      </c>
      <c r="O60" s="102">
        <f>MBunk_ene!O$4</f>
        <v>170.95569993803696</v>
      </c>
      <c r="P60" s="102">
        <f>MBunk_ene!P$4</f>
        <v>131.51665071794775</v>
      </c>
      <c r="Q60" s="102">
        <f>MBunk_ene!Q$4</f>
        <v>110.53005975988648</v>
      </c>
      <c r="R60" s="102">
        <f>MBunk_ene!R$4</f>
        <v>101.97693289646838</v>
      </c>
      <c r="S60" s="102">
        <f>MBunk_ene!S$4</f>
        <v>125.29377573540897</v>
      </c>
      <c r="T60" s="102">
        <f>MBunk_ene!T$4</f>
        <v>120.29211433954111</v>
      </c>
      <c r="U60" s="102">
        <f>MBunk_ene!U$4</f>
        <v>68.515697107629748</v>
      </c>
      <c r="V60" s="102">
        <f>MBunk_ene!V$4</f>
        <v>86.269899164156271</v>
      </c>
      <c r="W60" s="102">
        <f>MBunk_ene!W$4</f>
        <v>96.015183383203606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52.494825908398482</v>
      </c>
      <c r="C61" s="86">
        <f>MBunk_ene!C$10</f>
        <v>50.230520335639127</v>
      </c>
      <c r="D61" s="86">
        <f>MBunk_ene!D$10</f>
        <v>59.157082118778362</v>
      </c>
      <c r="E61" s="86">
        <f>MBunk_ene!E$10</f>
        <v>54.030490967625909</v>
      </c>
      <c r="F61" s="86">
        <f>MBunk_ene!F$10</f>
        <v>79.179735836776715</v>
      </c>
      <c r="G61" s="86">
        <f>MBunk_ene!G$10</f>
        <v>68.791732160227596</v>
      </c>
      <c r="H61" s="86">
        <f>MBunk_ene!H$10</f>
        <v>120.09610872229378</v>
      </c>
      <c r="I61" s="86">
        <f>MBunk_ene!I$10</f>
        <v>140.35680251385583</v>
      </c>
      <c r="J61" s="86">
        <f>MBunk_ene!J$10</f>
        <v>145.1401449782559</v>
      </c>
      <c r="K61" s="86">
        <f>MBunk_ene!K$10</f>
        <v>133.0308779383283</v>
      </c>
      <c r="L61" s="86">
        <f>MBunk_ene!L$10</f>
        <v>133.17553338318086</v>
      </c>
      <c r="M61" s="86">
        <f>MBunk_ene!M$10</f>
        <v>110.92519782611186</v>
      </c>
      <c r="N61" s="86">
        <f>MBunk_ene!N$10</f>
        <v>268.50041701866832</v>
      </c>
      <c r="O61" s="86">
        <f>MBunk_ene!O$10</f>
        <v>236.66442044029492</v>
      </c>
      <c r="P61" s="86">
        <f>MBunk_ene!P$10</f>
        <v>182.22702941962746</v>
      </c>
      <c r="Q61" s="86">
        <f>MBunk_ene!Q$10</f>
        <v>174.45368916530694</v>
      </c>
      <c r="R61" s="86">
        <f>MBunk_ene!R$10</f>
        <v>166.60621413706565</v>
      </c>
      <c r="S61" s="86">
        <f>MBunk_ene!S$10</f>
        <v>196.17191643999948</v>
      </c>
      <c r="T61" s="86">
        <f>MBunk_ene!T$10</f>
        <v>186.08982891067379</v>
      </c>
      <c r="U61" s="86">
        <f>MBunk_ene!U$10</f>
        <v>115.05824958196609</v>
      </c>
      <c r="V61" s="86">
        <f>MBunk_ene!V$10</f>
        <v>207.22244821331583</v>
      </c>
      <c r="W61" s="86">
        <f>MBunk_ene!W$10</f>
        <v>206.12737895557535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1145.038679744674</v>
      </c>
      <c r="C64" s="28">
        <f t="shared" si="49"/>
        <v>1390.7391464101224</v>
      </c>
      <c r="D64" s="28">
        <f t="shared" si="49"/>
        <v>1382.0017422996007</v>
      </c>
      <c r="E64" s="28">
        <f t="shared" si="49"/>
        <v>1350.1862963208048</v>
      </c>
      <c r="F64" s="28">
        <f t="shared" si="49"/>
        <v>1418.4794192326938</v>
      </c>
      <c r="G64" s="28">
        <f t="shared" si="49"/>
        <v>1570.5553427435366</v>
      </c>
      <c r="H64" s="28">
        <f t="shared" si="49"/>
        <v>1723.3186254704699</v>
      </c>
      <c r="I64" s="28">
        <f t="shared" si="49"/>
        <v>1839.5390118563505</v>
      </c>
      <c r="J64" s="28">
        <f t="shared" si="49"/>
        <v>1812.5451746815768</v>
      </c>
      <c r="K64" s="28">
        <f t="shared" si="49"/>
        <v>1639.2909824509777</v>
      </c>
      <c r="L64" s="28">
        <f t="shared" si="49"/>
        <v>1644.5120378253998</v>
      </c>
      <c r="M64" s="28">
        <f t="shared" si="49"/>
        <v>1683.5269123362696</v>
      </c>
      <c r="N64" s="28">
        <f t="shared" si="49"/>
        <v>1770.0067697884401</v>
      </c>
      <c r="O64" s="28">
        <f t="shared" si="49"/>
        <v>1718.2067743671905</v>
      </c>
      <c r="P64" s="28">
        <f t="shared" si="49"/>
        <v>1751.5129571327452</v>
      </c>
      <c r="Q64" s="28">
        <f t="shared" si="49"/>
        <v>1838.1482418890648</v>
      </c>
      <c r="R64" s="28">
        <f t="shared" ref="R64:V64" si="50">R65+R69+R73</f>
        <v>1898.9282177445275</v>
      </c>
      <c r="S64" s="28">
        <f t="shared" si="50"/>
        <v>2033.8579479640985</v>
      </c>
      <c r="T64" s="28">
        <f t="shared" si="50"/>
        <v>2091.8031272553681</v>
      </c>
      <c r="U64" s="28">
        <f t="shared" si="50"/>
        <v>2062.1637358294797</v>
      </c>
      <c r="V64" s="28">
        <f t="shared" si="50"/>
        <v>1793.8556159665086</v>
      </c>
      <c r="W64" s="28">
        <f t="shared" ref="W64" si="51">W65+W69+W73</f>
        <v>1881.8723242529727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1074.6176626598115</v>
      </c>
      <c r="C65" s="137">
        <f t="shared" si="52"/>
        <v>1335.1871252724482</v>
      </c>
      <c r="D65" s="137">
        <f t="shared" si="52"/>
        <v>1323.9311459956432</v>
      </c>
      <c r="E65" s="137">
        <f t="shared" si="52"/>
        <v>1283.9828916020858</v>
      </c>
      <c r="F65" s="137">
        <f t="shared" si="52"/>
        <v>1318.3136513197965</v>
      </c>
      <c r="G65" s="137">
        <f t="shared" si="52"/>
        <v>1413.9798908013622</v>
      </c>
      <c r="H65" s="137">
        <f t="shared" si="52"/>
        <v>1562.0990774141899</v>
      </c>
      <c r="I65" s="137">
        <f t="shared" si="52"/>
        <v>1654.8037583120727</v>
      </c>
      <c r="J65" s="137">
        <f t="shared" si="52"/>
        <v>1605.131501362624</v>
      </c>
      <c r="K65" s="137">
        <f t="shared" si="52"/>
        <v>1524.3110865507745</v>
      </c>
      <c r="L65" s="137">
        <f t="shared" si="52"/>
        <v>1537.9190452105065</v>
      </c>
      <c r="M65" s="137">
        <f t="shared" si="52"/>
        <v>1541.6455938079953</v>
      </c>
      <c r="N65" s="137">
        <f t="shared" si="52"/>
        <v>1586.8725613000699</v>
      </c>
      <c r="O65" s="137">
        <f t="shared" si="52"/>
        <v>1570.1107105048964</v>
      </c>
      <c r="P65" s="137">
        <f t="shared" si="52"/>
        <v>1602.3378075354701</v>
      </c>
      <c r="Q65" s="137">
        <f t="shared" si="52"/>
        <v>1681.9412268172632</v>
      </c>
      <c r="R65" s="137">
        <f t="shared" ref="R65:V65" si="53">R66+R67+R68</f>
        <v>1755.0728922296917</v>
      </c>
      <c r="S65" s="137">
        <f t="shared" si="53"/>
        <v>1847.2102002823335</v>
      </c>
      <c r="T65" s="137">
        <f t="shared" si="53"/>
        <v>1873.4923718094167</v>
      </c>
      <c r="U65" s="137">
        <f t="shared" si="53"/>
        <v>1843.7591204714313</v>
      </c>
      <c r="V65" s="137">
        <f t="shared" si="53"/>
        <v>1709.5730949483955</v>
      </c>
      <c r="W65" s="137">
        <f t="shared" ref="W65" si="54">W66+W67+W68</f>
        <v>1747.6522557584588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1.2556606354924043</v>
      </c>
      <c r="C66" s="102">
        <f>TrRoad_emi!C$19</f>
        <v>1.2690024028415774</v>
      </c>
      <c r="D66" s="102">
        <f>TrRoad_emi!D$19</f>
        <v>1.3434904883616807</v>
      </c>
      <c r="E66" s="102">
        <f>TrRoad_emi!E$19</f>
        <v>1.4641461729053287</v>
      </c>
      <c r="F66" s="102">
        <f>TrRoad_emi!F$19</f>
        <v>1.6218182312005096</v>
      </c>
      <c r="G66" s="102">
        <f>TrRoad_emi!G$19</f>
        <v>1.7947247609113572</v>
      </c>
      <c r="H66" s="102">
        <f>TrRoad_emi!H$19</f>
        <v>2.16696199961665</v>
      </c>
      <c r="I66" s="102">
        <f>TrRoad_emi!I$19</f>
        <v>2.508850287726633</v>
      </c>
      <c r="J66" s="102">
        <f>TrRoad_emi!J$19</f>
        <v>2.9222254762961088</v>
      </c>
      <c r="K66" s="102">
        <f>TrRoad_emi!K$19</f>
        <v>3.0448158640670333</v>
      </c>
      <c r="L66" s="102">
        <f>TrRoad_emi!L$19</f>
        <v>3.1311916939677538</v>
      </c>
      <c r="M66" s="102">
        <f>TrRoad_emi!M$19</f>
        <v>3.5919020050912733</v>
      </c>
      <c r="N66" s="102">
        <f>TrRoad_emi!N$19</f>
        <v>5.1823098388886448</v>
      </c>
      <c r="O66" s="102">
        <f>TrRoad_emi!O$19</f>
        <v>5.6004643404754058</v>
      </c>
      <c r="P66" s="102">
        <f>TrRoad_emi!P$19</f>
        <v>5.9620303054187458</v>
      </c>
      <c r="Q66" s="102">
        <f>TrRoad_emi!Q$19</f>
        <v>6.3844266020239919</v>
      </c>
      <c r="R66" s="102">
        <f>TrRoad_emi!R$19</f>
        <v>6.8620549147814467</v>
      </c>
      <c r="S66" s="102">
        <f>TrRoad_emi!S$19</f>
        <v>6.4986814921825422</v>
      </c>
      <c r="T66" s="102">
        <f>TrRoad_emi!T$19</f>
        <v>6.1268338925570118</v>
      </c>
      <c r="U66" s="102">
        <f>TrRoad_emi!U$19</f>
        <v>6.4569827617270512</v>
      </c>
      <c r="V66" s="102">
        <f>TrRoad_emi!V$19</f>
        <v>5.7748329547678958</v>
      </c>
      <c r="W66" s="102">
        <f>TrRoad_emi!W$19</f>
        <v>5.655824256568609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812.69629076041019</v>
      </c>
      <c r="C67" s="102">
        <f>TrRoad_emi!C$20</f>
        <v>1023.7429901653861</v>
      </c>
      <c r="D67" s="102">
        <f>TrRoad_emi!D$20</f>
        <v>980.00451321993114</v>
      </c>
      <c r="E67" s="102">
        <f>TrRoad_emi!E$20</f>
        <v>978.943148074497</v>
      </c>
      <c r="F67" s="102">
        <f>TrRoad_emi!F$20</f>
        <v>1002.5688088074878</v>
      </c>
      <c r="G67" s="102">
        <f>TrRoad_emi!G$20</f>
        <v>1082.4047773007815</v>
      </c>
      <c r="H67" s="102">
        <f>TrRoad_emi!H$20</f>
        <v>1224.1333050287963</v>
      </c>
      <c r="I67" s="102">
        <f>TrRoad_emi!I$20</f>
        <v>1363.5956068373612</v>
      </c>
      <c r="J67" s="102">
        <f>TrRoad_emi!J$20</f>
        <v>1340.1632656887552</v>
      </c>
      <c r="K67" s="102">
        <f>TrRoad_emi!K$20</f>
        <v>1292.2265500869362</v>
      </c>
      <c r="L67" s="102">
        <f>TrRoad_emi!L$20</f>
        <v>1290.9182817475037</v>
      </c>
      <c r="M67" s="102">
        <f>TrRoad_emi!M$20</f>
        <v>1295.4658852595749</v>
      </c>
      <c r="N67" s="102">
        <f>TrRoad_emi!N$20</f>
        <v>1335.4041557205974</v>
      </c>
      <c r="O67" s="102">
        <f>TrRoad_emi!O$20</f>
        <v>1318.9529831961888</v>
      </c>
      <c r="P67" s="102">
        <f>TrRoad_emi!P$20</f>
        <v>1340.1212499534324</v>
      </c>
      <c r="Q67" s="102">
        <f>TrRoad_emi!Q$20</f>
        <v>1414.6007961282687</v>
      </c>
      <c r="R67" s="102">
        <f>TrRoad_emi!R$20</f>
        <v>1456.179387340462</v>
      </c>
      <c r="S67" s="102">
        <f>TrRoad_emi!S$20</f>
        <v>1508.8466605639765</v>
      </c>
      <c r="T67" s="102">
        <f>TrRoad_emi!T$20</f>
        <v>1544.559052657421</v>
      </c>
      <c r="U67" s="102">
        <f>TrRoad_emi!U$20</f>
        <v>1541.8402874107996</v>
      </c>
      <c r="V67" s="102">
        <f>TrRoad_emi!V$20</f>
        <v>1426.8748637850429</v>
      </c>
      <c r="W67" s="102">
        <f>TrRoad_emi!W$20</f>
        <v>1444.1332199252174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260.66571126390886</v>
      </c>
      <c r="C68" s="102">
        <f>TrRoad_emi!C$27</f>
        <v>310.17513270422057</v>
      </c>
      <c r="D68" s="102">
        <f>TrRoad_emi!D$27</f>
        <v>342.58314228735031</v>
      </c>
      <c r="E68" s="102">
        <f>TrRoad_emi!E$27</f>
        <v>303.57559735468351</v>
      </c>
      <c r="F68" s="102">
        <f>TrRoad_emi!F$27</f>
        <v>314.1230242811082</v>
      </c>
      <c r="G68" s="102">
        <f>TrRoad_emi!G$27</f>
        <v>329.78038873966932</v>
      </c>
      <c r="H68" s="102">
        <f>TrRoad_emi!H$27</f>
        <v>335.79881038577702</v>
      </c>
      <c r="I68" s="102">
        <f>TrRoad_emi!I$27</f>
        <v>288.69930118698488</v>
      </c>
      <c r="J68" s="102">
        <f>TrRoad_emi!J$27</f>
        <v>262.04601019757263</v>
      </c>
      <c r="K68" s="102">
        <f>TrRoad_emi!K$27</f>
        <v>229.03972059977124</v>
      </c>
      <c r="L68" s="102">
        <f>TrRoad_emi!L$27</f>
        <v>243.86957176903508</v>
      </c>
      <c r="M68" s="102">
        <f>TrRoad_emi!M$27</f>
        <v>242.58780654332912</v>
      </c>
      <c r="N68" s="102">
        <f>TrRoad_emi!N$27</f>
        <v>246.28609574058402</v>
      </c>
      <c r="O68" s="102">
        <f>TrRoad_emi!O$27</f>
        <v>245.55726296823221</v>
      </c>
      <c r="P68" s="102">
        <f>TrRoad_emi!P$27</f>
        <v>256.254527276619</v>
      </c>
      <c r="Q68" s="102">
        <f>TrRoad_emi!Q$27</f>
        <v>260.95600408697049</v>
      </c>
      <c r="R68" s="102">
        <f>TrRoad_emi!R$27</f>
        <v>292.03144997444826</v>
      </c>
      <c r="S68" s="102">
        <f>TrRoad_emi!S$27</f>
        <v>331.86485822617453</v>
      </c>
      <c r="T68" s="102">
        <f>TrRoad_emi!T$27</f>
        <v>322.80648525943866</v>
      </c>
      <c r="U68" s="102">
        <f>TrRoad_emi!U$27</f>
        <v>295.46185029890472</v>
      </c>
      <c r="V68" s="102">
        <f>TrRoad_emi!V$27</f>
        <v>276.92339820858473</v>
      </c>
      <c r="W68" s="102">
        <f>TrRoad_emi!W$27</f>
        <v>297.86321157667277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9.4103796922999674</v>
      </c>
      <c r="C69" s="110">
        <f t="shared" si="55"/>
        <v>5.1871615091904966</v>
      </c>
      <c r="D69" s="110">
        <f t="shared" si="55"/>
        <v>5.0882244063061099</v>
      </c>
      <c r="E69" s="110">
        <f t="shared" si="55"/>
        <v>4.6967004478853047</v>
      </c>
      <c r="F69" s="110">
        <f t="shared" si="55"/>
        <v>4.9975329739285543</v>
      </c>
      <c r="G69" s="110">
        <f t="shared" si="55"/>
        <v>5.7777592617757145</v>
      </c>
      <c r="H69" s="110">
        <f t="shared" si="55"/>
        <v>6.6199534180948838</v>
      </c>
      <c r="I69" s="110">
        <f t="shared" si="55"/>
        <v>8.3358610794884491</v>
      </c>
      <c r="J69" s="110">
        <f t="shared" si="55"/>
        <v>5.8642036288713655</v>
      </c>
      <c r="K69" s="110">
        <f t="shared" si="55"/>
        <v>5.6186963190564319</v>
      </c>
      <c r="L69" s="110">
        <f t="shared" si="55"/>
        <v>6.4708212170685551</v>
      </c>
      <c r="M69" s="110">
        <f t="shared" si="55"/>
        <v>6.5026294895720653</v>
      </c>
      <c r="N69" s="110">
        <f t="shared" si="55"/>
        <v>5.0739391358907495</v>
      </c>
      <c r="O69" s="110">
        <f t="shared" si="55"/>
        <v>6.5522061575726029</v>
      </c>
      <c r="P69" s="110">
        <f t="shared" si="55"/>
        <v>7.5126563697310322</v>
      </c>
      <c r="Q69" s="110">
        <f t="shared" si="55"/>
        <v>7.523431974787866</v>
      </c>
      <c r="R69" s="110">
        <f t="shared" ref="R69:V69" si="56">R70+R71+R72</f>
        <v>7.5149253588889531</v>
      </c>
      <c r="S69" s="110">
        <f t="shared" si="56"/>
        <v>9.0706568632885283</v>
      </c>
      <c r="T69" s="110">
        <f t="shared" si="56"/>
        <v>11.469779453090977</v>
      </c>
      <c r="U69" s="110">
        <f t="shared" si="56"/>
        <v>14.511272970242054</v>
      </c>
      <c r="V69" s="110">
        <f t="shared" si="56"/>
        <v>14.166900982986146</v>
      </c>
      <c r="W69" s="110">
        <f t="shared" ref="W69" si="57">W70+W71+W72</f>
        <v>9.0893392902523846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9.4103796922999674</v>
      </c>
      <c r="C71" s="102">
        <f>TrRail_emi!C$11</f>
        <v>5.1871615091904966</v>
      </c>
      <c r="D71" s="102">
        <f>TrRail_emi!D$11</f>
        <v>5.0882244063061099</v>
      </c>
      <c r="E71" s="102">
        <f>TrRail_emi!E$11</f>
        <v>4.6967004478853047</v>
      </c>
      <c r="F71" s="102">
        <f>TrRail_emi!F$11</f>
        <v>4.9975329739285543</v>
      </c>
      <c r="G71" s="102">
        <f>TrRail_emi!G$11</f>
        <v>5.7777592617757145</v>
      </c>
      <c r="H71" s="102">
        <f>TrRail_emi!H$11</f>
        <v>6.6199534180948838</v>
      </c>
      <c r="I71" s="102">
        <f>TrRail_emi!I$11</f>
        <v>8.3358610794884491</v>
      </c>
      <c r="J71" s="102">
        <f>TrRail_emi!J$11</f>
        <v>5.8642036288713655</v>
      </c>
      <c r="K71" s="102">
        <f>TrRail_emi!K$11</f>
        <v>5.6186963190564319</v>
      </c>
      <c r="L71" s="102">
        <f>TrRail_emi!L$11</f>
        <v>6.4708212170685551</v>
      </c>
      <c r="M71" s="102">
        <f>TrRail_emi!M$11</f>
        <v>6.5026294895720653</v>
      </c>
      <c r="N71" s="102">
        <f>TrRail_emi!N$11</f>
        <v>5.0739391358907495</v>
      </c>
      <c r="O71" s="102">
        <f>TrRail_emi!O$11</f>
        <v>6.5522061575726029</v>
      </c>
      <c r="P71" s="102">
        <f>TrRail_emi!P$11</f>
        <v>7.5126563697310322</v>
      </c>
      <c r="Q71" s="102">
        <f>TrRail_emi!Q$11</f>
        <v>7.523431974787866</v>
      </c>
      <c r="R71" s="102">
        <f>TrRail_emi!R$11</f>
        <v>7.5149253588889531</v>
      </c>
      <c r="S71" s="102">
        <f>TrRail_emi!S$11</f>
        <v>9.0706568632885283</v>
      </c>
      <c r="T71" s="102">
        <f>TrRail_emi!T$11</f>
        <v>11.469779453090977</v>
      </c>
      <c r="U71" s="102">
        <f>TrRail_emi!U$11</f>
        <v>14.511272970242054</v>
      </c>
      <c r="V71" s="102">
        <f>TrRail_emi!V$11</f>
        <v>14.166900982986146</v>
      </c>
      <c r="W71" s="102">
        <f>TrRail_emi!W$11</f>
        <v>9.0893392902523846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61.010637392562643</v>
      </c>
      <c r="C73" s="110">
        <f t="shared" si="58"/>
        <v>50.364859628483856</v>
      </c>
      <c r="D73" s="110">
        <f t="shared" si="58"/>
        <v>52.982371897651348</v>
      </c>
      <c r="E73" s="110">
        <f t="shared" si="58"/>
        <v>61.506704270833453</v>
      </c>
      <c r="F73" s="110">
        <f t="shared" si="58"/>
        <v>95.16823493896861</v>
      </c>
      <c r="G73" s="110">
        <f t="shared" si="58"/>
        <v>150.79769268039843</v>
      </c>
      <c r="H73" s="110">
        <f t="shared" si="58"/>
        <v>154.5995946381851</v>
      </c>
      <c r="I73" s="110">
        <f t="shared" si="58"/>
        <v>176.39939246478929</v>
      </c>
      <c r="J73" s="110">
        <f t="shared" si="58"/>
        <v>201.54946969008145</v>
      </c>
      <c r="K73" s="110">
        <f t="shared" si="58"/>
        <v>109.36119958114674</v>
      </c>
      <c r="L73" s="110">
        <f t="shared" si="58"/>
        <v>100.12217139782489</v>
      </c>
      <c r="M73" s="110">
        <f t="shared" si="58"/>
        <v>135.37868903870228</v>
      </c>
      <c r="N73" s="110">
        <f t="shared" si="58"/>
        <v>178.06026935247939</v>
      </c>
      <c r="O73" s="110">
        <f t="shared" si="58"/>
        <v>141.54385770472174</v>
      </c>
      <c r="P73" s="110">
        <f t="shared" si="58"/>
        <v>141.66249322754396</v>
      </c>
      <c r="Q73" s="110">
        <f t="shared" si="58"/>
        <v>148.68358309701372</v>
      </c>
      <c r="R73" s="110">
        <f t="shared" ref="R73:V73" si="59">R74+R75+R76</f>
        <v>136.34040015594678</v>
      </c>
      <c r="S73" s="110">
        <f t="shared" si="59"/>
        <v>177.57709081847628</v>
      </c>
      <c r="T73" s="110">
        <f t="shared" si="59"/>
        <v>206.84097599286054</v>
      </c>
      <c r="U73" s="110">
        <f t="shared" si="59"/>
        <v>203.8933423878064</v>
      </c>
      <c r="V73" s="110">
        <f t="shared" si="59"/>
        <v>70.115620035126895</v>
      </c>
      <c r="W73" s="110">
        <f t="shared" ref="W73" si="60">W74+W75+W76</f>
        <v>125.1307292042615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56.254407934895134</v>
      </c>
      <c r="C75" s="102">
        <f>TrAvia_emi!C$8</f>
        <v>46.435443828946461</v>
      </c>
      <c r="D75" s="102">
        <f>TrAvia_emi!D$8</f>
        <v>48.585761359939454</v>
      </c>
      <c r="E75" s="102">
        <f>TrAvia_emi!E$8</f>
        <v>55.569781277104369</v>
      </c>
      <c r="F75" s="102">
        <f>TrAvia_emi!F$8</f>
        <v>83.961818420667484</v>
      </c>
      <c r="G75" s="102">
        <f>TrAvia_emi!G$8</f>
        <v>135.08233532422994</v>
      </c>
      <c r="H75" s="102">
        <f>TrAvia_emi!H$8</f>
        <v>138.97577442132012</v>
      </c>
      <c r="I75" s="102">
        <f>TrAvia_emi!I$8</f>
        <v>158.98220955576284</v>
      </c>
      <c r="J75" s="102">
        <f>TrAvia_emi!J$8</f>
        <v>180.72978369878942</v>
      </c>
      <c r="K75" s="102">
        <f>TrAvia_emi!K$8</f>
        <v>96.432534198264833</v>
      </c>
      <c r="L75" s="102">
        <f>TrAvia_emi!L$8</f>
        <v>88.195720098653382</v>
      </c>
      <c r="M75" s="102">
        <f>TrAvia_emi!M$8</f>
        <v>121.89353681230442</v>
      </c>
      <c r="N75" s="102">
        <f>TrAvia_emi!N$8</f>
        <v>158.57212298693887</v>
      </c>
      <c r="O75" s="102">
        <f>TrAvia_emi!O$8</f>
        <v>125.02329450198039</v>
      </c>
      <c r="P75" s="102">
        <f>TrAvia_emi!P$8</f>
        <v>125.2206546408662</v>
      </c>
      <c r="Q75" s="102">
        <f>TrAvia_emi!Q$8</f>
        <v>131.45245936715801</v>
      </c>
      <c r="R75" s="102">
        <f>TrAvia_emi!R$8</f>
        <v>120.91435545675618</v>
      </c>
      <c r="S75" s="102">
        <f>TrAvia_emi!S$8</f>
        <v>158.14811979565363</v>
      </c>
      <c r="T75" s="102">
        <f>TrAvia_emi!T$8</f>
        <v>185.08503044734741</v>
      </c>
      <c r="U75" s="102">
        <f>TrAvia_emi!U$8</f>
        <v>181.8747408430288</v>
      </c>
      <c r="V75" s="102">
        <f>TrAvia_emi!V$8</f>
        <v>60.421713501529027</v>
      </c>
      <c r="W75" s="102">
        <f>TrAvia_emi!W$8</f>
        <v>109.70032834609188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4.7562294576675095</v>
      </c>
      <c r="C76" s="102">
        <f>TrAvia_emi!C$9</f>
        <v>3.9294157995373928</v>
      </c>
      <c r="D76" s="102">
        <f>TrAvia_emi!D$9</f>
        <v>4.3966105377118909</v>
      </c>
      <c r="E76" s="102">
        <f>TrAvia_emi!E$9</f>
        <v>5.9369229937290822</v>
      </c>
      <c r="F76" s="102">
        <f>TrAvia_emi!F$9</f>
        <v>11.206416518301126</v>
      </c>
      <c r="G76" s="102">
        <f>TrAvia_emi!G$9</f>
        <v>15.715357356168479</v>
      </c>
      <c r="H76" s="102">
        <f>TrAvia_emi!H$9</f>
        <v>15.623820216864976</v>
      </c>
      <c r="I76" s="102">
        <f>TrAvia_emi!I$9</f>
        <v>17.417182909026462</v>
      </c>
      <c r="J76" s="102">
        <f>TrAvia_emi!J$9</f>
        <v>20.819685991292022</v>
      </c>
      <c r="K76" s="102">
        <f>TrAvia_emi!K$9</f>
        <v>12.928665382881897</v>
      </c>
      <c r="L76" s="102">
        <f>TrAvia_emi!L$9</f>
        <v>11.926451299171507</v>
      </c>
      <c r="M76" s="102">
        <f>TrAvia_emi!M$9</f>
        <v>13.485152226397853</v>
      </c>
      <c r="N76" s="102">
        <f>TrAvia_emi!N$9</f>
        <v>19.488146365540516</v>
      </c>
      <c r="O76" s="102">
        <f>TrAvia_emi!O$9</f>
        <v>16.520563202741371</v>
      </c>
      <c r="P76" s="102">
        <f>TrAvia_emi!P$9</f>
        <v>16.441838586677751</v>
      </c>
      <c r="Q76" s="102">
        <f>TrAvia_emi!Q$9</f>
        <v>17.231123729855714</v>
      </c>
      <c r="R76" s="102">
        <f>TrAvia_emi!R$9</f>
        <v>15.426044699190607</v>
      </c>
      <c r="S76" s="102">
        <f>TrAvia_emi!S$9</f>
        <v>19.428971022822644</v>
      </c>
      <c r="T76" s="102">
        <f>TrAvia_emi!T$9</f>
        <v>21.755945545513129</v>
      </c>
      <c r="U76" s="102">
        <f>TrAvia_emi!U$9</f>
        <v>22.018601544777592</v>
      </c>
      <c r="V76" s="102">
        <f>TrAvia_emi!V$9</f>
        <v>9.6939065335978718</v>
      </c>
      <c r="W76" s="102">
        <f>TrAvia_emi!W$9</f>
        <v>15.430400858169614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556.273763535326</v>
      </c>
      <c r="C77" s="28">
        <f t="shared" si="61"/>
        <v>615.2448317098773</v>
      </c>
      <c r="D77" s="28">
        <f t="shared" si="61"/>
        <v>732.56048150039931</v>
      </c>
      <c r="E77" s="28">
        <f t="shared" si="61"/>
        <v>702.34198711919566</v>
      </c>
      <c r="F77" s="28">
        <f t="shared" si="61"/>
        <v>706.93731504730658</v>
      </c>
      <c r="G77" s="28">
        <f t="shared" si="61"/>
        <v>711.30236333646405</v>
      </c>
      <c r="H77" s="28">
        <f t="shared" si="61"/>
        <v>718.6623520095302</v>
      </c>
      <c r="I77" s="28">
        <f t="shared" si="61"/>
        <v>735.18346818364921</v>
      </c>
      <c r="J77" s="28">
        <f t="shared" si="61"/>
        <v>691.95600091842334</v>
      </c>
      <c r="K77" s="28">
        <f t="shared" si="61"/>
        <v>588.34442686902185</v>
      </c>
      <c r="L77" s="28">
        <f t="shared" si="61"/>
        <v>688.07959417460006</v>
      </c>
      <c r="M77" s="28">
        <f t="shared" si="61"/>
        <v>683.62492990373084</v>
      </c>
      <c r="N77" s="28">
        <f t="shared" si="61"/>
        <v>671.27619181156012</v>
      </c>
      <c r="O77" s="28">
        <f t="shared" si="61"/>
        <v>636.97935511280912</v>
      </c>
      <c r="P77" s="28">
        <f t="shared" si="61"/>
        <v>607.30013526725486</v>
      </c>
      <c r="Q77" s="28">
        <f t="shared" si="61"/>
        <v>592.41699411093532</v>
      </c>
      <c r="R77" s="28">
        <f t="shared" ref="R77:V77" si="62">R78+R81+R82+R86+R92</f>
        <v>569.9991935354725</v>
      </c>
      <c r="S77" s="28">
        <f t="shared" si="62"/>
        <v>555.54443099590173</v>
      </c>
      <c r="T77" s="28">
        <f t="shared" si="62"/>
        <v>568.22711098463162</v>
      </c>
      <c r="U77" s="28">
        <f t="shared" si="62"/>
        <v>569.22924041051965</v>
      </c>
      <c r="V77" s="28">
        <f t="shared" si="62"/>
        <v>532.3157645134919</v>
      </c>
      <c r="W77" s="28">
        <f t="shared" ref="W77" si="63">W78+W81+W82+W86+W92</f>
        <v>621.94575170702728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408.13925186018866</v>
      </c>
      <c r="C78" s="137">
        <f t="shared" si="64"/>
        <v>472.36964948755167</v>
      </c>
      <c r="D78" s="137">
        <f t="shared" si="64"/>
        <v>552.03699900435674</v>
      </c>
      <c r="E78" s="137">
        <f t="shared" si="64"/>
        <v>536.96060591791434</v>
      </c>
      <c r="F78" s="137">
        <f t="shared" si="64"/>
        <v>563.55235244020378</v>
      </c>
      <c r="G78" s="137">
        <f t="shared" si="64"/>
        <v>558.8959925186382</v>
      </c>
      <c r="H78" s="137">
        <f t="shared" si="64"/>
        <v>564.02790446581014</v>
      </c>
      <c r="I78" s="137">
        <f t="shared" si="64"/>
        <v>600.93887312792708</v>
      </c>
      <c r="J78" s="137">
        <f t="shared" si="64"/>
        <v>592.58929791737614</v>
      </c>
      <c r="K78" s="137">
        <f t="shared" si="64"/>
        <v>458.136148449225</v>
      </c>
      <c r="L78" s="137">
        <f t="shared" si="64"/>
        <v>511.60397910949348</v>
      </c>
      <c r="M78" s="137">
        <f t="shared" si="64"/>
        <v>566.64436151200516</v>
      </c>
      <c r="N78" s="137">
        <f t="shared" si="64"/>
        <v>568.06038757993019</v>
      </c>
      <c r="O78" s="137">
        <f t="shared" si="64"/>
        <v>547.61228629510344</v>
      </c>
      <c r="P78" s="137">
        <f t="shared" si="64"/>
        <v>531.47895002452981</v>
      </c>
      <c r="Q78" s="137">
        <f t="shared" si="64"/>
        <v>519.79956718273684</v>
      </c>
      <c r="R78" s="137">
        <f t="shared" ref="R78:V78" si="65">R79+R80</f>
        <v>513.1894451703082</v>
      </c>
      <c r="S78" s="137">
        <f t="shared" si="65"/>
        <v>493.18925283766657</v>
      </c>
      <c r="T78" s="137">
        <f t="shared" si="65"/>
        <v>511.58013795058315</v>
      </c>
      <c r="U78" s="137">
        <f t="shared" si="65"/>
        <v>514.49626388856814</v>
      </c>
      <c r="V78" s="137">
        <f t="shared" si="65"/>
        <v>479.26159897160483</v>
      </c>
      <c r="W78" s="137">
        <f t="shared" ref="W78" si="66">W79+W80</f>
        <v>564.60278472154118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254.19066893679226</v>
      </c>
      <c r="C79" s="102">
        <f>TrRoad_emi!C$34</f>
        <v>308.87818474067075</v>
      </c>
      <c r="D79" s="102">
        <f>TrRoad_emi!D$34</f>
        <v>332.38947987475336</v>
      </c>
      <c r="E79" s="102">
        <f>TrRoad_emi!E$34</f>
        <v>273.87258000097711</v>
      </c>
      <c r="F79" s="102">
        <f>TrRoad_emi!F$34</f>
        <v>265.6861333548834</v>
      </c>
      <c r="G79" s="102">
        <f>TrRoad_emi!G$34</f>
        <v>246.10631362604289</v>
      </c>
      <c r="H79" s="102">
        <f>TrRoad_emi!H$34</f>
        <v>232.55228768863978</v>
      </c>
      <c r="I79" s="102">
        <f>TrRoad_emi!I$34</f>
        <v>222.08890319361942</v>
      </c>
      <c r="J79" s="102">
        <f>TrRoad_emi!J$34</f>
        <v>214.13820448195798</v>
      </c>
      <c r="K79" s="102">
        <f>TrRoad_emi!K$34</f>
        <v>192.53381780486643</v>
      </c>
      <c r="L79" s="102">
        <f>TrRoad_emi!L$34</f>
        <v>205.75296900434736</v>
      </c>
      <c r="M79" s="102">
        <f>TrRoad_emi!M$34</f>
        <v>216.23844452812682</v>
      </c>
      <c r="N79" s="102">
        <f>TrRoad_emi!N$34</f>
        <v>222.34615417643542</v>
      </c>
      <c r="O79" s="102">
        <f>TrRoad_emi!O$34</f>
        <v>224.64839707072926</v>
      </c>
      <c r="P79" s="102">
        <f>TrRoad_emi!P$34</f>
        <v>231.10526007545266</v>
      </c>
      <c r="Q79" s="102">
        <f>TrRoad_emi!Q$34</f>
        <v>229.99663541409009</v>
      </c>
      <c r="R79" s="102">
        <f>TrRoad_emi!R$34</f>
        <v>239.32629260522808</v>
      </c>
      <c r="S79" s="102">
        <f>TrRoad_emi!S$34</f>
        <v>259.52369655947024</v>
      </c>
      <c r="T79" s="102">
        <f>TrRoad_emi!T$34</f>
        <v>279.30959660433507</v>
      </c>
      <c r="U79" s="102">
        <f>TrRoad_emi!U$34</f>
        <v>301.8349299458315</v>
      </c>
      <c r="V79" s="102">
        <f>TrRoad_emi!V$34</f>
        <v>295.50808993840548</v>
      </c>
      <c r="W79" s="102">
        <f>TrRoad_emi!W$34</f>
        <v>323.78906077959965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153.94858292339637</v>
      </c>
      <c r="C80" s="102">
        <f>TrRoad_emi!C$40</f>
        <v>163.49146474688092</v>
      </c>
      <c r="D80" s="102">
        <f>TrRoad_emi!D$40</f>
        <v>219.64751912960338</v>
      </c>
      <c r="E80" s="102">
        <f>TrRoad_emi!E$40</f>
        <v>263.08802591693728</v>
      </c>
      <c r="F80" s="102">
        <f>TrRoad_emi!F$40</f>
        <v>297.86621908532032</v>
      </c>
      <c r="G80" s="102">
        <f>TrRoad_emi!G$40</f>
        <v>312.78967889259525</v>
      </c>
      <c r="H80" s="102">
        <f>TrRoad_emi!H$40</f>
        <v>331.47561677717033</v>
      </c>
      <c r="I80" s="102">
        <f>TrRoad_emi!I$40</f>
        <v>378.84996993430769</v>
      </c>
      <c r="J80" s="102">
        <f>TrRoad_emi!J$40</f>
        <v>378.45109343541816</v>
      </c>
      <c r="K80" s="102">
        <f>TrRoad_emi!K$40</f>
        <v>265.60233064435857</v>
      </c>
      <c r="L80" s="102">
        <f>TrRoad_emi!L$40</f>
        <v>305.85101010514614</v>
      </c>
      <c r="M80" s="102">
        <f>TrRoad_emi!M$40</f>
        <v>350.40591698387834</v>
      </c>
      <c r="N80" s="102">
        <f>TrRoad_emi!N$40</f>
        <v>345.71423340349475</v>
      </c>
      <c r="O80" s="102">
        <f>TrRoad_emi!O$40</f>
        <v>322.96388922437416</v>
      </c>
      <c r="P80" s="102">
        <f>TrRoad_emi!P$40</f>
        <v>300.37368994907712</v>
      </c>
      <c r="Q80" s="102">
        <f>TrRoad_emi!Q$40</f>
        <v>289.80293176864677</v>
      </c>
      <c r="R80" s="102">
        <f>TrRoad_emi!R$40</f>
        <v>273.86315256508016</v>
      </c>
      <c r="S80" s="102">
        <f>TrRoad_emi!S$40</f>
        <v>233.66555627819636</v>
      </c>
      <c r="T80" s="102">
        <f>TrRoad_emi!T$40</f>
        <v>232.27054134624808</v>
      </c>
      <c r="U80" s="102">
        <f>TrRoad_emi!U$40</f>
        <v>212.66133394273669</v>
      </c>
      <c r="V80" s="102">
        <f>TrRoad_emi!V$40</f>
        <v>183.75350903319935</v>
      </c>
      <c r="W80" s="102">
        <f>TrRoad_emi!W$40</f>
        <v>240.81372394194159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125.37011030770003</v>
      </c>
      <c r="C81" s="110">
        <f>TrRail_emi!C$15</f>
        <v>120.1900384908095</v>
      </c>
      <c r="D81" s="110">
        <f>TrRail_emi!D$15</f>
        <v>154.76770559369388</v>
      </c>
      <c r="E81" s="110">
        <f>TrRail_emi!E$15</f>
        <v>136.35264955211471</v>
      </c>
      <c r="F81" s="110">
        <f>TrRail_emi!F$15</f>
        <v>117.24523702607142</v>
      </c>
      <c r="G81" s="110">
        <f>TrRail_emi!G$15</f>
        <v>125.86830073822429</v>
      </c>
      <c r="H81" s="110">
        <f>TrRail_emi!H$15</f>
        <v>131.29496658190513</v>
      </c>
      <c r="I81" s="110">
        <f>TrRail_emi!I$15</f>
        <v>107.63804892051158</v>
      </c>
      <c r="J81" s="110">
        <f>TrRail_emi!J$15</f>
        <v>75.630976371128625</v>
      </c>
      <c r="K81" s="110">
        <f>TrRail_emi!K$15</f>
        <v>104.08635368094357</v>
      </c>
      <c r="L81" s="110">
        <f>TrRail_emi!L$15</f>
        <v>150.25067878293146</v>
      </c>
      <c r="M81" s="110">
        <f>TrRail_emi!M$15</f>
        <v>100.06799051042795</v>
      </c>
      <c r="N81" s="110">
        <f>TrRail_emi!N$15</f>
        <v>88.95896086410923</v>
      </c>
      <c r="O81" s="110">
        <f>TrRail_emi!O$15</f>
        <v>74.942973842427406</v>
      </c>
      <c r="P81" s="110">
        <f>TrRail_emi!P$15</f>
        <v>55.175943630268975</v>
      </c>
      <c r="Q81" s="110">
        <f>TrRail_emi!Q$15</f>
        <v>52.030738025212138</v>
      </c>
      <c r="R81" s="110">
        <f>TrRail_emi!R$15</f>
        <v>39.501524641111054</v>
      </c>
      <c r="S81" s="110">
        <f>TrRail_emi!S$15</f>
        <v>39.838988856711474</v>
      </c>
      <c r="T81" s="110">
        <f>TrRail_emi!T$15</f>
        <v>34.421476866909032</v>
      </c>
      <c r="U81" s="110">
        <f>TrRail_emi!U$15</f>
        <v>35.774320829757933</v>
      </c>
      <c r="V81" s="110">
        <f>TrRail_emi!V$15</f>
        <v>30.824840617013869</v>
      </c>
      <c r="W81" s="110">
        <f>TrRail_emi!W$15</f>
        <v>34.419750229747613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0.82339136743737917</v>
      </c>
      <c r="C82" s="110">
        <f t="shared" si="67"/>
        <v>0.74413373151615059</v>
      </c>
      <c r="D82" s="110">
        <f t="shared" si="67"/>
        <v>0.68033690234864774</v>
      </c>
      <c r="E82" s="110">
        <f t="shared" si="67"/>
        <v>0.81886164916656878</v>
      </c>
      <c r="F82" s="110">
        <f t="shared" si="67"/>
        <v>1.0642855810314071</v>
      </c>
      <c r="G82" s="110">
        <f t="shared" si="67"/>
        <v>1.4626300796016043</v>
      </c>
      <c r="H82" s="110">
        <f t="shared" si="67"/>
        <v>1.3984709618149425</v>
      </c>
      <c r="I82" s="110">
        <f t="shared" si="67"/>
        <v>1.5311061352106634</v>
      </c>
      <c r="J82" s="110">
        <f t="shared" si="67"/>
        <v>1.7947166299185622</v>
      </c>
      <c r="K82" s="110">
        <f t="shared" si="67"/>
        <v>1.0464847388533007</v>
      </c>
      <c r="L82" s="110">
        <f t="shared" si="67"/>
        <v>1.1494962821751304</v>
      </c>
      <c r="M82" s="110">
        <f t="shared" si="67"/>
        <v>1.2404278812977567</v>
      </c>
      <c r="N82" s="110">
        <f t="shared" si="67"/>
        <v>1.7191233675206228</v>
      </c>
      <c r="O82" s="110">
        <f t="shared" si="67"/>
        <v>1.8863749752782315</v>
      </c>
      <c r="P82" s="110">
        <f t="shared" si="67"/>
        <v>1.8386616124560196</v>
      </c>
      <c r="Q82" s="110">
        <f t="shared" si="67"/>
        <v>1.7801089029862911</v>
      </c>
      <c r="R82" s="110">
        <f t="shared" si="67"/>
        <v>1.6360737240532699</v>
      </c>
      <c r="S82" s="110">
        <f t="shared" si="67"/>
        <v>1.9980771415237304</v>
      </c>
      <c r="T82" s="110">
        <f t="shared" si="67"/>
        <v>2.0931189671394952</v>
      </c>
      <c r="U82" s="110">
        <f t="shared" si="67"/>
        <v>2.2520104121936027</v>
      </c>
      <c r="V82" s="110">
        <f t="shared" si="67"/>
        <v>2.1374952448731088</v>
      </c>
      <c r="W82" s="110">
        <f t="shared" ref="W82" si="68">W83+W84+W85</f>
        <v>4.4300797557385003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0.66568259525958728</v>
      </c>
      <c r="C84" s="102">
        <f>TrAvia_emi!C$12</f>
        <v>0.59801289968311599</v>
      </c>
      <c r="D84" s="102">
        <f>TrAvia_emi!D$12</f>
        <v>0.57282700327040725</v>
      </c>
      <c r="E84" s="102">
        <f>TrAvia_emi!E$12</f>
        <v>0.68026864507412799</v>
      </c>
      <c r="F84" s="102">
        <f>TrAvia_emi!F$12</f>
        <v>0.91199041083689036</v>
      </c>
      <c r="G84" s="102">
        <f>TrAvia_emi!G$12</f>
        <v>1.1224478366739339</v>
      </c>
      <c r="H84" s="102">
        <f>TrAvia_emi!H$12</f>
        <v>1.2103761738950678</v>
      </c>
      <c r="I84" s="102">
        <f>TrAvia_emi!I$12</f>
        <v>1.4246515294418693</v>
      </c>
      <c r="J84" s="102">
        <f>TrAvia_emi!J$12</f>
        <v>1.7330504388111694</v>
      </c>
      <c r="K84" s="102">
        <f>TrAvia_emi!K$12</f>
        <v>1.0317604549923804</v>
      </c>
      <c r="L84" s="102">
        <f>TrAvia_emi!L$12</f>
        <v>1.1094548888392863</v>
      </c>
      <c r="M84" s="102">
        <f>TrAvia_emi!M$12</f>
        <v>1.2211607789817711</v>
      </c>
      <c r="N84" s="102">
        <f>TrAvia_emi!N$12</f>
        <v>1.6982553192317282</v>
      </c>
      <c r="O84" s="102">
        <f>TrAvia_emi!O$12</f>
        <v>1.8654852400379673</v>
      </c>
      <c r="P84" s="102">
        <f>TrAvia_emi!P$12</f>
        <v>1.8175076996450947</v>
      </c>
      <c r="Q84" s="102">
        <f>TrAvia_emi!Q$12</f>
        <v>1.7567632277773635</v>
      </c>
      <c r="R84" s="102">
        <f>TrAvia_emi!R$12</f>
        <v>1.4937292657585439</v>
      </c>
      <c r="S84" s="102">
        <f>TrAvia_emi!S$12</f>
        <v>1.9390480929884677</v>
      </c>
      <c r="T84" s="102">
        <f>TrAvia_emi!T$12</f>
        <v>2.0604014584954697</v>
      </c>
      <c r="U84" s="102">
        <f>TrAvia_emi!U$12</f>
        <v>2.1585945576542658</v>
      </c>
      <c r="V84" s="102">
        <f>TrAvia_emi!V$12</f>
        <v>2.0457555379995243</v>
      </c>
      <c r="W84" s="102">
        <f>TrAvia_emi!W$12</f>
        <v>4.138739853327511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0.15770877217779194</v>
      </c>
      <c r="C85" s="102">
        <f>TrAvia_emi!C$13</f>
        <v>0.14612083183303459</v>
      </c>
      <c r="D85" s="102">
        <f>TrAvia_emi!D$13</f>
        <v>0.1075098990782405</v>
      </c>
      <c r="E85" s="102">
        <f>TrAvia_emi!E$13</f>
        <v>0.1385930040924408</v>
      </c>
      <c r="F85" s="102">
        <f>TrAvia_emi!F$13</f>
        <v>0.1522951701945168</v>
      </c>
      <c r="G85" s="102">
        <f>TrAvia_emi!G$13</f>
        <v>0.34018224292767035</v>
      </c>
      <c r="H85" s="102">
        <f>TrAvia_emi!H$13</f>
        <v>0.18809478791987469</v>
      </c>
      <c r="I85" s="102">
        <f>TrAvia_emi!I$13</f>
        <v>0.10645460576879411</v>
      </c>
      <c r="J85" s="102">
        <f>TrAvia_emi!J$13</f>
        <v>6.1666191107392763E-2</v>
      </c>
      <c r="K85" s="102">
        <f>TrAvia_emi!K$13</f>
        <v>1.4724283860920357E-2</v>
      </c>
      <c r="L85" s="102">
        <f>TrAvia_emi!L$13</f>
        <v>4.0041393335844049E-2</v>
      </c>
      <c r="M85" s="102">
        <f>TrAvia_emi!M$13</f>
        <v>1.9267102315985527E-2</v>
      </c>
      <c r="N85" s="102">
        <f>TrAvia_emi!N$13</f>
        <v>2.0868048288894565E-2</v>
      </c>
      <c r="O85" s="102">
        <f>TrAvia_emi!O$13</f>
        <v>2.0889735240264065E-2</v>
      </c>
      <c r="P85" s="102">
        <f>TrAvia_emi!P$13</f>
        <v>2.1153912810924918E-2</v>
      </c>
      <c r="Q85" s="102">
        <f>TrAvia_emi!Q$13</f>
        <v>2.3345675208927632E-2</v>
      </c>
      <c r="R85" s="102">
        <f>TrAvia_emi!R$13</f>
        <v>0.142344458294726</v>
      </c>
      <c r="S85" s="102">
        <f>TrAvia_emi!S$13</f>
        <v>5.9029048535262779E-2</v>
      </c>
      <c r="T85" s="102">
        <f>TrAvia_emi!T$13</f>
        <v>3.2717508644025388E-2</v>
      </c>
      <c r="U85" s="102">
        <f>TrAvia_emi!U$13</f>
        <v>9.3415854539336887E-2</v>
      </c>
      <c r="V85" s="102">
        <f>TrAvia_emi!V$13</f>
        <v>9.1739706873584723E-2</v>
      </c>
      <c r="W85" s="102">
        <f>TrAvia_emi!W$13</f>
        <v>0.291339902410989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21.941009999999999</v>
      </c>
      <c r="C86" s="110">
        <f t="shared" si="69"/>
        <v>21.941009999999999</v>
      </c>
      <c r="D86" s="110">
        <f t="shared" si="69"/>
        <v>25.07544</v>
      </c>
      <c r="E86" s="110">
        <f t="shared" si="69"/>
        <v>28.209869999999999</v>
      </c>
      <c r="F86" s="110">
        <f t="shared" si="69"/>
        <v>25.07544</v>
      </c>
      <c r="G86" s="110">
        <f t="shared" si="69"/>
        <v>25.07544</v>
      </c>
      <c r="H86" s="110">
        <f t="shared" si="69"/>
        <v>21.941009999999999</v>
      </c>
      <c r="I86" s="110">
        <f t="shared" si="69"/>
        <v>25.07544</v>
      </c>
      <c r="J86" s="110">
        <f t="shared" si="69"/>
        <v>21.941009999999999</v>
      </c>
      <c r="K86" s="110">
        <f t="shared" si="69"/>
        <v>25.07544</v>
      </c>
      <c r="L86" s="110">
        <f t="shared" si="69"/>
        <v>25.07544</v>
      </c>
      <c r="M86" s="110">
        <f t="shared" si="69"/>
        <v>15.67215</v>
      </c>
      <c r="N86" s="110">
        <f t="shared" si="69"/>
        <v>12.53772</v>
      </c>
      <c r="O86" s="110">
        <f t="shared" si="69"/>
        <v>12.53772</v>
      </c>
      <c r="P86" s="110">
        <f t="shared" si="69"/>
        <v>18.806580000000004</v>
      </c>
      <c r="Q86" s="110">
        <f t="shared" si="69"/>
        <v>18.806580000000004</v>
      </c>
      <c r="R86" s="110">
        <f t="shared" ref="R86:V86" si="70">R87+R88</f>
        <v>15.67215</v>
      </c>
      <c r="S86" s="110">
        <f t="shared" si="70"/>
        <v>20.518112160000001</v>
      </c>
      <c r="T86" s="110">
        <f t="shared" si="70"/>
        <v>20.132377200000004</v>
      </c>
      <c r="U86" s="110">
        <f t="shared" si="70"/>
        <v>16.70664528</v>
      </c>
      <c r="V86" s="110">
        <f t="shared" si="70"/>
        <v>20.09182968</v>
      </c>
      <c r="W86" s="110">
        <f t="shared" ref="W86" si="71">W87+W88</f>
        <v>18.493137000000001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21.941009999999999</v>
      </c>
      <c r="C87" s="102">
        <f>TrNavi_emi!C$4</f>
        <v>21.941009999999999</v>
      </c>
      <c r="D87" s="102">
        <f>TrNavi_emi!D$4</f>
        <v>25.07544</v>
      </c>
      <c r="E87" s="102">
        <f>TrNavi_emi!E$4</f>
        <v>28.209869999999999</v>
      </c>
      <c r="F87" s="102">
        <f>TrNavi_emi!F$4</f>
        <v>25.07544</v>
      </c>
      <c r="G87" s="102">
        <f>TrNavi_emi!G$4</f>
        <v>25.07544</v>
      </c>
      <c r="H87" s="102">
        <f>TrNavi_emi!H$4</f>
        <v>21.941009999999999</v>
      </c>
      <c r="I87" s="102">
        <f>TrNavi_emi!I$4</f>
        <v>25.07544</v>
      </c>
      <c r="J87" s="102">
        <f>TrNavi_emi!J$4</f>
        <v>21.941009999999999</v>
      </c>
      <c r="K87" s="102">
        <f>TrNavi_emi!K$4</f>
        <v>25.07544</v>
      </c>
      <c r="L87" s="102">
        <f>TrNavi_emi!L$4</f>
        <v>25.07544</v>
      </c>
      <c r="M87" s="102">
        <f>TrNavi_emi!M$4</f>
        <v>15.67215</v>
      </c>
      <c r="N87" s="102">
        <f>TrNavi_emi!N$4</f>
        <v>12.53772</v>
      </c>
      <c r="O87" s="102">
        <f>TrNavi_emi!O$4</f>
        <v>12.53772</v>
      </c>
      <c r="P87" s="102">
        <f>TrNavi_emi!P$4</f>
        <v>18.806580000000004</v>
      </c>
      <c r="Q87" s="102">
        <f>TrNavi_emi!Q$4</f>
        <v>18.806580000000004</v>
      </c>
      <c r="R87" s="102">
        <f>TrNavi_emi!R$4</f>
        <v>15.67215</v>
      </c>
      <c r="S87" s="102">
        <f>TrNavi_emi!S$4</f>
        <v>20.518112160000001</v>
      </c>
      <c r="T87" s="102">
        <f>TrNavi_emi!T$4</f>
        <v>20.132377200000004</v>
      </c>
      <c r="U87" s="102">
        <f>TrNavi_emi!U$4</f>
        <v>16.70664528</v>
      </c>
      <c r="V87" s="102">
        <f>TrNavi_emi!V$4</f>
        <v>20.09182968</v>
      </c>
      <c r="W87" s="102">
        <f>TrNavi_emi!W$4</f>
        <v>18.493137000000001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331.37688384000006</v>
      </c>
      <c r="C89" s="28">
        <f t="shared" si="72"/>
        <v>316.19771711999999</v>
      </c>
      <c r="D89" s="28">
        <f t="shared" si="72"/>
        <v>371.75438808000001</v>
      </c>
      <c r="E89" s="28">
        <f t="shared" si="72"/>
        <v>353.00939615999999</v>
      </c>
      <c r="F89" s="28">
        <f t="shared" si="72"/>
        <v>473.21780904000019</v>
      </c>
      <c r="G89" s="28">
        <f t="shared" si="72"/>
        <v>377.65344096000001</v>
      </c>
      <c r="H89" s="28">
        <f t="shared" si="72"/>
        <v>669.56757192000009</v>
      </c>
      <c r="I89" s="28">
        <f t="shared" si="72"/>
        <v>779.32458287999998</v>
      </c>
      <c r="J89" s="28">
        <f t="shared" si="72"/>
        <v>794.01020903999995</v>
      </c>
      <c r="K89" s="28">
        <f t="shared" si="72"/>
        <v>707.66408808000006</v>
      </c>
      <c r="L89" s="28">
        <f t="shared" si="72"/>
        <v>695.7428061600001</v>
      </c>
      <c r="M89" s="28">
        <f t="shared" si="72"/>
        <v>588.24742103999995</v>
      </c>
      <c r="N89" s="28">
        <f t="shared" si="72"/>
        <v>1256.1399561600001</v>
      </c>
      <c r="O89" s="28">
        <f t="shared" si="72"/>
        <v>1315.3433140800003</v>
      </c>
      <c r="P89" s="28">
        <f t="shared" si="72"/>
        <v>1009.73299896</v>
      </c>
      <c r="Q89" s="28">
        <f t="shared" si="72"/>
        <v>910.67126903999997</v>
      </c>
      <c r="R89" s="28">
        <f t="shared" si="72"/>
        <v>854.87154408000026</v>
      </c>
      <c r="S89" s="28">
        <f t="shared" si="72"/>
        <v>1013.2586481600003</v>
      </c>
      <c r="T89" s="28">
        <f t="shared" si="72"/>
        <v>956.1221380799999</v>
      </c>
      <c r="U89" s="28">
        <f t="shared" si="72"/>
        <v>567.75537575999999</v>
      </c>
      <c r="V89" s="28">
        <f t="shared" si="72"/>
        <v>915.7548204000002</v>
      </c>
      <c r="W89" s="28">
        <f t="shared" si="72"/>
        <v>941.99856983999985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162.22362515639196</v>
      </c>
      <c r="C90" s="102">
        <f>MBunk_emi!C$4</f>
        <v>154.45014351095955</v>
      </c>
      <c r="D90" s="102">
        <f>MBunk_emi!D$4</f>
        <v>181.17816816683674</v>
      </c>
      <c r="E90" s="102">
        <f>MBunk_emi!E$4</f>
        <v>178.88554006673775</v>
      </c>
      <c r="F90" s="102">
        <f>MBunk_emi!F$4</f>
        <v>217.913694550499</v>
      </c>
      <c r="G90" s="102">
        <f>MBunk_emi!G$4</f>
        <v>156.0780260425411</v>
      </c>
      <c r="H90" s="102">
        <f>MBunk_emi!H$4</f>
        <v>281.71682051265407</v>
      </c>
      <c r="I90" s="102">
        <f>MBunk_emi!I$4</f>
        <v>325.41190371804612</v>
      </c>
      <c r="J90" s="102">
        <f>MBunk_emi!J$4</f>
        <v>324.28716267204607</v>
      </c>
      <c r="K90" s="102">
        <f>MBunk_emi!K$4</f>
        <v>277.05242730523065</v>
      </c>
      <c r="L90" s="102">
        <f>MBunk_emi!L$4</f>
        <v>264.87036038220702</v>
      </c>
      <c r="M90" s="102">
        <f>MBunk_emi!M$4</f>
        <v>229.55543231323247</v>
      </c>
      <c r="N90" s="102">
        <f>MBunk_emi!N$4</f>
        <v>389.60723125861375</v>
      </c>
      <c r="O90" s="102">
        <f>MBunk_emi!O$4</f>
        <v>549.59056330842395</v>
      </c>
      <c r="P90" s="102">
        <f>MBunk_emi!P$4</f>
        <v>420.68354532030463</v>
      </c>
      <c r="Q90" s="102">
        <f>MBunk_emi!Q$4</f>
        <v>348.34041477850911</v>
      </c>
      <c r="R90" s="102">
        <f>MBunk_emi!R$4</f>
        <v>318.65606618169716</v>
      </c>
      <c r="S90" s="102">
        <f>MBunk_emi!S$4</f>
        <v>388.89446592188528</v>
      </c>
      <c r="T90" s="102">
        <f>MBunk_emi!T$4</f>
        <v>368.31536737462227</v>
      </c>
      <c r="U90" s="102">
        <f>MBunk_emi!U$4</f>
        <v>208.51361593358536</v>
      </c>
      <c r="V90" s="102">
        <f>MBunk_emi!V$4</f>
        <v>262.97516472208741</v>
      </c>
      <c r="W90" s="102">
        <f>MBunk_emi!W$4</f>
        <v>293.16534574305848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169.1532586836081</v>
      </c>
      <c r="C91" s="86">
        <f>MBunk_emi!C$5</f>
        <v>161.74757360904044</v>
      </c>
      <c r="D91" s="86">
        <f>MBunk_emi!D$5</f>
        <v>190.57621991316327</v>
      </c>
      <c r="E91" s="86">
        <f>MBunk_emi!E$5</f>
        <v>174.12385609326225</v>
      </c>
      <c r="F91" s="86">
        <f>MBunk_emi!F$5</f>
        <v>255.30411448950119</v>
      </c>
      <c r="G91" s="86">
        <f>MBunk_emi!G$5</f>
        <v>221.57541491745894</v>
      </c>
      <c r="H91" s="86">
        <f>MBunk_emi!H$5</f>
        <v>387.85075140734597</v>
      </c>
      <c r="I91" s="86">
        <f>MBunk_emi!I$5</f>
        <v>453.91267916195386</v>
      </c>
      <c r="J91" s="86">
        <f>MBunk_emi!J$5</f>
        <v>469.72304636795388</v>
      </c>
      <c r="K91" s="86">
        <f>MBunk_emi!K$5</f>
        <v>430.61166077476946</v>
      </c>
      <c r="L91" s="86">
        <f>MBunk_emi!L$5</f>
        <v>430.87244577779308</v>
      </c>
      <c r="M91" s="86">
        <f>MBunk_emi!M$5</f>
        <v>358.69198872676748</v>
      </c>
      <c r="N91" s="86">
        <f>MBunk_emi!N$5</f>
        <v>866.53272490138647</v>
      </c>
      <c r="O91" s="86">
        <f>MBunk_emi!O$5</f>
        <v>765.7527507715763</v>
      </c>
      <c r="P91" s="86">
        <f>MBunk_emi!P$5</f>
        <v>589.04945363969546</v>
      </c>
      <c r="Q91" s="86">
        <f>MBunk_emi!Q$5</f>
        <v>562.33085426149091</v>
      </c>
      <c r="R91" s="86">
        <f>MBunk_emi!R$5</f>
        <v>536.21547789830311</v>
      </c>
      <c r="S91" s="86">
        <f>MBunk_emi!S$5</f>
        <v>624.36418223811506</v>
      </c>
      <c r="T91" s="86">
        <f>MBunk_emi!T$5</f>
        <v>587.80677070537763</v>
      </c>
      <c r="U91" s="86">
        <f>MBunk_emi!U$5</f>
        <v>359.24175982641464</v>
      </c>
      <c r="V91" s="86">
        <f>MBunk_emi!V$5</f>
        <v>652.77965567791273</v>
      </c>
      <c r="W91" s="86">
        <f>MBunk_emi!W$5</f>
        <v>648.83322409694142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0.91350337539579318</v>
      </c>
      <c r="C97" s="139">
        <f t="shared" si="76"/>
        <v>0.92903372434263698</v>
      </c>
      <c r="D97" s="139">
        <f t="shared" si="76"/>
        <v>0.92810331296167881</v>
      </c>
      <c r="E97" s="139">
        <f t="shared" si="76"/>
        <v>0.92478021627690754</v>
      </c>
      <c r="F97" s="139">
        <f t="shared" si="76"/>
        <v>0.90982740663678774</v>
      </c>
      <c r="G97" s="139">
        <f t="shared" si="76"/>
        <v>0.89733563215848677</v>
      </c>
      <c r="H97" s="139">
        <f t="shared" si="76"/>
        <v>0.89623804830389708</v>
      </c>
      <c r="I97" s="139">
        <f t="shared" si="76"/>
        <v>0.89026747932692396</v>
      </c>
      <c r="J97" s="139">
        <f t="shared" si="76"/>
        <v>0.89179275442614425</v>
      </c>
      <c r="K97" s="139">
        <f t="shared" si="76"/>
        <v>0.92048907386372925</v>
      </c>
      <c r="L97" s="139">
        <f t="shared" si="76"/>
        <v>0.91121531881912454</v>
      </c>
      <c r="M97" s="139">
        <f t="shared" si="76"/>
        <v>0.89468608100704816</v>
      </c>
      <c r="N97" s="139">
        <f t="shared" si="76"/>
        <v>0.88233188645247784</v>
      </c>
      <c r="O97" s="139">
        <f t="shared" si="76"/>
        <v>0.90467811299247458</v>
      </c>
      <c r="P97" s="139">
        <f t="shared" si="76"/>
        <v>0.90310758900880306</v>
      </c>
      <c r="Q97" s="139">
        <f t="shared" si="76"/>
        <v>0.89856107696371579</v>
      </c>
      <c r="R97" s="139">
        <f t="shared" ref="R97:V97" si="77">IF(R5=0,0,R5/R$4)</f>
        <v>0.90331893436463517</v>
      </c>
      <c r="S97" s="139">
        <f t="shared" si="77"/>
        <v>0.89148120852952573</v>
      </c>
      <c r="T97" s="139">
        <f t="shared" si="77"/>
        <v>0.87703893451344994</v>
      </c>
      <c r="U97" s="139">
        <f t="shared" si="77"/>
        <v>0.8747723530275</v>
      </c>
      <c r="V97" s="139">
        <f t="shared" si="77"/>
        <v>0.94349564812581388</v>
      </c>
      <c r="W97" s="139">
        <f t="shared" ref="W97" si="78">IF(W5=0,0,W5/W$4)</f>
        <v>0.91237688721873189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9.14545229827031E-4</v>
      </c>
      <c r="C98" s="140">
        <f t="shared" si="79"/>
        <v>9.4744657865738515E-4</v>
      </c>
      <c r="D98" s="140">
        <f t="shared" si="79"/>
        <v>9.9850607844980299E-4</v>
      </c>
      <c r="E98" s="140">
        <f t="shared" si="79"/>
        <v>1.0357152407550019E-3</v>
      </c>
      <c r="F98" s="140">
        <f t="shared" si="79"/>
        <v>1.1066835763005761E-3</v>
      </c>
      <c r="G98" s="140">
        <f t="shared" si="79"/>
        <v>9.9276532079479226E-4</v>
      </c>
      <c r="H98" s="140">
        <f t="shared" si="79"/>
        <v>1.2023546329662886E-3</v>
      </c>
      <c r="I98" s="140">
        <f t="shared" si="79"/>
        <v>1.4196657493903114E-3</v>
      </c>
      <c r="J98" s="140">
        <f t="shared" si="79"/>
        <v>1.6585823238580385E-3</v>
      </c>
      <c r="K98" s="140">
        <f t="shared" si="79"/>
        <v>1.8441686825545955E-3</v>
      </c>
      <c r="L98" s="140">
        <f t="shared" si="79"/>
        <v>1.9957568754942075E-3</v>
      </c>
      <c r="M98" s="140">
        <f t="shared" si="79"/>
        <v>2.250400807669401E-3</v>
      </c>
      <c r="N98" s="140">
        <f t="shared" si="79"/>
        <v>3.2839359090754286E-3</v>
      </c>
      <c r="O98" s="140">
        <f t="shared" si="79"/>
        <v>3.5469129374984887E-3</v>
      </c>
      <c r="P98" s="140">
        <f t="shared" si="79"/>
        <v>3.6836452322532675E-3</v>
      </c>
      <c r="Q98" s="140">
        <f t="shared" si="79"/>
        <v>3.7031430160828606E-3</v>
      </c>
      <c r="R98" s="140">
        <f t="shared" ref="R98:V98" si="80">IF(R6=0,0,R6/R$4)</f>
        <v>3.7743003911352574E-3</v>
      </c>
      <c r="S98" s="140">
        <f t="shared" si="80"/>
        <v>3.5168508018368931E-3</v>
      </c>
      <c r="T98" s="140">
        <f t="shared" si="80"/>
        <v>3.2844925486926655E-3</v>
      </c>
      <c r="U98" s="140">
        <f t="shared" si="80"/>
        <v>3.2923436885983707E-3</v>
      </c>
      <c r="V98" s="140">
        <f t="shared" si="80"/>
        <v>4.0662684807345507E-3</v>
      </c>
      <c r="W98" s="140">
        <f t="shared" ref="W98" si="81">IF(W6=0,0,W6/W$4)</f>
        <v>3.8853664813508102E-3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0.65484840890632789</v>
      </c>
      <c r="C99" s="140">
        <f t="shared" si="82"/>
        <v>0.68170195923362154</v>
      </c>
      <c r="D99" s="140">
        <f t="shared" si="82"/>
        <v>0.6970476063877038</v>
      </c>
      <c r="E99" s="140">
        <f t="shared" si="82"/>
        <v>0.71071490664243886</v>
      </c>
      <c r="F99" s="140">
        <f t="shared" si="82"/>
        <v>0.69051108823882379</v>
      </c>
      <c r="G99" s="140">
        <f t="shared" si="82"/>
        <v>0.70381876827453094</v>
      </c>
      <c r="H99" s="140">
        <f t="shared" si="82"/>
        <v>0.6940067832892397</v>
      </c>
      <c r="I99" s="140">
        <f t="shared" si="82"/>
        <v>0.70114996732470902</v>
      </c>
      <c r="J99" s="140">
        <f t="shared" si="82"/>
        <v>0.72156325230247864</v>
      </c>
      <c r="K99" s="140">
        <f t="shared" si="82"/>
        <v>0.76468776790885795</v>
      </c>
      <c r="L99" s="140">
        <f t="shared" si="82"/>
        <v>0.75512849071874577</v>
      </c>
      <c r="M99" s="140">
        <f t="shared" si="82"/>
        <v>0.74402621647674028</v>
      </c>
      <c r="N99" s="140">
        <f t="shared" si="82"/>
        <v>0.74872749483414158</v>
      </c>
      <c r="O99" s="140">
        <f t="shared" si="82"/>
        <v>0.76915958822391972</v>
      </c>
      <c r="P99" s="140">
        <f t="shared" si="82"/>
        <v>0.77091159112337826</v>
      </c>
      <c r="Q99" s="140">
        <f t="shared" si="82"/>
        <v>0.75116606353823379</v>
      </c>
      <c r="R99" s="140">
        <f t="shared" ref="R99:V99" si="83">IF(R7=0,0,R7/R$4)</f>
        <v>0.73205065703486072</v>
      </c>
      <c r="S99" s="140">
        <f t="shared" si="83"/>
        <v>0.72824455124330867</v>
      </c>
      <c r="T99" s="140">
        <f t="shared" si="83"/>
        <v>0.72039012659288715</v>
      </c>
      <c r="U99" s="140">
        <f t="shared" si="83"/>
        <v>0.71217476717607253</v>
      </c>
      <c r="V99" s="140">
        <f t="shared" si="83"/>
        <v>0.84437046526796022</v>
      </c>
      <c r="W99" s="140">
        <f t="shared" ref="W99" si="84">IF(W7=0,0,W7/W$4)</f>
        <v>0.82717132109698499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0.25774042125963825</v>
      </c>
      <c r="C100" s="140">
        <f t="shared" si="85"/>
        <v>0.246384318530358</v>
      </c>
      <c r="D100" s="140">
        <f t="shared" si="85"/>
        <v>0.23005720049552525</v>
      </c>
      <c r="E100" s="140">
        <f t="shared" si="85"/>
        <v>0.21302959439371374</v>
      </c>
      <c r="F100" s="140">
        <f t="shared" si="85"/>
        <v>0.21820963482166339</v>
      </c>
      <c r="G100" s="140">
        <f t="shared" si="85"/>
        <v>0.19252409856316105</v>
      </c>
      <c r="H100" s="140">
        <f t="shared" si="85"/>
        <v>0.2010289103816911</v>
      </c>
      <c r="I100" s="140">
        <f t="shared" si="85"/>
        <v>0.1876978462528246</v>
      </c>
      <c r="J100" s="140">
        <f t="shared" si="85"/>
        <v>0.16857091979980762</v>
      </c>
      <c r="K100" s="140">
        <f t="shared" si="85"/>
        <v>0.15395713727231672</v>
      </c>
      <c r="L100" s="140">
        <f t="shared" si="85"/>
        <v>0.15409107122488469</v>
      </c>
      <c r="M100" s="140">
        <f t="shared" si="85"/>
        <v>0.14840946372263844</v>
      </c>
      <c r="N100" s="140">
        <f t="shared" si="85"/>
        <v>0.13032045570926098</v>
      </c>
      <c r="O100" s="140">
        <f t="shared" si="85"/>
        <v>0.13197161183105632</v>
      </c>
      <c r="P100" s="140">
        <f t="shared" si="85"/>
        <v>0.12851235265317162</v>
      </c>
      <c r="Q100" s="140">
        <f t="shared" si="85"/>
        <v>0.1436918704093991</v>
      </c>
      <c r="R100" s="140">
        <f t="shared" ref="R100:V100" si="86">IF(R8=0,0,R8/R$4)</f>
        <v>0.16749397693863918</v>
      </c>
      <c r="S100" s="140">
        <f t="shared" si="86"/>
        <v>0.15971980648438011</v>
      </c>
      <c r="T100" s="140">
        <f t="shared" si="86"/>
        <v>0.15336431537187004</v>
      </c>
      <c r="U100" s="140">
        <f t="shared" si="86"/>
        <v>0.15930524216282899</v>
      </c>
      <c r="V100" s="140">
        <f t="shared" si="86"/>
        <v>9.5058914377119011E-2</v>
      </c>
      <c r="W100" s="140">
        <f t="shared" ref="W100" si="87">IF(W8=0,0,W8/W$4)</f>
        <v>8.1320199640396204E-2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3.5838658575912438E-2</v>
      </c>
      <c r="C101" s="124">
        <f t="shared" si="88"/>
        <v>2.7056121779159174E-2</v>
      </c>
      <c r="D101" s="124">
        <f t="shared" si="88"/>
        <v>2.6594809851274562E-2</v>
      </c>
      <c r="E101" s="124">
        <f t="shared" si="88"/>
        <v>2.5514768755782395E-2</v>
      </c>
      <c r="F101" s="124">
        <f t="shared" si="88"/>
        <v>2.4428166490363609E-2</v>
      </c>
      <c r="G101" s="124">
        <f t="shared" si="88"/>
        <v>2.2917172704517663E-2</v>
      </c>
      <c r="H101" s="124">
        <f t="shared" si="88"/>
        <v>2.3417321181567349E-2</v>
      </c>
      <c r="I101" s="124">
        <f t="shared" si="88"/>
        <v>2.4764616845908725E-2</v>
      </c>
      <c r="J101" s="124">
        <f t="shared" si="88"/>
        <v>2.3766712963719554E-2</v>
      </c>
      <c r="K101" s="124">
        <f t="shared" si="88"/>
        <v>2.3366454882881266E-2</v>
      </c>
      <c r="L101" s="124">
        <f t="shared" si="88"/>
        <v>2.3838658800019796E-2</v>
      </c>
      <c r="M101" s="124">
        <f t="shared" si="88"/>
        <v>2.2063882915062255E-2</v>
      </c>
      <c r="N101" s="124">
        <f t="shared" si="88"/>
        <v>2.267955537110921E-2</v>
      </c>
      <c r="O101" s="124">
        <f t="shared" si="88"/>
        <v>2.0433440421379415E-2</v>
      </c>
      <c r="P101" s="124">
        <f t="shared" si="88"/>
        <v>2.2018850864454688E-2</v>
      </c>
      <c r="Q101" s="124">
        <f t="shared" si="88"/>
        <v>2.0779952023181374E-2</v>
      </c>
      <c r="R101" s="124">
        <f t="shared" ref="R101:V101" si="89">IF(R9=0,0,R9/R$4)</f>
        <v>2.1266490195142384E-2</v>
      </c>
      <c r="S101" s="124">
        <f t="shared" si="89"/>
        <v>2.3693812561444615E-2</v>
      </c>
      <c r="T101" s="124">
        <f t="shared" si="89"/>
        <v>2.7048929103960114E-2</v>
      </c>
      <c r="U101" s="124">
        <f t="shared" si="89"/>
        <v>2.4219045106332937E-2</v>
      </c>
      <c r="V101" s="124">
        <f t="shared" si="89"/>
        <v>2.1684640297582183E-2</v>
      </c>
      <c r="W101" s="124">
        <f t="shared" ref="W101" si="90">IF(W9=0,0,W9/W$4)</f>
        <v>2.190213344906625E-2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1.0260616770298147E-2</v>
      </c>
      <c r="C102" s="140">
        <f t="shared" si="91"/>
        <v>8.7701203995365126E-3</v>
      </c>
      <c r="D102" s="140">
        <f t="shared" si="91"/>
        <v>9.123298423084349E-3</v>
      </c>
      <c r="E102" s="140">
        <f t="shared" si="91"/>
        <v>8.6528781701930742E-3</v>
      </c>
      <c r="F102" s="140">
        <f t="shared" si="91"/>
        <v>7.3708722333441588E-3</v>
      </c>
      <c r="G102" s="140">
        <f t="shared" si="91"/>
        <v>5.3376526589860194E-3</v>
      </c>
      <c r="H102" s="140">
        <f t="shared" si="91"/>
        <v>5.4845096688652976E-3</v>
      </c>
      <c r="I102" s="140">
        <f t="shared" si="91"/>
        <v>5.5531077412116952E-3</v>
      </c>
      <c r="J102" s="140">
        <f t="shared" si="91"/>
        <v>4.937348094112017E-3</v>
      </c>
      <c r="K102" s="140">
        <f t="shared" si="91"/>
        <v>5.2324306724712095E-3</v>
      </c>
      <c r="L102" s="140">
        <f t="shared" si="91"/>
        <v>5.3716551161059134E-3</v>
      </c>
      <c r="M102" s="140">
        <f t="shared" si="91"/>
        <v>4.6477439492085609E-3</v>
      </c>
      <c r="N102" s="140">
        <f t="shared" si="91"/>
        <v>6.400755024712392E-3</v>
      </c>
      <c r="O102" s="140">
        <f t="shared" si="91"/>
        <v>5.1817460607214713E-3</v>
      </c>
      <c r="P102" s="140">
        <f t="shared" si="91"/>
        <v>3.8062942439874964E-3</v>
      </c>
      <c r="Q102" s="140">
        <f t="shared" si="91"/>
        <v>3.359063961677288E-3</v>
      </c>
      <c r="R102" s="140">
        <f t="shared" ref="R102:V102" si="92">IF(R10=0,0,R10/R$4)</f>
        <v>3.251481103035516E-3</v>
      </c>
      <c r="S102" s="140">
        <f t="shared" si="92"/>
        <v>3.3182638778325117E-3</v>
      </c>
      <c r="T102" s="140">
        <f t="shared" si="92"/>
        <v>4.5302954736538446E-3</v>
      </c>
      <c r="U102" s="140">
        <f t="shared" si="92"/>
        <v>4.4132554051502654E-3</v>
      </c>
      <c r="V102" s="140">
        <f t="shared" si="92"/>
        <v>3.4892294670273803E-3</v>
      </c>
      <c r="W102" s="140">
        <f t="shared" ref="W102" si="93">IF(W10=0,0,W10/W$4)</f>
        <v>3.592461169784498E-3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2.557804180561429E-2</v>
      </c>
      <c r="C103" s="140">
        <f t="shared" si="94"/>
        <v>1.8286001379622656E-2</v>
      </c>
      <c r="D103" s="140">
        <f t="shared" si="94"/>
        <v>1.7471511428190211E-2</v>
      </c>
      <c r="E103" s="140">
        <f t="shared" si="94"/>
        <v>1.6861890585589321E-2</v>
      </c>
      <c r="F103" s="140">
        <f t="shared" si="94"/>
        <v>1.7057294257019455E-2</v>
      </c>
      <c r="G103" s="140">
        <f t="shared" si="94"/>
        <v>1.7579520045531642E-2</v>
      </c>
      <c r="H103" s="140">
        <f t="shared" si="94"/>
        <v>1.7932811512702051E-2</v>
      </c>
      <c r="I103" s="140">
        <f t="shared" si="94"/>
        <v>1.921150910469703E-2</v>
      </c>
      <c r="J103" s="140">
        <f t="shared" si="94"/>
        <v>1.8829364869607536E-2</v>
      </c>
      <c r="K103" s="140">
        <f t="shared" si="94"/>
        <v>1.8134024210410056E-2</v>
      </c>
      <c r="L103" s="140">
        <f t="shared" si="94"/>
        <v>1.8467003683913883E-2</v>
      </c>
      <c r="M103" s="140">
        <f t="shared" si="94"/>
        <v>1.7416138965853693E-2</v>
      </c>
      <c r="N103" s="140">
        <f t="shared" si="94"/>
        <v>1.6278800346396817E-2</v>
      </c>
      <c r="O103" s="140">
        <f t="shared" si="94"/>
        <v>1.5251694360657941E-2</v>
      </c>
      <c r="P103" s="140">
        <f t="shared" si="94"/>
        <v>1.8212556620467189E-2</v>
      </c>
      <c r="Q103" s="140">
        <f t="shared" si="94"/>
        <v>1.7420888061504086E-2</v>
      </c>
      <c r="R103" s="140">
        <f t="shared" ref="R103:V103" si="95">IF(R11=0,0,R11/R$4)</f>
        <v>1.8015009092106866E-2</v>
      </c>
      <c r="S103" s="140">
        <f t="shared" si="95"/>
        <v>2.0375548683612101E-2</v>
      </c>
      <c r="T103" s="140">
        <f t="shared" si="95"/>
        <v>2.2518633630306269E-2</v>
      </c>
      <c r="U103" s="140">
        <f t="shared" si="95"/>
        <v>1.9805789701182672E-2</v>
      </c>
      <c r="V103" s="140">
        <f t="shared" si="95"/>
        <v>1.8195410830554804E-2</v>
      </c>
      <c r="W103" s="140">
        <f t="shared" ref="W103" si="96">IF(W11=0,0,W11/W$4)</f>
        <v>1.8309672279281753E-2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5.0657966028294255E-2</v>
      </c>
      <c r="C105" s="124">
        <f t="shared" si="100"/>
        <v>4.3910153878203816E-2</v>
      </c>
      <c r="D105" s="124">
        <f t="shared" si="100"/>
        <v>4.530187718704666E-2</v>
      </c>
      <c r="E105" s="124">
        <f t="shared" si="100"/>
        <v>4.9705014967310029E-2</v>
      </c>
      <c r="F105" s="124">
        <f t="shared" si="100"/>
        <v>6.5744426872848608E-2</v>
      </c>
      <c r="G105" s="124">
        <f t="shared" si="100"/>
        <v>7.9747195136995602E-2</v>
      </c>
      <c r="H105" s="124">
        <f t="shared" si="100"/>
        <v>8.0344630514535595E-2</v>
      </c>
      <c r="I105" s="124">
        <f t="shared" si="100"/>
        <v>8.4967903827167318E-2</v>
      </c>
      <c r="J105" s="124">
        <f t="shared" si="100"/>
        <v>8.4440532610136163E-2</v>
      </c>
      <c r="K105" s="124">
        <f t="shared" si="100"/>
        <v>5.614447125338954E-2</v>
      </c>
      <c r="L105" s="124">
        <f t="shared" si="100"/>
        <v>6.4946022380855575E-2</v>
      </c>
      <c r="M105" s="124">
        <f t="shared" si="100"/>
        <v>8.3250036077889611E-2</v>
      </c>
      <c r="N105" s="124">
        <f t="shared" si="100"/>
        <v>9.4988558176412857E-2</v>
      </c>
      <c r="O105" s="124">
        <f t="shared" si="100"/>
        <v>7.488844658614606E-2</v>
      </c>
      <c r="P105" s="124">
        <f t="shared" si="100"/>
        <v>7.4873560126742247E-2</v>
      </c>
      <c r="Q105" s="124">
        <f t="shared" si="100"/>
        <v>8.0658971013102779E-2</v>
      </c>
      <c r="R105" s="124">
        <f t="shared" ref="R105:V105" si="101">IF(R13=0,0,R13/R$4)</f>
        <v>7.5414575440222509E-2</v>
      </c>
      <c r="S105" s="124">
        <f t="shared" si="101"/>
        <v>8.4824978909029611E-2</v>
      </c>
      <c r="T105" s="124">
        <f t="shared" si="101"/>
        <v>9.5912136382589955E-2</v>
      </c>
      <c r="U105" s="124">
        <f t="shared" si="101"/>
        <v>0.10100860186616691</v>
      </c>
      <c r="V105" s="124">
        <f t="shared" si="101"/>
        <v>3.4819711576604039E-2</v>
      </c>
      <c r="W105" s="124">
        <f t="shared" ref="W105" si="102">IF(W13=0,0,W13/W$4)</f>
        <v>6.5720979332201793E-2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4.3277167820072161E-2</v>
      </c>
      <c r="C107" s="140">
        <f t="shared" si="106"/>
        <v>3.7630080038270647E-2</v>
      </c>
      <c r="D107" s="140">
        <f t="shared" si="106"/>
        <v>3.8178554604466876E-2</v>
      </c>
      <c r="E107" s="140">
        <f t="shared" si="106"/>
        <v>4.1496155154644838E-2</v>
      </c>
      <c r="F107" s="140">
        <f t="shared" si="106"/>
        <v>5.3373693382186935E-2</v>
      </c>
      <c r="G107" s="140">
        <f t="shared" si="106"/>
        <v>6.5507692179824856E-2</v>
      </c>
      <c r="H107" s="140">
        <f t="shared" si="106"/>
        <v>6.6214997622256216E-2</v>
      </c>
      <c r="I107" s="140">
        <f t="shared" si="106"/>
        <v>6.6999418594566901E-2</v>
      </c>
      <c r="J107" s="140">
        <f t="shared" si="106"/>
        <v>6.2589293119417716E-2</v>
      </c>
      <c r="K107" s="140">
        <f t="shared" si="106"/>
        <v>4.0609985530621388E-2</v>
      </c>
      <c r="L107" s="140">
        <f t="shared" si="106"/>
        <v>4.4849286962204096E-2</v>
      </c>
      <c r="M107" s="140">
        <f t="shared" si="106"/>
        <v>6.6219368002374213E-2</v>
      </c>
      <c r="N107" s="140">
        <f t="shared" si="106"/>
        <v>6.8869369795222068E-2</v>
      </c>
      <c r="O107" s="140">
        <f t="shared" si="106"/>
        <v>5.844916379104062E-2</v>
      </c>
      <c r="P107" s="140">
        <f t="shared" si="106"/>
        <v>5.8079649503762411E-2</v>
      </c>
      <c r="Q107" s="140">
        <f t="shared" si="106"/>
        <v>6.0013370000338961E-2</v>
      </c>
      <c r="R107" s="140">
        <f t="shared" ref="R107:V107" si="107">IF(R15=0,0,R15/R$4)</f>
        <v>6.0744766724212779E-2</v>
      </c>
      <c r="S107" s="140">
        <f t="shared" si="107"/>
        <v>6.7916509511483619E-2</v>
      </c>
      <c r="T107" s="140">
        <f t="shared" si="107"/>
        <v>7.4840244470160494E-2</v>
      </c>
      <c r="U107" s="140">
        <f t="shared" si="107"/>
        <v>7.3419809467183281E-2</v>
      </c>
      <c r="V107" s="140">
        <f t="shared" si="107"/>
        <v>2.6705314739612428E-2</v>
      </c>
      <c r="W107" s="140">
        <f t="shared" ref="W107" si="108">IF(W15=0,0,W15/W$4)</f>
        <v>3.8787175623240355E-2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7.3807982082220941E-3</v>
      </c>
      <c r="C108" s="140">
        <f t="shared" si="109"/>
        <v>6.2800738399331696E-3</v>
      </c>
      <c r="D108" s="140">
        <f t="shared" si="109"/>
        <v>7.1233225825797818E-3</v>
      </c>
      <c r="E108" s="140">
        <f t="shared" si="109"/>
        <v>8.2088598126651893E-3</v>
      </c>
      <c r="F108" s="140">
        <f t="shared" si="109"/>
        <v>1.2370733490661673E-2</v>
      </c>
      <c r="G108" s="140">
        <f t="shared" si="109"/>
        <v>1.4239502957170738E-2</v>
      </c>
      <c r="H108" s="140">
        <f t="shared" si="109"/>
        <v>1.4129632892279384E-2</v>
      </c>
      <c r="I108" s="140">
        <f t="shared" si="109"/>
        <v>1.7968485232600414E-2</v>
      </c>
      <c r="J108" s="140">
        <f t="shared" si="109"/>
        <v>2.185123949071846E-2</v>
      </c>
      <c r="K108" s="140">
        <f t="shared" si="109"/>
        <v>1.5534485722768152E-2</v>
      </c>
      <c r="L108" s="140">
        <f t="shared" si="109"/>
        <v>2.0096735418651483E-2</v>
      </c>
      <c r="M108" s="140">
        <f t="shared" si="109"/>
        <v>1.7030668075515398E-2</v>
      </c>
      <c r="N108" s="140">
        <f t="shared" si="109"/>
        <v>2.6119188381190789E-2</v>
      </c>
      <c r="O108" s="140">
        <f t="shared" si="109"/>
        <v>1.6439282795105425E-2</v>
      </c>
      <c r="P108" s="140">
        <f t="shared" si="109"/>
        <v>1.6793910622979833E-2</v>
      </c>
      <c r="Q108" s="140">
        <f t="shared" si="109"/>
        <v>2.0645601012763803E-2</v>
      </c>
      <c r="R108" s="140">
        <f t="shared" ref="R108:V108" si="110">IF(R16=0,0,R16/R$4)</f>
        <v>1.4669808716009732E-2</v>
      </c>
      <c r="S108" s="140">
        <f t="shared" si="110"/>
        <v>1.6908469397545988E-2</v>
      </c>
      <c r="T108" s="140">
        <f t="shared" si="110"/>
        <v>2.1071891912429471E-2</v>
      </c>
      <c r="U108" s="140">
        <f t="shared" si="110"/>
        <v>2.7588792398983628E-2</v>
      </c>
      <c r="V108" s="140">
        <f t="shared" si="110"/>
        <v>8.1143968369916161E-3</v>
      </c>
      <c r="W108" s="140">
        <f t="shared" ref="W108" si="111">IF(W16=0,0,W16/W$4)</f>
        <v>2.6933803708961434E-2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0.16058641214921382</v>
      </c>
      <c r="C110" s="139">
        <f t="shared" si="115"/>
        <v>0.14305709856436077</v>
      </c>
      <c r="D110" s="139">
        <f t="shared" si="115"/>
        <v>0.14733026991852807</v>
      </c>
      <c r="E110" s="139">
        <f t="shared" si="115"/>
        <v>0.20376680031546271</v>
      </c>
      <c r="F110" s="139">
        <f t="shared" si="115"/>
        <v>0.19135895599333491</v>
      </c>
      <c r="G110" s="139">
        <f t="shared" si="115"/>
        <v>0.21227441070562028</v>
      </c>
      <c r="H110" s="139">
        <f t="shared" si="115"/>
        <v>0.22718753919367812</v>
      </c>
      <c r="I110" s="139">
        <f t="shared" si="115"/>
        <v>0.26919803576663548</v>
      </c>
      <c r="J110" s="139">
        <f t="shared" si="115"/>
        <v>0.33232667652521125</v>
      </c>
      <c r="K110" s="139">
        <f t="shared" si="115"/>
        <v>0.27575234747194449</v>
      </c>
      <c r="L110" s="139">
        <f t="shared" si="115"/>
        <v>0.26209357839454278</v>
      </c>
      <c r="M110" s="139">
        <f t="shared" si="115"/>
        <v>0.29876479762296598</v>
      </c>
      <c r="N110" s="139">
        <f t="shared" si="115"/>
        <v>0.34729740136244025</v>
      </c>
      <c r="O110" s="139">
        <f t="shared" si="115"/>
        <v>0.38046038454273123</v>
      </c>
      <c r="P110" s="139">
        <f t="shared" si="115"/>
        <v>0.46747725322131645</v>
      </c>
      <c r="Q110" s="139">
        <f t="shared" si="115"/>
        <v>0.4965342992117483</v>
      </c>
      <c r="R110" s="139">
        <f t="shared" ref="R110:V110" si="116">IF(R18=0,0,R18/R$17)</f>
        <v>0.59078692479757045</v>
      </c>
      <c r="S110" s="139">
        <f t="shared" si="116"/>
        <v>0.5802147931774212</v>
      </c>
      <c r="T110" s="139">
        <f t="shared" si="116"/>
        <v>0.56356734547766962</v>
      </c>
      <c r="U110" s="139">
        <f t="shared" si="116"/>
        <v>0.60725279544974431</v>
      </c>
      <c r="V110" s="139">
        <f t="shared" si="116"/>
        <v>0.64235190152672839</v>
      </c>
      <c r="W110" s="139">
        <f t="shared" ref="W110" si="117">IF(W18=0,0,W18/W$17)</f>
        <v>0.62405658779814832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2.5575613253853911E-2</v>
      </c>
      <c r="C111" s="140">
        <f t="shared" si="118"/>
        <v>2.4966243625749319E-2</v>
      </c>
      <c r="D111" s="140">
        <f t="shared" si="118"/>
        <v>2.1588162203275797E-2</v>
      </c>
      <c r="E111" s="140">
        <f t="shared" si="118"/>
        <v>1.9145613098140609E-2</v>
      </c>
      <c r="F111" s="140">
        <f t="shared" si="118"/>
        <v>1.71627736404526E-2</v>
      </c>
      <c r="G111" s="140">
        <f t="shared" si="118"/>
        <v>1.545071619988846E-2</v>
      </c>
      <c r="H111" s="140">
        <f t="shared" si="118"/>
        <v>1.5014658155814292E-2</v>
      </c>
      <c r="I111" s="140">
        <f t="shared" si="118"/>
        <v>1.6824863347705731E-2</v>
      </c>
      <c r="J111" s="140">
        <f t="shared" si="118"/>
        <v>2.2218051676922843E-2</v>
      </c>
      <c r="K111" s="140">
        <f t="shared" si="118"/>
        <v>2.3549681184251305E-2</v>
      </c>
      <c r="L111" s="140">
        <f t="shared" si="118"/>
        <v>2.1416665807023057E-2</v>
      </c>
      <c r="M111" s="140">
        <f t="shared" si="118"/>
        <v>2.2477293288022327E-2</v>
      </c>
      <c r="N111" s="140">
        <f t="shared" si="118"/>
        <v>2.6820271592881719E-2</v>
      </c>
      <c r="O111" s="140">
        <f t="shared" si="118"/>
        <v>3.007734037959834E-2</v>
      </c>
      <c r="P111" s="140">
        <f t="shared" si="118"/>
        <v>3.9503719354471216E-2</v>
      </c>
      <c r="Q111" s="140">
        <f t="shared" si="118"/>
        <v>4.140587689726527E-2</v>
      </c>
      <c r="R111" s="140">
        <f t="shared" ref="R111:V111" si="119">IF(R19=0,0,R19/R$17)</f>
        <v>4.9699662020040218E-2</v>
      </c>
      <c r="S111" s="140">
        <f t="shared" si="119"/>
        <v>5.6712727130442009E-2</v>
      </c>
      <c r="T111" s="140">
        <f t="shared" si="119"/>
        <v>5.8795575729943539E-2</v>
      </c>
      <c r="U111" s="140">
        <f t="shared" si="119"/>
        <v>7.0078707414962568E-2</v>
      </c>
      <c r="V111" s="140">
        <f t="shared" si="119"/>
        <v>8.1906672016685653E-2</v>
      </c>
      <c r="W111" s="140">
        <f t="shared" ref="W111" si="120">IF(W19=0,0,W19/W$17)</f>
        <v>7.4166473752989043E-2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0.13501079889535988</v>
      </c>
      <c r="C112" s="140">
        <f t="shared" si="121"/>
        <v>0.11809085493861145</v>
      </c>
      <c r="D112" s="140">
        <f t="shared" si="121"/>
        <v>0.12574210771525229</v>
      </c>
      <c r="E112" s="140">
        <f t="shared" si="121"/>
        <v>0.1846211872173221</v>
      </c>
      <c r="F112" s="140">
        <f t="shared" si="121"/>
        <v>0.17419618235288231</v>
      </c>
      <c r="G112" s="140">
        <f t="shared" si="121"/>
        <v>0.19682369450573181</v>
      </c>
      <c r="H112" s="140">
        <f t="shared" si="121"/>
        <v>0.21217288103786383</v>
      </c>
      <c r="I112" s="140">
        <f t="shared" si="121"/>
        <v>0.2523731724189297</v>
      </c>
      <c r="J112" s="140">
        <f t="shared" si="121"/>
        <v>0.31010862484828844</v>
      </c>
      <c r="K112" s="140">
        <f t="shared" si="121"/>
        <v>0.25220266628769317</v>
      </c>
      <c r="L112" s="140">
        <f t="shared" si="121"/>
        <v>0.24067691258751975</v>
      </c>
      <c r="M112" s="140">
        <f t="shared" si="121"/>
        <v>0.2762875043349437</v>
      </c>
      <c r="N112" s="140">
        <f t="shared" si="121"/>
        <v>0.32047712976955856</v>
      </c>
      <c r="O112" s="140">
        <f t="shared" si="121"/>
        <v>0.35038304416313287</v>
      </c>
      <c r="P112" s="140">
        <f t="shared" si="121"/>
        <v>0.42797353386684522</v>
      </c>
      <c r="Q112" s="140">
        <f t="shared" si="121"/>
        <v>0.45512842231448297</v>
      </c>
      <c r="R112" s="140">
        <f t="shared" ref="R112:V112" si="122">IF(R20=0,0,R20/R$17)</f>
        <v>0.54108726277753028</v>
      </c>
      <c r="S112" s="140">
        <f t="shared" si="122"/>
        <v>0.52350206604697924</v>
      </c>
      <c r="T112" s="140">
        <f t="shared" si="122"/>
        <v>0.50477176974772608</v>
      </c>
      <c r="U112" s="140">
        <f t="shared" si="122"/>
        <v>0.53717408803478173</v>
      </c>
      <c r="V112" s="140">
        <f t="shared" si="122"/>
        <v>0.56044522951004283</v>
      </c>
      <c r="W112" s="140">
        <f t="shared" ref="W112" si="123">IF(W20=0,0,W20/W$17)</f>
        <v>0.5498901140451592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0.83557439986183024</v>
      </c>
      <c r="C113" s="124">
        <f t="shared" si="124"/>
        <v>0.85319057942740628</v>
      </c>
      <c r="D113" s="124">
        <f t="shared" si="124"/>
        <v>0.8491497512353996</v>
      </c>
      <c r="E113" s="124">
        <f t="shared" si="124"/>
        <v>0.7924412996946596</v>
      </c>
      <c r="F113" s="124">
        <f t="shared" si="124"/>
        <v>0.80379829985733509</v>
      </c>
      <c r="G113" s="124">
        <f t="shared" si="124"/>
        <v>0.78420828737322867</v>
      </c>
      <c r="H113" s="124">
        <f t="shared" si="124"/>
        <v>0.77043333098890454</v>
      </c>
      <c r="I113" s="124">
        <f t="shared" si="124"/>
        <v>0.72475365308855644</v>
      </c>
      <c r="J113" s="124">
        <f t="shared" si="124"/>
        <v>0.66495893206597567</v>
      </c>
      <c r="K113" s="124">
        <f t="shared" si="124"/>
        <v>0.72240432880961847</v>
      </c>
      <c r="L113" s="124">
        <f t="shared" si="124"/>
        <v>0.73597159861007022</v>
      </c>
      <c r="M113" s="124">
        <f t="shared" si="124"/>
        <v>0.69824117409155573</v>
      </c>
      <c r="N113" s="124">
        <f t="shared" si="124"/>
        <v>0.64901981233617523</v>
      </c>
      <c r="O113" s="124">
        <f t="shared" si="124"/>
        <v>0.6152806492883941</v>
      </c>
      <c r="P113" s="124">
        <f t="shared" si="124"/>
        <v>0.52741191320670333</v>
      </c>
      <c r="Q113" s="124">
        <f t="shared" si="124"/>
        <v>0.50020547186079367</v>
      </c>
      <c r="R113" s="124">
        <f t="shared" ref="R113:V113" si="125">IF(R21=0,0,R21/R$17)</f>
        <v>0.40647621593029382</v>
      </c>
      <c r="S113" s="124">
        <f t="shared" si="125"/>
        <v>0.41789571152026367</v>
      </c>
      <c r="T113" s="124">
        <f t="shared" si="125"/>
        <v>0.43342712014171042</v>
      </c>
      <c r="U113" s="124">
        <f t="shared" si="125"/>
        <v>0.38872067149595524</v>
      </c>
      <c r="V113" s="124">
        <f t="shared" si="125"/>
        <v>0.35223911371241873</v>
      </c>
      <c r="W113" s="124">
        <f t="shared" ref="W113" si="126">IF(W21=0,0,W21/W$17)</f>
        <v>0.36832753145125141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3.9375852085129414E-4</v>
      </c>
      <c r="C114" s="124">
        <f t="shared" si="127"/>
        <v>3.7226350144445043E-4</v>
      </c>
      <c r="D114" s="124">
        <f t="shared" si="127"/>
        <v>2.3590509949276365E-4</v>
      </c>
      <c r="E114" s="124">
        <f t="shared" si="127"/>
        <v>2.253405022549083E-4</v>
      </c>
      <c r="F114" s="124">
        <f t="shared" si="127"/>
        <v>1.9430991198761874E-4</v>
      </c>
      <c r="G114" s="124">
        <f t="shared" si="127"/>
        <v>2.9562773972210076E-4</v>
      </c>
      <c r="H114" s="124">
        <f t="shared" si="127"/>
        <v>2.0833887886411218E-4</v>
      </c>
      <c r="I114" s="124">
        <f t="shared" si="127"/>
        <v>2.0488809698795141E-4</v>
      </c>
      <c r="J114" s="124">
        <f t="shared" si="127"/>
        <v>2.484600771956348E-4</v>
      </c>
      <c r="K114" s="124">
        <f t="shared" si="127"/>
        <v>1.7852611858239591E-4</v>
      </c>
      <c r="L114" s="124">
        <f t="shared" si="127"/>
        <v>3.1264757217777564E-4</v>
      </c>
      <c r="M114" s="124">
        <f t="shared" si="127"/>
        <v>2.9270008827919424E-4</v>
      </c>
      <c r="N114" s="124">
        <f t="shared" si="127"/>
        <v>4.7223245490489088E-4</v>
      </c>
      <c r="O114" s="124">
        <f t="shared" si="127"/>
        <v>4.5822045538609327E-4</v>
      </c>
      <c r="P114" s="124">
        <f t="shared" si="127"/>
        <v>7.0104796843613196E-4</v>
      </c>
      <c r="Q114" s="124">
        <f t="shared" si="127"/>
        <v>7.7861923324722148E-4</v>
      </c>
      <c r="R114" s="124">
        <f t="shared" ref="R114:V114" si="128">IF(R22=0,0,R22/R$17)</f>
        <v>1.3374693595141782E-3</v>
      </c>
      <c r="S114" s="124">
        <f t="shared" si="128"/>
        <v>1.0572986810939847E-3</v>
      </c>
      <c r="T114" s="124">
        <f t="shared" si="128"/>
        <v>1.0514278745097486E-3</v>
      </c>
      <c r="U114" s="124">
        <f t="shared" si="128"/>
        <v>1.3372353785078529E-3</v>
      </c>
      <c r="V114" s="124">
        <f t="shared" si="128"/>
        <v>9.5679644907061727E-4</v>
      </c>
      <c r="W114" s="124">
        <f t="shared" ref="W114" si="129">IF(W22=0,0,W22/W$17)</f>
        <v>1.3693995780930347E-3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1.3294504996811291E-4</v>
      </c>
      <c r="C116" s="140">
        <f t="shared" si="133"/>
        <v>1.2698497226790696E-4</v>
      </c>
      <c r="D116" s="140">
        <f t="shared" si="133"/>
        <v>9.5058261528880878E-5</v>
      </c>
      <c r="E116" s="140">
        <f t="shared" si="133"/>
        <v>9.2247852003372896E-5</v>
      </c>
      <c r="F116" s="140">
        <f t="shared" si="133"/>
        <v>8.5570506886935958E-5</v>
      </c>
      <c r="G116" s="140">
        <f t="shared" si="133"/>
        <v>9.2884337379617299E-5</v>
      </c>
      <c r="H116" s="140">
        <f t="shared" si="133"/>
        <v>9.4362583894480118E-5</v>
      </c>
      <c r="I116" s="140">
        <f t="shared" si="133"/>
        <v>1.2904600345937196E-4</v>
      </c>
      <c r="J116" s="140">
        <f t="shared" si="133"/>
        <v>1.8379149636735083E-4</v>
      </c>
      <c r="K116" s="140">
        <f t="shared" si="133"/>
        <v>1.5574449334801831E-4</v>
      </c>
      <c r="L116" s="140">
        <f t="shared" si="133"/>
        <v>2.1213310861378914E-4</v>
      </c>
      <c r="M116" s="140">
        <f t="shared" si="133"/>
        <v>2.4880194407006777E-4</v>
      </c>
      <c r="N116" s="140">
        <f t="shared" si="133"/>
        <v>3.9088195291599827E-4</v>
      </c>
      <c r="O116" s="140">
        <f t="shared" si="133"/>
        <v>4.0886993600183091E-4</v>
      </c>
      <c r="P116" s="140">
        <f t="shared" si="133"/>
        <v>6.3180598472572667E-4</v>
      </c>
      <c r="Q116" s="140">
        <f t="shared" si="133"/>
        <v>6.8446426406951796E-4</v>
      </c>
      <c r="R116" s="140">
        <f t="shared" si="131"/>
        <v>8.1842662949402323E-4</v>
      </c>
      <c r="S116" s="140">
        <f t="shared" si="131"/>
        <v>8.568993782431338E-4</v>
      </c>
      <c r="T116" s="140">
        <f t="shared" si="131"/>
        <v>9.3959716612683724E-4</v>
      </c>
      <c r="U116" s="140">
        <f t="shared" si="131"/>
        <v>1.1208433378606839E-3</v>
      </c>
      <c r="V116" s="140">
        <f t="shared" si="131"/>
        <v>8.7840421491677464E-4</v>
      </c>
      <c r="W116" s="140">
        <f t="shared" ref="W116" si="134">IF(W24=0,0,W24/W$17)</f>
        <v>1.0013889651218633E-3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2.6081347088318123E-4</v>
      </c>
      <c r="C117" s="140">
        <f t="shared" si="135"/>
        <v>2.4527852917654344E-4</v>
      </c>
      <c r="D117" s="140">
        <f t="shared" si="135"/>
        <v>1.4084683796388277E-4</v>
      </c>
      <c r="E117" s="140">
        <f t="shared" si="135"/>
        <v>1.3309265025153539E-4</v>
      </c>
      <c r="F117" s="140">
        <f t="shared" si="135"/>
        <v>1.0873940510068279E-4</v>
      </c>
      <c r="G117" s="140">
        <f t="shared" si="135"/>
        <v>2.0274340234248349E-4</v>
      </c>
      <c r="H117" s="140">
        <f t="shared" si="135"/>
        <v>1.1397629496963209E-4</v>
      </c>
      <c r="I117" s="140">
        <f t="shared" si="135"/>
        <v>7.584209352857945E-5</v>
      </c>
      <c r="J117" s="140">
        <f t="shared" si="135"/>
        <v>6.4668580828283959E-5</v>
      </c>
      <c r="K117" s="140">
        <f t="shared" si="135"/>
        <v>2.2781625234377612E-5</v>
      </c>
      <c r="L117" s="140">
        <f t="shared" si="135"/>
        <v>1.0051446356398647E-4</v>
      </c>
      <c r="M117" s="140">
        <f t="shared" si="135"/>
        <v>4.3898144209126437E-5</v>
      </c>
      <c r="N117" s="140">
        <f t="shared" si="135"/>
        <v>8.1350501988892645E-5</v>
      </c>
      <c r="O117" s="140">
        <f t="shared" si="135"/>
        <v>4.9350519384262392E-5</v>
      </c>
      <c r="P117" s="140">
        <f t="shared" si="135"/>
        <v>6.9241983710405393E-5</v>
      </c>
      <c r="Q117" s="140">
        <f t="shared" si="135"/>
        <v>9.4154969177703566E-5</v>
      </c>
      <c r="R117" s="140">
        <f t="shared" ref="R117:V117" si="136">IF(R25=0,0,R25/R$17)</f>
        <v>5.1904273002015494E-4</v>
      </c>
      <c r="S117" s="140">
        <f t="shared" si="136"/>
        <v>2.0039930285085106E-4</v>
      </c>
      <c r="T117" s="140">
        <f t="shared" si="136"/>
        <v>1.1183070838291129E-4</v>
      </c>
      <c r="U117" s="140">
        <f t="shared" si="136"/>
        <v>2.1639204064716907E-4</v>
      </c>
      <c r="V117" s="140">
        <f t="shared" si="136"/>
        <v>7.8392234153842587E-5</v>
      </c>
      <c r="W117" s="140">
        <f t="shared" ref="W117" si="137">IF(W25=0,0,W25/W$17)</f>
        <v>3.6801061297117143E-4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3.4454294681046682E-3</v>
      </c>
      <c r="C118" s="124">
        <f t="shared" si="138"/>
        <v>3.3800585067884858E-3</v>
      </c>
      <c r="D118" s="124">
        <f t="shared" si="138"/>
        <v>3.2840737465794773E-3</v>
      </c>
      <c r="E118" s="124">
        <f t="shared" si="138"/>
        <v>3.5665594876226445E-3</v>
      </c>
      <c r="F118" s="124">
        <f t="shared" si="138"/>
        <v>4.6484342373423852E-3</v>
      </c>
      <c r="G118" s="124">
        <f t="shared" si="138"/>
        <v>3.2216741814288657E-3</v>
      </c>
      <c r="H118" s="124">
        <f t="shared" si="138"/>
        <v>2.170790938553302E-3</v>
      </c>
      <c r="I118" s="124">
        <f t="shared" si="138"/>
        <v>5.8434230478200486E-3</v>
      </c>
      <c r="J118" s="124">
        <f t="shared" si="138"/>
        <v>2.4659313316173718E-3</v>
      </c>
      <c r="K118" s="124">
        <f t="shared" si="138"/>
        <v>1.6647975998546867E-3</v>
      </c>
      <c r="L118" s="124">
        <f t="shared" si="138"/>
        <v>1.6221754232093909E-3</v>
      </c>
      <c r="M118" s="124">
        <f t="shared" si="138"/>
        <v>2.7013281971990486E-3</v>
      </c>
      <c r="N118" s="124">
        <f t="shared" si="138"/>
        <v>3.2105538464795164E-3</v>
      </c>
      <c r="O118" s="124">
        <f t="shared" si="138"/>
        <v>3.8007457134886001E-3</v>
      </c>
      <c r="P118" s="124">
        <f t="shared" si="138"/>
        <v>4.4097856035440093E-3</v>
      </c>
      <c r="Q118" s="124">
        <f t="shared" si="138"/>
        <v>2.4816096942108803E-3</v>
      </c>
      <c r="R118" s="124">
        <f t="shared" ref="R118:V118" si="139">IF(R26=0,0,R26/R$17)</f>
        <v>1.3993899126215584E-3</v>
      </c>
      <c r="S118" s="124">
        <f t="shared" si="139"/>
        <v>8.3219662122099836E-4</v>
      </c>
      <c r="T118" s="124">
        <f t="shared" si="139"/>
        <v>1.9541065061103079E-3</v>
      </c>
      <c r="U118" s="124">
        <f t="shared" si="139"/>
        <v>2.6892976757926668E-3</v>
      </c>
      <c r="V118" s="124">
        <f t="shared" si="139"/>
        <v>4.4521883117820699E-3</v>
      </c>
      <c r="W118" s="124">
        <f t="shared" ref="W118" si="140">IF(W26=0,0,W26/W$17)</f>
        <v>6.2464811725073104E-3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3.4454294681046682E-3</v>
      </c>
      <c r="C119" s="140">
        <f t="shared" si="141"/>
        <v>3.3800585067884858E-3</v>
      </c>
      <c r="D119" s="140">
        <f t="shared" si="141"/>
        <v>3.2840737465794773E-3</v>
      </c>
      <c r="E119" s="140">
        <f t="shared" si="141"/>
        <v>3.5665594876226445E-3</v>
      </c>
      <c r="F119" s="140">
        <f t="shared" si="141"/>
        <v>4.6484342373423852E-3</v>
      </c>
      <c r="G119" s="140">
        <f t="shared" si="141"/>
        <v>3.2216741814288657E-3</v>
      </c>
      <c r="H119" s="140">
        <f t="shared" si="141"/>
        <v>2.170790938553302E-3</v>
      </c>
      <c r="I119" s="140">
        <f t="shared" si="141"/>
        <v>5.8434230478200486E-3</v>
      </c>
      <c r="J119" s="140">
        <f t="shared" si="141"/>
        <v>2.4659313316173718E-3</v>
      </c>
      <c r="K119" s="140">
        <f t="shared" si="141"/>
        <v>1.6647975998546867E-3</v>
      </c>
      <c r="L119" s="140">
        <f t="shared" si="141"/>
        <v>1.6221754232093909E-3</v>
      </c>
      <c r="M119" s="140">
        <f t="shared" si="141"/>
        <v>2.7013281971990486E-3</v>
      </c>
      <c r="N119" s="140">
        <f t="shared" si="141"/>
        <v>3.2105538464795164E-3</v>
      </c>
      <c r="O119" s="140">
        <f t="shared" si="141"/>
        <v>3.8007457134886001E-3</v>
      </c>
      <c r="P119" s="140">
        <f t="shared" si="141"/>
        <v>4.4097856035440093E-3</v>
      </c>
      <c r="Q119" s="140">
        <f t="shared" si="141"/>
        <v>2.4816096942108803E-3</v>
      </c>
      <c r="R119" s="140">
        <f t="shared" ref="R119:V119" si="142">IF(R27=0,0,R27/R$17)</f>
        <v>1.3993899126215584E-3</v>
      </c>
      <c r="S119" s="140">
        <f t="shared" si="142"/>
        <v>8.3219662122099836E-4</v>
      </c>
      <c r="T119" s="140">
        <f t="shared" si="142"/>
        <v>1.9541065061103079E-3</v>
      </c>
      <c r="U119" s="140">
        <f t="shared" si="142"/>
        <v>2.6892976757926668E-3</v>
      </c>
      <c r="V119" s="140">
        <f t="shared" si="142"/>
        <v>4.4521883117820699E-3</v>
      </c>
      <c r="W119" s="140">
        <f t="shared" ref="W119" si="143">IF(W27=0,0,W27/W$17)</f>
        <v>6.2464811725073104E-3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0.39895947468227883</v>
      </c>
      <c r="C122" s="140">
        <f>IF(C30=0,0,C30/C$29)</f>
        <v>0.39385299129478279</v>
      </c>
      <c r="D122" s="140">
        <f t="shared" ref="D122:W122" si="150">IF(D30=0,0,D30/D$29)</f>
        <v>0.39372752088728746</v>
      </c>
      <c r="E122" s="140">
        <f t="shared" si="150"/>
        <v>0.47969370776063941</v>
      </c>
      <c r="F122" s="140">
        <f t="shared" si="150"/>
        <v>0.35344008524395798</v>
      </c>
      <c r="G122" s="140">
        <f t="shared" si="150"/>
        <v>0.27729044984353229</v>
      </c>
      <c r="H122" s="140">
        <f t="shared" si="150"/>
        <v>0.28665941573574433</v>
      </c>
      <c r="I122" s="140">
        <f t="shared" si="150"/>
        <v>0.23394898326749566</v>
      </c>
      <c r="J122" s="140">
        <f t="shared" si="150"/>
        <v>0.20843018034985683</v>
      </c>
      <c r="K122" s="140">
        <f t="shared" si="150"/>
        <v>0.19474346268662662</v>
      </c>
      <c r="L122" s="140">
        <f t="shared" si="150"/>
        <v>0.18662084093073683</v>
      </c>
      <c r="M122" s="140">
        <f t="shared" si="150"/>
        <v>0.20055060806936126</v>
      </c>
      <c r="N122" s="140">
        <f t="shared" si="150"/>
        <v>0.13192780105856192</v>
      </c>
      <c r="O122" s="140">
        <f t="shared" si="150"/>
        <v>0.22644961102289263</v>
      </c>
      <c r="P122" s="140">
        <f t="shared" si="150"/>
        <v>0.22809904584512997</v>
      </c>
      <c r="Q122" s="140">
        <f t="shared" si="150"/>
        <v>0.19691220375413176</v>
      </c>
      <c r="R122" s="140">
        <f t="shared" si="150"/>
        <v>0.19005026714669151</v>
      </c>
      <c r="S122" s="140">
        <f t="shared" si="150"/>
        <v>0.19492080015026167</v>
      </c>
      <c r="T122" s="140">
        <f t="shared" si="150"/>
        <v>0.20307285896941335</v>
      </c>
      <c r="U122" s="140">
        <f t="shared" si="150"/>
        <v>0.18016046671686547</v>
      </c>
      <c r="V122" s="140">
        <f t="shared" si="150"/>
        <v>0.14306723289077708</v>
      </c>
      <c r="W122" s="140">
        <f t="shared" si="150"/>
        <v>0.16382840054271625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0.60104052531772123</v>
      </c>
      <c r="C123" s="127">
        <f>IF(C31=0,0,C31/C$29)</f>
        <v>0.60614700870521721</v>
      </c>
      <c r="D123" s="127">
        <f t="shared" ref="D123:W123" si="152">IF(D31=0,0,D31/D$29)</f>
        <v>0.60627247911271265</v>
      </c>
      <c r="E123" s="127">
        <f t="shared" si="152"/>
        <v>0.52030629223936053</v>
      </c>
      <c r="F123" s="127">
        <f t="shared" si="152"/>
        <v>0.64655991475604202</v>
      </c>
      <c r="G123" s="127">
        <f t="shared" si="152"/>
        <v>0.72270955015646776</v>
      </c>
      <c r="H123" s="127">
        <f t="shared" si="152"/>
        <v>0.71334058426425562</v>
      </c>
      <c r="I123" s="127">
        <f t="shared" si="152"/>
        <v>0.76605101673250431</v>
      </c>
      <c r="J123" s="127">
        <f t="shared" si="152"/>
        <v>0.79156981965014317</v>
      </c>
      <c r="K123" s="127">
        <f t="shared" si="152"/>
        <v>0.80525653731337343</v>
      </c>
      <c r="L123" s="127">
        <f t="shared" si="152"/>
        <v>0.81337915906926317</v>
      </c>
      <c r="M123" s="127">
        <f t="shared" si="152"/>
        <v>0.7994493919306388</v>
      </c>
      <c r="N123" s="127">
        <f t="shared" si="152"/>
        <v>0.86807219894143806</v>
      </c>
      <c r="O123" s="127">
        <f t="shared" si="152"/>
        <v>0.77355038897710737</v>
      </c>
      <c r="P123" s="127">
        <f t="shared" si="152"/>
        <v>0.77190095415487003</v>
      </c>
      <c r="Q123" s="127">
        <f t="shared" si="152"/>
        <v>0.80308779624586812</v>
      </c>
      <c r="R123" s="127">
        <f t="shared" si="152"/>
        <v>0.8099497328533084</v>
      </c>
      <c r="S123" s="127">
        <f t="shared" si="152"/>
        <v>0.8050791998497383</v>
      </c>
      <c r="T123" s="127">
        <f t="shared" si="152"/>
        <v>0.79692714103058671</v>
      </c>
      <c r="U123" s="127">
        <f t="shared" si="152"/>
        <v>0.81983953328313464</v>
      </c>
      <c r="V123" s="127">
        <f t="shared" si="152"/>
        <v>0.85693276710922284</v>
      </c>
      <c r="W123" s="127">
        <f t="shared" si="152"/>
        <v>0.83617159945728381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0.93652288358360092</v>
      </c>
      <c r="C127" s="139">
        <f t="shared" ref="C127:W127" si="155">IF(C35=0,0,C35/C$34)</f>
        <v>0.95786663255582227</v>
      </c>
      <c r="D127" s="139">
        <f t="shared" si="155"/>
        <v>0.95566080233557038</v>
      </c>
      <c r="E127" s="139">
        <f t="shared" si="155"/>
        <v>0.94848779108390247</v>
      </c>
      <c r="F127" s="139">
        <f t="shared" si="155"/>
        <v>0.92781776730014187</v>
      </c>
      <c r="G127" s="139">
        <f t="shared" si="155"/>
        <v>0.89900398176982477</v>
      </c>
      <c r="H127" s="139">
        <f t="shared" si="155"/>
        <v>0.90537513671979031</v>
      </c>
      <c r="I127" s="139">
        <f t="shared" si="155"/>
        <v>0.89889700104419468</v>
      </c>
      <c r="J127" s="139">
        <f t="shared" si="155"/>
        <v>0.88555092009535497</v>
      </c>
      <c r="K127" s="139">
        <f t="shared" si="155"/>
        <v>0.92890436932347586</v>
      </c>
      <c r="L127" s="139">
        <f t="shared" si="155"/>
        <v>0.93455855784242781</v>
      </c>
      <c r="M127" s="139">
        <f t="shared" si="155"/>
        <v>0.91527992948060999</v>
      </c>
      <c r="N127" s="139">
        <f t="shared" si="155"/>
        <v>0.89614089229976202</v>
      </c>
      <c r="O127" s="139">
        <f t="shared" si="155"/>
        <v>0.91315963664645339</v>
      </c>
      <c r="P127" s="139">
        <f t="shared" si="155"/>
        <v>0.91421473506454887</v>
      </c>
      <c r="Q127" s="139">
        <f t="shared" si="155"/>
        <v>0.91402445630553175</v>
      </c>
      <c r="R127" s="139">
        <f t="shared" si="155"/>
        <v>0.92332501781837106</v>
      </c>
      <c r="S127" s="139">
        <f t="shared" si="155"/>
        <v>0.90742455374743469</v>
      </c>
      <c r="T127" s="139">
        <f t="shared" si="155"/>
        <v>0.89732229477276571</v>
      </c>
      <c r="U127" s="139">
        <f t="shared" si="155"/>
        <v>0.89711415162483854</v>
      </c>
      <c r="V127" s="139">
        <f t="shared" si="155"/>
        <v>0.95439461521379043</v>
      </c>
      <c r="W127" s="139">
        <f t="shared" si="155"/>
        <v>0.93156586304601086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1.1132566570773038E-3</v>
      </c>
      <c r="C128" s="140">
        <f t="shared" ref="C128:W128" si="156">IF(C36=0,0,C36/C$34)</f>
        <v>9.2767416059224271E-4</v>
      </c>
      <c r="D128" s="140">
        <f t="shared" si="156"/>
        <v>9.9172661584439985E-4</v>
      </c>
      <c r="E128" s="140">
        <f t="shared" si="156"/>
        <v>1.1064431145785E-3</v>
      </c>
      <c r="F128" s="140">
        <f t="shared" si="156"/>
        <v>1.1709739502780037E-3</v>
      </c>
      <c r="G128" s="140">
        <f t="shared" si="156"/>
        <v>1.1721224355957626E-3</v>
      </c>
      <c r="H128" s="140">
        <f t="shared" si="156"/>
        <v>1.2901476866294228E-3</v>
      </c>
      <c r="I128" s="140">
        <f t="shared" si="156"/>
        <v>1.4009319267970456E-3</v>
      </c>
      <c r="J128" s="140">
        <f t="shared" si="156"/>
        <v>1.6538808438760317E-3</v>
      </c>
      <c r="K128" s="140">
        <f t="shared" si="156"/>
        <v>1.9052420563071201E-3</v>
      </c>
      <c r="L128" s="140">
        <f t="shared" si="156"/>
        <v>1.9622300047064021E-3</v>
      </c>
      <c r="M128" s="140">
        <f t="shared" si="156"/>
        <v>2.211743929393497E-3</v>
      </c>
      <c r="N128" s="140">
        <f t="shared" si="156"/>
        <v>3.045775825012018E-3</v>
      </c>
      <c r="O128" s="140">
        <f t="shared" si="156"/>
        <v>3.3917598243881166E-3</v>
      </c>
      <c r="P128" s="140">
        <f t="shared" si="156"/>
        <v>3.5576147311134785E-3</v>
      </c>
      <c r="Q128" s="140">
        <f t="shared" si="156"/>
        <v>3.6119395278793641E-3</v>
      </c>
      <c r="R128" s="140">
        <f t="shared" si="156"/>
        <v>3.7482361094874888E-3</v>
      </c>
      <c r="S128" s="140">
        <f t="shared" si="156"/>
        <v>3.3014865005337938E-3</v>
      </c>
      <c r="T128" s="140">
        <f t="shared" si="156"/>
        <v>3.012550584697907E-3</v>
      </c>
      <c r="U128" s="140">
        <f t="shared" si="156"/>
        <v>3.2018559242109998E-3</v>
      </c>
      <c r="V128" s="140">
        <f t="shared" si="156"/>
        <v>3.2373991140149582E-3</v>
      </c>
      <c r="W128" s="140">
        <f t="shared" si="156"/>
        <v>2.9858587985604028E-3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0.71744982741117647</v>
      </c>
      <c r="C129" s="140">
        <f t="shared" ref="C129:W129" si="157">IF(C37=0,0,C37/C$34)</f>
        <v>0.74356538951360196</v>
      </c>
      <c r="D129" s="140">
        <f t="shared" si="157"/>
        <v>0.71702570245907626</v>
      </c>
      <c r="E129" s="140">
        <f t="shared" si="157"/>
        <v>0.7318507605268364</v>
      </c>
      <c r="F129" s="140">
        <f t="shared" si="157"/>
        <v>0.71370272020025094</v>
      </c>
      <c r="G129" s="140">
        <f t="shared" si="157"/>
        <v>0.69570180105920543</v>
      </c>
      <c r="H129" s="140">
        <f t="shared" si="157"/>
        <v>0.71601310070642643</v>
      </c>
      <c r="I129" s="140">
        <f t="shared" si="157"/>
        <v>0.74624729126697353</v>
      </c>
      <c r="J129" s="140">
        <f t="shared" si="157"/>
        <v>0.74450551786005537</v>
      </c>
      <c r="K129" s="140">
        <f t="shared" si="157"/>
        <v>0.7922186907634674</v>
      </c>
      <c r="L129" s="140">
        <f t="shared" si="157"/>
        <v>0.78748137100888793</v>
      </c>
      <c r="M129" s="140">
        <f t="shared" si="157"/>
        <v>0.77190691452472049</v>
      </c>
      <c r="N129" s="140">
        <f t="shared" si="157"/>
        <v>0.75658722438604986</v>
      </c>
      <c r="O129" s="140">
        <f t="shared" si="157"/>
        <v>0.76927969001812846</v>
      </c>
      <c r="P129" s="140">
        <f t="shared" si="157"/>
        <v>0.76729804686864533</v>
      </c>
      <c r="Q129" s="140">
        <f t="shared" si="157"/>
        <v>0.77032366599774249</v>
      </c>
      <c r="R129" s="140">
        <f t="shared" si="157"/>
        <v>0.76795775426803436</v>
      </c>
      <c r="S129" s="140">
        <f t="shared" si="157"/>
        <v>0.74341663069936825</v>
      </c>
      <c r="T129" s="140">
        <f t="shared" si="157"/>
        <v>0.74004321899256531</v>
      </c>
      <c r="U129" s="140">
        <f t="shared" si="157"/>
        <v>0.75064640631035817</v>
      </c>
      <c r="V129" s="140">
        <f t="shared" si="157"/>
        <v>0.79486098686816764</v>
      </c>
      <c r="W129" s="140">
        <f t="shared" si="157"/>
        <v>0.76737380143031497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0.21795979951534733</v>
      </c>
      <c r="C130" s="140">
        <f t="shared" ref="C130:W130" si="158">IF(C38=0,0,C38/C$34)</f>
        <v>0.21337356888162809</v>
      </c>
      <c r="D130" s="140">
        <f t="shared" si="158"/>
        <v>0.23764337326064974</v>
      </c>
      <c r="E130" s="140">
        <f t="shared" si="158"/>
        <v>0.21553058744248763</v>
      </c>
      <c r="F130" s="140">
        <f t="shared" si="158"/>
        <v>0.21294407314961292</v>
      </c>
      <c r="G130" s="140">
        <f t="shared" si="158"/>
        <v>0.20213005827502351</v>
      </c>
      <c r="H130" s="140">
        <f t="shared" si="158"/>
        <v>0.1880718883267346</v>
      </c>
      <c r="I130" s="140">
        <f t="shared" si="158"/>
        <v>0.15124877785042407</v>
      </c>
      <c r="J130" s="140">
        <f t="shared" si="158"/>
        <v>0.13939152139142355</v>
      </c>
      <c r="K130" s="140">
        <f t="shared" si="158"/>
        <v>0.13478043650370142</v>
      </c>
      <c r="L130" s="140">
        <f t="shared" si="158"/>
        <v>0.14511495682883357</v>
      </c>
      <c r="M130" s="140">
        <f t="shared" si="158"/>
        <v>0.14116127102649603</v>
      </c>
      <c r="N130" s="140">
        <f t="shared" si="158"/>
        <v>0.13650789208870009</v>
      </c>
      <c r="O130" s="140">
        <f t="shared" si="158"/>
        <v>0.14048818680393682</v>
      </c>
      <c r="P130" s="140">
        <f t="shared" si="158"/>
        <v>0.14335907346479002</v>
      </c>
      <c r="Q130" s="140">
        <f t="shared" si="158"/>
        <v>0.1400888507799099</v>
      </c>
      <c r="R130" s="140">
        <f t="shared" si="158"/>
        <v>0.15161902744084915</v>
      </c>
      <c r="S130" s="140">
        <f t="shared" si="158"/>
        <v>0.1607064365475325</v>
      </c>
      <c r="T130" s="140">
        <f t="shared" si="158"/>
        <v>0.15426652519550249</v>
      </c>
      <c r="U130" s="140">
        <f t="shared" si="158"/>
        <v>0.14326588939026924</v>
      </c>
      <c r="V130" s="140">
        <f t="shared" si="158"/>
        <v>0.15629622923160777</v>
      </c>
      <c r="W130" s="140">
        <f t="shared" si="158"/>
        <v>0.16120620281713544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1.134169026957195E-2</v>
      </c>
      <c r="C131" s="124">
        <f t="shared" ref="C131:W131" si="159">IF(C39=0,0,C39/C$34)</f>
        <v>6.6467187134829171E-3</v>
      </c>
      <c r="D131" s="124">
        <f t="shared" si="159"/>
        <v>6.6433847072366447E-3</v>
      </c>
      <c r="E131" s="124">
        <f t="shared" si="159"/>
        <v>6.7128855266068571E-3</v>
      </c>
      <c r="F131" s="124">
        <f t="shared" si="159"/>
        <v>5.896338561325834E-3</v>
      </c>
      <c r="G131" s="124">
        <f t="shared" si="159"/>
        <v>5.8100547034960134E-3</v>
      </c>
      <c r="H131" s="124">
        <f t="shared" si="159"/>
        <v>5.7654898213293244E-3</v>
      </c>
      <c r="I131" s="124">
        <f t="shared" si="159"/>
        <v>6.1642037849181383E-3</v>
      </c>
      <c r="J131" s="124">
        <f t="shared" si="159"/>
        <v>4.9207804597016661E-3</v>
      </c>
      <c r="K131" s="124">
        <f t="shared" si="159"/>
        <v>5.1597512033323481E-3</v>
      </c>
      <c r="L131" s="124">
        <f t="shared" si="159"/>
        <v>5.8898771743800772E-3</v>
      </c>
      <c r="M131" s="124">
        <f t="shared" si="159"/>
        <v>5.509154952409296E-3</v>
      </c>
      <c r="N131" s="124">
        <f t="shared" si="159"/>
        <v>4.4813015368032174E-3</v>
      </c>
      <c r="O131" s="124">
        <f t="shared" si="159"/>
        <v>5.3025841909913191E-3</v>
      </c>
      <c r="P131" s="124">
        <f t="shared" si="159"/>
        <v>6.0006527382329578E-3</v>
      </c>
      <c r="Q131" s="124">
        <f t="shared" si="159"/>
        <v>5.7542269287684644E-3</v>
      </c>
      <c r="R131" s="124">
        <f t="shared" si="159"/>
        <v>5.4331970302963495E-3</v>
      </c>
      <c r="S131" s="124">
        <f t="shared" si="159"/>
        <v>5.9359025571762208E-3</v>
      </c>
      <c r="T131" s="124">
        <f t="shared" si="159"/>
        <v>6.3860411257841143E-3</v>
      </c>
      <c r="U131" s="124">
        <f t="shared" si="159"/>
        <v>7.9982390641750757E-3</v>
      </c>
      <c r="V131" s="124">
        <f t="shared" si="159"/>
        <v>8.7824639991129581E-3</v>
      </c>
      <c r="W131" s="124">
        <f t="shared" si="159"/>
        <v>6.0813074329164971E-3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1.3976776428777011E-3</v>
      </c>
      <c r="C132" s="140">
        <f t="shared" ref="C132:W132" si="160">IF(C40=0,0,C40/C$34)</f>
        <v>1.0161042555409609E-3</v>
      </c>
      <c r="D132" s="140">
        <f t="shared" si="160"/>
        <v>1.1266186924166731E-3</v>
      </c>
      <c r="E132" s="140">
        <f t="shared" si="160"/>
        <v>1.1639653177943246E-3</v>
      </c>
      <c r="F132" s="140">
        <f t="shared" si="160"/>
        <v>8.8231419441404447E-4</v>
      </c>
      <c r="G132" s="140">
        <f t="shared" si="160"/>
        <v>6.4126399549021683E-4</v>
      </c>
      <c r="H132" s="140">
        <f t="shared" si="160"/>
        <v>5.9106080326346737E-4</v>
      </c>
      <c r="I132" s="140">
        <f t="shared" si="160"/>
        <v>5.5510034038083864E-4</v>
      </c>
      <c r="J132" s="140">
        <f t="shared" si="160"/>
        <v>4.2136842938540124E-4</v>
      </c>
      <c r="K132" s="140">
        <f t="shared" si="160"/>
        <v>5.1920819793978658E-4</v>
      </c>
      <c r="L132" s="140">
        <f t="shared" si="160"/>
        <v>5.5568640240517147E-4</v>
      </c>
      <c r="M132" s="140">
        <f t="shared" si="160"/>
        <v>4.7973055020784938E-4</v>
      </c>
      <c r="N132" s="140">
        <f t="shared" si="160"/>
        <v>6.3016716590584532E-4</v>
      </c>
      <c r="O132" s="140">
        <f t="shared" si="160"/>
        <v>5.5745853599871149E-4</v>
      </c>
      <c r="P132" s="140">
        <f t="shared" si="160"/>
        <v>4.1637001441194028E-4</v>
      </c>
      <c r="Q132" s="140">
        <f t="shared" si="160"/>
        <v>3.7361626389162677E-4</v>
      </c>
      <c r="R132" s="140">
        <f t="shared" si="160"/>
        <v>3.6395363358419111E-4</v>
      </c>
      <c r="S132" s="140">
        <f t="shared" si="160"/>
        <v>3.4076178870139865E-4</v>
      </c>
      <c r="T132" s="140">
        <f t="shared" si="160"/>
        <v>4.8497242100281992E-4</v>
      </c>
      <c r="U132" s="140">
        <f t="shared" si="160"/>
        <v>5.1317078698818021E-4</v>
      </c>
      <c r="V132" s="140">
        <f t="shared" si="160"/>
        <v>5.7211822943404537E-4</v>
      </c>
      <c r="W132" s="140">
        <f t="shared" si="160"/>
        <v>5.4674326634186635E-4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9.9440126266942489E-3</v>
      </c>
      <c r="C133" s="140">
        <f t="shared" ref="C133:W133" si="161">IF(C41=0,0,C41/C$34)</f>
        <v>5.630614457941956E-3</v>
      </c>
      <c r="D133" s="140">
        <f t="shared" si="161"/>
        <v>5.516766014819971E-3</v>
      </c>
      <c r="E133" s="140">
        <f t="shared" si="161"/>
        <v>5.5489202088125321E-3</v>
      </c>
      <c r="F133" s="140">
        <f t="shared" si="161"/>
        <v>5.0140243669117898E-3</v>
      </c>
      <c r="G133" s="140">
        <f t="shared" si="161"/>
        <v>5.1687907080057958E-3</v>
      </c>
      <c r="H133" s="140">
        <f t="shared" si="161"/>
        <v>5.1744290180658565E-3</v>
      </c>
      <c r="I133" s="140">
        <f t="shared" si="161"/>
        <v>5.6091034445373E-3</v>
      </c>
      <c r="J133" s="140">
        <f t="shared" si="161"/>
        <v>4.4994120303162646E-3</v>
      </c>
      <c r="K133" s="140">
        <f t="shared" si="161"/>
        <v>4.6405430053925618E-3</v>
      </c>
      <c r="L133" s="140">
        <f t="shared" si="161"/>
        <v>5.3341907719749058E-3</v>
      </c>
      <c r="M133" s="140">
        <f t="shared" si="161"/>
        <v>5.0294244022014468E-3</v>
      </c>
      <c r="N133" s="140">
        <f t="shared" si="161"/>
        <v>3.8511343708973723E-3</v>
      </c>
      <c r="O133" s="140">
        <f t="shared" si="161"/>
        <v>4.7451256549926081E-3</v>
      </c>
      <c r="P133" s="140">
        <f t="shared" si="161"/>
        <v>5.5842827238210173E-3</v>
      </c>
      <c r="Q133" s="140">
        <f t="shared" si="161"/>
        <v>5.3806106648768377E-3</v>
      </c>
      <c r="R133" s="140">
        <f t="shared" si="161"/>
        <v>5.0692433967121581E-3</v>
      </c>
      <c r="S133" s="140">
        <f t="shared" si="161"/>
        <v>5.595140768474823E-3</v>
      </c>
      <c r="T133" s="140">
        <f t="shared" si="161"/>
        <v>5.9010687047812939E-3</v>
      </c>
      <c r="U133" s="140">
        <f t="shared" si="161"/>
        <v>7.4850682771868959E-3</v>
      </c>
      <c r="V133" s="140">
        <f t="shared" si="161"/>
        <v>8.2103457696789117E-3</v>
      </c>
      <c r="W133" s="140">
        <f t="shared" si="161"/>
        <v>5.5345641665746305E-3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5.2135426146827167E-2</v>
      </c>
      <c r="C135" s="124">
        <f t="shared" ref="C135:W135" si="163">IF(C43=0,0,C43/C$34)</f>
        <v>3.5486648730694743E-2</v>
      </c>
      <c r="D135" s="124">
        <f t="shared" si="163"/>
        <v>3.7695812957192973E-2</v>
      </c>
      <c r="E135" s="124">
        <f t="shared" si="163"/>
        <v>4.4799323389490678E-2</v>
      </c>
      <c r="F135" s="124">
        <f t="shared" si="163"/>
        <v>6.6285894138532406E-2</v>
      </c>
      <c r="G135" s="124">
        <f t="shared" si="163"/>
        <v>9.5185963526679268E-2</v>
      </c>
      <c r="H135" s="124">
        <f t="shared" si="163"/>
        <v>8.8859373458880397E-2</v>
      </c>
      <c r="I135" s="124">
        <f t="shared" si="163"/>
        <v>9.4938795170887172E-2</v>
      </c>
      <c r="J135" s="124">
        <f t="shared" si="163"/>
        <v>0.10952829944494349</v>
      </c>
      <c r="K135" s="124">
        <f t="shared" si="163"/>
        <v>6.5935879473191905E-2</v>
      </c>
      <c r="L135" s="124">
        <f t="shared" si="163"/>
        <v>5.9551564983192008E-2</v>
      </c>
      <c r="M135" s="124">
        <f t="shared" si="163"/>
        <v>7.921091556698083E-2</v>
      </c>
      <c r="N135" s="124">
        <f t="shared" si="163"/>
        <v>9.9377806163434695E-2</v>
      </c>
      <c r="O135" s="124">
        <f t="shared" si="163"/>
        <v>8.1537779162555404E-2</v>
      </c>
      <c r="P135" s="124">
        <f t="shared" si="163"/>
        <v>7.9784612197218135E-2</v>
      </c>
      <c r="Q135" s="124">
        <f t="shared" si="163"/>
        <v>8.0221316765699657E-2</v>
      </c>
      <c r="R135" s="124">
        <f t="shared" si="163"/>
        <v>7.124178515133256E-2</v>
      </c>
      <c r="S135" s="124">
        <f t="shared" si="163"/>
        <v>8.6639543695389079E-2</v>
      </c>
      <c r="T135" s="124">
        <f t="shared" si="163"/>
        <v>9.6291664101450153E-2</v>
      </c>
      <c r="U135" s="124">
        <f t="shared" si="163"/>
        <v>9.4887609310986429E-2</v>
      </c>
      <c r="V135" s="124">
        <f t="shared" si="163"/>
        <v>3.682292078709655E-2</v>
      </c>
      <c r="W135" s="124">
        <f t="shared" si="163"/>
        <v>6.235282952107276E-2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4.8071084906920435E-2</v>
      </c>
      <c r="C137" s="140">
        <f t="shared" ref="C137:W137" si="165">IF(C45=0,0,C45/C$34)</f>
        <v>3.2718016012890754E-2</v>
      </c>
      <c r="D137" s="140">
        <f t="shared" si="165"/>
        <v>3.456771954538107E-2</v>
      </c>
      <c r="E137" s="140">
        <f t="shared" si="165"/>
        <v>4.0475077174583408E-2</v>
      </c>
      <c r="F137" s="140">
        <f t="shared" si="165"/>
        <v>5.8480481550174698E-2</v>
      </c>
      <c r="G137" s="140">
        <f t="shared" si="165"/>
        <v>8.5266173604671869E-2</v>
      </c>
      <c r="H137" s="140">
        <f t="shared" si="165"/>
        <v>7.9879253693663985E-2</v>
      </c>
      <c r="I137" s="140">
        <f t="shared" si="165"/>
        <v>8.5564803925514799E-2</v>
      </c>
      <c r="J137" s="140">
        <f t="shared" si="165"/>
        <v>9.8214229479339679E-2</v>
      </c>
      <c r="K137" s="140">
        <f t="shared" si="165"/>
        <v>5.8140949226451182E-2</v>
      </c>
      <c r="L137" s="140">
        <f t="shared" si="165"/>
        <v>5.2457843086775806E-2</v>
      </c>
      <c r="M137" s="140">
        <f t="shared" si="165"/>
        <v>7.1320668867164469E-2</v>
      </c>
      <c r="N137" s="140">
        <f t="shared" si="165"/>
        <v>8.8501212305399174E-2</v>
      </c>
      <c r="O137" s="140">
        <f t="shared" si="165"/>
        <v>7.2020940665216443E-2</v>
      </c>
      <c r="P137" s="140">
        <f t="shared" si="165"/>
        <v>7.0524534349087467E-2</v>
      </c>
      <c r="Q137" s="140">
        <f t="shared" si="165"/>
        <v>7.0924369475562132E-2</v>
      </c>
      <c r="R137" s="140">
        <f t="shared" si="165"/>
        <v>6.3181232586299957E-2</v>
      </c>
      <c r="S137" s="140">
        <f t="shared" si="165"/>
        <v>7.7160183626307749E-2</v>
      </c>
      <c r="T137" s="140">
        <f t="shared" si="165"/>
        <v>8.6163515214982417E-2</v>
      </c>
      <c r="U137" s="140">
        <f t="shared" si="165"/>
        <v>8.4640622153449474E-2</v>
      </c>
      <c r="V137" s="140">
        <f t="shared" si="165"/>
        <v>3.1731930331255737E-2</v>
      </c>
      <c r="W137" s="140">
        <f t="shared" si="165"/>
        <v>5.4663837694127519E-2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4.0643412399067351E-3</v>
      </c>
      <c r="C138" s="140">
        <f t="shared" ref="C138:W138" si="166">IF(C46=0,0,C46/C$34)</f>
        <v>2.7686327178039851E-3</v>
      </c>
      <c r="D138" s="140">
        <f t="shared" si="166"/>
        <v>3.1280934118118986E-3</v>
      </c>
      <c r="E138" s="140">
        <f t="shared" si="166"/>
        <v>4.3242462149072677E-3</v>
      </c>
      <c r="F138" s="140">
        <f t="shared" si="166"/>
        <v>7.8054125883577066E-3</v>
      </c>
      <c r="G138" s="140">
        <f t="shared" si="166"/>
        <v>9.9197899220073871E-3</v>
      </c>
      <c r="H138" s="140">
        <f t="shared" si="166"/>
        <v>8.9801197652164075E-3</v>
      </c>
      <c r="I138" s="140">
        <f t="shared" si="166"/>
        <v>9.3739912453723682E-3</v>
      </c>
      <c r="J138" s="140">
        <f t="shared" si="166"/>
        <v>1.131406996560382E-2</v>
      </c>
      <c r="K138" s="140">
        <f t="shared" si="166"/>
        <v>7.7949302467407184E-3</v>
      </c>
      <c r="L138" s="140">
        <f t="shared" si="166"/>
        <v>7.0937218964162068E-3</v>
      </c>
      <c r="M138" s="140">
        <f t="shared" si="166"/>
        <v>7.8902466998163456E-3</v>
      </c>
      <c r="N138" s="140">
        <f t="shared" si="166"/>
        <v>1.0876593858035534E-2</v>
      </c>
      <c r="O138" s="140">
        <f t="shared" si="166"/>
        <v>9.5168384973389683E-3</v>
      </c>
      <c r="P138" s="140">
        <f t="shared" si="166"/>
        <v>9.2600778481306718E-3</v>
      </c>
      <c r="Q138" s="140">
        <f t="shared" si="166"/>
        <v>9.296947290137525E-3</v>
      </c>
      <c r="R138" s="140">
        <f t="shared" si="166"/>
        <v>8.0605525650326131E-3</v>
      </c>
      <c r="S138" s="140">
        <f t="shared" si="166"/>
        <v>9.4793600690813162E-3</v>
      </c>
      <c r="T138" s="140">
        <f t="shared" si="166"/>
        <v>1.012814888646774E-2</v>
      </c>
      <c r="U138" s="140">
        <f t="shared" si="166"/>
        <v>1.024698715753696E-2</v>
      </c>
      <c r="V138" s="140">
        <f t="shared" si="166"/>
        <v>5.0909904558408157E-3</v>
      </c>
      <c r="W138" s="140">
        <f t="shared" si="166"/>
        <v>7.6889918269452406E-3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0.73576273344528931</v>
      </c>
      <c r="C140" s="139">
        <f t="shared" ref="C140:W140" si="169">IF(C48=0,0,C48/C$47)</f>
        <v>0.76956546669707337</v>
      </c>
      <c r="D140" s="139">
        <f t="shared" si="169"/>
        <v>0.75512325173514405</v>
      </c>
      <c r="E140" s="139">
        <f t="shared" si="169"/>
        <v>0.76593593108859104</v>
      </c>
      <c r="F140" s="139">
        <f t="shared" si="169"/>
        <v>0.79839066150478866</v>
      </c>
      <c r="G140" s="139">
        <f t="shared" si="169"/>
        <v>0.78690870747472963</v>
      </c>
      <c r="H140" s="139">
        <f t="shared" si="169"/>
        <v>0.78635784268013609</v>
      </c>
      <c r="I140" s="139">
        <f t="shared" si="169"/>
        <v>0.81831269124182615</v>
      </c>
      <c r="J140" s="139">
        <f t="shared" si="169"/>
        <v>0.85782728243488959</v>
      </c>
      <c r="K140" s="139">
        <f t="shared" si="169"/>
        <v>0.78042278892542538</v>
      </c>
      <c r="L140" s="139">
        <f t="shared" si="169"/>
        <v>0.74607547213749947</v>
      </c>
      <c r="M140" s="139">
        <f t="shared" si="169"/>
        <v>0.82981415726442609</v>
      </c>
      <c r="N140" s="139">
        <f t="shared" si="169"/>
        <v>0.84685212433938362</v>
      </c>
      <c r="O140" s="139">
        <f t="shared" si="169"/>
        <v>0.86020614802617879</v>
      </c>
      <c r="P140" s="139">
        <f t="shared" si="169"/>
        <v>0.87564717431629358</v>
      </c>
      <c r="Q140" s="139">
        <f t="shared" si="169"/>
        <v>0.87784422661762318</v>
      </c>
      <c r="R140" s="139">
        <f t="shared" si="169"/>
        <v>0.90064372297020823</v>
      </c>
      <c r="S140" s="139">
        <f t="shared" si="169"/>
        <v>0.88838146339153778</v>
      </c>
      <c r="T140" s="139">
        <f t="shared" si="169"/>
        <v>0.90277620145332782</v>
      </c>
      <c r="U140" s="139">
        <f t="shared" si="169"/>
        <v>0.90749082792638813</v>
      </c>
      <c r="V140" s="139">
        <f t="shared" si="169"/>
        <v>0.90616129546187996</v>
      </c>
      <c r="W140" s="139">
        <f t="shared" si="169"/>
        <v>0.91378487952797693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0.4612012222105078</v>
      </c>
      <c r="C141" s="140">
        <f t="shared" ref="C141:W141" si="170">IF(C49=0,0,C49/C$47)</f>
        <v>0.50592222307951162</v>
      </c>
      <c r="D141" s="140">
        <f t="shared" si="170"/>
        <v>0.45720982880429029</v>
      </c>
      <c r="E141" s="140">
        <f t="shared" si="170"/>
        <v>0.39364416887387749</v>
      </c>
      <c r="F141" s="140">
        <f t="shared" si="170"/>
        <v>0.37966771569622926</v>
      </c>
      <c r="G141" s="140">
        <f t="shared" si="170"/>
        <v>0.34952017684808967</v>
      </c>
      <c r="H141" s="140">
        <f t="shared" si="170"/>
        <v>0.3271825754489292</v>
      </c>
      <c r="I141" s="140">
        <f t="shared" si="170"/>
        <v>0.30510753871615043</v>
      </c>
      <c r="J141" s="140">
        <f t="shared" si="170"/>
        <v>0.31267094440257054</v>
      </c>
      <c r="K141" s="140">
        <f t="shared" si="170"/>
        <v>0.33050207130758535</v>
      </c>
      <c r="L141" s="140">
        <f t="shared" si="170"/>
        <v>0.302394352878119</v>
      </c>
      <c r="M141" s="140">
        <f t="shared" si="170"/>
        <v>0.31941789930878395</v>
      </c>
      <c r="N141" s="140">
        <f t="shared" si="170"/>
        <v>0.33415513934876134</v>
      </c>
      <c r="O141" s="140">
        <f t="shared" si="170"/>
        <v>0.35533085536564302</v>
      </c>
      <c r="P141" s="140">
        <f t="shared" si="170"/>
        <v>0.38337549529503973</v>
      </c>
      <c r="Q141" s="140">
        <f t="shared" si="170"/>
        <v>0.39070815621806643</v>
      </c>
      <c r="R141" s="140">
        <f t="shared" si="170"/>
        <v>0.42209791502442529</v>
      </c>
      <c r="S141" s="140">
        <f t="shared" si="170"/>
        <v>0.46924390597745164</v>
      </c>
      <c r="T141" s="140">
        <f t="shared" si="170"/>
        <v>0.49456828177087642</v>
      </c>
      <c r="U141" s="140">
        <f t="shared" si="170"/>
        <v>0.53373738494932066</v>
      </c>
      <c r="V141" s="140">
        <f t="shared" si="170"/>
        <v>0.55949058991704115</v>
      </c>
      <c r="W141" s="140">
        <f t="shared" si="170"/>
        <v>0.5244444396764808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0.27456151123478151</v>
      </c>
      <c r="C142" s="140">
        <f t="shared" ref="C142:W142" si="171">IF(C50=0,0,C50/C$47)</f>
        <v>0.26364324361756175</v>
      </c>
      <c r="D142" s="140">
        <f t="shared" si="171"/>
        <v>0.29791342293085377</v>
      </c>
      <c r="E142" s="140">
        <f t="shared" si="171"/>
        <v>0.37229176221471355</v>
      </c>
      <c r="F142" s="140">
        <f t="shared" si="171"/>
        <v>0.41872294580855934</v>
      </c>
      <c r="G142" s="140">
        <f t="shared" si="171"/>
        <v>0.43738853062664007</v>
      </c>
      <c r="H142" s="140">
        <f t="shared" si="171"/>
        <v>0.45917526723120683</v>
      </c>
      <c r="I142" s="140">
        <f t="shared" si="171"/>
        <v>0.51320515252567567</v>
      </c>
      <c r="J142" s="140">
        <f t="shared" si="171"/>
        <v>0.545156338032319</v>
      </c>
      <c r="K142" s="140">
        <f t="shared" si="171"/>
        <v>0.44992071761784003</v>
      </c>
      <c r="L142" s="140">
        <f t="shared" si="171"/>
        <v>0.44368111925938053</v>
      </c>
      <c r="M142" s="140">
        <f t="shared" si="171"/>
        <v>0.51039625795564203</v>
      </c>
      <c r="N142" s="140">
        <f t="shared" si="171"/>
        <v>0.51269698499062222</v>
      </c>
      <c r="O142" s="140">
        <f t="shared" si="171"/>
        <v>0.50487529266053588</v>
      </c>
      <c r="P142" s="140">
        <f t="shared" si="171"/>
        <v>0.49227167902125379</v>
      </c>
      <c r="Q142" s="140">
        <f t="shared" si="171"/>
        <v>0.48713607039955675</v>
      </c>
      <c r="R142" s="140">
        <f t="shared" si="171"/>
        <v>0.47854580794578289</v>
      </c>
      <c r="S142" s="140">
        <f t="shared" si="171"/>
        <v>0.4191375574140862</v>
      </c>
      <c r="T142" s="140">
        <f t="shared" si="171"/>
        <v>0.4082079196824514</v>
      </c>
      <c r="U142" s="140">
        <f t="shared" si="171"/>
        <v>0.37375344297706753</v>
      </c>
      <c r="V142" s="140">
        <f t="shared" si="171"/>
        <v>0.34667070554483875</v>
      </c>
      <c r="W142" s="140">
        <f t="shared" si="171"/>
        <v>0.38934043985149608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0.22359287949328777</v>
      </c>
      <c r="C143" s="124">
        <f t="shared" ref="C143:W143" si="172">IF(C51=0,0,C51/C$47)</f>
        <v>0.19381618268143347</v>
      </c>
      <c r="D143" s="124">
        <f t="shared" si="172"/>
        <v>0.20991530937968964</v>
      </c>
      <c r="E143" s="124">
        <f t="shared" si="172"/>
        <v>0.19295050775297937</v>
      </c>
      <c r="F143" s="124">
        <f t="shared" si="172"/>
        <v>0.16481651118523516</v>
      </c>
      <c r="G143" s="124">
        <f t="shared" si="172"/>
        <v>0.1759298659575449</v>
      </c>
      <c r="H143" s="124">
        <f t="shared" si="172"/>
        <v>0.181343533131641</v>
      </c>
      <c r="I143" s="124">
        <f t="shared" si="172"/>
        <v>0.14562705454029387</v>
      </c>
      <c r="J143" s="124">
        <f t="shared" si="172"/>
        <v>0.10815214715771469</v>
      </c>
      <c r="K143" s="124">
        <f t="shared" si="172"/>
        <v>0.17548325257317202</v>
      </c>
      <c r="L143" s="124">
        <f t="shared" si="172"/>
        <v>0.21614731445101693</v>
      </c>
      <c r="M143" s="124">
        <f t="shared" si="172"/>
        <v>0.14553384241351311</v>
      </c>
      <c r="N143" s="124">
        <f t="shared" si="172"/>
        <v>0.13192685349953689</v>
      </c>
      <c r="O143" s="124">
        <f t="shared" si="172"/>
        <v>0.11715506629058411</v>
      </c>
      <c r="P143" s="124">
        <f t="shared" si="172"/>
        <v>9.042587723664916E-2</v>
      </c>
      <c r="Q143" s="124">
        <f t="shared" si="172"/>
        <v>8.7459602657935495E-2</v>
      </c>
      <c r="R143" s="124">
        <f t="shared" si="172"/>
        <v>6.9024579785258305E-2</v>
      </c>
      <c r="S143" s="124">
        <f t="shared" si="172"/>
        <v>7.1243706163036616E-2</v>
      </c>
      <c r="T143" s="124">
        <f t="shared" si="172"/>
        <v>5.9011226161588562E-2</v>
      </c>
      <c r="U143" s="124">
        <f t="shared" si="172"/>
        <v>6.0389398697622866E-2</v>
      </c>
      <c r="V143" s="124">
        <f t="shared" si="172"/>
        <v>5.4453813914788908E-2</v>
      </c>
      <c r="W143" s="124">
        <f t="shared" si="172"/>
        <v>5.1628033822529486E-2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1.513420415143116E-3</v>
      </c>
      <c r="C144" s="124">
        <f t="shared" ref="C144:W144" si="173">IF(C52=0,0,C52/C$47)</f>
        <v>1.2366929086508713E-3</v>
      </c>
      <c r="D144" s="124">
        <f t="shared" si="173"/>
        <v>9.5099255051232583E-4</v>
      </c>
      <c r="E144" s="124">
        <f t="shared" si="173"/>
        <v>1.194214097519269E-3</v>
      </c>
      <c r="F144" s="124">
        <f t="shared" si="173"/>
        <v>1.5432372876908779E-3</v>
      </c>
      <c r="G144" s="124">
        <f t="shared" si="173"/>
        <v>2.1127385966265258E-3</v>
      </c>
      <c r="H144" s="124">
        <f t="shared" si="173"/>
        <v>1.9938807737482737E-3</v>
      </c>
      <c r="I144" s="124">
        <f t="shared" si="173"/>
        <v>2.1348671904864573E-3</v>
      </c>
      <c r="J144" s="124">
        <f t="shared" si="173"/>
        <v>2.6449693485848459E-3</v>
      </c>
      <c r="K144" s="124">
        <f t="shared" si="173"/>
        <v>1.8182939662440359E-3</v>
      </c>
      <c r="L144" s="124">
        <f t="shared" si="173"/>
        <v>1.7042381771559857E-3</v>
      </c>
      <c r="M144" s="124">
        <f t="shared" si="173"/>
        <v>1.8592151692175753E-3</v>
      </c>
      <c r="N144" s="124">
        <f t="shared" si="173"/>
        <v>2.6274826953374629E-3</v>
      </c>
      <c r="O144" s="124">
        <f t="shared" si="173"/>
        <v>3.0391175299401964E-3</v>
      </c>
      <c r="P144" s="124">
        <f t="shared" si="173"/>
        <v>3.1055182651495553E-3</v>
      </c>
      <c r="Q144" s="124">
        <f t="shared" si="173"/>
        <v>3.0837801149201948E-3</v>
      </c>
      <c r="R144" s="124">
        <f t="shared" si="173"/>
        <v>2.9463348335925193E-3</v>
      </c>
      <c r="S144" s="124">
        <f t="shared" si="173"/>
        <v>3.6824746478207721E-3</v>
      </c>
      <c r="T144" s="124">
        <f t="shared" si="173"/>
        <v>3.6981827581317487E-3</v>
      </c>
      <c r="U144" s="124">
        <f t="shared" si="173"/>
        <v>3.9178609619187768E-3</v>
      </c>
      <c r="V144" s="124">
        <f t="shared" si="173"/>
        <v>3.8915439359692118E-3</v>
      </c>
      <c r="W144" s="124">
        <f t="shared" si="173"/>
        <v>6.8482362468108978E-3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1.2235465047524083E-3</v>
      </c>
      <c r="C146" s="140">
        <f t="shared" ref="C146:W146" si="175">IF(C54=0,0,C54/C$47)</f>
        <v>9.9385134821536195E-4</v>
      </c>
      <c r="D146" s="140">
        <f t="shared" si="175"/>
        <v>8.0071242786017565E-4</v>
      </c>
      <c r="E146" s="140">
        <f t="shared" si="175"/>
        <v>9.9209238443966259E-4</v>
      </c>
      <c r="F146" s="140">
        <f t="shared" si="175"/>
        <v>1.3224059717656545E-3</v>
      </c>
      <c r="G146" s="140">
        <f t="shared" si="175"/>
        <v>1.6213524528956133E-3</v>
      </c>
      <c r="H146" s="140">
        <f t="shared" si="175"/>
        <v>1.7257031772760737E-3</v>
      </c>
      <c r="I146" s="140">
        <f t="shared" si="175"/>
        <v>1.9864343419036261E-3</v>
      </c>
      <c r="J146" s="140">
        <f t="shared" si="175"/>
        <v>2.5540886030654656E-3</v>
      </c>
      <c r="K146" s="140">
        <f t="shared" si="175"/>
        <v>1.7927101469033804E-3</v>
      </c>
      <c r="L146" s="140">
        <f t="shared" si="175"/>
        <v>1.6448729819416631E-3</v>
      </c>
      <c r="M146" s="140">
        <f t="shared" si="175"/>
        <v>1.8303366754068185E-3</v>
      </c>
      <c r="N146" s="140">
        <f t="shared" si="175"/>
        <v>2.5955882793807913E-3</v>
      </c>
      <c r="O146" s="140">
        <f t="shared" si="175"/>
        <v>3.0054623121831161E-3</v>
      </c>
      <c r="P146" s="140">
        <f t="shared" si="175"/>
        <v>3.0697890900970794E-3</v>
      </c>
      <c r="Q146" s="140">
        <f t="shared" si="175"/>
        <v>3.0433371235628112E-3</v>
      </c>
      <c r="R146" s="140">
        <f t="shared" si="175"/>
        <v>2.6899928181461827E-3</v>
      </c>
      <c r="S146" s="140">
        <f t="shared" si="175"/>
        <v>3.5736835655353705E-3</v>
      </c>
      <c r="T146" s="140">
        <f t="shared" si="175"/>
        <v>3.6403765233902442E-3</v>
      </c>
      <c r="U146" s="140">
        <f t="shared" si="175"/>
        <v>3.7553438049188438E-3</v>
      </c>
      <c r="V146" s="140">
        <f t="shared" si="175"/>
        <v>3.724521763251964E-3</v>
      </c>
      <c r="W146" s="140">
        <f t="shared" si="175"/>
        <v>6.3978686259460937E-3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2.8987391039070754E-4</v>
      </c>
      <c r="C147" s="140">
        <f t="shared" ref="C147:W147" si="176">IF(C55=0,0,C55/C$47)</f>
        <v>2.4284156043550938E-4</v>
      </c>
      <c r="D147" s="140">
        <f t="shared" si="176"/>
        <v>1.5028012265215013E-4</v>
      </c>
      <c r="E147" s="140">
        <f t="shared" si="176"/>
        <v>2.0212171307960639E-4</v>
      </c>
      <c r="F147" s="140">
        <f t="shared" si="176"/>
        <v>2.2083131592522351E-4</v>
      </c>
      <c r="G147" s="140">
        <f t="shared" si="176"/>
        <v>4.9138614373091271E-4</v>
      </c>
      <c r="H147" s="140">
        <f t="shared" si="176"/>
        <v>2.6817759647220011E-4</v>
      </c>
      <c r="I147" s="140">
        <f t="shared" si="176"/>
        <v>1.484328485828316E-4</v>
      </c>
      <c r="J147" s="140">
        <f t="shared" si="176"/>
        <v>9.0880745519380629E-5</v>
      </c>
      <c r="K147" s="140">
        <f t="shared" si="176"/>
        <v>2.5583819340655522E-5</v>
      </c>
      <c r="L147" s="140">
        <f t="shared" si="176"/>
        <v>5.9365195214322617E-5</v>
      </c>
      <c r="M147" s="140">
        <f t="shared" si="176"/>
        <v>2.8878493810756744E-5</v>
      </c>
      <c r="N147" s="140">
        <f t="shared" si="176"/>
        <v>3.1894415956671752E-5</v>
      </c>
      <c r="O147" s="140">
        <f t="shared" si="176"/>
        <v>3.3655217757080382E-5</v>
      </c>
      <c r="P147" s="140">
        <f t="shared" si="176"/>
        <v>3.572917505247578E-5</v>
      </c>
      <c r="Q147" s="140">
        <f t="shared" si="176"/>
        <v>4.0442991357383727E-5</v>
      </c>
      <c r="R147" s="140">
        <f t="shared" si="176"/>
        <v>2.5634201544633665E-4</v>
      </c>
      <c r="S147" s="140">
        <f t="shared" si="176"/>
        <v>1.0879108228540104E-4</v>
      </c>
      <c r="T147" s="140">
        <f t="shared" si="176"/>
        <v>5.7806234741504516E-5</v>
      </c>
      <c r="U147" s="140">
        <f t="shared" si="176"/>
        <v>1.6251715699993271E-4</v>
      </c>
      <c r="V147" s="140">
        <f t="shared" si="176"/>
        <v>1.670221727172475E-4</v>
      </c>
      <c r="W147" s="140">
        <f t="shared" si="176"/>
        <v>4.5036762086480495E-4</v>
      </c>
      <c r="DA147" s="175"/>
    </row>
    <row r="148" spans="1:105" ht="11.45" customHeight="1" x14ac:dyDescent="0.25">
      <c r="A148" s="109" t="s">
        <v>142</v>
      </c>
      <c r="B148" s="124">
        <f t="shared" si="167"/>
        <v>3.9130966646279734E-2</v>
      </c>
      <c r="C148" s="124">
        <f t="shared" ref="C148:W148" si="177">IF(C56=0,0,C56/C$47)</f>
        <v>3.5381657712842261E-2</v>
      </c>
      <c r="D148" s="124">
        <f t="shared" si="177"/>
        <v>3.4010446334653929E-2</v>
      </c>
      <c r="E148" s="124">
        <f t="shared" si="177"/>
        <v>3.9919347060910292E-2</v>
      </c>
      <c r="F148" s="124">
        <f t="shared" si="177"/>
        <v>3.5249590022285386E-2</v>
      </c>
      <c r="G148" s="124">
        <f t="shared" si="177"/>
        <v>3.5048687971098891E-2</v>
      </c>
      <c r="H148" s="124">
        <f t="shared" si="177"/>
        <v>3.030474341447471E-2</v>
      </c>
      <c r="I148" s="124">
        <f t="shared" si="177"/>
        <v>3.3925387027393464E-2</v>
      </c>
      <c r="J148" s="124">
        <f t="shared" si="177"/>
        <v>3.1375601058810952E-2</v>
      </c>
      <c r="K148" s="124">
        <f t="shared" si="177"/>
        <v>4.2275664535158401E-2</v>
      </c>
      <c r="L148" s="124">
        <f t="shared" si="177"/>
        <v>3.6072975234327669E-2</v>
      </c>
      <c r="M148" s="124">
        <f t="shared" si="177"/>
        <v>2.2792785152843231E-2</v>
      </c>
      <c r="N148" s="124">
        <f t="shared" si="177"/>
        <v>1.8593539465742007E-2</v>
      </c>
      <c r="O148" s="124">
        <f t="shared" si="177"/>
        <v>1.9599668153296838E-2</v>
      </c>
      <c r="P148" s="124">
        <f t="shared" si="177"/>
        <v>3.0821430181907906E-2</v>
      </c>
      <c r="Q148" s="124">
        <f t="shared" si="177"/>
        <v>3.1612390609521257E-2</v>
      </c>
      <c r="R148" s="124">
        <f t="shared" si="177"/>
        <v>2.7385362410940837E-2</v>
      </c>
      <c r="S148" s="124">
        <f t="shared" si="177"/>
        <v>3.6692355797604756E-2</v>
      </c>
      <c r="T148" s="124">
        <f t="shared" si="177"/>
        <v>3.4514389626951879E-2</v>
      </c>
      <c r="U148" s="124">
        <f t="shared" si="177"/>
        <v>2.8201912414070166E-2</v>
      </c>
      <c r="V148" s="124">
        <f t="shared" si="177"/>
        <v>3.5493346687362072E-2</v>
      </c>
      <c r="W148" s="124">
        <f t="shared" si="177"/>
        <v>2.7738850402682674E-2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3.9130966646279734E-2</v>
      </c>
      <c r="C149" s="140">
        <f t="shared" ref="C149:W149" si="178">IF(C57=0,0,C57/C$47)</f>
        <v>3.5381657712842261E-2</v>
      </c>
      <c r="D149" s="140">
        <f t="shared" si="178"/>
        <v>3.4010446334653929E-2</v>
      </c>
      <c r="E149" s="140">
        <f t="shared" si="178"/>
        <v>3.9919347060910292E-2</v>
      </c>
      <c r="F149" s="140">
        <f t="shared" si="178"/>
        <v>3.5249590022285386E-2</v>
      </c>
      <c r="G149" s="140">
        <f t="shared" si="178"/>
        <v>3.5048687971098891E-2</v>
      </c>
      <c r="H149" s="140">
        <f t="shared" si="178"/>
        <v>3.030474341447471E-2</v>
      </c>
      <c r="I149" s="140">
        <f t="shared" si="178"/>
        <v>3.3925387027393464E-2</v>
      </c>
      <c r="J149" s="140">
        <f t="shared" si="178"/>
        <v>3.1375601058810952E-2</v>
      </c>
      <c r="K149" s="140">
        <f t="shared" si="178"/>
        <v>4.2275664535158401E-2</v>
      </c>
      <c r="L149" s="140">
        <f t="shared" si="178"/>
        <v>3.6072975234327669E-2</v>
      </c>
      <c r="M149" s="140">
        <f t="shared" si="178"/>
        <v>2.2792785152843231E-2</v>
      </c>
      <c r="N149" s="140">
        <f t="shared" si="178"/>
        <v>1.8593539465742007E-2</v>
      </c>
      <c r="O149" s="140">
        <f t="shared" si="178"/>
        <v>1.9599668153296838E-2</v>
      </c>
      <c r="P149" s="140">
        <f t="shared" si="178"/>
        <v>3.0821430181907906E-2</v>
      </c>
      <c r="Q149" s="140">
        <f t="shared" si="178"/>
        <v>3.1612390609521257E-2</v>
      </c>
      <c r="R149" s="140">
        <f t="shared" si="178"/>
        <v>2.7385362410940837E-2</v>
      </c>
      <c r="S149" s="140">
        <f t="shared" si="178"/>
        <v>3.6692355797604756E-2</v>
      </c>
      <c r="T149" s="140">
        <f t="shared" si="178"/>
        <v>3.4514389626951879E-2</v>
      </c>
      <c r="U149" s="140">
        <f t="shared" si="178"/>
        <v>2.8201912414070166E-2</v>
      </c>
      <c r="V149" s="140">
        <f t="shared" si="178"/>
        <v>3.5493346687362072E-2</v>
      </c>
      <c r="W149" s="140">
        <f t="shared" si="178"/>
        <v>2.7738850402682674E-2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0.49556985975887563</v>
      </c>
      <c r="C152" s="140">
        <f t="shared" ref="C152:W152" si="181">IF(C60=0,0,C60/C$59)</f>
        <v>0.49523520758201561</v>
      </c>
      <c r="D152" s="140">
        <f t="shared" si="181"/>
        <v>0.49364412658263246</v>
      </c>
      <c r="E152" s="140">
        <f t="shared" si="181"/>
        <v>0.51248882034169874</v>
      </c>
      <c r="F152" s="140">
        <f t="shared" si="181"/>
        <v>0.4656602256975102</v>
      </c>
      <c r="G152" s="140">
        <f t="shared" si="181"/>
        <v>0.41936698455140653</v>
      </c>
      <c r="H152" s="140">
        <f t="shared" si="181"/>
        <v>0.42415929874226271</v>
      </c>
      <c r="I152" s="140">
        <f t="shared" si="181"/>
        <v>0.4195918979169363</v>
      </c>
      <c r="J152" s="140">
        <f t="shared" si="181"/>
        <v>0.40971695587367768</v>
      </c>
      <c r="K152" s="140">
        <f t="shared" si="181"/>
        <v>0.39261316429319537</v>
      </c>
      <c r="L152" s="140">
        <f t="shared" si="181"/>
        <v>0.38230666238352939</v>
      </c>
      <c r="M152" s="140">
        <f t="shared" si="181"/>
        <v>0.39238708194165162</v>
      </c>
      <c r="N152" s="140">
        <f t="shared" si="181"/>
        <v>0.31388118152574623</v>
      </c>
      <c r="O152" s="140">
        <f t="shared" si="181"/>
        <v>0.41939956197295841</v>
      </c>
      <c r="P152" s="140">
        <f t="shared" si="181"/>
        <v>0.41918501963219879</v>
      </c>
      <c r="Q152" s="140">
        <f t="shared" si="181"/>
        <v>0.38784688662685807</v>
      </c>
      <c r="R152" s="140">
        <f t="shared" si="181"/>
        <v>0.37968477926776256</v>
      </c>
      <c r="S152" s="140">
        <f t="shared" si="181"/>
        <v>0.38975784596958535</v>
      </c>
      <c r="T152" s="140">
        <f t="shared" si="181"/>
        <v>0.39262142234440156</v>
      </c>
      <c r="U152" s="140">
        <f t="shared" si="181"/>
        <v>0.3732321407431663</v>
      </c>
      <c r="V152" s="140">
        <f t="shared" si="181"/>
        <v>0.29394258465349743</v>
      </c>
      <c r="W152" s="140">
        <f t="shared" si="181"/>
        <v>0.3177810588484587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0.50443014024112443</v>
      </c>
      <c r="C153" s="127">
        <f t="shared" ref="C153:W153" si="182">IF(C61=0,0,C61/C$59)</f>
        <v>0.50476479241798433</v>
      </c>
      <c r="D153" s="127">
        <f t="shared" si="182"/>
        <v>0.50635587341736754</v>
      </c>
      <c r="E153" s="127">
        <f t="shared" si="182"/>
        <v>0.48751117965830126</v>
      </c>
      <c r="F153" s="127">
        <f t="shared" si="182"/>
        <v>0.53433977430248969</v>
      </c>
      <c r="G153" s="127">
        <f t="shared" si="182"/>
        <v>0.58063301544859347</v>
      </c>
      <c r="H153" s="127">
        <f t="shared" si="182"/>
        <v>0.57584070125773734</v>
      </c>
      <c r="I153" s="127">
        <f t="shared" si="182"/>
        <v>0.5804081020830637</v>
      </c>
      <c r="J153" s="127">
        <f t="shared" si="182"/>
        <v>0.59028304412632226</v>
      </c>
      <c r="K153" s="127">
        <f t="shared" si="182"/>
        <v>0.60738683570680463</v>
      </c>
      <c r="L153" s="127">
        <f t="shared" si="182"/>
        <v>0.61769333761647061</v>
      </c>
      <c r="M153" s="127">
        <f t="shared" si="182"/>
        <v>0.60761291805834849</v>
      </c>
      <c r="N153" s="127">
        <f t="shared" si="182"/>
        <v>0.68611881847425382</v>
      </c>
      <c r="O153" s="127">
        <f t="shared" si="182"/>
        <v>0.58060043802704164</v>
      </c>
      <c r="P153" s="127">
        <f t="shared" si="182"/>
        <v>0.58081498036780121</v>
      </c>
      <c r="Q153" s="127">
        <f t="shared" si="182"/>
        <v>0.61215311337314193</v>
      </c>
      <c r="R153" s="127">
        <f t="shared" si="182"/>
        <v>0.62031522073223744</v>
      </c>
      <c r="S153" s="127">
        <f t="shared" si="182"/>
        <v>0.61024215403041471</v>
      </c>
      <c r="T153" s="127">
        <f t="shared" si="182"/>
        <v>0.60737857765559833</v>
      </c>
      <c r="U153" s="127">
        <f t="shared" si="182"/>
        <v>0.62676785925683365</v>
      </c>
      <c r="V153" s="127">
        <f t="shared" si="182"/>
        <v>0.70605741534650246</v>
      </c>
      <c r="W153" s="127">
        <f t="shared" si="182"/>
        <v>0.68221894115154136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0.93849900590208413</v>
      </c>
      <c r="C157" s="139">
        <f t="shared" ref="C157:W157" si="185">IF(C65=0,0,C65/C$64)</f>
        <v>0.96005575791760145</v>
      </c>
      <c r="D157" s="139">
        <f t="shared" si="185"/>
        <v>0.95798080818094333</v>
      </c>
      <c r="E157" s="139">
        <f t="shared" si="185"/>
        <v>0.95096720734085349</v>
      </c>
      <c r="F157" s="139">
        <f t="shared" si="185"/>
        <v>0.92938511017165093</v>
      </c>
      <c r="G157" s="139">
        <f t="shared" si="185"/>
        <v>0.90030567680050078</v>
      </c>
      <c r="H157" s="139">
        <f t="shared" si="185"/>
        <v>0.90644820657452896</v>
      </c>
      <c r="I157" s="139">
        <f t="shared" si="185"/>
        <v>0.89957524556228119</v>
      </c>
      <c r="J157" s="139">
        <f t="shared" si="185"/>
        <v>0.88556772199876854</v>
      </c>
      <c r="K157" s="139">
        <f t="shared" si="185"/>
        <v>0.92985998390091085</v>
      </c>
      <c r="L157" s="139">
        <f t="shared" si="185"/>
        <v>0.93518260118311736</v>
      </c>
      <c r="M157" s="139">
        <f t="shared" si="185"/>
        <v>0.91572375975185194</v>
      </c>
      <c r="N157" s="139">
        <f t="shared" si="185"/>
        <v>0.89653474121443089</v>
      </c>
      <c r="O157" s="139">
        <f t="shared" si="185"/>
        <v>0.91380777559974558</v>
      </c>
      <c r="P157" s="139">
        <f t="shared" si="185"/>
        <v>0.91483069023852548</v>
      </c>
      <c r="Q157" s="139">
        <f t="shared" si="185"/>
        <v>0.91501935942268309</v>
      </c>
      <c r="R157" s="139">
        <f t="shared" si="185"/>
        <v>0.92424393709536767</v>
      </c>
      <c r="S157" s="139">
        <f t="shared" si="185"/>
        <v>0.90822970312720208</v>
      </c>
      <c r="T157" s="139">
        <f t="shared" si="185"/>
        <v>0.89563513286625851</v>
      </c>
      <c r="U157" s="139">
        <f t="shared" si="185"/>
        <v>0.89408958582515374</v>
      </c>
      <c r="V157" s="139">
        <f t="shared" si="185"/>
        <v>0.9530159951180337</v>
      </c>
      <c r="W157" s="139">
        <f t="shared" si="185"/>
        <v>0.92867737796835181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1.0966097981706586E-3</v>
      </c>
      <c r="C158" s="140">
        <f t="shared" ref="C158:W158" si="186">IF(C66=0,0,C66/C$64)</f>
        <v>9.1246615594104698E-4</v>
      </c>
      <c r="D158" s="140">
        <f t="shared" si="186"/>
        <v>9.7213371534985284E-4</v>
      </c>
      <c r="E158" s="140">
        <f t="shared" si="186"/>
        <v>1.0844030760014816E-3</v>
      </c>
      <c r="F158" s="140">
        <f t="shared" si="186"/>
        <v>1.1433498499948693E-3</v>
      </c>
      <c r="G158" s="140">
        <f t="shared" si="186"/>
        <v>1.1427325813149816E-3</v>
      </c>
      <c r="H158" s="140">
        <f t="shared" si="186"/>
        <v>1.2574354896356236E-3</v>
      </c>
      <c r="I158" s="140">
        <f t="shared" si="186"/>
        <v>1.363847285410302E-3</v>
      </c>
      <c r="J158" s="140">
        <f t="shared" si="186"/>
        <v>1.6122221487856036E-3</v>
      </c>
      <c r="K158" s="140">
        <f t="shared" si="186"/>
        <v>1.8573980438266013E-3</v>
      </c>
      <c r="L158" s="140">
        <f t="shared" si="186"/>
        <v>1.9040247939493629E-3</v>
      </c>
      <c r="M158" s="140">
        <f t="shared" si="186"/>
        <v>2.1335578176809229E-3</v>
      </c>
      <c r="N158" s="140">
        <f t="shared" si="186"/>
        <v>2.9278474677857081E-3</v>
      </c>
      <c r="O158" s="140">
        <f t="shared" si="186"/>
        <v>3.2594821671204487E-3</v>
      </c>
      <c r="P158" s="140">
        <f t="shared" si="186"/>
        <v>3.4039316016129762E-3</v>
      </c>
      <c r="Q158" s="140">
        <f t="shared" si="186"/>
        <v>3.4732925541754549E-3</v>
      </c>
      <c r="R158" s="140">
        <f t="shared" si="186"/>
        <v>3.6136462930294049E-3</v>
      </c>
      <c r="S158" s="140">
        <f t="shared" si="186"/>
        <v>3.1952484679118095E-3</v>
      </c>
      <c r="T158" s="140">
        <f t="shared" si="186"/>
        <v>2.9289725274461958E-3</v>
      </c>
      <c r="U158" s="140">
        <f t="shared" si="186"/>
        <v>3.1311688056282348E-3</v>
      </c>
      <c r="V158" s="140">
        <f t="shared" si="186"/>
        <v>3.2192295206860799E-3</v>
      </c>
      <c r="W158" s="140">
        <f t="shared" si="186"/>
        <v>3.0054240044226927E-3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0.70975444335350224</v>
      </c>
      <c r="C159" s="140">
        <f t="shared" ref="C159:W159" si="187">IF(C67=0,0,C67/C$64)</f>
        <v>0.73611431216842238</v>
      </c>
      <c r="D159" s="140">
        <f t="shared" si="187"/>
        <v>0.70911959314120632</v>
      </c>
      <c r="E159" s="140">
        <f t="shared" si="187"/>
        <v>0.72504301868717802</v>
      </c>
      <c r="F159" s="140">
        <f t="shared" si="187"/>
        <v>0.70679122672771177</v>
      </c>
      <c r="G159" s="140">
        <f t="shared" si="187"/>
        <v>0.68918601455328177</v>
      </c>
      <c r="H159" s="140">
        <f t="shared" si="187"/>
        <v>0.71033486607539276</v>
      </c>
      <c r="I159" s="140">
        <f t="shared" si="187"/>
        <v>0.7412702845922815</v>
      </c>
      <c r="J159" s="140">
        <f t="shared" si="187"/>
        <v>0.73938199412005923</v>
      </c>
      <c r="K159" s="140">
        <f t="shared" si="187"/>
        <v>0.78828381533269354</v>
      </c>
      <c r="L159" s="140">
        <f t="shared" si="187"/>
        <v>0.78498560792205174</v>
      </c>
      <c r="M159" s="140">
        <f t="shared" si="187"/>
        <v>0.76949520424465723</v>
      </c>
      <c r="N159" s="140">
        <f t="shared" si="187"/>
        <v>0.75446273907766548</v>
      </c>
      <c r="O159" s="140">
        <f t="shared" si="187"/>
        <v>0.76763344370001951</v>
      </c>
      <c r="P159" s="140">
        <f t="shared" si="187"/>
        <v>0.7651220874478899</v>
      </c>
      <c r="Q159" s="140">
        <f t="shared" si="187"/>
        <v>0.76957927760738365</v>
      </c>
      <c r="R159" s="140">
        <f t="shared" si="187"/>
        <v>0.766842776748062</v>
      </c>
      <c r="S159" s="140">
        <f t="shared" si="187"/>
        <v>0.74186432836882199</v>
      </c>
      <c r="T159" s="140">
        <f t="shared" si="187"/>
        <v>0.738386434427039</v>
      </c>
      <c r="U159" s="140">
        <f t="shared" si="187"/>
        <v>0.74768082699825655</v>
      </c>
      <c r="V159" s="140">
        <f t="shared" si="187"/>
        <v>0.79542347281738124</v>
      </c>
      <c r="W159" s="140">
        <f t="shared" si="187"/>
        <v>0.76739170947661395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0.22764795275041128</v>
      </c>
      <c r="C160" s="140">
        <f t="shared" ref="C160:W160" si="188">IF(C68=0,0,C68/C$64)</f>
        <v>0.22302897959323811</v>
      </c>
      <c r="D160" s="140">
        <f t="shared" si="188"/>
        <v>0.24788908132438706</v>
      </c>
      <c r="E160" s="140">
        <f t="shared" si="188"/>
        <v>0.22483978557767395</v>
      </c>
      <c r="F160" s="140">
        <f t="shared" si="188"/>
        <v>0.22145053359394426</v>
      </c>
      <c r="G160" s="140">
        <f t="shared" si="188"/>
        <v>0.20997692966590401</v>
      </c>
      <c r="H160" s="140">
        <f t="shared" si="188"/>
        <v>0.19485590500950059</v>
      </c>
      <c r="I160" s="140">
        <f t="shared" si="188"/>
        <v>0.15694111368458946</v>
      </c>
      <c r="J160" s="140">
        <f t="shared" si="188"/>
        <v>0.14457350572992378</v>
      </c>
      <c r="K160" s="140">
        <f t="shared" si="188"/>
        <v>0.13971877052439077</v>
      </c>
      <c r="L160" s="140">
        <f t="shared" si="188"/>
        <v>0.14829296846711623</v>
      </c>
      <c r="M160" s="140">
        <f t="shared" si="188"/>
        <v>0.14409499768951384</v>
      </c>
      <c r="N160" s="140">
        <f t="shared" si="188"/>
        <v>0.13914415466897978</v>
      </c>
      <c r="O160" s="140">
        <f t="shared" si="188"/>
        <v>0.14291484973260571</v>
      </c>
      <c r="P160" s="140">
        <f t="shared" si="188"/>
        <v>0.14630467118902266</v>
      </c>
      <c r="Q160" s="140">
        <f t="shared" si="188"/>
        <v>0.14196678926112402</v>
      </c>
      <c r="R160" s="140">
        <f t="shared" si="188"/>
        <v>0.15378751405427624</v>
      </c>
      <c r="S160" s="140">
        <f t="shared" si="188"/>
        <v>0.16317012629046823</v>
      </c>
      <c r="T160" s="140">
        <f t="shared" si="188"/>
        <v>0.15431972591177331</v>
      </c>
      <c r="U160" s="140">
        <f t="shared" si="188"/>
        <v>0.14327759002126902</v>
      </c>
      <c r="V160" s="140">
        <f t="shared" si="188"/>
        <v>0.15437329277996636</v>
      </c>
      <c r="W160" s="140">
        <f t="shared" si="188"/>
        <v>0.15828024448731529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8.2183945911751526E-3</v>
      </c>
      <c r="C161" s="124">
        <f t="shared" ref="C161:W161" si="189">IF(C69=0,0,C69/C$64)</f>
        <v>3.7297875180834429E-3</v>
      </c>
      <c r="D161" s="124">
        <f t="shared" si="189"/>
        <v>3.6817785756474443E-3</v>
      </c>
      <c r="E161" s="124">
        <f t="shared" si="189"/>
        <v>3.4785573373715879E-3</v>
      </c>
      <c r="F161" s="124">
        <f t="shared" si="189"/>
        <v>3.5231621313419541E-3</v>
      </c>
      <c r="G161" s="124">
        <f t="shared" si="189"/>
        <v>3.6788001699340259E-3</v>
      </c>
      <c r="H161" s="124">
        <f t="shared" si="189"/>
        <v>3.841398404365079E-3</v>
      </c>
      <c r="I161" s="124">
        <f t="shared" si="189"/>
        <v>4.531494589547414E-3</v>
      </c>
      <c r="J161" s="124">
        <f t="shared" si="189"/>
        <v>3.2353420542478748E-3</v>
      </c>
      <c r="K161" s="124">
        <f t="shared" si="189"/>
        <v>3.4275161513154097E-3</v>
      </c>
      <c r="L161" s="124">
        <f t="shared" si="189"/>
        <v>3.9347971119902325E-3</v>
      </c>
      <c r="M161" s="124">
        <f t="shared" si="189"/>
        <v>3.862504033599448E-3</v>
      </c>
      <c r="N161" s="124">
        <f t="shared" si="189"/>
        <v>2.8666213160852554E-3</v>
      </c>
      <c r="O161" s="124">
        <f t="shared" si="189"/>
        <v>3.8133979305172727E-3</v>
      </c>
      <c r="P161" s="124">
        <f t="shared" si="189"/>
        <v>4.2892382492159074E-3</v>
      </c>
      <c r="Q161" s="124">
        <f t="shared" si="189"/>
        <v>4.0929408212778502E-3</v>
      </c>
      <c r="R161" s="124">
        <f t="shared" si="189"/>
        <v>3.9574562580437546E-3</v>
      </c>
      <c r="S161" s="124">
        <f t="shared" si="189"/>
        <v>4.4598281174790498E-3</v>
      </c>
      <c r="T161" s="124">
        <f t="shared" si="189"/>
        <v>5.4832021731128916E-3</v>
      </c>
      <c r="U161" s="124">
        <f t="shared" si="189"/>
        <v>7.0369159917386846E-3</v>
      </c>
      <c r="V161" s="124">
        <f t="shared" si="189"/>
        <v>7.8974588907219177E-3</v>
      </c>
      <c r="W161" s="124">
        <f t="shared" si="189"/>
        <v>4.8299447168183877E-3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8.2183945911751526E-3</v>
      </c>
      <c r="C163" s="140">
        <f t="shared" ref="C163:W163" si="191">IF(C71=0,0,C71/C$64)</f>
        <v>3.7297875180834429E-3</v>
      </c>
      <c r="D163" s="140">
        <f t="shared" si="191"/>
        <v>3.6817785756474443E-3</v>
      </c>
      <c r="E163" s="140">
        <f t="shared" si="191"/>
        <v>3.4785573373715879E-3</v>
      </c>
      <c r="F163" s="140">
        <f t="shared" si="191"/>
        <v>3.5231621313419541E-3</v>
      </c>
      <c r="G163" s="140">
        <f t="shared" si="191"/>
        <v>3.6788001699340259E-3</v>
      </c>
      <c r="H163" s="140">
        <f t="shared" si="191"/>
        <v>3.841398404365079E-3</v>
      </c>
      <c r="I163" s="140">
        <f t="shared" si="191"/>
        <v>4.531494589547414E-3</v>
      </c>
      <c r="J163" s="140">
        <f t="shared" si="191"/>
        <v>3.2353420542478748E-3</v>
      </c>
      <c r="K163" s="140">
        <f t="shared" si="191"/>
        <v>3.4275161513154097E-3</v>
      </c>
      <c r="L163" s="140">
        <f t="shared" si="191"/>
        <v>3.9347971119902325E-3</v>
      </c>
      <c r="M163" s="140">
        <f t="shared" si="191"/>
        <v>3.862504033599448E-3</v>
      </c>
      <c r="N163" s="140">
        <f t="shared" si="191"/>
        <v>2.8666213160852554E-3</v>
      </c>
      <c r="O163" s="140">
        <f t="shared" si="191"/>
        <v>3.8133979305172727E-3</v>
      </c>
      <c r="P163" s="140">
        <f t="shared" si="191"/>
        <v>4.2892382492159074E-3</v>
      </c>
      <c r="Q163" s="140">
        <f t="shared" si="191"/>
        <v>4.0929408212778502E-3</v>
      </c>
      <c r="R163" s="140">
        <f t="shared" si="191"/>
        <v>3.9574562580437546E-3</v>
      </c>
      <c r="S163" s="140">
        <f t="shared" si="191"/>
        <v>4.4598281174790498E-3</v>
      </c>
      <c r="T163" s="140">
        <f t="shared" si="191"/>
        <v>5.4832021731128916E-3</v>
      </c>
      <c r="U163" s="140">
        <f t="shared" si="191"/>
        <v>7.0369159917386846E-3</v>
      </c>
      <c r="V163" s="140">
        <f t="shared" si="191"/>
        <v>7.8974588907219177E-3</v>
      </c>
      <c r="W163" s="140">
        <f t="shared" si="191"/>
        <v>4.8299447168183877E-3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5.3282599506740747E-2</v>
      </c>
      <c r="C165" s="124">
        <f t="shared" ref="C165:W165" si="193">IF(C73=0,0,C73/C$64)</f>
        <v>3.6214454564315178E-2</v>
      </c>
      <c r="D165" s="124">
        <f t="shared" si="193"/>
        <v>3.8337413243409238E-2</v>
      </c>
      <c r="E165" s="124">
        <f t="shared" si="193"/>
        <v>4.5554235321774765E-2</v>
      </c>
      <c r="F165" s="124">
        <f t="shared" si="193"/>
        <v>6.7091727697007053E-2</v>
      </c>
      <c r="G165" s="124">
        <f t="shared" si="193"/>
        <v>9.6015523029565022E-2</v>
      </c>
      <c r="H165" s="124">
        <f t="shared" si="193"/>
        <v>8.9710395021105893E-2</v>
      </c>
      <c r="I165" s="124">
        <f t="shared" si="193"/>
        <v>9.5893259848171306E-2</v>
      </c>
      <c r="J165" s="124">
        <f t="shared" si="193"/>
        <v>0.11119693594698357</v>
      </c>
      <c r="K165" s="124">
        <f t="shared" si="193"/>
        <v>6.6712499947773687E-2</v>
      </c>
      <c r="L165" s="124">
        <f t="shared" si="193"/>
        <v>6.0882601704892472E-2</v>
      </c>
      <c r="M165" s="124">
        <f t="shared" si="193"/>
        <v>8.0413736214548601E-2</v>
      </c>
      <c r="N165" s="124">
        <f t="shared" si="193"/>
        <v>0.10059863746948382</v>
      </c>
      <c r="O165" s="124">
        <f t="shared" si="193"/>
        <v>8.2378826469737237E-2</v>
      </c>
      <c r="P165" s="124">
        <f t="shared" si="193"/>
        <v>8.0880071512258594E-2</v>
      </c>
      <c r="Q165" s="124">
        <f t="shared" si="193"/>
        <v>8.0887699756039058E-2</v>
      </c>
      <c r="R165" s="124">
        <f t="shared" si="193"/>
        <v>7.1798606646588548E-2</v>
      </c>
      <c r="S165" s="124">
        <f t="shared" si="193"/>
        <v>8.7310468755318824E-2</v>
      </c>
      <c r="T165" s="124">
        <f t="shared" si="193"/>
        <v>9.888166496062864E-2</v>
      </c>
      <c r="U165" s="124">
        <f t="shared" si="193"/>
        <v>9.8873498183107575E-2</v>
      </c>
      <c r="V165" s="124">
        <f t="shared" si="193"/>
        <v>3.9086545991244344E-2</v>
      </c>
      <c r="W165" s="124">
        <f t="shared" si="193"/>
        <v>6.6492677314829704E-2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4.9128827637018341E-2</v>
      </c>
      <c r="C167" s="140">
        <f t="shared" ref="C167:W167" si="195">IF(C75=0,0,C75/C$64)</f>
        <v>3.3389039165834244E-2</v>
      </c>
      <c r="D167" s="140">
        <f t="shared" si="195"/>
        <v>3.5156078225411287E-2</v>
      </c>
      <c r="E167" s="140">
        <f t="shared" si="195"/>
        <v>4.1157121375420158E-2</v>
      </c>
      <c r="F167" s="140">
        <f t="shared" si="195"/>
        <v>5.9191425185488721E-2</v>
      </c>
      <c r="G167" s="140">
        <f t="shared" si="195"/>
        <v>8.6009280697017867E-2</v>
      </c>
      <c r="H167" s="140">
        <f t="shared" si="195"/>
        <v>8.0644271098375339E-2</v>
      </c>
      <c r="I167" s="140">
        <f t="shared" si="195"/>
        <v>8.6425027428653281E-2</v>
      </c>
      <c r="J167" s="140">
        <f t="shared" si="195"/>
        <v>9.971049892896576E-2</v>
      </c>
      <c r="K167" s="140">
        <f t="shared" si="195"/>
        <v>5.8825757739534572E-2</v>
      </c>
      <c r="L167" s="140">
        <f t="shared" si="195"/>
        <v>5.363032806696745E-2</v>
      </c>
      <c r="M167" s="140">
        <f t="shared" si="195"/>
        <v>7.2403675830254421E-2</v>
      </c>
      <c r="N167" s="140">
        <f t="shared" si="195"/>
        <v>8.9588427396745038E-2</v>
      </c>
      <c r="O167" s="140">
        <f t="shared" si="195"/>
        <v>7.276382352061557E-2</v>
      </c>
      <c r="P167" s="140">
        <f t="shared" si="195"/>
        <v>7.1492850869829941E-2</v>
      </c>
      <c r="Q167" s="140">
        <f t="shared" si="195"/>
        <v>7.151352451968962E-2</v>
      </c>
      <c r="R167" s="140">
        <f t="shared" si="195"/>
        <v>6.3675053288940811E-2</v>
      </c>
      <c r="S167" s="140">
        <f t="shared" si="195"/>
        <v>7.7757701787364575E-2</v>
      </c>
      <c r="T167" s="140">
        <f t="shared" si="195"/>
        <v>8.8481094628726095E-2</v>
      </c>
      <c r="U167" s="140">
        <f t="shared" si="195"/>
        <v>8.8196071768215797E-2</v>
      </c>
      <c r="V167" s="140">
        <f t="shared" si="195"/>
        <v>3.3682595724948861E-2</v>
      </c>
      <c r="W167" s="140">
        <f t="shared" si="195"/>
        <v>5.8293183300646326E-2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4.1537718697224058E-3</v>
      </c>
      <c r="C168" s="140">
        <f t="shared" ref="C168:W168" si="196">IF(C76=0,0,C76/C$64)</f>
        <v>2.8254153984809361E-3</v>
      </c>
      <c r="D168" s="140">
        <f t="shared" si="196"/>
        <v>3.1813350179979447E-3</v>
      </c>
      <c r="E168" s="140">
        <f t="shared" si="196"/>
        <v>4.3971139463546052E-3</v>
      </c>
      <c r="F168" s="140">
        <f t="shared" si="196"/>
        <v>7.9003025115183395E-3</v>
      </c>
      <c r="G168" s="140">
        <f t="shared" si="196"/>
        <v>1.0006242332547153E-2</v>
      </c>
      <c r="H168" s="140">
        <f t="shared" si="196"/>
        <v>9.0661239227305609E-3</v>
      </c>
      <c r="I168" s="140">
        <f t="shared" si="196"/>
        <v>9.4682324195180315E-3</v>
      </c>
      <c r="J168" s="140">
        <f t="shared" si="196"/>
        <v>1.148643701801781E-2</v>
      </c>
      <c r="K168" s="140">
        <f t="shared" si="196"/>
        <v>7.8867422082391173E-3</v>
      </c>
      <c r="L168" s="140">
        <f t="shared" si="196"/>
        <v>7.2522736379250245E-3</v>
      </c>
      <c r="M168" s="140">
        <f t="shared" si="196"/>
        <v>8.0100603842941792E-3</v>
      </c>
      <c r="N168" s="140">
        <f t="shared" si="196"/>
        <v>1.1010210072738781E-2</v>
      </c>
      <c r="O168" s="140">
        <f t="shared" si="196"/>
        <v>9.6150029491216711E-3</v>
      </c>
      <c r="P168" s="140">
        <f t="shared" si="196"/>
        <v>9.3872206424286484E-3</v>
      </c>
      <c r="Q168" s="140">
        <f t="shared" si="196"/>
        <v>9.3741752363494298E-3</v>
      </c>
      <c r="R168" s="140">
        <f t="shared" si="196"/>
        <v>8.1235533576477469E-3</v>
      </c>
      <c r="S168" s="140">
        <f t="shared" si="196"/>
        <v>9.5527669679542453E-3</v>
      </c>
      <c r="T168" s="140">
        <f t="shared" si="196"/>
        <v>1.0400570331902538E-2</v>
      </c>
      <c r="U168" s="140">
        <f t="shared" si="196"/>
        <v>1.0677426414891776E-2</v>
      </c>
      <c r="V168" s="140">
        <f t="shared" si="196"/>
        <v>5.4039502662954885E-3</v>
      </c>
      <c r="W168" s="140">
        <f t="shared" si="196"/>
        <v>8.19949401418338E-3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0.73370214202861628</v>
      </c>
      <c r="C170" s="139">
        <f t="shared" ref="C170:W170" si="199">IF(C78=0,0,C78/C$77)</f>
        <v>0.76777507935296341</v>
      </c>
      <c r="D170" s="139">
        <f t="shared" si="199"/>
        <v>0.75357190695531107</v>
      </c>
      <c r="E170" s="139">
        <f t="shared" si="199"/>
        <v>0.76452869935965517</v>
      </c>
      <c r="F170" s="139">
        <f t="shared" si="199"/>
        <v>0.79717443179879699</v>
      </c>
      <c r="G170" s="139">
        <f t="shared" si="199"/>
        <v>0.78573616696148418</v>
      </c>
      <c r="H170" s="139">
        <f t="shared" si="199"/>
        <v>0.78483018191876919</v>
      </c>
      <c r="I170" s="139">
        <f t="shared" si="199"/>
        <v>0.81739987245987999</v>
      </c>
      <c r="J170" s="139">
        <f t="shared" si="199"/>
        <v>0.85639736794079513</v>
      </c>
      <c r="K170" s="139">
        <f t="shared" si="199"/>
        <v>0.77868698593318364</v>
      </c>
      <c r="L170" s="139">
        <f t="shared" si="199"/>
        <v>0.74352441700178373</v>
      </c>
      <c r="M170" s="139">
        <f t="shared" si="199"/>
        <v>0.82888194494574818</v>
      </c>
      <c r="N170" s="139">
        <f t="shared" si="199"/>
        <v>0.8462394384149341</v>
      </c>
      <c r="O170" s="139">
        <f t="shared" si="199"/>
        <v>0.85970178138367015</v>
      </c>
      <c r="P170" s="139">
        <f t="shared" si="199"/>
        <v>0.87515038966793846</v>
      </c>
      <c r="Q170" s="139">
        <f t="shared" si="199"/>
        <v>0.87742176937854655</v>
      </c>
      <c r="R170" s="139">
        <f t="shared" si="199"/>
        <v>0.90033363378499431</v>
      </c>
      <c r="S170" s="139">
        <f t="shared" si="199"/>
        <v>0.88775843176673808</v>
      </c>
      <c r="T170" s="139">
        <f t="shared" si="199"/>
        <v>0.90030927433946295</v>
      </c>
      <c r="U170" s="139">
        <f t="shared" si="199"/>
        <v>0.90384721543384017</v>
      </c>
      <c r="V170" s="139">
        <f t="shared" si="199"/>
        <v>0.900333281336547</v>
      </c>
      <c r="W170" s="139">
        <f t="shared" si="199"/>
        <v>0.90780069350405668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0.45695246765066955</v>
      </c>
      <c r="C171" s="140">
        <f t="shared" ref="C171:W171" si="200">IF(C79=0,0,C79/C$77)</f>
        <v>0.50204108806934966</v>
      </c>
      <c r="D171" s="140">
        <f t="shared" si="200"/>
        <v>0.45373656956483283</v>
      </c>
      <c r="E171" s="140">
        <f t="shared" si="200"/>
        <v>0.38994191579564175</v>
      </c>
      <c r="F171" s="140">
        <f t="shared" si="200"/>
        <v>0.37582700431806221</v>
      </c>
      <c r="G171" s="140">
        <f t="shared" si="200"/>
        <v>0.34599394900313069</v>
      </c>
      <c r="H171" s="140">
        <f t="shared" si="200"/>
        <v>0.32359046920765361</v>
      </c>
      <c r="I171" s="140">
        <f t="shared" si="200"/>
        <v>0.30208636728776589</v>
      </c>
      <c r="J171" s="140">
        <f t="shared" si="200"/>
        <v>0.30946794911487924</v>
      </c>
      <c r="K171" s="140">
        <f t="shared" si="200"/>
        <v>0.32724677758820447</v>
      </c>
      <c r="L171" s="140">
        <f t="shared" si="200"/>
        <v>0.29902495401155232</v>
      </c>
      <c r="M171" s="140">
        <f t="shared" si="200"/>
        <v>0.31631152561767734</v>
      </c>
      <c r="N171" s="140">
        <f t="shared" si="200"/>
        <v>0.33122901853020309</v>
      </c>
      <c r="O171" s="140">
        <f t="shared" si="200"/>
        <v>0.35267767356595725</v>
      </c>
      <c r="P171" s="140">
        <f t="shared" si="200"/>
        <v>0.38054537889037365</v>
      </c>
      <c r="Q171" s="140">
        <f t="shared" si="200"/>
        <v>0.38823436481469537</v>
      </c>
      <c r="R171" s="140">
        <f t="shared" si="200"/>
        <v>0.41987128283600667</v>
      </c>
      <c r="S171" s="140">
        <f t="shared" si="200"/>
        <v>0.46715200815573427</v>
      </c>
      <c r="T171" s="140">
        <f t="shared" si="200"/>
        <v>0.49154570629399152</v>
      </c>
      <c r="U171" s="140">
        <f t="shared" si="200"/>
        <v>0.53025197673990299</v>
      </c>
      <c r="V171" s="140">
        <f t="shared" si="200"/>
        <v>0.55513683726515983</v>
      </c>
      <c r="W171" s="140">
        <f t="shared" si="200"/>
        <v>0.52060659613947036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0.27674967437794668</v>
      </c>
      <c r="C172" s="140">
        <f t="shared" ref="C172:W172" si="201">IF(C80=0,0,C80/C$77)</f>
        <v>0.26573399128361369</v>
      </c>
      <c r="D172" s="140">
        <f t="shared" si="201"/>
        <v>0.29983533739047818</v>
      </c>
      <c r="E172" s="140">
        <f t="shared" si="201"/>
        <v>0.37458678356401348</v>
      </c>
      <c r="F172" s="140">
        <f t="shared" si="201"/>
        <v>0.42134742748073473</v>
      </c>
      <c r="G172" s="140">
        <f t="shared" si="201"/>
        <v>0.43974221795835339</v>
      </c>
      <c r="H172" s="140">
        <f t="shared" si="201"/>
        <v>0.46123971271111558</v>
      </c>
      <c r="I172" s="140">
        <f t="shared" si="201"/>
        <v>0.51531350517211405</v>
      </c>
      <c r="J172" s="140">
        <f t="shared" si="201"/>
        <v>0.54692941882591584</v>
      </c>
      <c r="K172" s="140">
        <f t="shared" si="201"/>
        <v>0.45144020834497917</v>
      </c>
      <c r="L172" s="140">
        <f t="shared" si="201"/>
        <v>0.44449946299023152</v>
      </c>
      <c r="M172" s="140">
        <f t="shared" si="201"/>
        <v>0.51257041932807079</v>
      </c>
      <c r="N172" s="140">
        <f t="shared" si="201"/>
        <v>0.51501041988473095</v>
      </c>
      <c r="O172" s="140">
        <f t="shared" si="201"/>
        <v>0.5070241078177129</v>
      </c>
      <c r="P172" s="140">
        <f t="shared" si="201"/>
        <v>0.49460501077756475</v>
      </c>
      <c r="Q172" s="140">
        <f t="shared" si="201"/>
        <v>0.48918740456385118</v>
      </c>
      <c r="R172" s="140">
        <f t="shared" si="201"/>
        <v>0.4804623509489877</v>
      </c>
      <c r="S172" s="140">
        <f t="shared" si="201"/>
        <v>0.42060642361100387</v>
      </c>
      <c r="T172" s="140">
        <f t="shared" si="201"/>
        <v>0.40876356804547137</v>
      </c>
      <c r="U172" s="140">
        <f t="shared" si="201"/>
        <v>0.37359523869393729</v>
      </c>
      <c r="V172" s="140">
        <f t="shared" si="201"/>
        <v>0.34519644407138722</v>
      </c>
      <c r="W172" s="140">
        <f t="shared" si="201"/>
        <v>0.38719409736458638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0.2253748397388482</v>
      </c>
      <c r="C173" s="124">
        <f t="shared" ref="C173:W173" si="202">IF(C81=0,0,C81/C$77)</f>
        <v>0.19535318672532287</v>
      </c>
      <c r="D173" s="124">
        <f t="shared" si="202"/>
        <v>0.21126952586454736</v>
      </c>
      <c r="E173" s="124">
        <f t="shared" si="202"/>
        <v>0.19413996607463832</v>
      </c>
      <c r="F173" s="124">
        <f t="shared" si="202"/>
        <v>0.16584955204723581</v>
      </c>
      <c r="G173" s="124">
        <f t="shared" si="202"/>
        <v>0.17695470622060255</v>
      </c>
      <c r="H173" s="124">
        <f t="shared" si="202"/>
        <v>0.18269353642190517</v>
      </c>
      <c r="I173" s="124">
        <f t="shared" si="202"/>
        <v>0.14640977875419736</v>
      </c>
      <c r="J173" s="124">
        <f t="shared" si="202"/>
        <v>0.10930026803835029</v>
      </c>
      <c r="K173" s="124">
        <f t="shared" si="202"/>
        <v>0.17691397917178783</v>
      </c>
      <c r="L173" s="124">
        <f t="shared" si="202"/>
        <v>0.21836235234263521</v>
      </c>
      <c r="M173" s="124">
        <f t="shared" si="202"/>
        <v>0.14637849811082765</v>
      </c>
      <c r="N173" s="124">
        <f t="shared" si="202"/>
        <v>0.13252214505632531</v>
      </c>
      <c r="O173" s="124">
        <f t="shared" si="202"/>
        <v>0.11765369354734424</v>
      </c>
      <c r="P173" s="124">
        <f t="shared" si="202"/>
        <v>9.0854489281461587E-2</v>
      </c>
      <c r="Q173" s="124">
        <f t="shared" si="202"/>
        <v>8.7827895793733637E-2</v>
      </c>
      <c r="R173" s="124">
        <f t="shared" si="202"/>
        <v>6.9301018473551176E-2</v>
      </c>
      <c r="S173" s="124">
        <f t="shared" si="202"/>
        <v>7.1711615910348969E-2</v>
      </c>
      <c r="T173" s="124">
        <f t="shared" si="202"/>
        <v>6.0576970372397461E-2</v>
      </c>
      <c r="U173" s="124">
        <f t="shared" si="202"/>
        <v>6.2846948628215285E-2</v>
      </c>
      <c r="V173" s="124">
        <f t="shared" si="202"/>
        <v>5.7907059440905573E-2</v>
      </c>
      <c r="W173" s="124">
        <f t="shared" si="202"/>
        <v>5.5342045725494921E-2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1.480190908527524E-3</v>
      </c>
      <c r="C174" s="124">
        <f t="shared" ref="C174:W174" si="203">IF(C82=0,0,C82/C$77)</f>
        <v>1.2094920479836743E-3</v>
      </c>
      <c r="D174" s="124">
        <f t="shared" si="203"/>
        <v>9.2871089763839094E-4</v>
      </c>
      <c r="E174" s="124">
        <f t="shared" si="203"/>
        <v>1.1659016037547508E-3</v>
      </c>
      <c r="F174" s="124">
        <f t="shared" si="203"/>
        <v>1.5054879101412092E-3</v>
      </c>
      <c r="G174" s="124">
        <f t="shared" si="203"/>
        <v>2.0562705186876248E-3</v>
      </c>
      <c r="H174" s="124">
        <f t="shared" si="203"/>
        <v>1.9459360267092402E-3</v>
      </c>
      <c r="I174" s="124">
        <f t="shared" si="203"/>
        <v>2.0826177430151248E-3</v>
      </c>
      <c r="J174" s="124">
        <f t="shared" si="203"/>
        <v>2.5936860545128018E-3</v>
      </c>
      <c r="K174" s="124">
        <f t="shared" si="203"/>
        <v>1.7786940626298663E-3</v>
      </c>
      <c r="L174" s="124">
        <f t="shared" si="203"/>
        <v>1.6705862111112773E-3</v>
      </c>
      <c r="M174" s="124">
        <f t="shared" si="203"/>
        <v>1.8144860244819273E-3</v>
      </c>
      <c r="N174" s="124">
        <f t="shared" si="203"/>
        <v>2.5609777145250119E-3</v>
      </c>
      <c r="O174" s="124">
        <f t="shared" si="203"/>
        <v>2.961438169285964E-3</v>
      </c>
      <c r="P174" s="124">
        <f t="shared" si="203"/>
        <v>3.0275995437525779E-3</v>
      </c>
      <c r="Q174" s="124">
        <f t="shared" si="203"/>
        <v>3.0048241706127523E-3</v>
      </c>
      <c r="R174" s="124">
        <f t="shared" si="203"/>
        <v>2.8703088400974255E-3</v>
      </c>
      <c r="S174" s="124">
        <f t="shared" si="203"/>
        <v>3.5966108740247099E-3</v>
      </c>
      <c r="T174" s="124">
        <f t="shared" si="203"/>
        <v>3.6835957431043905E-3</v>
      </c>
      <c r="U174" s="124">
        <f t="shared" si="203"/>
        <v>3.9562451334535908E-3</v>
      </c>
      <c r="V174" s="124">
        <f t="shared" si="203"/>
        <v>4.015464856327644E-3</v>
      </c>
      <c r="W174" s="124">
        <f t="shared" si="203"/>
        <v>7.122935953142946E-3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1.1966816321318618E-3</v>
      </c>
      <c r="C176" s="140">
        <f t="shared" ref="C176:W176" si="205">IF(C84=0,0,C84/C$77)</f>
        <v>9.7199174842497961E-4</v>
      </c>
      <c r="D176" s="140">
        <f t="shared" si="205"/>
        <v>7.8195182204910546E-4</v>
      </c>
      <c r="E176" s="140">
        <f t="shared" si="205"/>
        <v>9.6857180340932463E-4</v>
      </c>
      <c r="F176" s="140">
        <f t="shared" si="205"/>
        <v>1.2900583848454259E-3</v>
      </c>
      <c r="G176" s="140">
        <f t="shared" si="205"/>
        <v>1.5780178648766665E-3</v>
      </c>
      <c r="H176" s="140">
        <f t="shared" si="205"/>
        <v>1.6842070139205191E-3</v>
      </c>
      <c r="I176" s="140">
        <f t="shared" si="205"/>
        <v>1.937817689183934E-3</v>
      </c>
      <c r="J176" s="140">
        <f t="shared" si="205"/>
        <v>2.5045673951969724E-3</v>
      </c>
      <c r="K176" s="140">
        <f t="shared" si="205"/>
        <v>1.7536674231505426E-3</v>
      </c>
      <c r="L176" s="140">
        <f t="shared" si="205"/>
        <v>1.6123932437934823E-3</v>
      </c>
      <c r="M176" s="140">
        <f t="shared" si="205"/>
        <v>1.7863022917460557E-3</v>
      </c>
      <c r="N176" s="140">
        <f t="shared" si="205"/>
        <v>2.5298905874326918E-3</v>
      </c>
      <c r="O176" s="140">
        <f t="shared" si="205"/>
        <v>2.9286431735414558E-3</v>
      </c>
      <c r="P176" s="140">
        <f t="shared" si="205"/>
        <v>2.9927668282920161E-3</v>
      </c>
      <c r="Q176" s="140">
        <f t="shared" si="205"/>
        <v>2.9654166663699625E-3</v>
      </c>
      <c r="R176" s="140">
        <f t="shared" si="205"/>
        <v>2.6205813669551892E-3</v>
      </c>
      <c r="S176" s="140">
        <f t="shared" si="205"/>
        <v>3.4903564590007962E-3</v>
      </c>
      <c r="T176" s="140">
        <f t="shared" si="205"/>
        <v>3.6260175177583102E-3</v>
      </c>
      <c r="U176" s="140">
        <f t="shared" si="205"/>
        <v>3.7921357590441412E-3</v>
      </c>
      <c r="V176" s="140">
        <f t="shared" si="205"/>
        <v>3.843124089832724E-3</v>
      </c>
      <c r="W176" s="140">
        <f t="shared" si="205"/>
        <v>6.6545029722738566E-3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2.8350927639566215E-4</v>
      </c>
      <c r="C177" s="140">
        <f t="shared" ref="C177:W177" si="206">IF(C85=0,0,C85/C$77)</f>
        <v>2.3750029955869474E-4</v>
      </c>
      <c r="D177" s="140">
        <f t="shared" si="206"/>
        <v>1.4675907558928553E-4</v>
      </c>
      <c r="E177" s="140">
        <f t="shared" si="206"/>
        <v>1.9732980034542621E-4</v>
      </c>
      <c r="F177" s="140">
        <f t="shared" si="206"/>
        <v>2.1542952529578322E-4</v>
      </c>
      <c r="G177" s="140">
        <f t="shared" si="206"/>
        <v>4.782526538109582E-4</v>
      </c>
      <c r="H177" s="140">
        <f t="shared" si="206"/>
        <v>2.6172901278872108E-4</v>
      </c>
      <c r="I177" s="140">
        <f t="shared" si="206"/>
        <v>1.4480005383119099E-4</v>
      </c>
      <c r="J177" s="140">
        <f t="shared" si="206"/>
        <v>8.9118659315829481E-5</v>
      </c>
      <c r="K177" s="140">
        <f t="shared" si="206"/>
        <v>2.5026639479323733E-5</v>
      </c>
      <c r="L177" s="140">
        <f t="shared" si="206"/>
        <v>5.8192967317794856E-5</v>
      </c>
      <c r="M177" s="140">
        <f t="shared" si="206"/>
        <v>2.8183732735871338E-5</v>
      </c>
      <c r="N177" s="140">
        <f t="shared" si="206"/>
        <v>3.1087127092320028E-5</v>
      </c>
      <c r="O177" s="140">
        <f t="shared" si="206"/>
        <v>3.2794995744508066E-5</v>
      </c>
      <c r="P177" s="140">
        <f t="shared" si="206"/>
        <v>3.4832715460561694E-5</v>
      </c>
      <c r="Q177" s="140">
        <f t="shared" si="206"/>
        <v>3.9407504242790084E-5</v>
      </c>
      <c r="R177" s="140">
        <f t="shared" si="206"/>
        <v>2.4972747314223621E-4</v>
      </c>
      <c r="S177" s="140">
        <f t="shared" si="206"/>
        <v>1.0625441502391415E-4</v>
      </c>
      <c r="T177" s="140">
        <f t="shared" si="206"/>
        <v>5.7578225346080456E-5</v>
      </c>
      <c r="U177" s="140">
        <f t="shared" si="206"/>
        <v>1.6410937440945015E-4</v>
      </c>
      <c r="V177" s="140">
        <f t="shared" si="206"/>
        <v>1.7234076649492037E-4</v>
      </c>
      <c r="W177" s="140">
        <f t="shared" si="206"/>
        <v>4.6843298086908888E-4</v>
      </c>
      <c r="DA177" s="175"/>
    </row>
    <row r="178" spans="1:105" ht="11.45" customHeight="1" x14ac:dyDescent="0.25">
      <c r="A178" s="109" t="s">
        <v>142</v>
      </c>
      <c r="B178" s="124">
        <f t="shared" si="197"/>
        <v>3.944282732400814E-2</v>
      </c>
      <c r="C178" s="124">
        <f t="shared" ref="C178:W178" si="207">IF(C86=0,0,C86/C$77)</f>
        <v>3.5662241873730072E-2</v>
      </c>
      <c r="D178" s="124">
        <f t="shared" si="207"/>
        <v>3.4229856282503184E-2</v>
      </c>
      <c r="E178" s="124">
        <f t="shared" si="207"/>
        <v>4.01654329619517E-2</v>
      </c>
      <c r="F178" s="124">
        <f t="shared" si="207"/>
        <v>3.5470528243825988E-2</v>
      </c>
      <c r="G178" s="124">
        <f t="shared" si="207"/>
        <v>3.5252856299225706E-2</v>
      </c>
      <c r="H178" s="124">
        <f t="shared" si="207"/>
        <v>3.0530345632616411E-2</v>
      </c>
      <c r="I178" s="124">
        <f t="shared" si="207"/>
        <v>3.41077310429077E-2</v>
      </c>
      <c r="J178" s="124">
        <f t="shared" si="207"/>
        <v>3.1708677966341803E-2</v>
      </c>
      <c r="K178" s="124">
        <f t="shared" si="207"/>
        <v>4.2620340832398733E-2</v>
      </c>
      <c r="L178" s="124">
        <f t="shared" si="207"/>
        <v>3.644264444446977E-2</v>
      </c>
      <c r="M178" s="124">
        <f t="shared" si="207"/>
        <v>2.2925070918942317E-2</v>
      </c>
      <c r="N178" s="124">
        <f t="shared" si="207"/>
        <v>1.8677438814215498E-2</v>
      </c>
      <c r="O178" s="124">
        <f t="shared" si="207"/>
        <v>1.968308689969955E-2</v>
      </c>
      <c r="P178" s="124">
        <f t="shared" si="207"/>
        <v>3.0967521506847322E-2</v>
      </c>
      <c r="Q178" s="124">
        <f t="shared" si="207"/>
        <v>3.1745510657107019E-2</v>
      </c>
      <c r="R178" s="124">
        <f t="shared" si="207"/>
        <v>2.7495038901357117E-2</v>
      </c>
      <c r="S178" s="124">
        <f t="shared" si="207"/>
        <v>3.6933341448888296E-2</v>
      </c>
      <c r="T178" s="124">
        <f t="shared" si="207"/>
        <v>3.5430159545035346E-2</v>
      </c>
      <c r="U178" s="124">
        <f t="shared" si="207"/>
        <v>2.9349590804491028E-2</v>
      </c>
      <c r="V178" s="124">
        <f t="shared" si="207"/>
        <v>3.7744194366219563E-2</v>
      </c>
      <c r="W178" s="124">
        <f t="shared" si="207"/>
        <v>2.9734324817305525E-2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3.944282732400814E-2</v>
      </c>
      <c r="C179" s="140">
        <f t="shared" ref="C179:W179" si="208">IF(C87=0,0,C87/C$77)</f>
        <v>3.5662241873730072E-2</v>
      </c>
      <c r="D179" s="140">
        <f t="shared" si="208"/>
        <v>3.4229856282503184E-2</v>
      </c>
      <c r="E179" s="140">
        <f t="shared" si="208"/>
        <v>4.01654329619517E-2</v>
      </c>
      <c r="F179" s="140">
        <f t="shared" si="208"/>
        <v>3.5470528243825988E-2</v>
      </c>
      <c r="G179" s="140">
        <f t="shared" si="208"/>
        <v>3.5252856299225706E-2</v>
      </c>
      <c r="H179" s="140">
        <f t="shared" si="208"/>
        <v>3.0530345632616411E-2</v>
      </c>
      <c r="I179" s="140">
        <f t="shared" si="208"/>
        <v>3.41077310429077E-2</v>
      </c>
      <c r="J179" s="140">
        <f t="shared" si="208"/>
        <v>3.1708677966341803E-2</v>
      </c>
      <c r="K179" s="140">
        <f t="shared" si="208"/>
        <v>4.2620340832398733E-2</v>
      </c>
      <c r="L179" s="140">
        <f t="shared" si="208"/>
        <v>3.644264444446977E-2</v>
      </c>
      <c r="M179" s="140">
        <f t="shared" si="208"/>
        <v>2.2925070918942317E-2</v>
      </c>
      <c r="N179" s="140">
        <f t="shared" si="208"/>
        <v>1.8677438814215498E-2</v>
      </c>
      <c r="O179" s="140">
        <f t="shared" si="208"/>
        <v>1.968308689969955E-2</v>
      </c>
      <c r="P179" s="140">
        <f t="shared" si="208"/>
        <v>3.0967521506847322E-2</v>
      </c>
      <c r="Q179" s="140">
        <f t="shared" si="208"/>
        <v>3.1745510657107019E-2</v>
      </c>
      <c r="R179" s="140">
        <f t="shared" si="208"/>
        <v>2.7495038901357117E-2</v>
      </c>
      <c r="S179" s="140">
        <f t="shared" si="208"/>
        <v>3.6933341448888296E-2</v>
      </c>
      <c r="T179" s="140">
        <f t="shared" si="208"/>
        <v>3.5430159545035346E-2</v>
      </c>
      <c r="U179" s="140">
        <f t="shared" si="208"/>
        <v>2.9349590804491028E-2</v>
      </c>
      <c r="V179" s="140">
        <f t="shared" si="208"/>
        <v>3.7744194366219563E-2</v>
      </c>
      <c r="W179" s="140">
        <f t="shared" si="208"/>
        <v>2.9734324817305525E-2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0.48954418086301699</v>
      </c>
      <c r="C182" s="140">
        <f t="shared" ref="C182:W182" si="211">IF(C90=0,0,C90/C$89)</f>
        <v>0.48846065340928529</v>
      </c>
      <c r="D182" s="140">
        <f t="shared" si="211"/>
        <v>0.48735986440554924</v>
      </c>
      <c r="E182" s="140">
        <f t="shared" si="211"/>
        <v>0.50674441534031756</v>
      </c>
      <c r="F182" s="140">
        <f t="shared" si="211"/>
        <v>0.46049343534338366</v>
      </c>
      <c r="G182" s="140">
        <f t="shared" si="211"/>
        <v>0.41328373877857089</v>
      </c>
      <c r="H182" s="140">
        <f t="shared" si="211"/>
        <v>0.42074442121625566</v>
      </c>
      <c r="I182" s="140">
        <f t="shared" si="211"/>
        <v>0.41755631846679842</v>
      </c>
      <c r="J182" s="140">
        <f t="shared" si="211"/>
        <v>0.40841686791927562</v>
      </c>
      <c r="K182" s="140">
        <f t="shared" si="211"/>
        <v>0.39150273692270565</v>
      </c>
      <c r="L182" s="140">
        <f t="shared" si="211"/>
        <v>0.38070154378469384</v>
      </c>
      <c r="M182" s="140">
        <f t="shared" si="211"/>
        <v>0.39023618991373876</v>
      </c>
      <c r="N182" s="140">
        <f t="shared" si="211"/>
        <v>0.31016227877157643</v>
      </c>
      <c r="O182" s="140">
        <f t="shared" si="211"/>
        <v>0.41783050662543408</v>
      </c>
      <c r="P182" s="140">
        <f t="shared" si="211"/>
        <v>0.41662850055767048</v>
      </c>
      <c r="Q182" s="140">
        <f t="shared" si="211"/>
        <v>0.38250950328730393</v>
      </c>
      <c r="R182" s="140">
        <f t="shared" si="211"/>
        <v>0.37275315617696686</v>
      </c>
      <c r="S182" s="140">
        <f t="shared" si="211"/>
        <v>0.38380572090658954</v>
      </c>
      <c r="T182" s="140">
        <f t="shared" si="211"/>
        <v>0.38521790543856738</v>
      </c>
      <c r="U182" s="140">
        <f t="shared" si="211"/>
        <v>0.36725960657698409</v>
      </c>
      <c r="V182" s="140">
        <f t="shared" si="211"/>
        <v>0.28716765542901568</v>
      </c>
      <c r="W182" s="140">
        <f t="shared" si="211"/>
        <v>0.3112163384630755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0.51045581913698301</v>
      </c>
      <c r="C183" s="127">
        <f t="shared" ref="C183:W183" si="212">IF(C91=0,0,C91/C$89)</f>
        <v>0.51153934659071476</v>
      </c>
      <c r="D183" s="127">
        <f t="shared" si="212"/>
        <v>0.51264013559445076</v>
      </c>
      <c r="E183" s="127">
        <f t="shared" si="212"/>
        <v>0.49325558465968244</v>
      </c>
      <c r="F183" s="127">
        <f t="shared" si="212"/>
        <v>0.53950656465661639</v>
      </c>
      <c r="G183" s="127">
        <f t="shared" si="212"/>
        <v>0.58671626122142917</v>
      </c>
      <c r="H183" s="127">
        <f t="shared" si="212"/>
        <v>0.57925557878374423</v>
      </c>
      <c r="I183" s="127">
        <f t="shared" si="212"/>
        <v>0.58244368153320158</v>
      </c>
      <c r="J183" s="127">
        <f t="shared" si="212"/>
        <v>0.59158313208072444</v>
      </c>
      <c r="K183" s="127">
        <f t="shared" si="212"/>
        <v>0.60849726307729446</v>
      </c>
      <c r="L183" s="127">
        <f t="shared" si="212"/>
        <v>0.61929845621530621</v>
      </c>
      <c r="M183" s="127">
        <f t="shared" si="212"/>
        <v>0.60976381008626124</v>
      </c>
      <c r="N183" s="127">
        <f t="shared" si="212"/>
        <v>0.68983772122842368</v>
      </c>
      <c r="O183" s="127">
        <f t="shared" si="212"/>
        <v>0.58216949337456592</v>
      </c>
      <c r="P183" s="127">
        <f t="shared" si="212"/>
        <v>0.58337149944232958</v>
      </c>
      <c r="Q183" s="127">
        <f t="shared" si="212"/>
        <v>0.61749049671269618</v>
      </c>
      <c r="R183" s="127">
        <f t="shared" si="212"/>
        <v>0.62724684382303308</v>
      </c>
      <c r="S183" s="127">
        <f t="shared" si="212"/>
        <v>0.61619427909341051</v>
      </c>
      <c r="T183" s="127">
        <f t="shared" si="212"/>
        <v>0.61478209456143262</v>
      </c>
      <c r="U183" s="127">
        <f t="shared" si="212"/>
        <v>0.63274039342301591</v>
      </c>
      <c r="V183" s="127">
        <f t="shared" si="212"/>
        <v>0.71283234457098421</v>
      </c>
      <c r="W183" s="127">
        <f t="shared" si="212"/>
        <v>0.6887836615369245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38.096783869830062</v>
      </c>
      <c r="C186" s="32">
        <f t="shared" si="213"/>
        <v>47.201193902582737</v>
      </c>
      <c r="D186" s="32">
        <f t="shared" si="213"/>
        <v>46.100654019398753</v>
      </c>
      <c r="E186" s="32">
        <f t="shared" si="213"/>
        <v>42.297903426575459</v>
      </c>
      <c r="F186" s="32">
        <f t="shared" si="213"/>
        <v>42.188329257544169</v>
      </c>
      <c r="G186" s="32">
        <f t="shared" si="213"/>
        <v>37.408023183771128</v>
      </c>
      <c r="H186" s="32">
        <f t="shared" si="213"/>
        <v>40.393517898302804</v>
      </c>
      <c r="I186" s="32">
        <f t="shared" si="213"/>
        <v>43.276604781437129</v>
      </c>
      <c r="J186" s="32">
        <f t="shared" si="213"/>
        <v>42.007740014538086</v>
      </c>
      <c r="K186" s="32">
        <f t="shared" si="213"/>
        <v>40.125938231252896</v>
      </c>
      <c r="L186" s="32">
        <f t="shared" si="213"/>
        <v>41.756631551389759</v>
      </c>
      <c r="M186" s="32">
        <f t="shared" si="213"/>
        <v>40.69113210613309</v>
      </c>
      <c r="N186" s="32">
        <f t="shared" si="213"/>
        <v>41.230732399604392</v>
      </c>
      <c r="O186" s="32">
        <f t="shared" si="213"/>
        <v>39.439760962877294</v>
      </c>
      <c r="P186" s="32">
        <f t="shared" si="213"/>
        <v>38.365204748445521</v>
      </c>
      <c r="Q186" s="32">
        <f t="shared" si="213"/>
        <v>37.503032255653871</v>
      </c>
      <c r="R186" s="32">
        <f t="shared" si="213"/>
        <v>36.243160987580623</v>
      </c>
      <c r="S186" s="32">
        <f t="shared" si="213"/>
        <v>37.904249467573621</v>
      </c>
      <c r="T186" s="32">
        <f t="shared" si="213"/>
        <v>38.533881763507239</v>
      </c>
      <c r="U186" s="32">
        <f t="shared" si="213"/>
        <v>36.065215451003276</v>
      </c>
      <c r="V186" s="32">
        <f t="shared" si="213"/>
        <v>43.761435201338557</v>
      </c>
      <c r="W186" s="32">
        <f t="shared" ref="W186" si="214">IF(W34=0,0,W34/W4*1000)</f>
        <v>42.090033993470449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39.056790424639708</v>
      </c>
      <c r="C187" s="141">
        <f t="shared" si="215"/>
        <v>48.666100563865577</v>
      </c>
      <c r="D187" s="141">
        <f t="shared" si="215"/>
        <v>47.469486848165403</v>
      </c>
      <c r="E187" s="141">
        <f t="shared" si="215"/>
        <v>43.382248324979209</v>
      </c>
      <c r="F187" s="141">
        <f t="shared" si="215"/>
        <v>43.02253501304363</v>
      </c>
      <c r="G187" s="141">
        <f t="shared" si="215"/>
        <v>37.477573147801252</v>
      </c>
      <c r="H187" s="141">
        <f t="shared" si="215"/>
        <v>40.80532717728201</v>
      </c>
      <c r="I187" s="141">
        <f t="shared" si="215"/>
        <v>43.696092642651045</v>
      </c>
      <c r="J187" s="141">
        <f t="shared" si="215"/>
        <v>41.713719512038786</v>
      </c>
      <c r="K187" s="141">
        <f t="shared" si="215"/>
        <v>40.492777594590663</v>
      </c>
      <c r="L187" s="141">
        <f t="shared" si="215"/>
        <v>42.826340335890094</v>
      </c>
      <c r="M187" s="141">
        <f t="shared" si="215"/>
        <v>41.627758959507354</v>
      </c>
      <c r="N187" s="141">
        <f t="shared" si="215"/>
        <v>41.87601727883856</v>
      </c>
      <c r="O187" s="141">
        <f t="shared" si="215"/>
        <v>39.809515973758941</v>
      </c>
      <c r="P187" s="141">
        <f t="shared" si="215"/>
        <v>38.837051002187295</v>
      </c>
      <c r="Q187" s="141">
        <f t="shared" si="215"/>
        <v>38.148423681017114</v>
      </c>
      <c r="R187" s="141">
        <f t="shared" si="215"/>
        <v>37.045849468648193</v>
      </c>
      <c r="S187" s="141">
        <f t="shared" si="215"/>
        <v>38.582133116387801</v>
      </c>
      <c r="T187" s="141">
        <f t="shared" si="215"/>
        <v>39.425058398023118</v>
      </c>
      <c r="U187" s="141">
        <f t="shared" si="215"/>
        <v>36.986325700072392</v>
      </c>
      <c r="V187" s="141">
        <f t="shared" si="215"/>
        <v>44.266953634761592</v>
      </c>
      <c r="W187" s="141">
        <f t="shared" ref="W187" si="216">IF(W35=0,0,W35/W5*1000)</f>
        <v>42.975265366803583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46.374413066858274</v>
      </c>
      <c r="C188" s="97">
        <f t="shared" si="217"/>
        <v>46.216144444344941</v>
      </c>
      <c r="D188" s="97">
        <f t="shared" si="217"/>
        <v>45.787648754078418</v>
      </c>
      <c r="E188" s="97">
        <f t="shared" si="217"/>
        <v>45.186381512861551</v>
      </c>
      <c r="F188" s="97">
        <f t="shared" si="217"/>
        <v>44.639168434643963</v>
      </c>
      <c r="G188" s="97">
        <f t="shared" si="217"/>
        <v>44.166312346488418</v>
      </c>
      <c r="H188" s="97">
        <f t="shared" si="217"/>
        <v>43.342955765681076</v>
      </c>
      <c r="I188" s="97">
        <f t="shared" si="217"/>
        <v>42.705529345713963</v>
      </c>
      <c r="J188" s="97">
        <f t="shared" si="217"/>
        <v>41.888663291045525</v>
      </c>
      <c r="K188" s="97">
        <f t="shared" si="217"/>
        <v>41.454789786943209</v>
      </c>
      <c r="L188" s="97">
        <f t="shared" si="217"/>
        <v>41.055158737868432</v>
      </c>
      <c r="M188" s="97">
        <f t="shared" si="217"/>
        <v>39.99214900260116</v>
      </c>
      <c r="N188" s="97">
        <f t="shared" si="217"/>
        <v>38.240566036384962</v>
      </c>
      <c r="O188" s="97">
        <f t="shared" si="217"/>
        <v>37.714541933950414</v>
      </c>
      <c r="P188" s="97">
        <f t="shared" si="217"/>
        <v>37.052595722353303</v>
      </c>
      <c r="Q188" s="97">
        <f t="shared" si="217"/>
        <v>36.579382441139835</v>
      </c>
      <c r="R188" s="97">
        <f t="shared" si="217"/>
        <v>35.992875674306553</v>
      </c>
      <c r="S188" s="97">
        <f t="shared" si="217"/>
        <v>35.583075592714152</v>
      </c>
      <c r="T188" s="97">
        <f t="shared" si="217"/>
        <v>35.343440825749305</v>
      </c>
      <c r="U188" s="97">
        <f t="shared" si="217"/>
        <v>35.073988219893785</v>
      </c>
      <c r="V188" s="97">
        <f t="shared" si="217"/>
        <v>34.841091339655932</v>
      </c>
      <c r="W188" s="97">
        <f t="shared" ref="W188" si="218">IF(W36=0,0,W36/W6*1000)</f>
        <v>32.345699931867763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41.738714854601135</v>
      </c>
      <c r="C189" s="97">
        <f t="shared" si="219"/>
        <v>51.484631449699371</v>
      </c>
      <c r="D189" s="97">
        <f t="shared" si="219"/>
        <v>47.42194583148251</v>
      </c>
      <c r="E189" s="97">
        <f t="shared" si="219"/>
        <v>43.555795020075166</v>
      </c>
      <c r="F189" s="97">
        <f t="shared" si="219"/>
        <v>43.605274215957451</v>
      </c>
      <c r="G189" s="97">
        <f t="shared" si="219"/>
        <v>36.976605734479172</v>
      </c>
      <c r="H189" s="97">
        <f t="shared" si="219"/>
        <v>41.674359235694162</v>
      </c>
      <c r="I189" s="97">
        <f t="shared" si="219"/>
        <v>46.060116377959808</v>
      </c>
      <c r="J189" s="97">
        <f t="shared" si="219"/>
        <v>43.343385536689993</v>
      </c>
      <c r="K189" s="97">
        <f t="shared" si="219"/>
        <v>41.57058551903993</v>
      </c>
      <c r="L189" s="97">
        <f t="shared" si="219"/>
        <v>43.545661257600187</v>
      </c>
      <c r="M189" s="97">
        <f t="shared" si="219"/>
        <v>42.21594016041626</v>
      </c>
      <c r="N189" s="97">
        <f t="shared" si="219"/>
        <v>41.663549957559546</v>
      </c>
      <c r="O189" s="97">
        <f t="shared" si="219"/>
        <v>39.445919354617224</v>
      </c>
      <c r="P189" s="97">
        <f t="shared" si="219"/>
        <v>38.185373018326658</v>
      </c>
      <c r="Q189" s="97">
        <f t="shared" si="219"/>
        <v>38.45950275912115</v>
      </c>
      <c r="R189" s="97">
        <f t="shared" si="219"/>
        <v>38.020888653162999</v>
      </c>
      <c r="S189" s="97">
        <f t="shared" si="219"/>
        <v>38.693937881530857</v>
      </c>
      <c r="T189" s="97">
        <f t="shared" si="219"/>
        <v>39.585131511193545</v>
      </c>
      <c r="U189" s="97">
        <f t="shared" si="219"/>
        <v>38.013456273453286</v>
      </c>
      <c r="V189" s="97">
        <f t="shared" si="219"/>
        <v>41.195492975781171</v>
      </c>
      <c r="W189" s="97">
        <f t="shared" ref="W189" si="220">IF(W37=0,0,W37/W7*1000)</f>
        <v>39.047279038961754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32.216783591282208</v>
      </c>
      <c r="C190" s="97">
        <f t="shared" si="221"/>
        <v>40.877143718165954</v>
      </c>
      <c r="D190" s="97">
        <f t="shared" si="221"/>
        <v>47.62083041563023</v>
      </c>
      <c r="E190" s="97">
        <f t="shared" si="221"/>
        <v>42.794485897891917</v>
      </c>
      <c r="F190" s="97">
        <f t="shared" si="221"/>
        <v>41.17029332284347</v>
      </c>
      <c r="G190" s="97">
        <f t="shared" si="221"/>
        <v>39.274490635303351</v>
      </c>
      <c r="H190" s="97">
        <f t="shared" si="221"/>
        <v>37.790013251673344</v>
      </c>
      <c r="I190" s="97">
        <f t="shared" si="221"/>
        <v>34.872715448697811</v>
      </c>
      <c r="J190" s="97">
        <f t="shared" si="221"/>
        <v>34.73625698783502</v>
      </c>
      <c r="K190" s="97">
        <f t="shared" si="221"/>
        <v>35.127903556448388</v>
      </c>
      <c r="L190" s="97">
        <f t="shared" si="221"/>
        <v>39.324223893894661</v>
      </c>
      <c r="M190" s="97">
        <f t="shared" si="221"/>
        <v>38.703811627159823</v>
      </c>
      <c r="N190" s="97">
        <f t="shared" si="221"/>
        <v>43.188310987031791</v>
      </c>
      <c r="O190" s="97">
        <f t="shared" si="221"/>
        <v>41.984942282499439</v>
      </c>
      <c r="P190" s="97">
        <f t="shared" si="221"/>
        <v>42.79744392251132</v>
      </c>
      <c r="Q190" s="97">
        <f t="shared" si="221"/>
        <v>36.562657821126024</v>
      </c>
      <c r="R190" s="97">
        <f t="shared" si="221"/>
        <v>32.808062240543912</v>
      </c>
      <c r="S190" s="97">
        <f t="shared" si="221"/>
        <v>38.13839370346458</v>
      </c>
      <c r="T190" s="97">
        <f t="shared" si="221"/>
        <v>38.760568438210079</v>
      </c>
      <c r="U190" s="97">
        <f t="shared" si="221"/>
        <v>32.434056139586787</v>
      </c>
      <c r="V190" s="97">
        <f t="shared" si="221"/>
        <v>71.952718506733859</v>
      </c>
      <c r="W190" s="97">
        <f t="shared" ref="W190" si="222">IF(W38=0,0,W38/W8*1000)</f>
        <v>83.437750848326175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12.056308469336637</v>
      </c>
      <c r="C191" s="130">
        <f t="shared" si="223"/>
        <v>11.595640401526252</v>
      </c>
      <c r="D191" s="130">
        <f t="shared" si="223"/>
        <v>11.515945465254132</v>
      </c>
      <c r="E191" s="130">
        <f t="shared" si="223"/>
        <v>11.128495281922694</v>
      </c>
      <c r="F191" s="130">
        <f t="shared" si="223"/>
        <v>10.183190487804222</v>
      </c>
      <c r="G191" s="130">
        <f t="shared" si="223"/>
        <v>9.4838339724390437</v>
      </c>
      <c r="H191" s="130">
        <f t="shared" si="223"/>
        <v>9.9451348207011776</v>
      </c>
      <c r="I191" s="130">
        <f t="shared" si="223"/>
        <v>10.772054849546869</v>
      </c>
      <c r="J191" s="130">
        <f t="shared" si="223"/>
        <v>8.6974949600862281</v>
      </c>
      <c r="K191" s="130">
        <f t="shared" si="223"/>
        <v>8.8605592551922872</v>
      </c>
      <c r="L191" s="130">
        <f t="shared" si="223"/>
        <v>10.316915608244084</v>
      </c>
      <c r="M191" s="130">
        <f t="shared" si="223"/>
        <v>10.160213087815485</v>
      </c>
      <c r="N191" s="130">
        <f t="shared" si="223"/>
        <v>8.146868024636797</v>
      </c>
      <c r="O191" s="130">
        <f t="shared" si="223"/>
        <v>10.234823341810573</v>
      </c>
      <c r="P191" s="130">
        <f t="shared" si="223"/>
        <v>10.455417148869868</v>
      </c>
      <c r="Q191" s="130">
        <f t="shared" si="223"/>
        <v>10.385055647636529</v>
      </c>
      <c r="R191" s="130">
        <f t="shared" si="223"/>
        <v>9.2594609095982605</v>
      </c>
      <c r="S191" s="130">
        <f t="shared" si="223"/>
        <v>9.4959783597063119</v>
      </c>
      <c r="T191" s="130">
        <f t="shared" si="223"/>
        <v>9.0975488431382061</v>
      </c>
      <c r="U191" s="130">
        <f t="shared" si="223"/>
        <v>11.910387623113891</v>
      </c>
      <c r="V191" s="130">
        <f t="shared" si="223"/>
        <v>17.723753953535638</v>
      </c>
      <c r="W191" s="130">
        <f t="shared" ref="W191" si="224">IF(W39=0,0,W39/W9*1000)</f>
        <v>11.686644005317769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5.1894563721102784</v>
      </c>
      <c r="C192" s="97">
        <f t="shared" si="225"/>
        <v>5.4687201322302323</v>
      </c>
      <c r="D192" s="97">
        <f t="shared" si="225"/>
        <v>5.6928816906253985</v>
      </c>
      <c r="E192" s="97">
        <f t="shared" si="225"/>
        <v>5.6898169182068807</v>
      </c>
      <c r="F192" s="97">
        <f t="shared" si="225"/>
        <v>5.050061995940518</v>
      </c>
      <c r="G192" s="97">
        <f t="shared" si="225"/>
        <v>4.4941887272921113</v>
      </c>
      <c r="H192" s="97">
        <f t="shared" si="225"/>
        <v>4.3531740441890152</v>
      </c>
      <c r="I192" s="97">
        <f t="shared" si="225"/>
        <v>4.3260205211615359</v>
      </c>
      <c r="J192" s="97">
        <f t="shared" si="225"/>
        <v>3.5850693721726881</v>
      </c>
      <c r="K192" s="97">
        <f t="shared" si="225"/>
        <v>3.9816516230787449</v>
      </c>
      <c r="L192" s="97">
        <f t="shared" si="225"/>
        <v>4.3196355428289444</v>
      </c>
      <c r="M192" s="97">
        <f t="shared" si="225"/>
        <v>4.2000547808102899</v>
      </c>
      <c r="N192" s="97">
        <f t="shared" si="225"/>
        <v>4.0592482737063484</v>
      </c>
      <c r="O192" s="97">
        <f t="shared" si="225"/>
        <v>4.2429773958169461</v>
      </c>
      <c r="P192" s="97">
        <f t="shared" si="225"/>
        <v>4.1967645773209368</v>
      </c>
      <c r="Q192" s="97">
        <f t="shared" si="225"/>
        <v>4.1713236055701826</v>
      </c>
      <c r="R192" s="97">
        <f t="shared" si="225"/>
        <v>4.0568681520837018</v>
      </c>
      <c r="S192" s="97">
        <f t="shared" si="225"/>
        <v>3.8924932806704202</v>
      </c>
      <c r="T192" s="97">
        <f t="shared" si="225"/>
        <v>4.1250885374176454</v>
      </c>
      <c r="U192" s="97">
        <f t="shared" si="225"/>
        <v>4.1936424015458647</v>
      </c>
      <c r="V192" s="97">
        <f t="shared" si="225"/>
        <v>7.1754280025074824</v>
      </c>
      <c r="W192" s="97">
        <f t="shared" ref="W192" si="226">IF(W40=0,0,W40/W10*1000)</f>
        <v>6.4057596111500006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14.810942241672269</v>
      </c>
      <c r="C193" s="97">
        <f t="shared" si="227"/>
        <v>14.534163008221784</v>
      </c>
      <c r="D193" s="97">
        <f t="shared" si="227"/>
        <v>14.556641101172161</v>
      </c>
      <c r="E193" s="97">
        <f t="shared" si="227"/>
        <v>13.919417275469316</v>
      </c>
      <c r="F193" s="97">
        <f t="shared" si="227"/>
        <v>12.40134031278574</v>
      </c>
      <c r="G193" s="97">
        <f t="shared" si="227"/>
        <v>10.99883512953406</v>
      </c>
      <c r="H193" s="97">
        <f t="shared" si="227"/>
        <v>11.655360957019685</v>
      </c>
      <c r="I193" s="97">
        <f t="shared" si="227"/>
        <v>12.635288129868469</v>
      </c>
      <c r="J193" s="97">
        <f t="shared" si="227"/>
        <v>10.038051314884854</v>
      </c>
      <c r="K193" s="97">
        <f t="shared" si="227"/>
        <v>10.268329844125867</v>
      </c>
      <c r="L193" s="97">
        <f t="shared" si="227"/>
        <v>12.061395692697046</v>
      </c>
      <c r="M193" s="97">
        <f t="shared" si="227"/>
        <v>11.75076595157134</v>
      </c>
      <c r="N193" s="97">
        <f t="shared" si="227"/>
        <v>9.7541027165760514</v>
      </c>
      <c r="O193" s="97">
        <f t="shared" si="227"/>
        <v>12.270546284645828</v>
      </c>
      <c r="P193" s="97">
        <f t="shared" si="227"/>
        <v>11.763430831662371</v>
      </c>
      <c r="Q193" s="97">
        <f t="shared" si="227"/>
        <v>11.583176162293139</v>
      </c>
      <c r="R193" s="97">
        <f t="shared" si="227"/>
        <v>10.198463046725111</v>
      </c>
      <c r="S193" s="97">
        <f t="shared" si="227"/>
        <v>10.408534993957502</v>
      </c>
      <c r="T193" s="97">
        <f t="shared" si="227"/>
        <v>10.097907691981154</v>
      </c>
      <c r="U193" s="97">
        <f t="shared" si="227"/>
        <v>13.629883188454516</v>
      </c>
      <c r="V193" s="97">
        <f t="shared" si="227"/>
        <v>19.746545858532414</v>
      </c>
      <c r="W193" s="97">
        <f t="shared" ref="W193" si="228">IF(W41=0,0,W41/W11*1000)</f>
        <v>12.722783365913296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39.207892017768806</v>
      </c>
      <c r="C195" s="130">
        <f t="shared" si="231"/>
        <v>38.146352033665025</v>
      </c>
      <c r="D195" s="130">
        <f t="shared" si="231"/>
        <v>38.360477292018665</v>
      </c>
      <c r="E195" s="130">
        <f t="shared" si="231"/>
        <v>38.123264937166766</v>
      </c>
      <c r="F195" s="130">
        <f t="shared" si="231"/>
        <v>42.535789876997583</v>
      </c>
      <c r="G195" s="130">
        <f t="shared" si="231"/>
        <v>44.650081100140845</v>
      </c>
      <c r="H195" s="130">
        <f t="shared" si="231"/>
        <v>44.674331928054485</v>
      </c>
      <c r="I195" s="130">
        <f t="shared" si="231"/>
        <v>48.355067407495795</v>
      </c>
      <c r="J195" s="130">
        <f t="shared" si="231"/>
        <v>54.488480651356745</v>
      </c>
      <c r="K195" s="130">
        <f t="shared" si="231"/>
        <v>47.123767806521222</v>
      </c>
      <c r="L195" s="130">
        <f t="shared" si="231"/>
        <v>38.288299516319576</v>
      </c>
      <c r="M195" s="130">
        <f t="shared" si="231"/>
        <v>38.716882075199671</v>
      </c>
      <c r="N195" s="130">
        <f t="shared" si="231"/>
        <v>43.135929327136424</v>
      </c>
      <c r="O195" s="130">
        <f t="shared" si="231"/>
        <v>42.941610705141443</v>
      </c>
      <c r="P195" s="130">
        <f t="shared" si="231"/>
        <v>40.881627340013864</v>
      </c>
      <c r="Q195" s="130">
        <f t="shared" si="231"/>
        <v>37.299541420709843</v>
      </c>
      <c r="R195" s="130">
        <f t="shared" si="231"/>
        <v>34.237777952207999</v>
      </c>
      <c r="S195" s="130">
        <f t="shared" si="231"/>
        <v>38.715092184210263</v>
      </c>
      <c r="T195" s="130">
        <f t="shared" si="231"/>
        <v>38.686361697706538</v>
      </c>
      <c r="U195" s="130">
        <f t="shared" si="231"/>
        <v>33.879709353521946</v>
      </c>
      <c r="V195" s="130">
        <f t="shared" si="231"/>
        <v>46.279069785037841</v>
      </c>
      <c r="W195" s="130">
        <f t="shared" ref="W195" si="232">IF(W43=0,0,W43/W13*1000)</f>
        <v>39.932952016208127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42.316857232921954</v>
      </c>
      <c r="C197" s="97">
        <f t="shared" si="235"/>
        <v>41.039759053439312</v>
      </c>
      <c r="D197" s="97">
        <f t="shared" si="235"/>
        <v>41.740566019614874</v>
      </c>
      <c r="E197" s="97">
        <f t="shared" si="235"/>
        <v>41.257097172822895</v>
      </c>
      <c r="F197" s="97">
        <f t="shared" si="235"/>
        <v>46.224903214247384</v>
      </c>
      <c r="G197" s="97">
        <f t="shared" si="235"/>
        <v>48.691060436675997</v>
      </c>
      <c r="H197" s="97">
        <f t="shared" si="235"/>
        <v>48.729203045286511</v>
      </c>
      <c r="I197" s="97">
        <f t="shared" si="235"/>
        <v>55.268452777080412</v>
      </c>
      <c r="J197" s="97">
        <f t="shared" si="235"/>
        <v>65.917948774793047</v>
      </c>
      <c r="K197" s="97">
        <f t="shared" si="235"/>
        <v>57.447943083059101</v>
      </c>
      <c r="L197" s="97">
        <f t="shared" si="235"/>
        <v>48.840527333268142</v>
      </c>
      <c r="M197" s="97">
        <f t="shared" si="235"/>
        <v>43.825829909272322</v>
      </c>
      <c r="N197" s="97">
        <f t="shared" si="235"/>
        <v>52.983929030488127</v>
      </c>
      <c r="O197" s="97">
        <f t="shared" si="235"/>
        <v>48.597593189059609</v>
      </c>
      <c r="P197" s="97">
        <f t="shared" si="235"/>
        <v>46.585821767334259</v>
      </c>
      <c r="Q197" s="97">
        <f t="shared" si="235"/>
        <v>44.321438974996681</v>
      </c>
      <c r="R197" s="97">
        <f t="shared" si="235"/>
        <v>37.696870158632088</v>
      </c>
      <c r="S197" s="97">
        <f t="shared" si="235"/>
        <v>43.06315018502</v>
      </c>
      <c r="T197" s="97">
        <f t="shared" si="235"/>
        <v>44.364028085799347</v>
      </c>
      <c r="U197" s="97">
        <f t="shared" si="235"/>
        <v>41.577093376080462</v>
      </c>
      <c r="V197" s="97">
        <f t="shared" si="235"/>
        <v>51.998444000543948</v>
      </c>
      <c r="W197" s="97">
        <f t="shared" ref="W197" si="236">IF(W45=0,0,W45/W15*1000)</f>
        <v>59.318647202061086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20.978534492038616</v>
      </c>
      <c r="C198" s="97">
        <f t="shared" si="237"/>
        <v>20.809113569195109</v>
      </c>
      <c r="D198" s="97">
        <f t="shared" si="237"/>
        <v>20.244366367874768</v>
      </c>
      <c r="E198" s="97">
        <f t="shared" si="237"/>
        <v>22.281602191412912</v>
      </c>
      <c r="F198" s="97">
        <f t="shared" si="237"/>
        <v>26.619061555015513</v>
      </c>
      <c r="G198" s="97">
        <f t="shared" si="237"/>
        <v>26.059879512418163</v>
      </c>
      <c r="H198" s="97">
        <f t="shared" si="237"/>
        <v>25.672190582062246</v>
      </c>
      <c r="I198" s="97">
        <f t="shared" si="237"/>
        <v>22.577001294166525</v>
      </c>
      <c r="J198" s="97">
        <f t="shared" si="237"/>
        <v>21.750643016075063</v>
      </c>
      <c r="K198" s="97">
        <f t="shared" si="237"/>
        <v>20.134486276505307</v>
      </c>
      <c r="L198" s="97">
        <f t="shared" si="237"/>
        <v>14.73920641268777</v>
      </c>
      <c r="M198" s="97">
        <f t="shared" si="237"/>
        <v>18.852053800155531</v>
      </c>
      <c r="N198" s="97">
        <f t="shared" si="237"/>
        <v>17.169366989319855</v>
      </c>
      <c r="O198" s="97">
        <f t="shared" si="237"/>
        <v>22.832007949222106</v>
      </c>
      <c r="P198" s="97">
        <f t="shared" si="237"/>
        <v>21.154380930428072</v>
      </c>
      <c r="Q198" s="97">
        <f t="shared" si="237"/>
        <v>16.888038952490938</v>
      </c>
      <c r="R198" s="97">
        <f t="shared" si="237"/>
        <v>19.914363569342889</v>
      </c>
      <c r="S198" s="97">
        <f t="shared" si="237"/>
        <v>21.25018062862404</v>
      </c>
      <c r="T198" s="97">
        <f t="shared" si="237"/>
        <v>18.521207934069576</v>
      </c>
      <c r="U198" s="97">
        <f t="shared" si="237"/>
        <v>13.39528726795047</v>
      </c>
      <c r="V198" s="97">
        <f t="shared" si="237"/>
        <v>27.456020874930388</v>
      </c>
      <c r="W198" s="97">
        <f t="shared" ref="W198" si="238">IF(W46=0,0,W46/W16*1000)</f>
        <v>12.015752801523657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18.639252962579519</v>
      </c>
      <c r="C199" s="32">
        <f t="shared" si="239"/>
        <v>19.929781376670871</v>
      </c>
      <c r="D199" s="32">
        <f t="shared" si="239"/>
        <v>20.810508803272125</v>
      </c>
      <c r="E199" s="32">
        <f t="shared" si="239"/>
        <v>18.666283592627721</v>
      </c>
      <c r="F199" s="32">
        <f t="shared" si="239"/>
        <v>17.573103757089527</v>
      </c>
      <c r="G199" s="32">
        <f t="shared" si="239"/>
        <v>16.998358817095671</v>
      </c>
      <c r="H199" s="32">
        <f t="shared" si="239"/>
        <v>17.25823152076244</v>
      </c>
      <c r="I199" s="32">
        <f t="shared" si="239"/>
        <v>20.482651058624171</v>
      </c>
      <c r="J199" s="32">
        <f t="shared" si="239"/>
        <v>25.220473235781171</v>
      </c>
      <c r="K199" s="32">
        <f t="shared" si="239"/>
        <v>23.224164394831991</v>
      </c>
      <c r="L199" s="32">
        <f t="shared" si="239"/>
        <v>24.842195903162839</v>
      </c>
      <c r="M199" s="32">
        <f t="shared" si="239"/>
        <v>24.677400725328166</v>
      </c>
      <c r="N199" s="32">
        <f t="shared" si="239"/>
        <v>27.503079787156341</v>
      </c>
      <c r="O199" s="32">
        <f t="shared" si="239"/>
        <v>26.866846796289899</v>
      </c>
      <c r="P199" s="32">
        <f t="shared" si="239"/>
        <v>31.858267491694701</v>
      </c>
      <c r="Q199" s="32">
        <f t="shared" si="239"/>
        <v>30.772565071436439</v>
      </c>
      <c r="R199" s="32">
        <f t="shared" si="239"/>
        <v>32.042688292285561</v>
      </c>
      <c r="S199" s="32">
        <f t="shared" si="239"/>
        <v>32.397114969162573</v>
      </c>
      <c r="T199" s="32">
        <f t="shared" si="239"/>
        <v>31.48808492331883</v>
      </c>
      <c r="U199" s="32">
        <f t="shared" si="239"/>
        <v>34.442972941142678</v>
      </c>
      <c r="V199" s="32">
        <f t="shared" si="239"/>
        <v>37.171894832219117</v>
      </c>
      <c r="W199" s="32">
        <f t="shared" ref="W199" si="240">IF(W47=0,0,W47/W17*1000)</f>
        <v>37.265021410163037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85.399925968723096</v>
      </c>
      <c r="C200" s="141">
        <f t="shared" si="241"/>
        <v>107.21083861076765</v>
      </c>
      <c r="D200" s="141">
        <f t="shared" si="241"/>
        <v>106.6617137569871</v>
      </c>
      <c r="E200" s="141">
        <f t="shared" si="241"/>
        <v>70.164409910489567</v>
      </c>
      <c r="F200" s="141">
        <f t="shared" si="241"/>
        <v>73.31876295250936</v>
      </c>
      <c r="G200" s="141">
        <f t="shared" si="241"/>
        <v>63.01351407119121</v>
      </c>
      <c r="H200" s="141">
        <f t="shared" si="241"/>
        <v>59.735431596763895</v>
      </c>
      <c r="I200" s="141">
        <f t="shared" si="241"/>
        <v>62.26350524370126</v>
      </c>
      <c r="J200" s="141">
        <f t="shared" si="241"/>
        <v>65.101033247719869</v>
      </c>
      <c r="K200" s="141">
        <f t="shared" si="241"/>
        <v>65.728061115858253</v>
      </c>
      <c r="L200" s="141">
        <f t="shared" si="241"/>
        <v>70.715784609892523</v>
      </c>
      <c r="M200" s="141">
        <f t="shared" si="241"/>
        <v>68.541061896478979</v>
      </c>
      <c r="N200" s="141">
        <f t="shared" si="241"/>
        <v>67.063679291174225</v>
      </c>
      <c r="O200" s="141">
        <f t="shared" si="241"/>
        <v>60.744896791351245</v>
      </c>
      <c r="P200" s="141">
        <f t="shared" si="241"/>
        <v>59.67477928708562</v>
      </c>
      <c r="Q200" s="141">
        <f t="shared" si="241"/>
        <v>54.404134073033333</v>
      </c>
      <c r="R200" s="141">
        <f t="shared" si="241"/>
        <v>48.848484734875179</v>
      </c>
      <c r="S200" s="141">
        <f t="shared" si="241"/>
        <v>49.604037581247489</v>
      </c>
      <c r="T200" s="141">
        <f t="shared" si="241"/>
        <v>50.440633095978292</v>
      </c>
      <c r="U200" s="141">
        <f t="shared" si="241"/>
        <v>51.472273598105694</v>
      </c>
      <c r="V200" s="141">
        <f t="shared" si="241"/>
        <v>52.438129778829406</v>
      </c>
      <c r="W200" s="141">
        <f t="shared" ref="W200" si="242">IF(W48=0,0,W48/W18*1000)</f>
        <v>54.565905986249341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336.11887082070768</v>
      </c>
      <c r="C201" s="97">
        <f t="shared" si="243"/>
        <v>403.86208877553389</v>
      </c>
      <c r="D201" s="97">
        <f t="shared" si="243"/>
        <v>440.74011848171352</v>
      </c>
      <c r="E201" s="97">
        <f t="shared" si="243"/>
        <v>383.7888947780757</v>
      </c>
      <c r="F201" s="97">
        <f t="shared" si="243"/>
        <v>388.74486728772462</v>
      </c>
      <c r="G201" s="97">
        <f t="shared" si="243"/>
        <v>384.53035464604892</v>
      </c>
      <c r="H201" s="97">
        <f t="shared" si="243"/>
        <v>376.07200763810613</v>
      </c>
      <c r="I201" s="97">
        <f t="shared" si="243"/>
        <v>371.43904956177579</v>
      </c>
      <c r="J201" s="97">
        <f t="shared" si="243"/>
        <v>354.92352342946793</v>
      </c>
      <c r="K201" s="97">
        <f t="shared" si="243"/>
        <v>325.93368788418576</v>
      </c>
      <c r="L201" s="97">
        <f t="shared" si="243"/>
        <v>350.7614033807713</v>
      </c>
      <c r="M201" s="97">
        <f t="shared" si="243"/>
        <v>350.68294919147365</v>
      </c>
      <c r="N201" s="97">
        <f t="shared" si="243"/>
        <v>342.66228166147636</v>
      </c>
      <c r="O201" s="97">
        <f t="shared" si="243"/>
        <v>317.40238773169284</v>
      </c>
      <c r="P201" s="97">
        <f t="shared" si="243"/>
        <v>309.17795282200223</v>
      </c>
      <c r="Q201" s="97">
        <f t="shared" si="243"/>
        <v>290.37163470762016</v>
      </c>
      <c r="R201" s="97">
        <f t="shared" si="243"/>
        <v>272.13770416582713</v>
      </c>
      <c r="S201" s="97">
        <f t="shared" si="243"/>
        <v>268.05532972457377</v>
      </c>
      <c r="T201" s="97">
        <f t="shared" si="243"/>
        <v>264.86700510103486</v>
      </c>
      <c r="U201" s="97">
        <f t="shared" si="243"/>
        <v>262.32650380706974</v>
      </c>
      <c r="V201" s="97">
        <f t="shared" si="243"/>
        <v>253.91491139788653</v>
      </c>
      <c r="W201" s="97">
        <f t="shared" ref="W201" si="244">IF(W49=0,0,W49/W19*1000)</f>
        <v>263.50765088379819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37.905275011813117</v>
      </c>
      <c r="C202" s="97">
        <f t="shared" si="245"/>
        <v>44.494149944682981</v>
      </c>
      <c r="D202" s="97">
        <f t="shared" si="245"/>
        <v>49.305121595026741</v>
      </c>
      <c r="E202" s="97">
        <f t="shared" si="245"/>
        <v>37.640878154026666</v>
      </c>
      <c r="F202" s="97">
        <f t="shared" si="245"/>
        <v>42.24123441041781</v>
      </c>
      <c r="G202" s="97">
        <f t="shared" si="245"/>
        <v>37.774350312570476</v>
      </c>
      <c r="H202" s="97">
        <f t="shared" si="245"/>
        <v>37.349509662688391</v>
      </c>
      <c r="I202" s="97">
        <f t="shared" si="245"/>
        <v>41.65182043684986</v>
      </c>
      <c r="J202" s="97">
        <f t="shared" si="245"/>
        <v>44.336402573088449</v>
      </c>
      <c r="K202" s="97">
        <f t="shared" si="245"/>
        <v>41.431095334567374</v>
      </c>
      <c r="L202" s="97">
        <f t="shared" si="245"/>
        <v>45.795889454781175</v>
      </c>
      <c r="M202" s="97">
        <f t="shared" si="245"/>
        <v>45.587486906429554</v>
      </c>
      <c r="N202" s="97">
        <f t="shared" si="245"/>
        <v>43.999227323868084</v>
      </c>
      <c r="O202" s="97">
        <f t="shared" si="245"/>
        <v>38.713080912748929</v>
      </c>
      <c r="P202" s="97">
        <f t="shared" si="245"/>
        <v>36.644609041932448</v>
      </c>
      <c r="Q202" s="97">
        <f t="shared" si="245"/>
        <v>32.936695864395325</v>
      </c>
      <c r="R202" s="97">
        <f t="shared" si="245"/>
        <v>28.339041061277488</v>
      </c>
      <c r="S202" s="97">
        <f t="shared" si="245"/>
        <v>25.938479551711183</v>
      </c>
      <c r="T202" s="97">
        <f t="shared" si="245"/>
        <v>25.464351240871359</v>
      </c>
      <c r="U202" s="97">
        <f t="shared" si="245"/>
        <v>23.964632713788898</v>
      </c>
      <c r="V202" s="97">
        <f t="shared" si="245"/>
        <v>22.993160311471669</v>
      </c>
      <c r="W202" s="97">
        <f t="shared" ref="W202" si="246">IF(W50=0,0,W50/W20*1000)</f>
        <v>26.384871188494902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4.9877117372146644</v>
      </c>
      <c r="C203" s="130">
        <f t="shared" si="247"/>
        <v>4.5273755257520767</v>
      </c>
      <c r="D203" s="130">
        <f t="shared" si="247"/>
        <v>5.1444923435850027</v>
      </c>
      <c r="E203" s="130">
        <f t="shared" si="247"/>
        <v>4.5450292639295906</v>
      </c>
      <c r="F203" s="130">
        <f t="shared" si="247"/>
        <v>3.6033139811986548</v>
      </c>
      <c r="G203" s="130">
        <f t="shared" si="247"/>
        <v>3.8134243623041604</v>
      </c>
      <c r="H203" s="130">
        <f t="shared" si="247"/>
        <v>4.0622186939417171</v>
      </c>
      <c r="I203" s="130">
        <f t="shared" si="247"/>
        <v>4.1156441642379749</v>
      </c>
      <c r="J203" s="130">
        <f t="shared" si="247"/>
        <v>4.1019801392979538</v>
      </c>
      <c r="K203" s="130">
        <f t="shared" si="247"/>
        <v>5.6415109153826934</v>
      </c>
      <c r="L203" s="130">
        <f t="shared" si="247"/>
        <v>7.2958982923736304</v>
      </c>
      <c r="M203" s="130">
        <f t="shared" si="247"/>
        <v>5.1434906470641728</v>
      </c>
      <c r="N203" s="130">
        <f t="shared" si="247"/>
        <v>5.5905762950528164</v>
      </c>
      <c r="O203" s="130">
        <f t="shared" si="247"/>
        <v>5.1156934986963565</v>
      </c>
      <c r="P203" s="130">
        <f t="shared" si="247"/>
        <v>5.46216669180028</v>
      </c>
      <c r="Q203" s="130">
        <f t="shared" si="247"/>
        <v>5.3805015444978892</v>
      </c>
      <c r="R203" s="130">
        <f t="shared" si="247"/>
        <v>5.4412361852539846</v>
      </c>
      <c r="S203" s="130">
        <f t="shared" si="247"/>
        <v>5.5231256884559219</v>
      </c>
      <c r="T203" s="130">
        <f t="shared" si="247"/>
        <v>4.2871117529464842</v>
      </c>
      <c r="U203" s="130">
        <f t="shared" si="247"/>
        <v>5.3508613711471842</v>
      </c>
      <c r="V203" s="130">
        <f t="shared" si="247"/>
        <v>5.7465266214198927</v>
      </c>
      <c r="W203" s="130">
        <f t="shared" ref="W203" si="248">IF(W51=0,0,W51/W21*1000)</f>
        <v>5.2233939129685067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71.640420366263001</v>
      </c>
      <c r="C204" s="130">
        <f t="shared" si="249"/>
        <v>66.20853025842213</v>
      </c>
      <c r="D204" s="130">
        <f t="shared" si="249"/>
        <v>83.892374038697056</v>
      </c>
      <c r="E204" s="130">
        <f t="shared" si="249"/>
        <v>98.923801054602038</v>
      </c>
      <c r="F204" s="130">
        <f t="shared" si="249"/>
        <v>139.56811930484147</v>
      </c>
      <c r="G204" s="130">
        <f t="shared" si="249"/>
        <v>121.4807811538398</v>
      </c>
      <c r="H204" s="130">
        <f t="shared" si="249"/>
        <v>165.16771236245796</v>
      </c>
      <c r="I204" s="130">
        <f t="shared" si="249"/>
        <v>213.42254802537843</v>
      </c>
      <c r="J204" s="130">
        <f t="shared" si="249"/>
        <v>268.48328881794959</v>
      </c>
      <c r="K204" s="130">
        <f t="shared" si="249"/>
        <v>236.5388231453245</v>
      </c>
      <c r="L204" s="130">
        <f t="shared" si="249"/>
        <v>135.41451279360879</v>
      </c>
      <c r="M204" s="130">
        <f t="shared" si="249"/>
        <v>156.74951803098659</v>
      </c>
      <c r="N204" s="130">
        <f t="shared" si="249"/>
        <v>153.02604778359211</v>
      </c>
      <c r="O204" s="130">
        <f t="shared" si="249"/>
        <v>178.19262346990436</v>
      </c>
      <c r="P204" s="130">
        <f t="shared" si="249"/>
        <v>141.12647927955825</v>
      </c>
      <c r="Q204" s="130">
        <f t="shared" si="249"/>
        <v>121.87706159867336</v>
      </c>
      <c r="R204" s="130">
        <f t="shared" si="249"/>
        <v>70.587402998002929</v>
      </c>
      <c r="S204" s="130">
        <f t="shared" si="249"/>
        <v>112.8361896877001</v>
      </c>
      <c r="T204" s="130">
        <f t="shared" si="249"/>
        <v>110.75290618893165</v>
      </c>
      <c r="U204" s="130">
        <f t="shared" si="249"/>
        <v>100.91176263157413</v>
      </c>
      <c r="V204" s="130">
        <f t="shared" si="249"/>
        <v>151.18791678555979</v>
      </c>
      <c r="W204" s="130">
        <f t="shared" ref="W204" si="250">IF(W52=0,0,W52/W22*1000)</f>
        <v>186.35880603573901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171.54450518488804</v>
      </c>
      <c r="C206" s="97">
        <f t="shared" si="253"/>
        <v>155.98097741088111</v>
      </c>
      <c r="D206" s="97">
        <f t="shared" si="253"/>
        <v>175.2949481809207</v>
      </c>
      <c r="E206" s="97">
        <f t="shared" si="253"/>
        <v>200.74914912230022</v>
      </c>
      <c r="F206" s="97">
        <f t="shared" si="253"/>
        <v>271.57461368714308</v>
      </c>
      <c r="G206" s="97">
        <f t="shared" si="253"/>
        <v>296.71666441091202</v>
      </c>
      <c r="H206" s="97">
        <f t="shared" si="253"/>
        <v>315.61858249716704</v>
      </c>
      <c r="I206" s="97">
        <f t="shared" si="253"/>
        <v>315.29408416657787</v>
      </c>
      <c r="J206" s="97">
        <f t="shared" si="253"/>
        <v>350.48043314624857</v>
      </c>
      <c r="K206" s="97">
        <f t="shared" si="253"/>
        <v>267.32370608400242</v>
      </c>
      <c r="L206" s="97">
        <f t="shared" si="253"/>
        <v>192.62555062825439</v>
      </c>
      <c r="M206" s="97">
        <f t="shared" si="253"/>
        <v>181.54179530268758</v>
      </c>
      <c r="N206" s="97">
        <f t="shared" si="253"/>
        <v>182.62974539978046</v>
      </c>
      <c r="O206" s="97">
        <f t="shared" si="253"/>
        <v>197.48895280254942</v>
      </c>
      <c r="P206" s="97">
        <f t="shared" si="253"/>
        <v>154.79144601305734</v>
      </c>
      <c r="Q206" s="97">
        <f t="shared" si="253"/>
        <v>136.82422090577262</v>
      </c>
      <c r="R206" s="97">
        <f t="shared" si="253"/>
        <v>105.31744480703556</v>
      </c>
      <c r="S206" s="97">
        <f t="shared" si="253"/>
        <v>135.11158985017494</v>
      </c>
      <c r="T206" s="97">
        <f t="shared" si="253"/>
        <v>121.99747855124369</v>
      </c>
      <c r="U206" s="97">
        <f t="shared" si="253"/>
        <v>115.39989638907466</v>
      </c>
      <c r="V206" s="97">
        <f t="shared" si="253"/>
        <v>157.61255346097204</v>
      </c>
      <c r="W206" s="97">
        <f t="shared" ref="W206" si="254">IF(W54=0,0,W54/W24*1000)</f>
        <v>238.08601815007779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20.716081591677192</v>
      </c>
      <c r="C207" s="97">
        <f t="shared" si="255"/>
        <v>19.731768715743538</v>
      </c>
      <c r="D207" s="97">
        <f t="shared" si="255"/>
        <v>22.204302635543318</v>
      </c>
      <c r="E207" s="97">
        <f t="shared" si="255"/>
        <v>28.347630086569261</v>
      </c>
      <c r="F207" s="97">
        <f t="shared" si="255"/>
        <v>35.687997593654316</v>
      </c>
      <c r="G207" s="97">
        <f t="shared" si="255"/>
        <v>41.19866734196922</v>
      </c>
      <c r="H207" s="97">
        <f t="shared" si="255"/>
        <v>40.607312685782532</v>
      </c>
      <c r="I207" s="97">
        <f t="shared" si="255"/>
        <v>40.087214127522294</v>
      </c>
      <c r="J207" s="97">
        <f t="shared" si="255"/>
        <v>35.443106693581676</v>
      </c>
      <c r="K207" s="97">
        <f t="shared" si="255"/>
        <v>26.080791870742861</v>
      </c>
      <c r="L207" s="97">
        <f t="shared" si="255"/>
        <v>14.672135303243095</v>
      </c>
      <c r="M207" s="97">
        <f t="shared" si="255"/>
        <v>16.234084081481381</v>
      </c>
      <c r="N207" s="97">
        <f t="shared" si="255"/>
        <v>10.782904166232004</v>
      </c>
      <c r="O207" s="97">
        <f t="shared" si="255"/>
        <v>18.322189728840048</v>
      </c>
      <c r="P207" s="97">
        <f t="shared" si="255"/>
        <v>16.43900932763577</v>
      </c>
      <c r="Q207" s="97">
        <f t="shared" si="255"/>
        <v>13.217938406200926</v>
      </c>
      <c r="R207" s="97">
        <f t="shared" si="255"/>
        <v>15.825069540699014</v>
      </c>
      <c r="S207" s="97">
        <f t="shared" si="255"/>
        <v>17.587472362830102</v>
      </c>
      <c r="T207" s="97">
        <f t="shared" si="255"/>
        <v>16.276456216349438</v>
      </c>
      <c r="U207" s="97">
        <f t="shared" si="255"/>
        <v>25.867744600398954</v>
      </c>
      <c r="V207" s="97">
        <f t="shared" si="255"/>
        <v>79.198286742411142</v>
      </c>
      <c r="W207" s="97">
        <f t="shared" ref="W207" si="256">IF(W55=0,0,W55/W25*1000)</f>
        <v>45.604551723310927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211.69261850874506</v>
      </c>
      <c r="C208" s="130">
        <f t="shared" si="257"/>
        <v>208.6202654613615</v>
      </c>
      <c r="D208" s="130">
        <f t="shared" si="257"/>
        <v>215.51729573299369</v>
      </c>
      <c r="E208" s="130">
        <f t="shared" si="257"/>
        <v>208.92567631562821</v>
      </c>
      <c r="F208" s="130">
        <f t="shared" si="257"/>
        <v>133.25878591124038</v>
      </c>
      <c r="G208" s="130">
        <f t="shared" si="257"/>
        <v>184.92564444767342</v>
      </c>
      <c r="H208" s="130">
        <f t="shared" si="257"/>
        <v>240.92890233495109</v>
      </c>
      <c r="I208" s="130">
        <f t="shared" si="257"/>
        <v>118.91691887174055</v>
      </c>
      <c r="J208" s="130">
        <f t="shared" si="257"/>
        <v>320.89600250193541</v>
      </c>
      <c r="K208" s="130">
        <f t="shared" si="257"/>
        <v>589.75156088102608</v>
      </c>
      <c r="L208" s="130">
        <f t="shared" si="257"/>
        <v>552.4260229563572</v>
      </c>
      <c r="M208" s="130">
        <f t="shared" si="257"/>
        <v>208.21856946010217</v>
      </c>
      <c r="N208" s="130">
        <f t="shared" si="257"/>
        <v>159.28080446701998</v>
      </c>
      <c r="O208" s="130">
        <f t="shared" si="257"/>
        <v>138.54683297121022</v>
      </c>
      <c r="P208" s="130">
        <f t="shared" si="257"/>
        <v>222.66782458146662</v>
      </c>
      <c r="Q208" s="130">
        <f t="shared" si="257"/>
        <v>392.00134870705165</v>
      </c>
      <c r="R208" s="130">
        <f t="shared" si="257"/>
        <v>627.0594232462189</v>
      </c>
      <c r="S208" s="130">
        <f t="shared" si="257"/>
        <v>1428.420206177143</v>
      </c>
      <c r="T208" s="130">
        <f t="shared" si="257"/>
        <v>556.15803348061058</v>
      </c>
      <c r="U208" s="130">
        <f t="shared" si="257"/>
        <v>361.1938220561575</v>
      </c>
      <c r="V208" s="130">
        <f t="shared" si="257"/>
        <v>296.33853240543181</v>
      </c>
      <c r="W208" s="130">
        <f t="shared" ref="W208" si="258">IF(W56=0,0,W56/W26*1000)</f>
        <v>165.48338586192543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211.69261850874506</v>
      </c>
      <c r="C209" s="97">
        <f t="shared" si="259"/>
        <v>208.6202654613615</v>
      </c>
      <c r="D209" s="97">
        <f t="shared" si="259"/>
        <v>215.51729573299369</v>
      </c>
      <c r="E209" s="97">
        <f t="shared" si="259"/>
        <v>208.92567631562821</v>
      </c>
      <c r="F209" s="97">
        <f t="shared" si="259"/>
        <v>133.25878591124038</v>
      </c>
      <c r="G209" s="97">
        <f t="shared" si="259"/>
        <v>184.92564444767342</v>
      </c>
      <c r="H209" s="97">
        <f t="shared" si="259"/>
        <v>240.92890233495109</v>
      </c>
      <c r="I209" s="97">
        <f t="shared" si="259"/>
        <v>118.91691887174055</v>
      </c>
      <c r="J209" s="97">
        <f t="shared" si="259"/>
        <v>320.89600250193541</v>
      </c>
      <c r="K209" s="97">
        <f t="shared" si="259"/>
        <v>589.75156088102608</v>
      </c>
      <c r="L209" s="97">
        <f t="shared" si="259"/>
        <v>552.4260229563572</v>
      </c>
      <c r="M209" s="97">
        <f t="shared" si="259"/>
        <v>208.21856946010217</v>
      </c>
      <c r="N209" s="97">
        <f t="shared" si="259"/>
        <v>159.28080446701998</v>
      </c>
      <c r="O209" s="97">
        <f t="shared" si="259"/>
        <v>138.54683297121022</v>
      </c>
      <c r="P209" s="97">
        <f t="shared" si="259"/>
        <v>222.66782458146662</v>
      </c>
      <c r="Q209" s="97">
        <f t="shared" si="259"/>
        <v>392.00134870705165</v>
      </c>
      <c r="R209" s="97">
        <f t="shared" si="259"/>
        <v>627.0594232462189</v>
      </c>
      <c r="S209" s="97">
        <f t="shared" si="259"/>
        <v>1428.420206177143</v>
      </c>
      <c r="T209" s="97">
        <f t="shared" si="259"/>
        <v>556.15803348061058</v>
      </c>
      <c r="U209" s="97">
        <f t="shared" si="259"/>
        <v>361.1938220561575</v>
      </c>
      <c r="V209" s="97">
        <f t="shared" si="259"/>
        <v>296.33853240543181</v>
      </c>
      <c r="W209" s="97">
        <f t="shared" ref="W209" si="260">IF(W57=0,0,W57/W27*1000)</f>
        <v>165.48338586192543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1.47179175070331</v>
      </c>
      <c r="C211" s="32">
        <f t="shared" si="263"/>
        <v>1.4943317162362717</v>
      </c>
      <c r="D211" s="32">
        <f t="shared" si="263"/>
        <v>1.4890403016784841</v>
      </c>
      <c r="E211" s="32">
        <f t="shared" si="263"/>
        <v>1.6889145757519404</v>
      </c>
      <c r="F211" s="32">
        <f t="shared" si="263"/>
        <v>1.7592712857463344</v>
      </c>
      <c r="G211" s="32">
        <f t="shared" si="263"/>
        <v>1.3126208218778934</v>
      </c>
      <c r="H211" s="32">
        <f t="shared" si="263"/>
        <v>2.2911364234059861</v>
      </c>
      <c r="I211" s="32">
        <f t="shared" si="263"/>
        <v>2.6728008921524147</v>
      </c>
      <c r="J211" s="32">
        <f t="shared" si="263"/>
        <v>3.254624623319466</v>
      </c>
      <c r="K211" s="32">
        <f t="shared" si="263"/>
        <v>2.519699469023716</v>
      </c>
      <c r="L211" s="32">
        <f t="shared" si="263"/>
        <v>1.983735719591869</v>
      </c>
      <c r="M211" s="32">
        <f t="shared" si="263"/>
        <v>1.6982606556801159</v>
      </c>
      <c r="N211" s="32">
        <f t="shared" si="263"/>
        <v>3.4400267903481754</v>
      </c>
      <c r="O211" s="32">
        <f t="shared" si="263"/>
        <v>4.2605054583326991</v>
      </c>
      <c r="P211" s="32">
        <f t="shared" si="263"/>
        <v>3.6088211261483534</v>
      </c>
      <c r="Q211" s="32">
        <f t="shared" si="263"/>
        <v>4.2516460542503651</v>
      </c>
      <c r="R211" s="32">
        <f t="shared" si="263"/>
        <v>4.3054607410631487</v>
      </c>
      <c r="S211" s="32">
        <f t="shared" si="263"/>
        <v>5.0323515958006979</v>
      </c>
      <c r="T211" s="32">
        <f t="shared" si="263"/>
        <v>4.681703392687008</v>
      </c>
      <c r="U211" s="32">
        <f t="shared" si="263"/>
        <v>2.5094584109351588</v>
      </c>
      <c r="V211" s="32">
        <f t="shared" si="263"/>
        <v>3.7933522637964545</v>
      </c>
      <c r="W211" s="32">
        <f t="shared" si="262"/>
        <v>3.9015286452661821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1.8281947861275021</v>
      </c>
      <c r="C212" s="97">
        <f t="shared" si="264"/>
        <v>1.8789896079087178</v>
      </c>
      <c r="D212" s="97">
        <f t="shared" si="264"/>
        <v>1.8669154686264353</v>
      </c>
      <c r="E212" s="97">
        <f t="shared" si="264"/>
        <v>1.8043802213409688</v>
      </c>
      <c r="F212" s="97">
        <f t="shared" si="264"/>
        <v>2.3178544205542733</v>
      </c>
      <c r="G212" s="97">
        <f t="shared" si="264"/>
        <v>1.985174160310738</v>
      </c>
      <c r="H212" s="97">
        <f t="shared" si="264"/>
        <v>3.3901095353190653</v>
      </c>
      <c r="I212" s="97">
        <f t="shared" si="264"/>
        <v>4.7937186280053776</v>
      </c>
      <c r="J212" s="97">
        <f t="shared" si="264"/>
        <v>6.3977054135811118</v>
      </c>
      <c r="K212" s="97">
        <f t="shared" si="264"/>
        <v>5.0798479597396007</v>
      </c>
      <c r="L212" s="97">
        <f t="shared" si="264"/>
        <v>4.0638300536306664</v>
      </c>
      <c r="M212" s="97">
        <f t="shared" si="264"/>
        <v>3.322730105251877</v>
      </c>
      <c r="N212" s="97">
        <f t="shared" si="264"/>
        <v>8.1844741197149737</v>
      </c>
      <c r="O212" s="97">
        <f t="shared" si="264"/>
        <v>7.8907361109465217</v>
      </c>
      <c r="P212" s="97">
        <f t="shared" si="264"/>
        <v>6.6320477098387194</v>
      </c>
      <c r="Q212" s="97">
        <f t="shared" si="264"/>
        <v>8.3742279744089725</v>
      </c>
      <c r="R212" s="97">
        <f t="shared" si="264"/>
        <v>8.6015028321681424</v>
      </c>
      <c r="S212" s="97">
        <f t="shared" si="264"/>
        <v>10.062540871106991</v>
      </c>
      <c r="T212" s="97">
        <f t="shared" si="264"/>
        <v>9.051613565494943</v>
      </c>
      <c r="U212" s="97">
        <f t="shared" si="264"/>
        <v>5.1987572628307026</v>
      </c>
      <c r="V212" s="97">
        <f t="shared" si="264"/>
        <v>7.7937326835193605</v>
      </c>
      <c r="W212" s="97">
        <f t="shared" si="262"/>
        <v>7.5678691845435484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1.2352180725593265</v>
      </c>
      <c r="C213" s="98">
        <f t="shared" si="265"/>
        <v>1.2443945572887221</v>
      </c>
      <c r="D213" s="98">
        <f t="shared" si="265"/>
        <v>1.2436393346000709</v>
      </c>
      <c r="E213" s="98">
        <f t="shared" si="265"/>
        <v>1.5824616181811404</v>
      </c>
      <c r="F213" s="98">
        <f t="shared" si="265"/>
        <v>1.453923449796982</v>
      </c>
      <c r="G213" s="98">
        <f t="shared" si="265"/>
        <v>1.054574394073754</v>
      </c>
      <c r="H213" s="98">
        <f t="shared" si="265"/>
        <v>1.8495086832778667</v>
      </c>
      <c r="I213" s="98">
        <f t="shared" si="265"/>
        <v>2.0250809139018515</v>
      </c>
      <c r="J213" s="98">
        <f t="shared" si="265"/>
        <v>2.4270123524802987</v>
      </c>
      <c r="K213" s="98">
        <f t="shared" si="265"/>
        <v>1.9005524531703959</v>
      </c>
      <c r="L213" s="98">
        <f t="shared" si="265"/>
        <v>1.5064811089896255</v>
      </c>
      <c r="M213" s="98">
        <f t="shared" si="265"/>
        <v>1.2907447588765033</v>
      </c>
      <c r="N213" s="98">
        <f t="shared" si="265"/>
        <v>2.7189755872745076</v>
      </c>
      <c r="O213" s="98">
        <f t="shared" si="265"/>
        <v>3.1977895306801694</v>
      </c>
      <c r="P213" s="98">
        <f t="shared" si="265"/>
        <v>2.7154486080790887</v>
      </c>
      <c r="Q213" s="98">
        <f t="shared" si="265"/>
        <v>3.2408142437681642</v>
      </c>
      <c r="R213" s="98">
        <f t="shared" si="265"/>
        <v>3.2974180021493673</v>
      </c>
      <c r="S213" s="98">
        <f t="shared" si="265"/>
        <v>3.8144732570820139</v>
      </c>
      <c r="T213" s="98">
        <f t="shared" si="265"/>
        <v>3.568163513641061</v>
      </c>
      <c r="U213" s="98">
        <f t="shared" si="265"/>
        <v>1.9184825959993028</v>
      </c>
      <c r="V213" s="98">
        <f t="shared" si="265"/>
        <v>3.1254779810906155</v>
      </c>
      <c r="W213" s="98">
        <f t="shared" si="262"/>
        <v>3.1831943861445113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112.21397402128225</v>
      </c>
      <c r="C216" s="32">
        <f t="shared" si="266"/>
        <v>139.23458628271018</v>
      </c>
      <c r="D216" s="32">
        <f t="shared" si="266"/>
        <v>136.45470039201049</v>
      </c>
      <c r="E216" s="32">
        <f t="shared" si="266"/>
        <v>125.21969484596069</v>
      </c>
      <c r="F216" s="32">
        <f t="shared" si="266"/>
        <v>125.36487487760684</v>
      </c>
      <c r="G216" s="32">
        <f t="shared" si="266"/>
        <v>111.32906907410008</v>
      </c>
      <c r="H216" s="32">
        <f t="shared" si="266"/>
        <v>120.24882524081991</v>
      </c>
      <c r="I216" s="32">
        <f t="shared" si="266"/>
        <v>128.97927180556078</v>
      </c>
      <c r="J216" s="32">
        <f t="shared" si="266"/>
        <v>124.55866582746694</v>
      </c>
      <c r="K216" s="32">
        <f t="shared" si="266"/>
        <v>119.3853106974816</v>
      </c>
      <c r="L216" s="32">
        <f t="shared" si="266"/>
        <v>122.95226664276271</v>
      </c>
      <c r="M216" s="32">
        <f t="shared" si="266"/>
        <v>120.66065291359283</v>
      </c>
      <c r="N216" s="32">
        <f t="shared" si="266"/>
        <v>122.611007732582</v>
      </c>
      <c r="O216" s="32">
        <f t="shared" si="266"/>
        <v>117.51374247112264</v>
      </c>
      <c r="P216" s="32">
        <f t="shared" si="266"/>
        <v>113.92688894022159</v>
      </c>
      <c r="Q216" s="32">
        <f t="shared" si="266"/>
        <v>111.9656460223774</v>
      </c>
      <c r="R216" s="32">
        <f t="shared" si="266"/>
        <v>108.25699084786694</v>
      </c>
      <c r="S216" s="32">
        <f t="shared" si="266"/>
        <v>113.2266984543549</v>
      </c>
      <c r="T216" s="32">
        <f t="shared" si="266"/>
        <v>112.96054736065361</v>
      </c>
      <c r="U216" s="32">
        <f t="shared" si="266"/>
        <v>104.19076857460178</v>
      </c>
      <c r="V216" s="32">
        <f t="shared" si="266"/>
        <v>124.10623537341662</v>
      </c>
      <c r="W216" s="32">
        <f t="shared" ref="W216" si="267">IF(W4=0,0,W64/W4*1000)</f>
        <v>118.81539837421441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115.2844159132602</v>
      </c>
      <c r="C217" s="141">
        <f t="shared" si="268"/>
        <v>143.88386853940631</v>
      </c>
      <c r="D217" s="141">
        <f t="shared" si="268"/>
        <v>140.8474491320172</v>
      </c>
      <c r="E217" s="141">
        <f t="shared" si="268"/>
        <v>128.76553954748633</v>
      </c>
      <c r="F217" s="141">
        <f t="shared" si="268"/>
        <v>128.05972561375336</v>
      </c>
      <c r="G217" s="141">
        <f t="shared" si="268"/>
        <v>111.69755138245173</v>
      </c>
      <c r="H217" s="141">
        <f t="shared" si="268"/>
        <v>121.61872862741438</v>
      </c>
      <c r="I217" s="141">
        <f t="shared" si="268"/>
        <v>130.32775295201398</v>
      </c>
      <c r="J217" s="141">
        <f t="shared" si="268"/>
        <v>123.689201784349</v>
      </c>
      <c r="K217" s="141">
        <f t="shared" si="268"/>
        <v>120.60069612472101</v>
      </c>
      <c r="L217" s="141">
        <f t="shared" si="268"/>
        <v>126.18622422782494</v>
      </c>
      <c r="M217" s="141">
        <f t="shared" si="268"/>
        <v>123.49787158394169</v>
      </c>
      <c r="N217" s="141">
        <f t="shared" si="268"/>
        <v>124.58467134123177</v>
      </c>
      <c r="O217" s="141">
        <f t="shared" si="268"/>
        <v>118.69964583837699</v>
      </c>
      <c r="P217" s="141">
        <f t="shared" si="268"/>
        <v>115.40575642853425</v>
      </c>
      <c r="Q217" s="141">
        <f t="shared" si="268"/>
        <v>114.01643842278253</v>
      </c>
      <c r="R217" s="141">
        <f t="shared" si="268"/>
        <v>110.76471845429181</v>
      </c>
      <c r="S217" s="141">
        <f t="shared" si="268"/>
        <v>115.35391855639554</v>
      </c>
      <c r="T217" s="141">
        <f t="shared" si="268"/>
        <v>115.35569387250818</v>
      </c>
      <c r="U217" s="141">
        <f t="shared" si="268"/>
        <v>106.49156983444541</v>
      </c>
      <c r="V217" s="141">
        <f t="shared" si="268"/>
        <v>125.35852988797011</v>
      </c>
      <c r="W217" s="141">
        <f t="shared" ref="W217" si="269">IF(W5=0,0,W65/W5*1000)</f>
        <v>120.93814976044825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134.55315209142728</v>
      </c>
      <c r="C218" s="97">
        <f t="shared" si="270"/>
        <v>134.0939432167913</v>
      </c>
      <c r="D218" s="97">
        <f t="shared" si="270"/>
        <v>132.85068336787785</v>
      </c>
      <c r="E218" s="97">
        <f t="shared" si="270"/>
        <v>131.10613508780779</v>
      </c>
      <c r="F218" s="97">
        <f t="shared" si="270"/>
        <v>129.51842238870202</v>
      </c>
      <c r="G218" s="97">
        <f t="shared" si="270"/>
        <v>128.14645295686847</v>
      </c>
      <c r="H218" s="97">
        <f t="shared" si="270"/>
        <v>125.75752302942919</v>
      </c>
      <c r="I218" s="97">
        <f t="shared" si="270"/>
        <v>123.90806061339221</v>
      </c>
      <c r="J218" s="97">
        <f t="shared" si="270"/>
        <v>121.07704090509465</v>
      </c>
      <c r="K218" s="97">
        <f t="shared" si="270"/>
        <v>120.24173528636454</v>
      </c>
      <c r="L218" s="97">
        <f t="shared" si="270"/>
        <v>117.30094333365247</v>
      </c>
      <c r="M218" s="97">
        <f t="shared" si="270"/>
        <v>114.39583492546431</v>
      </c>
      <c r="N218" s="97">
        <f t="shared" si="270"/>
        <v>109.31587535566867</v>
      </c>
      <c r="O218" s="97">
        <f t="shared" si="270"/>
        <v>107.99079501690542</v>
      </c>
      <c r="P218" s="97">
        <f t="shared" si="270"/>
        <v>105.27597341393736</v>
      </c>
      <c r="Q218" s="97">
        <f t="shared" si="270"/>
        <v>105.01604797978624</v>
      </c>
      <c r="R218" s="97">
        <f t="shared" si="270"/>
        <v>103.64900329362609</v>
      </c>
      <c r="S218" s="97">
        <f t="shared" si="270"/>
        <v>102.87255705417587</v>
      </c>
      <c r="T218" s="97">
        <f t="shared" si="270"/>
        <v>100.73347252266767</v>
      </c>
      <c r="U218" s="97">
        <f t="shared" si="270"/>
        <v>99.090166535472278</v>
      </c>
      <c r="V218" s="97">
        <f t="shared" si="270"/>
        <v>98.253831125077454</v>
      </c>
      <c r="W218" s="97">
        <f t="shared" ref="W218" si="271">IF(W6=0,0,W66/W6*1000)</f>
        <v>91.906555554769852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121.62260087181822</v>
      </c>
      <c r="C219" s="97">
        <f t="shared" si="272"/>
        <v>150.34806681027527</v>
      </c>
      <c r="D219" s="97">
        <f t="shared" si="272"/>
        <v>138.8179239659672</v>
      </c>
      <c r="E219" s="97">
        <f t="shared" si="272"/>
        <v>127.74414142952392</v>
      </c>
      <c r="F219" s="97">
        <f t="shared" si="272"/>
        <v>128.32059500927784</v>
      </c>
      <c r="G219" s="97">
        <f t="shared" si="272"/>
        <v>109.01448054192582</v>
      </c>
      <c r="H219" s="97">
        <f t="shared" si="272"/>
        <v>123.07795144065918</v>
      </c>
      <c r="I219" s="97">
        <f t="shared" si="272"/>
        <v>136.35956068373613</v>
      </c>
      <c r="J219" s="97">
        <f t="shared" si="272"/>
        <v>127.63459673226241</v>
      </c>
      <c r="K219" s="97">
        <f t="shared" si="272"/>
        <v>123.06919524637486</v>
      </c>
      <c r="L219" s="97">
        <f t="shared" si="272"/>
        <v>127.8136912621291</v>
      </c>
      <c r="M219" s="97">
        <f t="shared" si="272"/>
        <v>124.79102443151801</v>
      </c>
      <c r="N219" s="97">
        <f t="shared" si="272"/>
        <v>123.55020668165589</v>
      </c>
      <c r="O219" s="97">
        <f t="shared" si="272"/>
        <v>117.28057505398175</v>
      </c>
      <c r="P219" s="97">
        <f t="shared" si="272"/>
        <v>113.07130426637433</v>
      </c>
      <c r="Q219" s="97">
        <f t="shared" si="272"/>
        <v>114.71024206934158</v>
      </c>
      <c r="R219" s="97">
        <f t="shared" si="272"/>
        <v>113.40211318219544</v>
      </c>
      <c r="S219" s="97">
        <f t="shared" si="272"/>
        <v>115.34428710637188</v>
      </c>
      <c r="T219" s="97">
        <f t="shared" si="272"/>
        <v>115.78245275382045</v>
      </c>
      <c r="U219" s="97">
        <f t="shared" si="272"/>
        <v>109.38528519107511</v>
      </c>
      <c r="V219" s="97">
        <f t="shared" si="272"/>
        <v>116.91196790935436</v>
      </c>
      <c r="W219" s="97">
        <f t="shared" ref="W219" si="273">IF(W7=0,0,W67/W7*1000)</f>
        <v>110.22861811699921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99.112437742931135</v>
      </c>
      <c r="C220" s="97">
        <f t="shared" si="274"/>
        <v>126.03621808379545</v>
      </c>
      <c r="D220" s="97">
        <f t="shared" si="274"/>
        <v>147.03139153963531</v>
      </c>
      <c r="E220" s="97">
        <f t="shared" si="274"/>
        <v>132.1617750782253</v>
      </c>
      <c r="F220" s="97">
        <f t="shared" si="274"/>
        <v>127.22682230907581</v>
      </c>
      <c r="G220" s="97">
        <f t="shared" si="274"/>
        <v>121.42135078780167</v>
      </c>
      <c r="H220" s="97">
        <f t="shared" si="274"/>
        <v>116.55633821096043</v>
      </c>
      <c r="I220" s="97">
        <f t="shared" si="274"/>
        <v>107.84434112326669</v>
      </c>
      <c r="J220" s="97">
        <f t="shared" si="274"/>
        <v>106.82674692114661</v>
      </c>
      <c r="K220" s="97">
        <f t="shared" si="274"/>
        <v>108.34423869430995</v>
      </c>
      <c r="L220" s="97">
        <f t="shared" si="274"/>
        <v>118.32584753470891</v>
      </c>
      <c r="M220" s="97">
        <f t="shared" si="274"/>
        <v>117.15288275209387</v>
      </c>
      <c r="N220" s="97">
        <f t="shared" si="274"/>
        <v>130.91271766362834</v>
      </c>
      <c r="O220" s="97">
        <f t="shared" si="274"/>
        <v>127.25811720990477</v>
      </c>
      <c r="P220" s="97">
        <f t="shared" si="274"/>
        <v>129.69987461805337</v>
      </c>
      <c r="Q220" s="97">
        <f t="shared" si="274"/>
        <v>110.62145149935162</v>
      </c>
      <c r="R220" s="97">
        <f t="shared" si="274"/>
        <v>99.398042877620213</v>
      </c>
      <c r="S220" s="97">
        <f t="shared" si="274"/>
        <v>115.67265884495453</v>
      </c>
      <c r="T220" s="97">
        <f t="shared" si="274"/>
        <v>113.66425537304178</v>
      </c>
      <c r="U220" s="97">
        <f t="shared" si="274"/>
        <v>93.708166920045898</v>
      </c>
      <c r="V220" s="97">
        <f t="shared" si="274"/>
        <v>201.54541354336592</v>
      </c>
      <c r="W220" s="97">
        <f t="shared" ref="W220" si="275">IF(W8=0,0,W68/W8*1000)</f>
        <v>231.26025743530496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25.732512147388483</v>
      </c>
      <c r="C221" s="130">
        <f t="shared" si="276"/>
        <v>19.194008152446433</v>
      </c>
      <c r="D221" s="130">
        <f t="shared" si="276"/>
        <v>18.890753318381694</v>
      </c>
      <c r="E221" s="130">
        <f t="shared" si="276"/>
        <v>17.071833668534882</v>
      </c>
      <c r="F221" s="130">
        <f t="shared" si="276"/>
        <v>18.080799471521544</v>
      </c>
      <c r="G221" s="130">
        <f t="shared" si="276"/>
        <v>17.871200933423179</v>
      </c>
      <c r="H221" s="130">
        <f t="shared" si="276"/>
        <v>19.725725322094409</v>
      </c>
      <c r="I221" s="130">
        <f t="shared" si="276"/>
        <v>23.600965683715881</v>
      </c>
      <c r="J221" s="130">
        <f t="shared" si="276"/>
        <v>16.956063313752512</v>
      </c>
      <c r="K221" s="130">
        <f t="shared" si="276"/>
        <v>17.512073726905449</v>
      </c>
      <c r="L221" s="130">
        <f t="shared" si="276"/>
        <v>20.294439706406383</v>
      </c>
      <c r="M221" s="130">
        <f t="shared" si="276"/>
        <v>21.122857675125598</v>
      </c>
      <c r="N221" s="130">
        <f t="shared" si="276"/>
        <v>15.497628705748454</v>
      </c>
      <c r="O221" s="130">
        <f t="shared" si="276"/>
        <v>21.931043089437157</v>
      </c>
      <c r="P221" s="130">
        <f t="shared" si="276"/>
        <v>22.19278256911311</v>
      </c>
      <c r="Q221" s="130">
        <f t="shared" si="276"/>
        <v>22.053408144278009</v>
      </c>
      <c r="R221" s="130">
        <f t="shared" si="276"/>
        <v>20.145416661454327</v>
      </c>
      <c r="S221" s="130">
        <f t="shared" si="276"/>
        <v>21.312383226908818</v>
      </c>
      <c r="T221" s="130">
        <f t="shared" si="276"/>
        <v>22.898707611802497</v>
      </c>
      <c r="U221" s="130">
        <f t="shared" si="276"/>
        <v>30.272939430731022</v>
      </c>
      <c r="V221" s="130">
        <f t="shared" si="276"/>
        <v>45.19899239707928</v>
      </c>
      <c r="W221" s="130">
        <f t="shared" ref="W221" si="277">IF(W9=0,0,W69/W9*1000)</f>
        <v>26.201639533826995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36.055094606513286</v>
      </c>
      <c r="C223" s="97">
        <f t="shared" si="280"/>
        <v>28.399616254074736</v>
      </c>
      <c r="D223" s="97">
        <f t="shared" si="280"/>
        <v>28.755153468811024</v>
      </c>
      <c r="E223" s="97">
        <f t="shared" si="280"/>
        <v>25.832446609641199</v>
      </c>
      <c r="F223" s="97">
        <f t="shared" si="280"/>
        <v>25.893953232790437</v>
      </c>
      <c r="G223" s="97">
        <f t="shared" si="280"/>
        <v>23.297416378127881</v>
      </c>
      <c r="H223" s="97">
        <f t="shared" si="280"/>
        <v>25.75857361126414</v>
      </c>
      <c r="I223" s="97">
        <f t="shared" si="280"/>
        <v>30.422850655067332</v>
      </c>
      <c r="J223" s="97">
        <f t="shared" si="280"/>
        <v>21.402203025077977</v>
      </c>
      <c r="K223" s="97">
        <f t="shared" si="280"/>
        <v>22.565045458057959</v>
      </c>
      <c r="L223" s="97">
        <f t="shared" si="280"/>
        <v>26.197656749265406</v>
      </c>
      <c r="M223" s="97">
        <f t="shared" si="280"/>
        <v>26.759792138156648</v>
      </c>
      <c r="N223" s="97">
        <f t="shared" si="280"/>
        <v>21.591230365492553</v>
      </c>
      <c r="O223" s="97">
        <f t="shared" si="280"/>
        <v>29.382090392702256</v>
      </c>
      <c r="P223" s="97">
        <f t="shared" si="280"/>
        <v>26.830915606182259</v>
      </c>
      <c r="Q223" s="97">
        <f t="shared" si="280"/>
        <v>26.305706205551981</v>
      </c>
      <c r="R223" s="97">
        <f t="shared" si="280"/>
        <v>23.781409363572639</v>
      </c>
      <c r="S223" s="97">
        <f t="shared" si="280"/>
        <v>24.783215473465923</v>
      </c>
      <c r="T223" s="97">
        <f t="shared" si="280"/>
        <v>27.505466314366853</v>
      </c>
      <c r="U223" s="97">
        <f t="shared" si="280"/>
        <v>37.018553495515441</v>
      </c>
      <c r="V223" s="97">
        <f t="shared" si="280"/>
        <v>53.866543661544277</v>
      </c>
      <c r="W223" s="97">
        <f t="shared" ref="W223" si="281">IF(W11=0,0,W71/W11*1000)</f>
        <v>31.342549276732363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118.02787805369607</v>
      </c>
      <c r="C225" s="130">
        <f t="shared" si="284"/>
        <v>114.83231447338052</v>
      </c>
      <c r="D225" s="130">
        <f t="shared" si="284"/>
        <v>115.47689770855487</v>
      </c>
      <c r="E225" s="130">
        <f t="shared" si="284"/>
        <v>114.7628151743906</v>
      </c>
      <c r="F225" s="130">
        <f t="shared" si="284"/>
        <v>127.93397780050225</v>
      </c>
      <c r="G225" s="130">
        <f t="shared" si="284"/>
        <v>134.0400596808627</v>
      </c>
      <c r="H225" s="130">
        <f t="shared" si="284"/>
        <v>134.26621722065477</v>
      </c>
      <c r="I225" s="130">
        <f t="shared" si="284"/>
        <v>145.56370428340472</v>
      </c>
      <c r="J225" s="130">
        <f t="shared" si="284"/>
        <v>164.02717459880122</v>
      </c>
      <c r="K225" s="130">
        <f t="shared" si="284"/>
        <v>141.85711176663469</v>
      </c>
      <c r="L225" s="130">
        <f t="shared" si="284"/>
        <v>115.25962028633239</v>
      </c>
      <c r="M225" s="130">
        <f t="shared" si="284"/>
        <v>116.54978630628871</v>
      </c>
      <c r="N225" s="130">
        <f t="shared" si="284"/>
        <v>129.85248490402859</v>
      </c>
      <c r="O225" s="130">
        <f t="shared" si="284"/>
        <v>129.26752576850578</v>
      </c>
      <c r="P225" s="130">
        <f t="shared" si="284"/>
        <v>123.06633889261524</v>
      </c>
      <c r="Q225" s="130">
        <f t="shared" si="284"/>
        <v>112.28315269454392</v>
      </c>
      <c r="R225" s="130">
        <f t="shared" si="284"/>
        <v>103.06629795708893</v>
      </c>
      <c r="S225" s="130">
        <f t="shared" si="284"/>
        <v>116.54439818097626</v>
      </c>
      <c r="T225" s="130">
        <f t="shared" si="284"/>
        <v>116.45791053313364</v>
      </c>
      <c r="U225" s="130">
        <f t="shared" si="284"/>
        <v>101.9884007602332</v>
      </c>
      <c r="V225" s="130">
        <f t="shared" si="284"/>
        <v>139.31430954134143</v>
      </c>
      <c r="W225" s="130">
        <f t="shared" ref="W225" si="285">IF(W13=0,0,W73/W13*1000)</f>
        <v>120.21053283754989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127.38682464335155</v>
      </c>
      <c r="C227" s="97">
        <f t="shared" si="288"/>
        <v>123.54236424435163</v>
      </c>
      <c r="D227" s="97">
        <f t="shared" si="288"/>
        <v>125.65200990205402</v>
      </c>
      <c r="E227" s="97">
        <f t="shared" si="288"/>
        <v>124.1966191846428</v>
      </c>
      <c r="F227" s="97">
        <f t="shared" si="288"/>
        <v>139.0296444180976</v>
      </c>
      <c r="G227" s="97">
        <f t="shared" si="288"/>
        <v>146.17112636859139</v>
      </c>
      <c r="H227" s="97">
        <f t="shared" si="288"/>
        <v>146.45290659532324</v>
      </c>
      <c r="I227" s="97">
        <f t="shared" si="288"/>
        <v>166.37513186461069</v>
      </c>
      <c r="J227" s="97">
        <f t="shared" si="288"/>
        <v>198.43340764188824</v>
      </c>
      <c r="K227" s="97">
        <f t="shared" si="288"/>
        <v>172.9360715840092</v>
      </c>
      <c r="L227" s="97">
        <f t="shared" si="288"/>
        <v>147.02508876418861</v>
      </c>
      <c r="M227" s="97">
        <f t="shared" si="288"/>
        <v>131.92929897351772</v>
      </c>
      <c r="N227" s="97">
        <f t="shared" si="288"/>
        <v>159.49800901262549</v>
      </c>
      <c r="O227" s="97">
        <f t="shared" si="288"/>
        <v>146.29378187488348</v>
      </c>
      <c r="P227" s="97">
        <f t="shared" si="288"/>
        <v>140.23772785576654</v>
      </c>
      <c r="Q227" s="97">
        <f t="shared" si="288"/>
        <v>133.42123550367111</v>
      </c>
      <c r="R227" s="97">
        <f t="shared" si="288"/>
        <v>113.47923504973569</v>
      </c>
      <c r="S227" s="97">
        <f t="shared" si="288"/>
        <v>129.63339718294742</v>
      </c>
      <c r="T227" s="97">
        <f t="shared" si="288"/>
        <v>133.54944189574016</v>
      </c>
      <c r="U227" s="97">
        <f t="shared" si="288"/>
        <v>125.1599066992741</v>
      </c>
      <c r="V227" s="97">
        <f t="shared" si="288"/>
        <v>156.53139436052223</v>
      </c>
      <c r="W227" s="97">
        <f t="shared" ref="W227" si="289">IF(W15=0,0,W75/W15*1000)</f>
        <v>178.56746940391878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63.151875383901213</v>
      </c>
      <c r="C228" s="97">
        <f t="shared" si="290"/>
        <v>62.641866021192868</v>
      </c>
      <c r="D228" s="97">
        <f t="shared" si="290"/>
        <v>60.941802325383996</v>
      </c>
      <c r="E228" s="97">
        <f t="shared" si="290"/>
        <v>67.074512067550501</v>
      </c>
      <c r="F228" s="97">
        <f t="shared" si="290"/>
        <v>80.061577318707961</v>
      </c>
      <c r="G228" s="97">
        <f t="shared" si="290"/>
        <v>78.232059585432694</v>
      </c>
      <c r="H228" s="97">
        <f t="shared" si="290"/>
        <v>77.156339411460465</v>
      </c>
      <c r="I228" s="97">
        <f t="shared" si="290"/>
        <v>67.963754704241396</v>
      </c>
      <c r="J228" s="97">
        <f t="shared" si="290"/>
        <v>65.47616077720653</v>
      </c>
      <c r="K228" s="97">
        <f t="shared" si="290"/>
        <v>60.61102927543768</v>
      </c>
      <c r="L228" s="97">
        <f t="shared" si="290"/>
        <v>44.369568664812995</v>
      </c>
      <c r="M228" s="97">
        <f t="shared" si="290"/>
        <v>56.750510993503163</v>
      </c>
      <c r="N228" s="97">
        <f t="shared" si="290"/>
        <v>51.685103406125855</v>
      </c>
      <c r="O228" s="97">
        <f t="shared" si="290"/>
        <v>68.731403584016448</v>
      </c>
      <c r="P228" s="97">
        <f t="shared" si="290"/>
        <v>63.681227535172191</v>
      </c>
      <c r="Q228" s="97">
        <f t="shared" si="290"/>
        <v>50.838219028641852</v>
      </c>
      <c r="R228" s="97">
        <f t="shared" si="290"/>
        <v>59.948391864937754</v>
      </c>
      <c r="S228" s="97">
        <f t="shared" si="290"/>
        <v>63.969614248008732</v>
      </c>
      <c r="T228" s="97">
        <f t="shared" si="290"/>
        <v>55.754562639042653</v>
      </c>
      <c r="U228" s="97">
        <f t="shared" si="290"/>
        <v>40.323956499354168</v>
      </c>
      <c r="V228" s="97">
        <f t="shared" si="290"/>
        <v>82.651112235195001</v>
      </c>
      <c r="W228" s="97">
        <f t="shared" ref="W228" si="291">IF(W16=0,0,W76/W16*1000)</f>
        <v>36.171131203352438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57.369552718453669</v>
      </c>
      <c r="C229" s="32">
        <f t="shared" si="292"/>
        <v>61.344056848926876</v>
      </c>
      <c r="D229" s="32">
        <f t="shared" si="292"/>
        <v>64.149071942966742</v>
      </c>
      <c r="E229" s="32">
        <f t="shared" si="292"/>
        <v>57.555821830699614</v>
      </c>
      <c r="F229" s="32">
        <f t="shared" si="292"/>
        <v>54.179539658727521</v>
      </c>
      <c r="G229" s="32">
        <f t="shared" si="292"/>
        <v>52.430605146782455</v>
      </c>
      <c r="H229" s="32">
        <f t="shared" si="292"/>
        <v>53.146614485988003</v>
      </c>
      <c r="I229" s="32">
        <f t="shared" si="292"/>
        <v>63.206038464580573</v>
      </c>
      <c r="J229" s="32">
        <f t="shared" si="292"/>
        <v>77.422568300077089</v>
      </c>
      <c r="K229" s="32">
        <f t="shared" si="292"/>
        <v>71.468397646072873</v>
      </c>
      <c r="L229" s="32">
        <f t="shared" si="292"/>
        <v>76.289098959874778</v>
      </c>
      <c r="M229" s="32">
        <f t="shared" si="292"/>
        <v>76.117855795604925</v>
      </c>
      <c r="N229" s="32">
        <f t="shared" si="292"/>
        <v>84.942785735090879</v>
      </c>
      <c r="O229" s="32">
        <f t="shared" si="292"/>
        <v>82.998956204386232</v>
      </c>
      <c r="P229" s="32">
        <f t="shared" si="292"/>
        <v>98.371414690415449</v>
      </c>
      <c r="Q229" s="32">
        <f t="shared" si="292"/>
        <v>95.069047827274119</v>
      </c>
      <c r="R229" s="32">
        <f t="shared" si="292"/>
        <v>99.013297124623108</v>
      </c>
      <c r="S229" s="32">
        <f t="shared" si="292"/>
        <v>99.853606568667715</v>
      </c>
      <c r="T229" s="32">
        <f t="shared" si="292"/>
        <v>95.164235046566063</v>
      </c>
      <c r="U229" s="32">
        <f t="shared" si="292"/>
        <v>102.67803831438967</v>
      </c>
      <c r="V229" s="32">
        <f t="shared" si="292"/>
        <v>108.44559462543725</v>
      </c>
      <c r="W229" s="32">
        <f t="shared" ref="W229" si="293">IF(W17=0,0,W77/W17*1000)</f>
        <v>107.85298654559429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262.11535056678304</v>
      </c>
      <c r="C230" s="141">
        <f t="shared" si="294"/>
        <v>329.22824933310216</v>
      </c>
      <c r="D230" s="141">
        <f t="shared" si="294"/>
        <v>328.11273949478863</v>
      </c>
      <c r="E230" s="141">
        <f t="shared" si="294"/>
        <v>215.94821892809432</v>
      </c>
      <c r="F230" s="141">
        <f t="shared" si="294"/>
        <v>225.70432367989528</v>
      </c>
      <c r="G230" s="141">
        <f t="shared" si="294"/>
        <v>194.07248656379457</v>
      </c>
      <c r="H230" s="141">
        <f t="shared" si="294"/>
        <v>183.59751271325598</v>
      </c>
      <c r="I230" s="141">
        <f t="shared" si="294"/>
        <v>191.92044857426023</v>
      </c>
      <c r="J230" s="141">
        <f t="shared" si="294"/>
        <v>199.51598350357651</v>
      </c>
      <c r="K230" s="141">
        <f t="shared" si="294"/>
        <v>201.81699870445095</v>
      </c>
      <c r="L230" s="141">
        <f t="shared" si="294"/>
        <v>216.421967204189</v>
      </c>
      <c r="M230" s="141">
        <f t="shared" si="294"/>
        <v>211.17854867420658</v>
      </c>
      <c r="N230" s="141">
        <f t="shared" si="294"/>
        <v>206.9751602398178</v>
      </c>
      <c r="O230" s="141">
        <f t="shared" si="294"/>
        <v>187.5473857485994</v>
      </c>
      <c r="P230" s="141">
        <f t="shared" si="294"/>
        <v>184.15822653459932</v>
      </c>
      <c r="Q230" s="141">
        <f t="shared" si="294"/>
        <v>167.99575032412352</v>
      </c>
      <c r="R230" s="141">
        <f t="shared" si="294"/>
        <v>150.89196773234315</v>
      </c>
      <c r="S230" s="141">
        <f t="shared" si="294"/>
        <v>152.78114625137917</v>
      </c>
      <c r="T230" s="141">
        <f t="shared" si="294"/>
        <v>152.02662837965792</v>
      </c>
      <c r="U230" s="141">
        <f t="shared" si="294"/>
        <v>152.8280474162934</v>
      </c>
      <c r="V230" s="141">
        <f t="shared" si="294"/>
        <v>151.99951587836969</v>
      </c>
      <c r="W230" s="141">
        <f t="shared" ref="W230" si="295">IF(W18=0,0,W78/W18*1000)</f>
        <v>156.89124655830562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1025.0060642734459</v>
      </c>
      <c r="C231" s="97">
        <f t="shared" si="296"/>
        <v>1233.5550957798109</v>
      </c>
      <c r="D231" s="97">
        <f t="shared" si="296"/>
        <v>1348.2750208238069</v>
      </c>
      <c r="E231" s="97">
        <f t="shared" si="296"/>
        <v>1172.249084675972</v>
      </c>
      <c r="F231" s="97">
        <f t="shared" si="296"/>
        <v>1186.4127857095154</v>
      </c>
      <c r="G231" s="97">
        <f t="shared" si="296"/>
        <v>1174.0991089778797</v>
      </c>
      <c r="H231" s="97">
        <f t="shared" si="296"/>
        <v>1145.3965677972803</v>
      </c>
      <c r="I231" s="97">
        <f t="shared" si="296"/>
        <v>1134.8491904999391</v>
      </c>
      <c r="J231" s="97">
        <f t="shared" si="296"/>
        <v>1078.3935412265594</v>
      </c>
      <c r="K231" s="97">
        <f t="shared" si="296"/>
        <v>993.12609143559052</v>
      </c>
      <c r="L231" s="97">
        <f t="shared" si="296"/>
        <v>1065.167870368439</v>
      </c>
      <c r="M231" s="97">
        <f t="shared" si="296"/>
        <v>1071.1679019770702</v>
      </c>
      <c r="N231" s="97">
        <f t="shared" si="296"/>
        <v>1049.0391737018369</v>
      </c>
      <c r="O231" s="97">
        <f t="shared" si="296"/>
        <v>973.22031845678146</v>
      </c>
      <c r="P231" s="97">
        <f t="shared" si="296"/>
        <v>947.62690417678778</v>
      </c>
      <c r="Q231" s="97">
        <f t="shared" si="296"/>
        <v>891.39692629471608</v>
      </c>
      <c r="R231" s="97">
        <f t="shared" si="296"/>
        <v>836.48134397322303</v>
      </c>
      <c r="S231" s="97">
        <f t="shared" si="296"/>
        <v>822.51048733480616</v>
      </c>
      <c r="T231" s="97">
        <f t="shared" si="296"/>
        <v>795.59678681858281</v>
      </c>
      <c r="U231" s="97">
        <f t="shared" si="296"/>
        <v>776.91548249584253</v>
      </c>
      <c r="V231" s="97">
        <f t="shared" si="296"/>
        <v>735.00904057536047</v>
      </c>
      <c r="W231" s="97">
        <f t="shared" ref="W231" si="297">IF(W19=0,0,W79/W19*1000)</f>
        <v>757.06681695535019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117.59803781581924</v>
      </c>
      <c r="C232" s="97">
        <f t="shared" si="298"/>
        <v>138.03948727840344</v>
      </c>
      <c r="D232" s="97">
        <f t="shared" si="298"/>
        <v>152.96513617269696</v>
      </c>
      <c r="E232" s="97">
        <f t="shared" si="298"/>
        <v>116.77776803356164</v>
      </c>
      <c r="F232" s="97">
        <f t="shared" si="298"/>
        <v>131.04999977008714</v>
      </c>
      <c r="G232" s="97">
        <f t="shared" si="298"/>
        <v>117.14011696632056</v>
      </c>
      <c r="H232" s="97">
        <f t="shared" si="298"/>
        <v>115.53469546709381</v>
      </c>
      <c r="I232" s="97">
        <f t="shared" si="298"/>
        <v>129.05858779300047</v>
      </c>
      <c r="J232" s="97">
        <f t="shared" si="298"/>
        <v>136.54789609636569</v>
      </c>
      <c r="K232" s="97">
        <f t="shared" si="298"/>
        <v>127.92770512037738</v>
      </c>
      <c r="L232" s="97">
        <f t="shared" si="298"/>
        <v>140.89620460517486</v>
      </c>
      <c r="M232" s="97">
        <f t="shared" si="298"/>
        <v>141.214353350588</v>
      </c>
      <c r="N232" s="97">
        <f t="shared" si="298"/>
        <v>136.50403003504206</v>
      </c>
      <c r="O232" s="97">
        <f t="shared" si="298"/>
        <v>120.10419002963344</v>
      </c>
      <c r="P232" s="97">
        <f t="shared" si="298"/>
        <v>113.68692401034122</v>
      </c>
      <c r="Q232" s="97">
        <f t="shared" si="298"/>
        <v>102.18342445958234</v>
      </c>
      <c r="R232" s="97">
        <f t="shared" si="298"/>
        <v>87.919573762479246</v>
      </c>
      <c r="S232" s="97">
        <f t="shared" si="298"/>
        <v>80.227130067789574</v>
      </c>
      <c r="T232" s="97">
        <f t="shared" si="298"/>
        <v>77.063882331203743</v>
      </c>
      <c r="U232" s="97">
        <f t="shared" si="298"/>
        <v>71.410790444169464</v>
      </c>
      <c r="V232" s="97">
        <f t="shared" si="298"/>
        <v>66.795168678007769</v>
      </c>
      <c r="W232" s="97">
        <f t="shared" ref="W232" si="299">IF(W20=0,0,W80/W20*1000)</f>
        <v>75.942517799413935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15.473970662515431</v>
      </c>
      <c r="C233" s="130">
        <f t="shared" si="300"/>
        <v>14.045814945753126</v>
      </c>
      <c r="D233" s="130">
        <f t="shared" si="300"/>
        <v>15.960369763194169</v>
      </c>
      <c r="E233" s="130">
        <f t="shared" si="300"/>
        <v>14.100584234965329</v>
      </c>
      <c r="F233" s="130">
        <f t="shared" si="300"/>
        <v>11.178989037573553</v>
      </c>
      <c r="G233" s="130">
        <f t="shared" si="300"/>
        <v>11.830839433990439</v>
      </c>
      <c r="H233" s="130">
        <f t="shared" si="300"/>
        <v>12.602703645796231</v>
      </c>
      <c r="I233" s="130">
        <f t="shared" si="300"/>
        <v>12.76845182924218</v>
      </c>
      <c r="J233" s="130">
        <f t="shared" si="300"/>
        <v>12.726060301384592</v>
      </c>
      <c r="K233" s="130">
        <f t="shared" si="300"/>
        <v>17.502329524288477</v>
      </c>
      <c r="L233" s="130">
        <f t="shared" si="300"/>
        <v>22.634932025147851</v>
      </c>
      <c r="M233" s="130">
        <f t="shared" si="300"/>
        <v>15.957262081076056</v>
      </c>
      <c r="N233" s="130">
        <f t="shared" si="300"/>
        <v>17.344309000606206</v>
      </c>
      <c r="O233" s="130">
        <f t="shared" si="300"/>
        <v>15.871023685393352</v>
      </c>
      <c r="P233" s="130">
        <f t="shared" si="300"/>
        <v>16.945928633374994</v>
      </c>
      <c r="Q233" s="130">
        <f t="shared" si="300"/>
        <v>16.692569145079286</v>
      </c>
      <c r="R233" s="130">
        <f t="shared" si="300"/>
        <v>16.880993436372243</v>
      </c>
      <c r="S233" s="130">
        <f t="shared" si="300"/>
        <v>17.135048970628596</v>
      </c>
      <c r="T233" s="130">
        <f t="shared" si="300"/>
        <v>13.300416100042129</v>
      </c>
      <c r="U233" s="130">
        <f t="shared" si="300"/>
        <v>16.600612914040806</v>
      </c>
      <c r="V233" s="130">
        <f t="shared" si="300"/>
        <v>17.828132224993563</v>
      </c>
      <c r="W233" s="130">
        <f t="shared" ref="W233" si="301">IF(W21=0,0,W81/W21*1000)</f>
        <v>16.205155475399067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215.65981652042902</v>
      </c>
      <c r="C234" s="130">
        <f t="shared" si="302"/>
        <v>199.30814775540654</v>
      </c>
      <c r="D234" s="130">
        <f t="shared" si="302"/>
        <v>252.54198537853085</v>
      </c>
      <c r="E234" s="130">
        <f t="shared" si="302"/>
        <v>297.79122841363829</v>
      </c>
      <c r="F234" s="130">
        <f t="shared" si="302"/>
        <v>419.77602222591617</v>
      </c>
      <c r="G234" s="130">
        <f t="shared" si="302"/>
        <v>364.68670951388577</v>
      </c>
      <c r="H234" s="130">
        <f t="shared" si="302"/>
        <v>496.40236325437007</v>
      </c>
      <c r="I234" s="130">
        <f t="shared" si="302"/>
        <v>642.4678598082387</v>
      </c>
      <c r="J234" s="130">
        <f t="shared" si="302"/>
        <v>808.21771437493089</v>
      </c>
      <c r="K234" s="130">
        <f t="shared" si="302"/>
        <v>712.05499547154341</v>
      </c>
      <c r="L234" s="130">
        <f t="shared" si="302"/>
        <v>407.63955367611845</v>
      </c>
      <c r="M234" s="130">
        <f t="shared" si="302"/>
        <v>471.86451622424505</v>
      </c>
      <c r="N234" s="130">
        <f t="shared" si="302"/>
        <v>460.65571948258702</v>
      </c>
      <c r="O234" s="130">
        <f t="shared" si="302"/>
        <v>536.41489380358905</v>
      </c>
      <c r="P234" s="130">
        <f t="shared" si="302"/>
        <v>424.8343389388636</v>
      </c>
      <c r="Q234" s="130">
        <f t="shared" si="302"/>
        <v>366.88763979945321</v>
      </c>
      <c r="R234" s="130">
        <f t="shared" si="302"/>
        <v>212.48990864899579</v>
      </c>
      <c r="S234" s="130">
        <f t="shared" si="302"/>
        <v>339.67181990982874</v>
      </c>
      <c r="T234" s="130">
        <f t="shared" si="302"/>
        <v>333.40049242727792</v>
      </c>
      <c r="U234" s="130">
        <f t="shared" si="302"/>
        <v>303.77560743804383</v>
      </c>
      <c r="V234" s="130">
        <f t="shared" si="302"/>
        <v>455.12237682840504</v>
      </c>
      <c r="W234" s="130">
        <f t="shared" ref="W234" si="303">IF(W22=0,0,W82/W22*1000)</f>
        <v>560.99762831040084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516.40200216751646</v>
      </c>
      <c r="C236" s="97">
        <f t="shared" si="306"/>
        <v>469.55097132496758</v>
      </c>
      <c r="D236" s="97">
        <f t="shared" si="306"/>
        <v>527.69199522254883</v>
      </c>
      <c r="E236" s="97">
        <f t="shared" si="306"/>
        <v>604.31701049503238</v>
      </c>
      <c r="F236" s="97">
        <f t="shared" si="306"/>
        <v>816.80910826154707</v>
      </c>
      <c r="G236" s="97">
        <f t="shared" si="306"/>
        <v>890.74685702686656</v>
      </c>
      <c r="H236" s="97">
        <f t="shared" si="306"/>
        <v>948.57407660142371</v>
      </c>
      <c r="I236" s="97">
        <f t="shared" si="306"/>
        <v>949.13268227222386</v>
      </c>
      <c r="J236" s="97">
        <f t="shared" si="306"/>
        <v>1055.0544723201372</v>
      </c>
      <c r="K236" s="97">
        <f t="shared" si="306"/>
        <v>804.72701180276852</v>
      </c>
      <c r="L236" s="97">
        <f t="shared" si="306"/>
        <v>579.8624672113001</v>
      </c>
      <c r="M236" s="97">
        <f t="shared" si="306"/>
        <v>546.49693658419744</v>
      </c>
      <c r="N236" s="97">
        <f t="shared" si="306"/>
        <v>549.77200277061684</v>
      </c>
      <c r="O236" s="97">
        <f t="shared" si="306"/>
        <v>594.50281151988042</v>
      </c>
      <c r="P236" s="97">
        <f t="shared" si="306"/>
        <v>465.97011401440977</v>
      </c>
      <c r="Q236" s="97">
        <f t="shared" si="306"/>
        <v>411.88321097547976</v>
      </c>
      <c r="R236" s="97">
        <f t="shared" si="306"/>
        <v>317.03807302311145</v>
      </c>
      <c r="S236" s="97">
        <f t="shared" si="306"/>
        <v>406.7276619526084</v>
      </c>
      <c r="T236" s="97">
        <f t="shared" si="306"/>
        <v>367.25013205961159</v>
      </c>
      <c r="U236" s="97">
        <f t="shared" si="306"/>
        <v>347.38936977907827</v>
      </c>
      <c r="V236" s="97">
        <f t="shared" si="306"/>
        <v>474.46251971905593</v>
      </c>
      <c r="W236" s="97">
        <f t="shared" ref="W236" si="307">IF(W24=0,0,W84/W24*1000)</f>
        <v>716.71253082854628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62.361811003376509</v>
      </c>
      <c r="C237" s="97">
        <f t="shared" si="308"/>
        <v>59.398724897274953</v>
      </c>
      <c r="D237" s="97">
        <f t="shared" si="308"/>
        <v>66.841816503360292</v>
      </c>
      <c r="E237" s="97">
        <f t="shared" si="308"/>
        <v>85.335131647796288</v>
      </c>
      <c r="F237" s="97">
        <f t="shared" si="308"/>
        <v>107.33802064317567</v>
      </c>
      <c r="G237" s="97">
        <f t="shared" si="308"/>
        <v>123.67887567559519</v>
      </c>
      <c r="H237" s="97">
        <f t="shared" si="308"/>
        <v>122.04301733256528</v>
      </c>
      <c r="I237" s="97">
        <f t="shared" si="308"/>
        <v>120.67490949045039</v>
      </c>
      <c r="J237" s="97">
        <f t="shared" si="308"/>
        <v>106.69471015627052</v>
      </c>
      <c r="K237" s="97">
        <f t="shared" si="308"/>
        <v>78.51124771178246</v>
      </c>
      <c r="L237" s="97">
        <f t="shared" si="308"/>
        <v>44.167663886997488</v>
      </c>
      <c r="M237" s="97">
        <f t="shared" si="308"/>
        <v>48.869612664056966</v>
      </c>
      <c r="N237" s="97">
        <f t="shared" si="308"/>
        <v>32.459875614326535</v>
      </c>
      <c r="O237" s="97">
        <f t="shared" si="308"/>
        <v>55.1554563048727</v>
      </c>
      <c r="P237" s="97">
        <f t="shared" si="308"/>
        <v>49.486501017867774</v>
      </c>
      <c r="Q237" s="97">
        <f t="shared" si="308"/>
        <v>39.790081589219987</v>
      </c>
      <c r="R237" s="97">
        <f t="shared" si="308"/>
        <v>47.638352429006019</v>
      </c>
      <c r="S237" s="97">
        <f t="shared" si="308"/>
        <v>52.943729858573207</v>
      </c>
      <c r="T237" s="97">
        <f t="shared" si="308"/>
        <v>48.997165891473912</v>
      </c>
      <c r="U237" s="97">
        <f t="shared" si="308"/>
        <v>77.869909553831306</v>
      </c>
      <c r="V237" s="97">
        <f t="shared" si="308"/>
        <v>238.41133120491827</v>
      </c>
      <c r="W237" s="97">
        <f t="shared" ref="W237" si="309">IF(W25=0,0,W85/W25*1000)</f>
        <v>137.28380161455877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656.75915948275849</v>
      </c>
      <c r="C238" s="130">
        <f t="shared" si="310"/>
        <v>647.22743362831864</v>
      </c>
      <c r="D238" s="130">
        <f t="shared" si="310"/>
        <v>668.62491000719945</v>
      </c>
      <c r="E238" s="130">
        <f t="shared" si="310"/>
        <v>648.17494600431974</v>
      </c>
      <c r="F238" s="130">
        <f t="shared" si="310"/>
        <v>413.4245626762073</v>
      </c>
      <c r="G238" s="130">
        <f t="shared" si="310"/>
        <v>573.71679593657768</v>
      </c>
      <c r="H238" s="130">
        <f t="shared" si="310"/>
        <v>747.46235606731614</v>
      </c>
      <c r="I238" s="130">
        <f t="shared" si="310"/>
        <v>368.93008474576271</v>
      </c>
      <c r="J238" s="130">
        <f t="shared" si="310"/>
        <v>995.55379100685138</v>
      </c>
      <c r="K238" s="130">
        <f t="shared" si="310"/>
        <v>1829.6563298066399</v>
      </c>
      <c r="L238" s="130">
        <f t="shared" si="310"/>
        <v>1713.8568792290343</v>
      </c>
      <c r="M238" s="130">
        <f t="shared" si="310"/>
        <v>645.98120440212688</v>
      </c>
      <c r="N238" s="130">
        <f t="shared" si="310"/>
        <v>494.1557622576068</v>
      </c>
      <c r="O238" s="130">
        <f t="shared" si="310"/>
        <v>429.83029929034251</v>
      </c>
      <c r="P238" s="130">
        <f t="shared" si="310"/>
        <v>690.80884513664432</v>
      </c>
      <c r="Q238" s="130">
        <f t="shared" si="310"/>
        <v>1216.152353854113</v>
      </c>
      <c r="R238" s="130">
        <f t="shared" si="310"/>
        <v>1945.4009433962267</v>
      </c>
      <c r="S238" s="130">
        <f t="shared" si="310"/>
        <v>4431.5577019438451</v>
      </c>
      <c r="T238" s="130">
        <f t="shared" si="310"/>
        <v>1725.4351388412756</v>
      </c>
      <c r="U238" s="130">
        <f t="shared" si="310"/>
        <v>1120.5745039908779</v>
      </c>
      <c r="V238" s="130">
        <f t="shared" si="310"/>
        <v>919.36623409902086</v>
      </c>
      <c r="W238" s="130">
        <f t="shared" ref="W238" si="311">IF(W26=0,0,W86/W26*1000)</f>
        <v>513.39876738569171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656.75915948275849</v>
      </c>
      <c r="C239" s="97">
        <f t="shared" si="312"/>
        <v>647.22743362831864</v>
      </c>
      <c r="D239" s="97">
        <f t="shared" si="312"/>
        <v>668.62491000719945</v>
      </c>
      <c r="E239" s="97">
        <f t="shared" si="312"/>
        <v>648.17494600431974</v>
      </c>
      <c r="F239" s="97">
        <f t="shared" si="312"/>
        <v>413.4245626762073</v>
      </c>
      <c r="G239" s="97">
        <f t="shared" si="312"/>
        <v>573.71679593657768</v>
      </c>
      <c r="H239" s="97">
        <f t="shared" si="312"/>
        <v>747.46235606731614</v>
      </c>
      <c r="I239" s="97">
        <f t="shared" si="312"/>
        <v>368.93008474576271</v>
      </c>
      <c r="J239" s="97">
        <f t="shared" si="312"/>
        <v>995.55379100685138</v>
      </c>
      <c r="K239" s="97">
        <f t="shared" si="312"/>
        <v>1829.6563298066399</v>
      </c>
      <c r="L239" s="97">
        <f t="shared" si="312"/>
        <v>1713.8568792290343</v>
      </c>
      <c r="M239" s="97">
        <f t="shared" si="312"/>
        <v>645.98120440212688</v>
      </c>
      <c r="N239" s="97">
        <f t="shared" si="312"/>
        <v>494.1557622576068</v>
      </c>
      <c r="O239" s="97">
        <f t="shared" si="312"/>
        <v>429.83029929034251</v>
      </c>
      <c r="P239" s="97">
        <f t="shared" si="312"/>
        <v>690.80884513664432</v>
      </c>
      <c r="Q239" s="97">
        <f t="shared" si="312"/>
        <v>1216.152353854113</v>
      </c>
      <c r="R239" s="97">
        <f t="shared" si="312"/>
        <v>1945.4009433962267</v>
      </c>
      <c r="S239" s="97">
        <f t="shared" si="312"/>
        <v>4431.5577019438451</v>
      </c>
      <c r="T239" s="97">
        <f t="shared" si="312"/>
        <v>1725.4351388412756</v>
      </c>
      <c r="U239" s="97">
        <f t="shared" si="312"/>
        <v>1120.5745039908779</v>
      </c>
      <c r="V239" s="97">
        <f t="shared" si="312"/>
        <v>919.36623409902086</v>
      </c>
      <c r="W239" s="97">
        <f t="shared" ref="W239" si="313">IF(W27=0,0,W87/W27*1000)</f>
        <v>513.39876738569171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4.6865483567215769</v>
      </c>
      <c r="C241" s="32">
        <f t="shared" si="316"/>
        <v>4.7481794305772826</v>
      </c>
      <c r="D241" s="32">
        <f t="shared" si="316"/>
        <v>4.7381811773400688</v>
      </c>
      <c r="E241" s="32">
        <f t="shared" si="316"/>
        <v>5.3794715443339172</v>
      </c>
      <c r="F241" s="32">
        <f t="shared" si="316"/>
        <v>5.6182019866619131</v>
      </c>
      <c r="G241" s="32">
        <f t="shared" si="316"/>
        <v>4.1840630165229005</v>
      </c>
      <c r="H241" s="32">
        <f t="shared" si="316"/>
        <v>7.3556115131488058</v>
      </c>
      <c r="I241" s="32">
        <f t="shared" si="316"/>
        <v>8.6136056252783373</v>
      </c>
      <c r="J241" s="32">
        <f t="shared" si="316"/>
        <v>10.509928173596082</v>
      </c>
      <c r="K241" s="32">
        <f t="shared" si="316"/>
        <v>8.1412074086218151</v>
      </c>
      <c r="L241" s="32">
        <f t="shared" si="316"/>
        <v>6.4014890972398506</v>
      </c>
      <c r="M241" s="32">
        <f t="shared" si="316"/>
        <v>5.4721899821238464</v>
      </c>
      <c r="N241" s="32">
        <f t="shared" si="316"/>
        <v>11.042164722445987</v>
      </c>
      <c r="O241" s="32">
        <f t="shared" si="316"/>
        <v>13.748161803244392</v>
      </c>
      <c r="P241" s="32">
        <f t="shared" si="316"/>
        <v>11.614403760477749</v>
      </c>
      <c r="Q241" s="32">
        <f t="shared" si="316"/>
        <v>13.586219994423004</v>
      </c>
      <c r="R241" s="32">
        <f t="shared" si="316"/>
        <v>13.703822865806735</v>
      </c>
      <c r="S241" s="32">
        <f t="shared" si="316"/>
        <v>15.861953232149311</v>
      </c>
      <c r="T241" s="32">
        <f t="shared" si="316"/>
        <v>14.610130773981735</v>
      </c>
      <c r="U241" s="32">
        <f t="shared" si="316"/>
        <v>7.7612239032137804</v>
      </c>
      <c r="V241" s="32">
        <f t="shared" si="316"/>
        <v>11.836017709106022</v>
      </c>
      <c r="W241" s="32">
        <f t="shared" si="315"/>
        <v>12.163908241135719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5.7506404082602192</v>
      </c>
      <c r="C242" s="97">
        <f t="shared" si="317"/>
        <v>5.8887424456004895</v>
      </c>
      <c r="D242" s="97">
        <f t="shared" si="317"/>
        <v>5.864968064496658</v>
      </c>
      <c r="E242" s="97">
        <f t="shared" si="317"/>
        <v>5.6828286852026242</v>
      </c>
      <c r="F242" s="97">
        <f t="shared" si="317"/>
        <v>7.3198973215084528</v>
      </c>
      <c r="G242" s="97">
        <f t="shared" si="317"/>
        <v>6.2360792004538013</v>
      </c>
      <c r="H242" s="97">
        <f t="shared" si="317"/>
        <v>10.796200434749988</v>
      </c>
      <c r="I242" s="97">
        <f t="shared" si="317"/>
        <v>15.373716967616506</v>
      </c>
      <c r="J242" s="97">
        <f t="shared" si="317"/>
        <v>20.594099854021515</v>
      </c>
      <c r="K242" s="97">
        <f t="shared" si="317"/>
        <v>16.366685373463508</v>
      </c>
      <c r="L242" s="97">
        <f t="shared" si="317"/>
        <v>13.058867218075584</v>
      </c>
      <c r="M242" s="97">
        <f t="shared" si="317"/>
        <v>10.647918695761756</v>
      </c>
      <c r="N242" s="97">
        <f t="shared" si="317"/>
        <v>25.960130809462093</v>
      </c>
      <c r="O242" s="97">
        <f t="shared" si="317"/>
        <v>25.367239031544738</v>
      </c>
      <c r="P242" s="97">
        <f t="shared" si="317"/>
        <v>21.213993270645354</v>
      </c>
      <c r="Q242" s="97">
        <f t="shared" si="317"/>
        <v>26.391753088638804</v>
      </c>
      <c r="R242" s="97">
        <f t="shared" si="317"/>
        <v>26.877853431149322</v>
      </c>
      <c r="S242" s="97">
        <f t="shared" si="317"/>
        <v>31.232728321239154</v>
      </c>
      <c r="T242" s="97">
        <f t="shared" si="317"/>
        <v>27.714604519279931</v>
      </c>
      <c r="U242" s="97">
        <f t="shared" si="317"/>
        <v>15.821362417592709</v>
      </c>
      <c r="V242" s="97">
        <f t="shared" si="317"/>
        <v>23.757511670999818</v>
      </c>
      <c r="W242" s="97">
        <f t="shared" si="315"/>
        <v>23.107147305756897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3.980223927647462</v>
      </c>
      <c r="C243" s="98">
        <f t="shared" si="318"/>
        <v>4.0070817285748479</v>
      </c>
      <c r="D243" s="98">
        <f t="shared" si="318"/>
        <v>4.0064194317009623</v>
      </c>
      <c r="E243" s="98">
        <f t="shared" si="318"/>
        <v>5.0997929898950014</v>
      </c>
      <c r="F243" s="98">
        <f t="shared" si="318"/>
        <v>4.6879752118790332</v>
      </c>
      <c r="G243" s="98">
        <f t="shared" si="318"/>
        <v>3.3967418989242506</v>
      </c>
      <c r="H243" s="98">
        <f t="shared" si="318"/>
        <v>5.9729939643795555</v>
      </c>
      <c r="I243" s="98">
        <f t="shared" si="318"/>
        <v>6.5490940708640348</v>
      </c>
      <c r="J243" s="98">
        <f t="shared" si="318"/>
        <v>7.8546403267717011</v>
      </c>
      <c r="K243" s="98">
        <f t="shared" si="318"/>
        <v>6.1519555529707031</v>
      </c>
      <c r="L243" s="98">
        <f t="shared" si="318"/>
        <v>4.8740274092296518</v>
      </c>
      <c r="M243" s="98">
        <f t="shared" si="318"/>
        <v>4.1738019275461609</v>
      </c>
      <c r="N243" s="98">
        <f t="shared" si="318"/>
        <v>8.7749633715373818</v>
      </c>
      <c r="O243" s="98">
        <f t="shared" si="318"/>
        <v>10.346786073509699</v>
      </c>
      <c r="P243" s="98">
        <f t="shared" si="318"/>
        <v>8.777696283970565</v>
      </c>
      <c r="Q243" s="98">
        <f t="shared" si="318"/>
        <v>10.446381792901498</v>
      </c>
      <c r="R243" s="98">
        <f t="shared" si="318"/>
        <v>10.612608773394051</v>
      </c>
      <c r="S243" s="98">
        <f t="shared" si="318"/>
        <v>12.140476165229318</v>
      </c>
      <c r="T243" s="98">
        <f t="shared" si="318"/>
        <v>11.270850667012478</v>
      </c>
      <c r="U243" s="98">
        <f t="shared" si="318"/>
        <v>5.9900012948846486</v>
      </c>
      <c r="V243" s="98">
        <f t="shared" si="318"/>
        <v>9.8456921917310236</v>
      </c>
      <c r="W243" s="98">
        <f t="shared" si="315"/>
        <v>10.019834759236691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9321.4477789292177</v>
      </c>
      <c r="C4" s="29">
        <f t="shared" si="0"/>
        <v>9279.6165325981128</v>
      </c>
      <c r="D4" s="29">
        <f t="shared" si="0"/>
        <v>9399.7523856801563</v>
      </c>
      <c r="E4" s="29">
        <f t="shared" si="0"/>
        <v>9971.4791404153366</v>
      </c>
      <c r="F4" s="29">
        <f t="shared" si="0"/>
        <v>10294.521911565083</v>
      </c>
      <c r="G4" s="29">
        <f t="shared" si="0"/>
        <v>12659.005262880864</v>
      </c>
      <c r="H4" s="29">
        <f t="shared" si="0"/>
        <v>12844.231271318135</v>
      </c>
      <c r="I4" s="29">
        <f t="shared" si="0"/>
        <v>12697.2476761827</v>
      </c>
      <c r="J4" s="29">
        <f t="shared" si="0"/>
        <v>12977.13525681212</v>
      </c>
      <c r="K4" s="29">
        <f t="shared" si="0"/>
        <v>12639.322454444089</v>
      </c>
      <c r="L4" s="29">
        <f t="shared" ref="L4" si="1">L5+L6+L13</f>
        <v>12187.693661661877</v>
      </c>
      <c r="M4" s="29">
        <f t="shared" ref="M4:V4" si="2">M5+M6+M13</f>
        <v>12483.175410518201</v>
      </c>
      <c r="N4" s="29">
        <f t="shared" si="2"/>
        <v>12737.301822257876</v>
      </c>
      <c r="O4" s="29">
        <f t="shared" si="2"/>
        <v>13227.593893942867</v>
      </c>
      <c r="P4" s="29">
        <f t="shared" si="2"/>
        <v>13884.383735465814</v>
      </c>
      <c r="Q4" s="29">
        <f t="shared" si="2"/>
        <v>14751.743258112343</v>
      </c>
      <c r="R4" s="29">
        <f t="shared" si="2"/>
        <v>15845.053521748809</v>
      </c>
      <c r="S4" s="29">
        <f t="shared" si="2"/>
        <v>16013.415264946099</v>
      </c>
      <c r="T4" s="29">
        <f t="shared" si="2"/>
        <v>16241.004747282019</v>
      </c>
      <c r="U4" s="29">
        <f t="shared" si="2"/>
        <v>17313.662699665219</v>
      </c>
      <c r="V4" s="29">
        <f t="shared" si="2"/>
        <v>13637.469237045136</v>
      </c>
      <c r="W4" s="29">
        <f t="shared" ref="W4" si="3">W5+W6+W13</f>
        <v>14450.793725719896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9.3320789292189712</v>
      </c>
      <c r="C5" s="152">
        <f t="shared" si="4"/>
        <v>9.4635325981126961</v>
      </c>
      <c r="D5" s="152">
        <f t="shared" si="4"/>
        <v>10.112785680156502</v>
      </c>
      <c r="E5" s="152">
        <f t="shared" si="4"/>
        <v>11.167640415337718</v>
      </c>
      <c r="F5" s="152">
        <f t="shared" si="4"/>
        <v>12.521911565083904</v>
      </c>
      <c r="G5" s="152">
        <f t="shared" si="4"/>
        <v>14.005262880865113</v>
      </c>
      <c r="H5" s="152">
        <f t="shared" si="4"/>
        <v>17.231271318134564</v>
      </c>
      <c r="I5" s="152">
        <f t="shared" si="4"/>
        <v>20.247676182702449</v>
      </c>
      <c r="J5" s="152">
        <f t="shared" si="4"/>
        <v>24.135256812120755</v>
      </c>
      <c r="K5" s="152">
        <f t="shared" si="4"/>
        <v>25.322454444087821</v>
      </c>
      <c r="L5" s="152">
        <f t="shared" ref="L5:L7" si="5">IF(L32=0,0,L32*L142)</f>
        <v>26.693661661878945</v>
      </c>
      <c r="M5" s="152">
        <f t="shared" ref="M5:V5" si="6">IF(M32=0,0,M32*M142)</f>
        <v>31.39888797027978</v>
      </c>
      <c r="N5" s="152">
        <f t="shared" si="6"/>
        <v>47.406745104748516</v>
      </c>
      <c r="O5" s="152">
        <f t="shared" si="6"/>
        <v>51.860571445915191</v>
      </c>
      <c r="P5" s="152">
        <f t="shared" si="6"/>
        <v>56.632393053032928</v>
      </c>
      <c r="Q5" s="152">
        <f t="shared" si="6"/>
        <v>60.794771131102578</v>
      </c>
      <c r="R5" s="152">
        <f t="shared" si="6"/>
        <v>66.204736145334735</v>
      </c>
      <c r="S5" s="152">
        <f t="shared" si="6"/>
        <v>63.172158623024558</v>
      </c>
      <c r="T5" s="152">
        <f t="shared" si="6"/>
        <v>60.822224620304972</v>
      </c>
      <c r="U5" s="152">
        <f t="shared" si="6"/>
        <v>65.162699665214319</v>
      </c>
      <c r="V5" s="152">
        <f t="shared" si="6"/>
        <v>58.774633911389316</v>
      </c>
      <c r="W5" s="152">
        <f t="shared" ref="W5" si="7">IF(W32=0,0,W32*W142)</f>
        <v>61.538855660825355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6682.1156999999994</v>
      </c>
      <c r="C6" s="116">
        <f t="shared" si="8"/>
        <v>6809.1529999999993</v>
      </c>
      <c r="D6" s="116">
        <f t="shared" si="8"/>
        <v>7059.6396000000004</v>
      </c>
      <c r="E6" s="116">
        <f t="shared" si="8"/>
        <v>7663.3114999999998</v>
      </c>
      <c r="F6" s="116">
        <f t="shared" si="8"/>
        <v>7813</v>
      </c>
      <c r="G6" s="116">
        <f t="shared" si="8"/>
        <v>9929</v>
      </c>
      <c r="H6" s="116">
        <f t="shared" si="8"/>
        <v>9946</v>
      </c>
      <c r="I6" s="116">
        <f t="shared" si="8"/>
        <v>9999.9999999999982</v>
      </c>
      <c r="J6" s="116">
        <f t="shared" si="8"/>
        <v>10500</v>
      </c>
      <c r="K6" s="116">
        <f t="shared" si="8"/>
        <v>10500.000000000002</v>
      </c>
      <c r="L6" s="116">
        <f t="shared" ref="L6" si="9">SUM(L7:L12)</f>
        <v>10099.999999999998</v>
      </c>
      <c r="M6" s="116">
        <f t="shared" ref="M6:V6" si="10">SUM(M7:M12)</f>
        <v>10381.082222547921</v>
      </c>
      <c r="N6" s="116">
        <f t="shared" si="10"/>
        <v>10808.595077153128</v>
      </c>
      <c r="O6" s="116">
        <f t="shared" si="10"/>
        <v>11246.133322496951</v>
      </c>
      <c r="P6" s="116">
        <f t="shared" si="10"/>
        <v>11852.001342412781</v>
      </c>
      <c r="Q6" s="116">
        <f t="shared" si="10"/>
        <v>12331.94848698124</v>
      </c>
      <c r="R6" s="116">
        <f t="shared" si="10"/>
        <v>12840.848785603474</v>
      </c>
      <c r="S6" s="116">
        <f t="shared" si="10"/>
        <v>13081.243106323074</v>
      </c>
      <c r="T6" s="116">
        <f t="shared" si="10"/>
        <v>13340.182522661713</v>
      </c>
      <c r="U6" s="116">
        <f t="shared" si="10"/>
        <v>14095.500000000004</v>
      </c>
      <c r="V6" s="116">
        <f t="shared" si="10"/>
        <v>12204.694603133747</v>
      </c>
      <c r="W6" s="116">
        <f t="shared" ref="W6" si="11">SUM(W7:W12)</f>
        <v>13101.254870059071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6130.6343812570949</v>
      </c>
      <c r="C7" s="87">
        <f t="shared" si="12"/>
        <v>6165.6068958652722</v>
      </c>
      <c r="D7" s="87">
        <f t="shared" si="12"/>
        <v>6276.5911235685644</v>
      </c>
      <c r="E7" s="87">
        <f t="shared" si="12"/>
        <v>6486.7031621323385</v>
      </c>
      <c r="F7" s="87">
        <f t="shared" si="12"/>
        <v>6210.0441663731253</v>
      </c>
      <c r="G7" s="87">
        <f t="shared" si="12"/>
        <v>7536.265330833653</v>
      </c>
      <c r="H7" s="87">
        <f t="shared" si="12"/>
        <v>7087.1472607789055</v>
      </c>
      <c r="I7" s="87">
        <f t="shared" si="12"/>
        <v>6810.2902068203748</v>
      </c>
      <c r="J7" s="87">
        <f t="shared" si="12"/>
        <v>7112.7172937461282</v>
      </c>
      <c r="K7" s="87">
        <f t="shared" si="12"/>
        <v>6606.7336494465108</v>
      </c>
      <c r="L7" s="87">
        <f t="shared" si="5"/>
        <v>6167.8271768202867</v>
      </c>
      <c r="M7" s="87">
        <f t="shared" ref="M7:V7" si="13">IF(M34=0,0,M34*M144)</f>
        <v>5859.9794191018273</v>
      </c>
      <c r="N7" s="87">
        <f t="shared" si="13"/>
        <v>5660.5172127363039</v>
      </c>
      <c r="O7" s="87">
        <f t="shared" si="13"/>
        <v>5505.600601390498</v>
      </c>
      <c r="P7" s="87">
        <f t="shared" si="13"/>
        <v>5750.1209433327303</v>
      </c>
      <c r="Q7" s="87">
        <f t="shared" si="13"/>
        <v>5561.9022504165587</v>
      </c>
      <c r="R7" s="87">
        <f t="shared" si="13"/>
        <v>5892.8471007384924</v>
      </c>
      <c r="S7" s="87">
        <f t="shared" si="13"/>
        <v>6125.3649568460241</v>
      </c>
      <c r="T7" s="87">
        <f t="shared" si="13"/>
        <v>6225.5052355961652</v>
      </c>
      <c r="U7" s="87">
        <f t="shared" si="13"/>
        <v>6596.7401297260549</v>
      </c>
      <c r="V7" s="87">
        <f t="shared" si="13"/>
        <v>4698.2736600486433</v>
      </c>
      <c r="W7" s="87">
        <f t="shared" ref="W7" si="14">IF(W34=0,0,W34*W144)</f>
        <v>4648.1360722352147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534.98537794783442</v>
      </c>
      <c r="C8" s="87">
        <f t="shared" si="15"/>
        <v>625.06269210196024</v>
      </c>
      <c r="D8" s="87">
        <f t="shared" si="15"/>
        <v>761.15477293830918</v>
      </c>
      <c r="E8" s="87">
        <f t="shared" si="15"/>
        <v>1151.1452381987719</v>
      </c>
      <c r="F8" s="87">
        <f t="shared" si="15"/>
        <v>1577.3599714512857</v>
      </c>
      <c r="G8" s="87">
        <f t="shared" si="15"/>
        <v>2355.1864191592049</v>
      </c>
      <c r="H8" s="87">
        <f t="shared" si="15"/>
        <v>2811.2540980111862</v>
      </c>
      <c r="I8" s="87">
        <f t="shared" si="15"/>
        <v>3151.1960606109087</v>
      </c>
      <c r="J8" s="87">
        <f t="shared" si="15"/>
        <v>3342.1943927957273</v>
      </c>
      <c r="K8" s="87">
        <f t="shared" si="15"/>
        <v>3843.2244215233341</v>
      </c>
      <c r="L8" s="87">
        <f t="shared" ref="L8" si="16">IF(L35=0,0,L35*L145)</f>
        <v>3885.5325809691467</v>
      </c>
      <c r="M8" s="87">
        <f t="shared" ref="M8:V8" si="17">IF(M35=0,0,M35*M145)</f>
        <v>4465.1420512616478</v>
      </c>
      <c r="N8" s="87">
        <f t="shared" si="17"/>
        <v>5058.752459177671</v>
      </c>
      <c r="O8" s="87">
        <f t="shared" si="17"/>
        <v>5631.7134637934487</v>
      </c>
      <c r="P8" s="87">
        <f t="shared" si="17"/>
        <v>5962.8252905031168</v>
      </c>
      <c r="Q8" s="87">
        <f t="shared" si="17"/>
        <v>6620.326755773689</v>
      </c>
      <c r="R8" s="87">
        <f t="shared" si="17"/>
        <v>6761.3072604523131</v>
      </c>
      <c r="S8" s="87">
        <f t="shared" si="17"/>
        <v>6733.4625396797346</v>
      </c>
      <c r="T8" s="87">
        <f t="shared" si="17"/>
        <v>6826.667980212379</v>
      </c>
      <c r="U8" s="87">
        <f t="shared" si="17"/>
        <v>6987.8005344112162</v>
      </c>
      <c r="V8" s="87">
        <f t="shared" si="17"/>
        <v>6879.3262430715404</v>
      </c>
      <c r="W8" s="87">
        <f t="shared" ref="W8" si="18">IF(W35=0,0,W35*W145)</f>
        <v>7632.5669285755084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16.495940795070361</v>
      </c>
      <c r="C9" s="87">
        <f t="shared" si="19"/>
        <v>18.483412032766473</v>
      </c>
      <c r="D9" s="87">
        <f t="shared" si="19"/>
        <v>21.893703493126722</v>
      </c>
      <c r="E9" s="87">
        <f t="shared" si="19"/>
        <v>25.463099668889701</v>
      </c>
      <c r="F9" s="87">
        <f t="shared" si="19"/>
        <v>25.595862175588916</v>
      </c>
      <c r="G9" s="87">
        <f t="shared" si="19"/>
        <v>37.548250007141831</v>
      </c>
      <c r="H9" s="87">
        <f t="shared" si="19"/>
        <v>47.598641209908237</v>
      </c>
      <c r="I9" s="87">
        <f t="shared" si="19"/>
        <v>38.51373256871608</v>
      </c>
      <c r="J9" s="87">
        <f t="shared" si="19"/>
        <v>45.060620242869199</v>
      </c>
      <c r="K9" s="87">
        <f t="shared" si="19"/>
        <v>50.014560763163239</v>
      </c>
      <c r="L9" s="87">
        <f t="shared" ref="L9" si="20">IF(L36=0,0,L36*L146)</f>
        <v>46.515992496177027</v>
      </c>
      <c r="M9" s="87">
        <f t="shared" ref="M9:V9" si="21">IF(M36=0,0,M36*M146)</f>
        <v>54.193290272612515</v>
      </c>
      <c r="N9" s="87">
        <f t="shared" si="21"/>
        <v>72.504204292660845</v>
      </c>
      <c r="O9" s="87">
        <f t="shared" si="21"/>
        <v>85.224576637268882</v>
      </c>
      <c r="P9" s="87">
        <f t="shared" si="21"/>
        <v>100.70340278573684</v>
      </c>
      <c r="Q9" s="87">
        <f t="shared" si="21"/>
        <v>106.67835734277966</v>
      </c>
      <c r="R9" s="87">
        <f t="shared" si="21"/>
        <v>126.99577034841461</v>
      </c>
      <c r="S9" s="87">
        <f t="shared" si="21"/>
        <v>149.82737451951652</v>
      </c>
      <c r="T9" s="87">
        <f t="shared" si="21"/>
        <v>177.21286441108072</v>
      </c>
      <c r="U9" s="87">
        <f t="shared" si="21"/>
        <v>215.28656313110898</v>
      </c>
      <c r="V9" s="87">
        <f t="shared" si="21"/>
        <v>200.4262521748544</v>
      </c>
      <c r="W9" s="87">
        <f t="shared" ref="W9" si="22">IF(W36=0,0,W36*W146)</f>
        <v>214.96479988050822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7.1116683741547254E-2</v>
      </c>
      <c r="M10" s="87">
        <f t="shared" ref="M10:V10" si="25">IF(M37=0,0,M37*M147)</f>
        <v>0.24231061217800751</v>
      </c>
      <c r="N10" s="87">
        <f t="shared" si="25"/>
        <v>0.4677816881118374</v>
      </c>
      <c r="O10" s="87">
        <f t="shared" si="25"/>
        <v>3.8108787940069124</v>
      </c>
      <c r="P10" s="87">
        <f t="shared" si="25"/>
        <v>7.53824296006482</v>
      </c>
      <c r="Q10" s="87">
        <f t="shared" si="25"/>
        <v>12.183886961759358</v>
      </c>
      <c r="R10" s="87">
        <f t="shared" si="25"/>
        <v>28.41321012981431</v>
      </c>
      <c r="S10" s="87">
        <f t="shared" si="25"/>
        <v>41.549409993745485</v>
      </c>
      <c r="T10" s="87">
        <f t="shared" si="25"/>
        <v>78.197574552591746</v>
      </c>
      <c r="U10" s="87">
        <f t="shared" si="25"/>
        <v>256.81151763092907</v>
      </c>
      <c r="V10" s="87">
        <f t="shared" si="25"/>
        <v>388.37426793561866</v>
      </c>
      <c r="W10" s="87">
        <f t="shared" ref="W10" si="26">IF(W37=0,0,W37*W147)</f>
        <v>544.29412919297977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</v>
      </c>
      <c r="P11" s="87">
        <f t="shared" si="29"/>
        <v>0.40704239518704355</v>
      </c>
      <c r="Q11" s="87">
        <f t="shared" si="29"/>
        <v>0.6941687063479095</v>
      </c>
      <c r="R11" s="87">
        <f t="shared" si="29"/>
        <v>0.89770367394744732</v>
      </c>
      <c r="S11" s="87">
        <f t="shared" si="29"/>
        <v>1.1823709590889648</v>
      </c>
      <c r="T11" s="87">
        <f t="shared" si="29"/>
        <v>1.8002989583041942</v>
      </c>
      <c r="U11" s="87">
        <f t="shared" si="29"/>
        <v>2.1630338962442019</v>
      </c>
      <c r="V11" s="87">
        <f t="shared" si="29"/>
        <v>3.1297191313866626</v>
      </c>
      <c r="W11" s="87">
        <f t="shared" ref="W11" si="30">IF(W38=0,0,W38*W148)</f>
        <v>9.4466110329846238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2.7693215275980659E-2</v>
      </c>
      <c r="K12" s="87">
        <f t="shared" si="31"/>
        <v>2.7368266992287754E-2</v>
      </c>
      <c r="L12" s="87">
        <f t="shared" ref="L12" si="32">IF(L39=0,0,L39*L149)</f>
        <v>5.3133030647446823E-2</v>
      </c>
      <c r="M12" s="87">
        <f t="shared" ref="M12:V12" si="33">IF(M39=0,0,M39*M149)</f>
        <v>1.5251512996537644</v>
      </c>
      <c r="N12" s="87">
        <f t="shared" si="33"/>
        <v>16.353419258379947</v>
      </c>
      <c r="O12" s="87">
        <f t="shared" si="33"/>
        <v>19.783801881728643</v>
      </c>
      <c r="P12" s="87">
        <f t="shared" si="33"/>
        <v>30.406420435944792</v>
      </c>
      <c r="Q12" s="87">
        <f t="shared" si="33"/>
        <v>30.163067780106129</v>
      </c>
      <c r="R12" s="87">
        <f t="shared" si="33"/>
        <v>30.387740260492262</v>
      </c>
      <c r="S12" s="87">
        <f t="shared" si="33"/>
        <v>29.856454324964716</v>
      </c>
      <c r="T12" s="87">
        <f t="shared" si="33"/>
        <v>30.798568931194353</v>
      </c>
      <c r="U12" s="87">
        <f t="shared" si="33"/>
        <v>36.698221204448615</v>
      </c>
      <c r="V12" s="87">
        <f t="shared" si="33"/>
        <v>35.164460771703553</v>
      </c>
      <c r="W12" s="87">
        <f t="shared" ref="W12" si="34">IF(W39=0,0,W39*W149)</f>
        <v>51.846329141873923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2630</v>
      </c>
      <c r="C13" s="116">
        <f t="shared" si="35"/>
        <v>2461</v>
      </c>
      <c r="D13" s="116">
        <f t="shared" si="35"/>
        <v>2330</v>
      </c>
      <c r="E13" s="116">
        <f t="shared" si="35"/>
        <v>2297</v>
      </c>
      <c r="F13" s="116">
        <f t="shared" si="35"/>
        <v>2469</v>
      </c>
      <c r="G13" s="116">
        <f t="shared" si="35"/>
        <v>2716</v>
      </c>
      <c r="H13" s="116">
        <f t="shared" si="35"/>
        <v>2881</v>
      </c>
      <c r="I13" s="116">
        <f t="shared" si="35"/>
        <v>2676.9999999999995</v>
      </c>
      <c r="J13" s="116">
        <f t="shared" si="35"/>
        <v>2453</v>
      </c>
      <c r="K13" s="116">
        <f t="shared" si="35"/>
        <v>2114</v>
      </c>
      <c r="L13" s="116">
        <f t="shared" ref="L13" si="36">SUM(L14:L18)</f>
        <v>2061</v>
      </c>
      <c r="M13" s="116">
        <f t="shared" ref="M13:V13" si="37">SUM(M14:M18)</f>
        <v>2070.6943000000001</v>
      </c>
      <c r="N13" s="116">
        <f t="shared" si="37"/>
        <v>1881.3000000000002</v>
      </c>
      <c r="O13" s="116">
        <f t="shared" si="37"/>
        <v>1929.6</v>
      </c>
      <c r="P13" s="116">
        <f t="shared" si="37"/>
        <v>1975.7500000000002</v>
      </c>
      <c r="Q13" s="116">
        <f t="shared" si="37"/>
        <v>2359</v>
      </c>
      <c r="R13" s="116">
        <f t="shared" si="37"/>
        <v>2938.0000000000005</v>
      </c>
      <c r="S13" s="116">
        <f t="shared" si="37"/>
        <v>2869</v>
      </c>
      <c r="T13" s="116">
        <f t="shared" si="37"/>
        <v>2840</v>
      </c>
      <c r="U13" s="116">
        <f t="shared" si="37"/>
        <v>3153</v>
      </c>
      <c r="V13" s="116">
        <f t="shared" si="37"/>
        <v>1373.9999999999998</v>
      </c>
      <c r="W13" s="116">
        <f t="shared" ref="W13" si="38">SUM(W14:W18)</f>
        <v>1288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335.84969287516697</v>
      </c>
      <c r="C14" s="101">
        <f t="shared" si="39"/>
        <v>292.55141411952599</v>
      </c>
      <c r="D14" s="101">
        <f t="shared" si="39"/>
        <v>250.26881876763736</v>
      </c>
      <c r="E14" s="101">
        <f t="shared" si="39"/>
        <v>210.17093305297138</v>
      </c>
      <c r="F14" s="101">
        <f t="shared" si="39"/>
        <v>188.08570582218329</v>
      </c>
      <c r="G14" s="101">
        <f t="shared" si="39"/>
        <v>155.2293510571163</v>
      </c>
      <c r="H14" s="101">
        <f t="shared" si="39"/>
        <v>157.83752782691391</v>
      </c>
      <c r="I14" s="101">
        <f t="shared" si="39"/>
        <v>88.561602147079299</v>
      </c>
      <c r="J14" s="101">
        <f t="shared" si="39"/>
        <v>62.292629948744931</v>
      </c>
      <c r="K14" s="101">
        <f t="shared" si="39"/>
        <v>42.212097200000308</v>
      </c>
      <c r="L14" s="101">
        <f t="shared" ref="L14" si="40">IF(L41=0,0,L41*L151)</f>
        <v>32.516499747731302</v>
      </c>
      <c r="M14" s="101">
        <f t="shared" ref="M14:V14" si="41">IF(M41=0,0,M41*M151)</f>
        <v>29.087150579988641</v>
      </c>
      <c r="N14" s="101">
        <f t="shared" si="41"/>
        <v>27.371368872801639</v>
      </c>
      <c r="O14" s="101">
        <f t="shared" si="41"/>
        <v>26.017944934985689</v>
      </c>
      <c r="P14" s="101">
        <f t="shared" si="41"/>
        <v>26.40411909730955</v>
      </c>
      <c r="Q14" s="101">
        <f t="shared" si="41"/>
        <v>26.869509849360714</v>
      </c>
      <c r="R14" s="101">
        <f t="shared" si="41"/>
        <v>30.187801886804941</v>
      </c>
      <c r="S14" s="101">
        <f t="shared" si="41"/>
        <v>33.083326922143797</v>
      </c>
      <c r="T14" s="101">
        <f t="shared" si="41"/>
        <v>31.788128988626653</v>
      </c>
      <c r="U14" s="101">
        <f t="shared" si="41"/>
        <v>29.947755063885314</v>
      </c>
      <c r="V14" s="101">
        <f t="shared" si="41"/>
        <v>22.277566401040705</v>
      </c>
      <c r="W14" s="101">
        <f t="shared" ref="W14" si="42">IF(W41=0,0,W41*W151)</f>
        <v>22.797315252301601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2294.150307124833</v>
      </c>
      <c r="C15" s="101">
        <f t="shared" si="43"/>
        <v>2168.4485858804742</v>
      </c>
      <c r="D15" s="101">
        <f t="shared" si="43"/>
        <v>2079.7311812323628</v>
      </c>
      <c r="E15" s="101">
        <f t="shared" si="43"/>
        <v>2086.8290669470284</v>
      </c>
      <c r="F15" s="101">
        <f t="shared" si="43"/>
        <v>2280.9142941778168</v>
      </c>
      <c r="G15" s="101">
        <f t="shared" si="43"/>
        <v>2560.7706489428838</v>
      </c>
      <c r="H15" s="101">
        <f t="shared" si="43"/>
        <v>2723.1624721730859</v>
      </c>
      <c r="I15" s="101">
        <f t="shared" si="43"/>
        <v>2588.4383978529204</v>
      </c>
      <c r="J15" s="101">
        <f t="shared" si="43"/>
        <v>2390.7073700512551</v>
      </c>
      <c r="K15" s="101">
        <f t="shared" si="43"/>
        <v>2071.7879027999998</v>
      </c>
      <c r="L15" s="101">
        <f t="shared" ref="L15" si="44">IF(L42=0,0,L42*L152)</f>
        <v>1944.6848436847345</v>
      </c>
      <c r="M15" s="101">
        <f t="shared" ref="M15:V15" si="45">IF(M42=0,0,M42*M152)</f>
        <v>1952.4973262106105</v>
      </c>
      <c r="N15" s="101">
        <f t="shared" si="45"/>
        <v>1775.268254037886</v>
      </c>
      <c r="O15" s="101">
        <f t="shared" si="45"/>
        <v>1825.2278435016858</v>
      </c>
      <c r="P15" s="101">
        <f t="shared" si="45"/>
        <v>1866.4270203018921</v>
      </c>
      <c r="Q15" s="101">
        <f t="shared" si="45"/>
        <v>2227.9734074729026</v>
      </c>
      <c r="R15" s="101">
        <f t="shared" si="45"/>
        <v>2780.2183956239173</v>
      </c>
      <c r="S15" s="101">
        <f t="shared" si="45"/>
        <v>2695.996160452255</v>
      </c>
      <c r="T15" s="101">
        <f t="shared" si="45"/>
        <v>2644.9041652561773</v>
      </c>
      <c r="U15" s="101">
        <f t="shared" si="45"/>
        <v>2915.0492090093758</v>
      </c>
      <c r="V15" s="101">
        <f t="shared" si="45"/>
        <v>1230.5761163432931</v>
      </c>
      <c r="W15" s="101">
        <f t="shared" ref="W15" si="46">IF(W42=0,0,W42*W152)</f>
        <v>1112.6041757927123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0.33919695144642853</v>
      </c>
      <c r="U16" s="101">
        <f t="shared" si="49"/>
        <v>0.36361579409113881</v>
      </c>
      <c r="V16" s="101">
        <f t="shared" si="49"/>
        <v>0.15344489546540191</v>
      </c>
      <c r="W16" s="101">
        <f t="shared" ref="W16" si="50">IF(W43=0,0,W43*W153)</f>
        <v>0.14007013629467444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1.2247057737475395</v>
      </c>
      <c r="M17" s="101">
        <f t="shared" ref="M17:V17" si="53">IF(M44=0,0,M44*M154)</f>
        <v>4.307038519673128</v>
      </c>
      <c r="N17" s="101">
        <f t="shared" si="53"/>
        <v>4.4263106215209218</v>
      </c>
      <c r="O17" s="101">
        <f t="shared" si="53"/>
        <v>8.0775022425558216</v>
      </c>
      <c r="P17" s="101">
        <f t="shared" si="53"/>
        <v>16.129025922782962</v>
      </c>
      <c r="Q17" s="101">
        <f t="shared" si="53"/>
        <v>31.188954502364592</v>
      </c>
      <c r="R17" s="101">
        <f t="shared" si="53"/>
        <v>54.856474560835878</v>
      </c>
      <c r="S17" s="101">
        <f t="shared" si="53"/>
        <v>81.877908718792625</v>
      </c>
      <c r="T17" s="101">
        <f t="shared" si="53"/>
        <v>109.29620906649465</v>
      </c>
      <c r="U17" s="101">
        <f t="shared" si="53"/>
        <v>149.69838767262465</v>
      </c>
      <c r="V17" s="101">
        <f t="shared" si="53"/>
        <v>98.555367913490983</v>
      </c>
      <c r="W17" s="101">
        <f t="shared" ref="W17" si="54">IF(W44=0,0,W44*W154)</f>
        <v>134.30824300958011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82.573950793786608</v>
      </c>
      <c r="M18" s="101">
        <f t="shared" ref="M18:V18" si="57">IF(M45=0,0,M45*M155)</f>
        <v>84.802784689727844</v>
      </c>
      <c r="N18" s="101">
        <f t="shared" si="57"/>
        <v>74.234066467791422</v>
      </c>
      <c r="O18" s="101">
        <f t="shared" si="57"/>
        <v>70.276709320772525</v>
      </c>
      <c r="P18" s="101">
        <f t="shared" si="57"/>
        <v>66.789834678015467</v>
      </c>
      <c r="Q18" s="101">
        <f t="shared" si="57"/>
        <v>72.968128175372144</v>
      </c>
      <c r="R18" s="101">
        <f t="shared" si="57"/>
        <v>72.737327928442014</v>
      </c>
      <c r="S18" s="101">
        <f t="shared" si="57"/>
        <v>58.04260390680858</v>
      </c>
      <c r="T18" s="101">
        <f t="shared" si="57"/>
        <v>53.67229973725486</v>
      </c>
      <c r="U18" s="101">
        <f t="shared" si="57"/>
        <v>57.941032460023337</v>
      </c>
      <c r="V18" s="101">
        <f t="shared" si="57"/>
        <v>22.437504446709752</v>
      </c>
      <c r="W18" s="101">
        <f t="shared" ref="W18" si="58">IF(W45=0,0,W45*W155)</f>
        <v>18.150195809111207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1557.0978616004443</v>
      </c>
      <c r="C19" s="29">
        <f t="shared" si="59"/>
        <v>1434.7786085926784</v>
      </c>
      <c r="D19" s="29">
        <f t="shared" si="59"/>
        <v>1682.461338911605</v>
      </c>
      <c r="E19" s="29">
        <f t="shared" si="59"/>
        <v>2486.5248186960484</v>
      </c>
      <c r="F19" s="29">
        <f t="shared" si="59"/>
        <v>2496.8611289851087</v>
      </c>
      <c r="G19" s="29">
        <f t="shared" si="59"/>
        <v>2879.8311518254318</v>
      </c>
      <c r="H19" s="29">
        <f t="shared" si="59"/>
        <v>3072.0890284974248</v>
      </c>
      <c r="I19" s="29">
        <f t="shared" si="59"/>
        <v>3131.1873101182564</v>
      </c>
      <c r="J19" s="29">
        <f t="shared" si="59"/>
        <v>2970.1344599629706</v>
      </c>
      <c r="K19" s="29">
        <f t="shared" si="59"/>
        <v>2270.0572865030972</v>
      </c>
      <c r="L19" s="29">
        <f t="shared" ref="L19" si="60">L20+L26</f>
        <v>2363.9189021270067</v>
      </c>
      <c r="M19" s="29">
        <f t="shared" ref="M19:V19" si="61">M20+M26</f>
        <v>2683.2477307446111</v>
      </c>
      <c r="N19" s="29">
        <f t="shared" si="61"/>
        <v>2744.5824268077895</v>
      </c>
      <c r="O19" s="29">
        <f t="shared" si="61"/>
        <v>2919.8609413258273</v>
      </c>
      <c r="P19" s="29">
        <f t="shared" si="61"/>
        <v>2885.9908135826695</v>
      </c>
      <c r="Q19" s="29">
        <f t="shared" si="61"/>
        <v>3094.1233107376743</v>
      </c>
      <c r="R19" s="29">
        <f t="shared" si="61"/>
        <v>3401.038855034481</v>
      </c>
      <c r="S19" s="29">
        <f t="shared" si="61"/>
        <v>3228.0766635052951</v>
      </c>
      <c r="T19" s="29">
        <f t="shared" si="61"/>
        <v>3365.0692868949773</v>
      </c>
      <c r="U19" s="29">
        <f t="shared" si="61"/>
        <v>3366.5042025114317</v>
      </c>
      <c r="V19" s="29">
        <f t="shared" si="61"/>
        <v>3153.0468778276299</v>
      </c>
      <c r="W19" s="29">
        <f t="shared" ref="W19" si="62">W20+W26</f>
        <v>3598.688882312611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247.98942932788398</v>
      </c>
      <c r="C20" s="152">
        <f t="shared" si="63"/>
        <v>250.39674822583311</v>
      </c>
      <c r="D20" s="152">
        <f t="shared" si="63"/>
        <v>246.52943556846486</v>
      </c>
      <c r="E20" s="152">
        <f t="shared" si="63"/>
        <v>233.63002247656249</v>
      </c>
      <c r="F20" s="152">
        <f t="shared" si="63"/>
        <v>223.94071992067583</v>
      </c>
      <c r="G20" s="152">
        <f t="shared" si="63"/>
        <v>209.61289532047471</v>
      </c>
      <c r="H20" s="152">
        <f t="shared" si="63"/>
        <v>203.03211501311077</v>
      </c>
      <c r="I20" s="152">
        <f t="shared" si="63"/>
        <v>195.69904534696965</v>
      </c>
      <c r="J20" s="152">
        <f t="shared" si="63"/>
        <v>198.57148276166257</v>
      </c>
      <c r="K20" s="152">
        <f t="shared" si="63"/>
        <v>193.86643797320198</v>
      </c>
      <c r="L20" s="152">
        <f t="shared" ref="L20" si="64">SUM(L21:L25)</f>
        <v>193.16482850086146</v>
      </c>
      <c r="M20" s="152">
        <f t="shared" ref="M20:V20" si="65">SUM(M21:M25)</f>
        <v>201.87166188327001</v>
      </c>
      <c r="N20" s="152">
        <f t="shared" si="65"/>
        <v>211.95219373154859</v>
      </c>
      <c r="O20" s="152">
        <f t="shared" si="65"/>
        <v>230.82994961197514</v>
      </c>
      <c r="P20" s="152">
        <f t="shared" si="65"/>
        <v>243.87790074007654</v>
      </c>
      <c r="Q20" s="152">
        <f t="shared" si="65"/>
        <v>258.01820561589864</v>
      </c>
      <c r="R20" s="152">
        <f t="shared" si="65"/>
        <v>286.11073555860349</v>
      </c>
      <c r="S20" s="152">
        <f t="shared" si="65"/>
        <v>315.52630702668489</v>
      </c>
      <c r="T20" s="152">
        <f t="shared" si="65"/>
        <v>351.06928689497721</v>
      </c>
      <c r="U20" s="152">
        <f t="shared" si="65"/>
        <v>388.50420251143174</v>
      </c>
      <c r="V20" s="152">
        <f t="shared" si="65"/>
        <v>402.04687782763</v>
      </c>
      <c r="W20" s="152">
        <f t="shared" ref="W20" si="66">SUM(W21:W25)</f>
        <v>427.68888231261087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49.120679027781797</v>
      </c>
      <c r="C21" s="87">
        <f t="shared" si="67"/>
        <v>53.174572428356726</v>
      </c>
      <c r="D21" s="87">
        <f t="shared" si="67"/>
        <v>51.821901142935367</v>
      </c>
      <c r="E21" s="87">
        <f t="shared" si="67"/>
        <v>48.091471564737851</v>
      </c>
      <c r="F21" s="87">
        <f t="shared" si="67"/>
        <v>48.82718835454083</v>
      </c>
      <c r="G21" s="87">
        <f t="shared" si="67"/>
        <v>44.133710804102336</v>
      </c>
      <c r="H21" s="87">
        <f t="shared" si="67"/>
        <v>43.555629445393244</v>
      </c>
      <c r="I21" s="87">
        <f t="shared" si="67"/>
        <v>37.849656569438409</v>
      </c>
      <c r="J21" s="87">
        <f t="shared" si="67"/>
        <v>38.104143214825839</v>
      </c>
      <c r="K21" s="87">
        <f t="shared" si="67"/>
        <v>35.286262055503634</v>
      </c>
      <c r="L21" s="87">
        <f t="shared" ref="L21" si="68">IF(L48=0,0,L48*L158)</f>
        <v>32.500449797143496</v>
      </c>
      <c r="M21" s="87">
        <f t="shared" ref="M21:V21" si="69">IF(M48=0,0,M48*M158)</f>
        <v>34.047375982413577</v>
      </c>
      <c r="N21" s="87">
        <f t="shared" si="69"/>
        <v>33.01609550077719</v>
      </c>
      <c r="O21" s="87">
        <f t="shared" si="69"/>
        <v>30.411389354776368</v>
      </c>
      <c r="P21" s="87">
        <f t="shared" si="69"/>
        <v>29.877426967640741</v>
      </c>
      <c r="Q21" s="87">
        <f t="shared" si="69"/>
        <v>29.708830951507725</v>
      </c>
      <c r="R21" s="87">
        <f t="shared" si="69"/>
        <v>29.062267822592272</v>
      </c>
      <c r="S21" s="87">
        <f t="shared" si="69"/>
        <v>29.609420156165633</v>
      </c>
      <c r="T21" s="87">
        <f t="shared" si="69"/>
        <v>33.026576354779827</v>
      </c>
      <c r="U21" s="87">
        <f t="shared" si="69"/>
        <v>32.470540185568403</v>
      </c>
      <c r="V21" s="87">
        <f t="shared" si="69"/>
        <v>30.134393755798264</v>
      </c>
      <c r="W21" s="87">
        <f t="shared" ref="W21" si="70">IF(W48=0,0,W48*W158)</f>
        <v>28.119090188365622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198.86875030010219</v>
      </c>
      <c r="C22" s="87">
        <f t="shared" si="71"/>
        <v>197.22217579747638</v>
      </c>
      <c r="D22" s="87">
        <f t="shared" si="71"/>
        <v>194.7075344255295</v>
      </c>
      <c r="E22" s="87">
        <f t="shared" si="71"/>
        <v>185.53855091182464</v>
      </c>
      <c r="F22" s="87">
        <f t="shared" si="71"/>
        <v>175.11353156613501</v>
      </c>
      <c r="G22" s="87">
        <f t="shared" si="71"/>
        <v>165.47918451637238</v>
      </c>
      <c r="H22" s="87">
        <f t="shared" si="71"/>
        <v>159.47648556771753</v>
      </c>
      <c r="I22" s="87">
        <f t="shared" si="71"/>
        <v>157.84489444719031</v>
      </c>
      <c r="J22" s="87">
        <f t="shared" si="71"/>
        <v>160.46284208846112</v>
      </c>
      <c r="K22" s="87">
        <f t="shared" si="71"/>
        <v>158.57567496269229</v>
      </c>
      <c r="L22" s="87">
        <f t="shared" ref="L22" si="72">IF(L49=0,0,L49*L159)</f>
        <v>160.65987434488045</v>
      </c>
      <c r="M22" s="87">
        <f t="shared" ref="M22:V22" si="73">IF(M49=0,0,M49*M159)</f>
        <v>167.81977839767424</v>
      </c>
      <c r="N22" s="87">
        <f t="shared" si="73"/>
        <v>178.92684652988828</v>
      </c>
      <c r="O22" s="87">
        <f t="shared" si="73"/>
        <v>200.2840059185921</v>
      </c>
      <c r="P22" s="87">
        <f t="shared" si="73"/>
        <v>213.81882535356411</v>
      </c>
      <c r="Q22" s="87">
        <f t="shared" si="73"/>
        <v>228.06040140207227</v>
      </c>
      <c r="R22" s="87">
        <f t="shared" si="73"/>
        <v>256.77010425634478</v>
      </c>
      <c r="S22" s="87">
        <f t="shared" si="73"/>
        <v>285.42338418290558</v>
      </c>
      <c r="T22" s="87">
        <f t="shared" si="73"/>
        <v>317.41520738555488</v>
      </c>
      <c r="U22" s="87">
        <f t="shared" si="73"/>
        <v>355.27109340182415</v>
      </c>
      <c r="V22" s="87">
        <f t="shared" si="73"/>
        <v>370.95132297179532</v>
      </c>
      <c r="W22" s="87">
        <f t="shared" ref="W22" si="74">IF(W49=0,0,W49*W159)</f>
        <v>398.59911514745932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2.4859018382796237E-3</v>
      </c>
      <c r="O24" s="87">
        <f t="shared" si="81"/>
        <v>0.11875785614625355</v>
      </c>
      <c r="P24" s="87">
        <f t="shared" si="81"/>
        <v>0.15003448346383921</v>
      </c>
      <c r="Q24" s="87">
        <f t="shared" si="81"/>
        <v>0.21281982714356784</v>
      </c>
      <c r="R24" s="87">
        <f t="shared" si="81"/>
        <v>0.21289765264438343</v>
      </c>
      <c r="S24" s="87">
        <f t="shared" si="81"/>
        <v>0.42584340025027789</v>
      </c>
      <c r="T24" s="87">
        <f t="shared" si="81"/>
        <v>0.55765471039802283</v>
      </c>
      <c r="U24" s="87">
        <f t="shared" si="81"/>
        <v>0.69278773318361686</v>
      </c>
      <c r="V24" s="87">
        <f t="shared" si="81"/>
        <v>0.88710222958705831</v>
      </c>
      <c r="W24" s="87">
        <f t="shared" ref="W24" si="82">IF(W51=0,0,W51*W161)</f>
        <v>0.89644427547304306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4.4943303409101729E-3</v>
      </c>
      <c r="J25" s="87">
        <f t="shared" si="83"/>
        <v>4.497458375586438E-3</v>
      </c>
      <c r="K25" s="87">
        <f t="shared" si="83"/>
        <v>4.5009550060472235E-3</v>
      </c>
      <c r="L25" s="87">
        <f t="shared" ref="L25" si="84">IF(L52=0,0,L52*L162)</f>
        <v>4.5043588375279619E-3</v>
      </c>
      <c r="M25" s="87">
        <f t="shared" ref="M25:V25" si="85">IF(M52=0,0,M52*M162)</f>
        <v>4.5075031821983202E-3</v>
      </c>
      <c r="N25" s="87">
        <f t="shared" si="85"/>
        <v>6.7657990448455477E-3</v>
      </c>
      <c r="O25" s="87">
        <f t="shared" si="85"/>
        <v>1.5796482460421944E-2</v>
      </c>
      <c r="P25" s="87">
        <f t="shared" si="85"/>
        <v>3.1613935407883195E-2</v>
      </c>
      <c r="Q25" s="87">
        <f t="shared" si="85"/>
        <v>3.6153435175113248E-2</v>
      </c>
      <c r="R25" s="87">
        <f t="shared" si="85"/>
        <v>6.5465827022094983E-2</v>
      </c>
      <c r="S25" s="87">
        <f t="shared" si="85"/>
        <v>6.7659287363376647E-2</v>
      </c>
      <c r="T25" s="87">
        <f t="shared" si="85"/>
        <v>6.9848444244484748E-2</v>
      </c>
      <c r="U25" s="87">
        <f t="shared" si="85"/>
        <v>6.9781190855649503E-2</v>
      </c>
      <c r="V25" s="87">
        <f t="shared" si="85"/>
        <v>7.4058870449308548E-2</v>
      </c>
      <c r="W25" s="87">
        <f t="shared" ref="W25" si="86">IF(W52=0,0,W52*W162)</f>
        <v>7.4232701312869853E-2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1309.1084322725603</v>
      </c>
      <c r="C26" s="116">
        <f t="shared" si="87"/>
        <v>1184.3818603668453</v>
      </c>
      <c r="D26" s="116">
        <f t="shared" si="87"/>
        <v>1435.9319033431402</v>
      </c>
      <c r="E26" s="116">
        <f t="shared" si="87"/>
        <v>2252.8947962194861</v>
      </c>
      <c r="F26" s="116">
        <f t="shared" si="87"/>
        <v>2272.920409064433</v>
      </c>
      <c r="G26" s="116">
        <f t="shared" si="87"/>
        <v>2670.218256504957</v>
      </c>
      <c r="H26" s="116">
        <f t="shared" si="87"/>
        <v>2869.056913484314</v>
      </c>
      <c r="I26" s="116">
        <f t="shared" si="87"/>
        <v>2935.4882647712866</v>
      </c>
      <c r="J26" s="116">
        <f t="shared" si="87"/>
        <v>2771.5629772013081</v>
      </c>
      <c r="K26" s="116">
        <f t="shared" si="87"/>
        <v>2076.1908485298954</v>
      </c>
      <c r="L26" s="116">
        <f t="shared" ref="L26" si="88">SUM(L27:L28)</f>
        <v>2170.7540736261453</v>
      </c>
      <c r="M26" s="116">
        <f t="shared" ref="M26:V26" si="89">SUM(M27:M28)</f>
        <v>2481.3760688613411</v>
      </c>
      <c r="N26" s="116">
        <f t="shared" si="89"/>
        <v>2532.630233076241</v>
      </c>
      <c r="O26" s="116">
        <f t="shared" si="89"/>
        <v>2689.030991713852</v>
      </c>
      <c r="P26" s="116">
        <f t="shared" si="89"/>
        <v>2642.1129128425928</v>
      </c>
      <c r="Q26" s="116">
        <f t="shared" si="89"/>
        <v>2836.1051051217755</v>
      </c>
      <c r="R26" s="116">
        <f t="shared" si="89"/>
        <v>3114.9281194758773</v>
      </c>
      <c r="S26" s="116">
        <f t="shared" si="89"/>
        <v>2912.5503564786104</v>
      </c>
      <c r="T26" s="116">
        <f t="shared" si="89"/>
        <v>3014</v>
      </c>
      <c r="U26" s="116">
        <f t="shared" si="89"/>
        <v>2978</v>
      </c>
      <c r="V26" s="116">
        <f t="shared" si="89"/>
        <v>2751</v>
      </c>
      <c r="W26" s="116">
        <f t="shared" ref="W26" si="90">SUM(W27:W28)</f>
        <v>3171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715</v>
      </c>
      <c r="C27" s="101">
        <f t="shared" si="91"/>
        <v>548</v>
      </c>
      <c r="D27" s="101">
        <f t="shared" si="91"/>
        <v>762</v>
      </c>
      <c r="E27" s="101">
        <f t="shared" si="91"/>
        <v>1567.9999999999998</v>
      </c>
      <c r="F27" s="101">
        <f t="shared" si="91"/>
        <v>1478</v>
      </c>
      <c r="G27" s="101">
        <f t="shared" si="91"/>
        <v>1847</v>
      </c>
      <c r="H27" s="101">
        <f t="shared" si="91"/>
        <v>1979</v>
      </c>
      <c r="I27" s="101">
        <f t="shared" si="91"/>
        <v>1941.9999999999998</v>
      </c>
      <c r="J27" s="101">
        <f t="shared" si="91"/>
        <v>1831.9999999999998</v>
      </c>
      <c r="K27" s="101">
        <f t="shared" si="91"/>
        <v>1326</v>
      </c>
      <c r="L27" s="101">
        <f t="shared" ref="L27:V27" si="92">IF(L54=0,0,L54*L164)</f>
        <v>1388</v>
      </c>
      <c r="M27" s="101">
        <f t="shared" si="92"/>
        <v>1561</v>
      </c>
      <c r="N27" s="101">
        <f t="shared" si="92"/>
        <v>1599</v>
      </c>
      <c r="O27" s="101">
        <f t="shared" si="92"/>
        <v>1593</v>
      </c>
      <c r="P27" s="101">
        <f t="shared" si="92"/>
        <v>1540.9999999999998</v>
      </c>
      <c r="Q27" s="101">
        <f t="shared" si="92"/>
        <v>1524</v>
      </c>
      <c r="R27" s="101">
        <f t="shared" si="92"/>
        <v>1792</v>
      </c>
      <c r="S27" s="101">
        <f t="shared" si="92"/>
        <v>1630.9999999999998</v>
      </c>
      <c r="T27" s="101">
        <f t="shared" si="92"/>
        <v>1686</v>
      </c>
      <c r="U27" s="101">
        <f t="shared" si="92"/>
        <v>1710</v>
      </c>
      <c r="V27" s="101">
        <f t="shared" si="92"/>
        <v>1273</v>
      </c>
      <c r="W27" s="101">
        <f t="shared" ref="W27" si="93">IF(W54=0,0,W54*W164)</f>
        <v>1800.0000000000002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594.10843227256032</v>
      </c>
      <c r="C28" s="88">
        <f t="shared" si="94"/>
        <v>636.38186036684533</v>
      </c>
      <c r="D28" s="88">
        <f t="shared" si="94"/>
        <v>673.93190334314022</v>
      </c>
      <c r="E28" s="88">
        <f t="shared" si="94"/>
        <v>684.89479621948612</v>
      </c>
      <c r="F28" s="88">
        <f t="shared" si="94"/>
        <v>794.92040906443299</v>
      </c>
      <c r="G28" s="88">
        <f t="shared" si="94"/>
        <v>823.21825650495703</v>
      </c>
      <c r="H28" s="88">
        <f t="shared" si="94"/>
        <v>890.05691348431401</v>
      </c>
      <c r="I28" s="88">
        <f t="shared" si="94"/>
        <v>993.48826477128671</v>
      </c>
      <c r="J28" s="88">
        <f t="shared" si="94"/>
        <v>939.56297720130851</v>
      </c>
      <c r="K28" s="88">
        <f t="shared" si="94"/>
        <v>750.19084852989545</v>
      </c>
      <c r="L28" s="88">
        <f t="shared" ref="L28:V28" si="95">IF(L55=0,0,L55*L165)</f>
        <v>782.75407362614533</v>
      </c>
      <c r="M28" s="88">
        <f t="shared" si="95"/>
        <v>920.37606886134108</v>
      </c>
      <c r="N28" s="88">
        <f t="shared" si="95"/>
        <v>933.63023307624098</v>
      </c>
      <c r="O28" s="88">
        <f t="shared" si="95"/>
        <v>1096.030991713852</v>
      </c>
      <c r="P28" s="88">
        <f t="shared" si="95"/>
        <v>1101.1129128425932</v>
      </c>
      <c r="Q28" s="88">
        <f t="shared" si="95"/>
        <v>1312.1051051217755</v>
      </c>
      <c r="R28" s="88">
        <f t="shared" si="95"/>
        <v>1322.9281194758773</v>
      </c>
      <c r="S28" s="88">
        <f t="shared" si="95"/>
        <v>1281.5503564786104</v>
      </c>
      <c r="T28" s="88">
        <f t="shared" si="95"/>
        <v>1328</v>
      </c>
      <c r="U28" s="88">
        <f t="shared" si="95"/>
        <v>1268</v>
      </c>
      <c r="V28" s="88">
        <f t="shared" si="95"/>
        <v>1478</v>
      </c>
      <c r="W28" s="88">
        <f t="shared" ref="W28" si="96">IF(W55=0,0,W55*W165)</f>
        <v>1371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4103.6744866724066</v>
      </c>
      <c r="C30" s="62">
        <f t="shared" ref="C30:V30" si="98">C31+C46</f>
        <v>4842.1834785993069</v>
      </c>
      <c r="D30" s="62">
        <f t="shared" si="98"/>
        <v>4647.0203693039202</v>
      </c>
      <c r="E30" s="62">
        <f t="shared" si="98"/>
        <v>4755.7661883332421</v>
      </c>
      <c r="F30" s="62">
        <f t="shared" si="98"/>
        <v>4863.2561275755043</v>
      </c>
      <c r="G30" s="62">
        <f t="shared" si="98"/>
        <v>5170.1793636524617</v>
      </c>
      <c r="H30" s="62">
        <f t="shared" si="98"/>
        <v>5794.8351843307828</v>
      </c>
      <c r="I30" s="62">
        <f t="shared" si="98"/>
        <v>6370.6609021601889</v>
      </c>
      <c r="J30" s="62">
        <f t="shared" si="98"/>
        <v>6464.0292382347679</v>
      </c>
      <c r="K30" s="62">
        <f t="shared" si="98"/>
        <v>6444.0776177756325</v>
      </c>
      <c r="L30" s="62">
        <f t="shared" si="98"/>
        <v>6385.2057813586107</v>
      </c>
      <c r="M30" s="62">
        <f t="shared" si="98"/>
        <v>6471.0965901974832</v>
      </c>
      <c r="N30" s="62">
        <f t="shared" si="98"/>
        <v>6742.8603118718984</v>
      </c>
      <c r="O30" s="62">
        <f t="shared" si="98"/>
        <v>6922.833936659712</v>
      </c>
      <c r="P30" s="62">
        <f t="shared" si="98"/>
        <v>7157.6888506794894</v>
      </c>
      <c r="Q30" s="62">
        <f t="shared" si="98"/>
        <v>7705.6994931503823</v>
      </c>
      <c r="R30" s="62">
        <f t="shared" si="98"/>
        <v>8253.2966258079778</v>
      </c>
      <c r="S30" s="62">
        <f t="shared" si="98"/>
        <v>8719.318911200382</v>
      </c>
      <c r="T30" s="62">
        <f t="shared" si="98"/>
        <v>9382.8919828642338</v>
      </c>
      <c r="U30" s="62">
        <f t="shared" si="98"/>
        <v>9734.3484186536498</v>
      </c>
      <c r="V30" s="62">
        <f t="shared" si="98"/>
        <v>9523.6557226807417</v>
      </c>
      <c r="W30" s="62">
        <f t="shared" ref="W30" si="99">W31+W46</f>
        <v>9897.775033934784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3153.7259426802589</v>
      </c>
      <c r="C31" s="29">
        <f t="shared" ref="C31:V31" si="101">C32+C33+C40</f>
        <v>3888.6269477327955</v>
      </c>
      <c r="D31" s="29">
        <f t="shared" si="101"/>
        <v>3670.9886408226403</v>
      </c>
      <c r="E31" s="29">
        <f t="shared" si="101"/>
        <v>3757.3664492184917</v>
      </c>
      <c r="F31" s="29">
        <f t="shared" si="101"/>
        <v>3870.7252468533184</v>
      </c>
      <c r="G31" s="29">
        <f t="shared" si="101"/>
        <v>4226.3816238899717</v>
      </c>
      <c r="H31" s="29">
        <f t="shared" si="101"/>
        <v>4856.2397189955473</v>
      </c>
      <c r="I31" s="29">
        <f t="shared" si="101"/>
        <v>5444.3631713106097</v>
      </c>
      <c r="J31" s="29">
        <f t="shared" si="101"/>
        <v>5533.9282948585223</v>
      </c>
      <c r="K31" s="29">
        <f t="shared" si="101"/>
        <v>5612.9823264319448</v>
      </c>
      <c r="L31" s="29">
        <f t="shared" si="101"/>
        <v>5576.2945511643993</v>
      </c>
      <c r="M31" s="29">
        <f t="shared" si="101"/>
        <v>5609.7647720246778</v>
      </c>
      <c r="N31" s="29">
        <f t="shared" si="101"/>
        <v>5859.3330711593289</v>
      </c>
      <c r="O31" s="29">
        <f t="shared" si="101"/>
        <v>5972.5858122534155</v>
      </c>
      <c r="P31" s="29">
        <f t="shared" si="101"/>
        <v>6183.9933272609378</v>
      </c>
      <c r="Q31" s="29">
        <f t="shared" si="101"/>
        <v>6680.1990201166727</v>
      </c>
      <c r="R31" s="29">
        <f t="shared" si="101"/>
        <v>7115.9941684395899</v>
      </c>
      <c r="S31" s="29">
        <f t="shared" si="101"/>
        <v>7523.4882555142394</v>
      </c>
      <c r="T31" s="29">
        <f t="shared" si="101"/>
        <v>8061.5186577501481</v>
      </c>
      <c r="U31" s="29">
        <f t="shared" si="101"/>
        <v>8309.4383652278739</v>
      </c>
      <c r="V31" s="29">
        <f t="shared" si="101"/>
        <v>8074.9130985391121</v>
      </c>
      <c r="W31" s="29">
        <f t="shared" ref="W31" si="102">W32+W33+W40</f>
        <v>8328.685551147948</v>
      </c>
      <c r="DA31" s="173" t="s">
        <v>474</v>
      </c>
    </row>
    <row r="32" spans="1:105" ht="11.45" customHeight="1" x14ac:dyDescent="0.25">
      <c r="A32" s="136" t="s">
        <v>180</v>
      </c>
      <c r="B32" s="152">
        <v>8.0800909124778855</v>
      </c>
      <c r="C32" s="152">
        <v>8.1940659732177039</v>
      </c>
      <c r="D32" s="152">
        <v>8.7577480748657983</v>
      </c>
      <c r="E32" s="152">
        <v>9.6672002396356405</v>
      </c>
      <c r="F32" s="152">
        <v>10.838065438071112</v>
      </c>
      <c r="G32" s="152">
        <v>12.132934273694707</v>
      </c>
      <c r="H32" s="152">
        <v>14.923502867543842</v>
      </c>
      <c r="I32" s="152">
        <v>17.507822134075287</v>
      </c>
      <c r="J32" s="152">
        <v>20.85836990206364</v>
      </c>
      <c r="K32" s="152">
        <v>21.873882517445967</v>
      </c>
      <c r="L32" s="152">
        <v>23.098032289936718</v>
      </c>
      <c r="M32" s="152">
        <v>27.193287202255934</v>
      </c>
      <c r="N32" s="152">
        <v>41.312004087778789</v>
      </c>
      <c r="O32" s="152">
        <v>45.216495388273813</v>
      </c>
      <c r="P32" s="152">
        <v>49.27</v>
      </c>
      <c r="Q32" s="152">
        <v>52.8</v>
      </c>
      <c r="R32" s="152">
        <v>57.405042511485327</v>
      </c>
      <c r="S32" s="152">
        <v>54.841150550678002</v>
      </c>
      <c r="T32" s="152">
        <v>52.854894730956282</v>
      </c>
      <c r="U32" s="152">
        <v>56.572608139524647</v>
      </c>
      <c r="V32" s="152">
        <v>51.083624521004062</v>
      </c>
      <c r="W32" s="152">
        <v>53.480516399520837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2959.3531456411456</v>
      </c>
      <c r="C33" s="116">
        <f t="shared" ref="C33:V33" si="104">SUM(C34:C39)</f>
        <v>3700.1100610502094</v>
      </c>
      <c r="D33" s="116">
        <f t="shared" si="104"/>
        <v>3485.4302766495171</v>
      </c>
      <c r="E33" s="116">
        <f t="shared" si="104"/>
        <v>3568.7586154138176</v>
      </c>
      <c r="F33" s="116">
        <f t="shared" si="104"/>
        <v>3680.4632051550634</v>
      </c>
      <c r="G33" s="116">
        <f t="shared" si="104"/>
        <v>4030.8788730828273</v>
      </c>
      <c r="H33" s="116">
        <f t="shared" si="104"/>
        <v>4651.3037369956892</v>
      </c>
      <c r="I33" s="116">
        <f t="shared" si="104"/>
        <v>5270.0346835136261</v>
      </c>
      <c r="J33" s="116">
        <f t="shared" si="104"/>
        <v>5367.2321021326252</v>
      </c>
      <c r="K33" s="116">
        <f t="shared" si="104"/>
        <v>5455.0198801021425</v>
      </c>
      <c r="L33" s="116">
        <f t="shared" si="104"/>
        <v>5418.2877437242187</v>
      </c>
      <c r="M33" s="116">
        <f t="shared" si="104"/>
        <v>5450.664799504917</v>
      </c>
      <c r="N33" s="116">
        <f t="shared" si="104"/>
        <v>5683.8310670715509</v>
      </c>
      <c r="O33" s="116">
        <f t="shared" si="104"/>
        <v>5784.8272542875566</v>
      </c>
      <c r="P33" s="116">
        <f t="shared" si="104"/>
        <v>5985.2907675128781</v>
      </c>
      <c r="Q33" s="116">
        <f t="shared" si="104"/>
        <v>6469.8990201166725</v>
      </c>
      <c r="R33" s="116">
        <f t="shared" si="104"/>
        <v>6872.8291259281041</v>
      </c>
      <c r="S33" s="116">
        <f t="shared" si="104"/>
        <v>7254.6271049635607</v>
      </c>
      <c r="T33" s="116">
        <f t="shared" si="104"/>
        <v>7797.0737630191916</v>
      </c>
      <c r="U33" s="116">
        <f t="shared" si="104"/>
        <v>8053.5157570883484</v>
      </c>
      <c r="V33" s="116">
        <f t="shared" si="104"/>
        <v>7829.1594740181081</v>
      </c>
      <c r="W33" s="116">
        <f t="shared" ref="W33" si="105">SUM(W34:W39)</f>
        <v>8066.9450347484271</v>
      </c>
      <c r="DA33" s="176" t="s">
        <v>476</v>
      </c>
    </row>
    <row r="34" spans="1:105" ht="11.45" customHeight="1" x14ac:dyDescent="0.25">
      <c r="A34" s="111" t="s">
        <v>110</v>
      </c>
      <c r="B34" s="87">
        <v>2721.5716874074192</v>
      </c>
      <c r="C34" s="87">
        <v>3359.5485424872591</v>
      </c>
      <c r="D34" s="87">
        <v>3108.772057393659</v>
      </c>
      <c r="E34" s="87">
        <v>3034.3593160395867</v>
      </c>
      <c r="F34" s="87">
        <v>2943.0289925280135</v>
      </c>
      <c r="G34" s="87">
        <v>3081.2462811877722</v>
      </c>
      <c r="H34" s="87">
        <v>3342.4785151636283</v>
      </c>
      <c r="I34" s="87">
        <v>3623.0422484189953</v>
      </c>
      <c r="J34" s="87">
        <v>3670.5686885547625</v>
      </c>
      <c r="K34" s="87">
        <v>3470.2185077775625</v>
      </c>
      <c r="L34" s="87">
        <v>3347.1911422047037</v>
      </c>
      <c r="M34" s="87">
        <v>3116.7910146049908</v>
      </c>
      <c r="N34" s="87">
        <v>3018.7489686438466</v>
      </c>
      <c r="O34" s="87">
        <v>2874.903413695924</v>
      </c>
      <c r="P34" s="87">
        <v>2948.009986080785</v>
      </c>
      <c r="Q34" s="87">
        <v>2965.4758692915211</v>
      </c>
      <c r="R34" s="87">
        <v>3204.3025219444426</v>
      </c>
      <c r="S34" s="87">
        <v>3449.9141416730686</v>
      </c>
      <c r="T34" s="87">
        <v>3694.9096509212709</v>
      </c>
      <c r="U34" s="87">
        <v>3824.6936313198362</v>
      </c>
      <c r="V34" s="87">
        <v>3064.2907497947522</v>
      </c>
      <c r="W34" s="87">
        <v>2911.183575482632</v>
      </c>
      <c r="DA34" s="171" t="s">
        <v>477</v>
      </c>
    </row>
    <row r="35" spans="1:105" ht="11.45" customHeight="1" x14ac:dyDescent="0.25">
      <c r="A35" s="111" t="s">
        <v>111</v>
      </c>
      <c r="B35" s="87">
        <v>230.43557035885033</v>
      </c>
      <c r="C35" s="87">
        <v>330.46229239450849</v>
      </c>
      <c r="D35" s="87">
        <v>365.78952168090927</v>
      </c>
      <c r="E35" s="87">
        <v>522.47600220121694</v>
      </c>
      <c r="F35" s="87">
        <v>725.31041097783509</v>
      </c>
      <c r="G35" s="87">
        <v>934.30519718033383</v>
      </c>
      <c r="H35" s="87">
        <v>1286.442896484969</v>
      </c>
      <c r="I35" s="87">
        <v>1626.5838222368689</v>
      </c>
      <c r="J35" s="87">
        <v>1673.4886017930789</v>
      </c>
      <c r="K35" s="87">
        <v>1958.6598129637819</v>
      </c>
      <c r="L35" s="87">
        <v>2045.9363404824717</v>
      </c>
      <c r="M35" s="87">
        <v>2304.3058184823853</v>
      </c>
      <c r="N35" s="87">
        <v>2617.6257670787968</v>
      </c>
      <c r="O35" s="87">
        <v>2853.3322839180773</v>
      </c>
      <c r="P35" s="87">
        <v>2966.1786179838491</v>
      </c>
      <c r="Q35" s="87">
        <v>3424.867007547924</v>
      </c>
      <c r="R35" s="87">
        <v>3567.2393942923145</v>
      </c>
      <c r="S35" s="87">
        <v>3679.6626944815989</v>
      </c>
      <c r="T35" s="87">
        <v>3931.2552791889966</v>
      </c>
      <c r="U35" s="87">
        <v>3930.9816865217635</v>
      </c>
      <c r="V35" s="87">
        <v>4353.4224311360722</v>
      </c>
      <c r="W35" s="87">
        <v>4638.2550320409555</v>
      </c>
      <c r="DA35" s="171" t="s">
        <v>478</v>
      </c>
    </row>
    <row r="36" spans="1:105" ht="11.45" customHeight="1" x14ac:dyDescent="0.25">
      <c r="A36" s="111" t="s">
        <v>112</v>
      </c>
      <c r="B36" s="87">
        <v>7.3458878748760119</v>
      </c>
      <c r="C36" s="87">
        <v>10.099226168441728</v>
      </c>
      <c r="D36" s="87">
        <v>10.868697574948877</v>
      </c>
      <c r="E36" s="87">
        <v>11.923297173013834</v>
      </c>
      <c r="F36" s="87">
        <v>12.123801649214615</v>
      </c>
      <c r="G36" s="87">
        <v>15.327394714721519</v>
      </c>
      <c r="H36" s="87">
        <v>22.38232534709169</v>
      </c>
      <c r="I36" s="87">
        <v>20.408612857761899</v>
      </c>
      <c r="J36" s="87">
        <v>23.160218175157709</v>
      </c>
      <c r="K36" s="87">
        <v>26.126901094668735</v>
      </c>
      <c r="L36" s="87">
        <v>25.091544010949868</v>
      </c>
      <c r="M36" s="87">
        <v>28.611245711174742</v>
      </c>
      <c r="N36" s="87">
        <v>38.337122144284166</v>
      </c>
      <c r="O36" s="87">
        <v>44.079475976673358</v>
      </c>
      <c r="P36" s="87">
        <v>51.135453354427284</v>
      </c>
      <c r="Q36" s="87">
        <v>56.276427973275425</v>
      </c>
      <c r="R36" s="87">
        <v>68.346373426200159</v>
      </c>
      <c r="S36" s="87">
        <v>83.549075796486733</v>
      </c>
      <c r="T36" s="87">
        <v>104.14766082457514</v>
      </c>
      <c r="U36" s="87">
        <v>123.68195888534579</v>
      </c>
      <c r="V36" s="87">
        <v>129.27877609498918</v>
      </c>
      <c r="W36" s="87">
        <v>133.09077581976538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3.9331494936321015E-2</v>
      </c>
      <c r="M37" s="87">
        <v>0.13116185332811986</v>
      </c>
      <c r="N37" s="87">
        <v>0.25359658264313256</v>
      </c>
      <c r="O37" s="87">
        <v>2.0208801997344525</v>
      </c>
      <c r="P37" s="87">
        <v>3.9245688997468098</v>
      </c>
      <c r="Q37" s="87">
        <v>6.5899167364102196</v>
      </c>
      <c r="R37" s="87">
        <v>15.677990020445861</v>
      </c>
      <c r="S37" s="87">
        <v>23.75522806282396</v>
      </c>
      <c r="T37" s="87">
        <v>47.118496011394434</v>
      </c>
      <c r="U37" s="87">
        <v>151.26825252355962</v>
      </c>
      <c r="V37" s="87">
        <v>256.84252820241261</v>
      </c>
      <c r="W37" s="87">
        <v>345.50800836631822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0.21191488964900454</v>
      </c>
      <c r="Q38" s="87">
        <v>0.37545604208345007</v>
      </c>
      <c r="R38" s="87">
        <v>0.49533963875125309</v>
      </c>
      <c r="S38" s="87">
        <v>0.67600218131247414</v>
      </c>
      <c r="T38" s="87">
        <v>1.0847827413000273</v>
      </c>
      <c r="U38" s="87">
        <v>1.2740797634485881</v>
      </c>
      <c r="V38" s="87">
        <v>2.0697688818098103</v>
      </c>
      <c r="W38" s="87">
        <v>5.996536778115046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1.4593609625970842E-2</v>
      </c>
      <c r="K39" s="87">
        <v>1.4658266129295336E-2</v>
      </c>
      <c r="L39" s="87">
        <v>2.9385531156883173E-2</v>
      </c>
      <c r="M39" s="87">
        <v>0.82555885303703802</v>
      </c>
      <c r="N39" s="87">
        <v>8.8656126219802758</v>
      </c>
      <c r="O39" s="87">
        <v>10.491200497147615</v>
      </c>
      <c r="P39" s="87">
        <v>15.83022630442103</v>
      </c>
      <c r="Q39" s="87">
        <v>16.314342525457448</v>
      </c>
      <c r="R39" s="87">
        <v>16.767506605949709</v>
      </c>
      <c r="S39" s="87">
        <v>17.069962768270067</v>
      </c>
      <c r="T39" s="87">
        <v>18.557893331655006</v>
      </c>
      <c r="U39" s="87">
        <v>21.616148074393905</v>
      </c>
      <c r="V39" s="87">
        <v>23.255219908071005</v>
      </c>
      <c r="W39" s="87">
        <v>32.911106260641454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186.29270612663532</v>
      </c>
      <c r="C40" s="116">
        <f t="shared" ref="C40:V40" si="107">SUM(C41:C45)</f>
        <v>180.32282070936839</v>
      </c>
      <c r="D40" s="116">
        <f t="shared" si="107"/>
        <v>176.80061609825708</v>
      </c>
      <c r="E40" s="116">
        <f t="shared" si="107"/>
        <v>178.94063356503835</v>
      </c>
      <c r="F40" s="116">
        <f t="shared" si="107"/>
        <v>179.42397626018385</v>
      </c>
      <c r="G40" s="116">
        <f t="shared" si="107"/>
        <v>183.36981653344924</v>
      </c>
      <c r="H40" s="116">
        <f t="shared" si="107"/>
        <v>190.01247913231435</v>
      </c>
      <c r="I40" s="116">
        <f t="shared" si="107"/>
        <v>156.8206656629086</v>
      </c>
      <c r="J40" s="116">
        <f t="shared" si="107"/>
        <v>145.83782282383379</v>
      </c>
      <c r="K40" s="116">
        <f t="shared" si="107"/>
        <v>136.08856381235603</v>
      </c>
      <c r="L40" s="116">
        <f t="shared" si="107"/>
        <v>134.90877515024351</v>
      </c>
      <c r="M40" s="116">
        <f t="shared" si="107"/>
        <v>131.90668531750489</v>
      </c>
      <c r="N40" s="116">
        <f t="shared" si="107"/>
        <v>134.19</v>
      </c>
      <c r="O40" s="116">
        <f t="shared" si="107"/>
        <v>142.54206257758545</v>
      </c>
      <c r="P40" s="116">
        <f t="shared" si="107"/>
        <v>149.43255974805933</v>
      </c>
      <c r="Q40" s="116">
        <f t="shared" si="107"/>
        <v>157.5</v>
      </c>
      <c r="R40" s="116">
        <f t="shared" si="107"/>
        <v>185.76</v>
      </c>
      <c r="S40" s="116">
        <f t="shared" si="107"/>
        <v>214.02000000000004</v>
      </c>
      <c r="T40" s="116">
        <f t="shared" si="107"/>
        <v>211.59</v>
      </c>
      <c r="U40" s="116">
        <f t="shared" si="107"/>
        <v>199.35</v>
      </c>
      <c r="V40" s="116">
        <f t="shared" si="107"/>
        <v>194.67000000000004</v>
      </c>
      <c r="W40" s="116">
        <f t="shared" ref="W40" si="108">SUM(W41:W45)</f>
        <v>208.26000000000002</v>
      </c>
      <c r="DA40" s="176" t="s">
        <v>483</v>
      </c>
    </row>
    <row r="41" spans="1:105" ht="11.45" customHeight="1" x14ac:dyDescent="0.25">
      <c r="A41" s="111" t="s">
        <v>110</v>
      </c>
      <c r="B41" s="101">
        <v>51.32974861275811</v>
      </c>
      <c r="C41" s="101">
        <v>44.836061545988628</v>
      </c>
      <c r="D41" s="101">
        <v>38.462228305494676</v>
      </c>
      <c r="E41" s="101">
        <v>32.365271100646758</v>
      </c>
      <c r="F41" s="101">
        <v>28.806598186310968</v>
      </c>
      <c r="G41" s="101">
        <v>23.628156259586071</v>
      </c>
      <c r="H41" s="101">
        <v>23.975951661073974</v>
      </c>
      <c r="I41" s="101">
        <v>13.304417935967853</v>
      </c>
      <c r="J41" s="101">
        <v>9.3716460834496758</v>
      </c>
      <c r="K41" s="101">
        <v>6.3982330934886473</v>
      </c>
      <c r="L41" s="101">
        <v>4.9360336946953991</v>
      </c>
      <c r="M41" s="101">
        <v>4.4046240604191524</v>
      </c>
      <c r="N41" s="101">
        <v>4.1857249554490412</v>
      </c>
      <c r="O41" s="101">
        <v>3.9900808767590985</v>
      </c>
      <c r="P41" s="101">
        <v>4.0568506505268846</v>
      </c>
      <c r="Q41" s="101">
        <v>4.0859535383093366</v>
      </c>
      <c r="R41" s="101">
        <v>4.5681564066056941</v>
      </c>
      <c r="S41" s="101">
        <v>5.0775657826818641</v>
      </c>
      <c r="T41" s="101">
        <v>4.8782947555930907</v>
      </c>
      <c r="U41" s="101">
        <v>4.5318236015725972</v>
      </c>
      <c r="V41" s="101">
        <v>4.1790714467740262</v>
      </c>
      <c r="W41" s="101">
        <v>4.2996051537987086</v>
      </c>
      <c r="DA41" s="175" t="s">
        <v>484</v>
      </c>
    </row>
    <row r="42" spans="1:105" ht="11.45" customHeight="1" x14ac:dyDescent="0.25">
      <c r="A42" s="111" t="s">
        <v>111</v>
      </c>
      <c r="B42" s="101">
        <v>134.9629575138772</v>
      </c>
      <c r="C42" s="101">
        <v>135.48675916337976</v>
      </c>
      <c r="D42" s="101">
        <v>138.3383877927624</v>
      </c>
      <c r="E42" s="101">
        <v>146.57536246439159</v>
      </c>
      <c r="F42" s="101">
        <v>150.61737807387289</v>
      </c>
      <c r="G42" s="101">
        <v>159.74166027386318</v>
      </c>
      <c r="H42" s="101">
        <v>166.03652747124039</v>
      </c>
      <c r="I42" s="101">
        <v>143.51624772694075</v>
      </c>
      <c r="J42" s="101">
        <v>136.46617674038413</v>
      </c>
      <c r="K42" s="101">
        <v>129.69033071886739</v>
      </c>
      <c r="L42" s="101">
        <v>124.60343915507593</v>
      </c>
      <c r="M42" s="101">
        <v>121.93699153214831</v>
      </c>
      <c r="N42" s="101">
        <v>124.48832090989288</v>
      </c>
      <c r="O42" s="101">
        <v>132.84898021590527</v>
      </c>
      <c r="P42" s="101">
        <v>139.19189724787833</v>
      </c>
      <c r="Q42" s="101">
        <v>146.56230313569679</v>
      </c>
      <c r="R42" s="101">
        <v>173.24120760695578</v>
      </c>
      <c r="S42" s="101">
        <v>198.63348093160732</v>
      </c>
      <c r="T42" s="101">
        <v>194.6906698358319</v>
      </c>
      <c r="U42" s="101">
        <v>181.84280199977951</v>
      </c>
      <c r="V42" s="101">
        <v>173.41843357110727</v>
      </c>
      <c r="W42" s="101">
        <v>179.36034260587022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2.4968194519433953E-2</v>
      </c>
      <c r="U43" s="101">
        <v>2.2682606744528162E-2</v>
      </c>
      <c r="V43" s="101">
        <v>2.1624158845342707E-2</v>
      </c>
      <c r="W43" s="101">
        <v>2.2580382297023104E-2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7.8471610378201273E-2</v>
      </c>
      <c r="M44" s="101">
        <v>0.26898235016859035</v>
      </c>
      <c r="N44" s="101">
        <v>0.31038913462539985</v>
      </c>
      <c r="O44" s="101">
        <v>0.58791999006355167</v>
      </c>
      <c r="P44" s="101">
        <v>1.2028489164228031</v>
      </c>
      <c r="Q44" s="101">
        <v>2.0516963932015022</v>
      </c>
      <c r="R44" s="101">
        <v>3.4182213573357689</v>
      </c>
      <c r="S44" s="101">
        <v>6.0325360468933082</v>
      </c>
      <c r="T44" s="101">
        <v>8.0452639582167826</v>
      </c>
      <c r="U44" s="101">
        <v>9.3382897911661864</v>
      </c>
      <c r="V44" s="101">
        <v>13.888874728342133</v>
      </c>
      <c r="W44" s="101">
        <v>21.65152082395101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5.2908306900939879</v>
      </c>
      <c r="M45" s="101">
        <v>5.2960873747688444</v>
      </c>
      <c r="N45" s="101">
        <v>5.2055650000326761</v>
      </c>
      <c r="O45" s="101">
        <v>5.1150814948575558</v>
      </c>
      <c r="P45" s="101">
        <v>4.9809629332313232</v>
      </c>
      <c r="Q45" s="101">
        <v>4.8000469327923705</v>
      </c>
      <c r="R45" s="101">
        <v>4.5324146291027612</v>
      </c>
      <c r="S45" s="101">
        <v>4.2764172388175323</v>
      </c>
      <c r="T45" s="101">
        <v>3.9508032558387938</v>
      </c>
      <c r="U45" s="101">
        <v>3.6144020007371802</v>
      </c>
      <c r="V45" s="101">
        <v>3.161996094931252</v>
      </c>
      <c r="W45" s="101">
        <v>2.9259510340830586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949.94854399214762</v>
      </c>
      <c r="C46" s="29">
        <f t="shared" ref="C46:V46" si="110">C47+C53</f>
        <v>953.55653086651182</v>
      </c>
      <c r="D46" s="29">
        <f t="shared" si="110"/>
        <v>976.0317284812802</v>
      </c>
      <c r="E46" s="29">
        <f t="shared" si="110"/>
        <v>998.39973911475056</v>
      </c>
      <c r="F46" s="29">
        <f t="shared" si="110"/>
        <v>992.53088072218577</v>
      </c>
      <c r="G46" s="29">
        <f t="shared" si="110"/>
        <v>943.79773976248987</v>
      </c>
      <c r="H46" s="29">
        <f t="shared" si="110"/>
        <v>938.59546533523519</v>
      </c>
      <c r="I46" s="29">
        <f t="shared" si="110"/>
        <v>926.2977308495789</v>
      </c>
      <c r="J46" s="29">
        <f t="shared" si="110"/>
        <v>930.10094337624537</v>
      </c>
      <c r="K46" s="29">
        <f t="shared" si="110"/>
        <v>831.09529134368722</v>
      </c>
      <c r="L46" s="29">
        <f t="shared" si="110"/>
        <v>808.91123019421161</v>
      </c>
      <c r="M46" s="29">
        <f t="shared" si="110"/>
        <v>861.33181817280592</v>
      </c>
      <c r="N46" s="29">
        <f t="shared" si="110"/>
        <v>883.52724071256944</v>
      </c>
      <c r="O46" s="29">
        <f t="shared" si="110"/>
        <v>950.24812440629671</v>
      </c>
      <c r="P46" s="29">
        <f t="shared" si="110"/>
        <v>973.69552341855149</v>
      </c>
      <c r="Q46" s="29">
        <f t="shared" si="110"/>
        <v>1025.5004730337098</v>
      </c>
      <c r="R46" s="29">
        <f t="shared" si="110"/>
        <v>1137.3024573683876</v>
      </c>
      <c r="S46" s="29">
        <f t="shared" si="110"/>
        <v>1195.8306556861421</v>
      </c>
      <c r="T46" s="29">
        <f t="shared" si="110"/>
        <v>1321.3733251140852</v>
      </c>
      <c r="U46" s="29">
        <f t="shared" si="110"/>
        <v>1424.9100534257752</v>
      </c>
      <c r="V46" s="29">
        <f t="shared" si="110"/>
        <v>1448.7426241416299</v>
      </c>
      <c r="W46" s="29">
        <f t="shared" ref="W46" si="111">W47+W53</f>
        <v>1569.0894827868367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807.8001113264296</v>
      </c>
      <c r="C47" s="152">
        <f t="shared" ref="C47:V47" si="113">SUM(C48:C52)</f>
        <v>828.55103005214505</v>
      </c>
      <c r="D47" s="152">
        <f t="shared" si="113"/>
        <v>818.66060795328292</v>
      </c>
      <c r="E47" s="152">
        <f t="shared" si="113"/>
        <v>770.35094796438239</v>
      </c>
      <c r="F47" s="152">
        <f t="shared" si="113"/>
        <v>741.72300714411506</v>
      </c>
      <c r="G47" s="152">
        <f t="shared" si="113"/>
        <v>686.99393116441911</v>
      </c>
      <c r="H47" s="152">
        <f t="shared" si="113"/>
        <v>665.42090013376617</v>
      </c>
      <c r="I47" s="152">
        <f t="shared" si="113"/>
        <v>630.91375505020358</v>
      </c>
      <c r="J47" s="152">
        <f t="shared" si="113"/>
        <v>634.58152349692352</v>
      </c>
      <c r="K47" s="152">
        <f t="shared" si="113"/>
        <v>612.46365066053147</v>
      </c>
      <c r="L47" s="152">
        <f t="shared" si="113"/>
        <v>603.70489509024833</v>
      </c>
      <c r="M47" s="152">
        <f t="shared" si="113"/>
        <v>630.21027246231426</v>
      </c>
      <c r="N47" s="152">
        <f t="shared" si="113"/>
        <v>656.24852522453375</v>
      </c>
      <c r="O47" s="152">
        <f t="shared" si="113"/>
        <v>706.54390094790529</v>
      </c>
      <c r="P47" s="152">
        <f t="shared" si="113"/>
        <v>741.81347254786613</v>
      </c>
      <c r="Q47" s="152">
        <f t="shared" si="113"/>
        <v>778.81586134428346</v>
      </c>
      <c r="R47" s="152">
        <f t="shared" si="113"/>
        <v>864.33986623814894</v>
      </c>
      <c r="S47" s="152">
        <f t="shared" si="113"/>
        <v>955.61490653972146</v>
      </c>
      <c r="T47" s="152">
        <f t="shared" si="113"/>
        <v>1070.5613254813545</v>
      </c>
      <c r="U47" s="152">
        <f t="shared" si="113"/>
        <v>1184.9939348759078</v>
      </c>
      <c r="V47" s="152">
        <f t="shared" si="113"/>
        <v>1220.3105416002859</v>
      </c>
      <c r="W47" s="152">
        <f t="shared" ref="W47" si="114">SUM(W48:W52)</f>
        <v>1299.4452978231436</v>
      </c>
      <c r="DA47" s="174" t="s">
        <v>490</v>
      </c>
    </row>
    <row r="48" spans="1:105" ht="11.45" customHeight="1" x14ac:dyDescent="0.25">
      <c r="A48" s="111" t="s">
        <v>110</v>
      </c>
      <c r="B48" s="87">
        <v>201.8778845852369</v>
      </c>
      <c r="C48" s="87">
        <v>224.07319597159324</v>
      </c>
      <c r="D48" s="87">
        <v>218.358383527755</v>
      </c>
      <c r="E48" s="87">
        <v>200.88769134787731</v>
      </c>
      <c r="F48" s="87">
        <v>206.70751682135381</v>
      </c>
      <c r="G48" s="87">
        <v>183.70796068650458</v>
      </c>
      <c r="H48" s="87">
        <v>182.52995953466197</v>
      </c>
      <c r="I48" s="87">
        <v>154.96542425197617</v>
      </c>
      <c r="J48" s="87">
        <v>152.50362951033517</v>
      </c>
      <c r="K48" s="87">
        <v>137.99492752953239</v>
      </c>
      <c r="L48" s="87">
        <v>124.90428693911956</v>
      </c>
      <c r="M48" s="87">
        <v>131.90124098585903</v>
      </c>
      <c r="N48" s="87">
        <v>126.81317029040217</v>
      </c>
      <c r="O48" s="87">
        <v>115.33958189003806</v>
      </c>
      <c r="P48" s="87">
        <v>112.70805028461845</v>
      </c>
      <c r="Q48" s="87">
        <v>111.18790625382007</v>
      </c>
      <c r="R48" s="87">
        <v>107.40507014327829</v>
      </c>
      <c r="S48" s="87">
        <v>109.24615049057672</v>
      </c>
      <c r="T48" s="87">
        <v>124.33211739777398</v>
      </c>
      <c r="U48" s="87">
        <v>120.29683011780767</v>
      </c>
      <c r="V48" s="87">
        <v>109.1983036844594</v>
      </c>
      <c r="W48" s="87">
        <v>100.2336551490089</v>
      </c>
      <c r="DA48" s="171" t="s">
        <v>491</v>
      </c>
    </row>
    <row r="49" spans="1:105" ht="11.45" customHeight="1" x14ac:dyDescent="0.25">
      <c r="A49" s="111" t="s">
        <v>111</v>
      </c>
      <c r="B49" s="87">
        <v>605.92222674119273</v>
      </c>
      <c r="C49" s="87">
        <v>604.47783408055182</v>
      </c>
      <c r="D49" s="87">
        <v>600.30222442552792</v>
      </c>
      <c r="E49" s="87">
        <v>569.46325661650508</v>
      </c>
      <c r="F49" s="87">
        <v>535.01549032276125</v>
      </c>
      <c r="G49" s="87">
        <v>503.28597047791453</v>
      </c>
      <c r="H49" s="87">
        <v>482.89094059910417</v>
      </c>
      <c r="I49" s="87">
        <v>475.93153354256157</v>
      </c>
      <c r="J49" s="87">
        <v>482.06108211612872</v>
      </c>
      <c r="K49" s="87">
        <v>474.45189492058552</v>
      </c>
      <c r="L49" s="87">
        <v>478.78376403136764</v>
      </c>
      <c r="M49" s="87">
        <v>498.29217265750475</v>
      </c>
      <c r="N49" s="87">
        <v>529.40070423526765</v>
      </c>
      <c r="O49" s="87">
        <v>590.69949423835214</v>
      </c>
      <c r="P49" s="87">
        <v>628.42484004558889</v>
      </c>
      <c r="Q49" s="87">
        <v>666.6961508132913</v>
      </c>
      <c r="R49" s="87">
        <v>755.88313164168937</v>
      </c>
      <c r="S49" s="87">
        <v>844.41288747558838</v>
      </c>
      <c r="T49" s="87">
        <v>943.73794361799412</v>
      </c>
      <c r="U49" s="87">
        <v>1061.646550362567</v>
      </c>
      <c r="V49" s="87">
        <v>1107.3305098778262</v>
      </c>
      <c r="W49" s="87">
        <v>1195.3829027965896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7.5436838945467082E-3</v>
      </c>
      <c r="S50" s="87">
        <v>9.9526230608777258E-2</v>
      </c>
      <c r="T50" s="87">
        <v>0.12432008683231989</v>
      </c>
      <c r="U50" s="87">
        <v>0.16567530569020741</v>
      </c>
      <c r="V50" s="87">
        <v>0.1553835298764237</v>
      </c>
      <c r="W50" s="87">
        <v>0.1574316392349204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9.3412232300977005E-3</v>
      </c>
      <c r="O51" s="87">
        <v>0.44572439911699246</v>
      </c>
      <c r="P51" s="87">
        <v>0.56228329589610992</v>
      </c>
      <c r="Q51" s="87">
        <v>0.79649687421282778</v>
      </c>
      <c r="R51" s="87">
        <v>0.79916740028106148</v>
      </c>
      <c r="S51" s="87">
        <v>1.6032415222257457</v>
      </c>
      <c r="T51" s="87">
        <v>2.105716158599654</v>
      </c>
      <c r="U51" s="87">
        <v>2.6239652354604339</v>
      </c>
      <c r="V51" s="87">
        <v>3.3496455887607168</v>
      </c>
      <c r="W51" s="87">
        <v>3.3937972468125328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1.6797255665932705E-2</v>
      </c>
      <c r="J52" s="87">
        <v>1.6811870459619599E-2</v>
      </c>
      <c r="K52" s="87">
        <v>1.6828210413560019E-2</v>
      </c>
      <c r="L52" s="87">
        <v>1.6844119761140662E-2</v>
      </c>
      <c r="M52" s="87">
        <v>1.6858818950534388E-2</v>
      </c>
      <c r="N52" s="87">
        <v>2.5309475633913368E-2</v>
      </c>
      <c r="O52" s="87">
        <v>5.9100420398048102E-2</v>
      </c>
      <c r="P52" s="87">
        <v>0.11829892176267949</v>
      </c>
      <c r="Q52" s="87">
        <v>0.13530740295925534</v>
      </c>
      <c r="R52" s="87">
        <v>0.24495336900563308</v>
      </c>
      <c r="S52" s="87">
        <v>0.25310082072174184</v>
      </c>
      <c r="T52" s="87">
        <v>0.26122822015450986</v>
      </c>
      <c r="U52" s="87">
        <v>0.26091385438239606</v>
      </c>
      <c r="V52" s="87">
        <v>0.27669891936305341</v>
      </c>
      <c r="W52" s="87">
        <v>0.27751099149764191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142.14843266571802</v>
      </c>
      <c r="C53" s="116">
        <f t="shared" ref="C53:V53" si="116">SUM(C54:C55)</f>
        <v>125.00550081436683</v>
      </c>
      <c r="D53" s="116">
        <f t="shared" si="116"/>
        <v>157.37112052799733</v>
      </c>
      <c r="E53" s="116">
        <f t="shared" si="116"/>
        <v>228.0487911503682</v>
      </c>
      <c r="F53" s="116">
        <f t="shared" si="116"/>
        <v>250.80787357807071</v>
      </c>
      <c r="G53" s="116">
        <f t="shared" si="116"/>
        <v>256.80380859807076</v>
      </c>
      <c r="H53" s="116">
        <f t="shared" si="116"/>
        <v>273.17456520146902</v>
      </c>
      <c r="I53" s="116">
        <f t="shared" si="116"/>
        <v>295.38397579937532</v>
      </c>
      <c r="J53" s="116">
        <f t="shared" si="116"/>
        <v>295.51941987932184</v>
      </c>
      <c r="K53" s="116">
        <f t="shared" si="116"/>
        <v>218.63164068315575</v>
      </c>
      <c r="L53" s="116">
        <f t="shared" si="116"/>
        <v>205.20633510396326</v>
      </c>
      <c r="M53" s="116">
        <f t="shared" si="116"/>
        <v>231.1215457104916</v>
      </c>
      <c r="N53" s="116">
        <f t="shared" si="116"/>
        <v>227.27871548803571</v>
      </c>
      <c r="O53" s="116">
        <f t="shared" si="116"/>
        <v>243.70422345839143</v>
      </c>
      <c r="P53" s="116">
        <f t="shared" si="116"/>
        <v>231.88205087068539</v>
      </c>
      <c r="Q53" s="116">
        <f t="shared" si="116"/>
        <v>246.68461168942633</v>
      </c>
      <c r="R53" s="116">
        <f t="shared" si="116"/>
        <v>272.96259113023865</v>
      </c>
      <c r="S53" s="116">
        <f t="shared" si="116"/>
        <v>240.21574914642059</v>
      </c>
      <c r="T53" s="116">
        <f t="shared" si="116"/>
        <v>250.81199963273082</v>
      </c>
      <c r="U53" s="116">
        <f t="shared" si="116"/>
        <v>239.91611854986735</v>
      </c>
      <c r="V53" s="116">
        <f t="shared" si="116"/>
        <v>228.43208254134402</v>
      </c>
      <c r="W53" s="116">
        <f t="shared" ref="W53" si="117">SUM(W54:W55)</f>
        <v>269.64418496369302</v>
      </c>
      <c r="DA53" s="176" t="s">
        <v>496</v>
      </c>
    </row>
    <row r="54" spans="1:105" ht="11.45" customHeight="1" x14ac:dyDescent="0.25">
      <c r="A54" s="128" t="s">
        <v>27</v>
      </c>
      <c r="B54" s="101">
        <v>100.4783163265306</v>
      </c>
      <c r="C54" s="101">
        <v>80.33163265306122</v>
      </c>
      <c r="D54" s="101">
        <v>110.36989795918365</v>
      </c>
      <c r="E54" s="101">
        <v>180</v>
      </c>
      <c r="F54" s="101">
        <v>194</v>
      </c>
      <c r="G54" s="101">
        <v>198</v>
      </c>
      <c r="H54" s="101">
        <v>210</v>
      </c>
      <c r="I54" s="101">
        <v>225</v>
      </c>
      <c r="J54" s="101">
        <v>228</v>
      </c>
      <c r="K54" s="101">
        <v>164</v>
      </c>
      <c r="L54" s="101">
        <v>150</v>
      </c>
      <c r="M54" s="101">
        <v>166</v>
      </c>
      <c r="N54" s="101">
        <v>161</v>
      </c>
      <c r="O54" s="101">
        <v>166</v>
      </c>
      <c r="P54" s="101">
        <v>154</v>
      </c>
      <c r="Q54" s="101">
        <v>153</v>
      </c>
      <c r="R54" s="101">
        <v>178</v>
      </c>
      <c r="S54" s="101">
        <v>149</v>
      </c>
      <c r="T54" s="101">
        <v>157</v>
      </c>
      <c r="U54" s="101">
        <v>150</v>
      </c>
      <c r="V54" s="101">
        <v>122</v>
      </c>
      <c r="W54" s="101">
        <v>172</v>
      </c>
      <c r="DA54" s="175" t="s">
        <v>497</v>
      </c>
    </row>
    <row r="55" spans="1:105" ht="11.45" customHeight="1" x14ac:dyDescent="0.25">
      <c r="A55" s="138" t="s">
        <v>116</v>
      </c>
      <c r="B55" s="88">
        <v>41.670116339187416</v>
      </c>
      <c r="C55" s="88">
        <v>44.673868161305613</v>
      </c>
      <c r="D55" s="88">
        <v>47.001222568813681</v>
      </c>
      <c r="E55" s="88">
        <v>48.04879115036821</v>
      </c>
      <c r="F55" s="88">
        <v>56.807873578070726</v>
      </c>
      <c r="G55" s="88">
        <v>58.803808598070781</v>
      </c>
      <c r="H55" s="88">
        <v>63.174565201468994</v>
      </c>
      <c r="I55" s="88">
        <v>70.383975799375349</v>
      </c>
      <c r="J55" s="88">
        <v>67.519419879321873</v>
      </c>
      <c r="K55" s="88">
        <v>54.631640683155759</v>
      </c>
      <c r="L55" s="88">
        <v>55.206335103963248</v>
      </c>
      <c r="M55" s="88">
        <v>65.121545710491617</v>
      </c>
      <c r="N55" s="88">
        <v>66.278715488035715</v>
      </c>
      <c r="O55" s="88">
        <v>77.704223458391411</v>
      </c>
      <c r="P55" s="88">
        <v>77.88205087068539</v>
      </c>
      <c r="Q55" s="88">
        <v>93.684611689426333</v>
      </c>
      <c r="R55" s="88">
        <v>94.962591130238664</v>
      </c>
      <c r="S55" s="88">
        <v>91.215749146420578</v>
      </c>
      <c r="T55" s="88">
        <v>93.811999632730803</v>
      </c>
      <c r="U55" s="88">
        <v>89.916118549867349</v>
      </c>
      <c r="V55" s="88">
        <v>106.432082541344</v>
      </c>
      <c r="W55" s="88">
        <v>97.644184963693021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485783</v>
      </c>
      <c r="C57" s="54">
        <f t="shared" si="118"/>
        <v>477251</v>
      </c>
      <c r="D57" s="54">
        <f t="shared" si="118"/>
        <v>471186</v>
      </c>
      <c r="E57" s="54">
        <f t="shared" si="118"/>
        <v>507680</v>
      </c>
      <c r="F57" s="54">
        <f t="shared" si="118"/>
        <v>543906</v>
      </c>
      <c r="G57" s="54">
        <f t="shared" si="118"/>
        <v>566494</v>
      </c>
      <c r="H57" s="54">
        <f t="shared" si="118"/>
        <v>579906</v>
      </c>
      <c r="I57" s="54">
        <f t="shared" si="118"/>
        <v>600686</v>
      </c>
      <c r="J57" s="54">
        <f t="shared" si="118"/>
        <v>634094</v>
      </c>
      <c r="K57" s="54">
        <f t="shared" si="118"/>
        <v>627025</v>
      </c>
      <c r="L57" s="54">
        <f t="shared" ref="L57" si="119">L58+L73</f>
        <v>635232</v>
      </c>
      <c r="M57" s="54">
        <f t="shared" ref="M57:V57" si="120">M58+M73</f>
        <v>663237</v>
      </c>
      <c r="N57" s="54">
        <f t="shared" si="120"/>
        <v>707362</v>
      </c>
      <c r="O57" s="54">
        <f t="shared" si="120"/>
        <v>741461</v>
      </c>
      <c r="P57" s="54">
        <f t="shared" si="120"/>
        <v>773961</v>
      </c>
      <c r="Q57" s="54">
        <f t="shared" si="120"/>
        <v>806210</v>
      </c>
      <c r="R57" s="54">
        <f t="shared" si="120"/>
        <v>842493</v>
      </c>
      <c r="S57" s="54">
        <f t="shared" si="120"/>
        <v>875224</v>
      </c>
      <c r="T57" s="54">
        <f t="shared" si="120"/>
        <v>905727</v>
      </c>
      <c r="U57" s="54">
        <f t="shared" si="120"/>
        <v>967714</v>
      </c>
      <c r="V57" s="54">
        <f t="shared" si="120"/>
        <v>988938</v>
      </c>
      <c r="W57" s="54">
        <f t="shared" ref="W57" si="121">W58+W73</f>
        <v>1013537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425150</v>
      </c>
      <c r="C58" s="28">
        <f t="shared" si="122"/>
        <v>419862</v>
      </c>
      <c r="D58" s="28">
        <f t="shared" si="122"/>
        <v>413547</v>
      </c>
      <c r="E58" s="28">
        <f t="shared" si="122"/>
        <v>447604</v>
      </c>
      <c r="F58" s="28">
        <f t="shared" si="122"/>
        <v>485513</v>
      </c>
      <c r="G58" s="28">
        <f t="shared" si="122"/>
        <v>509355</v>
      </c>
      <c r="H58" s="28">
        <f t="shared" si="122"/>
        <v>522781</v>
      </c>
      <c r="I58" s="28">
        <f t="shared" si="122"/>
        <v>543249</v>
      </c>
      <c r="J58" s="28">
        <f t="shared" si="122"/>
        <v>573862</v>
      </c>
      <c r="K58" s="28">
        <f t="shared" si="122"/>
        <v>568436</v>
      </c>
      <c r="L58" s="28">
        <f t="shared" ref="L58" si="123">L59+L60+L67</f>
        <v>576661</v>
      </c>
      <c r="M58" s="28">
        <f t="shared" ref="M58:V58" si="124">M59+M60+M67</f>
        <v>601487</v>
      </c>
      <c r="N58" s="28">
        <f t="shared" si="124"/>
        <v>641796</v>
      </c>
      <c r="O58" s="28">
        <f t="shared" si="124"/>
        <v>671871</v>
      </c>
      <c r="P58" s="28">
        <f t="shared" si="124"/>
        <v>699976</v>
      </c>
      <c r="Q58" s="28">
        <f t="shared" si="124"/>
        <v>726970</v>
      </c>
      <c r="R58" s="28">
        <f t="shared" si="124"/>
        <v>756888</v>
      </c>
      <c r="S58" s="28">
        <f t="shared" si="124"/>
        <v>782712</v>
      </c>
      <c r="T58" s="28">
        <f t="shared" si="124"/>
        <v>806070</v>
      </c>
      <c r="U58" s="28">
        <f t="shared" si="124"/>
        <v>857976</v>
      </c>
      <c r="V58" s="28">
        <f t="shared" si="124"/>
        <v>874593</v>
      </c>
      <c r="W58" s="28">
        <f t="shared" ref="W58" si="125">W59+W60+W67</f>
        <v>894880</v>
      </c>
      <c r="DA58" s="173" t="s">
        <v>500</v>
      </c>
    </row>
    <row r="59" spans="1:105" ht="11.45" customHeight="1" x14ac:dyDescent="0.25">
      <c r="A59" s="136" t="s">
        <v>180</v>
      </c>
      <c r="B59" s="137">
        <v>6700</v>
      </c>
      <c r="C59" s="137">
        <v>6800</v>
      </c>
      <c r="D59" s="137">
        <v>7300</v>
      </c>
      <c r="E59" s="137">
        <v>8100</v>
      </c>
      <c r="F59" s="137">
        <v>9100</v>
      </c>
      <c r="G59" s="137">
        <v>10234</v>
      </c>
      <c r="H59" s="137">
        <v>12594</v>
      </c>
      <c r="I59" s="137">
        <v>14780</v>
      </c>
      <c r="J59" s="137">
        <v>17622</v>
      </c>
      <c r="K59" s="137">
        <v>18600</v>
      </c>
      <c r="L59" s="137">
        <v>19700</v>
      </c>
      <c r="M59" s="137">
        <v>23217</v>
      </c>
      <c r="N59" s="137">
        <v>35273</v>
      </c>
      <c r="O59" s="137">
        <v>38700</v>
      </c>
      <c r="P59" s="137">
        <v>42300</v>
      </c>
      <c r="Q59" s="137">
        <v>45500</v>
      </c>
      <c r="R59" s="137">
        <v>48800</v>
      </c>
      <c r="S59" s="137">
        <v>51700</v>
      </c>
      <c r="T59" s="137">
        <v>54500</v>
      </c>
      <c r="U59" s="137">
        <v>57829</v>
      </c>
      <c r="V59" s="137">
        <v>60619</v>
      </c>
      <c r="W59" s="137">
        <v>63570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412391</v>
      </c>
      <c r="C60" s="110">
        <f t="shared" si="126"/>
        <v>407300</v>
      </c>
      <c r="D60" s="110">
        <f t="shared" si="126"/>
        <v>400700</v>
      </c>
      <c r="E60" s="110">
        <f t="shared" si="126"/>
        <v>434000</v>
      </c>
      <c r="F60" s="110">
        <f t="shared" si="126"/>
        <v>471000</v>
      </c>
      <c r="G60" s="110">
        <f t="shared" si="126"/>
        <v>493700</v>
      </c>
      <c r="H60" s="110">
        <f t="shared" si="126"/>
        <v>504686</v>
      </c>
      <c r="I60" s="110">
        <f t="shared" si="126"/>
        <v>523800</v>
      </c>
      <c r="J60" s="110">
        <f t="shared" si="126"/>
        <v>551800</v>
      </c>
      <c r="K60" s="110">
        <f t="shared" si="126"/>
        <v>545600</v>
      </c>
      <c r="L60" s="110">
        <f t="shared" ref="L60" si="127">SUM(L61:L66)</f>
        <v>552680</v>
      </c>
      <c r="M60" s="110">
        <f t="shared" ref="M60:V60" si="128">SUM(M61:M66)</f>
        <v>574000</v>
      </c>
      <c r="N60" s="110">
        <f t="shared" si="128"/>
        <v>602100</v>
      </c>
      <c r="O60" s="110">
        <f t="shared" si="128"/>
        <v>628565</v>
      </c>
      <c r="P60" s="110">
        <f t="shared" si="128"/>
        <v>652950</v>
      </c>
      <c r="Q60" s="110">
        <f t="shared" si="128"/>
        <v>676596</v>
      </c>
      <c r="R60" s="110">
        <f t="shared" si="128"/>
        <v>703151</v>
      </c>
      <c r="S60" s="110">
        <f t="shared" si="128"/>
        <v>725944</v>
      </c>
      <c r="T60" s="110">
        <f t="shared" si="128"/>
        <v>746464</v>
      </c>
      <c r="U60" s="110">
        <f t="shared" si="128"/>
        <v>794926</v>
      </c>
      <c r="V60" s="110">
        <f t="shared" si="128"/>
        <v>808689</v>
      </c>
      <c r="W60" s="110">
        <f t="shared" ref="W60" si="129">SUM(W61:W66)</f>
        <v>825936</v>
      </c>
      <c r="DA60" s="176" t="s">
        <v>502</v>
      </c>
    </row>
    <row r="61" spans="1:105" ht="11.45" customHeight="1" x14ac:dyDescent="0.25">
      <c r="A61" s="111" t="s">
        <v>110</v>
      </c>
      <c r="B61" s="84">
        <v>379547</v>
      </c>
      <c r="C61" s="84">
        <v>363526</v>
      </c>
      <c r="D61" s="84">
        <v>354487</v>
      </c>
      <c r="E61" s="84">
        <v>379778</v>
      </c>
      <c r="F61" s="84">
        <v>403236</v>
      </c>
      <c r="G61" s="84">
        <v>413971</v>
      </c>
      <c r="H61" s="84">
        <v>409751</v>
      </c>
      <c r="I61" s="84">
        <v>406614</v>
      </c>
      <c r="J61" s="84">
        <v>422297</v>
      </c>
      <c r="K61" s="84">
        <v>415834</v>
      </c>
      <c r="L61" s="84">
        <v>414234</v>
      </c>
      <c r="M61" s="84">
        <v>418388</v>
      </c>
      <c r="N61" s="84">
        <v>422219</v>
      </c>
      <c r="O61" s="84">
        <v>424062</v>
      </c>
      <c r="P61" s="84">
        <v>426330</v>
      </c>
      <c r="Q61" s="84">
        <v>431242</v>
      </c>
      <c r="R61" s="84">
        <v>439631</v>
      </c>
      <c r="S61" s="84">
        <v>445229</v>
      </c>
      <c r="T61" s="84">
        <v>447667</v>
      </c>
      <c r="U61" s="84">
        <v>468342</v>
      </c>
      <c r="V61" s="84">
        <v>466077</v>
      </c>
      <c r="W61" s="84">
        <v>465834</v>
      </c>
      <c r="DA61" s="171" t="s">
        <v>503</v>
      </c>
    </row>
    <row r="62" spans="1:105" ht="11.45" customHeight="1" x14ac:dyDescent="0.25">
      <c r="A62" s="111" t="s">
        <v>111</v>
      </c>
      <c r="B62" s="84">
        <v>32244</v>
      </c>
      <c r="C62" s="84">
        <v>43144</v>
      </c>
      <c r="D62" s="84">
        <v>45521</v>
      </c>
      <c r="E62" s="84">
        <v>53399</v>
      </c>
      <c r="F62" s="84">
        <v>66873</v>
      </c>
      <c r="G62" s="84">
        <v>78623</v>
      </c>
      <c r="H62" s="84">
        <v>93468</v>
      </c>
      <c r="I62" s="84">
        <v>115919</v>
      </c>
      <c r="J62" s="84">
        <v>127935</v>
      </c>
      <c r="K62" s="84">
        <v>127979</v>
      </c>
      <c r="L62" s="84">
        <v>136656</v>
      </c>
      <c r="M62" s="84">
        <v>153401</v>
      </c>
      <c r="N62" s="84">
        <v>176313</v>
      </c>
      <c r="O62" s="84">
        <v>200257</v>
      </c>
      <c r="P62" s="84">
        <v>221229</v>
      </c>
      <c r="Q62" s="84">
        <v>239465</v>
      </c>
      <c r="R62" s="84">
        <v>256381</v>
      </c>
      <c r="S62" s="84">
        <v>272267</v>
      </c>
      <c r="T62" s="84">
        <v>288120</v>
      </c>
      <c r="U62" s="84">
        <v>308978</v>
      </c>
      <c r="V62" s="84">
        <v>318254</v>
      </c>
      <c r="W62" s="84">
        <v>330598</v>
      </c>
      <c r="DA62" s="171" t="s">
        <v>504</v>
      </c>
    </row>
    <row r="63" spans="1:105" ht="11.45" customHeight="1" x14ac:dyDescent="0.25">
      <c r="A63" s="111" t="s">
        <v>112</v>
      </c>
      <c r="B63" s="84">
        <v>600</v>
      </c>
      <c r="C63" s="84">
        <v>630</v>
      </c>
      <c r="D63" s="84">
        <v>692</v>
      </c>
      <c r="E63" s="84">
        <v>823</v>
      </c>
      <c r="F63" s="84">
        <v>891</v>
      </c>
      <c r="G63" s="84">
        <v>1106</v>
      </c>
      <c r="H63" s="84">
        <v>1467</v>
      </c>
      <c r="I63" s="84">
        <v>1267</v>
      </c>
      <c r="J63" s="84">
        <v>1567</v>
      </c>
      <c r="K63" s="84">
        <v>1786</v>
      </c>
      <c r="L63" s="84">
        <v>1786</v>
      </c>
      <c r="M63" s="84">
        <v>2148</v>
      </c>
      <c r="N63" s="84">
        <v>2954</v>
      </c>
      <c r="O63" s="84">
        <v>3421</v>
      </c>
      <c r="P63" s="84">
        <v>4065</v>
      </c>
      <c r="Q63" s="84">
        <v>4365</v>
      </c>
      <c r="R63" s="84">
        <v>5079</v>
      </c>
      <c r="S63" s="84">
        <v>5947</v>
      </c>
      <c r="T63" s="84">
        <v>6938</v>
      </c>
      <c r="U63" s="84">
        <v>8341</v>
      </c>
      <c r="V63" s="84">
        <v>8965</v>
      </c>
      <c r="W63" s="84">
        <v>8965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2</v>
      </c>
      <c r="M64" s="84">
        <v>7</v>
      </c>
      <c r="N64" s="84">
        <v>14</v>
      </c>
      <c r="O64" s="84">
        <v>117</v>
      </c>
      <c r="P64" s="84">
        <v>233</v>
      </c>
      <c r="Q64" s="84">
        <v>383</v>
      </c>
      <c r="R64" s="84">
        <v>873</v>
      </c>
      <c r="S64" s="84">
        <v>1267</v>
      </c>
      <c r="T64" s="84">
        <v>2352</v>
      </c>
      <c r="U64" s="84">
        <v>7644</v>
      </c>
      <c r="V64" s="84">
        <v>13346</v>
      </c>
      <c r="W64" s="84">
        <v>17439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26</v>
      </c>
      <c r="Q65" s="84">
        <v>42</v>
      </c>
      <c r="R65" s="84">
        <v>57</v>
      </c>
      <c r="S65" s="84">
        <v>80</v>
      </c>
      <c r="T65" s="84">
        <v>129</v>
      </c>
      <c r="U65" s="84">
        <v>155</v>
      </c>
      <c r="V65" s="84">
        <v>278</v>
      </c>
      <c r="W65" s="84">
        <v>840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1</v>
      </c>
      <c r="K66" s="84">
        <v>1</v>
      </c>
      <c r="L66" s="84">
        <v>2</v>
      </c>
      <c r="M66" s="84">
        <v>56</v>
      </c>
      <c r="N66" s="84">
        <v>600</v>
      </c>
      <c r="O66" s="84">
        <v>708</v>
      </c>
      <c r="P66" s="84">
        <v>1067</v>
      </c>
      <c r="Q66" s="84">
        <v>1099</v>
      </c>
      <c r="R66" s="84">
        <v>1130</v>
      </c>
      <c r="S66" s="84">
        <v>1154</v>
      </c>
      <c r="T66" s="84">
        <v>1258</v>
      </c>
      <c r="U66" s="84">
        <v>1466</v>
      </c>
      <c r="V66" s="84">
        <v>1769</v>
      </c>
      <c r="W66" s="84">
        <v>2260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6059</v>
      </c>
      <c r="C67" s="110">
        <f t="shared" si="130"/>
        <v>5762</v>
      </c>
      <c r="D67" s="110">
        <f t="shared" si="130"/>
        <v>5547</v>
      </c>
      <c r="E67" s="110">
        <f t="shared" si="130"/>
        <v>5504</v>
      </c>
      <c r="F67" s="110">
        <f t="shared" si="130"/>
        <v>5413</v>
      </c>
      <c r="G67" s="110">
        <f t="shared" si="130"/>
        <v>5421</v>
      </c>
      <c r="H67" s="110">
        <f t="shared" si="130"/>
        <v>5501</v>
      </c>
      <c r="I67" s="110">
        <f t="shared" si="130"/>
        <v>4669</v>
      </c>
      <c r="J67" s="110">
        <f t="shared" si="130"/>
        <v>4440</v>
      </c>
      <c r="K67" s="110">
        <f t="shared" si="130"/>
        <v>4236</v>
      </c>
      <c r="L67" s="110">
        <f t="shared" ref="L67" si="131">SUM(L68:L72)</f>
        <v>4281</v>
      </c>
      <c r="M67" s="110">
        <f t="shared" ref="M67:V67" si="132">SUM(M68:M72)</f>
        <v>4270</v>
      </c>
      <c r="N67" s="110">
        <f t="shared" si="132"/>
        <v>4423</v>
      </c>
      <c r="O67" s="110">
        <f t="shared" si="132"/>
        <v>4606</v>
      </c>
      <c r="P67" s="110">
        <f t="shared" si="132"/>
        <v>4726</v>
      </c>
      <c r="Q67" s="110">
        <f t="shared" si="132"/>
        <v>4874</v>
      </c>
      <c r="R67" s="110">
        <f t="shared" si="132"/>
        <v>4937</v>
      </c>
      <c r="S67" s="110">
        <f t="shared" si="132"/>
        <v>5068</v>
      </c>
      <c r="T67" s="110">
        <f t="shared" si="132"/>
        <v>5106</v>
      </c>
      <c r="U67" s="110">
        <f t="shared" si="132"/>
        <v>5221</v>
      </c>
      <c r="V67" s="110">
        <f t="shared" si="132"/>
        <v>5285</v>
      </c>
      <c r="W67" s="110">
        <f t="shared" ref="W67" si="133">SUM(W68:W72)</f>
        <v>5374</v>
      </c>
      <c r="DA67" s="176" t="s">
        <v>509</v>
      </c>
    </row>
    <row r="68" spans="1:105" ht="11.45" customHeight="1" x14ac:dyDescent="0.25">
      <c r="A68" s="111" t="s">
        <v>110</v>
      </c>
      <c r="B68" s="102">
        <v>2583</v>
      </c>
      <c r="C68" s="102">
        <v>2259</v>
      </c>
      <c r="D68" s="102">
        <v>1939</v>
      </c>
      <c r="E68" s="102">
        <v>1630</v>
      </c>
      <c r="F68" s="102">
        <v>1450</v>
      </c>
      <c r="G68" s="102">
        <v>1141</v>
      </c>
      <c r="H68" s="102">
        <v>1141</v>
      </c>
      <c r="I68" s="102">
        <v>639</v>
      </c>
      <c r="J68" s="102">
        <v>470</v>
      </c>
      <c r="K68" s="102">
        <v>335</v>
      </c>
      <c r="L68" s="102">
        <v>269</v>
      </c>
      <c r="M68" s="102">
        <v>250</v>
      </c>
      <c r="N68" s="102">
        <v>240</v>
      </c>
      <c r="O68" s="102">
        <v>231</v>
      </c>
      <c r="P68" s="102">
        <v>225</v>
      </c>
      <c r="Q68" s="102">
        <v>217</v>
      </c>
      <c r="R68" s="102">
        <v>211</v>
      </c>
      <c r="S68" s="102">
        <v>212</v>
      </c>
      <c r="T68" s="102">
        <v>212</v>
      </c>
      <c r="U68" s="102">
        <v>219</v>
      </c>
      <c r="V68" s="102">
        <v>214</v>
      </c>
      <c r="W68" s="102">
        <v>213</v>
      </c>
      <c r="DA68" s="175" t="s">
        <v>510</v>
      </c>
    </row>
    <row r="69" spans="1:105" ht="11.45" customHeight="1" x14ac:dyDescent="0.25">
      <c r="A69" s="111" t="s">
        <v>111</v>
      </c>
      <c r="B69" s="102">
        <v>3476</v>
      </c>
      <c r="C69" s="102">
        <v>3503</v>
      </c>
      <c r="D69" s="102">
        <v>3608</v>
      </c>
      <c r="E69" s="102">
        <v>3874</v>
      </c>
      <c r="F69" s="102">
        <v>3963</v>
      </c>
      <c r="G69" s="102">
        <v>4280</v>
      </c>
      <c r="H69" s="102">
        <v>4360</v>
      </c>
      <c r="I69" s="102">
        <v>4030</v>
      </c>
      <c r="J69" s="102">
        <v>3970</v>
      </c>
      <c r="K69" s="102">
        <v>3901</v>
      </c>
      <c r="L69" s="102">
        <v>3896</v>
      </c>
      <c r="M69" s="102">
        <v>3899</v>
      </c>
      <c r="N69" s="102">
        <v>4063</v>
      </c>
      <c r="O69" s="102">
        <v>4250</v>
      </c>
      <c r="P69" s="102">
        <v>4364</v>
      </c>
      <c r="Q69" s="102">
        <v>4504</v>
      </c>
      <c r="R69" s="102">
        <v>4557</v>
      </c>
      <c r="S69" s="102">
        <v>4652</v>
      </c>
      <c r="T69" s="102">
        <v>4656</v>
      </c>
      <c r="U69" s="102">
        <v>4731</v>
      </c>
      <c r="V69" s="102">
        <v>4704</v>
      </c>
      <c r="W69" s="102">
        <v>4660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1</v>
      </c>
      <c r="U70" s="102">
        <v>1</v>
      </c>
      <c r="V70" s="102">
        <v>1</v>
      </c>
      <c r="W70" s="102">
        <v>1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2</v>
      </c>
      <c r="M71" s="102">
        <v>7</v>
      </c>
      <c r="N71" s="102">
        <v>8</v>
      </c>
      <c r="O71" s="102">
        <v>15</v>
      </c>
      <c r="P71" s="102">
        <v>30</v>
      </c>
      <c r="Q71" s="102">
        <v>50</v>
      </c>
      <c r="R71" s="102">
        <v>71</v>
      </c>
      <c r="S71" s="102">
        <v>111</v>
      </c>
      <c r="T71" s="102">
        <v>151</v>
      </c>
      <c r="U71" s="102">
        <v>191</v>
      </c>
      <c r="V71" s="102">
        <v>295</v>
      </c>
      <c r="W71" s="102">
        <v>436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114</v>
      </c>
      <c r="M72" s="102">
        <v>114</v>
      </c>
      <c r="N72" s="102">
        <v>112</v>
      </c>
      <c r="O72" s="102">
        <v>110</v>
      </c>
      <c r="P72" s="102">
        <v>107</v>
      </c>
      <c r="Q72" s="102">
        <v>103</v>
      </c>
      <c r="R72" s="102">
        <v>98</v>
      </c>
      <c r="S72" s="102">
        <v>93</v>
      </c>
      <c r="T72" s="102">
        <v>86</v>
      </c>
      <c r="U72" s="102">
        <v>79</v>
      </c>
      <c r="V72" s="102">
        <v>71</v>
      </c>
      <c r="W72" s="102">
        <v>64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60633</v>
      </c>
      <c r="C73" s="28">
        <f t="shared" si="134"/>
        <v>57389</v>
      </c>
      <c r="D73" s="28">
        <f t="shared" si="134"/>
        <v>57639</v>
      </c>
      <c r="E73" s="28">
        <f t="shared" si="134"/>
        <v>60076</v>
      </c>
      <c r="F73" s="28">
        <f t="shared" si="134"/>
        <v>58393</v>
      </c>
      <c r="G73" s="28">
        <f t="shared" si="134"/>
        <v>57139</v>
      </c>
      <c r="H73" s="28">
        <f t="shared" si="134"/>
        <v>57125</v>
      </c>
      <c r="I73" s="28">
        <f t="shared" si="134"/>
        <v>57437</v>
      </c>
      <c r="J73" s="28">
        <f t="shared" si="134"/>
        <v>60232</v>
      </c>
      <c r="K73" s="28">
        <f t="shared" si="134"/>
        <v>58589</v>
      </c>
      <c r="L73" s="28">
        <f t="shared" ref="L73" si="135">L74+L80</f>
        <v>58571</v>
      </c>
      <c r="M73" s="28">
        <f t="shared" ref="M73:V73" si="136">M74+M80</f>
        <v>61750</v>
      </c>
      <c r="N73" s="28">
        <f t="shared" si="136"/>
        <v>65566</v>
      </c>
      <c r="O73" s="28">
        <f t="shared" si="136"/>
        <v>69590</v>
      </c>
      <c r="P73" s="28">
        <f t="shared" si="136"/>
        <v>73985</v>
      </c>
      <c r="Q73" s="28">
        <f t="shared" si="136"/>
        <v>79240</v>
      </c>
      <c r="R73" s="28">
        <f t="shared" si="136"/>
        <v>85605</v>
      </c>
      <c r="S73" s="28">
        <f t="shared" si="136"/>
        <v>92512</v>
      </c>
      <c r="T73" s="28">
        <f t="shared" si="136"/>
        <v>99657</v>
      </c>
      <c r="U73" s="28">
        <f t="shared" si="136"/>
        <v>109738</v>
      </c>
      <c r="V73" s="28">
        <f t="shared" si="136"/>
        <v>114345</v>
      </c>
      <c r="W73" s="28">
        <f t="shared" ref="W73" si="137">W74+W80</f>
        <v>118657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53598</v>
      </c>
      <c r="C74" s="137">
        <f t="shared" si="138"/>
        <v>52063</v>
      </c>
      <c r="D74" s="137">
        <f t="shared" si="138"/>
        <v>50346</v>
      </c>
      <c r="E74" s="137">
        <f t="shared" si="138"/>
        <v>48721</v>
      </c>
      <c r="F74" s="137">
        <f t="shared" si="138"/>
        <v>46847</v>
      </c>
      <c r="G74" s="137">
        <f t="shared" si="138"/>
        <v>45141</v>
      </c>
      <c r="H74" s="137">
        <f t="shared" si="138"/>
        <v>44036</v>
      </c>
      <c r="I74" s="137">
        <f t="shared" si="138"/>
        <v>43724</v>
      </c>
      <c r="J74" s="137">
        <f t="shared" si="138"/>
        <v>45882</v>
      </c>
      <c r="K74" s="137">
        <f t="shared" si="138"/>
        <v>46226</v>
      </c>
      <c r="L74" s="137">
        <f t="shared" ref="L74" si="139">SUM(L75:L79)</f>
        <v>47069</v>
      </c>
      <c r="M74" s="137">
        <f t="shared" ref="M74:V74" si="140">SUM(M75:M79)</f>
        <v>49341</v>
      </c>
      <c r="N74" s="137">
        <f t="shared" si="140"/>
        <v>52398</v>
      </c>
      <c r="O74" s="137">
        <f t="shared" si="140"/>
        <v>57420</v>
      </c>
      <c r="P74" s="137">
        <f t="shared" si="140"/>
        <v>61232</v>
      </c>
      <c r="Q74" s="137">
        <f t="shared" si="140"/>
        <v>65986</v>
      </c>
      <c r="R74" s="137">
        <f t="shared" si="140"/>
        <v>71435</v>
      </c>
      <c r="S74" s="137">
        <f t="shared" si="140"/>
        <v>77118</v>
      </c>
      <c r="T74" s="137">
        <f t="shared" si="140"/>
        <v>83313</v>
      </c>
      <c r="U74" s="137">
        <f t="shared" si="140"/>
        <v>90759</v>
      </c>
      <c r="V74" s="137">
        <f t="shared" si="140"/>
        <v>94746</v>
      </c>
      <c r="W74" s="137">
        <f t="shared" ref="W74" si="141">SUM(W75:W79)</f>
        <v>99088</v>
      </c>
      <c r="DA74" s="174" t="s">
        <v>516</v>
      </c>
    </row>
    <row r="75" spans="1:105" ht="11.45" customHeight="1" x14ac:dyDescent="0.25">
      <c r="A75" s="111" t="s">
        <v>110</v>
      </c>
      <c r="B75" s="84">
        <v>14032</v>
      </c>
      <c r="C75" s="84">
        <v>13744</v>
      </c>
      <c r="D75" s="84">
        <v>13398</v>
      </c>
      <c r="E75" s="84">
        <v>12873</v>
      </c>
      <c r="F75" s="84">
        <v>12389</v>
      </c>
      <c r="G75" s="84">
        <v>11981</v>
      </c>
      <c r="H75" s="84">
        <v>11509</v>
      </c>
      <c r="I75" s="84">
        <v>10978</v>
      </c>
      <c r="J75" s="84">
        <v>12103</v>
      </c>
      <c r="K75" s="84">
        <v>12295</v>
      </c>
      <c r="L75" s="84">
        <v>12142</v>
      </c>
      <c r="M75" s="84">
        <v>12319</v>
      </c>
      <c r="N75" s="84">
        <v>12363</v>
      </c>
      <c r="O75" s="84">
        <v>11979</v>
      </c>
      <c r="P75" s="84">
        <v>12024</v>
      </c>
      <c r="Q75" s="84">
        <v>12341</v>
      </c>
      <c r="R75" s="84">
        <v>12697</v>
      </c>
      <c r="S75" s="84">
        <v>13022</v>
      </c>
      <c r="T75" s="84">
        <v>13401</v>
      </c>
      <c r="U75" s="84">
        <v>14047</v>
      </c>
      <c r="V75" s="84">
        <v>14243</v>
      </c>
      <c r="W75" s="84">
        <v>14194</v>
      </c>
      <c r="DA75" s="171" t="s">
        <v>517</v>
      </c>
    </row>
    <row r="76" spans="1:105" ht="11.45" customHeight="1" x14ac:dyDescent="0.25">
      <c r="A76" s="111" t="s">
        <v>111</v>
      </c>
      <c r="B76" s="84">
        <v>39566</v>
      </c>
      <c r="C76" s="84">
        <v>38319</v>
      </c>
      <c r="D76" s="84">
        <v>36948</v>
      </c>
      <c r="E76" s="84">
        <v>35848</v>
      </c>
      <c r="F76" s="84">
        <v>34458</v>
      </c>
      <c r="G76" s="84">
        <v>33160</v>
      </c>
      <c r="H76" s="84">
        <v>32527</v>
      </c>
      <c r="I76" s="84">
        <v>32744</v>
      </c>
      <c r="J76" s="84">
        <v>33777</v>
      </c>
      <c r="K76" s="84">
        <v>33929</v>
      </c>
      <c r="L76" s="84">
        <v>34925</v>
      </c>
      <c r="M76" s="84">
        <v>37020</v>
      </c>
      <c r="N76" s="84">
        <v>40031</v>
      </c>
      <c r="O76" s="84">
        <v>45386</v>
      </c>
      <c r="P76" s="84">
        <v>49133</v>
      </c>
      <c r="Q76" s="84">
        <v>53542</v>
      </c>
      <c r="R76" s="84">
        <v>58622</v>
      </c>
      <c r="S76" s="84">
        <v>63883</v>
      </c>
      <c r="T76" s="84">
        <v>69645</v>
      </c>
      <c r="U76" s="84">
        <v>76390</v>
      </c>
      <c r="V76" s="84">
        <v>80100</v>
      </c>
      <c r="W76" s="84">
        <v>84491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1</v>
      </c>
      <c r="S77" s="84">
        <v>13</v>
      </c>
      <c r="T77" s="84">
        <v>16</v>
      </c>
      <c r="U77" s="84">
        <v>21</v>
      </c>
      <c r="V77" s="84">
        <v>20</v>
      </c>
      <c r="W77" s="84">
        <v>20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1</v>
      </c>
      <c r="O78" s="84">
        <v>48</v>
      </c>
      <c r="P78" s="84">
        <v>61</v>
      </c>
      <c r="Q78" s="84">
        <v>87</v>
      </c>
      <c r="R78" s="84">
        <v>86</v>
      </c>
      <c r="S78" s="84">
        <v>170</v>
      </c>
      <c r="T78" s="84">
        <v>220</v>
      </c>
      <c r="U78" s="84">
        <v>270</v>
      </c>
      <c r="V78" s="84">
        <v>350</v>
      </c>
      <c r="W78" s="84">
        <v>350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2</v>
      </c>
      <c r="J79" s="84">
        <v>2</v>
      </c>
      <c r="K79" s="84">
        <v>2</v>
      </c>
      <c r="L79" s="84">
        <v>2</v>
      </c>
      <c r="M79" s="84">
        <v>2</v>
      </c>
      <c r="N79" s="84">
        <v>3</v>
      </c>
      <c r="O79" s="84">
        <v>7</v>
      </c>
      <c r="P79" s="84">
        <v>14</v>
      </c>
      <c r="Q79" s="84">
        <v>16</v>
      </c>
      <c r="R79" s="84">
        <v>29</v>
      </c>
      <c r="S79" s="84">
        <v>30</v>
      </c>
      <c r="T79" s="84">
        <v>31</v>
      </c>
      <c r="U79" s="84">
        <v>31</v>
      </c>
      <c r="V79" s="84">
        <v>33</v>
      </c>
      <c r="W79" s="84">
        <v>33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7035</v>
      </c>
      <c r="C80" s="110">
        <f t="shared" si="142"/>
        <v>5326</v>
      </c>
      <c r="D80" s="110">
        <f t="shared" si="142"/>
        <v>7293</v>
      </c>
      <c r="E80" s="110">
        <f t="shared" si="142"/>
        <v>11355</v>
      </c>
      <c r="F80" s="110">
        <f t="shared" si="142"/>
        <v>11546</v>
      </c>
      <c r="G80" s="110">
        <f t="shared" si="142"/>
        <v>11998</v>
      </c>
      <c r="H80" s="110">
        <f t="shared" si="142"/>
        <v>13089</v>
      </c>
      <c r="I80" s="110">
        <f t="shared" si="142"/>
        <v>13713</v>
      </c>
      <c r="J80" s="110">
        <f t="shared" si="142"/>
        <v>14350</v>
      </c>
      <c r="K80" s="110">
        <f t="shared" si="142"/>
        <v>12363</v>
      </c>
      <c r="L80" s="110">
        <f t="shared" ref="L80" si="143">SUM(L81:L82)</f>
        <v>11502</v>
      </c>
      <c r="M80" s="110">
        <f t="shared" ref="M80:V80" si="144">SUM(M81:M82)</f>
        <v>12409</v>
      </c>
      <c r="N80" s="110">
        <f t="shared" si="144"/>
        <v>13168</v>
      </c>
      <c r="O80" s="110">
        <f t="shared" si="144"/>
        <v>12170</v>
      </c>
      <c r="P80" s="110">
        <f t="shared" si="144"/>
        <v>12753</v>
      </c>
      <c r="Q80" s="110">
        <f t="shared" si="144"/>
        <v>13254</v>
      </c>
      <c r="R80" s="110">
        <f t="shared" si="144"/>
        <v>14170</v>
      </c>
      <c r="S80" s="110">
        <f t="shared" si="144"/>
        <v>15394</v>
      </c>
      <c r="T80" s="110">
        <f t="shared" si="144"/>
        <v>16344</v>
      </c>
      <c r="U80" s="110">
        <f t="shared" si="144"/>
        <v>18979</v>
      </c>
      <c r="V80" s="110">
        <f t="shared" si="144"/>
        <v>19599</v>
      </c>
      <c r="W80" s="110">
        <f t="shared" ref="W80" si="145">SUM(W81:W82)</f>
        <v>19569</v>
      </c>
      <c r="DA80" s="176" t="s">
        <v>522</v>
      </c>
    </row>
    <row r="81" spans="1:105" ht="11.45" customHeight="1" x14ac:dyDescent="0.25">
      <c r="A81" s="128" t="s">
        <v>27</v>
      </c>
      <c r="B81" s="102">
        <v>6545</v>
      </c>
      <c r="C81" s="102">
        <v>4800</v>
      </c>
      <c r="D81" s="102">
        <v>6740</v>
      </c>
      <c r="E81" s="102">
        <v>10790</v>
      </c>
      <c r="F81" s="102">
        <v>10878</v>
      </c>
      <c r="G81" s="102">
        <v>11306</v>
      </c>
      <c r="H81" s="102">
        <v>12346</v>
      </c>
      <c r="I81" s="102">
        <v>12885</v>
      </c>
      <c r="J81" s="102">
        <v>13556</v>
      </c>
      <c r="K81" s="102">
        <v>11720</v>
      </c>
      <c r="L81" s="102">
        <v>10853</v>
      </c>
      <c r="M81" s="102">
        <v>11643</v>
      </c>
      <c r="N81" s="102">
        <v>12388</v>
      </c>
      <c r="O81" s="102">
        <v>11256</v>
      </c>
      <c r="P81" s="102">
        <v>11837</v>
      </c>
      <c r="Q81" s="102">
        <v>12152</v>
      </c>
      <c r="R81" s="102">
        <v>13053</v>
      </c>
      <c r="S81" s="102">
        <v>14321</v>
      </c>
      <c r="T81" s="102">
        <v>15240</v>
      </c>
      <c r="U81" s="102">
        <v>17921</v>
      </c>
      <c r="V81" s="102">
        <v>18347</v>
      </c>
      <c r="W81" s="102">
        <v>18420</v>
      </c>
      <c r="DA81" s="175" t="s">
        <v>523</v>
      </c>
    </row>
    <row r="82" spans="1:105" ht="11.45" customHeight="1" x14ac:dyDescent="0.25">
      <c r="A82" s="138" t="s">
        <v>116</v>
      </c>
      <c r="B82" s="86">
        <v>490</v>
      </c>
      <c r="C82" s="86">
        <v>526</v>
      </c>
      <c r="D82" s="86">
        <v>553</v>
      </c>
      <c r="E82" s="86">
        <v>565</v>
      </c>
      <c r="F82" s="86">
        <v>668</v>
      </c>
      <c r="G82" s="86">
        <v>692</v>
      </c>
      <c r="H82" s="86">
        <v>743</v>
      </c>
      <c r="I82" s="86">
        <v>828</v>
      </c>
      <c r="J82" s="86">
        <v>794</v>
      </c>
      <c r="K82" s="86">
        <v>643</v>
      </c>
      <c r="L82" s="86">
        <v>649</v>
      </c>
      <c r="M82" s="86">
        <v>766</v>
      </c>
      <c r="N82" s="86">
        <v>780</v>
      </c>
      <c r="O82" s="86">
        <v>914</v>
      </c>
      <c r="P82" s="86">
        <v>916</v>
      </c>
      <c r="Q82" s="86">
        <v>1102</v>
      </c>
      <c r="R82" s="86">
        <v>1117</v>
      </c>
      <c r="S82" s="86">
        <v>1073</v>
      </c>
      <c r="T82" s="86">
        <v>1104</v>
      </c>
      <c r="U82" s="86">
        <v>1058</v>
      </c>
      <c r="V82" s="86">
        <v>1252</v>
      </c>
      <c r="W82" s="86">
        <v>1149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485783</v>
      </c>
      <c r="C84" s="54">
        <f t="shared" si="146"/>
        <v>477251</v>
      </c>
      <c r="D84" s="54">
        <f t="shared" ref="D84:V84" si="147">D85+D100</f>
        <v>471186</v>
      </c>
      <c r="E84" s="54">
        <f t="shared" si="147"/>
        <v>507680</v>
      </c>
      <c r="F84" s="54">
        <f t="shared" si="147"/>
        <v>543906</v>
      </c>
      <c r="G84" s="54">
        <f t="shared" si="147"/>
        <v>566494</v>
      </c>
      <c r="H84" s="54">
        <f t="shared" si="147"/>
        <v>579906</v>
      </c>
      <c r="I84" s="54">
        <f t="shared" si="147"/>
        <v>600686</v>
      </c>
      <c r="J84" s="54">
        <f t="shared" si="147"/>
        <v>634094</v>
      </c>
      <c r="K84" s="54">
        <f t="shared" si="147"/>
        <v>627025</v>
      </c>
      <c r="L84" s="54">
        <f t="shared" si="147"/>
        <v>635232</v>
      </c>
      <c r="M84" s="54">
        <f t="shared" si="147"/>
        <v>663237</v>
      </c>
      <c r="N84" s="54">
        <f t="shared" si="147"/>
        <v>707362</v>
      </c>
      <c r="O84" s="54">
        <f t="shared" si="147"/>
        <v>741461</v>
      </c>
      <c r="P84" s="54">
        <f t="shared" si="147"/>
        <v>773961</v>
      </c>
      <c r="Q84" s="54">
        <f t="shared" si="147"/>
        <v>806210</v>
      </c>
      <c r="R84" s="54">
        <f t="shared" si="147"/>
        <v>842493</v>
      </c>
      <c r="S84" s="54">
        <f t="shared" si="147"/>
        <v>875224</v>
      </c>
      <c r="T84" s="54">
        <f t="shared" si="147"/>
        <v>905727</v>
      </c>
      <c r="U84" s="54">
        <f t="shared" si="147"/>
        <v>967714</v>
      </c>
      <c r="V84" s="54">
        <f t="shared" si="147"/>
        <v>988938</v>
      </c>
      <c r="W84" s="54">
        <f t="shared" ref="W84" si="148">W85+W100</f>
        <v>1013537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425150</v>
      </c>
      <c r="C85" s="28">
        <f t="shared" si="149"/>
        <v>419862</v>
      </c>
      <c r="D85" s="28">
        <f t="shared" ref="D85:V85" si="150">D86+D87+D94</f>
        <v>413547</v>
      </c>
      <c r="E85" s="28">
        <f t="shared" si="150"/>
        <v>447604</v>
      </c>
      <c r="F85" s="28">
        <f t="shared" si="150"/>
        <v>485513</v>
      </c>
      <c r="G85" s="28">
        <f t="shared" si="150"/>
        <v>509355</v>
      </c>
      <c r="H85" s="28">
        <f t="shared" si="150"/>
        <v>522781</v>
      </c>
      <c r="I85" s="28">
        <f t="shared" si="150"/>
        <v>543249</v>
      </c>
      <c r="J85" s="28">
        <f t="shared" si="150"/>
        <v>573862</v>
      </c>
      <c r="K85" s="28">
        <f t="shared" si="150"/>
        <v>568436</v>
      </c>
      <c r="L85" s="28">
        <f t="shared" si="150"/>
        <v>576661</v>
      </c>
      <c r="M85" s="28">
        <f t="shared" si="150"/>
        <v>601487</v>
      </c>
      <c r="N85" s="28">
        <f t="shared" si="150"/>
        <v>641796</v>
      </c>
      <c r="O85" s="28">
        <f t="shared" si="150"/>
        <v>671871</v>
      </c>
      <c r="P85" s="28">
        <f t="shared" si="150"/>
        <v>699976</v>
      </c>
      <c r="Q85" s="28">
        <f t="shared" si="150"/>
        <v>726970</v>
      </c>
      <c r="R85" s="28">
        <f t="shared" si="150"/>
        <v>756888</v>
      </c>
      <c r="S85" s="28">
        <f t="shared" si="150"/>
        <v>782712</v>
      </c>
      <c r="T85" s="28">
        <f t="shared" si="150"/>
        <v>806070</v>
      </c>
      <c r="U85" s="28">
        <f t="shared" si="150"/>
        <v>857976</v>
      </c>
      <c r="V85" s="28">
        <f t="shared" si="150"/>
        <v>874593</v>
      </c>
      <c r="W85" s="28">
        <f t="shared" ref="W85" si="151">W86+W87+W94</f>
        <v>894880</v>
      </c>
      <c r="DA85" s="173"/>
    </row>
    <row r="86" spans="1:105" ht="11.45" hidden="1" customHeight="1" x14ac:dyDescent="0.25">
      <c r="A86" s="136" t="s">
        <v>180</v>
      </c>
      <c r="B86" s="137">
        <v>6700</v>
      </c>
      <c r="C86" s="137">
        <v>6800</v>
      </c>
      <c r="D86" s="137">
        <v>7300</v>
      </c>
      <c r="E86" s="137">
        <v>8100</v>
      </c>
      <c r="F86" s="137">
        <v>9100</v>
      </c>
      <c r="G86" s="137">
        <v>10234</v>
      </c>
      <c r="H86" s="137">
        <v>12594</v>
      </c>
      <c r="I86" s="137">
        <v>14780</v>
      </c>
      <c r="J86" s="137">
        <v>17622</v>
      </c>
      <c r="K86" s="137">
        <v>18600</v>
      </c>
      <c r="L86" s="137">
        <v>19700</v>
      </c>
      <c r="M86" s="137">
        <v>23217</v>
      </c>
      <c r="N86" s="137">
        <v>35273</v>
      </c>
      <c r="O86" s="137">
        <v>38700</v>
      </c>
      <c r="P86" s="137">
        <v>42300</v>
      </c>
      <c r="Q86" s="137">
        <v>45500</v>
      </c>
      <c r="R86" s="137">
        <v>48800</v>
      </c>
      <c r="S86" s="137">
        <v>51700</v>
      </c>
      <c r="T86" s="137">
        <v>54500</v>
      </c>
      <c r="U86" s="137">
        <v>57829</v>
      </c>
      <c r="V86" s="137">
        <v>60619</v>
      </c>
      <c r="W86" s="137">
        <v>63570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412391</v>
      </c>
      <c r="C87" s="110">
        <f t="shared" si="152"/>
        <v>407300</v>
      </c>
      <c r="D87" s="110">
        <f t="shared" ref="D87:V87" si="153">SUM(D88:D93)</f>
        <v>400700</v>
      </c>
      <c r="E87" s="110">
        <f t="shared" si="153"/>
        <v>434000</v>
      </c>
      <c r="F87" s="110">
        <f t="shared" si="153"/>
        <v>471000</v>
      </c>
      <c r="G87" s="110">
        <f t="shared" si="153"/>
        <v>493700</v>
      </c>
      <c r="H87" s="110">
        <f t="shared" si="153"/>
        <v>504686</v>
      </c>
      <c r="I87" s="110">
        <f t="shared" si="153"/>
        <v>523800</v>
      </c>
      <c r="J87" s="110">
        <f t="shared" si="153"/>
        <v>551800</v>
      </c>
      <c r="K87" s="110">
        <f t="shared" si="153"/>
        <v>545600</v>
      </c>
      <c r="L87" s="110">
        <f t="shared" si="153"/>
        <v>552680</v>
      </c>
      <c r="M87" s="110">
        <f t="shared" si="153"/>
        <v>574000</v>
      </c>
      <c r="N87" s="110">
        <f t="shared" si="153"/>
        <v>602100</v>
      </c>
      <c r="O87" s="110">
        <f t="shared" si="153"/>
        <v>628565</v>
      </c>
      <c r="P87" s="110">
        <f t="shared" si="153"/>
        <v>652950</v>
      </c>
      <c r="Q87" s="110">
        <f t="shared" si="153"/>
        <v>676596</v>
      </c>
      <c r="R87" s="110">
        <f t="shared" si="153"/>
        <v>703151</v>
      </c>
      <c r="S87" s="110">
        <f t="shared" si="153"/>
        <v>725944</v>
      </c>
      <c r="T87" s="110">
        <f t="shared" si="153"/>
        <v>746464</v>
      </c>
      <c r="U87" s="110">
        <f t="shared" si="153"/>
        <v>794926</v>
      </c>
      <c r="V87" s="110">
        <f t="shared" si="153"/>
        <v>808689</v>
      </c>
      <c r="W87" s="110">
        <f t="shared" ref="W87" si="154">SUM(W88:W93)</f>
        <v>825936</v>
      </c>
      <c r="DA87" s="176"/>
    </row>
    <row r="88" spans="1:105" ht="11.45" hidden="1" customHeight="1" x14ac:dyDescent="0.25">
      <c r="A88" s="111" t="s">
        <v>110</v>
      </c>
      <c r="B88" s="84">
        <v>379547</v>
      </c>
      <c r="C88" s="84">
        <v>363526</v>
      </c>
      <c r="D88" s="84">
        <v>354487</v>
      </c>
      <c r="E88" s="84">
        <v>379778</v>
      </c>
      <c r="F88" s="84">
        <v>403236</v>
      </c>
      <c r="G88" s="84">
        <v>413971</v>
      </c>
      <c r="H88" s="84">
        <v>409751</v>
      </c>
      <c r="I88" s="84">
        <v>406614</v>
      </c>
      <c r="J88" s="84">
        <v>422297</v>
      </c>
      <c r="K88" s="84">
        <v>415834</v>
      </c>
      <c r="L88" s="84">
        <v>414234</v>
      </c>
      <c r="M88" s="84">
        <v>418388</v>
      </c>
      <c r="N88" s="84">
        <v>422219</v>
      </c>
      <c r="O88" s="84">
        <v>424062</v>
      </c>
      <c r="P88" s="84">
        <v>426330</v>
      </c>
      <c r="Q88" s="84">
        <v>431242</v>
      </c>
      <c r="R88" s="84">
        <v>439631</v>
      </c>
      <c r="S88" s="84">
        <v>445229</v>
      </c>
      <c r="T88" s="84">
        <v>447667</v>
      </c>
      <c r="U88" s="84">
        <v>468342</v>
      </c>
      <c r="V88" s="84">
        <v>466077</v>
      </c>
      <c r="W88" s="84">
        <v>465834</v>
      </c>
      <c r="DA88" s="171"/>
    </row>
    <row r="89" spans="1:105" ht="11.45" hidden="1" customHeight="1" x14ac:dyDescent="0.25">
      <c r="A89" s="111" t="s">
        <v>111</v>
      </c>
      <c r="B89" s="84">
        <v>32244</v>
      </c>
      <c r="C89" s="84">
        <v>43144</v>
      </c>
      <c r="D89" s="84">
        <v>45521</v>
      </c>
      <c r="E89" s="84">
        <v>53399</v>
      </c>
      <c r="F89" s="84">
        <v>66873</v>
      </c>
      <c r="G89" s="84">
        <v>78623</v>
      </c>
      <c r="H89" s="84">
        <v>93468</v>
      </c>
      <c r="I89" s="84">
        <v>115919</v>
      </c>
      <c r="J89" s="84">
        <v>127935</v>
      </c>
      <c r="K89" s="84">
        <v>127979</v>
      </c>
      <c r="L89" s="84">
        <v>136656</v>
      </c>
      <c r="M89" s="84">
        <v>153401</v>
      </c>
      <c r="N89" s="84">
        <v>176313</v>
      </c>
      <c r="O89" s="84">
        <v>200257</v>
      </c>
      <c r="P89" s="84">
        <v>221229</v>
      </c>
      <c r="Q89" s="84">
        <v>239465</v>
      </c>
      <c r="R89" s="84">
        <v>256381</v>
      </c>
      <c r="S89" s="84">
        <v>272267</v>
      </c>
      <c r="T89" s="84">
        <v>288120</v>
      </c>
      <c r="U89" s="84">
        <v>308978</v>
      </c>
      <c r="V89" s="84">
        <v>318254</v>
      </c>
      <c r="W89" s="84">
        <v>330598</v>
      </c>
      <c r="DA89" s="171"/>
    </row>
    <row r="90" spans="1:105" ht="11.45" hidden="1" customHeight="1" x14ac:dyDescent="0.25">
      <c r="A90" s="111" t="s">
        <v>112</v>
      </c>
      <c r="B90" s="84">
        <v>600</v>
      </c>
      <c r="C90" s="84">
        <v>630</v>
      </c>
      <c r="D90" s="84">
        <v>692</v>
      </c>
      <c r="E90" s="84">
        <v>823</v>
      </c>
      <c r="F90" s="84">
        <v>891</v>
      </c>
      <c r="G90" s="84">
        <v>1106</v>
      </c>
      <c r="H90" s="84">
        <v>1467</v>
      </c>
      <c r="I90" s="84">
        <v>1267</v>
      </c>
      <c r="J90" s="84">
        <v>1567</v>
      </c>
      <c r="K90" s="84">
        <v>1786</v>
      </c>
      <c r="L90" s="84">
        <v>1786</v>
      </c>
      <c r="M90" s="84">
        <v>2148</v>
      </c>
      <c r="N90" s="84">
        <v>2954</v>
      </c>
      <c r="O90" s="84">
        <v>3421</v>
      </c>
      <c r="P90" s="84">
        <v>4065</v>
      </c>
      <c r="Q90" s="84">
        <v>4365</v>
      </c>
      <c r="R90" s="84">
        <v>5079</v>
      </c>
      <c r="S90" s="84">
        <v>5947</v>
      </c>
      <c r="T90" s="84">
        <v>6938</v>
      </c>
      <c r="U90" s="84">
        <v>8341</v>
      </c>
      <c r="V90" s="84">
        <v>8965</v>
      </c>
      <c r="W90" s="84">
        <v>8965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2</v>
      </c>
      <c r="M91" s="84">
        <v>7</v>
      </c>
      <c r="N91" s="84">
        <v>14</v>
      </c>
      <c r="O91" s="84">
        <v>117</v>
      </c>
      <c r="P91" s="84">
        <v>233</v>
      </c>
      <c r="Q91" s="84">
        <v>383</v>
      </c>
      <c r="R91" s="84">
        <v>873</v>
      </c>
      <c r="S91" s="84">
        <v>1267</v>
      </c>
      <c r="T91" s="84">
        <v>2352</v>
      </c>
      <c r="U91" s="84">
        <v>7644</v>
      </c>
      <c r="V91" s="84">
        <v>13346</v>
      </c>
      <c r="W91" s="84">
        <v>17439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0</v>
      </c>
      <c r="P92" s="84">
        <v>26</v>
      </c>
      <c r="Q92" s="84">
        <v>42</v>
      </c>
      <c r="R92" s="84">
        <v>57</v>
      </c>
      <c r="S92" s="84">
        <v>80</v>
      </c>
      <c r="T92" s="84">
        <v>129</v>
      </c>
      <c r="U92" s="84">
        <v>155</v>
      </c>
      <c r="V92" s="84">
        <v>278</v>
      </c>
      <c r="W92" s="84">
        <v>840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1</v>
      </c>
      <c r="K93" s="84">
        <v>1</v>
      </c>
      <c r="L93" s="84">
        <v>2</v>
      </c>
      <c r="M93" s="84">
        <v>56</v>
      </c>
      <c r="N93" s="84">
        <v>600</v>
      </c>
      <c r="O93" s="84">
        <v>708</v>
      </c>
      <c r="P93" s="84">
        <v>1067</v>
      </c>
      <c r="Q93" s="84">
        <v>1099</v>
      </c>
      <c r="R93" s="84">
        <v>1130</v>
      </c>
      <c r="S93" s="84">
        <v>1154</v>
      </c>
      <c r="T93" s="84">
        <v>1258</v>
      </c>
      <c r="U93" s="84">
        <v>1466</v>
      </c>
      <c r="V93" s="84">
        <v>1769</v>
      </c>
      <c r="W93" s="84">
        <v>2260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6059</v>
      </c>
      <c r="C94" s="110">
        <f t="shared" si="155"/>
        <v>5762</v>
      </c>
      <c r="D94" s="110">
        <f t="shared" ref="D94:V94" si="156">SUM(D95:D99)</f>
        <v>5547</v>
      </c>
      <c r="E94" s="110">
        <f t="shared" si="156"/>
        <v>5504</v>
      </c>
      <c r="F94" s="110">
        <f t="shared" si="156"/>
        <v>5413</v>
      </c>
      <c r="G94" s="110">
        <f t="shared" si="156"/>
        <v>5421</v>
      </c>
      <c r="H94" s="110">
        <f t="shared" si="156"/>
        <v>5501</v>
      </c>
      <c r="I94" s="110">
        <f t="shared" si="156"/>
        <v>4669</v>
      </c>
      <c r="J94" s="110">
        <f t="shared" si="156"/>
        <v>4440</v>
      </c>
      <c r="K94" s="110">
        <f t="shared" si="156"/>
        <v>4236</v>
      </c>
      <c r="L94" s="110">
        <f t="shared" si="156"/>
        <v>4281</v>
      </c>
      <c r="M94" s="110">
        <f t="shared" si="156"/>
        <v>4270</v>
      </c>
      <c r="N94" s="110">
        <f t="shared" si="156"/>
        <v>4423</v>
      </c>
      <c r="O94" s="110">
        <f t="shared" si="156"/>
        <v>4606</v>
      </c>
      <c r="P94" s="110">
        <f t="shared" si="156"/>
        <v>4726</v>
      </c>
      <c r="Q94" s="110">
        <f t="shared" si="156"/>
        <v>4874</v>
      </c>
      <c r="R94" s="110">
        <f t="shared" si="156"/>
        <v>4937</v>
      </c>
      <c r="S94" s="110">
        <f t="shared" si="156"/>
        <v>5068</v>
      </c>
      <c r="T94" s="110">
        <f t="shared" si="156"/>
        <v>5106</v>
      </c>
      <c r="U94" s="110">
        <f t="shared" si="156"/>
        <v>5221</v>
      </c>
      <c r="V94" s="110">
        <f t="shared" si="156"/>
        <v>5285</v>
      </c>
      <c r="W94" s="110">
        <f t="shared" ref="W94" si="157">SUM(W95:W99)</f>
        <v>5374</v>
      </c>
      <c r="DA94" s="176"/>
    </row>
    <row r="95" spans="1:105" ht="11.45" hidden="1" customHeight="1" x14ac:dyDescent="0.25">
      <c r="A95" s="111" t="s">
        <v>110</v>
      </c>
      <c r="B95" s="102">
        <v>2583</v>
      </c>
      <c r="C95" s="102">
        <v>2259</v>
      </c>
      <c r="D95" s="102">
        <v>1939</v>
      </c>
      <c r="E95" s="102">
        <v>1630</v>
      </c>
      <c r="F95" s="102">
        <v>1450</v>
      </c>
      <c r="G95" s="102">
        <v>1141</v>
      </c>
      <c r="H95" s="102">
        <v>1141</v>
      </c>
      <c r="I95" s="102">
        <v>639</v>
      </c>
      <c r="J95" s="102">
        <v>470</v>
      </c>
      <c r="K95" s="102">
        <v>335</v>
      </c>
      <c r="L95" s="102">
        <v>269</v>
      </c>
      <c r="M95" s="102">
        <v>250</v>
      </c>
      <c r="N95" s="102">
        <v>240</v>
      </c>
      <c r="O95" s="102">
        <v>231</v>
      </c>
      <c r="P95" s="102">
        <v>225</v>
      </c>
      <c r="Q95" s="102">
        <v>217</v>
      </c>
      <c r="R95" s="102">
        <v>211</v>
      </c>
      <c r="S95" s="102">
        <v>212</v>
      </c>
      <c r="T95" s="102">
        <v>212</v>
      </c>
      <c r="U95" s="102">
        <v>219</v>
      </c>
      <c r="V95" s="102">
        <v>214</v>
      </c>
      <c r="W95" s="102">
        <v>213</v>
      </c>
      <c r="DA95" s="175"/>
    </row>
    <row r="96" spans="1:105" ht="11.45" hidden="1" customHeight="1" x14ac:dyDescent="0.25">
      <c r="A96" s="111" t="s">
        <v>111</v>
      </c>
      <c r="B96" s="102">
        <v>3476</v>
      </c>
      <c r="C96" s="102">
        <v>3503</v>
      </c>
      <c r="D96" s="102">
        <v>3608</v>
      </c>
      <c r="E96" s="102">
        <v>3874</v>
      </c>
      <c r="F96" s="102">
        <v>3963</v>
      </c>
      <c r="G96" s="102">
        <v>4280</v>
      </c>
      <c r="H96" s="102">
        <v>4360</v>
      </c>
      <c r="I96" s="102">
        <v>4030</v>
      </c>
      <c r="J96" s="102">
        <v>3970</v>
      </c>
      <c r="K96" s="102">
        <v>3901</v>
      </c>
      <c r="L96" s="102">
        <v>3896</v>
      </c>
      <c r="M96" s="102">
        <v>3899</v>
      </c>
      <c r="N96" s="102">
        <v>4063</v>
      </c>
      <c r="O96" s="102">
        <v>4250</v>
      </c>
      <c r="P96" s="102">
        <v>4364</v>
      </c>
      <c r="Q96" s="102">
        <v>4504</v>
      </c>
      <c r="R96" s="102">
        <v>4557</v>
      </c>
      <c r="S96" s="102">
        <v>4652</v>
      </c>
      <c r="T96" s="102">
        <v>4656</v>
      </c>
      <c r="U96" s="102">
        <v>4731</v>
      </c>
      <c r="V96" s="102">
        <v>4704</v>
      </c>
      <c r="W96" s="102">
        <v>4660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1</v>
      </c>
      <c r="U97" s="102">
        <v>1</v>
      </c>
      <c r="V97" s="102">
        <v>1</v>
      </c>
      <c r="W97" s="102">
        <v>1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2</v>
      </c>
      <c r="M98" s="102">
        <v>7</v>
      </c>
      <c r="N98" s="102">
        <v>8</v>
      </c>
      <c r="O98" s="102">
        <v>15</v>
      </c>
      <c r="P98" s="102">
        <v>30</v>
      </c>
      <c r="Q98" s="102">
        <v>50</v>
      </c>
      <c r="R98" s="102">
        <v>71</v>
      </c>
      <c r="S98" s="102">
        <v>111</v>
      </c>
      <c r="T98" s="102">
        <v>151</v>
      </c>
      <c r="U98" s="102">
        <v>191</v>
      </c>
      <c r="V98" s="102">
        <v>295</v>
      </c>
      <c r="W98" s="102">
        <v>436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114</v>
      </c>
      <c r="M99" s="102">
        <v>114</v>
      </c>
      <c r="N99" s="102">
        <v>112</v>
      </c>
      <c r="O99" s="102">
        <v>110</v>
      </c>
      <c r="P99" s="102">
        <v>107</v>
      </c>
      <c r="Q99" s="102">
        <v>103</v>
      </c>
      <c r="R99" s="102">
        <v>98</v>
      </c>
      <c r="S99" s="102">
        <v>93</v>
      </c>
      <c r="T99" s="102">
        <v>86</v>
      </c>
      <c r="U99" s="102">
        <v>79</v>
      </c>
      <c r="V99" s="102">
        <v>71</v>
      </c>
      <c r="W99" s="102">
        <v>64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60633</v>
      </c>
      <c r="C100" s="28">
        <f t="shared" si="158"/>
        <v>57389</v>
      </c>
      <c r="D100" s="28">
        <f t="shared" ref="D100:V100" si="159">D101+D107</f>
        <v>57639</v>
      </c>
      <c r="E100" s="28">
        <f t="shared" si="159"/>
        <v>60076</v>
      </c>
      <c r="F100" s="28">
        <f t="shared" si="159"/>
        <v>58393</v>
      </c>
      <c r="G100" s="28">
        <f t="shared" si="159"/>
        <v>57139</v>
      </c>
      <c r="H100" s="28">
        <f t="shared" si="159"/>
        <v>57125</v>
      </c>
      <c r="I100" s="28">
        <f t="shared" si="159"/>
        <v>57437</v>
      </c>
      <c r="J100" s="28">
        <f t="shared" si="159"/>
        <v>60232</v>
      </c>
      <c r="K100" s="28">
        <f t="shared" si="159"/>
        <v>58589</v>
      </c>
      <c r="L100" s="28">
        <f t="shared" si="159"/>
        <v>58571</v>
      </c>
      <c r="M100" s="28">
        <f t="shared" si="159"/>
        <v>61750</v>
      </c>
      <c r="N100" s="28">
        <f t="shared" si="159"/>
        <v>65566</v>
      </c>
      <c r="O100" s="28">
        <f t="shared" si="159"/>
        <v>69590</v>
      </c>
      <c r="P100" s="28">
        <f t="shared" si="159"/>
        <v>73985</v>
      </c>
      <c r="Q100" s="28">
        <f t="shared" si="159"/>
        <v>79240</v>
      </c>
      <c r="R100" s="28">
        <f t="shared" si="159"/>
        <v>85605</v>
      </c>
      <c r="S100" s="28">
        <f t="shared" si="159"/>
        <v>92512</v>
      </c>
      <c r="T100" s="28">
        <f t="shared" si="159"/>
        <v>99657</v>
      </c>
      <c r="U100" s="28">
        <f t="shared" si="159"/>
        <v>109738</v>
      </c>
      <c r="V100" s="28">
        <f t="shared" si="159"/>
        <v>114345</v>
      </c>
      <c r="W100" s="28">
        <f t="shared" ref="W100" si="160">W101+W107</f>
        <v>118657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53598</v>
      </c>
      <c r="C101" s="137">
        <f t="shared" si="161"/>
        <v>52063</v>
      </c>
      <c r="D101" s="137">
        <f t="shared" ref="D101:V101" si="162">SUM(D102:D106)</f>
        <v>50346</v>
      </c>
      <c r="E101" s="137">
        <f t="shared" si="162"/>
        <v>48721</v>
      </c>
      <c r="F101" s="137">
        <f t="shared" si="162"/>
        <v>46847</v>
      </c>
      <c r="G101" s="137">
        <f t="shared" si="162"/>
        <v>45141</v>
      </c>
      <c r="H101" s="137">
        <f t="shared" si="162"/>
        <v>44036</v>
      </c>
      <c r="I101" s="137">
        <f t="shared" si="162"/>
        <v>43724</v>
      </c>
      <c r="J101" s="137">
        <f t="shared" si="162"/>
        <v>45882</v>
      </c>
      <c r="K101" s="137">
        <f t="shared" si="162"/>
        <v>46226</v>
      </c>
      <c r="L101" s="137">
        <f t="shared" si="162"/>
        <v>47069</v>
      </c>
      <c r="M101" s="137">
        <f t="shared" si="162"/>
        <v>49341</v>
      </c>
      <c r="N101" s="137">
        <f t="shared" si="162"/>
        <v>52398</v>
      </c>
      <c r="O101" s="137">
        <f t="shared" si="162"/>
        <v>57420</v>
      </c>
      <c r="P101" s="137">
        <f t="shared" si="162"/>
        <v>61232</v>
      </c>
      <c r="Q101" s="137">
        <f t="shared" si="162"/>
        <v>65986</v>
      </c>
      <c r="R101" s="137">
        <f t="shared" si="162"/>
        <v>71435</v>
      </c>
      <c r="S101" s="137">
        <f t="shared" si="162"/>
        <v>77118</v>
      </c>
      <c r="T101" s="137">
        <f t="shared" si="162"/>
        <v>83313</v>
      </c>
      <c r="U101" s="137">
        <f t="shared" si="162"/>
        <v>90759</v>
      </c>
      <c r="V101" s="137">
        <f t="shared" si="162"/>
        <v>94746</v>
      </c>
      <c r="W101" s="137">
        <f t="shared" ref="W101" si="163">SUM(W102:W106)</f>
        <v>99088</v>
      </c>
      <c r="DA101" s="174"/>
    </row>
    <row r="102" spans="1:105" ht="11.45" hidden="1" customHeight="1" x14ac:dyDescent="0.25">
      <c r="A102" s="111" t="s">
        <v>110</v>
      </c>
      <c r="B102" s="84">
        <v>14032</v>
      </c>
      <c r="C102" s="84">
        <v>13744</v>
      </c>
      <c r="D102" s="84">
        <v>13398</v>
      </c>
      <c r="E102" s="84">
        <v>12873</v>
      </c>
      <c r="F102" s="84">
        <v>12389</v>
      </c>
      <c r="G102" s="84">
        <v>11981</v>
      </c>
      <c r="H102" s="84">
        <v>11509</v>
      </c>
      <c r="I102" s="84">
        <v>10978</v>
      </c>
      <c r="J102" s="84">
        <v>12103</v>
      </c>
      <c r="K102" s="84">
        <v>12295</v>
      </c>
      <c r="L102" s="84">
        <v>12142</v>
      </c>
      <c r="M102" s="84">
        <v>12319</v>
      </c>
      <c r="N102" s="84">
        <v>12363</v>
      </c>
      <c r="O102" s="84">
        <v>11979</v>
      </c>
      <c r="P102" s="84">
        <v>12024</v>
      </c>
      <c r="Q102" s="84">
        <v>12341</v>
      </c>
      <c r="R102" s="84">
        <v>12697</v>
      </c>
      <c r="S102" s="84">
        <v>13022</v>
      </c>
      <c r="T102" s="84">
        <v>13401</v>
      </c>
      <c r="U102" s="84">
        <v>14047</v>
      </c>
      <c r="V102" s="84">
        <v>14243</v>
      </c>
      <c r="W102" s="84">
        <v>14194</v>
      </c>
      <c r="DA102" s="171"/>
    </row>
    <row r="103" spans="1:105" ht="11.45" hidden="1" customHeight="1" x14ac:dyDescent="0.25">
      <c r="A103" s="111" t="s">
        <v>111</v>
      </c>
      <c r="B103" s="84">
        <v>39566</v>
      </c>
      <c r="C103" s="84">
        <v>38319</v>
      </c>
      <c r="D103" s="84">
        <v>36948</v>
      </c>
      <c r="E103" s="84">
        <v>35848</v>
      </c>
      <c r="F103" s="84">
        <v>34458</v>
      </c>
      <c r="G103" s="84">
        <v>33160</v>
      </c>
      <c r="H103" s="84">
        <v>32527</v>
      </c>
      <c r="I103" s="84">
        <v>32744</v>
      </c>
      <c r="J103" s="84">
        <v>33777</v>
      </c>
      <c r="K103" s="84">
        <v>33929</v>
      </c>
      <c r="L103" s="84">
        <v>34925</v>
      </c>
      <c r="M103" s="84">
        <v>37020</v>
      </c>
      <c r="N103" s="84">
        <v>40031</v>
      </c>
      <c r="O103" s="84">
        <v>45386</v>
      </c>
      <c r="P103" s="84">
        <v>49133</v>
      </c>
      <c r="Q103" s="84">
        <v>53542</v>
      </c>
      <c r="R103" s="84">
        <v>58622</v>
      </c>
      <c r="S103" s="84">
        <v>63883</v>
      </c>
      <c r="T103" s="84">
        <v>69645</v>
      </c>
      <c r="U103" s="84">
        <v>76390</v>
      </c>
      <c r="V103" s="84">
        <v>80100</v>
      </c>
      <c r="W103" s="84">
        <v>84491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1</v>
      </c>
      <c r="S104" s="84">
        <v>13</v>
      </c>
      <c r="T104" s="84">
        <v>16</v>
      </c>
      <c r="U104" s="84">
        <v>21</v>
      </c>
      <c r="V104" s="84">
        <v>20</v>
      </c>
      <c r="W104" s="84">
        <v>20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1</v>
      </c>
      <c r="O105" s="84">
        <v>48</v>
      </c>
      <c r="P105" s="84">
        <v>61</v>
      </c>
      <c r="Q105" s="84">
        <v>87</v>
      </c>
      <c r="R105" s="84">
        <v>86</v>
      </c>
      <c r="S105" s="84">
        <v>170</v>
      </c>
      <c r="T105" s="84">
        <v>220</v>
      </c>
      <c r="U105" s="84">
        <v>270</v>
      </c>
      <c r="V105" s="84">
        <v>350</v>
      </c>
      <c r="W105" s="84">
        <v>350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2</v>
      </c>
      <c r="J106" s="84">
        <v>2</v>
      </c>
      <c r="K106" s="84">
        <v>2</v>
      </c>
      <c r="L106" s="84">
        <v>2</v>
      </c>
      <c r="M106" s="84">
        <v>2</v>
      </c>
      <c r="N106" s="84">
        <v>3</v>
      </c>
      <c r="O106" s="84">
        <v>7</v>
      </c>
      <c r="P106" s="84">
        <v>14</v>
      </c>
      <c r="Q106" s="84">
        <v>16</v>
      </c>
      <c r="R106" s="84">
        <v>29</v>
      </c>
      <c r="S106" s="84">
        <v>30</v>
      </c>
      <c r="T106" s="84">
        <v>31</v>
      </c>
      <c r="U106" s="84">
        <v>31</v>
      </c>
      <c r="V106" s="84">
        <v>33</v>
      </c>
      <c r="W106" s="84">
        <v>33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7035</v>
      </c>
      <c r="C107" s="110">
        <f t="shared" si="164"/>
        <v>5326</v>
      </c>
      <c r="D107" s="110">
        <f t="shared" ref="D107:V107" si="165">SUM(D108:D109)</f>
        <v>7293</v>
      </c>
      <c r="E107" s="110">
        <f t="shared" si="165"/>
        <v>11355</v>
      </c>
      <c r="F107" s="110">
        <f t="shared" si="165"/>
        <v>11546</v>
      </c>
      <c r="G107" s="110">
        <f t="shared" si="165"/>
        <v>11998</v>
      </c>
      <c r="H107" s="110">
        <f t="shared" si="165"/>
        <v>13089</v>
      </c>
      <c r="I107" s="110">
        <f t="shared" si="165"/>
        <v>13713</v>
      </c>
      <c r="J107" s="110">
        <f t="shared" si="165"/>
        <v>14350</v>
      </c>
      <c r="K107" s="110">
        <f t="shared" si="165"/>
        <v>12363</v>
      </c>
      <c r="L107" s="110">
        <f t="shared" si="165"/>
        <v>11502</v>
      </c>
      <c r="M107" s="110">
        <f t="shared" si="165"/>
        <v>12409</v>
      </c>
      <c r="N107" s="110">
        <f t="shared" si="165"/>
        <v>13168</v>
      </c>
      <c r="O107" s="110">
        <f t="shared" si="165"/>
        <v>12170</v>
      </c>
      <c r="P107" s="110">
        <f t="shared" si="165"/>
        <v>12753</v>
      </c>
      <c r="Q107" s="110">
        <f t="shared" si="165"/>
        <v>13254</v>
      </c>
      <c r="R107" s="110">
        <f t="shared" si="165"/>
        <v>14170</v>
      </c>
      <c r="S107" s="110">
        <f t="shared" si="165"/>
        <v>15394</v>
      </c>
      <c r="T107" s="110">
        <f t="shared" si="165"/>
        <v>16344</v>
      </c>
      <c r="U107" s="110">
        <f t="shared" si="165"/>
        <v>18979</v>
      </c>
      <c r="V107" s="110">
        <f t="shared" si="165"/>
        <v>19599</v>
      </c>
      <c r="W107" s="110">
        <f t="shared" ref="W107" si="166">SUM(W108:W109)</f>
        <v>19569</v>
      </c>
      <c r="DA107" s="176"/>
    </row>
    <row r="108" spans="1:105" ht="11.45" hidden="1" customHeight="1" x14ac:dyDescent="0.25">
      <c r="A108" s="128" t="s">
        <v>27</v>
      </c>
      <c r="B108" s="102">
        <v>6545</v>
      </c>
      <c r="C108" s="102">
        <v>4800</v>
      </c>
      <c r="D108" s="102">
        <v>6740</v>
      </c>
      <c r="E108" s="102">
        <v>10790</v>
      </c>
      <c r="F108" s="102">
        <v>10878</v>
      </c>
      <c r="G108" s="102">
        <v>11306</v>
      </c>
      <c r="H108" s="102">
        <v>12346</v>
      </c>
      <c r="I108" s="102">
        <v>12885</v>
      </c>
      <c r="J108" s="102">
        <v>13556</v>
      </c>
      <c r="K108" s="102">
        <v>11720</v>
      </c>
      <c r="L108" s="102">
        <v>10853</v>
      </c>
      <c r="M108" s="102">
        <v>11643</v>
      </c>
      <c r="N108" s="102">
        <v>12388</v>
      </c>
      <c r="O108" s="102">
        <v>11256</v>
      </c>
      <c r="P108" s="102">
        <v>11837</v>
      </c>
      <c r="Q108" s="102">
        <v>12152</v>
      </c>
      <c r="R108" s="102">
        <v>13053</v>
      </c>
      <c r="S108" s="102">
        <v>14321</v>
      </c>
      <c r="T108" s="102">
        <v>15240</v>
      </c>
      <c r="U108" s="102">
        <v>17921</v>
      </c>
      <c r="V108" s="102">
        <v>18347</v>
      </c>
      <c r="W108" s="102">
        <v>18420</v>
      </c>
      <c r="DA108" s="175"/>
    </row>
    <row r="109" spans="1:105" ht="11.45" hidden="1" customHeight="1" x14ac:dyDescent="0.25">
      <c r="A109" s="138" t="s">
        <v>116</v>
      </c>
      <c r="B109" s="86">
        <v>490</v>
      </c>
      <c r="C109" s="86">
        <v>526</v>
      </c>
      <c r="D109" s="86">
        <v>553</v>
      </c>
      <c r="E109" s="86">
        <v>565</v>
      </c>
      <c r="F109" s="86">
        <v>668</v>
      </c>
      <c r="G109" s="86">
        <v>692</v>
      </c>
      <c r="H109" s="86">
        <v>743</v>
      </c>
      <c r="I109" s="86">
        <v>828</v>
      </c>
      <c r="J109" s="86">
        <v>794</v>
      </c>
      <c r="K109" s="86">
        <v>643</v>
      </c>
      <c r="L109" s="86">
        <v>649</v>
      </c>
      <c r="M109" s="86">
        <v>766</v>
      </c>
      <c r="N109" s="86">
        <v>780</v>
      </c>
      <c r="O109" s="86">
        <v>914</v>
      </c>
      <c r="P109" s="86">
        <v>916</v>
      </c>
      <c r="Q109" s="86">
        <v>1102</v>
      </c>
      <c r="R109" s="86">
        <v>1117</v>
      </c>
      <c r="S109" s="86">
        <v>1073</v>
      </c>
      <c r="T109" s="86">
        <v>1104</v>
      </c>
      <c r="U109" s="86">
        <v>1058</v>
      </c>
      <c r="V109" s="86">
        <v>1252</v>
      </c>
      <c r="W109" s="86">
        <v>1149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27741</v>
      </c>
      <c r="C111" s="54">
        <f t="shared" si="167"/>
        <v>37946</v>
      </c>
      <c r="D111" s="54">
        <f t="shared" si="167"/>
        <v>33696</v>
      </c>
      <c r="E111" s="54">
        <f t="shared" si="167"/>
        <v>55675</v>
      </c>
      <c r="F111" s="54">
        <f t="shared" si="167"/>
        <v>58183</v>
      </c>
      <c r="G111" s="54">
        <f t="shared" si="167"/>
        <v>55264</v>
      </c>
      <c r="H111" s="54">
        <f t="shared" si="167"/>
        <v>60695</v>
      </c>
      <c r="I111" s="54">
        <f t="shared" si="167"/>
        <v>71053</v>
      </c>
      <c r="J111" s="54">
        <f t="shared" si="167"/>
        <v>59159</v>
      </c>
      <c r="K111" s="54">
        <f t="shared" si="167"/>
        <v>34905</v>
      </c>
      <c r="L111" s="54">
        <f t="shared" ref="L111" si="168">L112+L127</f>
        <v>41151</v>
      </c>
      <c r="M111" s="54">
        <f t="shared" ref="M111:V111" si="169">M112+M127</f>
        <v>59102</v>
      </c>
      <c r="N111" s="54">
        <f t="shared" si="169"/>
        <v>77534</v>
      </c>
      <c r="O111" s="54">
        <f t="shared" si="169"/>
        <v>72576</v>
      </c>
      <c r="P111" s="54">
        <f t="shared" si="169"/>
        <v>71215</v>
      </c>
      <c r="Q111" s="54">
        <f t="shared" si="169"/>
        <v>69944</v>
      </c>
      <c r="R111" s="54">
        <f t="shared" si="169"/>
        <v>74334</v>
      </c>
      <c r="S111" s="54">
        <f t="shared" si="169"/>
        <v>77025</v>
      </c>
      <c r="T111" s="54">
        <f t="shared" si="169"/>
        <v>79637</v>
      </c>
      <c r="U111" s="54">
        <f t="shared" si="169"/>
        <v>95978</v>
      </c>
      <c r="V111" s="54">
        <f t="shared" si="169"/>
        <v>73144</v>
      </c>
      <c r="W111" s="54">
        <f t="shared" ref="W111" si="170">W112+W127</f>
        <v>83960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26124</v>
      </c>
      <c r="C112" s="28">
        <f t="shared" si="171"/>
        <v>36108</v>
      </c>
      <c r="D112" s="28">
        <f t="shared" si="171"/>
        <v>29949</v>
      </c>
      <c r="E112" s="28">
        <f t="shared" si="171"/>
        <v>49373</v>
      </c>
      <c r="F112" s="28">
        <f t="shared" si="171"/>
        <v>54342</v>
      </c>
      <c r="G112" s="28">
        <f t="shared" si="171"/>
        <v>51661</v>
      </c>
      <c r="H112" s="28">
        <f t="shared" si="171"/>
        <v>55718</v>
      </c>
      <c r="I112" s="28">
        <f t="shared" si="171"/>
        <v>65039</v>
      </c>
      <c r="J112" s="28">
        <f t="shared" si="171"/>
        <v>52567</v>
      </c>
      <c r="K112" s="28">
        <f t="shared" si="171"/>
        <v>29771</v>
      </c>
      <c r="L112" s="28">
        <f t="shared" ref="L112" si="172">L113+L114+L121</f>
        <v>35851</v>
      </c>
      <c r="M112" s="28">
        <f t="shared" ref="M112:V112" si="173">M113+M114+M121</f>
        <v>52000</v>
      </c>
      <c r="N112" s="28">
        <f t="shared" si="173"/>
        <v>69871</v>
      </c>
      <c r="O112" s="28">
        <f t="shared" si="173"/>
        <v>63765</v>
      </c>
      <c r="P112" s="28">
        <f t="shared" si="173"/>
        <v>62080</v>
      </c>
      <c r="Q112" s="28">
        <f t="shared" si="173"/>
        <v>60181</v>
      </c>
      <c r="R112" s="28">
        <f t="shared" si="173"/>
        <v>63551</v>
      </c>
      <c r="S112" s="28">
        <f t="shared" si="173"/>
        <v>65867</v>
      </c>
      <c r="T112" s="28">
        <f t="shared" si="173"/>
        <v>67911</v>
      </c>
      <c r="U112" s="28">
        <f t="shared" si="173"/>
        <v>81610</v>
      </c>
      <c r="V112" s="28">
        <f t="shared" si="173"/>
        <v>62586</v>
      </c>
      <c r="W112" s="28">
        <f t="shared" ref="W112" si="174">W113+W114+W121</f>
        <v>73326</v>
      </c>
      <c r="DA112" s="173" t="s">
        <v>526</v>
      </c>
    </row>
    <row r="113" spans="1:105" ht="11.45" customHeight="1" x14ac:dyDescent="0.25">
      <c r="A113" s="136" t="s">
        <v>180</v>
      </c>
      <c r="B113" s="137">
        <v>56</v>
      </c>
      <c r="C113" s="137">
        <v>211</v>
      </c>
      <c r="D113" s="137">
        <v>632</v>
      </c>
      <c r="E113" s="137">
        <v>956</v>
      </c>
      <c r="F113" s="137">
        <v>1178</v>
      </c>
      <c r="G113" s="137">
        <v>1335</v>
      </c>
      <c r="H113" s="137">
        <v>2640</v>
      </c>
      <c r="I113" s="137">
        <v>2494</v>
      </c>
      <c r="J113" s="137">
        <v>3217</v>
      </c>
      <c r="K113" s="137">
        <v>1304</v>
      </c>
      <c r="L113" s="137">
        <v>1448</v>
      </c>
      <c r="M113" s="137">
        <v>4004</v>
      </c>
      <c r="N113" s="137">
        <v>13024</v>
      </c>
      <c r="O113" s="137">
        <v>4154</v>
      </c>
      <c r="P113" s="137">
        <v>4389</v>
      </c>
      <c r="Q113" s="137">
        <v>4027</v>
      </c>
      <c r="R113" s="137">
        <v>4181</v>
      </c>
      <c r="S113" s="137">
        <v>3814</v>
      </c>
      <c r="T113" s="137">
        <v>3755</v>
      </c>
      <c r="U113" s="137">
        <v>3984</v>
      </c>
      <c r="V113" s="137">
        <v>4176</v>
      </c>
      <c r="W113" s="137">
        <v>4379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25707</v>
      </c>
      <c r="C114" s="110">
        <f t="shared" si="175"/>
        <v>35478</v>
      </c>
      <c r="D114" s="110">
        <f t="shared" si="175"/>
        <v>28820</v>
      </c>
      <c r="E114" s="110">
        <f t="shared" si="175"/>
        <v>47766</v>
      </c>
      <c r="F114" s="110">
        <f t="shared" si="175"/>
        <v>52700</v>
      </c>
      <c r="G114" s="110">
        <f t="shared" si="175"/>
        <v>49648</v>
      </c>
      <c r="H114" s="110">
        <f t="shared" si="175"/>
        <v>52651</v>
      </c>
      <c r="I114" s="110">
        <f t="shared" si="175"/>
        <v>62305</v>
      </c>
      <c r="J114" s="110">
        <f t="shared" si="175"/>
        <v>49206</v>
      </c>
      <c r="K114" s="110">
        <f t="shared" si="175"/>
        <v>28350</v>
      </c>
      <c r="L114" s="110">
        <f t="shared" ref="L114" si="176">SUM(L115:L120)</f>
        <v>33993</v>
      </c>
      <c r="M114" s="110">
        <f t="shared" ref="M114:V114" si="177">SUM(M115:M120)</f>
        <v>47694</v>
      </c>
      <c r="N114" s="110">
        <f t="shared" si="177"/>
        <v>56390</v>
      </c>
      <c r="O114" s="110">
        <f t="shared" si="177"/>
        <v>59122</v>
      </c>
      <c r="P114" s="110">
        <f t="shared" si="177"/>
        <v>57260</v>
      </c>
      <c r="Q114" s="110">
        <f t="shared" si="177"/>
        <v>55682</v>
      </c>
      <c r="R114" s="110">
        <f t="shared" si="177"/>
        <v>58983</v>
      </c>
      <c r="S114" s="110">
        <f t="shared" si="177"/>
        <v>61590</v>
      </c>
      <c r="T114" s="110">
        <f t="shared" si="177"/>
        <v>63769</v>
      </c>
      <c r="U114" s="110">
        <f t="shared" si="177"/>
        <v>77119</v>
      </c>
      <c r="V114" s="110">
        <f t="shared" si="177"/>
        <v>57960</v>
      </c>
      <c r="W114" s="110">
        <f t="shared" ref="W114" si="178">SUM(W115:W120)</f>
        <v>68486</v>
      </c>
      <c r="DA114" s="176" t="s">
        <v>528</v>
      </c>
    </row>
    <row r="115" spans="1:105" ht="11.45" customHeight="1" x14ac:dyDescent="0.25">
      <c r="A115" s="111" t="s">
        <v>110</v>
      </c>
      <c r="B115" s="84">
        <v>22342</v>
      </c>
      <c r="C115" s="84">
        <v>23108</v>
      </c>
      <c r="D115" s="84">
        <v>24056</v>
      </c>
      <c r="E115" s="84">
        <v>37974</v>
      </c>
      <c r="F115" s="84">
        <v>36925</v>
      </c>
      <c r="G115" s="84">
        <v>32043</v>
      </c>
      <c r="H115" s="84">
        <v>34015</v>
      </c>
      <c r="I115" s="84">
        <v>35981</v>
      </c>
      <c r="J115" s="84">
        <v>32612</v>
      </c>
      <c r="K115" s="84">
        <v>20372</v>
      </c>
      <c r="L115" s="84">
        <v>20743</v>
      </c>
      <c r="M115" s="84">
        <v>25393</v>
      </c>
      <c r="N115" s="84">
        <v>26214</v>
      </c>
      <c r="O115" s="84">
        <v>27766</v>
      </c>
      <c r="P115" s="84">
        <v>27721</v>
      </c>
      <c r="Q115" s="84">
        <v>28904</v>
      </c>
      <c r="R115" s="84">
        <v>32174</v>
      </c>
      <c r="S115" s="84">
        <v>35220</v>
      </c>
      <c r="T115" s="84">
        <v>35941</v>
      </c>
      <c r="U115" s="84">
        <v>38730</v>
      </c>
      <c r="V115" s="84">
        <v>30900</v>
      </c>
      <c r="W115" s="84">
        <v>36707</v>
      </c>
      <c r="DA115" s="171" t="s">
        <v>529</v>
      </c>
    </row>
    <row r="116" spans="1:105" ht="11.45" customHeight="1" x14ac:dyDescent="0.25">
      <c r="A116" s="111" t="s">
        <v>111</v>
      </c>
      <c r="B116" s="84">
        <v>3365</v>
      </c>
      <c r="C116" s="84">
        <v>12340</v>
      </c>
      <c r="D116" s="84">
        <v>4702</v>
      </c>
      <c r="E116" s="84">
        <v>9661</v>
      </c>
      <c r="F116" s="84">
        <v>15707</v>
      </c>
      <c r="G116" s="84">
        <v>17390</v>
      </c>
      <c r="H116" s="84">
        <v>18275</v>
      </c>
      <c r="I116" s="84">
        <v>26324</v>
      </c>
      <c r="J116" s="84">
        <v>16293</v>
      </c>
      <c r="K116" s="84">
        <v>7759</v>
      </c>
      <c r="L116" s="84">
        <v>13247</v>
      </c>
      <c r="M116" s="84">
        <v>21878</v>
      </c>
      <c r="N116" s="84">
        <v>28819</v>
      </c>
      <c r="O116" s="84">
        <v>30656</v>
      </c>
      <c r="P116" s="84">
        <v>28393</v>
      </c>
      <c r="Q116" s="84">
        <v>26271</v>
      </c>
      <c r="R116" s="84">
        <v>25530</v>
      </c>
      <c r="S116" s="84">
        <v>25046</v>
      </c>
      <c r="T116" s="84">
        <v>25568</v>
      </c>
      <c r="U116" s="84">
        <v>31342</v>
      </c>
      <c r="V116" s="84">
        <v>20134</v>
      </c>
      <c r="W116" s="84">
        <v>26306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30</v>
      </c>
      <c r="D117" s="84">
        <v>62</v>
      </c>
      <c r="E117" s="84">
        <v>131</v>
      </c>
      <c r="F117" s="84">
        <v>68</v>
      </c>
      <c r="G117" s="84">
        <v>215</v>
      </c>
      <c r="H117" s="84">
        <v>361</v>
      </c>
      <c r="I117" s="84">
        <v>0</v>
      </c>
      <c r="J117" s="84">
        <v>300</v>
      </c>
      <c r="K117" s="84">
        <v>219</v>
      </c>
      <c r="L117" s="84">
        <v>0</v>
      </c>
      <c r="M117" s="84">
        <v>362</v>
      </c>
      <c r="N117" s="84">
        <v>806</v>
      </c>
      <c r="O117" s="84">
        <v>467</v>
      </c>
      <c r="P117" s="84">
        <v>644</v>
      </c>
      <c r="Q117" s="84">
        <v>300</v>
      </c>
      <c r="R117" s="84">
        <v>714</v>
      </c>
      <c r="S117" s="84">
        <v>868</v>
      </c>
      <c r="T117" s="84">
        <v>991</v>
      </c>
      <c r="U117" s="84">
        <v>1403</v>
      </c>
      <c r="V117" s="84">
        <v>624</v>
      </c>
      <c r="W117" s="84">
        <v>233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2</v>
      </c>
      <c r="M118" s="84">
        <v>5</v>
      </c>
      <c r="N118" s="84">
        <v>7</v>
      </c>
      <c r="O118" s="84">
        <v>103</v>
      </c>
      <c r="P118" s="84">
        <v>116</v>
      </c>
      <c r="Q118" s="84">
        <v>153</v>
      </c>
      <c r="R118" s="84">
        <v>500</v>
      </c>
      <c r="S118" s="84">
        <v>402</v>
      </c>
      <c r="T118" s="84">
        <v>1107</v>
      </c>
      <c r="U118" s="84">
        <v>5398</v>
      </c>
      <c r="V118" s="84">
        <v>5816</v>
      </c>
      <c r="W118" s="84">
        <v>4175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0</v>
      </c>
      <c r="P119" s="84">
        <v>26</v>
      </c>
      <c r="Q119" s="84">
        <v>17</v>
      </c>
      <c r="R119" s="84">
        <v>16</v>
      </c>
      <c r="S119" s="84">
        <v>25</v>
      </c>
      <c r="T119" s="84">
        <v>51</v>
      </c>
      <c r="U119" s="84">
        <v>30</v>
      </c>
      <c r="V119" s="84">
        <v>126</v>
      </c>
      <c r="W119" s="84">
        <v>562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1</v>
      </c>
      <c r="K120" s="84">
        <v>0</v>
      </c>
      <c r="L120" s="84">
        <v>1</v>
      </c>
      <c r="M120" s="84">
        <v>56</v>
      </c>
      <c r="N120" s="84">
        <v>544</v>
      </c>
      <c r="O120" s="84">
        <v>130</v>
      </c>
      <c r="P120" s="84">
        <v>360</v>
      </c>
      <c r="Q120" s="84">
        <v>37</v>
      </c>
      <c r="R120" s="84">
        <v>49</v>
      </c>
      <c r="S120" s="84">
        <v>29</v>
      </c>
      <c r="T120" s="84">
        <v>111</v>
      </c>
      <c r="U120" s="84">
        <v>216</v>
      </c>
      <c r="V120" s="84">
        <v>360</v>
      </c>
      <c r="W120" s="84">
        <v>503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361</v>
      </c>
      <c r="C121" s="110">
        <f t="shared" si="179"/>
        <v>419</v>
      </c>
      <c r="D121" s="110">
        <f t="shared" si="179"/>
        <v>497</v>
      </c>
      <c r="E121" s="110">
        <f t="shared" si="179"/>
        <v>651</v>
      </c>
      <c r="F121" s="110">
        <f t="shared" si="179"/>
        <v>464</v>
      </c>
      <c r="G121" s="110">
        <f t="shared" si="179"/>
        <v>678</v>
      </c>
      <c r="H121" s="110">
        <f t="shared" si="179"/>
        <v>427</v>
      </c>
      <c r="I121" s="110">
        <f t="shared" si="179"/>
        <v>240</v>
      </c>
      <c r="J121" s="110">
        <f t="shared" si="179"/>
        <v>144</v>
      </c>
      <c r="K121" s="110">
        <f t="shared" si="179"/>
        <v>117</v>
      </c>
      <c r="L121" s="110">
        <f t="shared" ref="L121" si="180">SUM(L122:L126)</f>
        <v>410</v>
      </c>
      <c r="M121" s="110">
        <f t="shared" ref="M121:V121" si="181">SUM(M122:M126)</f>
        <v>302</v>
      </c>
      <c r="N121" s="110">
        <f t="shared" si="181"/>
        <v>457</v>
      </c>
      <c r="O121" s="110">
        <f t="shared" si="181"/>
        <v>489</v>
      </c>
      <c r="P121" s="110">
        <f t="shared" si="181"/>
        <v>431</v>
      </c>
      <c r="Q121" s="110">
        <f t="shared" si="181"/>
        <v>472</v>
      </c>
      <c r="R121" s="110">
        <f t="shared" si="181"/>
        <v>387</v>
      </c>
      <c r="S121" s="110">
        <f t="shared" si="181"/>
        <v>463</v>
      </c>
      <c r="T121" s="110">
        <f t="shared" si="181"/>
        <v>387</v>
      </c>
      <c r="U121" s="110">
        <f t="shared" si="181"/>
        <v>507</v>
      </c>
      <c r="V121" s="110">
        <f t="shared" si="181"/>
        <v>450</v>
      </c>
      <c r="W121" s="110">
        <f t="shared" ref="W121" si="182">SUM(W122:W126)</f>
        <v>461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1</v>
      </c>
      <c r="T122" s="102">
        <v>0</v>
      </c>
      <c r="U122" s="102">
        <v>7</v>
      </c>
      <c r="V122" s="102">
        <v>0</v>
      </c>
      <c r="W122" s="102">
        <v>1</v>
      </c>
      <c r="DA122" s="175" t="s">
        <v>536</v>
      </c>
    </row>
    <row r="123" spans="1:105" ht="11.45" customHeight="1" x14ac:dyDescent="0.25">
      <c r="A123" s="111" t="s">
        <v>111</v>
      </c>
      <c r="B123" s="102">
        <v>361</v>
      </c>
      <c r="C123" s="102">
        <v>419</v>
      </c>
      <c r="D123" s="102">
        <v>497</v>
      </c>
      <c r="E123" s="102">
        <v>651</v>
      </c>
      <c r="F123" s="102">
        <v>464</v>
      </c>
      <c r="G123" s="102">
        <v>678</v>
      </c>
      <c r="H123" s="102">
        <v>427</v>
      </c>
      <c r="I123" s="102">
        <v>240</v>
      </c>
      <c r="J123" s="102">
        <v>144</v>
      </c>
      <c r="K123" s="102">
        <v>117</v>
      </c>
      <c r="L123" s="102">
        <v>294</v>
      </c>
      <c r="M123" s="102">
        <v>297</v>
      </c>
      <c r="N123" s="102">
        <v>456</v>
      </c>
      <c r="O123" s="102">
        <v>482</v>
      </c>
      <c r="P123" s="102">
        <v>416</v>
      </c>
      <c r="Q123" s="102">
        <v>452</v>
      </c>
      <c r="R123" s="102">
        <v>365</v>
      </c>
      <c r="S123" s="102">
        <v>422</v>
      </c>
      <c r="T123" s="102">
        <v>345</v>
      </c>
      <c r="U123" s="102">
        <v>424</v>
      </c>
      <c r="V123" s="102">
        <v>329</v>
      </c>
      <c r="W123" s="102">
        <v>317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1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2</v>
      </c>
      <c r="M125" s="102">
        <v>5</v>
      </c>
      <c r="N125" s="102">
        <v>1</v>
      </c>
      <c r="O125" s="102">
        <v>7</v>
      </c>
      <c r="P125" s="102">
        <v>15</v>
      </c>
      <c r="Q125" s="102">
        <v>20</v>
      </c>
      <c r="R125" s="102">
        <v>22</v>
      </c>
      <c r="S125" s="102">
        <v>40</v>
      </c>
      <c r="T125" s="102">
        <v>41</v>
      </c>
      <c r="U125" s="102">
        <v>76</v>
      </c>
      <c r="V125" s="102">
        <v>121</v>
      </c>
      <c r="W125" s="102">
        <v>143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114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102">
        <v>0</v>
      </c>
      <c r="V126" s="102">
        <v>0</v>
      </c>
      <c r="W126" s="102">
        <v>0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1617</v>
      </c>
      <c r="C127" s="28">
        <f t="shared" si="183"/>
        <v>1838</v>
      </c>
      <c r="D127" s="28">
        <f t="shared" si="183"/>
        <v>3747</v>
      </c>
      <c r="E127" s="28">
        <f t="shared" si="183"/>
        <v>6302</v>
      </c>
      <c r="F127" s="28">
        <f t="shared" si="183"/>
        <v>3841</v>
      </c>
      <c r="G127" s="28">
        <f t="shared" si="183"/>
        <v>3603</v>
      </c>
      <c r="H127" s="28">
        <f t="shared" si="183"/>
        <v>4977</v>
      </c>
      <c r="I127" s="28">
        <f t="shared" si="183"/>
        <v>6014</v>
      </c>
      <c r="J127" s="28">
        <f t="shared" si="183"/>
        <v>6592</v>
      </c>
      <c r="K127" s="28">
        <f t="shared" si="183"/>
        <v>5134</v>
      </c>
      <c r="L127" s="28">
        <f t="shared" ref="L127" si="184">L128+L134</f>
        <v>5300</v>
      </c>
      <c r="M127" s="28">
        <f t="shared" ref="M127:V127" si="185">M128+M134</f>
        <v>7102</v>
      </c>
      <c r="N127" s="28">
        <f t="shared" si="185"/>
        <v>7663</v>
      </c>
      <c r="O127" s="28">
        <f t="shared" si="185"/>
        <v>8811</v>
      </c>
      <c r="P127" s="28">
        <f t="shared" si="185"/>
        <v>9135</v>
      </c>
      <c r="Q127" s="28">
        <f t="shared" si="185"/>
        <v>9763</v>
      </c>
      <c r="R127" s="28">
        <f t="shared" si="185"/>
        <v>10783</v>
      </c>
      <c r="S127" s="28">
        <f t="shared" si="185"/>
        <v>11158</v>
      </c>
      <c r="T127" s="28">
        <f t="shared" si="185"/>
        <v>11726</v>
      </c>
      <c r="U127" s="28">
        <f t="shared" si="185"/>
        <v>14368</v>
      </c>
      <c r="V127" s="28">
        <f t="shared" si="185"/>
        <v>10558</v>
      </c>
      <c r="W127" s="28">
        <f t="shared" ref="W127" si="186">W128+W134</f>
        <v>10634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1302</v>
      </c>
      <c r="C128" s="137">
        <f t="shared" si="187"/>
        <v>1513</v>
      </c>
      <c r="D128" s="137">
        <f t="shared" si="187"/>
        <v>1742</v>
      </c>
      <c r="E128" s="137">
        <f t="shared" si="187"/>
        <v>2195</v>
      </c>
      <c r="F128" s="137">
        <f t="shared" si="187"/>
        <v>2242</v>
      </c>
      <c r="G128" s="137">
        <f t="shared" si="187"/>
        <v>2630</v>
      </c>
      <c r="H128" s="137">
        <f t="shared" si="187"/>
        <v>3369</v>
      </c>
      <c r="I128" s="137">
        <f t="shared" si="187"/>
        <v>4215</v>
      </c>
      <c r="J128" s="137">
        <f t="shared" si="187"/>
        <v>5333</v>
      </c>
      <c r="K128" s="137">
        <f t="shared" si="187"/>
        <v>4878</v>
      </c>
      <c r="L128" s="137">
        <f t="shared" ref="L128" si="188">SUM(L129:L133)</f>
        <v>5084</v>
      </c>
      <c r="M128" s="137">
        <f t="shared" ref="M128:V128" si="189">SUM(M129:M133)</f>
        <v>6136</v>
      </c>
      <c r="N128" s="137">
        <f t="shared" si="189"/>
        <v>6840</v>
      </c>
      <c r="O128" s="137">
        <f t="shared" si="189"/>
        <v>8445</v>
      </c>
      <c r="P128" s="137">
        <f t="shared" si="189"/>
        <v>7701</v>
      </c>
      <c r="Q128" s="137">
        <f t="shared" si="189"/>
        <v>8288</v>
      </c>
      <c r="R128" s="137">
        <f t="shared" si="189"/>
        <v>8991</v>
      </c>
      <c r="S128" s="137">
        <f t="shared" si="189"/>
        <v>9441</v>
      </c>
      <c r="T128" s="137">
        <f t="shared" si="189"/>
        <v>10085</v>
      </c>
      <c r="U128" s="137">
        <f t="shared" si="189"/>
        <v>11457</v>
      </c>
      <c r="V128" s="137">
        <f t="shared" si="189"/>
        <v>9111</v>
      </c>
      <c r="W128" s="137">
        <f t="shared" ref="W128" si="190">SUM(W129:W133)</f>
        <v>9301</v>
      </c>
      <c r="DA128" s="174" t="s">
        <v>542</v>
      </c>
    </row>
    <row r="129" spans="1:105" ht="11.45" customHeight="1" x14ac:dyDescent="0.25">
      <c r="A129" s="111" t="s">
        <v>110</v>
      </c>
      <c r="B129" s="84">
        <v>286</v>
      </c>
      <c r="C129" s="84">
        <v>513</v>
      </c>
      <c r="D129" s="84">
        <v>563</v>
      </c>
      <c r="E129" s="84">
        <v>480</v>
      </c>
      <c r="F129" s="84">
        <v>599</v>
      </c>
      <c r="G129" s="84">
        <v>734</v>
      </c>
      <c r="H129" s="84">
        <v>707</v>
      </c>
      <c r="I129" s="84">
        <v>662</v>
      </c>
      <c r="J129" s="84">
        <v>1849</v>
      </c>
      <c r="K129" s="84">
        <v>1452</v>
      </c>
      <c r="L129" s="84">
        <v>1070</v>
      </c>
      <c r="M129" s="84">
        <v>1222</v>
      </c>
      <c r="N129" s="84">
        <v>1108</v>
      </c>
      <c r="O129" s="84">
        <v>707</v>
      </c>
      <c r="P129" s="84">
        <v>936</v>
      </c>
      <c r="Q129" s="84">
        <v>1174</v>
      </c>
      <c r="R129" s="84">
        <v>1233</v>
      </c>
      <c r="S129" s="84">
        <v>1214</v>
      </c>
      <c r="T129" s="84">
        <v>1258</v>
      </c>
      <c r="U129" s="84">
        <v>1492</v>
      </c>
      <c r="V129" s="84">
        <v>1159</v>
      </c>
      <c r="W129" s="84">
        <v>941</v>
      </c>
      <c r="DA129" s="171" t="s">
        <v>543</v>
      </c>
    </row>
    <row r="130" spans="1:105" ht="11.45" customHeight="1" x14ac:dyDescent="0.25">
      <c r="A130" s="111" t="s">
        <v>111</v>
      </c>
      <c r="B130" s="84">
        <v>1016</v>
      </c>
      <c r="C130" s="84">
        <v>1000</v>
      </c>
      <c r="D130" s="84">
        <v>1179</v>
      </c>
      <c r="E130" s="84">
        <v>1715</v>
      </c>
      <c r="F130" s="84">
        <v>1643</v>
      </c>
      <c r="G130" s="84">
        <v>1896</v>
      </c>
      <c r="H130" s="84">
        <v>2662</v>
      </c>
      <c r="I130" s="84">
        <v>3551</v>
      </c>
      <c r="J130" s="84">
        <v>3484</v>
      </c>
      <c r="K130" s="84">
        <v>3426</v>
      </c>
      <c r="L130" s="84">
        <v>4014</v>
      </c>
      <c r="M130" s="84">
        <v>4914</v>
      </c>
      <c r="N130" s="84">
        <v>5730</v>
      </c>
      <c r="O130" s="84">
        <v>7687</v>
      </c>
      <c r="P130" s="84">
        <v>6745</v>
      </c>
      <c r="Q130" s="84">
        <v>7086</v>
      </c>
      <c r="R130" s="84">
        <v>7744</v>
      </c>
      <c r="S130" s="84">
        <v>8129</v>
      </c>
      <c r="T130" s="84">
        <v>8771</v>
      </c>
      <c r="U130" s="84">
        <v>9906</v>
      </c>
      <c r="V130" s="84">
        <v>7854</v>
      </c>
      <c r="W130" s="84">
        <v>8344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1</v>
      </c>
      <c r="S131" s="84">
        <v>12</v>
      </c>
      <c r="T131" s="84">
        <v>4</v>
      </c>
      <c r="U131" s="84">
        <v>5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1</v>
      </c>
      <c r="O132" s="84">
        <v>47</v>
      </c>
      <c r="P132" s="84">
        <v>13</v>
      </c>
      <c r="Q132" s="84">
        <v>26</v>
      </c>
      <c r="R132" s="84">
        <v>0</v>
      </c>
      <c r="S132" s="84">
        <v>85</v>
      </c>
      <c r="T132" s="84">
        <v>51</v>
      </c>
      <c r="U132" s="84">
        <v>51</v>
      </c>
      <c r="V132" s="84">
        <v>82</v>
      </c>
      <c r="W132" s="84">
        <v>2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2</v>
      </c>
      <c r="J133" s="84">
        <v>0</v>
      </c>
      <c r="K133" s="84">
        <v>0</v>
      </c>
      <c r="L133" s="84">
        <v>0</v>
      </c>
      <c r="M133" s="84">
        <v>0</v>
      </c>
      <c r="N133" s="84">
        <v>1</v>
      </c>
      <c r="O133" s="84">
        <v>4</v>
      </c>
      <c r="P133" s="84">
        <v>7</v>
      </c>
      <c r="Q133" s="84">
        <v>2</v>
      </c>
      <c r="R133" s="84">
        <v>13</v>
      </c>
      <c r="S133" s="84">
        <v>1</v>
      </c>
      <c r="T133" s="84">
        <v>1</v>
      </c>
      <c r="U133" s="84">
        <v>3</v>
      </c>
      <c r="V133" s="84">
        <v>16</v>
      </c>
      <c r="W133" s="84">
        <v>14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315</v>
      </c>
      <c r="C134" s="110">
        <f t="shared" si="191"/>
        <v>325</v>
      </c>
      <c r="D134" s="110">
        <f t="shared" si="191"/>
        <v>2005</v>
      </c>
      <c r="E134" s="110">
        <f t="shared" si="191"/>
        <v>4107</v>
      </c>
      <c r="F134" s="110">
        <f t="shared" si="191"/>
        <v>1599</v>
      </c>
      <c r="G134" s="110">
        <f t="shared" si="191"/>
        <v>973</v>
      </c>
      <c r="H134" s="110">
        <f t="shared" si="191"/>
        <v>1608</v>
      </c>
      <c r="I134" s="110">
        <f t="shared" si="191"/>
        <v>1799</v>
      </c>
      <c r="J134" s="110">
        <f t="shared" si="191"/>
        <v>1259</v>
      </c>
      <c r="K134" s="110">
        <f t="shared" si="191"/>
        <v>256</v>
      </c>
      <c r="L134" s="110">
        <f t="shared" ref="L134" si="192">SUM(L135:L136)</f>
        <v>216</v>
      </c>
      <c r="M134" s="110">
        <f t="shared" ref="M134:V134" si="193">SUM(M135:M136)</f>
        <v>966</v>
      </c>
      <c r="N134" s="110">
        <f t="shared" si="193"/>
        <v>823</v>
      </c>
      <c r="O134" s="110">
        <f t="shared" si="193"/>
        <v>366</v>
      </c>
      <c r="P134" s="110">
        <f t="shared" si="193"/>
        <v>1434</v>
      </c>
      <c r="Q134" s="110">
        <f t="shared" si="193"/>
        <v>1475</v>
      </c>
      <c r="R134" s="110">
        <f t="shared" si="193"/>
        <v>1792</v>
      </c>
      <c r="S134" s="110">
        <f t="shared" si="193"/>
        <v>1717</v>
      </c>
      <c r="T134" s="110">
        <f t="shared" si="193"/>
        <v>1641</v>
      </c>
      <c r="U134" s="110">
        <f t="shared" si="193"/>
        <v>2911</v>
      </c>
      <c r="V134" s="110">
        <f t="shared" si="193"/>
        <v>1447</v>
      </c>
      <c r="W134" s="110">
        <f t="shared" ref="W134" si="194">SUM(W135:W136)</f>
        <v>1333</v>
      </c>
      <c r="DA134" s="176" t="s">
        <v>548</v>
      </c>
    </row>
    <row r="135" spans="1:105" ht="11.45" customHeight="1" x14ac:dyDescent="0.25">
      <c r="A135" s="128" t="s">
        <v>27</v>
      </c>
      <c r="B135" s="102">
        <v>266</v>
      </c>
      <c r="C135" s="102">
        <v>257</v>
      </c>
      <c r="D135" s="102">
        <v>1940</v>
      </c>
      <c r="E135" s="102">
        <v>4050</v>
      </c>
      <c r="F135" s="102">
        <v>1445</v>
      </c>
      <c r="G135" s="102">
        <v>894</v>
      </c>
      <c r="H135" s="102">
        <v>1496</v>
      </c>
      <c r="I135" s="102">
        <v>1647</v>
      </c>
      <c r="J135" s="102">
        <v>1222</v>
      </c>
      <c r="K135" s="102">
        <v>256</v>
      </c>
      <c r="L135" s="102">
        <v>152</v>
      </c>
      <c r="M135" s="102">
        <v>790</v>
      </c>
      <c r="N135" s="102">
        <v>745</v>
      </c>
      <c r="O135" s="102">
        <v>166</v>
      </c>
      <c r="P135" s="102">
        <v>1358</v>
      </c>
      <c r="Q135" s="102">
        <v>1212</v>
      </c>
      <c r="R135" s="102">
        <v>1691</v>
      </c>
      <c r="S135" s="102">
        <v>1670</v>
      </c>
      <c r="T135" s="102">
        <v>1515</v>
      </c>
      <c r="U135" s="102">
        <v>2857</v>
      </c>
      <c r="V135" s="102">
        <v>1152</v>
      </c>
      <c r="W135" s="102">
        <v>1332</v>
      </c>
      <c r="DA135" s="175" t="s">
        <v>549</v>
      </c>
    </row>
    <row r="136" spans="1:105" ht="11.45" customHeight="1" x14ac:dyDescent="0.25">
      <c r="A136" s="138" t="s">
        <v>116</v>
      </c>
      <c r="B136" s="86">
        <v>49</v>
      </c>
      <c r="C136" s="86">
        <v>68</v>
      </c>
      <c r="D136" s="86">
        <v>65</v>
      </c>
      <c r="E136" s="86">
        <v>57</v>
      </c>
      <c r="F136" s="86">
        <v>154</v>
      </c>
      <c r="G136" s="86">
        <v>79</v>
      </c>
      <c r="H136" s="86">
        <v>112</v>
      </c>
      <c r="I136" s="86">
        <v>152</v>
      </c>
      <c r="J136" s="86">
        <v>37</v>
      </c>
      <c r="K136" s="86">
        <v>0</v>
      </c>
      <c r="L136" s="86">
        <v>64</v>
      </c>
      <c r="M136" s="86">
        <v>176</v>
      </c>
      <c r="N136" s="86">
        <v>78</v>
      </c>
      <c r="O136" s="86">
        <v>200</v>
      </c>
      <c r="P136" s="86">
        <v>76</v>
      </c>
      <c r="Q136" s="86">
        <v>263</v>
      </c>
      <c r="R136" s="86">
        <v>101</v>
      </c>
      <c r="S136" s="86">
        <v>47</v>
      </c>
      <c r="T136" s="86">
        <v>126</v>
      </c>
      <c r="U136" s="86">
        <v>54</v>
      </c>
      <c r="V136" s="86">
        <v>295</v>
      </c>
      <c r="W136" s="86">
        <v>1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2.9556936615130209</v>
      </c>
      <c r="C141" s="32">
        <f t="shared" si="195"/>
        <v>2.3863478439371644</v>
      </c>
      <c r="D141" s="32">
        <f t="shared" si="195"/>
        <v>2.5605506596102527</v>
      </c>
      <c r="E141" s="32">
        <f t="shared" si="195"/>
        <v>2.6538479211920736</v>
      </c>
      <c r="F141" s="32">
        <f t="shared" si="195"/>
        <v>2.6595847690129775</v>
      </c>
      <c r="G141" s="32">
        <f t="shared" si="195"/>
        <v>2.9952347869687843</v>
      </c>
      <c r="H141" s="32">
        <f t="shared" si="195"/>
        <v>2.6448923476897068</v>
      </c>
      <c r="I141" s="32">
        <f t="shared" si="195"/>
        <v>2.3321823465215528</v>
      </c>
      <c r="J141" s="32">
        <f t="shared" si="195"/>
        <v>2.345013264604269</v>
      </c>
      <c r="K141" s="32">
        <f t="shared" si="195"/>
        <v>2.2518015770198661</v>
      </c>
      <c r="L141" s="32">
        <f t="shared" ref="L141" si="196">IF(L4=0,0,L4/L31)</f>
        <v>2.1856258757200937</v>
      </c>
      <c r="M141" s="32">
        <f t="shared" ref="M141:V141" si="197">IF(M4=0,0,M4/M31)</f>
        <v>2.2252582626584485</v>
      </c>
      <c r="N141" s="32">
        <f t="shared" si="197"/>
        <v>2.1738484000769853</v>
      </c>
      <c r="O141" s="32">
        <f t="shared" si="197"/>
        <v>2.2147180986173538</v>
      </c>
      <c r="P141" s="32">
        <f t="shared" si="197"/>
        <v>2.245213246634532</v>
      </c>
      <c r="Q141" s="32">
        <f t="shared" si="197"/>
        <v>2.2082790069111891</v>
      </c>
      <c r="R141" s="32">
        <f t="shared" si="197"/>
        <v>2.2266816338922526</v>
      </c>
      <c r="S141" s="32">
        <f t="shared" si="197"/>
        <v>2.1284562055651888</v>
      </c>
      <c r="T141" s="32">
        <f t="shared" si="197"/>
        <v>2.0146334005774844</v>
      </c>
      <c r="U141" s="32">
        <f t="shared" si="197"/>
        <v>2.0836140709722226</v>
      </c>
      <c r="V141" s="32">
        <f t="shared" si="197"/>
        <v>1.6888688547635744</v>
      </c>
      <c r="W141" s="32">
        <f t="shared" ref="W141" si="198">IF(W4=0,0,W4/W31)</f>
        <v>1.7350629504469806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1.1549472685768511</v>
      </c>
      <c r="C142" s="141">
        <v>1.1549251164250132</v>
      </c>
      <c r="D142" s="141">
        <v>1.154724433005738</v>
      </c>
      <c r="E142" s="141">
        <v>1.1552093820866827</v>
      </c>
      <c r="F142" s="141">
        <v>1.1553640856511078</v>
      </c>
      <c r="G142" s="141">
        <v>1.1543178727366703</v>
      </c>
      <c r="H142" s="141">
        <v>1.1546398637822315</v>
      </c>
      <c r="I142" s="141">
        <v>1.1564931393319682</v>
      </c>
      <c r="J142" s="141">
        <v>1.1571017737935942</v>
      </c>
      <c r="K142" s="141">
        <v>1.1576570562583655</v>
      </c>
      <c r="L142" s="141">
        <v>1.1556682113354202</v>
      </c>
      <c r="M142" s="141">
        <v>1.1546558434345868</v>
      </c>
      <c r="N142" s="141">
        <v>1.1475295413899496</v>
      </c>
      <c r="O142" s="141">
        <v>1.1469392088128179</v>
      </c>
      <c r="P142" s="141">
        <v>1.1494295322312345</v>
      </c>
      <c r="Q142" s="141">
        <v>1.1514161199072459</v>
      </c>
      <c r="R142" s="141">
        <v>1.1532913007091461</v>
      </c>
      <c r="S142" s="141">
        <v>1.1519116209031388</v>
      </c>
      <c r="T142" s="141">
        <v>1.1507396794545568</v>
      </c>
      <c r="U142" s="141">
        <v>1.1518418861740294</v>
      </c>
      <c r="V142" s="141">
        <v>1.1505572375198816</v>
      </c>
      <c r="W142" s="141">
        <v>1.1506780376072943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2.2579649575928915</v>
      </c>
      <c r="C143" s="130">
        <f t="shared" si="199"/>
        <v>1.8402568809175759</v>
      </c>
      <c r="D143" s="130">
        <f t="shared" si="199"/>
        <v>2.0254714740087438</v>
      </c>
      <c r="E143" s="130">
        <f t="shared" si="199"/>
        <v>2.1473325393601597</v>
      </c>
      <c r="F143" s="130">
        <f t="shared" si="199"/>
        <v>2.122830623345636</v>
      </c>
      <c r="G143" s="130">
        <f t="shared" si="199"/>
        <v>2.4632345234443309</v>
      </c>
      <c r="H143" s="130">
        <f t="shared" si="199"/>
        <v>2.138325201360467</v>
      </c>
      <c r="I143" s="130">
        <f t="shared" si="199"/>
        <v>1.8975207186554643</v>
      </c>
      <c r="J143" s="130">
        <f t="shared" si="199"/>
        <v>1.9563156204532151</v>
      </c>
      <c r="K143" s="130">
        <f t="shared" si="199"/>
        <v>1.9248325818756493</v>
      </c>
      <c r="L143" s="130">
        <f t="shared" ref="L143" si="200">IF(L6=0,0,L6/L33)</f>
        <v>1.8640575173768532</v>
      </c>
      <c r="M143" s="130">
        <f t="shared" ref="M143:V143" si="201">IF(M6=0,0,M6/M33)</f>
        <v>1.9045534085109825</v>
      </c>
      <c r="N143" s="130">
        <f t="shared" si="201"/>
        <v>1.9016390440896727</v>
      </c>
      <c r="O143" s="130">
        <f t="shared" si="201"/>
        <v>1.9440741837470814</v>
      </c>
      <c r="P143" s="130">
        <f t="shared" si="201"/>
        <v>1.9801880648377841</v>
      </c>
      <c r="Q143" s="130">
        <f t="shared" si="201"/>
        <v>1.9060496073644835</v>
      </c>
      <c r="R143" s="130">
        <f t="shared" si="201"/>
        <v>1.8683497800288249</v>
      </c>
      <c r="S143" s="130">
        <f t="shared" si="201"/>
        <v>1.8031585796288534</v>
      </c>
      <c r="T143" s="130">
        <f t="shared" si="201"/>
        <v>1.7109216775571598</v>
      </c>
      <c r="U143" s="130">
        <f t="shared" si="201"/>
        <v>1.7502293936152999</v>
      </c>
      <c r="V143" s="130">
        <f t="shared" si="201"/>
        <v>1.5588767406815909</v>
      </c>
      <c r="W143" s="130">
        <f t="shared" ref="W143" si="202">IF(W6=0,0,W6/W33)</f>
        <v>1.6240664605529498</v>
      </c>
      <c r="DA143" s="176" t="s">
        <v>553</v>
      </c>
    </row>
    <row r="144" spans="1:105" ht="11.45" customHeight="1" x14ac:dyDescent="0.25">
      <c r="A144" s="111" t="s">
        <v>110</v>
      </c>
      <c r="B144" s="96">
        <v>2.2526080829041706</v>
      </c>
      <c r="C144" s="96">
        <v>1.8352486406701936</v>
      </c>
      <c r="D144" s="96">
        <v>2.0189936758601563</v>
      </c>
      <c r="E144" s="96">
        <v>2.1377505056318493</v>
      </c>
      <c r="F144" s="96">
        <v>2.1100859631827138</v>
      </c>
      <c r="G144" s="96">
        <v>2.445849712450944</v>
      </c>
      <c r="H144" s="96">
        <v>2.1203269455965255</v>
      </c>
      <c r="I144" s="96">
        <v>1.8797159237632999</v>
      </c>
      <c r="J144" s="96">
        <v>1.9377698382063695</v>
      </c>
      <c r="K144" s="96">
        <v>1.9038379383428716</v>
      </c>
      <c r="L144" s="96">
        <v>1.8426874698161715</v>
      </c>
      <c r="M144" s="96">
        <v>1.8801322872282782</v>
      </c>
      <c r="N144" s="96">
        <v>1.8751202142121988</v>
      </c>
      <c r="O144" s="96">
        <v>1.9150558502807569</v>
      </c>
      <c r="P144" s="96">
        <v>1.9505093166177485</v>
      </c>
      <c r="Q144" s="96">
        <v>1.8755513433819804</v>
      </c>
      <c r="R144" s="96">
        <v>1.8390420568537895</v>
      </c>
      <c r="S144" s="96">
        <v>1.7755122896697568</v>
      </c>
      <c r="T144" s="96">
        <v>1.6848869996168723</v>
      </c>
      <c r="U144" s="96">
        <v>1.724776090745243</v>
      </c>
      <c r="V144" s="96">
        <v>1.5332336399094426</v>
      </c>
      <c r="W144" s="96">
        <v>1.5966482194324076</v>
      </c>
      <c r="DA144" s="171" t="s">
        <v>554</v>
      </c>
    </row>
    <row r="145" spans="1:105" ht="11.45" customHeight="1" x14ac:dyDescent="0.25">
      <c r="A145" s="111" t="s">
        <v>111</v>
      </c>
      <c r="B145" s="96">
        <v>2.3216267224487863</v>
      </c>
      <c r="C145" s="96">
        <v>1.8914796226001951</v>
      </c>
      <c r="D145" s="96">
        <v>2.080854501902027</v>
      </c>
      <c r="E145" s="96">
        <v>2.2032499738723708</v>
      </c>
      <c r="F145" s="96">
        <v>2.1747378054655946</v>
      </c>
      <c r="G145" s="96">
        <v>2.5207891663955087</v>
      </c>
      <c r="H145" s="96">
        <v>2.185292565797174</v>
      </c>
      <c r="I145" s="96">
        <v>1.9373093581352616</v>
      </c>
      <c r="J145" s="96">
        <v>1.9971420117320751</v>
      </c>
      <c r="K145" s="96">
        <v>1.9621704576191252</v>
      </c>
      <c r="L145" s="96">
        <v>1.899146373270276</v>
      </c>
      <c r="M145" s="96">
        <v>1.9377384787416752</v>
      </c>
      <c r="N145" s="96">
        <v>1.9325728386388512</v>
      </c>
      <c r="O145" s="96">
        <v>1.9737320800436933</v>
      </c>
      <c r="P145" s="96">
        <v>2.0102718205676124</v>
      </c>
      <c r="Q145" s="96">
        <v>1.933017177362923</v>
      </c>
      <c r="R145" s="96">
        <v>1.8953892669134005</v>
      </c>
      <c r="S145" s="96">
        <v>1.8299129835400207</v>
      </c>
      <c r="T145" s="96">
        <v>1.7365109857787449</v>
      </c>
      <c r="U145" s="96">
        <v>1.7776222561327186</v>
      </c>
      <c r="V145" s="96">
        <v>1.5802110527730953</v>
      </c>
      <c r="W145" s="96">
        <v>1.6455686192005221</v>
      </c>
      <c r="DA145" s="171" t="s">
        <v>555</v>
      </c>
    </row>
    <row r="146" spans="1:105" ht="11.45" customHeight="1" x14ac:dyDescent="0.25">
      <c r="A146" s="111" t="s">
        <v>112</v>
      </c>
      <c r="B146" s="96">
        <v>2.2456020396783947</v>
      </c>
      <c r="C146" s="96">
        <v>1.8301810182768086</v>
      </c>
      <c r="D146" s="96">
        <v>2.014381515554287</v>
      </c>
      <c r="E146" s="96">
        <v>2.1355753613623496</v>
      </c>
      <c r="F146" s="96">
        <v>2.1112075994122708</v>
      </c>
      <c r="G146" s="96">
        <v>2.4497477037684572</v>
      </c>
      <c r="H146" s="96">
        <v>2.1266173407712126</v>
      </c>
      <c r="I146" s="96">
        <v>1.8871313223068151</v>
      </c>
      <c r="J146" s="96">
        <v>1.9456043074413896</v>
      </c>
      <c r="K146" s="96">
        <v>1.9142936463049895</v>
      </c>
      <c r="L146" s="96">
        <v>1.8538513403510601</v>
      </c>
      <c r="M146" s="96">
        <v>1.8941255064419005</v>
      </c>
      <c r="N146" s="96">
        <v>1.8912270988882973</v>
      </c>
      <c r="O146" s="96">
        <v>1.9334298956359941</v>
      </c>
      <c r="P146" s="96">
        <v>1.9693460442747397</v>
      </c>
      <c r="Q146" s="96">
        <v>1.895613513235757</v>
      </c>
      <c r="R146" s="96">
        <v>1.8581201018009181</v>
      </c>
      <c r="S146" s="96">
        <v>1.7932858393846747</v>
      </c>
      <c r="T146" s="96">
        <v>1.7015539572182574</v>
      </c>
      <c r="U146" s="96">
        <v>1.7406464537862099</v>
      </c>
      <c r="V146" s="96">
        <v>1.5503415040655144</v>
      </c>
      <c r="W146" s="96">
        <v>1.615174294059406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1.8081357918555474</v>
      </c>
      <c r="M147" s="96">
        <v>1.8474168062556524</v>
      </c>
      <c r="N147" s="96">
        <v>1.8445898727669823</v>
      </c>
      <c r="O147" s="96">
        <v>1.8857519582346687</v>
      </c>
      <c r="P147" s="96">
        <v>1.9207824228926502</v>
      </c>
      <c r="Q147" s="96">
        <v>1.848868119143549</v>
      </c>
      <c r="R147" s="96">
        <v>1.8122992866279599</v>
      </c>
      <c r="S147" s="96">
        <v>1.7490638222399872</v>
      </c>
      <c r="T147" s="96">
        <v>1.659594027230445</v>
      </c>
      <c r="U147" s="96">
        <v>1.6977225118068404</v>
      </c>
      <c r="V147" s="96">
        <v>1.5121104384611432</v>
      </c>
      <c r="W147" s="96">
        <v>1.5753444667363612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1.9207824228926502</v>
      </c>
      <c r="Q148" s="96">
        <v>1.848868119143549</v>
      </c>
      <c r="R148" s="96">
        <v>1.8122992866279599</v>
      </c>
      <c r="S148" s="96">
        <v>1.7490638222399872</v>
      </c>
      <c r="T148" s="96">
        <v>1.659594027230445</v>
      </c>
      <c r="U148" s="96">
        <v>1.6977225118068404</v>
      </c>
      <c r="V148" s="96">
        <v>1.5121104384611432</v>
      </c>
      <c r="W148" s="96">
        <v>1.575344466736361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1.8976261518396182</v>
      </c>
      <c r="K149" s="96">
        <v>1.8670876044193792</v>
      </c>
      <c r="L149" s="96">
        <v>1.8081357918555476</v>
      </c>
      <c r="M149" s="96">
        <v>1.8474168062556526</v>
      </c>
      <c r="N149" s="96">
        <v>1.8445898727669821</v>
      </c>
      <c r="O149" s="96">
        <v>1.8857519582346685</v>
      </c>
      <c r="P149" s="96">
        <v>1.9207824228926502</v>
      </c>
      <c r="Q149" s="96">
        <v>1.848868119143549</v>
      </c>
      <c r="R149" s="96">
        <v>1.8122992866279599</v>
      </c>
      <c r="S149" s="96">
        <v>1.7490638222399872</v>
      </c>
      <c r="T149" s="96">
        <v>1.659594027230445</v>
      </c>
      <c r="U149" s="96">
        <v>1.6977225118068402</v>
      </c>
      <c r="V149" s="96">
        <v>1.5121104384611432</v>
      </c>
      <c r="W149" s="96">
        <v>1.575344466736361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14.117568286394516</v>
      </c>
      <c r="C150" s="130">
        <f t="shared" si="203"/>
        <v>13.647745694741911</v>
      </c>
      <c r="D150" s="130">
        <f t="shared" si="203"/>
        <v>13.178687107657479</v>
      </c>
      <c r="E150" s="130">
        <f t="shared" si="203"/>
        <v>12.836659590596145</v>
      </c>
      <c r="F150" s="130">
        <f t="shared" si="203"/>
        <v>13.76070273027328</v>
      </c>
      <c r="G150" s="130">
        <f t="shared" si="203"/>
        <v>14.811597957314657</v>
      </c>
      <c r="H150" s="130">
        <f t="shared" si="203"/>
        <v>15.162162049334814</v>
      </c>
      <c r="I150" s="130">
        <f t="shared" si="203"/>
        <v>17.070454258587979</v>
      </c>
      <c r="J150" s="130">
        <f t="shared" si="203"/>
        <v>16.820053621913466</v>
      </c>
      <c r="K150" s="130">
        <f t="shared" si="203"/>
        <v>15.534001835120119</v>
      </c>
      <c r="L150" s="130">
        <f t="shared" ref="L150" si="204">IF(L13=0,0,L13/L40)</f>
        <v>15.276989934159074</v>
      </c>
      <c r="M150" s="130">
        <f t="shared" ref="M150:V150" si="205">IF(M13=0,0,M13/M40)</f>
        <v>15.698175532314776</v>
      </c>
      <c r="N150" s="130">
        <f t="shared" si="205"/>
        <v>14.019673597138388</v>
      </c>
      <c r="O150" s="130">
        <f t="shared" si="205"/>
        <v>13.537056817525151</v>
      </c>
      <c r="P150" s="130">
        <f t="shared" si="205"/>
        <v>13.221683435866186</v>
      </c>
      <c r="Q150" s="130">
        <f t="shared" si="205"/>
        <v>14.977777777777778</v>
      </c>
      <c r="R150" s="130">
        <f t="shared" si="205"/>
        <v>15.816106804478901</v>
      </c>
      <c r="S150" s="130">
        <f t="shared" si="205"/>
        <v>13.405289225306044</v>
      </c>
      <c r="T150" s="130">
        <f t="shared" si="205"/>
        <v>13.422184413252044</v>
      </c>
      <c r="U150" s="130">
        <f t="shared" si="205"/>
        <v>15.81640331075997</v>
      </c>
      <c r="V150" s="130">
        <f t="shared" si="205"/>
        <v>7.0580983202342402</v>
      </c>
      <c r="W150" s="130">
        <f t="shared" ref="W150" si="206">IF(W13=0,0,W13/W40)</f>
        <v>6.1845769710938248</v>
      </c>
      <c r="DA150" s="176" t="s">
        <v>560</v>
      </c>
    </row>
    <row r="151" spans="1:105" ht="11.45" customHeight="1" x14ac:dyDescent="0.25">
      <c r="A151" s="111" t="s">
        <v>110</v>
      </c>
      <c r="B151" s="97">
        <v>6.5429833956305581</v>
      </c>
      <c r="C151" s="97">
        <v>6.5249132959516123</v>
      </c>
      <c r="D151" s="97">
        <v>6.5068725810637495</v>
      </c>
      <c r="E151" s="97">
        <v>6.4937176765613902</v>
      </c>
      <c r="F151" s="97">
        <v>6.5292577973182029</v>
      </c>
      <c r="G151" s="97">
        <v>6.5696768445121023</v>
      </c>
      <c r="H151" s="97">
        <v>6.58316007882057</v>
      </c>
      <c r="I151" s="97">
        <v>6.6565559330226147</v>
      </c>
      <c r="J151" s="97">
        <v>6.646925139304364</v>
      </c>
      <c r="K151" s="97">
        <v>6.5974616090430818</v>
      </c>
      <c r="L151" s="97">
        <v>6.5875765359291947</v>
      </c>
      <c r="M151" s="97">
        <v>6.6037759820121069</v>
      </c>
      <c r="N151" s="97">
        <v>6.5392182152745537</v>
      </c>
      <c r="O151" s="97">
        <v>6.5206560314432753</v>
      </c>
      <c r="P151" s="97">
        <v>6.5085262859948534</v>
      </c>
      <c r="Q151" s="97">
        <v>6.5760683760683758</v>
      </c>
      <c r="R151" s="97">
        <v>6.6083118001722649</v>
      </c>
      <c r="S151" s="97">
        <v>6.5155880471271566</v>
      </c>
      <c r="T151" s="97">
        <v>6.5162378620481558</v>
      </c>
      <c r="U151" s="97">
        <v>6.6083232042599986</v>
      </c>
      <c r="V151" s="97">
        <v>5.3307455220076578</v>
      </c>
      <c r="W151" s="97">
        <v>5.3021880932857597</v>
      </c>
      <c r="DA151" s="175" t="s">
        <v>561</v>
      </c>
    </row>
    <row r="152" spans="1:105" ht="11.45" customHeight="1" x14ac:dyDescent="0.25">
      <c r="A152" s="111" t="s">
        <v>111</v>
      </c>
      <c r="B152" s="97">
        <v>16.998370140851005</v>
      </c>
      <c r="C152" s="97">
        <v>16.00487456686156</v>
      </c>
      <c r="D152" s="97">
        <v>15.033652006613671</v>
      </c>
      <c r="E152" s="97">
        <v>14.237243093661078</v>
      </c>
      <c r="F152" s="97">
        <v>15.14376576824424</v>
      </c>
      <c r="G152" s="97">
        <v>16.030700097599244</v>
      </c>
      <c r="H152" s="97">
        <v>16.400984251159866</v>
      </c>
      <c r="I152" s="97">
        <v>18.035856140677382</v>
      </c>
      <c r="J152" s="97">
        <v>17.518680651538897</v>
      </c>
      <c r="K152" s="97">
        <v>15.974883334140465</v>
      </c>
      <c r="L152" s="97">
        <v>15.606991724076456</v>
      </c>
      <c r="M152" s="97">
        <v>16.012346226336415</v>
      </c>
      <c r="N152" s="97">
        <v>14.260520513589869</v>
      </c>
      <c r="O152" s="97">
        <v>13.739118211787082</v>
      </c>
      <c r="P152" s="97">
        <v>13.409020619771326</v>
      </c>
      <c r="Q152" s="97">
        <v>15.201544734256132</v>
      </c>
      <c r="R152" s="97">
        <v>16.048251071601797</v>
      </c>
      <c r="S152" s="97">
        <v>13.572717689927256</v>
      </c>
      <c r="T152" s="97">
        <v>13.585161361283658</v>
      </c>
      <c r="U152" s="97">
        <v>16.030599930003884</v>
      </c>
      <c r="V152" s="97">
        <v>7.0959937245582161</v>
      </c>
      <c r="W152" s="97">
        <v>6.2031782479227848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13.585161361283658</v>
      </c>
      <c r="U153" s="97">
        <v>16.030599930003884</v>
      </c>
      <c r="V153" s="97">
        <v>7.095993724558217</v>
      </c>
      <c r="W153" s="97">
        <v>6.2031782479227848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15.606991724076458</v>
      </c>
      <c r="M154" s="97">
        <v>16.012346226336415</v>
      </c>
      <c r="N154" s="97">
        <v>14.260520513589867</v>
      </c>
      <c r="O154" s="97">
        <v>13.73911821178708</v>
      </c>
      <c r="P154" s="97">
        <v>13.409020619771324</v>
      </c>
      <c r="Q154" s="97">
        <v>15.20154473425613</v>
      </c>
      <c r="R154" s="97">
        <v>16.04825107160179</v>
      </c>
      <c r="S154" s="97">
        <v>13.572717689927252</v>
      </c>
      <c r="T154" s="97">
        <v>13.585161361283658</v>
      </c>
      <c r="U154" s="97">
        <v>16.030599930003884</v>
      </c>
      <c r="V154" s="97">
        <v>7.095993724558217</v>
      </c>
      <c r="W154" s="97">
        <v>6.2031782479227848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15.606991724076458</v>
      </c>
      <c r="M155" s="97">
        <v>16.012346226336415</v>
      </c>
      <c r="N155" s="97">
        <v>14.260520513589869</v>
      </c>
      <c r="O155" s="97">
        <v>13.73911821178708</v>
      </c>
      <c r="P155" s="97">
        <v>13.409020619771324</v>
      </c>
      <c r="Q155" s="97">
        <v>15.20154473425613</v>
      </c>
      <c r="R155" s="97">
        <v>16.04825107160179</v>
      </c>
      <c r="S155" s="97">
        <v>13.572717689927254</v>
      </c>
      <c r="T155" s="97">
        <v>13.585161361283658</v>
      </c>
      <c r="U155" s="97">
        <v>16.030599930003884</v>
      </c>
      <c r="V155" s="97">
        <v>7.095993724558217</v>
      </c>
      <c r="W155" s="97">
        <v>6.2031782479227848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1.6391391633243193</v>
      </c>
      <c r="C156" s="32">
        <f t="shared" si="207"/>
        <v>1.5046602504928288</v>
      </c>
      <c r="D156" s="32">
        <f t="shared" si="207"/>
        <v>1.7237773013071407</v>
      </c>
      <c r="E156" s="32">
        <f t="shared" si="207"/>
        <v>2.4905102848892682</v>
      </c>
      <c r="F156" s="32">
        <f t="shared" si="207"/>
        <v>2.5156508250588048</v>
      </c>
      <c r="G156" s="32">
        <f t="shared" si="207"/>
        <v>3.0513223654785948</v>
      </c>
      <c r="H156" s="32">
        <f t="shared" si="207"/>
        <v>3.2730703928983682</v>
      </c>
      <c r="I156" s="32">
        <f t="shared" si="207"/>
        <v>3.3803249277598937</v>
      </c>
      <c r="J156" s="32">
        <f t="shared" si="207"/>
        <v>3.1933463578495576</v>
      </c>
      <c r="K156" s="32">
        <f t="shared" si="207"/>
        <v>2.7314043409305619</v>
      </c>
      <c r="L156" s="32">
        <f t="shared" ref="L156" si="208">IF(L19=0,0,L19/L46)</f>
        <v>2.9223464997011517</v>
      </c>
      <c r="M156" s="32">
        <f t="shared" ref="M156:V156" si="209">IF(M19=0,0,M19/M46)</f>
        <v>3.1152311735525378</v>
      </c>
      <c r="N156" s="32">
        <f t="shared" si="209"/>
        <v>3.1063925370249694</v>
      </c>
      <c r="O156" s="32">
        <f t="shared" si="209"/>
        <v>3.0727352849553062</v>
      </c>
      <c r="P156" s="32">
        <f t="shared" si="209"/>
        <v>2.9639561281438707</v>
      </c>
      <c r="Q156" s="32">
        <f t="shared" si="209"/>
        <v>3.0171836991790113</v>
      </c>
      <c r="R156" s="32">
        <f t="shared" si="209"/>
        <v>2.9904436001168673</v>
      </c>
      <c r="S156" s="32">
        <f t="shared" si="209"/>
        <v>2.6994429756051819</v>
      </c>
      <c r="T156" s="32">
        <f t="shared" si="209"/>
        <v>2.5466453900183299</v>
      </c>
      <c r="U156" s="32">
        <f t="shared" si="209"/>
        <v>2.3626082182644912</v>
      </c>
      <c r="V156" s="32">
        <f t="shared" si="209"/>
        <v>2.17640236801605</v>
      </c>
      <c r="W156" s="32">
        <f t="shared" ref="W156" si="210">IF(W19=0,0,W19/W46)</f>
        <v>2.2934886262324778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0.3069935567608163</v>
      </c>
      <c r="C157" s="141">
        <f t="shared" si="211"/>
        <v>0.30221041208539001</v>
      </c>
      <c r="D157" s="141">
        <f t="shared" si="211"/>
        <v>0.30113753266424798</v>
      </c>
      <c r="E157" s="141">
        <f t="shared" si="211"/>
        <v>0.30327738687661682</v>
      </c>
      <c r="F157" s="141">
        <f t="shared" si="211"/>
        <v>0.30191960848420152</v>
      </c>
      <c r="G157" s="141">
        <f t="shared" si="211"/>
        <v>0.305116080087042</v>
      </c>
      <c r="H157" s="141">
        <f t="shared" si="211"/>
        <v>0.30511833182921705</v>
      </c>
      <c r="I157" s="141">
        <f t="shared" si="211"/>
        <v>0.3101835136426806</v>
      </c>
      <c r="J157" s="141">
        <f t="shared" si="211"/>
        <v>0.31291721458799338</v>
      </c>
      <c r="K157" s="141">
        <f t="shared" si="211"/>
        <v>0.31653541849237971</v>
      </c>
      <c r="L157" s="141">
        <f t="shared" ref="L157" si="212">IF(L20=0,0,L20/L47)</f>
        <v>0.31996564889868101</v>
      </c>
      <c r="M157" s="141">
        <f t="shared" ref="M157:V157" si="213">IF(M20=0,0,M20/M47)</f>
        <v>0.3203242960393694</v>
      </c>
      <c r="N157" s="141">
        <f t="shared" si="213"/>
        <v>0.32297549721582947</v>
      </c>
      <c r="O157" s="141">
        <f t="shared" si="213"/>
        <v>0.32670291159868725</v>
      </c>
      <c r="P157" s="141">
        <f t="shared" si="213"/>
        <v>0.32875906109178965</v>
      </c>
      <c r="Q157" s="141">
        <f t="shared" si="213"/>
        <v>0.33129551980431365</v>
      </c>
      <c r="R157" s="141">
        <f t="shared" si="213"/>
        <v>0.33101647480850116</v>
      </c>
      <c r="S157" s="141">
        <f t="shared" si="213"/>
        <v>0.33018144115102249</v>
      </c>
      <c r="T157" s="141">
        <f t="shared" si="213"/>
        <v>0.32793010408546802</v>
      </c>
      <c r="U157" s="141">
        <f t="shared" si="213"/>
        <v>0.32785332572365933</v>
      </c>
      <c r="V157" s="141">
        <f t="shared" si="213"/>
        <v>0.32946275896330074</v>
      </c>
      <c r="W157" s="141">
        <f t="shared" ref="W157" si="214">IF(W20=0,0,W20/W47)</f>
        <v>0.32913188652810837</v>
      </c>
      <c r="DA157" s="174" t="s">
        <v>567</v>
      </c>
    </row>
    <row r="158" spans="1:105" ht="11.45" customHeight="1" x14ac:dyDescent="0.25">
      <c r="A158" s="111" t="s">
        <v>110</v>
      </c>
      <c r="B158" s="96">
        <v>0.24331877228009124</v>
      </c>
      <c r="C158" s="96">
        <v>0.23730893915173104</v>
      </c>
      <c r="D158" s="96">
        <v>0.23732498979755642</v>
      </c>
      <c r="E158" s="96">
        <v>0.23939481429679943</v>
      </c>
      <c r="F158" s="96">
        <v>0.23621389829156306</v>
      </c>
      <c r="G158" s="96">
        <v>0.2402384231972178</v>
      </c>
      <c r="H158" s="96">
        <v>0.23862181066841326</v>
      </c>
      <c r="I158" s="96">
        <v>0.24424581645963994</v>
      </c>
      <c r="J158" s="96">
        <v>0.24985728757520176</v>
      </c>
      <c r="K158" s="96">
        <v>0.25570695015548306</v>
      </c>
      <c r="L158" s="96">
        <v>0.26020283685687073</v>
      </c>
      <c r="M158" s="96">
        <v>0.25812779112566314</v>
      </c>
      <c r="N158" s="96">
        <v>0.26035226014120089</v>
      </c>
      <c r="O158" s="96">
        <v>0.26366828157717653</v>
      </c>
      <c r="P158" s="96">
        <v>0.26508689390147483</v>
      </c>
      <c r="Q158" s="96">
        <v>0.26719480519480526</v>
      </c>
      <c r="R158" s="96">
        <v>0.27058562304203354</v>
      </c>
      <c r="S158" s="96">
        <v>0.27103399088391367</v>
      </c>
      <c r="T158" s="96">
        <v>0.26563189822560784</v>
      </c>
      <c r="U158" s="96">
        <v>0.26992016459427681</v>
      </c>
      <c r="V158" s="96">
        <v>0.27596027354852448</v>
      </c>
      <c r="W158" s="96">
        <v>0.28053541643835445</v>
      </c>
      <c r="DA158" s="171" t="s">
        <v>568</v>
      </c>
    </row>
    <row r="159" spans="1:105" ht="11.45" customHeight="1" x14ac:dyDescent="0.25">
      <c r="A159" s="111" t="s">
        <v>111</v>
      </c>
      <c r="B159" s="96">
        <v>0.32820837646057321</v>
      </c>
      <c r="C159" s="96">
        <v>0.32626866475172495</v>
      </c>
      <c r="D159" s="96">
        <v>0.32434918030140408</v>
      </c>
      <c r="E159" s="96">
        <v>0.32581303316075455</v>
      </c>
      <c r="F159" s="96">
        <v>0.32730553550981012</v>
      </c>
      <c r="G159" s="96">
        <v>0.32879753107211646</v>
      </c>
      <c r="H159" s="96">
        <v>0.33025362904895506</v>
      </c>
      <c r="I159" s="96">
        <v>0.3316546253455479</v>
      </c>
      <c r="J159" s="96">
        <v>0.33286827757193965</v>
      </c>
      <c r="K159" s="96">
        <v>0.33422919512047672</v>
      </c>
      <c r="L159" s="96">
        <v>0.33555831758395793</v>
      </c>
      <c r="M159" s="96">
        <v>0.33678991484584925</v>
      </c>
      <c r="N159" s="96">
        <v>0.33797999341227269</v>
      </c>
      <c r="O159" s="96">
        <v>0.33906243000400443</v>
      </c>
      <c r="P159" s="96">
        <v>0.34024566141919643</v>
      </c>
      <c r="Q159" s="96">
        <v>0.34207547339798688</v>
      </c>
      <c r="R159" s="96">
        <v>0.33969550782099117</v>
      </c>
      <c r="S159" s="96">
        <v>0.33801400762154643</v>
      </c>
      <c r="T159" s="96">
        <v>0.33633829129375142</v>
      </c>
      <c r="U159" s="96">
        <v>0.3346415935515395</v>
      </c>
      <c r="V159" s="96">
        <v>0.33499602843303128</v>
      </c>
      <c r="W159" s="96">
        <v>0.33344890094624874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0.26612166062684101</v>
      </c>
      <c r="O161" s="96">
        <v>0.26643786245832668</v>
      </c>
      <c r="P161" s="96">
        <v>0.26683076761995839</v>
      </c>
      <c r="Q161" s="96">
        <v>0.26719480519480526</v>
      </c>
      <c r="R161" s="96">
        <v>0.26639932080501388</v>
      </c>
      <c r="S161" s="96">
        <v>0.26561400409533348</v>
      </c>
      <c r="T161" s="96">
        <v>0.26482900276971566</v>
      </c>
      <c r="U161" s="96">
        <v>0.26402321334949075</v>
      </c>
      <c r="V161" s="96">
        <v>0.26483465372086229</v>
      </c>
      <c r="W161" s="96">
        <v>0.26414196555642411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0.26756337048708101</v>
      </c>
      <c r="J162" s="96">
        <v>0.26751683498804463</v>
      </c>
      <c r="K162" s="96">
        <v>0.26746486378732198</v>
      </c>
      <c r="L162" s="96">
        <v>0.26741432033269591</v>
      </c>
      <c r="M162" s="96">
        <v>0.26736767239886883</v>
      </c>
      <c r="N162" s="96">
        <v>0.26732276648907466</v>
      </c>
      <c r="O162" s="96">
        <v>0.26728206591477394</v>
      </c>
      <c r="P162" s="96">
        <v>0.26723773079947583</v>
      </c>
      <c r="Q162" s="96">
        <v>0.26719480519480526</v>
      </c>
      <c r="R162" s="96">
        <v>0.26725832466745741</v>
      </c>
      <c r="S162" s="96">
        <v>0.26732148544773404</v>
      </c>
      <c r="T162" s="96">
        <v>0.26738475729448818</v>
      </c>
      <c r="U162" s="96">
        <v>0.26744915873029113</v>
      </c>
      <c r="V162" s="96">
        <v>0.26765146253475885</v>
      </c>
      <c r="W162" s="96">
        <v>0.2674946347611627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9.2094468276770414</v>
      </c>
      <c r="C163" s="130">
        <f t="shared" si="215"/>
        <v>9.4746379371388816</v>
      </c>
      <c r="D163" s="130">
        <f t="shared" si="215"/>
        <v>9.1244943705390895</v>
      </c>
      <c r="E163" s="130">
        <f t="shared" si="215"/>
        <v>9.8790034573522387</v>
      </c>
      <c r="F163" s="130">
        <f t="shared" si="215"/>
        <v>9.062396553339962</v>
      </c>
      <c r="G163" s="130">
        <f t="shared" si="215"/>
        <v>10.397891959165504</v>
      </c>
      <c r="H163" s="130">
        <f t="shared" si="215"/>
        <v>10.502650242596177</v>
      </c>
      <c r="I163" s="130">
        <f t="shared" si="215"/>
        <v>9.9378724144639072</v>
      </c>
      <c r="J163" s="130">
        <f t="shared" si="215"/>
        <v>9.3786153828168111</v>
      </c>
      <c r="K163" s="130">
        <f t="shared" si="215"/>
        <v>9.4962963368085518</v>
      </c>
      <c r="L163" s="130">
        <f t="shared" ref="L163" si="216">IF(L26=0,0,L26/L53)</f>
        <v>10.578396970670427</v>
      </c>
      <c r="M163" s="130">
        <f t="shared" ref="M163:V163" si="217">IF(M26=0,0,M26/M53)</f>
        <v>10.736238636832121</v>
      </c>
      <c r="N163" s="130">
        <f t="shared" si="217"/>
        <v>11.143279420767239</v>
      </c>
      <c r="O163" s="130">
        <f t="shared" si="217"/>
        <v>11.03399421460154</v>
      </c>
      <c r="P163" s="130">
        <f t="shared" si="217"/>
        <v>11.394210560592422</v>
      </c>
      <c r="Q163" s="130">
        <f t="shared" si="217"/>
        <v>11.496886999552311</v>
      </c>
      <c r="R163" s="130">
        <f t="shared" si="217"/>
        <v>11.411556823878668</v>
      </c>
      <c r="S163" s="130">
        <f t="shared" si="217"/>
        <v>12.12472690416023</v>
      </c>
      <c r="T163" s="130">
        <f t="shared" si="217"/>
        <v>12.016968902658016</v>
      </c>
      <c r="U163" s="130">
        <f t="shared" si="217"/>
        <v>12.412671637070575</v>
      </c>
      <c r="V163" s="130">
        <f t="shared" si="217"/>
        <v>12.042966860848434</v>
      </c>
      <c r="W163" s="130">
        <f t="shared" ref="W163" si="218">IF(W26=0,0,W26/W53)</f>
        <v>11.759942089709696</v>
      </c>
      <c r="DA163" s="176" t="s">
        <v>573</v>
      </c>
    </row>
    <row r="164" spans="1:105" ht="11.45" customHeight="1" x14ac:dyDescent="0.25">
      <c r="A164" s="128" t="s">
        <v>27</v>
      </c>
      <c r="B164" s="97">
        <v>7.1159631862900676</v>
      </c>
      <c r="C164" s="97">
        <v>6.8217211813274057</v>
      </c>
      <c r="D164" s="97">
        <v>6.9040563966254496</v>
      </c>
      <c r="E164" s="97">
        <v>8.7111111111111104</v>
      </c>
      <c r="F164" s="97">
        <v>7.6185567010309274</v>
      </c>
      <c r="G164" s="97">
        <v>9.3282828282828287</v>
      </c>
      <c r="H164" s="97">
        <v>9.4238095238095241</v>
      </c>
      <c r="I164" s="97">
        <v>8.6311111111111103</v>
      </c>
      <c r="J164" s="97">
        <v>8.0350877192982448</v>
      </c>
      <c r="K164" s="97">
        <v>8.0853658536585371</v>
      </c>
      <c r="L164" s="97">
        <v>9.2533333333333339</v>
      </c>
      <c r="M164" s="97">
        <v>9.4036144578313259</v>
      </c>
      <c r="N164" s="97">
        <v>9.9316770186335397</v>
      </c>
      <c r="O164" s="97">
        <v>9.5963855421686741</v>
      </c>
      <c r="P164" s="97">
        <v>10.006493506493506</v>
      </c>
      <c r="Q164" s="97">
        <v>9.9607843137254903</v>
      </c>
      <c r="R164" s="97">
        <v>10.067415730337078</v>
      </c>
      <c r="S164" s="97">
        <v>10.946308724832214</v>
      </c>
      <c r="T164" s="97">
        <v>10.738853503184714</v>
      </c>
      <c r="U164" s="97">
        <v>11.4</v>
      </c>
      <c r="V164" s="97">
        <v>10.434426229508198</v>
      </c>
      <c r="W164" s="97">
        <v>10.465116279069768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</v>
      </c>
      <c r="N165" s="98">
        <v>14.086426180736334</v>
      </c>
      <c r="O165" s="98">
        <v>14.105166269382361</v>
      </c>
      <c r="P165" s="98">
        <v>14.138211571635043</v>
      </c>
      <c r="Q165" s="98">
        <v>14.00555631773906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8447.5465108338631</v>
      </c>
      <c r="C167" s="54">
        <f t="shared" si="219"/>
        <v>10145.989172572308</v>
      </c>
      <c r="D167" s="54">
        <f t="shared" si="219"/>
        <v>9862.3905831326047</v>
      </c>
      <c r="E167" s="54">
        <f t="shared" si="219"/>
        <v>9367.6453441798822</v>
      </c>
      <c r="F167" s="54">
        <f t="shared" si="219"/>
        <v>8941.3540714305491</v>
      </c>
      <c r="G167" s="54">
        <f t="shared" si="219"/>
        <v>9126.6268727514544</v>
      </c>
      <c r="H167" s="54">
        <f t="shared" si="219"/>
        <v>9992.7146543246363</v>
      </c>
      <c r="I167" s="54">
        <f t="shared" si="219"/>
        <v>10605.642385805877</v>
      </c>
      <c r="J167" s="54">
        <f t="shared" si="219"/>
        <v>10194.118282517684</v>
      </c>
      <c r="K167" s="54">
        <f t="shared" si="219"/>
        <v>10277.225976277872</v>
      </c>
      <c r="L167" s="54">
        <f t="shared" si="219"/>
        <v>10051.769717770218</v>
      </c>
      <c r="M167" s="54">
        <f>IF(M30=0,0,M30*1000000/M57)</f>
        <v>9756.8389432397216</v>
      </c>
      <c r="N167" s="54">
        <f t="shared" ref="N167:V167" si="220">IF(N30=0,0,N30*1000000/N57)</f>
        <v>9532.4039344379526</v>
      </c>
      <c r="O167" s="54">
        <f t="shared" si="220"/>
        <v>9336.7472283231509</v>
      </c>
      <c r="P167" s="54">
        <f t="shared" si="220"/>
        <v>9248.1260046429852</v>
      </c>
      <c r="Q167" s="54">
        <f t="shared" si="220"/>
        <v>9557.9309276123859</v>
      </c>
      <c r="R167" s="54">
        <f t="shared" si="220"/>
        <v>9796.2791688571633</v>
      </c>
      <c r="S167" s="54">
        <f t="shared" si="220"/>
        <v>9962.3855278196006</v>
      </c>
      <c r="T167" s="54">
        <f t="shared" si="220"/>
        <v>10359.514492627726</v>
      </c>
      <c r="U167" s="54">
        <f t="shared" si="220"/>
        <v>10059.11707245493</v>
      </c>
      <c r="V167" s="54">
        <f t="shared" si="220"/>
        <v>9630.1848272396674</v>
      </c>
      <c r="W167" s="54">
        <f t="shared" ref="W167:W191" si="221">IF(W30=0,0,W30*1000000/W57)</f>
        <v>9765.5783991455501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7417.9135427031842</v>
      </c>
      <c r="C168" s="28">
        <f t="shared" si="219"/>
        <v>9261.6787128456399</v>
      </c>
      <c r="D168" s="28">
        <f t="shared" si="219"/>
        <v>8876.8353798302014</v>
      </c>
      <c r="E168" s="28">
        <f t="shared" si="219"/>
        <v>8394.3987301688358</v>
      </c>
      <c r="F168" s="28">
        <f t="shared" si="219"/>
        <v>7972.4440887336041</v>
      </c>
      <c r="G168" s="28">
        <f t="shared" si="219"/>
        <v>8297.5167101333482</v>
      </c>
      <c r="H168" s="28">
        <f t="shared" si="219"/>
        <v>9289.2429506725512</v>
      </c>
      <c r="I168" s="28">
        <f t="shared" si="219"/>
        <v>10021.855854885347</v>
      </c>
      <c r="J168" s="28">
        <f t="shared" si="219"/>
        <v>9643.3084868113274</v>
      </c>
      <c r="K168" s="28">
        <f t="shared" si="219"/>
        <v>9874.4314688583145</v>
      </c>
      <c r="L168" s="28">
        <f t="shared" si="219"/>
        <v>9669.9699670419868</v>
      </c>
      <c r="M168" s="28">
        <f t="shared" ref="M168:M192" si="222">IF(M31=0,0,M31*1000000/M58)</f>
        <v>9326.4937929243333</v>
      </c>
      <c r="N168" s="28">
        <f t="shared" si="219"/>
        <v>9129.588017312868</v>
      </c>
      <c r="O168" s="28">
        <f t="shared" si="219"/>
        <v>8889.4829695781118</v>
      </c>
      <c r="P168" s="28">
        <f t="shared" si="219"/>
        <v>8834.5790816555673</v>
      </c>
      <c r="Q168" s="28">
        <f t="shared" si="219"/>
        <v>9189.0986149589007</v>
      </c>
      <c r="R168" s="28">
        <f t="shared" si="219"/>
        <v>9401.6474940012122</v>
      </c>
      <c r="S168" s="28">
        <f t="shared" si="219"/>
        <v>9612.0773100632669</v>
      </c>
      <c r="T168" s="28">
        <f t="shared" si="219"/>
        <v>10001.015616199769</v>
      </c>
      <c r="U168" s="28">
        <f t="shared" si="219"/>
        <v>9684.9310064942074</v>
      </c>
      <c r="V168" s="28">
        <f t="shared" si="219"/>
        <v>9232.7666680834536</v>
      </c>
      <c r="W168" s="28">
        <f t="shared" si="221"/>
        <v>9307.0417834211821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1205.9837182802814</v>
      </c>
      <c r="C169" s="137">
        <f t="shared" si="219"/>
        <v>1205.0097019437801</v>
      </c>
      <c r="D169" s="137">
        <f t="shared" si="219"/>
        <v>1199.6915171049038</v>
      </c>
      <c r="E169" s="137">
        <f t="shared" si="219"/>
        <v>1193.4815110661284</v>
      </c>
      <c r="F169" s="137">
        <f t="shared" si="219"/>
        <v>1190.9962019858365</v>
      </c>
      <c r="G169" s="137">
        <f t="shared" si="219"/>
        <v>1185.5515217602801</v>
      </c>
      <c r="H169" s="137">
        <f t="shared" si="219"/>
        <v>1184.9692605640657</v>
      </c>
      <c r="I169" s="137">
        <f t="shared" si="219"/>
        <v>1184.5617140781656</v>
      </c>
      <c r="J169" s="137">
        <f t="shared" si="219"/>
        <v>1183.6550846705049</v>
      </c>
      <c r="K169" s="137">
        <f t="shared" si="219"/>
        <v>1176.0151891099981</v>
      </c>
      <c r="L169" s="137">
        <f t="shared" si="219"/>
        <v>1172.4889487277521</v>
      </c>
      <c r="M169" s="137">
        <f t="shared" si="222"/>
        <v>1171.2661929730773</v>
      </c>
      <c r="N169" s="137">
        <f t="shared" si="219"/>
        <v>1171.2075550074785</v>
      </c>
      <c r="O169" s="137">
        <f t="shared" si="219"/>
        <v>1168.3848937538453</v>
      </c>
      <c r="P169" s="137">
        <f t="shared" si="219"/>
        <v>1164.775413711584</v>
      </c>
      <c r="Q169" s="137">
        <f t="shared" si="219"/>
        <v>1160.4395604395604</v>
      </c>
      <c r="R169" s="137">
        <f t="shared" si="219"/>
        <v>1176.3328383501091</v>
      </c>
      <c r="S169" s="137">
        <f t="shared" si="219"/>
        <v>1060.7572640363248</v>
      </c>
      <c r="T169" s="137">
        <f t="shared" si="219"/>
        <v>969.81458221938124</v>
      </c>
      <c r="U169" s="137">
        <f t="shared" si="219"/>
        <v>978.27401718038777</v>
      </c>
      <c r="V169" s="137">
        <f t="shared" si="219"/>
        <v>842.69988817044259</v>
      </c>
      <c r="W169" s="137">
        <f t="shared" si="221"/>
        <v>841.28545539595461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7176.0856702526144</v>
      </c>
      <c r="C170" s="110">
        <f t="shared" si="219"/>
        <v>9084.4833318198125</v>
      </c>
      <c r="D170" s="110">
        <f t="shared" si="219"/>
        <v>8698.3535728712686</v>
      </c>
      <c r="E170" s="110">
        <f t="shared" si="219"/>
        <v>8222.9461184650172</v>
      </c>
      <c r="F170" s="110">
        <f t="shared" si="219"/>
        <v>7814.1469323886704</v>
      </c>
      <c r="G170" s="110">
        <f t="shared" si="219"/>
        <v>8164.6321107612466</v>
      </c>
      <c r="H170" s="110">
        <f t="shared" si="219"/>
        <v>9216.232938888119</v>
      </c>
      <c r="I170" s="110">
        <f t="shared" si="219"/>
        <v>10061.158235039378</v>
      </c>
      <c r="J170" s="110">
        <f t="shared" si="219"/>
        <v>9726.7707541366908</v>
      </c>
      <c r="K170" s="110">
        <f t="shared" si="219"/>
        <v>9998.2035925625769</v>
      </c>
      <c r="L170" s="110">
        <f t="shared" si="219"/>
        <v>9803.6616916194143</v>
      </c>
      <c r="M170" s="110">
        <f t="shared" si="222"/>
        <v>9495.9317064545594</v>
      </c>
      <c r="N170" s="110">
        <f t="shared" si="219"/>
        <v>9440.011737371784</v>
      </c>
      <c r="O170" s="110">
        <f t="shared" si="219"/>
        <v>9203.2283921114868</v>
      </c>
      <c r="P170" s="110">
        <f t="shared" si="219"/>
        <v>9166.5376636999445</v>
      </c>
      <c r="Q170" s="110">
        <f t="shared" si="219"/>
        <v>9562.4257608922799</v>
      </c>
      <c r="R170" s="110">
        <f t="shared" si="219"/>
        <v>9774.3288794698492</v>
      </c>
      <c r="S170" s="110">
        <f t="shared" si="219"/>
        <v>9993.3701566010059</v>
      </c>
      <c r="T170" s="110">
        <f t="shared" si="219"/>
        <v>10445.344669025153</v>
      </c>
      <c r="U170" s="110">
        <f t="shared" si="219"/>
        <v>10131.15152490716</v>
      </c>
      <c r="V170" s="110">
        <f t="shared" si="219"/>
        <v>9681.2983409173466</v>
      </c>
      <c r="W170" s="110">
        <f t="shared" si="221"/>
        <v>9767.034049549151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7170.5788411116919</v>
      </c>
      <c r="C171" s="84">
        <f t="shared" si="219"/>
        <v>9241.5633063034256</v>
      </c>
      <c r="D171" s="84">
        <f t="shared" si="219"/>
        <v>8769.7773328603289</v>
      </c>
      <c r="E171" s="84">
        <f t="shared" si="219"/>
        <v>7989.8238340282651</v>
      </c>
      <c r="F171" s="84">
        <f t="shared" si="219"/>
        <v>7298.5273946969364</v>
      </c>
      <c r="G171" s="84">
        <f t="shared" si="219"/>
        <v>7443.1452473428626</v>
      </c>
      <c r="H171" s="84">
        <f t="shared" si="219"/>
        <v>8157.3407146379841</v>
      </c>
      <c r="I171" s="84">
        <f t="shared" si="219"/>
        <v>8910.2742365461963</v>
      </c>
      <c r="J171" s="84">
        <f t="shared" si="219"/>
        <v>8691.9127736042701</v>
      </c>
      <c r="K171" s="84">
        <f t="shared" si="219"/>
        <v>8345.201469282365</v>
      </c>
      <c r="L171" s="84">
        <f t="shared" si="219"/>
        <v>8080.4355562428573</v>
      </c>
      <c r="M171" s="84">
        <f t="shared" si="222"/>
        <v>7449.5229657757654</v>
      </c>
      <c r="N171" s="84">
        <f t="shared" si="219"/>
        <v>7149.7231736228032</v>
      </c>
      <c r="O171" s="84">
        <f t="shared" si="219"/>
        <v>6779.4412460817612</v>
      </c>
      <c r="P171" s="84">
        <f t="shared" si="219"/>
        <v>6914.8546573799285</v>
      </c>
      <c r="Q171" s="84">
        <f t="shared" si="219"/>
        <v>6876.5933496540711</v>
      </c>
      <c r="R171" s="84">
        <f t="shared" si="219"/>
        <v>7288.6182319819181</v>
      </c>
      <c r="S171" s="84">
        <f t="shared" si="219"/>
        <v>7748.6285522126109</v>
      </c>
      <c r="T171" s="84">
        <f t="shared" si="219"/>
        <v>8253.7011906646476</v>
      </c>
      <c r="U171" s="84">
        <f t="shared" si="219"/>
        <v>8166.4544954751791</v>
      </c>
      <c r="V171" s="84">
        <f t="shared" si="219"/>
        <v>6574.6448543797533</v>
      </c>
      <c r="W171" s="84">
        <f t="shared" si="221"/>
        <v>6249.4012362400172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7146.6186068369416</v>
      </c>
      <c r="C172" s="84">
        <f t="shared" si="219"/>
        <v>7659.5191079758133</v>
      </c>
      <c r="D172" s="84">
        <f t="shared" si="219"/>
        <v>8035.6213984954038</v>
      </c>
      <c r="E172" s="84">
        <f t="shared" si="219"/>
        <v>9784.3780258285169</v>
      </c>
      <c r="F172" s="84">
        <f t="shared" si="219"/>
        <v>10846.087523781422</v>
      </c>
      <c r="G172" s="84">
        <f t="shared" si="219"/>
        <v>11883.357251444664</v>
      </c>
      <c r="H172" s="84">
        <f t="shared" si="219"/>
        <v>13763.458044303599</v>
      </c>
      <c r="I172" s="84">
        <f t="shared" si="219"/>
        <v>14032.072587210629</v>
      </c>
      <c r="J172" s="84">
        <f t="shared" si="219"/>
        <v>13080.772281182466</v>
      </c>
      <c r="K172" s="84">
        <f t="shared" si="219"/>
        <v>15304.540689986496</v>
      </c>
      <c r="L172" s="84">
        <f t="shared" si="219"/>
        <v>14971.434408167015</v>
      </c>
      <c r="M172" s="84">
        <f t="shared" si="222"/>
        <v>15021.45239263359</v>
      </c>
      <c r="N172" s="84">
        <f t="shared" si="219"/>
        <v>14846.47057833964</v>
      </c>
      <c r="O172" s="84">
        <f t="shared" si="219"/>
        <v>14248.352286901718</v>
      </c>
      <c r="P172" s="84">
        <f t="shared" si="219"/>
        <v>13407.729628501909</v>
      </c>
      <c r="Q172" s="84">
        <f t="shared" si="219"/>
        <v>14302.161098899312</v>
      </c>
      <c r="R172" s="84">
        <f t="shared" si="219"/>
        <v>13913.821204739488</v>
      </c>
      <c r="S172" s="84">
        <f t="shared" si="219"/>
        <v>13514.905201444166</v>
      </c>
      <c r="T172" s="84">
        <f t="shared" si="219"/>
        <v>13644.506730490757</v>
      </c>
      <c r="U172" s="84">
        <f t="shared" si="219"/>
        <v>12722.529392130713</v>
      </c>
      <c r="V172" s="84">
        <f t="shared" si="219"/>
        <v>13679.081586204957</v>
      </c>
      <c r="W172" s="84">
        <f t="shared" si="221"/>
        <v>14029.894409648441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12243.146458126686</v>
      </c>
      <c r="C173" s="84">
        <f t="shared" si="219"/>
        <v>16030.517727685283</v>
      </c>
      <c r="D173" s="84">
        <f t="shared" si="219"/>
        <v>15706.210368423233</v>
      </c>
      <c r="E173" s="84">
        <f t="shared" si="219"/>
        <v>14487.602883370395</v>
      </c>
      <c r="F173" s="84">
        <f t="shared" si="219"/>
        <v>13606.960324595526</v>
      </c>
      <c r="G173" s="84">
        <f t="shared" si="219"/>
        <v>13858.403901194864</v>
      </c>
      <c r="H173" s="84">
        <f t="shared" si="219"/>
        <v>15257.208825556707</v>
      </c>
      <c r="I173" s="84">
        <f t="shared" si="219"/>
        <v>16107.823881422177</v>
      </c>
      <c r="J173" s="84">
        <f t="shared" si="219"/>
        <v>14779.973308971099</v>
      </c>
      <c r="K173" s="84">
        <f t="shared" si="219"/>
        <v>14628.724017171744</v>
      </c>
      <c r="L173" s="84">
        <f t="shared" si="219"/>
        <v>14049.016803443375</v>
      </c>
      <c r="M173" s="84">
        <f t="shared" si="222"/>
        <v>13319.946792911891</v>
      </c>
      <c r="N173" s="84">
        <f t="shared" si="219"/>
        <v>12978.037286487532</v>
      </c>
      <c r="O173" s="84">
        <f t="shared" si="219"/>
        <v>12884.968131152691</v>
      </c>
      <c r="P173" s="84">
        <f t="shared" si="219"/>
        <v>12579.447319662309</v>
      </c>
      <c r="Q173" s="84">
        <f t="shared" si="219"/>
        <v>12892.652456649581</v>
      </c>
      <c r="R173" s="84">
        <f t="shared" si="219"/>
        <v>13456.659465682254</v>
      </c>
      <c r="S173" s="84">
        <f t="shared" si="219"/>
        <v>14048.944980071756</v>
      </c>
      <c r="T173" s="84">
        <f t="shared" si="219"/>
        <v>15011.193546349832</v>
      </c>
      <c r="U173" s="84">
        <f t="shared" si="219"/>
        <v>14828.193128563216</v>
      </c>
      <c r="V173" s="84">
        <f t="shared" si="219"/>
        <v>14420.387740656908</v>
      </c>
      <c r="W173" s="84">
        <f t="shared" si="221"/>
        <v>14845.596856638638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19665.747468160509</v>
      </c>
      <c r="M174" s="84">
        <f t="shared" si="222"/>
        <v>18737.407618302834</v>
      </c>
      <c r="N174" s="84">
        <f t="shared" si="219"/>
        <v>18114.041617366613</v>
      </c>
      <c r="O174" s="84">
        <f t="shared" si="219"/>
        <v>17272.480339610705</v>
      </c>
      <c r="P174" s="84">
        <f t="shared" si="219"/>
        <v>16843.643346552832</v>
      </c>
      <c r="Q174" s="84">
        <f t="shared" si="219"/>
        <v>17206.048920131121</v>
      </c>
      <c r="R174" s="84">
        <f t="shared" si="219"/>
        <v>17958.751455264446</v>
      </c>
      <c r="S174" s="84">
        <f t="shared" si="219"/>
        <v>18749.193419750558</v>
      </c>
      <c r="T174" s="84">
        <f t="shared" si="219"/>
        <v>20033.374154504436</v>
      </c>
      <c r="U174" s="84">
        <f t="shared" si="219"/>
        <v>19789.148681784358</v>
      </c>
      <c r="V174" s="84">
        <f t="shared" si="219"/>
        <v>19244.90695357505</v>
      </c>
      <c r="W174" s="84">
        <f t="shared" si="221"/>
        <v>19812.375042509215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0</v>
      </c>
      <c r="P175" s="84">
        <f t="shared" si="219"/>
        <v>8150.5726788078664</v>
      </c>
      <c r="Q175" s="84">
        <f t="shared" si="219"/>
        <v>8939.4295734154784</v>
      </c>
      <c r="R175" s="84">
        <f t="shared" si="219"/>
        <v>8690.1691008991766</v>
      </c>
      <c r="S175" s="84">
        <f t="shared" si="219"/>
        <v>8450.0272664059266</v>
      </c>
      <c r="T175" s="84">
        <f t="shared" si="219"/>
        <v>8409.1685372095144</v>
      </c>
      <c r="U175" s="84">
        <f t="shared" si="219"/>
        <v>8219.8694416037943</v>
      </c>
      <c r="V175" s="84">
        <f t="shared" si="219"/>
        <v>7445.2118050712606</v>
      </c>
      <c r="W175" s="84">
        <f t="shared" si="221"/>
        <v>7138.7342596607696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14593.609625970841</v>
      </c>
      <c r="K176" s="84">
        <f t="shared" si="219"/>
        <v>14658.266129295336</v>
      </c>
      <c r="L176" s="84">
        <f t="shared" si="219"/>
        <v>14692.765578441586</v>
      </c>
      <c r="M176" s="84">
        <f t="shared" si="222"/>
        <v>14742.122375661393</v>
      </c>
      <c r="N176" s="84">
        <f t="shared" si="219"/>
        <v>14776.021036633792</v>
      </c>
      <c r="O176" s="84">
        <f t="shared" si="219"/>
        <v>14818.079798231094</v>
      </c>
      <c r="P176" s="84">
        <f t="shared" si="219"/>
        <v>14836.200847629831</v>
      </c>
      <c r="Q176" s="84">
        <f t="shared" si="219"/>
        <v>14844.71567375564</v>
      </c>
      <c r="R176" s="84">
        <f t="shared" si="219"/>
        <v>14838.501421194433</v>
      </c>
      <c r="S176" s="84">
        <f t="shared" si="219"/>
        <v>14791.995466438533</v>
      </c>
      <c r="T176" s="84">
        <f t="shared" si="219"/>
        <v>14751.902489391898</v>
      </c>
      <c r="U176" s="84">
        <f t="shared" si="219"/>
        <v>14744.985043924902</v>
      </c>
      <c r="V176" s="84">
        <f t="shared" si="219"/>
        <v>13145.969422312608</v>
      </c>
      <c r="W176" s="84">
        <f t="shared" si="221"/>
        <v>14562.436398513917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30746.444318639267</v>
      </c>
      <c r="C177" s="110">
        <f t="shared" si="219"/>
        <v>31295.178880487398</v>
      </c>
      <c r="D177" s="110">
        <f t="shared" si="219"/>
        <v>31873.195618939444</v>
      </c>
      <c r="E177" s="110">
        <f t="shared" si="219"/>
        <v>32511.016272717723</v>
      </c>
      <c r="F177" s="110">
        <f t="shared" si="219"/>
        <v>33146.864263843308</v>
      </c>
      <c r="G177" s="110">
        <f t="shared" si="219"/>
        <v>33825.828543340569</v>
      </c>
      <c r="H177" s="110">
        <f t="shared" si="219"/>
        <v>34541.443216199666</v>
      </c>
      <c r="I177" s="110">
        <f t="shared" si="219"/>
        <v>33587.634539068022</v>
      </c>
      <c r="J177" s="110">
        <f t="shared" si="219"/>
        <v>32846.356491854458</v>
      </c>
      <c r="K177" s="110">
        <f t="shared" si="219"/>
        <v>32126.667566656284</v>
      </c>
      <c r="L177" s="110">
        <f t="shared" si="219"/>
        <v>31513.378918533876</v>
      </c>
      <c r="M177" s="110">
        <f t="shared" si="222"/>
        <v>30891.495390516371</v>
      </c>
      <c r="N177" s="110">
        <f t="shared" si="219"/>
        <v>30339.136332805789</v>
      </c>
      <c r="O177" s="110">
        <f t="shared" si="219"/>
        <v>30947.039204860066</v>
      </c>
      <c r="P177" s="110">
        <f t="shared" si="219"/>
        <v>31619.24666696135</v>
      </c>
      <c r="Q177" s="110">
        <f t="shared" si="219"/>
        <v>32314.320886335659</v>
      </c>
      <c r="R177" s="110">
        <f t="shared" si="219"/>
        <v>37626.088717844847</v>
      </c>
      <c r="S177" s="110">
        <f t="shared" si="219"/>
        <v>42229.676400947123</v>
      </c>
      <c r="T177" s="110">
        <f t="shared" si="219"/>
        <v>41439.482961222093</v>
      </c>
      <c r="U177" s="110">
        <f t="shared" si="219"/>
        <v>38182.340547787782</v>
      </c>
      <c r="V177" s="110">
        <f t="shared" si="219"/>
        <v>36834.437086092723</v>
      </c>
      <c r="W177" s="110">
        <f t="shared" si="221"/>
        <v>38753.256419799036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19872.144255810341</v>
      </c>
      <c r="C178" s="102">
        <f t="shared" si="219"/>
        <v>19847.747474983898</v>
      </c>
      <c r="D178" s="102">
        <f t="shared" si="219"/>
        <v>19836.115681018397</v>
      </c>
      <c r="E178" s="102">
        <f t="shared" si="219"/>
        <v>19855.994540274085</v>
      </c>
      <c r="F178" s="102">
        <f t="shared" si="219"/>
        <v>19866.619438835151</v>
      </c>
      <c r="G178" s="102">
        <f t="shared" si="219"/>
        <v>20708.287694641604</v>
      </c>
      <c r="H178" s="102">
        <f t="shared" si="219"/>
        <v>21013.103997435563</v>
      </c>
      <c r="I178" s="102">
        <f t="shared" si="219"/>
        <v>20820.685345802587</v>
      </c>
      <c r="J178" s="102">
        <f t="shared" si="219"/>
        <v>19939.672517978037</v>
      </c>
      <c r="K178" s="102">
        <f t="shared" si="219"/>
        <v>19099.203264145217</v>
      </c>
      <c r="L178" s="102">
        <f t="shared" si="219"/>
        <v>18349.56763827286</v>
      </c>
      <c r="M178" s="102">
        <f t="shared" si="222"/>
        <v>17618.49624167661</v>
      </c>
      <c r="N178" s="102">
        <f t="shared" si="219"/>
        <v>17440.520647704339</v>
      </c>
      <c r="O178" s="102">
        <f t="shared" si="219"/>
        <v>17273.077388567526</v>
      </c>
      <c r="P178" s="102">
        <f t="shared" si="219"/>
        <v>18030.447335675042</v>
      </c>
      <c r="Q178" s="102">
        <f t="shared" si="219"/>
        <v>18829.278978384038</v>
      </c>
      <c r="R178" s="102">
        <f t="shared" si="219"/>
        <v>21650.030363060163</v>
      </c>
      <c r="S178" s="102">
        <f t="shared" si="219"/>
        <v>23950.781993782377</v>
      </c>
      <c r="T178" s="102">
        <f t="shared" si="219"/>
        <v>23010.82431883533</v>
      </c>
      <c r="U178" s="102">
        <f t="shared" si="219"/>
        <v>20693.258454669394</v>
      </c>
      <c r="V178" s="102">
        <f t="shared" si="219"/>
        <v>19528.371246607599</v>
      </c>
      <c r="W178" s="102">
        <f t="shared" si="221"/>
        <v>20185.939689195817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38827.087892369738</v>
      </c>
      <c r="C179" s="102">
        <f t="shared" si="219"/>
        <v>38677.350603305669</v>
      </c>
      <c r="D179" s="102">
        <f t="shared" si="219"/>
        <v>38342.125219723501</v>
      </c>
      <c r="E179" s="102">
        <f t="shared" si="219"/>
        <v>37835.664033141868</v>
      </c>
      <c r="F179" s="102">
        <f t="shared" si="219"/>
        <v>38005.899085004516</v>
      </c>
      <c r="G179" s="102">
        <f t="shared" si="219"/>
        <v>37322.817820996068</v>
      </c>
      <c r="H179" s="102">
        <f t="shared" si="219"/>
        <v>38081.772355789086</v>
      </c>
      <c r="I179" s="102">
        <f t="shared" si="219"/>
        <v>35611.972140680089</v>
      </c>
      <c r="J179" s="102">
        <f t="shared" si="219"/>
        <v>34374.351823774341</v>
      </c>
      <c r="K179" s="102">
        <f t="shared" si="219"/>
        <v>33245.406490353089</v>
      </c>
      <c r="L179" s="102">
        <f t="shared" si="219"/>
        <v>31982.402247196082</v>
      </c>
      <c r="M179" s="102">
        <f t="shared" si="222"/>
        <v>31273.914217016751</v>
      </c>
      <c r="N179" s="102">
        <f t="shared" si="219"/>
        <v>30639.50797683802</v>
      </c>
      <c r="O179" s="102">
        <f t="shared" si="219"/>
        <v>31258.583580213006</v>
      </c>
      <c r="P179" s="102">
        <f t="shared" si="219"/>
        <v>31895.485162208603</v>
      </c>
      <c r="Q179" s="102">
        <f t="shared" si="219"/>
        <v>32540.475829417584</v>
      </c>
      <c r="R179" s="102">
        <f t="shared" si="219"/>
        <v>38016.50375399513</v>
      </c>
      <c r="S179" s="102">
        <f t="shared" si="219"/>
        <v>42698.512668015333</v>
      </c>
      <c r="T179" s="102">
        <f t="shared" si="219"/>
        <v>41815.006408039502</v>
      </c>
      <c r="U179" s="102">
        <f t="shared" si="219"/>
        <v>38436.440921534457</v>
      </c>
      <c r="V179" s="102">
        <f t="shared" si="219"/>
        <v>36866.163599300016</v>
      </c>
      <c r="W179" s="102">
        <f t="shared" si="221"/>
        <v>38489.343906839102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24968.194519433953</v>
      </c>
      <c r="U180" s="102">
        <f t="shared" si="223"/>
        <v>22682.606744528162</v>
      </c>
      <c r="V180" s="102">
        <f t="shared" si="223"/>
        <v>21624.158845342707</v>
      </c>
      <c r="W180" s="102">
        <f t="shared" si="221"/>
        <v>22580.382297023105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39235.80518910064</v>
      </c>
      <c r="M181" s="102">
        <f t="shared" si="222"/>
        <v>38426.050024084332</v>
      </c>
      <c r="N181" s="102">
        <f t="shared" si="223"/>
        <v>38798.641828174979</v>
      </c>
      <c r="O181" s="102">
        <f t="shared" si="223"/>
        <v>39194.66600423678</v>
      </c>
      <c r="P181" s="102">
        <f t="shared" si="223"/>
        <v>40094.963880760108</v>
      </c>
      <c r="Q181" s="102">
        <f t="shared" si="223"/>
        <v>41033.927864030047</v>
      </c>
      <c r="R181" s="102">
        <f t="shared" si="223"/>
        <v>48143.962779377027</v>
      </c>
      <c r="S181" s="102">
        <f t="shared" si="223"/>
        <v>54347.171593633408</v>
      </c>
      <c r="T181" s="102">
        <f t="shared" si="223"/>
        <v>53279.893763025051</v>
      </c>
      <c r="U181" s="102">
        <f t="shared" si="223"/>
        <v>48891.569587257523</v>
      </c>
      <c r="V181" s="102">
        <f t="shared" si="223"/>
        <v>47080.931282515703</v>
      </c>
      <c r="W181" s="102">
        <f t="shared" si="221"/>
        <v>49659.451431080299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46410.795527140239</v>
      </c>
      <c r="M182" s="102">
        <f t="shared" si="222"/>
        <v>46456.90679621794</v>
      </c>
      <c r="N182" s="102">
        <f t="shared" si="223"/>
        <v>46478.258928863179</v>
      </c>
      <c r="O182" s="102">
        <f t="shared" si="223"/>
        <v>46500.740862341423</v>
      </c>
      <c r="P182" s="102">
        <f t="shared" si="223"/>
        <v>46551.055450760032</v>
      </c>
      <c r="Q182" s="102">
        <f t="shared" si="223"/>
        <v>46602.397405751166</v>
      </c>
      <c r="R182" s="102">
        <f t="shared" si="223"/>
        <v>46249.128868395521</v>
      </c>
      <c r="S182" s="102">
        <f t="shared" si="223"/>
        <v>45982.981062554114</v>
      </c>
      <c r="T182" s="102">
        <f t="shared" si="223"/>
        <v>45939.572742311553</v>
      </c>
      <c r="U182" s="102">
        <f t="shared" si="223"/>
        <v>45751.924059964302</v>
      </c>
      <c r="V182" s="102">
        <f t="shared" si="223"/>
        <v>44535.15626663735</v>
      </c>
      <c r="W182" s="102">
        <f t="shared" si="221"/>
        <v>45717.98490754779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15667.186911288367</v>
      </c>
      <c r="C183" s="28">
        <f t="shared" si="223"/>
        <v>16615.667303255184</v>
      </c>
      <c r="D183" s="28">
        <f t="shared" si="223"/>
        <v>16933.529875280281</v>
      </c>
      <c r="E183" s="28">
        <f t="shared" si="223"/>
        <v>16618.944988260711</v>
      </c>
      <c r="F183" s="28">
        <f t="shared" si="223"/>
        <v>16997.429156271912</v>
      </c>
      <c r="G183" s="28">
        <f t="shared" si="223"/>
        <v>16517.575382181873</v>
      </c>
      <c r="H183" s="28">
        <f t="shared" si="223"/>
        <v>16430.555191864074</v>
      </c>
      <c r="I183" s="28">
        <f t="shared" si="223"/>
        <v>16127.19555077004</v>
      </c>
      <c r="J183" s="28">
        <f t="shared" si="223"/>
        <v>15441.973425691416</v>
      </c>
      <c r="K183" s="28">
        <f t="shared" si="223"/>
        <v>14185.176250553639</v>
      </c>
      <c r="L183" s="28">
        <f t="shared" si="223"/>
        <v>13810.780594393327</v>
      </c>
      <c r="M183" s="28">
        <f t="shared" si="222"/>
        <v>13948.693411705359</v>
      </c>
      <c r="N183" s="28">
        <f t="shared" si="223"/>
        <v>13475.387254256313</v>
      </c>
      <c r="O183" s="28">
        <f t="shared" si="223"/>
        <v>13654.952211615127</v>
      </c>
      <c r="P183" s="28">
        <f t="shared" si="223"/>
        <v>13160.715326330357</v>
      </c>
      <c r="Q183" s="28">
        <f t="shared" si="223"/>
        <v>12941.70208270709</v>
      </c>
      <c r="R183" s="28">
        <f t="shared" si="223"/>
        <v>13285.467640539544</v>
      </c>
      <c r="S183" s="28">
        <f t="shared" si="223"/>
        <v>12926.222065095795</v>
      </c>
      <c r="T183" s="28">
        <f t="shared" si="223"/>
        <v>13259.212349499636</v>
      </c>
      <c r="U183" s="28">
        <f t="shared" si="223"/>
        <v>12984.654845411575</v>
      </c>
      <c r="V183" s="28">
        <f t="shared" si="223"/>
        <v>12669.9254374186</v>
      </c>
      <c r="W183" s="28">
        <f t="shared" si="221"/>
        <v>13223.741395676923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15071.459967282914</v>
      </c>
      <c r="C184" s="137">
        <f t="shared" si="223"/>
        <v>15914.3927559331</v>
      </c>
      <c r="D184" s="137">
        <f t="shared" si="223"/>
        <v>16260.68819674419</v>
      </c>
      <c r="E184" s="137">
        <f t="shared" si="223"/>
        <v>15811.476528896828</v>
      </c>
      <c r="F184" s="137">
        <f t="shared" si="223"/>
        <v>15832.88166038626</v>
      </c>
      <c r="G184" s="137">
        <f t="shared" si="223"/>
        <v>15218.846085917881</v>
      </c>
      <c r="H184" s="137">
        <f t="shared" si="223"/>
        <v>15110.838862152925</v>
      </c>
      <c r="I184" s="137">
        <f t="shared" si="223"/>
        <v>14429.461052287155</v>
      </c>
      <c r="J184" s="137">
        <f t="shared" si="223"/>
        <v>13830.729338235551</v>
      </c>
      <c r="K184" s="137">
        <f t="shared" si="223"/>
        <v>13249.332640949498</v>
      </c>
      <c r="L184" s="137">
        <f t="shared" si="223"/>
        <v>12825.955407810838</v>
      </c>
      <c r="M184" s="137">
        <f t="shared" si="222"/>
        <v>12772.547626969746</v>
      </c>
      <c r="N184" s="137">
        <f t="shared" si="223"/>
        <v>12524.304844164544</v>
      </c>
      <c r="O184" s="137">
        <f t="shared" si="223"/>
        <v>12304.839793589434</v>
      </c>
      <c r="P184" s="137">
        <f t="shared" si="223"/>
        <v>12114.800636070455</v>
      </c>
      <c r="Q184" s="137">
        <f t="shared" si="223"/>
        <v>11802.743935748242</v>
      </c>
      <c r="R184" s="137">
        <f t="shared" si="223"/>
        <v>12099.669157109945</v>
      </c>
      <c r="S184" s="137">
        <f t="shared" si="223"/>
        <v>12391.593487120017</v>
      </c>
      <c r="T184" s="137">
        <f t="shared" si="223"/>
        <v>12849.871274367199</v>
      </c>
      <c r="U184" s="137">
        <f t="shared" si="223"/>
        <v>13056.489547878535</v>
      </c>
      <c r="V184" s="137">
        <f t="shared" si="223"/>
        <v>12879.810668527281</v>
      </c>
      <c r="W184" s="137">
        <f t="shared" si="221"/>
        <v>13114.053142894636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14386.96440886808</v>
      </c>
      <c r="C185" s="84">
        <f t="shared" si="223"/>
        <v>16303.346621914525</v>
      </c>
      <c r="D185" s="84">
        <f t="shared" si="223"/>
        <v>16297.834268379982</v>
      </c>
      <c r="E185" s="84">
        <f t="shared" si="223"/>
        <v>15605.35161562008</v>
      </c>
      <c r="F185" s="84">
        <f t="shared" si="223"/>
        <v>16684.762032557413</v>
      </c>
      <c r="G185" s="84">
        <f t="shared" si="223"/>
        <v>15333.274408355277</v>
      </c>
      <c r="H185" s="84">
        <f t="shared" si="223"/>
        <v>15859.758409476233</v>
      </c>
      <c r="I185" s="84">
        <f t="shared" si="223"/>
        <v>14115.997836762266</v>
      </c>
      <c r="J185" s="84">
        <f t="shared" si="223"/>
        <v>12600.481658294239</v>
      </c>
      <c r="K185" s="84">
        <f t="shared" si="223"/>
        <v>11223.662263483726</v>
      </c>
      <c r="L185" s="84">
        <f t="shared" si="223"/>
        <v>10286.961533447502</v>
      </c>
      <c r="M185" s="84">
        <f t="shared" si="222"/>
        <v>10707.138646469602</v>
      </c>
      <c r="N185" s="84">
        <f t="shared" si="223"/>
        <v>10257.475555318464</v>
      </c>
      <c r="O185" s="84">
        <f t="shared" si="223"/>
        <v>9628.4816670872406</v>
      </c>
      <c r="P185" s="84">
        <f t="shared" si="223"/>
        <v>9373.5903430321396</v>
      </c>
      <c r="Q185" s="84">
        <f t="shared" si="223"/>
        <v>9009.635058246502</v>
      </c>
      <c r="R185" s="84">
        <f t="shared" si="223"/>
        <v>8459.0903475843352</v>
      </c>
      <c r="S185" s="84">
        <f t="shared" si="223"/>
        <v>8389.3526716769102</v>
      </c>
      <c r="T185" s="84">
        <f t="shared" si="223"/>
        <v>9277.8238488003863</v>
      </c>
      <c r="U185" s="84">
        <f t="shared" si="223"/>
        <v>8563.8805522750536</v>
      </c>
      <c r="V185" s="84">
        <f t="shared" si="223"/>
        <v>7666.80500487674</v>
      </c>
      <c r="W185" s="84">
        <f t="shared" si="221"/>
        <v>7061.6919225735455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15314.214900196954</v>
      </c>
      <c r="C186" s="84">
        <f t="shared" si="223"/>
        <v>15774.885411429104</v>
      </c>
      <c r="D186" s="84">
        <f t="shared" si="223"/>
        <v>16247.21837245664</v>
      </c>
      <c r="E186" s="84">
        <f t="shared" si="223"/>
        <v>15885.495888655016</v>
      </c>
      <c r="F186" s="84">
        <f t="shared" si="223"/>
        <v>15526.597316233132</v>
      </c>
      <c r="G186" s="84">
        <f t="shared" si="223"/>
        <v>15177.502125389461</v>
      </c>
      <c r="H186" s="84">
        <f t="shared" si="223"/>
        <v>14845.849312850991</v>
      </c>
      <c r="I186" s="84">
        <f t="shared" si="223"/>
        <v>14534.923452924553</v>
      </c>
      <c r="J186" s="84">
        <f t="shared" si="223"/>
        <v>14271.873822901049</v>
      </c>
      <c r="K186" s="84">
        <f t="shared" si="223"/>
        <v>13983.668688160144</v>
      </c>
      <c r="L186" s="84">
        <f t="shared" si="223"/>
        <v>13708.912355944673</v>
      </c>
      <c r="M186" s="84">
        <f t="shared" si="222"/>
        <v>13460.080298690025</v>
      </c>
      <c r="N186" s="84">
        <f t="shared" si="223"/>
        <v>13224.768410363658</v>
      </c>
      <c r="O186" s="84">
        <f t="shared" si="223"/>
        <v>13015.015516642845</v>
      </c>
      <c r="P186" s="84">
        <f t="shared" si="223"/>
        <v>12790.28026063112</v>
      </c>
      <c r="Q186" s="84">
        <f t="shared" si="223"/>
        <v>12451.835023220861</v>
      </c>
      <c r="R186" s="84">
        <f t="shared" si="223"/>
        <v>12894.188728492536</v>
      </c>
      <c r="S186" s="84">
        <f t="shared" si="223"/>
        <v>13218.115734633444</v>
      </c>
      <c r="T186" s="84">
        <f t="shared" si="223"/>
        <v>13550.691989633055</v>
      </c>
      <c r="U186" s="84">
        <f t="shared" si="223"/>
        <v>13897.716328872459</v>
      </c>
      <c r="V186" s="84">
        <f t="shared" si="223"/>
        <v>13824.350934804323</v>
      </c>
      <c r="W186" s="84">
        <f t="shared" si="221"/>
        <v>14148.050121274333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7543.683894546708</v>
      </c>
      <c r="S187" s="84">
        <f t="shared" si="223"/>
        <v>7655.8638929828658</v>
      </c>
      <c r="T187" s="84">
        <f t="shared" si="223"/>
        <v>7770.0054270199935</v>
      </c>
      <c r="U187" s="84">
        <f t="shared" si="223"/>
        <v>7889.3002709622569</v>
      </c>
      <c r="V187" s="84">
        <f t="shared" si="223"/>
        <v>7769.1764938211854</v>
      </c>
      <c r="W187" s="84">
        <f t="shared" si="221"/>
        <v>7871.5819617460202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9341.2232300977012</v>
      </c>
      <c r="O188" s="84">
        <f t="shared" si="223"/>
        <v>9285.9249816040101</v>
      </c>
      <c r="P188" s="84">
        <f t="shared" si="223"/>
        <v>9217.7589491165563</v>
      </c>
      <c r="Q188" s="84">
        <f t="shared" si="223"/>
        <v>9155.1364852049173</v>
      </c>
      <c r="R188" s="84">
        <f t="shared" si="223"/>
        <v>9292.6441893146693</v>
      </c>
      <c r="S188" s="84">
        <f t="shared" si="223"/>
        <v>9430.832483680857</v>
      </c>
      <c r="T188" s="84">
        <f t="shared" si="223"/>
        <v>9571.4370845438825</v>
      </c>
      <c r="U188" s="84">
        <f t="shared" si="223"/>
        <v>9718.3897609645701</v>
      </c>
      <c r="V188" s="84">
        <f t="shared" si="223"/>
        <v>9570.4159678877622</v>
      </c>
      <c r="W188" s="84">
        <f t="shared" si="221"/>
        <v>9696.5635623215221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8398.6278329663528</v>
      </c>
      <c r="J189" s="84">
        <f t="shared" si="223"/>
        <v>8405.9352298098001</v>
      </c>
      <c r="K189" s="84">
        <f t="shared" si="223"/>
        <v>8414.1052067800101</v>
      </c>
      <c r="L189" s="84">
        <f t="shared" si="223"/>
        <v>8422.0598805703303</v>
      </c>
      <c r="M189" s="84">
        <f t="shared" si="222"/>
        <v>8429.4094752671936</v>
      </c>
      <c r="N189" s="84">
        <f t="shared" si="223"/>
        <v>8436.4918779711224</v>
      </c>
      <c r="O189" s="84">
        <f t="shared" si="223"/>
        <v>8442.9171997211579</v>
      </c>
      <c r="P189" s="84">
        <f t="shared" si="223"/>
        <v>8449.9229830485347</v>
      </c>
      <c r="Q189" s="84">
        <f t="shared" si="223"/>
        <v>8456.7126849534579</v>
      </c>
      <c r="R189" s="84">
        <f t="shared" si="223"/>
        <v>8446.6678967459684</v>
      </c>
      <c r="S189" s="84">
        <f t="shared" si="223"/>
        <v>8436.6940240580607</v>
      </c>
      <c r="T189" s="84">
        <f t="shared" si="223"/>
        <v>8426.7167791777374</v>
      </c>
      <c r="U189" s="84">
        <f t="shared" si="223"/>
        <v>8416.5759478192285</v>
      </c>
      <c r="V189" s="84">
        <f t="shared" si="223"/>
        <v>8384.8157382743448</v>
      </c>
      <c r="W189" s="84">
        <f t="shared" si="221"/>
        <v>8409.4239847770277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20205.889504721821</v>
      </c>
      <c r="C190" s="110">
        <f t="shared" si="223"/>
        <v>23470.803757860838</v>
      </c>
      <c r="D190" s="110">
        <f t="shared" si="223"/>
        <v>21578.379340188858</v>
      </c>
      <c r="E190" s="110">
        <f t="shared" si="223"/>
        <v>20083.557124647134</v>
      </c>
      <c r="F190" s="110">
        <f t="shared" si="223"/>
        <v>21722.490349737633</v>
      </c>
      <c r="G190" s="110">
        <f t="shared" si="223"/>
        <v>21403.88469728878</v>
      </c>
      <c r="H190" s="110">
        <f t="shared" si="223"/>
        <v>20870.545129610284</v>
      </c>
      <c r="I190" s="110">
        <f t="shared" si="223"/>
        <v>21540.434317755073</v>
      </c>
      <c r="J190" s="110">
        <f t="shared" si="223"/>
        <v>20593.687796468424</v>
      </c>
      <c r="K190" s="110">
        <f t="shared" si="223"/>
        <v>17684.351749830603</v>
      </c>
      <c r="L190" s="110">
        <f t="shared" si="223"/>
        <v>17840.926369671644</v>
      </c>
      <c r="M190" s="110">
        <f t="shared" si="222"/>
        <v>18625.315957006333</v>
      </c>
      <c r="N190" s="110">
        <f t="shared" si="223"/>
        <v>17259.926753344145</v>
      </c>
      <c r="O190" s="110">
        <f t="shared" si="223"/>
        <v>20024.997819095435</v>
      </c>
      <c r="P190" s="110">
        <f t="shared" si="223"/>
        <v>18182.549272381824</v>
      </c>
      <c r="Q190" s="110">
        <f t="shared" si="223"/>
        <v>18612.08779911169</v>
      </c>
      <c r="R190" s="110">
        <f t="shared" si="223"/>
        <v>19263.415040948388</v>
      </c>
      <c r="S190" s="110">
        <f t="shared" si="223"/>
        <v>15604.504946499974</v>
      </c>
      <c r="T190" s="110">
        <f t="shared" si="223"/>
        <v>15345.814955502374</v>
      </c>
      <c r="U190" s="110">
        <f t="shared" si="223"/>
        <v>12641.135916005445</v>
      </c>
      <c r="V190" s="110">
        <f t="shared" si="223"/>
        <v>11655.292746637278</v>
      </c>
      <c r="W190" s="110">
        <f t="shared" si="221"/>
        <v>13779.149929158006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15351.919988774729</v>
      </c>
      <c r="C191" s="102">
        <f t="shared" si="223"/>
        <v>16735.756802721087</v>
      </c>
      <c r="D191" s="102">
        <f t="shared" si="223"/>
        <v>16375.355780294311</v>
      </c>
      <c r="E191" s="102">
        <f t="shared" si="223"/>
        <v>16682.113067655235</v>
      </c>
      <c r="F191" s="102">
        <f t="shared" si="223"/>
        <v>17834.160691303547</v>
      </c>
      <c r="G191" s="102">
        <f t="shared" si="223"/>
        <v>17512.825048646737</v>
      </c>
      <c r="H191" s="102">
        <f t="shared" si="223"/>
        <v>17009.557751498462</v>
      </c>
      <c r="I191" s="102">
        <f t="shared" si="223"/>
        <v>17462.165308498254</v>
      </c>
      <c r="J191" s="102">
        <f t="shared" si="223"/>
        <v>16819.120684567719</v>
      </c>
      <c r="K191" s="102">
        <f t="shared" si="223"/>
        <v>13993.174061433447</v>
      </c>
      <c r="L191" s="102">
        <f t="shared" si="223"/>
        <v>13821.063300469916</v>
      </c>
      <c r="M191" s="102">
        <f t="shared" si="222"/>
        <v>14257.493773082539</v>
      </c>
      <c r="N191" s="102">
        <f t="shared" si="223"/>
        <v>12996.448175653859</v>
      </c>
      <c r="O191" s="102">
        <f t="shared" si="223"/>
        <v>14747.690120824449</v>
      </c>
      <c r="P191" s="102">
        <f t="shared" si="223"/>
        <v>13010.053222945004</v>
      </c>
      <c r="Q191" s="102">
        <f t="shared" si="223"/>
        <v>12590.520078999341</v>
      </c>
      <c r="R191" s="102">
        <f t="shared" si="223"/>
        <v>13636.711867003754</v>
      </c>
      <c r="S191" s="102">
        <f t="shared" si="223"/>
        <v>10404.301375602263</v>
      </c>
      <c r="T191" s="102">
        <f t="shared" si="223"/>
        <v>10301.837270341208</v>
      </c>
      <c r="U191" s="102">
        <f t="shared" si="223"/>
        <v>8370.0686345628037</v>
      </c>
      <c r="V191" s="102">
        <f t="shared" si="223"/>
        <v>6649.5884885812393</v>
      </c>
      <c r="W191" s="102">
        <f t="shared" si="221"/>
        <v>9337.6764386536379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85041.053753443703</v>
      </c>
      <c r="C192" s="86">
        <f t="shared" si="223"/>
        <v>84931.308291455542</v>
      </c>
      <c r="D192" s="86">
        <f t="shared" si="223"/>
        <v>84993.169202194724</v>
      </c>
      <c r="E192" s="86">
        <f t="shared" si="223"/>
        <v>85042.108230740181</v>
      </c>
      <c r="F192" s="86">
        <f t="shared" si="223"/>
        <v>85041.726913279519</v>
      </c>
      <c r="G192" s="86">
        <f t="shared" si="223"/>
        <v>84976.602020333492</v>
      </c>
      <c r="H192" s="86">
        <f t="shared" si="223"/>
        <v>85026.332707226102</v>
      </c>
      <c r="I192" s="86">
        <f t="shared" si="223"/>
        <v>85004.801690066859</v>
      </c>
      <c r="J192" s="86">
        <f t="shared" si="223"/>
        <v>85037.05274473787</v>
      </c>
      <c r="K192" s="86">
        <f t="shared" si="223"/>
        <v>84963.671357940533</v>
      </c>
      <c r="L192" s="86">
        <f t="shared" si="223"/>
        <v>85063.690452947994</v>
      </c>
      <c r="M192" s="86">
        <f t="shared" si="222"/>
        <v>85015.072729101332</v>
      </c>
      <c r="N192" s="86">
        <f t="shared" si="223"/>
        <v>84972.712164148354</v>
      </c>
      <c r="O192" s="86">
        <f t="shared" si="223"/>
        <v>85015.561770668937</v>
      </c>
      <c r="P192" s="86">
        <f t="shared" si="223"/>
        <v>85024.073002931647</v>
      </c>
      <c r="Q192" s="86">
        <f t="shared" si="223"/>
        <v>85013.259246303394</v>
      </c>
      <c r="R192" s="86">
        <f t="shared" si="223"/>
        <v>85015.748549900323</v>
      </c>
      <c r="S192" s="86">
        <f t="shared" si="223"/>
        <v>85010.01784382161</v>
      </c>
      <c r="T192" s="86">
        <f t="shared" si="223"/>
        <v>84974.637348488046</v>
      </c>
      <c r="U192" s="86">
        <f t="shared" si="223"/>
        <v>84986.879536736626</v>
      </c>
      <c r="V192" s="86">
        <f t="shared" ref="V192:W192" si="224">IF(V55=0,0,V55*1000000/V82)</f>
        <v>85009.6505921278</v>
      </c>
      <c r="W192" s="86">
        <f t="shared" si="224"/>
        <v>84981.884215572689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21925.080039819401</v>
      </c>
      <c r="C195" s="28">
        <f t="shared" si="225"/>
        <v>22101.587027637921</v>
      </c>
      <c r="D195" s="28">
        <f t="shared" si="225"/>
        <v>22729.586687075851</v>
      </c>
      <c r="E195" s="28">
        <f t="shared" si="225"/>
        <v>22277.457619715948</v>
      </c>
      <c r="F195" s="28">
        <f t="shared" si="225"/>
        <v>21203.390870203439</v>
      </c>
      <c r="G195" s="28">
        <f t="shared" si="225"/>
        <v>24853.01069564619</v>
      </c>
      <c r="H195" s="28">
        <f t="shared" si="225"/>
        <v>24569.047596064382</v>
      </c>
      <c r="I195" s="28">
        <f t="shared" si="225"/>
        <v>23372.795304147272</v>
      </c>
      <c r="J195" s="28">
        <f t="shared" si="225"/>
        <v>22613.686316243489</v>
      </c>
      <c r="K195" s="28">
        <f t="shared" si="225"/>
        <v>22235.260353749745</v>
      </c>
      <c r="L195" s="28">
        <f t="shared" si="225"/>
        <v>21134.936577403147</v>
      </c>
      <c r="M195" s="28">
        <f>IF(M4=0,0,M4*1000000/M58)</f>
        <v>20753.8573743376</v>
      </c>
      <c r="N195" s="28">
        <f t="shared" ref="N195:V195" si="226">IF(N4=0,0,N4*1000000/N58)</f>
        <v>19846.340304797592</v>
      </c>
      <c r="O195" s="28">
        <f t="shared" si="226"/>
        <v>19687.698820075384</v>
      </c>
      <c r="P195" s="28">
        <f t="shared" si="226"/>
        <v>19835.513982573422</v>
      </c>
      <c r="Q195" s="28">
        <f t="shared" si="226"/>
        <v>20292.093563850423</v>
      </c>
      <c r="R195" s="28">
        <f t="shared" si="226"/>
        <v>20934.475803221623</v>
      </c>
      <c r="S195" s="28">
        <f t="shared" si="226"/>
        <v>20458.885598976507</v>
      </c>
      <c r="T195" s="28">
        <f t="shared" si="226"/>
        <v>20148.380100093069</v>
      </c>
      <c r="U195" s="28">
        <f t="shared" si="226"/>
        <v>20179.658521526497</v>
      </c>
      <c r="V195" s="28">
        <f t="shared" si="226"/>
        <v>15592.932069025404</v>
      </c>
      <c r="W195" s="28">
        <f t="shared" ref="W195" si="227">IF(W4=0,0,W4*1000000/W58)</f>
        <v>16148.303376676087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1392.847601375966</v>
      </c>
      <c r="C196" s="137">
        <f t="shared" si="228"/>
        <v>1391.6959703106907</v>
      </c>
      <c r="D196" s="137">
        <f t="shared" si="228"/>
        <v>1385.3131068707539</v>
      </c>
      <c r="E196" s="137">
        <f t="shared" si="228"/>
        <v>1378.7210389305826</v>
      </c>
      <c r="F196" s="137">
        <f t="shared" si="228"/>
        <v>1376.0342379213082</v>
      </c>
      <c r="G196" s="137">
        <f t="shared" si="228"/>
        <v>1368.5033106180488</v>
      </c>
      <c r="H196" s="137">
        <f t="shared" si="228"/>
        <v>1368.2127456038245</v>
      </c>
      <c r="I196" s="137">
        <f t="shared" si="228"/>
        <v>1369.937495446715</v>
      </c>
      <c r="J196" s="137">
        <f t="shared" si="228"/>
        <v>1369.6093980320481</v>
      </c>
      <c r="K196" s="137">
        <f t="shared" si="228"/>
        <v>1361.4222819402055</v>
      </c>
      <c r="L196" s="137">
        <f t="shared" si="228"/>
        <v>1355.0082061867483</v>
      </c>
      <c r="M196" s="137">
        <f>IF(M5=0,0,M5*1000000/M59)</f>
        <v>1352.4093539337459</v>
      </c>
      <c r="N196" s="137">
        <f t="shared" ref="N196:V196" si="229">IF(N5=0,0,N5*1000000/N59)</f>
        <v>1343.9952684701759</v>
      </c>
      <c r="O196" s="137">
        <f t="shared" si="229"/>
        <v>1340.0664456308834</v>
      </c>
      <c r="P196" s="137">
        <f t="shared" si="229"/>
        <v>1338.8272589369487</v>
      </c>
      <c r="Q196" s="137">
        <f t="shared" si="229"/>
        <v>1336.1488160681886</v>
      </c>
      <c r="R196" s="137">
        <f t="shared" si="229"/>
        <v>1356.654429207679</v>
      </c>
      <c r="S196" s="137">
        <f t="shared" si="229"/>
        <v>1221.8986194008619</v>
      </c>
      <c r="T196" s="137">
        <f t="shared" si="229"/>
        <v>1116.0041214734856</v>
      </c>
      <c r="U196" s="137">
        <f t="shared" si="229"/>
        <v>1126.8169891441028</v>
      </c>
      <c r="V196" s="137">
        <f t="shared" si="229"/>
        <v>969.5744553916976</v>
      </c>
      <c r="W196" s="137">
        <f t="shared" ref="W196" si="230">IF(W5=0,0,W5*1000000/W59)</f>
        <v>968.048696882576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16203.349976114898</v>
      </c>
      <c r="C197" s="110">
        <f t="shared" si="231"/>
        <v>16717.782960962435</v>
      </c>
      <c r="D197" s="110">
        <f t="shared" si="231"/>
        <v>17618.267032692787</v>
      </c>
      <c r="E197" s="110">
        <f t="shared" si="231"/>
        <v>17657.399769585252</v>
      </c>
      <c r="F197" s="110">
        <f t="shared" si="231"/>
        <v>16588.110403397026</v>
      </c>
      <c r="G197" s="110">
        <f t="shared" si="231"/>
        <v>20111.403686449259</v>
      </c>
      <c r="H197" s="110">
        <f t="shared" si="231"/>
        <v>19707.303154832905</v>
      </c>
      <c r="I197" s="110">
        <f t="shared" si="231"/>
        <v>19091.256204658264</v>
      </c>
      <c r="J197" s="110">
        <f t="shared" si="231"/>
        <v>19028.633562885105</v>
      </c>
      <c r="K197" s="110">
        <f t="shared" si="231"/>
        <v>19244.868035190619</v>
      </c>
      <c r="L197" s="110">
        <f t="shared" si="231"/>
        <v>18274.589274082649</v>
      </c>
      <c r="M197" s="110">
        <f>IF(M6=0,0,M6*1000000/M60)</f>
        <v>18085.50909851554</v>
      </c>
      <c r="N197" s="110">
        <f t="shared" ref="N197:V197" si="232">IF(N6=0,0,N6*1000000/N60)</f>
        <v>17951.494896450968</v>
      </c>
      <c r="O197" s="110">
        <f t="shared" si="232"/>
        <v>17891.758724232102</v>
      </c>
      <c r="P197" s="110">
        <f t="shared" si="232"/>
        <v>18151.468477544651</v>
      </c>
      <c r="Q197" s="110">
        <f t="shared" si="232"/>
        <v>18226.457867000754</v>
      </c>
      <c r="R197" s="110">
        <f t="shared" si="232"/>
        <v>18261.865211886881</v>
      </c>
      <c r="S197" s="110">
        <f t="shared" si="232"/>
        <v>18019.631137282042</v>
      </c>
      <c r="T197" s="110">
        <f t="shared" si="232"/>
        <v>17871.16662379125</v>
      </c>
      <c r="U197" s="110">
        <f t="shared" si="232"/>
        <v>17731.839190062979</v>
      </c>
      <c r="V197" s="110">
        <f t="shared" si="232"/>
        <v>15091.950803255328</v>
      </c>
      <c r="W197" s="110">
        <f t="shared" ref="W197:W209" si="233">IF(W6=0,0,W6*1000000/W60)</f>
        <v>15862.312418951433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16152.503856589818</v>
      </c>
      <c r="C198" s="84">
        <f t="shared" si="231"/>
        <v>16960.566495560903</v>
      </c>
      <c r="D198" s="84">
        <f t="shared" si="231"/>
        <v>17706.124973746751</v>
      </c>
      <c r="E198" s="84">
        <f t="shared" si="231"/>
        <v>17080.249941103324</v>
      </c>
      <c r="F198" s="84">
        <f t="shared" si="231"/>
        <v>15400.520207454505</v>
      </c>
      <c r="G198" s="84">
        <f t="shared" si="231"/>
        <v>18204.814662944151</v>
      </c>
      <c r="H198" s="84">
        <f t="shared" si="231"/>
        <v>17296.229321658535</v>
      </c>
      <c r="I198" s="84">
        <f t="shared" si="231"/>
        <v>16748.784367533764</v>
      </c>
      <c r="J198" s="84">
        <f t="shared" si="231"/>
        <v>16842.926409011023</v>
      </c>
      <c r="K198" s="84">
        <f t="shared" si="231"/>
        <v>15887.911160334437</v>
      </c>
      <c r="L198" s="84">
        <f t="shared" si="231"/>
        <v>14889.71735014578</v>
      </c>
      <c r="M198" s="84">
        <f t="shared" ref="M198:M219" si="234">IF(M7=0,0,M7*1000000/M61)</f>
        <v>14006.088652403576</v>
      </c>
      <c r="N198" s="84">
        <f t="shared" si="231"/>
        <v>13406.590448881514</v>
      </c>
      <c r="O198" s="84">
        <f t="shared" si="231"/>
        <v>12983.008619943541</v>
      </c>
      <c r="P198" s="84">
        <f t="shared" si="231"/>
        <v>13487.48843227718</v>
      </c>
      <c r="Q198" s="84">
        <f t="shared" si="231"/>
        <v>12897.403894835286</v>
      </c>
      <c r="R198" s="84">
        <f t="shared" si="231"/>
        <v>13404.075464966056</v>
      </c>
      <c r="S198" s="84">
        <f t="shared" si="231"/>
        <v>13757.785222539467</v>
      </c>
      <c r="T198" s="84">
        <f t="shared" si="231"/>
        <v>13906.553834873166</v>
      </c>
      <c r="U198" s="84">
        <f t="shared" si="231"/>
        <v>14085.305459954596</v>
      </c>
      <c r="V198" s="84">
        <f t="shared" si="231"/>
        <v>10080.466661192557</v>
      </c>
      <c r="W198" s="84">
        <f t="shared" si="233"/>
        <v>9978.0953563613093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16591.780732782361</v>
      </c>
      <c r="C199" s="84">
        <f t="shared" si="231"/>
        <v>14487.824311653074</v>
      </c>
      <c r="D199" s="84">
        <f t="shared" si="231"/>
        <v>16720.958962639423</v>
      </c>
      <c r="E199" s="84">
        <f t="shared" si="231"/>
        <v>21557.430629764076</v>
      </c>
      <c r="F199" s="84">
        <f t="shared" si="231"/>
        <v>23587.396579356177</v>
      </c>
      <c r="G199" s="84">
        <f t="shared" si="231"/>
        <v>29955.438219849217</v>
      </c>
      <c r="H199" s="84">
        <f t="shared" si="231"/>
        <v>30077.182543877971</v>
      </c>
      <c r="I199" s="84">
        <f t="shared" si="231"/>
        <v>27184.465537236418</v>
      </c>
      <c r="J199" s="84">
        <f t="shared" si="231"/>
        <v>26124.159868649916</v>
      </c>
      <c r="K199" s="84">
        <f t="shared" si="231"/>
        <v>30030.117609321325</v>
      </c>
      <c r="L199" s="84">
        <f t="shared" si="231"/>
        <v>28432.945358924208</v>
      </c>
      <c r="M199" s="84">
        <f t="shared" si="234"/>
        <v>29107.646307792311</v>
      </c>
      <c r="N199" s="84">
        <f t="shared" si="231"/>
        <v>28691.885789350028</v>
      </c>
      <c r="O199" s="84">
        <f t="shared" si="231"/>
        <v>28122.429996421841</v>
      </c>
      <c r="P199" s="84">
        <f t="shared" si="231"/>
        <v>26953.18104996685</v>
      </c>
      <c r="Q199" s="84">
        <f t="shared" si="231"/>
        <v>27646.323077584155</v>
      </c>
      <c r="R199" s="84">
        <f t="shared" si="231"/>
        <v>26372.107373215305</v>
      </c>
      <c r="S199" s="84">
        <f t="shared" si="231"/>
        <v>24731.100499435241</v>
      </c>
      <c r="T199" s="84">
        <f t="shared" si="231"/>
        <v>23693.835833029221</v>
      </c>
      <c r="U199" s="84">
        <f t="shared" si="231"/>
        <v>22615.851401754222</v>
      </c>
      <c r="V199" s="84">
        <f t="shared" si="231"/>
        <v>21615.835914305997</v>
      </c>
      <c r="W199" s="84">
        <f t="shared" si="233"/>
        <v>23087.153971214309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27493.234658450601</v>
      </c>
      <c r="C200" s="84">
        <f t="shared" si="231"/>
        <v>29338.749258359479</v>
      </c>
      <c r="D200" s="84">
        <f t="shared" si="231"/>
        <v>31638.299845558846</v>
      </c>
      <c r="E200" s="84">
        <f t="shared" si="231"/>
        <v>30939.367762927948</v>
      </c>
      <c r="F200" s="84">
        <f t="shared" si="231"/>
        <v>28727.118042187336</v>
      </c>
      <c r="G200" s="84">
        <f t="shared" si="231"/>
        <v>33949.59313484795</v>
      </c>
      <c r="H200" s="84">
        <f t="shared" si="231"/>
        <v>32446.244860196482</v>
      </c>
      <c r="I200" s="84">
        <f t="shared" si="231"/>
        <v>30397.578980833528</v>
      </c>
      <c r="J200" s="84">
        <f t="shared" si="231"/>
        <v>28755.979733802935</v>
      </c>
      <c r="K200" s="84">
        <f t="shared" si="231"/>
        <v>28003.673439621074</v>
      </c>
      <c r="L200" s="84">
        <f t="shared" si="231"/>
        <v>26044.788631678064</v>
      </c>
      <c r="M200" s="84">
        <f t="shared" si="234"/>
        <v>25229.650964903405</v>
      </c>
      <c r="N200" s="84">
        <f t="shared" si="231"/>
        <v>24544.415806587964</v>
      </c>
      <c r="O200" s="84">
        <f t="shared" si="231"/>
        <v>24912.182589087661</v>
      </c>
      <c r="P200" s="84">
        <f t="shared" si="231"/>
        <v>24773.284818139444</v>
      </c>
      <c r="Q200" s="84">
        <f t="shared" si="231"/>
        <v>24439.486218277129</v>
      </c>
      <c r="R200" s="84">
        <f t="shared" si="231"/>
        <v>25004.089456273796</v>
      </c>
      <c r="S200" s="84">
        <f t="shared" si="231"/>
        <v>25193.774091057094</v>
      </c>
      <c r="T200" s="84">
        <f t="shared" si="231"/>
        <v>25542.355781360726</v>
      </c>
      <c r="U200" s="84">
        <f t="shared" si="231"/>
        <v>25810.641785290609</v>
      </c>
      <c r="V200" s="84">
        <f t="shared" si="231"/>
        <v>22356.525619057935</v>
      </c>
      <c r="W200" s="84">
        <f t="shared" si="233"/>
        <v>23978.226422811847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35558.341870773627</v>
      </c>
      <c r="M201" s="84">
        <f t="shared" si="234"/>
        <v>34615.80173971536</v>
      </c>
      <c r="N201" s="84">
        <f t="shared" si="231"/>
        <v>33412.977722274103</v>
      </c>
      <c r="O201" s="84">
        <f t="shared" si="231"/>
        <v>32571.613623990706</v>
      </c>
      <c r="P201" s="84">
        <f t="shared" si="231"/>
        <v>32352.974077531417</v>
      </c>
      <c r="Q201" s="84">
        <f t="shared" si="231"/>
        <v>31811.715304854719</v>
      </c>
      <c r="R201" s="84">
        <f t="shared" si="231"/>
        <v>32546.63245110459</v>
      </c>
      <c r="S201" s="84">
        <f t="shared" si="231"/>
        <v>32793.535906665733</v>
      </c>
      <c r="T201" s="84">
        <f t="shared" si="231"/>
        <v>33247.268092088329</v>
      </c>
      <c r="U201" s="84">
        <f t="shared" si="231"/>
        <v>33596.483206557961</v>
      </c>
      <c r="V201" s="84">
        <f t="shared" si="231"/>
        <v>29100.42469171427</v>
      </c>
      <c r="W201" s="84">
        <f t="shared" si="233"/>
        <v>31211.315396122474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0</v>
      </c>
      <c r="O202" s="84">
        <f t="shared" si="231"/>
        <v>0</v>
      </c>
      <c r="P202" s="84">
        <f t="shared" si="231"/>
        <v>15655.476737963212</v>
      </c>
      <c r="Q202" s="84">
        <f t="shared" si="231"/>
        <v>16527.826341616892</v>
      </c>
      <c r="R202" s="84">
        <f t="shared" si="231"/>
        <v>15749.187262235919</v>
      </c>
      <c r="S202" s="84">
        <f t="shared" si="231"/>
        <v>14779.636988612061</v>
      </c>
      <c r="T202" s="84">
        <f t="shared" si="231"/>
        <v>13955.805878327088</v>
      </c>
      <c r="U202" s="84">
        <f t="shared" si="231"/>
        <v>13955.057395123882</v>
      </c>
      <c r="V202" s="84">
        <f t="shared" si="231"/>
        <v>11257.982487002382</v>
      </c>
      <c r="W202" s="84">
        <f t="shared" si="233"/>
        <v>11245.965515457885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27693.215275980659</v>
      </c>
      <c r="K203" s="84">
        <f t="shared" si="231"/>
        <v>27368.266992287754</v>
      </c>
      <c r="L203" s="84">
        <f t="shared" si="231"/>
        <v>26566.515323723412</v>
      </c>
      <c r="M203" s="84">
        <f t="shared" si="234"/>
        <v>27234.844636674363</v>
      </c>
      <c r="N203" s="84">
        <f t="shared" si="231"/>
        <v>27255.698763966579</v>
      </c>
      <c r="O203" s="84">
        <f t="shared" si="231"/>
        <v>27943.222996791868</v>
      </c>
      <c r="P203" s="84">
        <f t="shared" si="231"/>
        <v>28497.113810632422</v>
      </c>
      <c r="Q203" s="84">
        <f t="shared" si="231"/>
        <v>27445.92154695735</v>
      </c>
      <c r="R203" s="84">
        <f t="shared" si="231"/>
        <v>26891.80554025864</v>
      </c>
      <c r="S203" s="84">
        <f t="shared" si="231"/>
        <v>25872.144129085544</v>
      </c>
      <c r="T203" s="84">
        <f t="shared" si="231"/>
        <v>24482.169261680727</v>
      </c>
      <c r="U203" s="84">
        <f t="shared" si="231"/>
        <v>25032.89304532648</v>
      </c>
      <c r="V203" s="84">
        <f t="shared" si="231"/>
        <v>19878.157587169902</v>
      </c>
      <c r="W203" s="84">
        <f t="shared" si="233"/>
        <v>22940.853602599083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434065.02723221655</v>
      </c>
      <c r="C204" s="110">
        <f t="shared" si="231"/>
        <v>427108.64283234987</v>
      </c>
      <c r="D204" s="110">
        <f t="shared" si="231"/>
        <v>420046.87218316208</v>
      </c>
      <c r="E204" s="110">
        <f t="shared" si="231"/>
        <v>417332.84883720928</v>
      </c>
      <c r="F204" s="110">
        <f t="shared" si="231"/>
        <v>456124.14557546645</v>
      </c>
      <c r="G204" s="110">
        <f t="shared" si="231"/>
        <v>501014.57295701897</v>
      </c>
      <c r="H204" s="110">
        <f t="shared" si="231"/>
        <v>523722.95946191601</v>
      </c>
      <c r="I204" s="110">
        <f t="shared" si="231"/>
        <v>573356.17905333033</v>
      </c>
      <c r="J204" s="110">
        <f t="shared" si="231"/>
        <v>552477.47747747751</v>
      </c>
      <c r="K204" s="110">
        <f t="shared" si="231"/>
        <v>499055.71293673274</v>
      </c>
      <c r="L204" s="110">
        <f t="shared" si="231"/>
        <v>481429.57252978277</v>
      </c>
      <c r="M204" s="110">
        <f t="shared" si="234"/>
        <v>484940.11709601874</v>
      </c>
      <c r="N204" s="110">
        <f t="shared" si="231"/>
        <v>425344.78860501928</v>
      </c>
      <c r="O204" s="110">
        <f t="shared" si="231"/>
        <v>418931.82805036911</v>
      </c>
      <c r="P204" s="110">
        <f t="shared" si="231"/>
        <v>418059.66991112998</v>
      </c>
      <c r="Q204" s="110">
        <f t="shared" si="231"/>
        <v>483996.71727533854</v>
      </c>
      <c r="R204" s="110">
        <f t="shared" si="231"/>
        <v>595098.23779623257</v>
      </c>
      <c r="S204" s="110">
        <f t="shared" si="231"/>
        <v>566101.02604577737</v>
      </c>
      <c r="T204" s="110">
        <f t="shared" si="231"/>
        <v>556208.38229533879</v>
      </c>
      <c r="U204" s="110">
        <f t="shared" si="231"/>
        <v>603907.29745259532</v>
      </c>
      <c r="V204" s="110">
        <f t="shared" si="231"/>
        <v>259981.07852412484</v>
      </c>
      <c r="W204" s="110">
        <f t="shared" si="233"/>
        <v>239672.49720878302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130023.10990134222</v>
      </c>
      <c r="C205" s="102">
        <f t="shared" si="231"/>
        <v>129504.83139421247</v>
      </c>
      <c r="D205" s="102">
        <f t="shared" si="231"/>
        <v>129071.07723962731</v>
      </c>
      <c r="E205" s="102">
        <f t="shared" si="231"/>
        <v>128939.22273188429</v>
      </c>
      <c r="F205" s="102">
        <f t="shared" si="231"/>
        <v>129714.27987736778</v>
      </c>
      <c r="G205" s="102">
        <f t="shared" si="231"/>
        <v>136046.75815698187</v>
      </c>
      <c r="H205" s="102">
        <f t="shared" si="231"/>
        <v>138332.62736802272</v>
      </c>
      <c r="I205" s="102">
        <f t="shared" si="231"/>
        <v>138594.05656819922</v>
      </c>
      <c r="J205" s="102">
        <f t="shared" si="231"/>
        <v>132537.51052924452</v>
      </c>
      <c r="K205" s="102">
        <f t="shared" si="231"/>
        <v>126006.26029850838</v>
      </c>
      <c r="L205" s="102">
        <f t="shared" si="231"/>
        <v>120879.18121833197</v>
      </c>
      <c r="M205" s="102">
        <f t="shared" si="234"/>
        <v>116348.60231995456</v>
      </c>
      <c r="N205" s="102">
        <f t="shared" si="231"/>
        <v>114047.37030334017</v>
      </c>
      <c r="O205" s="102">
        <f t="shared" si="231"/>
        <v>112631.79625534931</v>
      </c>
      <c r="P205" s="102">
        <f t="shared" si="231"/>
        <v>117351.64043248689</v>
      </c>
      <c r="Q205" s="102">
        <f t="shared" si="231"/>
        <v>123822.62603392034</v>
      </c>
      <c r="R205" s="102">
        <f t="shared" si="231"/>
        <v>143070.1511222983</v>
      </c>
      <c r="S205" s="102">
        <f t="shared" si="231"/>
        <v>156053.42887803679</v>
      </c>
      <c r="T205" s="102">
        <f t="shared" si="231"/>
        <v>149944.00466333327</v>
      </c>
      <c r="U205" s="102">
        <f t="shared" si="231"/>
        <v>136747.74001774116</v>
      </c>
      <c r="V205" s="102">
        <f t="shared" si="231"/>
        <v>104100.77757495656</v>
      </c>
      <c r="W205" s="102">
        <f t="shared" si="233"/>
        <v>107029.6490718385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659997.21148585528</v>
      </c>
      <c r="C206" s="102">
        <f t="shared" si="231"/>
        <v>619026.14498443448</v>
      </c>
      <c r="D206" s="102">
        <f t="shared" si="231"/>
        <v>576422.16774732887</v>
      </c>
      <c r="E206" s="102">
        <f t="shared" si="231"/>
        <v>538675.54644992994</v>
      </c>
      <c r="F206" s="102">
        <f t="shared" si="231"/>
        <v>575552.43355483643</v>
      </c>
      <c r="G206" s="102">
        <f t="shared" si="231"/>
        <v>598310.89928572054</v>
      </c>
      <c r="H206" s="102">
        <f t="shared" si="231"/>
        <v>624578.5486635518</v>
      </c>
      <c r="I206" s="102">
        <f t="shared" si="231"/>
        <v>642292.40641511674</v>
      </c>
      <c r="J206" s="102">
        <f t="shared" si="231"/>
        <v>602193.29220434639</v>
      </c>
      <c r="K206" s="102">
        <f t="shared" si="231"/>
        <v>531091.49007946672</v>
      </c>
      <c r="L206" s="102">
        <f t="shared" si="231"/>
        <v>499149.08718807349</v>
      </c>
      <c r="M206" s="102">
        <f t="shared" si="234"/>
        <v>500768.74229561695</v>
      </c>
      <c r="N206" s="102">
        <f t="shared" si="231"/>
        <v>436935.332029999</v>
      </c>
      <c r="O206" s="102">
        <f t="shared" si="231"/>
        <v>429465.37494157313</v>
      </c>
      <c r="P206" s="102">
        <f t="shared" si="231"/>
        <v>427687.21821766545</v>
      </c>
      <c r="Q206" s="102">
        <f t="shared" si="231"/>
        <v>494665.49899487186</v>
      </c>
      <c r="R206" s="102">
        <f t="shared" si="231"/>
        <v>610098.39710860595</v>
      </c>
      <c r="S206" s="102">
        <f t="shared" si="231"/>
        <v>579534.85822275479</v>
      </c>
      <c r="T206" s="102">
        <f t="shared" si="231"/>
        <v>568063.60937632679</v>
      </c>
      <c r="U206" s="102">
        <f t="shared" si="231"/>
        <v>616159.20714634866</v>
      </c>
      <c r="V206" s="102">
        <f t="shared" si="231"/>
        <v>261602.06554916943</v>
      </c>
      <c r="W206" s="102">
        <f t="shared" si="233"/>
        <v>238756.26089972371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339196.95144642855</v>
      </c>
      <c r="U207" s="102">
        <f t="shared" si="231"/>
        <v>363615.79409113881</v>
      </c>
      <c r="V207" s="102">
        <f t="shared" si="231"/>
        <v>153444.8954654019</v>
      </c>
      <c r="W207" s="102">
        <f t="shared" si="233"/>
        <v>140070.13629467445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612352.88687376981</v>
      </c>
      <c r="M208" s="102">
        <f t="shared" si="234"/>
        <v>615291.2170961611</v>
      </c>
      <c r="N208" s="102">
        <f t="shared" si="231"/>
        <v>553288.8276901152</v>
      </c>
      <c r="O208" s="102">
        <f t="shared" si="231"/>
        <v>538500.14950372139</v>
      </c>
      <c r="P208" s="102">
        <f t="shared" si="231"/>
        <v>537634.19742609875</v>
      </c>
      <c r="Q208" s="102">
        <f t="shared" si="231"/>
        <v>623779.09004729183</v>
      </c>
      <c r="R208" s="102">
        <f t="shared" si="231"/>
        <v>772626.40226529399</v>
      </c>
      <c r="S208" s="102">
        <f t="shared" si="231"/>
        <v>737638.81728642015</v>
      </c>
      <c r="T208" s="102">
        <f t="shared" si="231"/>
        <v>723815.95408274606</v>
      </c>
      <c r="U208" s="102">
        <f t="shared" si="231"/>
        <v>783761.19200327038</v>
      </c>
      <c r="V208" s="102">
        <f t="shared" si="231"/>
        <v>334085.99292708805</v>
      </c>
      <c r="W208" s="102">
        <f t="shared" si="233"/>
        <v>308046.42892105528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724332.90169988258</v>
      </c>
      <c r="M209" s="102">
        <f t="shared" si="234"/>
        <v>743884.07622568286</v>
      </c>
      <c r="N209" s="102">
        <f t="shared" si="231"/>
        <v>662804.1648909949</v>
      </c>
      <c r="O209" s="102">
        <f t="shared" si="231"/>
        <v>638879.17564338667</v>
      </c>
      <c r="P209" s="102">
        <f t="shared" si="231"/>
        <v>624204.06241135951</v>
      </c>
      <c r="Q209" s="102">
        <f t="shared" si="231"/>
        <v>708428.42888710811</v>
      </c>
      <c r="R209" s="102">
        <f t="shared" si="231"/>
        <v>742217.63192287774</v>
      </c>
      <c r="S209" s="102">
        <f t="shared" si="231"/>
        <v>624114.02050331805</v>
      </c>
      <c r="T209" s="102">
        <f t="shared" si="231"/>
        <v>624096.50857273093</v>
      </c>
      <c r="U209" s="102">
        <f t="shared" si="231"/>
        <v>733430.79063320684</v>
      </c>
      <c r="V209" s="102">
        <f t="shared" si="231"/>
        <v>316021.18939027819</v>
      </c>
      <c r="W209" s="102">
        <f t="shared" si="233"/>
        <v>283596.80951736262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25680.699645414945</v>
      </c>
      <c r="C210" s="28">
        <f t="shared" si="231"/>
        <v>25000.934126621454</v>
      </c>
      <c r="D210" s="28">
        <f t="shared" si="231"/>
        <v>29189.634430014488</v>
      </c>
      <c r="E210" s="28">
        <f t="shared" si="231"/>
        <v>41389.65341727226</v>
      </c>
      <c r="F210" s="28">
        <f t="shared" ref="B210:V219" si="235">IF(F19=0,0,F19*1000000/F73)</f>
        <v>42759.596680854018</v>
      </c>
      <c r="G210" s="28">
        <f t="shared" si="235"/>
        <v>50400.447187130187</v>
      </c>
      <c r="H210" s="28">
        <f t="shared" si="235"/>
        <v>53778.363737372856</v>
      </c>
      <c r="I210" s="28">
        <f t="shared" si="235"/>
        <v>54515.161135126429</v>
      </c>
      <c r="J210" s="28">
        <f t="shared" si="235"/>
        <v>49311.569596941335</v>
      </c>
      <c r="K210" s="28">
        <f t="shared" si="235"/>
        <v>38745.451987627319</v>
      </c>
      <c r="L210" s="28">
        <f t="shared" si="235"/>
        <v>40359.886328165929</v>
      </c>
      <c r="M210" s="28">
        <f t="shared" si="234"/>
        <v>43453.404546471436</v>
      </c>
      <c r="N210" s="28">
        <f t="shared" si="235"/>
        <v>41859.842400143207</v>
      </c>
      <c r="O210" s="28">
        <f t="shared" si="235"/>
        <v>41958.053475008295</v>
      </c>
      <c r="P210" s="28">
        <f t="shared" si="235"/>
        <v>39007.782842233821</v>
      </c>
      <c r="Q210" s="28">
        <f t="shared" si="235"/>
        <v>39047.492563574888</v>
      </c>
      <c r="R210" s="28">
        <f t="shared" si="235"/>
        <v>39729.441680211217</v>
      </c>
      <c r="S210" s="28">
        <f t="shared" si="235"/>
        <v>34893.599354735554</v>
      </c>
      <c r="T210" s="28">
        <f t="shared" si="235"/>
        <v>33766.512005127355</v>
      </c>
      <c r="U210" s="28">
        <f t="shared" si="235"/>
        <v>30677.652249097227</v>
      </c>
      <c r="V210" s="28">
        <f t="shared" si="235"/>
        <v>27574.855724584635</v>
      </c>
      <c r="W210" s="28">
        <f t="shared" ref="W210" si="236">IF(W19=0,0,W19*1000000/W73)</f>
        <v>30328.500487224614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4626.8411009344372</v>
      </c>
      <c r="C211" s="137">
        <f t="shared" si="235"/>
        <v>4809.4951928592882</v>
      </c>
      <c r="D211" s="137">
        <f t="shared" si="235"/>
        <v>4896.7035229902049</v>
      </c>
      <c r="E211" s="137">
        <f t="shared" si="235"/>
        <v>4795.26328434479</v>
      </c>
      <c r="F211" s="137">
        <f t="shared" si="235"/>
        <v>4780.2574320805143</v>
      </c>
      <c r="G211" s="137">
        <f t="shared" si="235"/>
        <v>4643.5146611832861</v>
      </c>
      <c r="H211" s="137">
        <f t="shared" si="235"/>
        <v>4610.5939461602047</v>
      </c>
      <c r="I211" s="137">
        <f t="shared" si="235"/>
        <v>4475.7809291686408</v>
      </c>
      <c r="J211" s="137">
        <f t="shared" si="235"/>
        <v>4327.8733002411091</v>
      </c>
      <c r="K211" s="137">
        <f t="shared" si="235"/>
        <v>4193.8830522476956</v>
      </c>
      <c r="L211" s="137">
        <f t="shared" si="235"/>
        <v>4103.8651448057417</v>
      </c>
      <c r="M211" s="137">
        <f t="shared" si="234"/>
        <v>4091.3573272384019</v>
      </c>
      <c r="N211" s="137">
        <f t="shared" si="235"/>
        <v>4045.0435843266646</v>
      </c>
      <c r="O211" s="137">
        <f t="shared" si="235"/>
        <v>4020.0269873210577</v>
      </c>
      <c r="P211" s="137">
        <f t="shared" si="235"/>
        <v>3982.8504824287388</v>
      </c>
      <c r="Q211" s="137">
        <f t="shared" si="235"/>
        <v>3910.196187310924</v>
      </c>
      <c r="R211" s="137">
        <f t="shared" si="235"/>
        <v>4005.1898307356823</v>
      </c>
      <c r="S211" s="137">
        <f t="shared" si="235"/>
        <v>4091.4741957349111</v>
      </c>
      <c r="T211" s="137">
        <f t="shared" si="235"/>
        <v>4213.8596244881019</v>
      </c>
      <c r="U211" s="137">
        <f t="shared" si="235"/>
        <v>4280.6135205481742</v>
      </c>
      <c r="V211" s="137">
        <f t="shared" si="235"/>
        <v>4243.4179577779532</v>
      </c>
      <c r="W211" s="137">
        <f t="shared" ref="W211" si="237">IF(W20=0,0,W20*1000000/W74)</f>
        <v>4316.2530509507797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3500.6185168031498</v>
      </c>
      <c r="C212" s="84">
        <f t="shared" si="235"/>
        <v>3868.9298914694937</v>
      </c>
      <c r="D212" s="84">
        <f t="shared" si="235"/>
        <v>3867.8833514655444</v>
      </c>
      <c r="E212" s="84">
        <f t="shared" si="235"/>
        <v>3735.8402520576283</v>
      </c>
      <c r="F212" s="84">
        <f t="shared" si="235"/>
        <v>3941.1726817774502</v>
      </c>
      <c r="G212" s="84">
        <f t="shared" si="235"/>
        <v>3683.6416663135246</v>
      </c>
      <c r="H212" s="84">
        <f t="shared" si="235"/>
        <v>3784.4842684328128</v>
      </c>
      <c r="I212" s="84">
        <f t="shared" si="235"/>
        <v>3447.773416782511</v>
      </c>
      <c r="J212" s="84">
        <f t="shared" si="235"/>
        <v>3148.3221692824786</v>
      </c>
      <c r="K212" s="84">
        <f t="shared" si="235"/>
        <v>2869.968446970609</v>
      </c>
      <c r="L212" s="84">
        <f t="shared" si="235"/>
        <v>2676.696573640545</v>
      </c>
      <c r="M212" s="84">
        <f t="shared" si="234"/>
        <v>2763.8100480894209</v>
      </c>
      <c r="N212" s="84">
        <f t="shared" si="235"/>
        <v>2670.5569441702814</v>
      </c>
      <c r="O212" s="84">
        <f t="shared" si="235"/>
        <v>2538.7252153582408</v>
      </c>
      <c r="P212" s="84">
        <f t="shared" si="235"/>
        <v>2484.81594873925</v>
      </c>
      <c r="Q212" s="84">
        <f t="shared" si="235"/>
        <v>2407.3276842644618</v>
      </c>
      <c r="R212" s="84">
        <f t="shared" si="235"/>
        <v>2288.9082320699595</v>
      </c>
      <c r="S212" s="84">
        <f t="shared" si="235"/>
        <v>2273.7997355372163</v>
      </c>
      <c r="T212" s="84">
        <f t="shared" si="235"/>
        <v>2464.4859603596619</v>
      </c>
      <c r="U212" s="84">
        <f t="shared" si="235"/>
        <v>2311.5640482358085</v>
      </c>
      <c r="V212" s="84">
        <f t="shared" si="235"/>
        <v>2115.7336063889816</v>
      </c>
      <c r="W212" s="84">
        <f t="shared" ref="W212" si="238">IF(W21=0,0,W21*1000000/W75)</f>
        <v>1981.0546842585334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5026.2536091619622</v>
      </c>
      <c r="C213" s="84">
        <f t="shared" si="235"/>
        <v>5146.8507997984389</v>
      </c>
      <c r="D213" s="84">
        <f t="shared" si="235"/>
        <v>5269.7719612842238</v>
      </c>
      <c r="E213" s="84">
        <f t="shared" si="235"/>
        <v>5175.7015987453869</v>
      </c>
      <c r="F213" s="84">
        <f t="shared" si="235"/>
        <v>5081.9412492348665</v>
      </c>
      <c r="G213" s="84">
        <f t="shared" si="235"/>
        <v>4990.3252266698546</v>
      </c>
      <c r="H213" s="84">
        <f t="shared" si="235"/>
        <v>4902.8956118829747</v>
      </c>
      <c r="I213" s="84">
        <f t="shared" si="235"/>
        <v>4820.5745922059095</v>
      </c>
      <c r="J213" s="84">
        <f t="shared" si="235"/>
        <v>4750.654057153125</v>
      </c>
      <c r="K213" s="84">
        <f t="shared" si="235"/>
        <v>4673.7503304751772</v>
      </c>
      <c r="L213" s="84">
        <f t="shared" si="235"/>
        <v>4600.1395660667276</v>
      </c>
      <c r="M213" s="84">
        <f t="shared" si="234"/>
        <v>4533.2192976141068</v>
      </c>
      <c r="N213" s="84">
        <f t="shared" si="235"/>
        <v>4469.7071402135416</v>
      </c>
      <c r="O213" s="84">
        <f t="shared" si="235"/>
        <v>4412.9027876127457</v>
      </c>
      <c r="P213" s="84">
        <f t="shared" si="235"/>
        <v>4351.8373670153278</v>
      </c>
      <c r="Q213" s="84">
        <f t="shared" si="235"/>
        <v>4259.4673602419089</v>
      </c>
      <c r="R213" s="84">
        <f t="shared" si="235"/>
        <v>4380.097988064972</v>
      </c>
      <c r="S213" s="84">
        <f t="shared" si="235"/>
        <v>4467.9082726688721</v>
      </c>
      <c r="T213" s="84">
        <f t="shared" si="235"/>
        <v>4557.6165896411067</v>
      </c>
      <c r="U213" s="84">
        <f t="shared" si="235"/>
        <v>4650.7539390211296</v>
      </c>
      <c r="V213" s="84">
        <f t="shared" si="235"/>
        <v>4631.102658823912</v>
      </c>
      <c r="W213" s="84">
        <f t="shared" ref="W213" si="239">IF(W22=0,0,W22*1000000/W76)</f>
        <v>4717.6517634713673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2485.9018382796235</v>
      </c>
      <c r="O215" s="84">
        <f t="shared" si="235"/>
        <v>2474.122003046949</v>
      </c>
      <c r="P215" s="84">
        <f t="shared" si="235"/>
        <v>2459.5816961285118</v>
      </c>
      <c r="Q215" s="84">
        <f t="shared" si="235"/>
        <v>2446.2049096961823</v>
      </c>
      <c r="R215" s="84">
        <f t="shared" si="235"/>
        <v>2475.5541005160862</v>
      </c>
      <c r="S215" s="84">
        <f t="shared" si="235"/>
        <v>2504.961177942811</v>
      </c>
      <c r="T215" s="84">
        <f t="shared" si="235"/>
        <v>2534.794138172831</v>
      </c>
      <c r="U215" s="84">
        <f t="shared" si="235"/>
        <v>2565.8804932726553</v>
      </c>
      <c r="V215" s="84">
        <f t="shared" si="235"/>
        <v>2534.5777988201667</v>
      </c>
      <c r="W215" s="84">
        <f t="shared" ref="W215" si="241">IF(W24=0,0,W24*1000000/W78)</f>
        <v>2561.2693584944086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2247.1651704550864</v>
      </c>
      <c r="J216" s="84">
        <f t="shared" si="235"/>
        <v>2248.7291877932189</v>
      </c>
      <c r="K216" s="84">
        <f t="shared" si="235"/>
        <v>2250.4775030236119</v>
      </c>
      <c r="L216" s="84">
        <f t="shared" si="235"/>
        <v>2252.1794187639807</v>
      </c>
      <c r="M216" s="84">
        <f t="shared" si="234"/>
        <v>2253.7515910991601</v>
      </c>
      <c r="N216" s="84">
        <f t="shared" si="235"/>
        <v>2255.2663482818493</v>
      </c>
      <c r="O216" s="84">
        <f t="shared" si="235"/>
        <v>2256.6403514888493</v>
      </c>
      <c r="P216" s="84">
        <f t="shared" si="235"/>
        <v>2258.1382434202283</v>
      </c>
      <c r="Q216" s="84">
        <f t="shared" si="235"/>
        <v>2259.5896984445781</v>
      </c>
      <c r="R216" s="84">
        <f t="shared" si="235"/>
        <v>2257.4423111067235</v>
      </c>
      <c r="S216" s="84">
        <f t="shared" si="235"/>
        <v>2255.3095787792213</v>
      </c>
      <c r="T216" s="84">
        <f t="shared" si="235"/>
        <v>2253.1756207898306</v>
      </c>
      <c r="U216" s="84">
        <f t="shared" si="235"/>
        <v>2251.006156633855</v>
      </c>
      <c r="V216" s="84">
        <f t="shared" si="235"/>
        <v>2244.2081954335927</v>
      </c>
      <c r="W216" s="84">
        <f t="shared" ref="W216" si="242">IF(W25=0,0,W25*1000000/W79)</f>
        <v>2249.4757973596929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186085.0649996532</v>
      </c>
      <c r="C217" s="110">
        <f t="shared" si="235"/>
        <v>222377.36769937014</v>
      </c>
      <c r="D217" s="110">
        <f t="shared" si="235"/>
        <v>196891.80081491021</v>
      </c>
      <c r="E217" s="110">
        <f t="shared" si="235"/>
        <v>198405.53027032022</v>
      </c>
      <c r="F217" s="110">
        <f t="shared" si="235"/>
        <v>196857.82167542292</v>
      </c>
      <c r="G217" s="110">
        <f t="shared" si="235"/>
        <v>222555.28058884459</v>
      </c>
      <c r="H217" s="110">
        <f t="shared" si="235"/>
        <v>219196.03586861593</v>
      </c>
      <c r="I217" s="110">
        <f t="shared" si="235"/>
        <v>214066.08800198982</v>
      </c>
      <c r="J217" s="110">
        <f t="shared" si="235"/>
        <v>193140.2771568856</v>
      </c>
      <c r="K217" s="110">
        <f t="shared" si="235"/>
        <v>167935.84474075027</v>
      </c>
      <c r="L217" s="110">
        <f t="shared" si="235"/>
        <v>188728.40146288867</v>
      </c>
      <c r="M217" s="110">
        <f t="shared" si="234"/>
        <v>199965.83680081723</v>
      </c>
      <c r="N217" s="110">
        <f t="shared" si="235"/>
        <v>192332.18659448976</v>
      </c>
      <c r="O217" s="110">
        <f t="shared" si="235"/>
        <v>220955.71008330747</v>
      </c>
      <c r="P217" s="110">
        <f t="shared" si="235"/>
        <v>207175.79493786502</v>
      </c>
      <c r="Q217" s="110">
        <f t="shared" si="235"/>
        <v>213981.07025213336</v>
      </c>
      <c r="R217" s="110">
        <f t="shared" si="235"/>
        <v>219825.55536174151</v>
      </c>
      <c r="S217" s="110">
        <f t="shared" si="235"/>
        <v>189200.36095092961</v>
      </c>
      <c r="T217" s="110">
        <f t="shared" si="235"/>
        <v>184410.18110621636</v>
      </c>
      <c r="U217" s="110">
        <f t="shared" si="235"/>
        <v>156910.26924495495</v>
      </c>
      <c r="V217" s="110">
        <f t="shared" si="235"/>
        <v>140364.30430123987</v>
      </c>
      <c r="W217" s="110">
        <f t="shared" ref="W217" si="243">IF(W26=0,0,W26*1000000/W80)</f>
        <v>162042.0052123256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109243.6974789916</v>
      </c>
      <c r="C218" s="163">
        <f t="shared" si="235"/>
        <v>114166.66666666667</v>
      </c>
      <c r="D218" s="163">
        <f t="shared" si="235"/>
        <v>113056.37982195846</v>
      </c>
      <c r="E218" s="163">
        <f t="shared" si="235"/>
        <v>145319.74050046338</v>
      </c>
      <c r="F218" s="163">
        <f t="shared" si="235"/>
        <v>135870.56444199302</v>
      </c>
      <c r="G218" s="163">
        <f t="shared" si="235"/>
        <v>163364.58517601274</v>
      </c>
      <c r="H218" s="163">
        <f t="shared" si="235"/>
        <v>160294.83233435929</v>
      </c>
      <c r="I218" s="163">
        <f t="shared" si="235"/>
        <v>150717.88901823823</v>
      </c>
      <c r="J218" s="163">
        <f t="shared" si="235"/>
        <v>135143.11006196516</v>
      </c>
      <c r="K218" s="163">
        <f t="shared" si="235"/>
        <v>113139.93174061434</v>
      </c>
      <c r="L218" s="163">
        <f t="shared" si="235"/>
        <v>127890.90574034829</v>
      </c>
      <c r="M218" s="163">
        <f t="shared" si="234"/>
        <v>134071.97457699905</v>
      </c>
      <c r="N218" s="163">
        <f t="shared" si="235"/>
        <v>129076.52567000323</v>
      </c>
      <c r="O218" s="163">
        <f t="shared" si="235"/>
        <v>141524.52025586355</v>
      </c>
      <c r="P218" s="163">
        <f t="shared" si="235"/>
        <v>130185.01309453406</v>
      </c>
      <c r="Q218" s="163">
        <f t="shared" si="235"/>
        <v>125411.45490454246</v>
      </c>
      <c r="R218" s="163">
        <f t="shared" si="235"/>
        <v>137286.4475599479</v>
      </c>
      <c r="S218" s="163">
        <f t="shared" si="235"/>
        <v>113888.69492353885</v>
      </c>
      <c r="T218" s="163">
        <f t="shared" si="235"/>
        <v>110629.92125984252</v>
      </c>
      <c r="U218" s="163">
        <f t="shared" si="235"/>
        <v>95418.782434015957</v>
      </c>
      <c r="V218" s="163">
        <f t="shared" si="235"/>
        <v>69384.640540687848</v>
      </c>
      <c r="W218" s="163">
        <f t="shared" ref="W218" si="244">IF(W27=0,0,W27*1000000/W81)</f>
        <v>97719.8697068404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1212466.1883113477</v>
      </c>
      <c r="C219" s="86">
        <f t="shared" si="235"/>
        <v>1209851.4455643448</v>
      </c>
      <c r="D219" s="86">
        <f t="shared" si="235"/>
        <v>1218683.3695174325</v>
      </c>
      <c r="E219" s="86">
        <f t="shared" si="235"/>
        <v>1212203.1791495329</v>
      </c>
      <c r="F219" s="86">
        <f t="shared" si="235"/>
        <v>1190000.6123719057</v>
      </c>
      <c r="G219" s="86">
        <f t="shared" si="235"/>
        <v>1189621.7579551402</v>
      </c>
      <c r="H219" s="86">
        <f t="shared" si="235"/>
        <v>1197923.1675428182</v>
      </c>
      <c r="I219" s="86">
        <f t="shared" si="235"/>
        <v>1199865.0540716024</v>
      </c>
      <c r="J219" s="86">
        <f t="shared" si="235"/>
        <v>1183328.6866515221</v>
      </c>
      <c r="K219" s="86">
        <f t="shared" si="235"/>
        <v>1166704.2745410504</v>
      </c>
      <c r="L219" s="86">
        <f t="shared" si="235"/>
        <v>1206092.5633684827</v>
      </c>
      <c r="M219" s="86">
        <f t="shared" si="234"/>
        <v>1201535.3379390875</v>
      </c>
      <c r="N219" s="86">
        <f t="shared" si="235"/>
        <v>1196961.837277232</v>
      </c>
      <c r="O219" s="86">
        <f t="shared" si="235"/>
        <v>1199158.6342602319</v>
      </c>
      <c r="P219" s="86">
        <f t="shared" si="235"/>
        <v>1202088.3327975909</v>
      </c>
      <c r="Q219" s="86">
        <f t="shared" si="235"/>
        <v>1190657.9901286531</v>
      </c>
      <c r="R219" s="86">
        <f t="shared" si="235"/>
        <v>1184358.209020481</v>
      </c>
      <c r="S219" s="86">
        <f t="shared" si="235"/>
        <v>1194361.9352083975</v>
      </c>
      <c r="T219" s="86">
        <f t="shared" si="235"/>
        <v>1202898.5507246377</v>
      </c>
      <c r="U219" s="86">
        <f t="shared" si="235"/>
        <v>1198487.7126654065</v>
      </c>
      <c r="V219" s="86">
        <f t="shared" si="235"/>
        <v>1180511.1821086262</v>
      </c>
      <c r="W219" s="86">
        <f t="shared" ref="W219" si="245">IF(W28=0,0,W28*1000000/W82)</f>
        <v>1193211.4882506528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1.0011405041944004E-3</v>
      </c>
      <c r="C223" s="154">
        <f t="shared" si="250"/>
        <v>1.0198193605165159E-3</v>
      </c>
      <c r="D223" s="154">
        <f t="shared" si="250"/>
        <v>1.075856604006144E-3</v>
      </c>
      <c r="E223" s="154">
        <f t="shared" si="250"/>
        <v>1.119958258757643E-3</v>
      </c>
      <c r="F223" s="154">
        <f t="shared" si="250"/>
        <v>1.2163664978959853E-3</v>
      </c>
      <c r="G223" s="154">
        <f t="shared" si="250"/>
        <v>1.1063478203877351E-3</v>
      </c>
      <c r="H223" s="154">
        <f t="shared" si="250"/>
        <v>1.3415572294009474E-3</v>
      </c>
      <c r="I223" s="154">
        <f t="shared" si="250"/>
        <v>1.5946508014238964E-3</v>
      </c>
      <c r="J223" s="154">
        <f t="shared" si="250"/>
        <v>1.8598293332460548E-3</v>
      </c>
      <c r="K223" s="154">
        <f t="shared" si="250"/>
        <v>2.0034661300364436E-3</v>
      </c>
      <c r="L223" s="154">
        <f t="shared" ref="L223" si="251">IF(L5=0,0,L5/L$4)</f>
        <v>2.1902143590831835E-3</v>
      </c>
      <c r="M223" s="154">
        <f t="shared" ref="M223:V223" si="252">IF(M5=0,0,M5/M$4)</f>
        <v>2.5152965441648275E-3</v>
      </c>
      <c r="N223" s="154">
        <f t="shared" si="252"/>
        <v>3.7218828419302518E-3</v>
      </c>
      <c r="O223" s="154">
        <f t="shared" si="252"/>
        <v>3.9206352917791802E-3</v>
      </c>
      <c r="P223" s="154">
        <f t="shared" si="252"/>
        <v>4.0788553624006374E-3</v>
      </c>
      <c r="Q223" s="154">
        <f t="shared" si="252"/>
        <v>4.1211923273996821E-3</v>
      </c>
      <c r="R223" s="154">
        <f t="shared" si="252"/>
        <v>4.1782589155954933E-3</v>
      </c>
      <c r="S223" s="154">
        <f t="shared" si="252"/>
        <v>3.9449522527096716E-3</v>
      </c>
      <c r="T223" s="154">
        <f t="shared" si="252"/>
        <v>3.7449791787348475E-3</v>
      </c>
      <c r="U223" s="154">
        <f t="shared" si="252"/>
        <v>3.7636576844294373E-3</v>
      </c>
      <c r="V223" s="154">
        <f t="shared" si="252"/>
        <v>4.3097903936408187E-3</v>
      </c>
      <c r="W223" s="154">
        <f t="shared" ref="W223" si="253">IF(W5=0,0,W5/W$4)</f>
        <v>4.2585104201782985E-3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0.71685384700697141</v>
      </c>
      <c r="C224" s="156">
        <f t="shared" si="254"/>
        <v>0.73377525634602581</v>
      </c>
      <c r="D224" s="156">
        <f t="shared" si="254"/>
        <v>0.75104527335792926</v>
      </c>
      <c r="E224" s="156">
        <f t="shared" si="254"/>
        <v>0.76852304378192826</v>
      </c>
      <c r="F224" s="156">
        <f t="shared" si="254"/>
        <v>0.75894733792568947</v>
      </c>
      <c r="G224" s="156">
        <f t="shared" si="254"/>
        <v>0.78434282898310559</v>
      </c>
      <c r="H224" s="156">
        <f t="shared" si="254"/>
        <v>0.77435541216156378</v>
      </c>
      <c r="I224" s="156">
        <f t="shared" si="254"/>
        <v>0.78757225621091431</v>
      </c>
      <c r="J224" s="156">
        <f t="shared" si="254"/>
        <v>0.80911540121986547</v>
      </c>
      <c r="K224" s="156">
        <f t="shared" si="254"/>
        <v>0.8307407329661185</v>
      </c>
      <c r="L224" s="156">
        <f t="shared" ref="L224" si="255">IF(L6=0,0,L6/L$4)</f>
        <v>0.82870478044348816</v>
      </c>
      <c r="M224" s="156">
        <f t="shared" ref="M224:V224" si="256">IF(M6=0,0,M6/M$4)</f>
        <v>0.83160589202334867</v>
      </c>
      <c r="N224" s="156">
        <f t="shared" si="256"/>
        <v>0.84857807626616666</v>
      </c>
      <c r="O224" s="156">
        <f t="shared" si="256"/>
        <v>0.85020249432111317</v>
      </c>
      <c r="P224" s="156">
        <f t="shared" si="256"/>
        <v>0.85362098658642072</v>
      </c>
      <c r="Q224" s="156">
        <f t="shared" si="256"/>
        <v>0.83596550395490388</v>
      </c>
      <c r="R224" s="156">
        <f t="shared" si="256"/>
        <v>0.81040109886522094</v>
      </c>
      <c r="S224" s="156">
        <f t="shared" si="256"/>
        <v>0.81689276708875169</v>
      </c>
      <c r="T224" s="156">
        <f t="shared" si="256"/>
        <v>0.82138899226011453</v>
      </c>
      <c r="U224" s="156">
        <f t="shared" si="256"/>
        <v>0.81412582909291387</v>
      </c>
      <c r="V224" s="156">
        <f t="shared" si="256"/>
        <v>0.89493837830120515</v>
      </c>
      <c r="W224" s="156">
        <f t="shared" ref="W224" si="257">IF(W6=0,0,W6/W$4)</f>
        <v>0.90661143731787686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0.65769122207766517</v>
      </c>
      <c r="C225" s="103">
        <f t="shared" si="258"/>
        <v>0.66442475011831359</v>
      </c>
      <c r="D225" s="103">
        <f t="shared" si="258"/>
        <v>0.66774004952837884</v>
      </c>
      <c r="E225" s="103">
        <f t="shared" si="258"/>
        <v>0.65052567134610195</v>
      </c>
      <c r="F225" s="103">
        <f t="shared" si="258"/>
        <v>0.60323774330856783</v>
      </c>
      <c r="G225" s="103">
        <f t="shared" si="258"/>
        <v>0.59532839858529241</v>
      </c>
      <c r="H225" s="103">
        <f t="shared" si="258"/>
        <v>0.55177667787755347</v>
      </c>
      <c r="I225" s="103">
        <f t="shared" si="258"/>
        <v>0.53635956236366178</v>
      </c>
      <c r="J225" s="103">
        <f t="shared" si="258"/>
        <v>0.54809610541836895</v>
      </c>
      <c r="K225" s="103">
        <f t="shared" si="258"/>
        <v>0.52271264328124878</v>
      </c>
      <c r="L225" s="103">
        <f t="shared" ref="L225" si="259">IF(L7=0,0,L7/L$4)</f>
        <v>0.50607008578022139</v>
      </c>
      <c r="M225" s="103">
        <f t="shared" ref="M225:V225" si="260">IF(M7=0,0,M7/M$4)</f>
        <v>0.4694301911486613</v>
      </c>
      <c r="N225" s="103">
        <f t="shared" si="260"/>
        <v>0.44440473278609122</v>
      </c>
      <c r="O225" s="103">
        <f t="shared" si="260"/>
        <v>0.41622086719124352</v>
      </c>
      <c r="P225" s="103">
        <f t="shared" si="260"/>
        <v>0.41414304393250168</v>
      </c>
      <c r="Q225" s="103">
        <f t="shared" si="260"/>
        <v>0.37703355821068357</v>
      </c>
      <c r="R225" s="103">
        <f t="shared" si="260"/>
        <v>0.3719045248190555</v>
      </c>
      <c r="S225" s="103">
        <f t="shared" si="260"/>
        <v>0.38251458889314216</v>
      </c>
      <c r="T225" s="103">
        <f t="shared" si="260"/>
        <v>0.38332020293498298</v>
      </c>
      <c r="U225" s="103">
        <f t="shared" si="260"/>
        <v>0.38101355236945966</v>
      </c>
      <c r="V225" s="103">
        <f t="shared" si="260"/>
        <v>0.3445121362610406</v>
      </c>
      <c r="W225" s="103">
        <f t="shared" ref="W225" si="261">IF(W7=0,0,W7/W$4)</f>
        <v>0.32165264832217083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5.7392949103587616E-2</v>
      </c>
      <c r="C226" s="103">
        <f t="shared" si="262"/>
        <v>6.7358676935215425E-2</v>
      </c>
      <c r="D226" s="103">
        <f t="shared" si="262"/>
        <v>8.0976045081556994E-2</v>
      </c>
      <c r="E226" s="103">
        <f t="shared" si="262"/>
        <v>0.11544377940210222</v>
      </c>
      <c r="F226" s="103">
        <f t="shared" si="262"/>
        <v>0.15322323707711441</v>
      </c>
      <c r="G226" s="103">
        <f t="shared" si="262"/>
        <v>0.18604830081437418</v>
      </c>
      <c r="H226" s="103">
        <f t="shared" si="262"/>
        <v>0.21887289621519579</v>
      </c>
      <c r="I226" s="103">
        <f t="shared" si="262"/>
        <v>0.2481794591218279</v>
      </c>
      <c r="J226" s="103">
        <f t="shared" si="262"/>
        <v>0.25754485305539992</v>
      </c>
      <c r="K226" s="103">
        <f t="shared" si="262"/>
        <v>0.30406886408472195</v>
      </c>
      <c r="L226" s="103">
        <f t="shared" ref="L226" si="263">IF(L8=0,0,L8/L$4)</f>
        <v>0.31880786380376802</v>
      </c>
      <c r="M226" s="103">
        <f t="shared" ref="M226:V226" si="264">IF(M8=0,0,M8/M$4)</f>
        <v>0.35769280687182869</v>
      </c>
      <c r="N226" s="103">
        <f t="shared" si="264"/>
        <v>0.39716044494900193</v>
      </c>
      <c r="O226" s="103">
        <f t="shared" si="264"/>
        <v>0.42575494144647902</v>
      </c>
      <c r="P226" s="103">
        <f t="shared" si="264"/>
        <v>0.42946272619013487</v>
      </c>
      <c r="Q226" s="103">
        <f t="shared" si="264"/>
        <v>0.44878267198237809</v>
      </c>
      <c r="R226" s="103">
        <f t="shared" si="264"/>
        <v>0.42671406891568969</v>
      </c>
      <c r="S226" s="103">
        <f t="shared" si="264"/>
        <v>0.42048884814843396</v>
      </c>
      <c r="T226" s="103">
        <f t="shared" si="264"/>
        <v>0.4203353232413064</v>
      </c>
      <c r="U226" s="103">
        <f t="shared" si="264"/>
        <v>0.40360036207395528</v>
      </c>
      <c r="V226" s="103">
        <f t="shared" si="264"/>
        <v>0.50444302557137066</v>
      </c>
      <c r="W226" s="103">
        <f t="shared" ref="W226" si="265">IF(W8=0,0,W8/W$4)</f>
        <v>0.5281763115191983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1.7696758257187059E-3</v>
      </c>
      <c r="C227" s="103">
        <f t="shared" si="266"/>
        <v>1.9918292924967964E-3</v>
      </c>
      <c r="D227" s="103">
        <f t="shared" si="266"/>
        <v>2.3291787479934258E-3</v>
      </c>
      <c r="E227" s="103">
        <f t="shared" si="266"/>
        <v>2.5535930337240919E-3</v>
      </c>
      <c r="F227" s="103">
        <f t="shared" si="266"/>
        <v>2.4863575400071746E-3</v>
      </c>
      <c r="G227" s="103">
        <f t="shared" si="266"/>
        <v>2.9661295834390714E-3</v>
      </c>
      <c r="H227" s="103">
        <f t="shared" si="266"/>
        <v>3.705838068814487E-3</v>
      </c>
      <c r="I227" s="103">
        <f t="shared" si="266"/>
        <v>3.0332347254247503E-3</v>
      </c>
      <c r="J227" s="103">
        <f t="shared" si="266"/>
        <v>3.4723087454309621E-3</v>
      </c>
      <c r="K227" s="103">
        <f t="shared" si="266"/>
        <v>3.9570602730827327E-3</v>
      </c>
      <c r="L227" s="103">
        <f t="shared" ref="L227" si="267">IF(L9=0,0,L9/L$4)</f>
        <v>3.8166361731341914E-3</v>
      </c>
      <c r="M227" s="103">
        <f t="shared" ref="M227:V227" si="268">IF(M9=0,0,M9/M$4)</f>
        <v>4.3413064777532307E-3</v>
      </c>
      <c r="N227" s="103">
        <f t="shared" si="268"/>
        <v>5.6922733954504348E-3</v>
      </c>
      <c r="O227" s="103">
        <f t="shared" si="268"/>
        <v>6.4429387022755984E-3</v>
      </c>
      <c r="P227" s="103">
        <f t="shared" si="268"/>
        <v>7.2529976630149873E-3</v>
      </c>
      <c r="Q227" s="103">
        <f t="shared" si="268"/>
        <v>7.2315763280461536E-3</v>
      </c>
      <c r="R227" s="103">
        <f t="shared" si="268"/>
        <v>8.0148527219615334E-3</v>
      </c>
      <c r="S227" s="103">
        <f t="shared" si="268"/>
        <v>9.3563660243979087E-3</v>
      </c>
      <c r="T227" s="103">
        <f t="shared" si="268"/>
        <v>1.0911447116025123E-2</v>
      </c>
      <c r="U227" s="103">
        <f t="shared" si="268"/>
        <v>1.2434489851490049E-2</v>
      </c>
      <c r="V227" s="103">
        <f t="shared" si="268"/>
        <v>1.4696733586786902E-2</v>
      </c>
      <c r="W227" s="103">
        <f t="shared" ref="W227" si="269">IF(W9=0,0,W9/W$4)</f>
        <v>1.487563963340701E-2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5.8351223550403875E-6</v>
      </c>
      <c r="M228" s="103">
        <f t="shared" ref="M228:V228" si="272">IF(M10=0,0,M10/M$4)</f>
        <v>1.9410975509792081E-5</v>
      </c>
      <c r="N228" s="103">
        <f t="shared" si="272"/>
        <v>3.672533591803638E-5</v>
      </c>
      <c r="O228" s="103">
        <f t="shared" si="272"/>
        <v>2.8810067987889896E-4</v>
      </c>
      <c r="P228" s="103">
        <f t="shared" si="272"/>
        <v>5.4292960376839633E-4</v>
      </c>
      <c r="Q228" s="103">
        <f t="shared" si="272"/>
        <v>8.2592862067736581E-4</v>
      </c>
      <c r="R228" s="103">
        <f t="shared" si="272"/>
        <v>1.7931911741929138E-3</v>
      </c>
      <c r="S228" s="103">
        <f t="shared" si="272"/>
        <v>2.5946626192039452E-3</v>
      </c>
      <c r="T228" s="103">
        <f t="shared" si="272"/>
        <v>4.8148236989881028E-3</v>
      </c>
      <c r="U228" s="103">
        <f t="shared" si="272"/>
        <v>1.4832882105061156E-2</v>
      </c>
      <c r="V228" s="103">
        <f t="shared" si="272"/>
        <v>2.8478470688727924E-2</v>
      </c>
      <c r="W228" s="103">
        <f t="shared" ref="W228" si="273">IF(W10=0,0,W10/W$4)</f>
        <v>3.7665344860900687E-2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0</v>
      </c>
      <c r="O229" s="103">
        <f t="shared" si="276"/>
        <v>0</v>
      </c>
      <c r="P229" s="103">
        <f t="shared" si="276"/>
        <v>2.9316561897328422E-5</v>
      </c>
      <c r="Q229" s="103">
        <f t="shared" si="276"/>
        <v>4.7056723683566636E-5</v>
      </c>
      <c r="R229" s="103">
        <f t="shared" si="276"/>
        <v>5.6655136741271693E-5</v>
      </c>
      <c r="S229" s="103">
        <f t="shared" si="276"/>
        <v>7.3836276617219462E-5</v>
      </c>
      <c r="T229" s="103">
        <f t="shared" si="276"/>
        <v>1.1084898910613764E-4</v>
      </c>
      <c r="U229" s="103">
        <f t="shared" si="276"/>
        <v>1.2493219567492365E-4</v>
      </c>
      <c r="V229" s="103">
        <f t="shared" si="276"/>
        <v>2.2949412951818227E-4</v>
      </c>
      <c r="W229" s="103">
        <f t="shared" ref="W229" si="277">IF(W11=0,0,W11/W$4)</f>
        <v>6.5370880051877716E-4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2.1340006656279237E-6</v>
      </c>
      <c r="K230" s="103">
        <f t="shared" si="278"/>
        <v>2.1653270648748145E-6</v>
      </c>
      <c r="L230" s="103">
        <f t="shared" ref="L230" si="279">IF(L12=0,0,L12/L$4)</f>
        <v>4.3595640096029265E-6</v>
      </c>
      <c r="M230" s="103">
        <f t="shared" ref="M230:V230" si="280">IF(M12=0,0,M12/M$4)</f>
        <v>1.2217654959560103E-4</v>
      </c>
      <c r="N230" s="103">
        <f t="shared" si="280"/>
        <v>1.283899799705073E-3</v>
      </c>
      <c r="O230" s="103">
        <f t="shared" si="280"/>
        <v>1.4956463012360827E-3</v>
      </c>
      <c r="P230" s="103">
        <f t="shared" si="280"/>
        <v>2.1899726351033953E-3</v>
      </c>
      <c r="Q230" s="103">
        <f t="shared" si="280"/>
        <v>2.0447120894351739E-3</v>
      </c>
      <c r="R230" s="103">
        <f t="shared" si="280"/>
        <v>1.9178060975800595E-3</v>
      </c>
      <c r="S230" s="103">
        <f t="shared" si="280"/>
        <v>1.8644651269564894E-3</v>
      </c>
      <c r="T230" s="103">
        <f t="shared" si="280"/>
        <v>1.8963462797059146E-3</v>
      </c>
      <c r="U230" s="103">
        <f t="shared" si="280"/>
        <v>2.1196104972726667E-3</v>
      </c>
      <c r="V230" s="103">
        <f t="shared" si="280"/>
        <v>2.5785180637608335E-3</v>
      </c>
      <c r="W230" s="103">
        <f t="shared" ref="W230" si="281">IF(W12=0,0,W12/W$4)</f>
        <v>3.5877841816810718E-3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0.28214501248883422</v>
      </c>
      <c r="C231" s="156">
        <f t="shared" si="282"/>
        <v>0.2652049242934576</v>
      </c>
      <c r="D231" s="156">
        <f t="shared" si="282"/>
        <v>0.24787887003806469</v>
      </c>
      <c r="E231" s="156">
        <f t="shared" si="282"/>
        <v>0.23035699795931422</v>
      </c>
      <c r="F231" s="156">
        <f t="shared" si="282"/>
        <v>0.23983629557641459</v>
      </c>
      <c r="G231" s="156">
        <f t="shared" si="282"/>
        <v>0.2145508231965067</v>
      </c>
      <c r="H231" s="156">
        <f t="shared" si="282"/>
        <v>0.22430303060903531</v>
      </c>
      <c r="I231" s="156">
        <f t="shared" si="282"/>
        <v>0.21083309298766176</v>
      </c>
      <c r="J231" s="156">
        <f t="shared" si="282"/>
        <v>0.18902476944688856</v>
      </c>
      <c r="K231" s="156">
        <f t="shared" si="282"/>
        <v>0.16725580090384515</v>
      </c>
      <c r="L231" s="156">
        <f t="shared" ref="L231" si="283">IF(L13=0,0,L13/L$4)</f>
        <v>0.16910500519742866</v>
      </c>
      <c r="M231" s="156">
        <f t="shared" ref="M231:V231" si="284">IF(M13=0,0,M13/M$4)</f>
        <v>0.16587881143248645</v>
      </c>
      <c r="N231" s="156">
        <f t="shared" si="284"/>
        <v>0.14770004089190311</v>
      </c>
      <c r="O231" s="156">
        <f t="shared" si="284"/>
        <v>0.14587687038710762</v>
      </c>
      <c r="P231" s="156">
        <f t="shared" si="284"/>
        <v>0.14230015805117871</v>
      </c>
      <c r="Q231" s="156">
        <f t="shared" si="284"/>
        <v>0.15991330371769644</v>
      </c>
      <c r="R231" s="156">
        <f t="shared" si="284"/>
        <v>0.18542064221918356</v>
      </c>
      <c r="S231" s="156">
        <f t="shared" si="284"/>
        <v>0.17916228065853865</v>
      </c>
      <c r="T231" s="156">
        <f t="shared" si="284"/>
        <v>0.1748660285611506</v>
      </c>
      <c r="U231" s="156">
        <f t="shared" si="284"/>
        <v>0.18211051322265664</v>
      </c>
      <c r="V231" s="156">
        <f t="shared" si="284"/>
        <v>0.10075183130515407</v>
      </c>
      <c r="W231" s="156">
        <f t="shared" ref="W231" si="285">IF(W13=0,0,W13/W$4)</f>
        <v>8.9130052261944911E-2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3.602977786716164E-2</v>
      </c>
      <c r="C232" s="103">
        <f t="shared" si="286"/>
        <v>3.1526239591025129E-2</v>
      </c>
      <c r="D232" s="103">
        <f t="shared" si="286"/>
        <v>2.6625043777632251E-2</v>
      </c>
      <c r="E232" s="103">
        <f t="shared" si="286"/>
        <v>2.1077207312316278E-2</v>
      </c>
      <c r="F232" s="103">
        <f t="shared" si="286"/>
        <v>1.8270465344377367E-2</v>
      </c>
      <c r="G232" s="103">
        <f t="shared" si="286"/>
        <v>1.2262365630914518E-2</v>
      </c>
      <c r="H232" s="103">
        <f t="shared" si="286"/>
        <v>1.2288592792577137E-2</v>
      </c>
      <c r="I232" s="103">
        <f t="shared" si="286"/>
        <v>6.9748660816628611E-3</v>
      </c>
      <c r="J232" s="103">
        <f t="shared" si="286"/>
        <v>4.8001834546685107E-3</v>
      </c>
      <c r="K232" s="103">
        <f t="shared" si="286"/>
        <v>3.3397436731395511E-3</v>
      </c>
      <c r="L232" s="103">
        <f t="shared" ref="L232" si="287">IF(L14=0,0,L14/L$4)</f>
        <v>2.6679780974489518E-3</v>
      </c>
      <c r="M232" s="103">
        <f t="shared" ref="M232:V232" si="288">IF(M14=0,0,M14/M$4)</f>
        <v>2.3301082956408746E-3</v>
      </c>
      <c r="N232" s="103">
        <f t="shared" si="288"/>
        <v>2.1489142092064877E-3</v>
      </c>
      <c r="O232" s="103">
        <f t="shared" si="288"/>
        <v>1.9669446419049602E-3</v>
      </c>
      <c r="P232" s="103">
        <f t="shared" si="288"/>
        <v>1.9017134357835225E-3</v>
      </c>
      <c r="Q232" s="103">
        <f t="shared" si="288"/>
        <v>1.8214464134321559E-3</v>
      </c>
      <c r="R232" s="103">
        <f t="shared" si="288"/>
        <v>1.9051877512038301E-3</v>
      </c>
      <c r="S232" s="103">
        <f t="shared" si="288"/>
        <v>2.0659757069164566E-3</v>
      </c>
      <c r="T232" s="103">
        <f t="shared" si="288"/>
        <v>1.95727601113758E-3</v>
      </c>
      <c r="U232" s="103">
        <f t="shared" si="288"/>
        <v>1.7297180604346873E-3</v>
      </c>
      <c r="V232" s="103">
        <f t="shared" si="288"/>
        <v>1.6335557583166099E-3</v>
      </c>
      <c r="W232" s="103">
        <f t="shared" ref="W232" si="289">IF(W14=0,0,W14/W$4)</f>
        <v>1.5775822203957109E-3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0.24611523462167256</v>
      </c>
      <c r="C233" s="103">
        <f t="shared" si="290"/>
        <v>0.23367868470243247</v>
      </c>
      <c r="D233" s="103">
        <f t="shared" si="290"/>
        <v>0.22125382626043247</v>
      </c>
      <c r="E233" s="103">
        <f t="shared" si="290"/>
        <v>0.20927979064699792</v>
      </c>
      <c r="F233" s="103">
        <f t="shared" si="290"/>
        <v>0.22156583023203724</v>
      </c>
      <c r="G233" s="103">
        <f t="shared" si="290"/>
        <v>0.20228845756559219</v>
      </c>
      <c r="H233" s="103">
        <f t="shared" si="290"/>
        <v>0.21201443781645815</v>
      </c>
      <c r="I233" s="103">
        <f t="shared" si="290"/>
        <v>0.20385822690599892</v>
      </c>
      <c r="J233" s="103">
        <f t="shared" si="290"/>
        <v>0.18422458599222005</v>
      </c>
      <c r="K233" s="103">
        <f t="shared" si="290"/>
        <v>0.1639160572307056</v>
      </c>
      <c r="L233" s="103">
        <f t="shared" ref="L233" si="291">IF(L15=0,0,L15/L$4)</f>
        <v>0.15956134915025122</v>
      </c>
      <c r="M233" s="103">
        <f t="shared" ref="M233:V233" si="292">IF(M15=0,0,M15/M$4)</f>
        <v>0.15641030923633864</v>
      </c>
      <c r="N233" s="103">
        <f t="shared" si="292"/>
        <v>0.13937553485116311</v>
      </c>
      <c r="O233" s="103">
        <f t="shared" si="292"/>
        <v>0.13798638347503908</v>
      </c>
      <c r="P233" s="103">
        <f t="shared" si="292"/>
        <v>0.13442634947738821</v>
      </c>
      <c r="Q233" s="103">
        <f t="shared" si="292"/>
        <v>0.15103119465204126</v>
      </c>
      <c r="R233" s="103">
        <f t="shared" si="292"/>
        <v>0.17546285923287094</v>
      </c>
      <c r="S233" s="103">
        <f t="shared" si="292"/>
        <v>0.16835859907747977</v>
      </c>
      <c r="T233" s="103">
        <f t="shared" si="292"/>
        <v>0.16285348144478623</v>
      </c>
      <c r="U233" s="103">
        <f t="shared" si="292"/>
        <v>0.16836698621059204</v>
      </c>
      <c r="V233" s="103">
        <f t="shared" si="292"/>
        <v>9.0234932519629649E-2</v>
      </c>
      <c r="W233" s="103">
        <f t="shared" ref="W233" si="293">IF(W15=0,0,W15/W$4)</f>
        <v>7.6992599639179038E-2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2.0885219647706474E-5</v>
      </c>
      <c r="U234" s="103">
        <f t="shared" si="296"/>
        <v>2.1001667896543333E-5</v>
      </c>
      <c r="V234" s="103">
        <f t="shared" si="296"/>
        <v>1.1251713407981933E-5</v>
      </c>
      <c r="W234" s="103">
        <f t="shared" ref="W234" si="297">IF(W16=0,0,W16/W$4)</f>
        <v>9.6929026151258384E-6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1.0048708211300269E-4</v>
      </c>
      <c r="M235" s="103">
        <f t="shared" ref="M235:V235" si="300">IF(M17=0,0,M17/M$4)</f>
        <v>3.4502747722699303E-4</v>
      </c>
      <c r="N235" s="103">
        <f t="shared" si="300"/>
        <v>3.4750771264492912E-4</v>
      </c>
      <c r="O235" s="103">
        <f t="shared" si="300"/>
        <v>6.1065544552699365E-4</v>
      </c>
      <c r="P235" s="103">
        <f t="shared" si="300"/>
        <v>1.1616666774761856E-3</v>
      </c>
      <c r="Q235" s="103">
        <f t="shared" si="300"/>
        <v>2.1142555124942963E-3</v>
      </c>
      <c r="R235" s="103">
        <f t="shared" si="300"/>
        <v>3.4620567538973766E-3</v>
      </c>
      <c r="S235" s="103">
        <f t="shared" si="300"/>
        <v>5.1130822103905658E-3</v>
      </c>
      <c r="T235" s="103">
        <f t="shared" si="300"/>
        <v>6.7296457803687117E-3</v>
      </c>
      <c r="U235" s="103">
        <f t="shared" si="300"/>
        <v>8.6462575983716743E-3</v>
      </c>
      <c r="V235" s="103">
        <f t="shared" si="300"/>
        <v>7.2268077163300144E-3</v>
      </c>
      <c r="W235" s="103">
        <f t="shared" ref="W235" si="301">IF(W17=0,0,W17/W$4)</f>
        <v>9.2941775765946217E-3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6.775190867615479E-3</v>
      </c>
      <c r="M236" s="103">
        <f t="shared" ref="M236:V236" si="304">IF(M18=0,0,M18/M$4)</f>
        <v>6.7933664232799175E-3</v>
      </c>
      <c r="N236" s="103">
        <f t="shared" si="304"/>
        <v>5.8280841188885586E-3</v>
      </c>
      <c r="O236" s="103">
        <f t="shared" si="304"/>
        <v>5.3128868246365944E-3</v>
      </c>
      <c r="P236" s="103">
        <f t="shared" si="304"/>
        <v>4.8104284605307839E-3</v>
      </c>
      <c r="Q236" s="103">
        <f t="shared" si="304"/>
        <v>4.9464071397287363E-3</v>
      </c>
      <c r="R236" s="103">
        <f t="shared" si="304"/>
        <v>4.5905384812113936E-3</v>
      </c>
      <c r="S236" s="103">
        <f t="shared" si="304"/>
        <v>3.6246236637518404E-3</v>
      </c>
      <c r="T236" s="103">
        <f t="shared" si="304"/>
        <v>3.3047401052103678E-3</v>
      </c>
      <c r="U236" s="103">
        <f t="shared" si="304"/>
        <v>3.3465496853617056E-3</v>
      </c>
      <c r="V236" s="103">
        <f t="shared" si="304"/>
        <v>1.6452835974698295E-3</v>
      </c>
      <c r="W236" s="103">
        <f t="shared" ref="W236" si="305">IF(W18=0,0,W18/W$4)</f>
        <v>1.2559999231604158E-3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0.1592638686646137</v>
      </c>
      <c r="C238" s="154">
        <f t="shared" si="310"/>
        <v>0.17451943228470493</v>
      </c>
      <c r="D238" s="154">
        <f t="shared" si="310"/>
        <v>0.1465290344965349</v>
      </c>
      <c r="E238" s="154">
        <f t="shared" si="310"/>
        <v>9.3958451860166742E-2</v>
      </c>
      <c r="F238" s="154">
        <f t="shared" si="310"/>
        <v>8.9688896719578595E-2</v>
      </c>
      <c r="G238" s="154">
        <f t="shared" si="310"/>
        <v>7.2786522636095474E-2</v>
      </c>
      <c r="H238" s="154">
        <f t="shared" si="310"/>
        <v>6.6089267963830745E-2</v>
      </c>
      <c r="I238" s="154">
        <f t="shared" si="310"/>
        <v>6.2499948410808623E-2</v>
      </c>
      <c r="J238" s="154">
        <f t="shared" si="310"/>
        <v>6.6856058349674244E-2</v>
      </c>
      <c r="K238" s="154">
        <f t="shared" si="310"/>
        <v>8.5401561945532639E-2</v>
      </c>
      <c r="L238" s="154">
        <f t="shared" ref="L238" si="311">IF(L20=0,0,L20/L$19)</f>
        <v>8.171381358601415E-2</v>
      </c>
      <c r="M238" s="154">
        <f t="shared" ref="M238:V238" si="312">IF(M20=0,0,M20/M$19)</f>
        <v>7.5234075322314672E-2</v>
      </c>
      <c r="N238" s="154">
        <f t="shared" si="312"/>
        <v>7.7225661602034354E-2</v>
      </c>
      <c r="O238" s="154">
        <f t="shared" si="312"/>
        <v>7.9055117435545302E-2</v>
      </c>
      <c r="P238" s="154">
        <f t="shared" si="312"/>
        <v>8.4504046094771343E-2</v>
      </c>
      <c r="Q238" s="154">
        <f t="shared" si="312"/>
        <v>8.3389761720383454E-2</v>
      </c>
      <c r="R238" s="154">
        <f t="shared" si="312"/>
        <v>8.412451246626608E-2</v>
      </c>
      <c r="S238" s="154">
        <f t="shared" si="312"/>
        <v>9.7744366047385636E-2</v>
      </c>
      <c r="T238" s="154">
        <f t="shared" si="312"/>
        <v>0.10432750620089505</v>
      </c>
      <c r="U238" s="154">
        <f t="shared" si="312"/>
        <v>0.11540285683338977</v>
      </c>
      <c r="V238" s="154">
        <f t="shared" si="312"/>
        <v>0.12751059321535688</v>
      </c>
      <c r="W238" s="154">
        <f t="shared" ref="W238" si="313">IF(W20=0,0,W20/W$19)</f>
        <v>0.11884575085517447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3.1546301770200687E-2</v>
      </c>
      <c r="C239" s="103">
        <f t="shared" si="314"/>
        <v>3.7061168956591645E-2</v>
      </c>
      <c r="D239" s="103">
        <f t="shared" si="314"/>
        <v>3.0801243359600338E-2</v>
      </c>
      <c r="E239" s="103">
        <f t="shared" si="314"/>
        <v>1.9340837140711657E-2</v>
      </c>
      <c r="F239" s="103">
        <f t="shared" si="314"/>
        <v>1.955542812843078E-2</v>
      </c>
      <c r="G239" s="103">
        <f t="shared" si="314"/>
        <v>1.5325103618011565E-2</v>
      </c>
      <c r="H239" s="103">
        <f t="shared" si="314"/>
        <v>1.4177853910274383E-2</v>
      </c>
      <c r="I239" s="103">
        <f t="shared" si="314"/>
        <v>1.2087956682479315E-2</v>
      </c>
      <c r="J239" s="103">
        <f t="shared" si="314"/>
        <v>1.282909704205812E-2</v>
      </c>
      <c r="K239" s="103">
        <f t="shared" si="314"/>
        <v>1.5544216555812233E-2</v>
      </c>
      <c r="L239" s="103">
        <f t="shared" ref="L239" si="315">IF(L21=0,0,L21/L$19)</f>
        <v>1.3748546859158427E-2</v>
      </c>
      <c r="M239" s="103">
        <f t="shared" ref="M239:V239" si="316">IF(M21=0,0,M21/M$19)</f>
        <v>1.2688867894044694E-2</v>
      </c>
      <c r="N239" s="103">
        <f t="shared" si="316"/>
        <v>1.2029551445892645E-2</v>
      </c>
      <c r="O239" s="103">
        <f t="shared" si="316"/>
        <v>1.041535537681031E-2</v>
      </c>
      <c r="P239" s="103">
        <f t="shared" si="316"/>
        <v>1.03525717500642E-2</v>
      </c>
      <c r="Q239" s="103">
        <f t="shared" si="316"/>
        <v>9.6016958498091661E-3</v>
      </c>
      <c r="R239" s="103">
        <f t="shared" si="316"/>
        <v>8.5451149079264575E-3</v>
      </c>
      <c r="S239" s="103">
        <f t="shared" si="316"/>
        <v>9.172464982294886E-3</v>
      </c>
      <c r="T239" s="103">
        <f t="shared" si="316"/>
        <v>9.8145308577744523E-3</v>
      </c>
      <c r="U239" s="103">
        <f t="shared" si="316"/>
        <v>9.6451803509840246E-3</v>
      </c>
      <c r="V239" s="103">
        <f t="shared" si="316"/>
        <v>9.5572298552567356E-3</v>
      </c>
      <c r="W239" s="103">
        <f t="shared" ref="W239" si="317">IF(W21=0,0,W21/W$19)</f>
        <v>7.8137041316824161E-3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0.12771756689441302</v>
      </c>
      <c r="C240" s="103">
        <f t="shared" si="318"/>
        <v>0.13745826332811328</v>
      </c>
      <c r="D240" s="103">
        <f t="shared" si="318"/>
        <v>0.11572779113693456</v>
      </c>
      <c r="E240" s="103">
        <f t="shared" si="318"/>
        <v>7.4617614719455078E-2</v>
      </c>
      <c r="F240" s="103">
        <f t="shared" si="318"/>
        <v>7.0133468591147816E-2</v>
      </c>
      <c r="G240" s="103">
        <f t="shared" si="318"/>
        <v>5.7461419018083916E-2</v>
      </c>
      <c r="H240" s="103">
        <f t="shared" si="318"/>
        <v>5.1911414053556364E-2</v>
      </c>
      <c r="I240" s="103">
        <f t="shared" si="318"/>
        <v>5.0410556384513749E-2</v>
      </c>
      <c r="J240" s="103">
        <f t="shared" si="318"/>
        <v>5.4025447080419939E-2</v>
      </c>
      <c r="K240" s="103">
        <f t="shared" si="318"/>
        <v>6.9855362640195609E-2</v>
      </c>
      <c r="L240" s="103">
        <f t="shared" ref="L240" si="319">IF(L22=0,0,L22/L$19)</f>
        <v>6.7963361264348751E-2</v>
      </c>
      <c r="M240" s="103">
        <f t="shared" ref="M240:V240" si="320">IF(M22=0,0,M22/M$19)</f>
        <v>6.2543527559829018E-2</v>
      </c>
      <c r="N240" s="103">
        <f t="shared" si="320"/>
        <v>6.5192739260521035E-2</v>
      </c>
      <c r="O240" s="103">
        <f t="shared" si="320"/>
        <v>6.8593679611210781E-2</v>
      </c>
      <c r="P240" s="103">
        <f t="shared" si="320"/>
        <v>7.4088532904278165E-2</v>
      </c>
      <c r="Q240" s="103">
        <f t="shared" si="320"/>
        <v>7.3707599374150376E-2</v>
      </c>
      <c r="R240" s="103">
        <f t="shared" si="320"/>
        <v>7.5497550954542553E-2</v>
      </c>
      <c r="S240" s="103">
        <f t="shared" si="320"/>
        <v>8.841902282239196E-2</v>
      </c>
      <c r="T240" s="103">
        <f t="shared" si="320"/>
        <v>9.4326499790570673E-2</v>
      </c>
      <c r="U240" s="103">
        <f t="shared" si="320"/>
        <v>0.10553115993046729</v>
      </c>
      <c r="V240" s="103">
        <f t="shared" si="320"/>
        <v>0.11764852770833888</v>
      </c>
      <c r="W240" s="103">
        <f t="shared" ref="W240" si="321">IF(W22=0,0,W22/W$19)</f>
        <v>0.11076231599418207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9.0574865378372481E-7</v>
      </c>
      <c r="O242" s="103">
        <f t="shared" si="328"/>
        <v>4.067243561685815E-5</v>
      </c>
      <c r="P242" s="103">
        <f t="shared" si="328"/>
        <v>5.1987165987401872E-5</v>
      </c>
      <c r="Q242" s="103">
        <f t="shared" si="328"/>
        <v>6.8781947508365188E-5</v>
      </c>
      <c r="R242" s="103">
        <f t="shared" si="328"/>
        <v>6.2597830168636807E-5</v>
      </c>
      <c r="S242" s="103">
        <f t="shared" si="328"/>
        <v>1.3191861428342417E-4</v>
      </c>
      <c r="T242" s="103">
        <f t="shared" si="328"/>
        <v>1.6571864138719799E-4</v>
      </c>
      <c r="U242" s="103">
        <f t="shared" si="328"/>
        <v>2.0578846527706491E-4</v>
      </c>
      <c r="V242" s="103">
        <f t="shared" si="328"/>
        <v>2.8134761833869387E-4</v>
      </c>
      <c r="W242" s="103">
        <f t="shared" ref="W242" si="329">IF(W24=0,0,W24/W$19)</f>
        <v>2.4910302190306728E-4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1.435343815551052E-6</v>
      </c>
      <c r="J243" s="103">
        <f t="shared" si="330"/>
        <v>1.5142271961797006E-6</v>
      </c>
      <c r="K243" s="103">
        <f t="shared" si="330"/>
        <v>1.9827495247843307E-6</v>
      </c>
      <c r="L243" s="103">
        <f t="shared" ref="L243" si="331">IF(L25=0,0,L25/L$19)</f>
        <v>1.9054625069730735E-6</v>
      </c>
      <c r="M243" s="103">
        <f t="shared" ref="M243:V243" si="332">IF(M25=0,0,M25/M$19)</f>
        <v>1.6798684409759927E-6</v>
      </c>
      <c r="N243" s="103">
        <f t="shared" si="332"/>
        <v>2.4651469668975532E-6</v>
      </c>
      <c r="O243" s="103">
        <f t="shared" si="332"/>
        <v>5.41001190736474E-6</v>
      </c>
      <c r="P243" s="103">
        <f t="shared" si="332"/>
        <v>1.0954274441586892E-5</v>
      </c>
      <c r="Q243" s="103">
        <f t="shared" si="332"/>
        <v>1.1684548915567899E-5</v>
      </c>
      <c r="R243" s="103">
        <f t="shared" si="332"/>
        <v>1.9248773628442204E-5</v>
      </c>
      <c r="S243" s="103">
        <f t="shared" si="332"/>
        <v>2.0959628415363272E-5</v>
      </c>
      <c r="T243" s="103">
        <f t="shared" si="332"/>
        <v>2.0756911162722427E-5</v>
      </c>
      <c r="U243" s="103">
        <f t="shared" si="332"/>
        <v>2.07280866614075E-5</v>
      </c>
      <c r="V243" s="103">
        <f t="shared" si="332"/>
        <v>2.3488033422558327E-5</v>
      </c>
      <c r="W243" s="103">
        <f t="shared" ref="W243" si="333">IF(W25=0,0,W25/W$19)</f>
        <v>2.0627707406917042E-5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0.84073613133538638</v>
      </c>
      <c r="C244" s="156">
        <f t="shared" si="334"/>
        <v>0.8254805677152951</v>
      </c>
      <c r="D244" s="156">
        <f t="shared" si="334"/>
        <v>0.85347096550346513</v>
      </c>
      <c r="E244" s="156">
        <f t="shared" si="334"/>
        <v>0.90604154813983329</v>
      </c>
      <c r="F244" s="156">
        <f t="shared" si="334"/>
        <v>0.91031110328042142</v>
      </c>
      <c r="G244" s="156">
        <f t="shared" si="334"/>
        <v>0.92721347736390447</v>
      </c>
      <c r="H244" s="156">
        <f t="shared" si="334"/>
        <v>0.93391073203616926</v>
      </c>
      <c r="I244" s="156">
        <f t="shared" si="334"/>
        <v>0.93750005158919136</v>
      </c>
      <c r="J244" s="156">
        <f t="shared" si="334"/>
        <v>0.93314394165032577</v>
      </c>
      <c r="K244" s="156">
        <f t="shared" si="334"/>
        <v>0.9145984380544675</v>
      </c>
      <c r="L244" s="156">
        <f t="shared" ref="L244" si="335">IF(L26=0,0,L26/L$19)</f>
        <v>0.91828618641398585</v>
      </c>
      <c r="M244" s="156">
        <f t="shared" ref="M244:V244" si="336">IF(M26=0,0,M26/M$19)</f>
        <v>0.92476592467768537</v>
      </c>
      <c r="N244" s="156">
        <f t="shared" si="336"/>
        <v>0.92277433839796563</v>
      </c>
      <c r="O244" s="156">
        <f t="shared" si="336"/>
        <v>0.92094488256445461</v>
      </c>
      <c r="P244" s="156">
        <f t="shared" si="336"/>
        <v>0.91549595390522864</v>
      </c>
      <c r="Q244" s="156">
        <f t="shared" si="336"/>
        <v>0.91661023827961652</v>
      </c>
      <c r="R244" s="156">
        <f t="shared" si="336"/>
        <v>0.91587548753373382</v>
      </c>
      <c r="S244" s="156">
        <f t="shared" si="336"/>
        <v>0.90225563395261443</v>
      </c>
      <c r="T244" s="156">
        <f t="shared" si="336"/>
        <v>0.89567249379910496</v>
      </c>
      <c r="U244" s="156">
        <f t="shared" si="336"/>
        <v>0.8845971431666102</v>
      </c>
      <c r="V244" s="156">
        <f t="shared" si="336"/>
        <v>0.87248940678464315</v>
      </c>
      <c r="W244" s="156">
        <f t="shared" ref="W244" si="337">IF(W26=0,0,W26/W$19)</f>
        <v>0.88115424914482554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0.45918758071191229</v>
      </c>
      <c r="C245" s="103">
        <f t="shared" si="338"/>
        <v>0.38194045877050886</v>
      </c>
      <c r="D245" s="103">
        <f t="shared" si="338"/>
        <v>0.45290788107674596</v>
      </c>
      <c r="E245" s="103">
        <f t="shared" si="338"/>
        <v>0.63059897420298838</v>
      </c>
      <c r="F245" s="103">
        <f t="shared" si="338"/>
        <v>0.59194321335794831</v>
      </c>
      <c r="G245" s="103">
        <f t="shared" si="338"/>
        <v>0.6413570458216783</v>
      </c>
      <c r="H245" s="103">
        <f t="shared" si="338"/>
        <v>0.64418706021939065</v>
      </c>
      <c r="I245" s="103">
        <f t="shared" si="338"/>
        <v>0.62021201788999836</v>
      </c>
      <c r="J245" s="103">
        <f t="shared" si="338"/>
        <v>0.61680709230343722</v>
      </c>
      <c r="K245" s="103">
        <f t="shared" si="338"/>
        <v>0.58412622795199709</v>
      </c>
      <c r="L245" s="103">
        <f t="shared" ref="L245" si="339">IF(L27=0,0,L27/L$19)</f>
        <v>0.58716058268797022</v>
      </c>
      <c r="M245" s="103">
        <f t="shared" ref="M245:V245" si="340">IF(M27=0,0,M27/M$19)</f>
        <v>0.58175768942766115</v>
      </c>
      <c r="N245" s="103">
        <f t="shared" si="340"/>
        <v>0.58260228746701881</v>
      </c>
      <c r="O245" s="103">
        <f t="shared" si="340"/>
        <v>0.54557392698183194</v>
      </c>
      <c r="P245" s="103">
        <f t="shared" si="340"/>
        <v>0.53395873359936374</v>
      </c>
      <c r="Q245" s="103">
        <f t="shared" si="340"/>
        <v>0.49254662692698598</v>
      </c>
      <c r="R245" s="103">
        <f t="shared" si="340"/>
        <v>0.52689783221598396</v>
      </c>
      <c r="S245" s="103">
        <f t="shared" si="340"/>
        <v>0.50525441927668902</v>
      </c>
      <c r="T245" s="103">
        <f t="shared" si="340"/>
        <v>0.50102980243705741</v>
      </c>
      <c r="U245" s="103">
        <f t="shared" si="340"/>
        <v>0.50794530383307712</v>
      </c>
      <c r="V245" s="103">
        <f t="shared" si="340"/>
        <v>0.40373646486254117</v>
      </c>
      <c r="W245" s="103">
        <f t="shared" ref="W245" si="341">IF(W27=0,0,W27/W$19)</f>
        <v>0.50018216602355281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0.38154855062347404</v>
      </c>
      <c r="C246" s="105">
        <f t="shared" si="342"/>
        <v>0.44354010894478618</v>
      </c>
      <c r="D246" s="105">
        <f t="shared" si="342"/>
        <v>0.40056308442671917</v>
      </c>
      <c r="E246" s="105">
        <f t="shared" si="342"/>
        <v>0.2754425739368449</v>
      </c>
      <c r="F246" s="105">
        <f t="shared" si="342"/>
        <v>0.31836788992247311</v>
      </c>
      <c r="G246" s="105">
        <f t="shared" si="342"/>
        <v>0.28585643154222623</v>
      </c>
      <c r="H246" s="105">
        <f t="shared" si="342"/>
        <v>0.28972367181677855</v>
      </c>
      <c r="I246" s="105">
        <f t="shared" si="342"/>
        <v>0.31728803369919295</v>
      </c>
      <c r="J246" s="105">
        <f t="shared" si="342"/>
        <v>0.3163368493468886</v>
      </c>
      <c r="K246" s="105">
        <f t="shared" si="342"/>
        <v>0.33047221010247041</v>
      </c>
      <c r="L246" s="105">
        <f t="shared" ref="L246" si="343">IF(L28=0,0,L28/L$19)</f>
        <v>0.33112560372601568</v>
      </c>
      <c r="M246" s="105">
        <f t="shared" ref="M246:V246" si="344">IF(M28=0,0,M28/M$19)</f>
        <v>0.34300823525002416</v>
      </c>
      <c r="N246" s="105">
        <f t="shared" si="344"/>
        <v>0.34017205093094682</v>
      </c>
      <c r="O246" s="105">
        <f t="shared" si="344"/>
        <v>0.37537095558262268</v>
      </c>
      <c r="P246" s="105">
        <f t="shared" si="344"/>
        <v>0.3815372203058649</v>
      </c>
      <c r="Q246" s="105">
        <f t="shared" si="344"/>
        <v>0.42406361135263049</v>
      </c>
      <c r="R246" s="105">
        <f t="shared" si="344"/>
        <v>0.38897765531774997</v>
      </c>
      <c r="S246" s="105">
        <f t="shared" si="344"/>
        <v>0.39700121467592531</v>
      </c>
      <c r="T246" s="105">
        <f t="shared" si="344"/>
        <v>0.39464269136204755</v>
      </c>
      <c r="U246" s="105">
        <f t="shared" si="344"/>
        <v>0.37665183933353319</v>
      </c>
      <c r="V246" s="105">
        <f t="shared" si="344"/>
        <v>0.46875294192210198</v>
      </c>
      <c r="W246" s="105">
        <f t="shared" ref="W246" si="345">IF(W28=0,0,W28/W$19)</f>
        <v>0.38097208312127273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2.5620777008958659E-3</v>
      </c>
      <c r="C250" s="154">
        <f t="shared" si="350"/>
        <v>2.1071874683158097E-3</v>
      </c>
      <c r="D250" s="154">
        <f t="shared" si="350"/>
        <v>2.3856647164408698E-3</v>
      </c>
      <c r="E250" s="154">
        <f t="shared" si="350"/>
        <v>2.5728659608504133E-3</v>
      </c>
      <c r="F250" s="154">
        <f t="shared" si="350"/>
        <v>2.800008976840154E-3</v>
      </c>
      <c r="G250" s="154">
        <f t="shared" si="350"/>
        <v>2.8707616475313756E-3</v>
      </c>
      <c r="H250" s="154">
        <f t="shared" si="350"/>
        <v>3.0730572894022172E-3</v>
      </c>
      <c r="I250" s="154">
        <f t="shared" si="350"/>
        <v>3.2157704369050509E-3</v>
      </c>
      <c r="J250" s="154">
        <f t="shared" si="350"/>
        <v>3.7691796479261924E-3</v>
      </c>
      <c r="K250" s="154">
        <f t="shared" si="350"/>
        <v>3.8970161039774262E-3</v>
      </c>
      <c r="L250" s="154">
        <f t="shared" ref="L250" si="351">IF(L32=0,0,L32/L$31)</f>
        <v>4.1421829636157873E-3</v>
      </c>
      <c r="M250" s="154">
        <f t="shared" ref="M250:V250" si="352">IF(M32=0,0,M32/M$31)</f>
        <v>4.8474915272501392E-3</v>
      </c>
      <c r="N250" s="154">
        <f t="shared" si="352"/>
        <v>7.0506324842879746E-3</v>
      </c>
      <c r="O250" s="154">
        <f t="shared" si="352"/>
        <v>7.5706732074920062E-3</v>
      </c>
      <c r="P250" s="154">
        <f t="shared" si="352"/>
        <v>7.9673436552401729E-3</v>
      </c>
      <c r="Q250" s="154">
        <f t="shared" si="352"/>
        <v>7.9039561307977044E-3</v>
      </c>
      <c r="R250" s="154">
        <f t="shared" si="352"/>
        <v>8.0670446254838945E-3</v>
      </c>
      <c r="S250" s="154">
        <f t="shared" si="352"/>
        <v>7.2893249365389677E-3</v>
      </c>
      <c r="T250" s="154">
        <f t="shared" si="352"/>
        <v>6.5564438879196626E-3</v>
      </c>
      <c r="U250" s="154">
        <f t="shared" si="352"/>
        <v>6.8082348833901274E-3</v>
      </c>
      <c r="V250" s="154">
        <f t="shared" si="352"/>
        <v>6.3262135329042674E-3</v>
      </c>
      <c r="W250" s="154">
        <f t="shared" ref="W250" si="353">IF(W32=0,0,W32/W$31)</f>
        <v>6.4212433127757576E-3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0.93836725176128599</v>
      </c>
      <c r="C251" s="156">
        <f t="shared" si="354"/>
        <v>0.95152096377038742</v>
      </c>
      <c r="D251" s="156">
        <f t="shared" si="354"/>
        <v>0.94945275446792421</v>
      </c>
      <c r="E251" s="156">
        <f t="shared" si="354"/>
        <v>0.94980318359847404</v>
      </c>
      <c r="F251" s="156">
        <f t="shared" si="354"/>
        <v>0.95084589332375702</v>
      </c>
      <c r="G251" s="156">
        <f t="shared" si="354"/>
        <v>0.95374228637990266</v>
      </c>
      <c r="H251" s="156">
        <f t="shared" si="354"/>
        <v>0.95779945104475883</v>
      </c>
      <c r="I251" s="156">
        <f t="shared" si="354"/>
        <v>0.96798000384771943</v>
      </c>
      <c r="J251" s="156">
        <f t="shared" si="354"/>
        <v>0.96987742091259621</v>
      </c>
      <c r="K251" s="156">
        <f t="shared" si="354"/>
        <v>0.97185766190890255</v>
      </c>
      <c r="L251" s="156">
        <f t="shared" ref="L251" si="355">IF(L33=0,0,L33/L$31)</f>
        <v>0.97166455143457464</v>
      </c>
      <c r="M251" s="156">
        <f t="shared" ref="M251:V251" si="356">IF(M33=0,0,M33/M$31)</f>
        <v>0.97163874440632947</v>
      </c>
      <c r="N251" s="156">
        <f t="shared" si="356"/>
        <v>0.97004744363285478</v>
      </c>
      <c r="O251" s="156">
        <f t="shared" si="356"/>
        <v>0.96856327160998645</v>
      </c>
      <c r="P251" s="156">
        <f t="shared" si="356"/>
        <v>0.96786824480031086</v>
      </c>
      <c r="Q251" s="156">
        <f t="shared" si="356"/>
        <v>0.96851890200176594</v>
      </c>
      <c r="R251" s="156">
        <f t="shared" si="356"/>
        <v>0.96582838086209288</v>
      </c>
      <c r="S251" s="156">
        <f t="shared" si="356"/>
        <v>0.96426376417167659</v>
      </c>
      <c r="T251" s="156">
        <f t="shared" si="356"/>
        <v>0.96719664048947829</v>
      </c>
      <c r="U251" s="156">
        <f t="shared" si="356"/>
        <v>0.96920097401402328</v>
      </c>
      <c r="V251" s="156">
        <f t="shared" si="356"/>
        <v>0.96956578708376873</v>
      </c>
      <c r="W251" s="156">
        <f t="shared" ref="W251" si="357">IF(W33=0,0,W33/W$31)</f>
        <v>0.96857361047044876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0.86297025704599917</v>
      </c>
      <c r="C252" s="103">
        <f t="shared" si="358"/>
        <v>0.8639421028664096</v>
      </c>
      <c r="D252" s="103">
        <f t="shared" si="358"/>
        <v>0.84684872702221359</v>
      </c>
      <c r="E252" s="103">
        <f t="shared" si="358"/>
        <v>0.80757609273663322</v>
      </c>
      <c r="F252" s="103">
        <f t="shared" si="358"/>
        <v>0.76033012028444291</v>
      </c>
      <c r="G252" s="103">
        <f t="shared" si="358"/>
        <v>0.72905065263647106</v>
      </c>
      <c r="H252" s="103">
        <f t="shared" si="358"/>
        <v>0.68828532127219177</v>
      </c>
      <c r="I252" s="103">
        <f t="shared" si="358"/>
        <v>0.66546667340467447</v>
      </c>
      <c r="J252" s="103">
        <f t="shared" si="358"/>
        <v>0.66328446864138535</v>
      </c>
      <c r="K252" s="103">
        <f t="shared" si="358"/>
        <v>0.61824860759600997</v>
      </c>
      <c r="L252" s="103">
        <f t="shared" ref="L252" si="359">IF(L34=0,0,L34/L$31)</f>
        <v>0.60025364720121699</v>
      </c>
      <c r="M252" s="103">
        <f t="shared" ref="M252:V252" si="360">IF(M34=0,0,M34/M$31)</f>
        <v>0.55560101738099754</v>
      </c>
      <c r="N252" s="103">
        <f t="shared" si="360"/>
        <v>0.5152035107037457</v>
      </c>
      <c r="O252" s="103">
        <f t="shared" si="360"/>
        <v>0.48134987157451031</v>
      </c>
      <c r="P252" s="103">
        <f t="shared" si="360"/>
        <v>0.47671623012351155</v>
      </c>
      <c r="Q252" s="103">
        <f t="shared" si="360"/>
        <v>0.44392028745870027</v>
      </c>
      <c r="R252" s="103">
        <f t="shared" si="360"/>
        <v>0.45029583303426018</v>
      </c>
      <c r="S252" s="103">
        <f t="shared" si="360"/>
        <v>0.45855247253752279</v>
      </c>
      <c r="T252" s="103">
        <f t="shared" si="360"/>
        <v>0.45833915516266588</v>
      </c>
      <c r="U252" s="103">
        <f t="shared" si="360"/>
        <v>0.46028304961317923</v>
      </c>
      <c r="V252" s="103">
        <f t="shared" si="360"/>
        <v>0.37948281453940774</v>
      </c>
      <c r="W252" s="103">
        <f t="shared" ref="W252" si="361">IF(W34=0,0,W34/W$31)</f>
        <v>0.34953697766646763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7.3067721973016433E-2</v>
      </c>
      <c r="C253" s="103">
        <f t="shared" si="362"/>
        <v>8.4981742099786525E-2</v>
      </c>
      <c r="D253" s="103">
        <f t="shared" si="362"/>
        <v>9.9643327035449133E-2</v>
      </c>
      <c r="E253" s="103">
        <f t="shared" si="362"/>
        <v>0.13905377856074927</v>
      </c>
      <c r="F253" s="103">
        <f t="shared" si="362"/>
        <v>0.18738359473265936</v>
      </c>
      <c r="G253" s="103">
        <f t="shared" si="362"/>
        <v>0.22106503395223384</v>
      </c>
      <c r="H253" s="103">
        <f t="shared" si="362"/>
        <v>0.26490514697059758</v>
      </c>
      <c r="I253" s="103">
        <f t="shared" si="362"/>
        <v>0.2987647537563709</v>
      </c>
      <c r="J253" s="103">
        <f t="shared" si="362"/>
        <v>0.30240518355611662</v>
      </c>
      <c r="K253" s="103">
        <f t="shared" si="362"/>
        <v>0.34895171569315464</v>
      </c>
      <c r="L253" s="103">
        <f t="shared" ref="L253" si="363">IF(L35=0,0,L35/L$31)</f>
        <v>0.36689890064276731</v>
      </c>
      <c r="M253" s="103">
        <f t="shared" ref="M253:V253" si="364">IF(M35=0,0,M35/M$31)</f>
        <v>0.41076692377080093</v>
      </c>
      <c r="N253" s="103">
        <f t="shared" si="364"/>
        <v>0.44674466108834343</v>
      </c>
      <c r="O253" s="103">
        <f t="shared" si="364"/>
        <v>0.47773818135256474</v>
      </c>
      <c r="P253" s="103">
        <f t="shared" si="364"/>
        <v>0.47965423974635041</v>
      </c>
      <c r="Q253" s="103">
        <f t="shared" si="364"/>
        <v>0.51268936707339408</v>
      </c>
      <c r="R253" s="103">
        <f t="shared" si="364"/>
        <v>0.50129880798856052</v>
      </c>
      <c r="S253" s="103">
        <f t="shared" si="364"/>
        <v>0.4890899765523844</v>
      </c>
      <c r="T253" s="103">
        <f t="shared" si="364"/>
        <v>0.4876569100797879</v>
      </c>
      <c r="U253" s="103">
        <f t="shared" si="364"/>
        <v>0.47307429380204113</v>
      </c>
      <c r="V253" s="103">
        <f t="shared" si="364"/>
        <v>0.53912932288072302</v>
      </c>
      <c r="W253" s="103">
        <f t="shared" ref="W253" si="365">IF(W35=0,0,W35/W$31)</f>
        <v>0.55690120650570862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2.3292727422703566E-3</v>
      </c>
      <c r="C254" s="103">
        <f t="shared" si="366"/>
        <v>2.5971188041912655E-3</v>
      </c>
      <c r="D254" s="103">
        <f t="shared" si="366"/>
        <v>2.9607004102614946E-3</v>
      </c>
      <c r="E254" s="103">
        <f t="shared" si="366"/>
        <v>3.1733123010915807E-3</v>
      </c>
      <c r="F254" s="103">
        <f t="shared" si="366"/>
        <v>3.1321783066546979E-3</v>
      </c>
      <c r="G254" s="103">
        <f t="shared" si="366"/>
        <v>3.6265997911977834E-3</v>
      </c>
      <c r="H254" s="103">
        <f t="shared" si="366"/>
        <v>4.6089828019695031E-3</v>
      </c>
      <c r="I254" s="103">
        <f t="shared" si="366"/>
        <v>3.7485766866740774E-3</v>
      </c>
      <c r="J254" s="103">
        <f t="shared" si="366"/>
        <v>4.185131599315349E-3</v>
      </c>
      <c r="K254" s="103">
        <f t="shared" si="366"/>
        <v>4.6547271263683203E-3</v>
      </c>
      <c r="L254" s="103">
        <f t="shared" ref="L254" si="367">IF(L36=0,0,L36/L$31)</f>
        <v>4.4996805281224683E-3</v>
      </c>
      <c r="M254" s="103">
        <f t="shared" ref="M254:V254" si="368">IF(M36=0,0,M36/M$31)</f>
        <v>5.1002576532007352E-3</v>
      </c>
      <c r="N254" s="103">
        <f t="shared" si="368"/>
        <v>6.5429156661167198E-3</v>
      </c>
      <c r="O254" s="103">
        <f t="shared" si="368"/>
        <v>7.3803001517767182E-3</v>
      </c>
      <c r="P254" s="103">
        <f t="shared" si="368"/>
        <v>8.2690020264101077E-3</v>
      </c>
      <c r="Q254" s="103">
        <f t="shared" si="368"/>
        <v>8.4243639753554117E-3</v>
      </c>
      <c r="R254" s="103">
        <f t="shared" si="368"/>
        <v>9.6046134676902491E-3</v>
      </c>
      <c r="S254" s="103">
        <f t="shared" si="368"/>
        <v>1.1105098188363697E-2</v>
      </c>
      <c r="T254" s="103">
        <f t="shared" si="368"/>
        <v>1.2919111800907402E-2</v>
      </c>
      <c r="U254" s="103">
        <f t="shared" si="368"/>
        <v>1.4884514867203543E-2</v>
      </c>
      <c r="V254" s="103">
        <f t="shared" si="368"/>
        <v>1.6009927849053619E-2</v>
      </c>
      <c r="W254" s="103">
        <f t="shared" ref="W254" si="369">IF(W36=0,0,W36/W$31)</f>
        <v>1.5979805577054279E-2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7.0533388391594402E-6</v>
      </c>
      <c r="M255" s="103">
        <f t="shared" ref="M255:V255" si="372">IF(M37=0,0,M37/M$31)</f>
        <v>2.3380989873623682E-5</v>
      </c>
      <c r="N255" s="103">
        <f t="shared" si="372"/>
        <v>4.3280793148861888E-5</v>
      </c>
      <c r="O255" s="103">
        <f t="shared" si="372"/>
        <v>3.3835934103925222E-4</v>
      </c>
      <c r="P255" s="103">
        <f t="shared" si="372"/>
        <v>6.3463343054496958E-4</v>
      </c>
      <c r="Q255" s="103">
        <f t="shared" si="372"/>
        <v>9.8648509072340844E-4</v>
      </c>
      <c r="R255" s="103">
        <f t="shared" si="372"/>
        <v>2.2032044503324491E-3</v>
      </c>
      <c r="S255" s="103">
        <f t="shared" si="372"/>
        <v>3.1574752636069959E-3</v>
      </c>
      <c r="T255" s="103">
        <f t="shared" si="372"/>
        <v>5.8448659628289584E-3</v>
      </c>
      <c r="U255" s="103">
        <f t="shared" si="372"/>
        <v>1.8204389499603842E-2</v>
      </c>
      <c r="V255" s="103">
        <f t="shared" si="372"/>
        <v>3.1807466540894384E-2</v>
      </c>
      <c r="W255" s="103">
        <f t="shared" ref="W255" si="373">IF(W37=0,0,W37/W$31)</f>
        <v>4.1484098090207838E-2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0</v>
      </c>
      <c r="O256" s="103">
        <f t="shared" si="376"/>
        <v>0</v>
      </c>
      <c r="P256" s="103">
        <f t="shared" si="376"/>
        <v>3.4268292094498028E-5</v>
      </c>
      <c r="Q256" s="103">
        <f t="shared" si="376"/>
        <v>5.6204319804366033E-5</v>
      </c>
      <c r="R256" s="103">
        <f t="shared" si="376"/>
        <v>6.9609337364011947E-5</v>
      </c>
      <c r="S256" s="103">
        <f t="shared" si="376"/>
        <v>8.9852227896681757E-5</v>
      </c>
      <c r="T256" s="103">
        <f t="shared" si="376"/>
        <v>1.345630751914397E-4</v>
      </c>
      <c r="U256" s="103">
        <f t="shared" si="376"/>
        <v>1.5332922725321259E-4</v>
      </c>
      <c r="V256" s="103">
        <f t="shared" si="376"/>
        <v>2.5632088625006583E-4</v>
      </c>
      <c r="W256" s="103">
        <f t="shared" ref="W256" si="377">IF(W38=0,0,W38/W$31)</f>
        <v>7.1998597393180968E-4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2.6371157789538967E-6</v>
      </c>
      <c r="K257" s="103">
        <f t="shared" si="378"/>
        <v>2.6114933696242881E-6</v>
      </c>
      <c r="L257" s="103">
        <f t="shared" ref="L257" si="379">IF(L39=0,0,L39/L$31)</f>
        <v>5.2697236287037796E-6</v>
      </c>
      <c r="M257" s="103">
        <f t="shared" ref="M257:V257" si="380">IF(M39=0,0,M39/M$31)</f>
        <v>1.4716461145644028E-4</v>
      </c>
      <c r="N257" s="103">
        <f t="shared" si="380"/>
        <v>1.5130753815000525E-3</v>
      </c>
      <c r="O257" s="103">
        <f t="shared" si="380"/>
        <v>1.7565591900954801E-3</v>
      </c>
      <c r="P257" s="103">
        <f t="shared" si="380"/>
        <v>2.55987118139933E-3</v>
      </c>
      <c r="Q257" s="103">
        <f t="shared" si="380"/>
        <v>2.4421940837883165E-3</v>
      </c>
      <c r="R257" s="103">
        <f t="shared" si="380"/>
        <v>2.3563125838854536E-3</v>
      </c>
      <c r="S257" s="103">
        <f t="shared" si="380"/>
        <v>2.2688894019019523E-3</v>
      </c>
      <c r="T257" s="103">
        <f t="shared" si="380"/>
        <v>2.3020344080967796E-3</v>
      </c>
      <c r="U257" s="103">
        <f t="shared" si="380"/>
        <v>2.6013970047422232E-3</v>
      </c>
      <c r="V257" s="103">
        <f t="shared" si="380"/>
        <v>2.8799343874398187E-3</v>
      </c>
      <c r="W257" s="103">
        <f t="shared" ref="W257" si="381">IF(W39=0,0,W39/W$31)</f>
        <v>3.9515366570785342E-3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5.907067053781808E-2</v>
      </c>
      <c r="C258" s="156">
        <f t="shared" si="382"/>
        <v>4.6371848761296797E-2</v>
      </c>
      <c r="D258" s="156">
        <f t="shared" si="382"/>
        <v>4.816158081563484E-2</v>
      </c>
      <c r="E258" s="156">
        <f t="shared" si="382"/>
        <v>4.7623950440675508E-2</v>
      </c>
      <c r="F258" s="156">
        <f t="shared" si="382"/>
        <v>4.6354097699402831E-2</v>
      </c>
      <c r="G258" s="156">
        <f t="shared" si="382"/>
        <v>4.3386951972565889E-2</v>
      </c>
      <c r="H258" s="156">
        <f t="shared" si="382"/>
        <v>3.9127491665838947E-2</v>
      </c>
      <c r="I258" s="156">
        <f t="shared" si="382"/>
        <v>2.8804225715375539E-2</v>
      </c>
      <c r="J258" s="156">
        <f t="shared" si="382"/>
        <v>2.6353399439477596E-2</v>
      </c>
      <c r="K258" s="156">
        <f t="shared" si="382"/>
        <v>2.4245321987119935E-2</v>
      </c>
      <c r="L258" s="156">
        <f t="shared" ref="L258" si="383">IF(L40=0,0,L40/L$31)</f>
        <v>2.4193265601809521E-2</v>
      </c>
      <c r="M258" s="156">
        <f t="shared" ref="M258:V258" si="384">IF(M40=0,0,M40/M$31)</f>
        <v>2.35137640664204E-2</v>
      </c>
      <c r="N258" s="156">
        <f t="shared" si="384"/>
        <v>2.2901923882857392E-2</v>
      </c>
      <c r="O258" s="156">
        <f t="shared" si="384"/>
        <v>2.3866055182521575E-2</v>
      </c>
      <c r="P258" s="156">
        <f t="shared" si="384"/>
        <v>2.4164411544448927E-2</v>
      </c>
      <c r="Q258" s="156">
        <f t="shared" si="384"/>
        <v>2.3577141867436337E-2</v>
      </c>
      <c r="R258" s="156">
        <f t="shared" si="384"/>
        <v>2.6104574512423165E-2</v>
      </c>
      <c r="S258" s="156">
        <f t="shared" si="384"/>
        <v>2.8446910891784402E-2</v>
      </c>
      <c r="T258" s="156">
        <f t="shared" si="384"/>
        <v>2.6246915622602018E-2</v>
      </c>
      <c r="U258" s="156">
        <f t="shared" si="384"/>
        <v>2.3990791102586524E-2</v>
      </c>
      <c r="V258" s="156">
        <f t="shared" si="384"/>
        <v>2.4107999383327004E-2</v>
      </c>
      <c r="W258" s="156">
        <f t="shared" ref="W258" si="385">IF(W40=0,0,W40/W$31)</f>
        <v>2.5005146216775517E-2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1.6275906513656818E-2</v>
      </c>
      <c r="C259" s="103">
        <f t="shared" si="386"/>
        <v>1.1530049590416383E-2</v>
      </c>
      <c r="D259" s="103">
        <f t="shared" si="386"/>
        <v>1.0477348765883293E-2</v>
      </c>
      <c r="E259" s="103">
        <f t="shared" si="386"/>
        <v>8.6138180925574952E-3</v>
      </c>
      <c r="F259" s="103">
        <f t="shared" si="386"/>
        <v>7.4421707429968348E-3</v>
      </c>
      <c r="G259" s="103">
        <f t="shared" si="386"/>
        <v>5.5906348177424308E-3</v>
      </c>
      <c r="H259" s="103">
        <f t="shared" si="386"/>
        <v>4.9371433554423264E-3</v>
      </c>
      <c r="I259" s="103">
        <f t="shared" si="386"/>
        <v>2.4437050794253149E-3</v>
      </c>
      <c r="J259" s="103">
        <f t="shared" si="386"/>
        <v>1.6934888896476506E-3</v>
      </c>
      <c r="K259" s="103">
        <f t="shared" si="386"/>
        <v>1.1398990271818423E-3</v>
      </c>
      <c r="L259" s="103">
        <f t="shared" ref="L259" si="387">IF(L41=0,0,L41/L$31)</f>
        <v>8.8518166488617321E-4</v>
      </c>
      <c r="M259" s="103">
        <f t="shared" ref="M259:V259" si="388">IF(M41=0,0,M41/M$31)</f>
        <v>7.8517090099473712E-4</v>
      </c>
      <c r="N259" s="103">
        <f t="shared" si="388"/>
        <v>7.1436883765012749E-4</v>
      </c>
      <c r="O259" s="103">
        <f t="shared" si="388"/>
        <v>6.6806589343145297E-4</v>
      </c>
      <c r="P259" s="103">
        <f t="shared" si="388"/>
        <v>6.5602442238141549E-4</v>
      </c>
      <c r="Q259" s="103">
        <f t="shared" si="388"/>
        <v>6.1165146816808064E-4</v>
      </c>
      <c r="R259" s="103">
        <f t="shared" si="388"/>
        <v>6.4195617625237723E-4</v>
      </c>
      <c r="S259" s="103">
        <f t="shared" si="388"/>
        <v>6.7489515637381777E-4</v>
      </c>
      <c r="T259" s="103">
        <f t="shared" si="388"/>
        <v>6.0513346959796674E-4</v>
      </c>
      <c r="U259" s="103">
        <f t="shared" si="388"/>
        <v>5.4538266034160764E-4</v>
      </c>
      <c r="V259" s="103">
        <f t="shared" si="388"/>
        <v>5.1753763734374938E-4</v>
      </c>
      <c r="W259" s="103">
        <f t="shared" ref="W259" si="389">IF(W41=0,0,W41/W$31)</f>
        <v>5.1624054328790105E-4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4.2794764024161262E-2</v>
      </c>
      <c r="C260" s="103">
        <f t="shared" si="390"/>
        <v>3.4841799170880414E-2</v>
      </c>
      <c r="D260" s="103">
        <f t="shared" si="390"/>
        <v>3.7684232049751548E-2</v>
      </c>
      <c r="E260" s="103">
        <f t="shared" si="390"/>
        <v>3.901013234811801E-2</v>
      </c>
      <c r="F260" s="103">
        <f t="shared" si="390"/>
        <v>3.8911926956405996E-2</v>
      </c>
      <c r="G260" s="103">
        <f t="shared" si="390"/>
        <v>3.7796317154823462E-2</v>
      </c>
      <c r="H260" s="103">
        <f t="shared" si="390"/>
        <v>3.4190348310396627E-2</v>
      </c>
      <c r="I260" s="103">
        <f t="shared" si="390"/>
        <v>2.6360520635950228E-2</v>
      </c>
      <c r="J260" s="103">
        <f t="shared" si="390"/>
        <v>2.4659910549829949E-2</v>
      </c>
      <c r="K260" s="103">
        <f t="shared" si="390"/>
        <v>2.3105422959938091E-2</v>
      </c>
      <c r="L260" s="103">
        <f t="shared" ref="L260" si="391">IF(L42=0,0,L42/L$31)</f>
        <v>2.2345203972243037E-2</v>
      </c>
      <c r="M260" s="103">
        <f t="shared" ref="M260:V260" si="392">IF(M42=0,0,M42/M$31)</f>
        <v>2.1736560531064618E-2</v>
      </c>
      <c r="N260" s="103">
        <f t="shared" si="392"/>
        <v>2.1246158803063502E-2</v>
      </c>
      <c r="O260" s="103">
        <f t="shared" si="392"/>
        <v>2.224312624246453E-2</v>
      </c>
      <c r="P260" s="103">
        <f t="shared" si="392"/>
        <v>2.2508416468413346E-2</v>
      </c>
      <c r="Q260" s="103">
        <f t="shared" si="392"/>
        <v>2.1939810879038305E-2</v>
      </c>
      <c r="R260" s="103">
        <f t="shared" si="392"/>
        <v>2.4345327371866645E-2</v>
      </c>
      <c r="S260" s="103">
        <f t="shared" si="392"/>
        <v>2.6401779890600826E-2</v>
      </c>
      <c r="T260" s="103">
        <f t="shared" si="392"/>
        <v>2.4150619517410783E-2</v>
      </c>
      <c r="U260" s="103">
        <f t="shared" si="392"/>
        <v>2.18838860109642E-2</v>
      </c>
      <c r="V260" s="103">
        <f t="shared" si="392"/>
        <v>2.1476198128061785E-2</v>
      </c>
      <c r="W260" s="103">
        <f t="shared" ref="W260" si="393">IF(W42=0,0,W42/W$31)</f>
        <v>2.1535252052005838E-2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3.097207310365788E-6</v>
      </c>
      <c r="U261" s="103">
        <f t="shared" si="396"/>
        <v>2.7297400555309525E-6</v>
      </c>
      <c r="V261" s="103">
        <f t="shared" si="396"/>
        <v>2.6779432275568242E-6</v>
      </c>
      <c r="W261" s="103">
        <f t="shared" ref="W261" si="397">IF(W43=0,0,W43/W$31)</f>
        <v>2.7111579802542594E-6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1.4072357487252073E-5</v>
      </c>
      <c r="M262" s="103">
        <f t="shared" ref="M262:V262" si="400">IF(M44=0,0,M44/M$31)</f>
        <v>4.7948953494445572E-5</v>
      </c>
      <c r="N262" s="103">
        <f t="shared" si="400"/>
        <v>5.2973458046478008E-5</v>
      </c>
      <c r="O262" s="103">
        <f t="shared" si="400"/>
        <v>9.8436424112545909E-5</v>
      </c>
      <c r="P262" s="103">
        <f t="shared" si="400"/>
        <v>1.9451006053326035E-4</v>
      </c>
      <c r="Q262" s="103">
        <f t="shared" si="400"/>
        <v>3.0713102813599531E-4</v>
      </c>
      <c r="R262" s="103">
        <f t="shared" si="400"/>
        <v>4.8035752649939616E-4</v>
      </c>
      <c r="S262" s="103">
        <f t="shared" si="400"/>
        <v>8.0182700391295781E-4</v>
      </c>
      <c r="T262" s="103">
        <f t="shared" si="400"/>
        <v>9.9798366781453287E-4</v>
      </c>
      <c r="U262" s="103">
        <f t="shared" si="400"/>
        <v>1.1238172040897133E-3</v>
      </c>
      <c r="V262" s="103">
        <f t="shared" si="400"/>
        <v>1.7200029967944627E-3</v>
      </c>
      <c r="W262" s="103">
        <f t="shared" ref="W262" si="401">IF(W44=0,0,W44/W$31)</f>
        <v>2.5996324018940499E-3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9.4880760719305926E-4</v>
      </c>
      <c r="M263" s="103">
        <f t="shared" ref="M263:V263" si="404">IF(M45=0,0,M45/M$31)</f>
        <v>9.4408368086660059E-4</v>
      </c>
      <c r="N263" s="103">
        <f t="shared" si="404"/>
        <v>8.884227840972867E-4</v>
      </c>
      <c r="O263" s="103">
        <f t="shared" si="404"/>
        <v>8.5642662251305031E-4</v>
      </c>
      <c r="P263" s="103">
        <f t="shared" si="404"/>
        <v>8.0546059312090659E-4</v>
      </c>
      <c r="Q263" s="103">
        <f t="shared" si="404"/>
        <v>7.1854849209395787E-4</v>
      </c>
      <c r="R263" s="103">
        <f t="shared" si="404"/>
        <v>6.3693343780474722E-4</v>
      </c>
      <c r="S263" s="103">
        <f t="shared" si="404"/>
        <v>5.6840884089679941E-4</v>
      </c>
      <c r="T263" s="103">
        <f t="shared" si="404"/>
        <v>4.9008176046836879E-4</v>
      </c>
      <c r="U263" s="103">
        <f t="shared" si="404"/>
        <v>4.3497548713547268E-4</v>
      </c>
      <c r="V263" s="103">
        <f t="shared" si="404"/>
        <v>3.915826778994452E-4</v>
      </c>
      <c r="W263" s="103">
        <f t="shared" ref="W263" si="405">IF(W45=0,0,W45/W$31)</f>
        <v>3.5131006160747332E-4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0.85036196585097035</v>
      </c>
      <c r="C265" s="154">
        <f t="shared" si="410"/>
        <v>0.86890604094465973</v>
      </c>
      <c r="D265" s="154">
        <f t="shared" si="410"/>
        <v>0.83876433937975658</v>
      </c>
      <c r="E265" s="154">
        <f t="shared" si="410"/>
        <v>0.77158568635787927</v>
      </c>
      <c r="F265" s="154">
        <f t="shared" si="410"/>
        <v>0.74730471519880792</v>
      </c>
      <c r="G265" s="154">
        <f t="shared" si="410"/>
        <v>0.72790376817103164</v>
      </c>
      <c r="H265" s="154">
        <f t="shared" si="410"/>
        <v>0.70895388344551602</v>
      </c>
      <c r="I265" s="154">
        <f t="shared" si="410"/>
        <v>0.68111335485140834</v>
      </c>
      <c r="J265" s="154">
        <f t="shared" si="410"/>
        <v>0.68227166956030272</v>
      </c>
      <c r="K265" s="154">
        <f t="shared" si="410"/>
        <v>0.73693553198974404</v>
      </c>
      <c r="L265" s="154">
        <f t="shared" ref="L265" si="411">IF(L47=0,0,L47/L$46)</f>
        <v>0.7463178560956617</v>
      </c>
      <c r="M265" s="154">
        <f t="shared" ref="M265:V265" si="412">IF(M47=0,0,M47/M$46)</f>
        <v>0.73166956005319361</v>
      </c>
      <c r="N265" s="154">
        <f t="shared" si="412"/>
        <v>0.74275980975444045</v>
      </c>
      <c r="O265" s="154">
        <f t="shared" si="412"/>
        <v>0.74353622259380436</v>
      </c>
      <c r="P265" s="154">
        <f t="shared" si="412"/>
        <v>0.76185363361169645</v>
      </c>
      <c r="Q265" s="154">
        <f t="shared" si="412"/>
        <v>0.75944953885816746</v>
      </c>
      <c r="R265" s="154">
        <f t="shared" si="412"/>
        <v>0.75999120606681114</v>
      </c>
      <c r="S265" s="154">
        <f t="shared" si="412"/>
        <v>0.79912226868896419</v>
      </c>
      <c r="T265" s="154">
        <f t="shared" si="412"/>
        <v>0.81018838895429046</v>
      </c>
      <c r="U265" s="154">
        <f t="shared" si="412"/>
        <v>0.83162718378394485</v>
      </c>
      <c r="V265" s="154">
        <f t="shared" si="412"/>
        <v>0.84232390299368154</v>
      </c>
      <c r="W265" s="154">
        <f t="shared" ref="W265" si="413">IF(W47=0,0,W47/W$46)</f>
        <v>0.82815244897009821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0.21251454708993758</v>
      </c>
      <c r="C266" s="103">
        <f t="shared" si="414"/>
        <v>0.23498679807475537</v>
      </c>
      <c r="D266" s="103">
        <f t="shared" si="414"/>
        <v>0.22372057911224247</v>
      </c>
      <c r="E266" s="103">
        <f t="shared" si="414"/>
        <v>0.20120967932743858</v>
      </c>
      <c r="F266" s="103">
        <f t="shared" si="414"/>
        <v>0.20826305844604975</v>
      </c>
      <c r="G266" s="103">
        <f t="shared" si="414"/>
        <v>0.19464759550360372</v>
      </c>
      <c r="H266" s="103">
        <f t="shared" si="414"/>
        <v>0.19447138439931447</v>
      </c>
      <c r="I266" s="103">
        <f t="shared" si="414"/>
        <v>0.16729548080598822</v>
      </c>
      <c r="J266" s="103">
        <f t="shared" si="414"/>
        <v>0.16396460039783473</v>
      </c>
      <c r="K266" s="103">
        <f t="shared" si="414"/>
        <v>0.16603983799069152</v>
      </c>
      <c r="L266" s="103">
        <f t="shared" ref="L266" si="415">IF(L48=0,0,L48/L$46)</f>
        <v>0.15441037567142105</v>
      </c>
      <c r="M266" s="103">
        <f t="shared" ref="M266:V266" si="416">IF(M48=0,0,M48/M$46)</f>
        <v>0.15313638507592686</v>
      </c>
      <c r="N266" s="103">
        <f t="shared" si="416"/>
        <v>0.14353057206037775</v>
      </c>
      <c r="O266" s="103">
        <f t="shared" si="416"/>
        <v>0.1213783841584542</v>
      </c>
      <c r="P266" s="103">
        <f t="shared" si="416"/>
        <v>0.1157528689142077</v>
      </c>
      <c r="Q266" s="103">
        <f t="shared" si="416"/>
        <v>0.10842306676358321</v>
      </c>
      <c r="R266" s="103">
        <f t="shared" si="416"/>
        <v>9.4438440229702533E-2</v>
      </c>
      <c r="S266" s="103">
        <f t="shared" si="416"/>
        <v>9.1355870474731732E-2</v>
      </c>
      <c r="T266" s="103">
        <f t="shared" si="416"/>
        <v>9.4093103769170877E-2</v>
      </c>
      <c r="U266" s="103">
        <f t="shared" si="416"/>
        <v>8.4424157039659789E-2</v>
      </c>
      <c r="V266" s="103">
        <f t="shared" si="416"/>
        <v>7.5374536418543386E-2</v>
      </c>
      <c r="W266" s="103">
        <f t="shared" ref="W266" si="417">IF(W48=0,0,W48/W$46)</f>
        <v>6.3880139564115479E-2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0.63784741876103279</v>
      </c>
      <c r="C267" s="103">
        <f t="shared" si="418"/>
        <v>0.63391924286990442</v>
      </c>
      <c r="D267" s="103">
        <f t="shared" si="418"/>
        <v>0.61504376026751406</v>
      </c>
      <c r="E267" s="103">
        <f t="shared" si="418"/>
        <v>0.57037600703044067</v>
      </c>
      <c r="F267" s="103">
        <f t="shared" si="418"/>
        <v>0.53904165675275817</v>
      </c>
      <c r="G267" s="103">
        <f t="shared" si="418"/>
        <v>0.53325617266742797</v>
      </c>
      <c r="H267" s="103">
        <f t="shared" si="418"/>
        <v>0.51448249904620147</v>
      </c>
      <c r="I267" s="103">
        <f t="shared" si="418"/>
        <v>0.51379974029089781</v>
      </c>
      <c r="J267" s="103">
        <f t="shared" si="418"/>
        <v>0.51828899384432181</v>
      </c>
      <c r="K267" s="103">
        <f t="shared" si="418"/>
        <v>0.57087544576688365</v>
      </c>
      <c r="L267" s="103">
        <f t="shared" ref="L267" si="419">IF(L49=0,0,L49/L$46)</f>
        <v>0.59188665722494216</v>
      </c>
      <c r="M267" s="103">
        <f t="shared" ref="M267:V267" si="420">IF(M49=0,0,M49/M$46)</f>
        <v>0.57851360201061819</v>
      </c>
      <c r="N267" s="103">
        <f t="shared" si="420"/>
        <v>0.59919001909698133</v>
      </c>
      <c r="O267" s="103">
        <f t="shared" si="420"/>
        <v>0.62162658264378468</v>
      </c>
      <c r="P267" s="103">
        <f t="shared" si="420"/>
        <v>0.64540179648690343</v>
      </c>
      <c r="Q267" s="103">
        <f t="shared" si="420"/>
        <v>0.65011783840627835</v>
      </c>
      <c r="R267" s="103">
        <f t="shared" si="420"/>
        <v>0.66462806507139072</v>
      </c>
      <c r="S267" s="103">
        <f t="shared" si="420"/>
        <v>0.70613082501308033</v>
      </c>
      <c r="T267" s="103">
        <f t="shared" si="420"/>
        <v>0.71420992514474535</v>
      </c>
      <c r="U267" s="103">
        <f t="shared" si="420"/>
        <v>0.74506215168469869</v>
      </c>
      <c r="V267" s="103">
        <f t="shared" si="420"/>
        <v>0.76433901469138588</v>
      </c>
      <c r="W267" s="103">
        <f t="shared" ref="W267" si="421">IF(W49=0,0,W49/W$46)</f>
        <v>0.76183220645484651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6.6329619229014002E-6</v>
      </c>
      <c r="S268" s="103">
        <f t="shared" si="424"/>
        <v>8.3227696275833669E-5</v>
      </c>
      <c r="T268" s="103">
        <f t="shared" si="424"/>
        <v>9.4083999176830887E-5</v>
      </c>
      <c r="U268" s="103">
        <f t="shared" si="424"/>
        <v>1.1627071146834153E-4</v>
      </c>
      <c r="V268" s="103">
        <f t="shared" si="424"/>
        <v>1.0725406106449542E-4</v>
      </c>
      <c r="W268" s="103">
        <f t="shared" ref="W268" si="425">IF(W50=0,0,W50/W$46)</f>
        <v>1.0033311736645407E-4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1.0572648809972122E-5</v>
      </c>
      <c r="O269" s="103">
        <f t="shared" si="428"/>
        <v>4.6906106696656261E-4</v>
      </c>
      <c r="P269" s="103">
        <f t="shared" si="428"/>
        <v>5.7747343227170986E-4</v>
      </c>
      <c r="Q269" s="103">
        <f t="shared" si="428"/>
        <v>7.7669088913881533E-4</v>
      </c>
      <c r="R269" s="103">
        <f t="shared" si="428"/>
        <v>7.0268677879256559E-4</v>
      </c>
      <c r="S269" s="103">
        <f t="shared" si="428"/>
        <v>1.3406927766923986E-3</v>
      </c>
      <c r="T269" s="103">
        <f t="shared" si="428"/>
        <v>1.5935815553245333E-3</v>
      </c>
      <c r="U269" s="103">
        <f t="shared" si="428"/>
        <v>1.8414953485322704E-3</v>
      </c>
      <c r="V269" s="103">
        <f t="shared" si="428"/>
        <v>2.3121053615340124E-3</v>
      </c>
      <c r="W269" s="103">
        <f t="shared" ref="W269" si="429">IF(W51=0,0,W51/W$46)</f>
        <v>2.1629086703104142E-3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1.8133754522454299E-5</v>
      </c>
      <c r="J270" s="103">
        <f t="shared" si="430"/>
        <v>1.8075318146214206E-5</v>
      </c>
      <c r="K270" s="103">
        <f t="shared" si="430"/>
        <v>2.0248232168843995E-5</v>
      </c>
      <c r="L270" s="103">
        <f t="shared" ref="L270" si="431">IF(L52=0,0,L52/L$46)</f>
        <v>2.0823199298514565E-5</v>
      </c>
      <c r="M270" s="103">
        <f t="shared" ref="M270:V270" si="432">IF(M52=0,0,M52/M$46)</f>
        <v>1.9572966648669728E-5</v>
      </c>
      <c r="N270" s="103">
        <f t="shared" si="432"/>
        <v>2.8645948271499973E-5</v>
      </c>
      <c r="O270" s="103">
        <f t="shared" si="432"/>
        <v>6.2194724598876026E-5</v>
      </c>
      <c r="P270" s="103">
        <f t="shared" si="432"/>
        <v>1.214947783135978E-4</v>
      </c>
      <c r="Q270" s="103">
        <f t="shared" si="432"/>
        <v>1.3194279916710244E-4</v>
      </c>
      <c r="R270" s="103">
        <f t="shared" si="432"/>
        <v>2.1538102500229573E-4</v>
      </c>
      <c r="S270" s="103">
        <f t="shared" si="432"/>
        <v>2.1165272818375608E-4</v>
      </c>
      <c r="T270" s="103">
        <f t="shared" si="432"/>
        <v>1.9769448587283675E-4</v>
      </c>
      <c r="U270" s="103">
        <f t="shared" si="432"/>
        <v>1.831089995856972E-4</v>
      </c>
      <c r="V270" s="103">
        <f t="shared" si="432"/>
        <v>1.9099246115368188E-4</v>
      </c>
      <c r="W270" s="103">
        <f t="shared" ref="W270" si="433">IF(W52=0,0,W52/W$46)</f>
        <v>1.7686116345943427E-4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0.14963803414902968</v>
      </c>
      <c r="C271" s="156">
        <f t="shared" si="434"/>
        <v>0.1310939590553403</v>
      </c>
      <c r="D271" s="156">
        <f t="shared" si="434"/>
        <v>0.1612356606202435</v>
      </c>
      <c r="E271" s="156">
        <f t="shared" si="434"/>
        <v>0.22841431364212078</v>
      </c>
      <c r="F271" s="156">
        <f t="shared" si="434"/>
        <v>0.25269528480119208</v>
      </c>
      <c r="G271" s="156">
        <f t="shared" si="434"/>
        <v>0.2720962318289683</v>
      </c>
      <c r="H271" s="156">
        <f t="shared" si="434"/>
        <v>0.29104611655448404</v>
      </c>
      <c r="I271" s="156">
        <f t="shared" si="434"/>
        <v>0.31888664514859166</v>
      </c>
      <c r="J271" s="156">
        <f t="shared" si="434"/>
        <v>0.31772833043969728</v>
      </c>
      <c r="K271" s="156">
        <f t="shared" si="434"/>
        <v>0.26306446801025596</v>
      </c>
      <c r="L271" s="156">
        <f t="shared" ref="L271" si="435">IF(L53=0,0,L53/L$46)</f>
        <v>0.25368214390433824</v>
      </c>
      <c r="M271" s="156">
        <f t="shared" ref="M271:V271" si="436">IF(M53=0,0,M53/M$46)</f>
        <v>0.26833043994680633</v>
      </c>
      <c r="N271" s="156">
        <f t="shared" si="436"/>
        <v>0.25724019024555961</v>
      </c>
      <c r="O271" s="156">
        <f t="shared" si="436"/>
        <v>0.25646377740619569</v>
      </c>
      <c r="P271" s="156">
        <f t="shared" si="436"/>
        <v>0.23814636638830358</v>
      </c>
      <c r="Q271" s="156">
        <f t="shared" si="436"/>
        <v>0.24055046114183257</v>
      </c>
      <c r="R271" s="156">
        <f t="shared" si="436"/>
        <v>0.24000879393318886</v>
      </c>
      <c r="S271" s="156">
        <f t="shared" si="436"/>
        <v>0.20087773131103578</v>
      </c>
      <c r="T271" s="156">
        <f t="shared" si="436"/>
        <v>0.18981161104570968</v>
      </c>
      <c r="U271" s="156">
        <f t="shared" si="436"/>
        <v>0.16837281621605513</v>
      </c>
      <c r="V271" s="156">
        <f t="shared" si="436"/>
        <v>0.15767609700631846</v>
      </c>
      <c r="W271" s="156">
        <f t="shared" ref="W271" si="437">IF(W53=0,0,W53/W$46)</f>
        <v>0.17184755102990174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0.1057723778429847</v>
      </c>
      <c r="C272" s="104">
        <f t="shared" si="438"/>
        <v>8.4244226800127525E-2</v>
      </c>
      <c r="D272" s="104">
        <f t="shared" si="438"/>
        <v>0.11308023575311515</v>
      </c>
      <c r="E272" s="104">
        <f t="shared" si="438"/>
        <v>0.18028850864845006</v>
      </c>
      <c r="F272" s="104">
        <f t="shared" si="438"/>
        <v>0.19545991340727015</v>
      </c>
      <c r="G272" s="104">
        <f t="shared" si="438"/>
        <v>0.20979071220262449</v>
      </c>
      <c r="H272" s="104">
        <f t="shared" si="438"/>
        <v>0.22373856230489561</v>
      </c>
      <c r="I272" s="104">
        <f t="shared" si="438"/>
        <v>0.24290246268188004</v>
      </c>
      <c r="J272" s="104">
        <f t="shared" si="438"/>
        <v>0.24513468309403619</v>
      </c>
      <c r="K272" s="104">
        <f t="shared" si="438"/>
        <v>0.19732995928162492</v>
      </c>
      <c r="L272" s="104">
        <f t="shared" ref="L272" si="439">IF(L54=0,0,L54/L$46)</f>
        <v>0.18543443878753726</v>
      </c>
      <c r="M272" s="104">
        <f t="shared" ref="M272:V272" si="440">IF(M54=0,0,M54/M$46)</f>
        <v>0.19272479722407748</v>
      </c>
      <c r="N272" s="104">
        <f t="shared" si="440"/>
        <v>0.18222414950121135</v>
      </c>
      <c r="O272" s="104">
        <f t="shared" si="440"/>
        <v>0.17469121562719711</v>
      </c>
      <c r="P272" s="104">
        <f t="shared" si="440"/>
        <v>0.15816032455332729</v>
      </c>
      <c r="Q272" s="104">
        <f t="shared" si="440"/>
        <v>0.14919544556365177</v>
      </c>
      <c r="R272" s="104">
        <f t="shared" si="440"/>
        <v>0.15651069673398532</v>
      </c>
      <c r="S272" s="104">
        <f t="shared" si="440"/>
        <v>0.12459958213272847</v>
      </c>
      <c r="T272" s="104">
        <f t="shared" si="440"/>
        <v>0.11881577826345546</v>
      </c>
      <c r="U272" s="104">
        <f t="shared" si="440"/>
        <v>0.10526980256709489</v>
      </c>
      <c r="V272" s="104">
        <f t="shared" si="440"/>
        <v>8.4210955049579053E-2</v>
      </c>
      <c r="W272" s="104">
        <f t="shared" ref="W272" si="441">IF(W54=0,0,W54/W$46)</f>
        <v>0.10961771262051501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4.3865656306044998E-2</v>
      </c>
      <c r="C273" s="105">
        <f t="shared" si="442"/>
        <v>4.6849732255212773E-2</v>
      </c>
      <c r="D273" s="105">
        <f t="shared" si="442"/>
        <v>4.8155424867128323E-2</v>
      </c>
      <c r="E273" s="105">
        <f t="shared" si="442"/>
        <v>4.8125804993670723E-2</v>
      </c>
      <c r="F273" s="105">
        <f t="shared" si="442"/>
        <v>5.7235371393921923E-2</v>
      </c>
      <c r="G273" s="105">
        <f t="shared" si="442"/>
        <v>6.2305519626343855E-2</v>
      </c>
      <c r="H273" s="105">
        <f t="shared" si="442"/>
        <v>6.7307554249588383E-2</v>
      </c>
      <c r="I273" s="105">
        <f t="shared" si="442"/>
        <v>7.5984182466711639E-2</v>
      </c>
      <c r="J273" s="105">
        <f t="shared" si="442"/>
        <v>7.2593647345661108E-2</v>
      </c>
      <c r="K273" s="105">
        <f t="shared" si="442"/>
        <v>6.5734508728631028E-2</v>
      </c>
      <c r="L273" s="105">
        <f t="shared" ref="L273" si="443">IF(L55=0,0,L55/L$46)</f>
        <v>6.824770511680095E-2</v>
      </c>
      <c r="M273" s="105">
        <f t="shared" ref="M273:V273" si="444">IF(M55=0,0,M55/M$46)</f>
        <v>7.560564272272885E-2</v>
      </c>
      <c r="N273" s="105">
        <f t="shared" si="444"/>
        <v>7.501604074434827E-2</v>
      </c>
      <c r="O273" s="105">
        <f t="shared" si="444"/>
        <v>8.1772561778998568E-2</v>
      </c>
      <c r="P273" s="105">
        <f t="shared" si="444"/>
        <v>7.998604183497629E-2</v>
      </c>
      <c r="Q273" s="105">
        <f t="shared" si="444"/>
        <v>9.1355015578180793E-2</v>
      </c>
      <c r="R273" s="105">
        <f t="shared" si="444"/>
        <v>8.3498097199203536E-2</v>
      </c>
      <c r="S273" s="105">
        <f t="shared" si="444"/>
        <v>7.6278149178307303E-2</v>
      </c>
      <c r="T273" s="105">
        <f t="shared" si="444"/>
        <v>7.0995832782254201E-2</v>
      </c>
      <c r="U273" s="105">
        <f t="shared" si="444"/>
        <v>6.3103013648960232E-2</v>
      </c>
      <c r="V273" s="105">
        <f t="shared" si="444"/>
        <v>7.3465141956739408E-2</v>
      </c>
      <c r="W273" s="105">
        <f t="shared" ref="W273" si="445">IF(W55=0,0,W55/W$46)</f>
        <v>6.2229838409386715E-2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497.04187446259675</v>
      </c>
      <c r="C4" s="145">
        <f t="shared" si="0"/>
        <v>605.42656921754076</v>
      </c>
      <c r="D4" s="145">
        <f t="shared" si="0"/>
        <v>625.6556319862425</v>
      </c>
      <c r="E4" s="145">
        <f t="shared" si="0"/>
        <v>607.05073086844368</v>
      </c>
      <c r="F4" s="145">
        <f t="shared" si="0"/>
        <v>625.96319862424775</v>
      </c>
      <c r="G4" s="145">
        <f t="shared" si="0"/>
        <v>655.89707652622519</v>
      </c>
      <c r="H4" s="145">
        <f t="shared" si="0"/>
        <v>707.62562338779014</v>
      </c>
      <c r="I4" s="145">
        <f t="shared" si="0"/>
        <v>749.77880826772389</v>
      </c>
      <c r="J4" s="145">
        <f t="shared" si="0"/>
        <v>734.68340240069801</v>
      </c>
      <c r="K4" s="145">
        <f t="shared" si="0"/>
        <v>661.00773715789512</v>
      </c>
      <c r="L4" s="145">
        <f t="shared" ref="L4" si="1">L5+L9+L10+L15</f>
        <v>689.12069658196901</v>
      </c>
      <c r="M4" s="145">
        <f t="shared" ref="M4:V4" si="2">M5+M9+M10+M15</f>
        <v>703.55926583485416</v>
      </c>
      <c r="N4" s="145">
        <f t="shared" si="2"/>
        <v>717.44926685428288</v>
      </c>
      <c r="O4" s="145">
        <f t="shared" si="2"/>
        <v>703.95076194124999</v>
      </c>
      <c r="P4" s="145">
        <f t="shared" si="2"/>
        <v>711.44938409332792</v>
      </c>
      <c r="Q4" s="145">
        <f t="shared" si="2"/>
        <v>731.08885127992755</v>
      </c>
      <c r="R4" s="145">
        <f t="shared" si="2"/>
        <v>753.12906218224941</v>
      </c>
      <c r="S4" s="145">
        <f t="shared" si="2"/>
        <v>777.95735553181134</v>
      </c>
      <c r="T4" s="145">
        <f t="shared" si="2"/>
        <v>810.03878584697918</v>
      </c>
      <c r="U4" s="145">
        <f t="shared" si="2"/>
        <v>813.65039305185326</v>
      </c>
      <c r="V4" s="145">
        <f t="shared" si="2"/>
        <v>769.02909979002266</v>
      </c>
      <c r="W4" s="145">
        <f t="shared" ref="W4" si="3">W5+W9+W10+W15</f>
        <v>817.39241434978351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497.04187446259675</v>
      </c>
      <c r="C5" s="97">
        <f t="shared" si="4"/>
        <v>605.42656921754076</v>
      </c>
      <c r="D5" s="97">
        <f t="shared" si="4"/>
        <v>625.6556319862425</v>
      </c>
      <c r="E5" s="97">
        <f t="shared" si="4"/>
        <v>607.05073086844368</v>
      </c>
      <c r="F5" s="97">
        <f t="shared" si="4"/>
        <v>625.96319862424775</v>
      </c>
      <c r="G5" s="97">
        <f t="shared" si="4"/>
        <v>655.74178847807389</v>
      </c>
      <c r="H5" s="97">
        <f t="shared" si="4"/>
        <v>706.5046431642304</v>
      </c>
      <c r="I5" s="97">
        <f t="shared" si="4"/>
        <v>749.26242476354253</v>
      </c>
      <c r="J5" s="97">
        <f t="shared" si="4"/>
        <v>730.52674118658649</v>
      </c>
      <c r="K5" s="97">
        <f t="shared" si="4"/>
        <v>659.24651762682697</v>
      </c>
      <c r="L5" s="97">
        <f t="shared" ref="L5" si="5">SUM(L6:L8)</f>
        <v>679.64144453998279</v>
      </c>
      <c r="M5" s="97">
        <f t="shared" ref="M5:V5" si="6">SUM(M6:M8)</f>
        <v>697.09398108340497</v>
      </c>
      <c r="N5" s="97">
        <f t="shared" si="6"/>
        <v>711.28323301805676</v>
      </c>
      <c r="O5" s="97">
        <f t="shared" si="6"/>
        <v>698.10851246775587</v>
      </c>
      <c r="P5" s="97">
        <f t="shared" si="6"/>
        <v>702.93800515907128</v>
      </c>
      <c r="Q5" s="97">
        <f t="shared" si="6"/>
        <v>723.98297506448841</v>
      </c>
      <c r="R5" s="97">
        <f t="shared" si="6"/>
        <v>745.38340498710227</v>
      </c>
      <c r="S5" s="97">
        <f t="shared" si="6"/>
        <v>769.31040412725702</v>
      </c>
      <c r="T5" s="97">
        <f t="shared" si="6"/>
        <v>781.22063628546857</v>
      </c>
      <c r="U5" s="97">
        <f t="shared" si="6"/>
        <v>770.49965606190881</v>
      </c>
      <c r="V5" s="97">
        <f t="shared" si="6"/>
        <v>706.25494411006025</v>
      </c>
      <c r="W5" s="97">
        <f t="shared" ref="W5" si="7">SUM(W6:W8)</f>
        <v>742.27687016337063</v>
      </c>
      <c r="DA5" s="175"/>
    </row>
    <row r="6" spans="1:105" ht="11.45" customHeight="1" x14ac:dyDescent="0.25">
      <c r="A6" s="128" t="s">
        <v>52</v>
      </c>
      <c r="B6" s="97">
        <v>0.76070507308684432</v>
      </c>
      <c r="C6" s="97">
        <v>0.86938950988822017</v>
      </c>
      <c r="D6" s="97">
        <v>0.9780739466895958</v>
      </c>
      <c r="E6" s="97">
        <v>1.086758383490972</v>
      </c>
      <c r="F6" s="97">
        <v>1.2497850386930349</v>
      </c>
      <c r="G6" s="97">
        <v>1.4855546001719691</v>
      </c>
      <c r="H6" s="97">
        <v>1.9713671539122961</v>
      </c>
      <c r="I6" s="97">
        <v>1.686672398968186</v>
      </c>
      <c r="J6" s="97">
        <v>2.3778159931212381</v>
      </c>
      <c r="K6" s="97">
        <v>2.4778159931212378</v>
      </c>
      <c r="L6" s="97">
        <v>2.2372312983662939</v>
      </c>
      <c r="M6" s="97">
        <v>2.4696474634565782</v>
      </c>
      <c r="N6" s="97">
        <v>3.2460877042132421</v>
      </c>
      <c r="O6" s="97">
        <v>3.8145313843508171</v>
      </c>
      <c r="P6" s="97">
        <v>4.5621668099742054</v>
      </c>
      <c r="Q6" s="97">
        <v>5.4413585554600168</v>
      </c>
      <c r="R6" s="97">
        <v>6.1075666380051592</v>
      </c>
      <c r="S6" s="97">
        <v>7.3203783319002573</v>
      </c>
      <c r="T6" s="97">
        <v>8.8233018056749781</v>
      </c>
      <c r="U6" s="97">
        <v>10.50885640584695</v>
      </c>
      <c r="V6" s="97">
        <v>10.10679277730009</v>
      </c>
      <c r="W6" s="97">
        <v>10.43276010318143</v>
      </c>
      <c r="DA6" s="175" t="s">
        <v>629</v>
      </c>
    </row>
    <row r="7" spans="1:105" ht="11.45" customHeight="1" x14ac:dyDescent="0.25">
      <c r="A7" s="128" t="s">
        <v>53</v>
      </c>
      <c r="B7" s="97">
        <v>293.20722269991398</v>
      </c>
      <c r="C7" s="97">
        <v>349.95700773860699</v>
      </c>
      <c r="D7" s="97">
        <v>321.58211521926052</v>
      </c>
      <c r="E7" s="97">
        <v>307.92012037833189</v>
      </c>
      <c r="F7" s="97">
        <v>296.36001719690461</v>
      </c>
      <c r="G7" s="97">
        <v>302.66552020636283</v>
      </c>
      <c r="H7" s="97">
        <v>322.63301805674979</v>
      </c>
      <c r="I7" s="97">
        <v>338.39690455717971</v>
      </c>
      <c r="J7" s="97">
        <v>336.29501289767842</v>
      </c>
      <c r="K7" s="97">
        <v>306.86921754084261</v>
      </c>
      <c r="L7" s="97">
        <v>289.0035253654342</v>
      </c>
      <c r="M7" s="97">
        <v>267.98512467755802</v>
      </c>
      <c r="N7" s="97">
        <v>256.42493551160788</v>
      </c>
      <c r="O7" s="97">
        <v>240.66113499570079</v>
      </c>
      <c r="P7" s="97">
        <v>241.71203783319001</v>
      </c>
      <c r="Q7" s="97">
        <v>240.66113499570079</v>
      </c>
      <c r="R7" s="97">
        <v>254.32312983662939</v>
      </c>
      <c r="S7" s="97">
        <v>266.934135855546</v>
      </c>
      <c r="T7" s="97">
        <v>272.1888220120378</v>
      </c>
      <c r="U7" s="97">
        <v>273.23972484952702</v>
      </c>
      <c r="V7" s="97">
        <v>214.38804815133281</v>
      </c>
      <c r="W7" s="97">
        <v>199.67515047291491</v>
      </c>
      <c r="DA7" s="175" t="s">
        <v>630</v>
      </c>
    </row>
    <row r="8" spans="1:105" ht="11.45" customHeight="1" x14ac:dyDescent="0.25">
      <c r="A8" s="128" t="s">
        <v>54</v>
      </c>
      <c r="B8" s="97">
        <v>203.07394668959591</v>
      </c>
      <c r="C8" s="97">
        <v>254.60017196904559</v>
      </c>
      <c r="D8" s="97">
        <v>303.09544282029231</v>
      </c>
      <c r="E8" s="97">
        <v>298.04385210662082</v>
      </c>
      <c r="F8" s="97">
        <v>328.35339638865003</v>
      </c>
      <c r="G8" s="97">
        <v>351.59071367153911</v>
      </c>
      <c r="H8" s="97">
        <v>381.90025795356831</v>
      </c>
      <c r="I8" s="97">
        <v>409.17884780739462</v>
      </c>
      <c r="J8" s="97">
        <v>391.85391229578681</v>
      </c>
      <c r="K8" s="97">
        <v>349.89948409286319</v>
      </c>
      <c r="L8" s="97">
        <v>388.4006878761823</v>
      </c>
      <c r="M8" s="97">
        <v>426.63920894239038</v>
      </c>
      <c r="N8" s="97">
        <v>451.61220980223561</v>
      </c>
      <c r="O8" s="97">
        <v>453.63284608770419</v>
      </c>
      <c r="P8" s="97">
        <v>456.6638005159071</v>
      </c>
      <c r="Q8" s="97">
        <v>477.8804815133276</v>
      </c>
      <c r="R8" s="97">
        <v>484.95270851246772</v>
      </c>
      <c r="S8" s="97">
        <v>495.05588993981081</v>
      </c>
      <c r="T8" s="97">
        <v>500.20851246775578</v>
      </c>
      <c r="U8" s="97">
        <v>486.7510748065348</v>
      </c>
      <c r="V8" s="97">
        <v>481.76010318142733</v>
      </c>
      <c r="W8" s="97">
        <v>532.16895958727423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4.2992261392949267E-2</v>
      </c>
      <c r="M9" s="97">
        <v>0.25795356835769562</v>
      </c>
      <c r="N9" s="97">
        <v>0.53740326741186584</v>
      </c>
      <c r="O9" s="97">
        <v>0.85984522785898532</v>
      </c>
      <c r="P9" s="97">
        <v>1.5692175408426481</v>
      </c>
      <c r="Q9" s="97">
        <v>2.773000859845228</v>
      </c>
      <c r="R9" s="97">
        <v>4.1272570937231299</v>
      </c>
      <c r="S9" s="97">
        <v>4.5523645743766119</v>
      </c>
      <c r="T9" s="97">
        <v>8.5845227858985371</v>
      </c>
      <c r="U9" s="97">
        <v>11.74840928632846</v>
      </c>
      <c r="V9" s="97">
        <v>19.36122098022356</v>
      </c>
      <c r="W9" s="97">
        <v>23.132760103181429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0.15528804815133279</v>
      </c>
      <c r="H10" s="97">
        <f t="shared" si="8"/>
        <v>1.120980223559759</v>
      </c>
      <c r="I10" s="97">
        <f t="shared" si="8"/>
        <v>0.51616509028374891</v>
      </c>
      <c r="J10" s="97">
        <f t="shared" si="8"/>
        <v>4.1562338779019772</v>
      </c>
      <c r="K10" s="97">
        <f t="shared" si="8"/>
        <v>1.7607910576096306</v>
      </c>
      <c r="L10" s="97">
        <f t="shared" si="8"/>
        <v>7.7386070507308684</v>
      </c>
      <c r="M10" s="97">
        <f t="shared" si="8"/>
        <v>4.4966466036113495</v>
      </c>
      <c r="N10" s="97">
        <f t="shared" si="8"/>
        <v>3.8406706792777299</v>
      </c>
      <c r="O10" s="97">
        <f t="shared" si="8"/>
        <v>3.2005159071367149</v>
      </c>
      <c r="P10" s="97">
        <f t="shared" si="8"/>
        <v>5.1208942390369732</v>
      </c>
      <c r="Q10" s="97">
        <f t="shared" si="8"/>
        <v>2.560447119518487</v>
      </c>
      <c r="R10" s="97">
        <f t="shared" si="8"/>
        <v>1.920292347377472</v>
      </c>
      <c r="S10" s="97">
        <f t="shared" si="8"/>
        <v>2.4713671539122961</v>
      </c>
      <c r="T10" s="97">
        <f t="shared" si="8"/>
        <v>18.678933791917459</v>
      </c>
      <c r="U10" s="97">
        <f t="shared" si="8"/>
        <v>29.892949269131556</v>
      </c>
      <c r="V10" s="97">
        <f t="shared" si="8"/>
        <v>41.996560619088562</v>
      </c>
      <c r="W10" s="97">
        <f t="shared" si="8"/>
        <v>50.406018916595009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1.20378331900258</v>
      </c>
      <c r="U11" s="97">
        <v>2.4928632846087702</v>
      </c>
      <c r="V11" s="97">
        <v>3.0693035253654339</v>
      </c>
      <c r="W11" s="97">
        <v>4.7394668959587269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1.2802235597592431</v>
      </c>
      <c r="K12" s="97">
        <v>9.5356835769561471E-2</v>
      </c>
      <c r="L12" s="97">
        <v>4.4807394668959581</v>
      </c>
      <c r="M12" s="97">
        <v>3.8406706792777299</v>
      </c>
      <c r="N12" s="97">
        <v>3.8406706792777299</v>
      </c>
      <c r="O12" s="97">
        <v>3.2005159071367149</v>
      </c>
      <c r="P12" s="97">
        <v>5.1208942390369732</v>
      </c>
      <c r="Q12" s="97">
        <v>2.560447119518487</v>
      </c>
      <c r="R12" s="97">
        <v>1.920292347377472</v>
      </c>
      <c r="S12" s="97">
        <v>0.96018916595012893</v>
      </c>
      <c r="T12" s="97">
        <v>4.901117798796216</v>
      </c>
      <c r="U12" s="97">
        <v>7.3772141014617363</v>
      </c>
      <c r="V12" s="97">
        <v>6.1879621668099736</v>
      </c>
      <c r="W12" s="97">
        <v>4.2212381771281171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0.15528804815133279</v>
      </c>
      <c r="H13" s="97">
        <v>1.120980223559759</v>
      </c>
      <c r="I13" s="97">
        <v>0.51616509028374891</v>
      </c>
      <c r="J13" s="97">
        <v>2.8760103181427339</v>
      </c>
      <c r="K13" s="97">
        <v>1.6654342218400691</v>
      </c>
      <c r="L13" s="97">
        <v>3.2578675838349098</v>
      </c>
      <c r="M13" s="97">
        <v>0.65597592433361984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7">
        <v>1.511177987962167</v>
      </c>
      <c r="T13" s="97">
        <v>12.57403267411866</v>
      </c>
      <c r="U13" s="97">
        <v>20.02287188306105</v>
      </c>
      <c r="V13" s="97">
        <v>32.739294926913153</v>
      </c>
      <c r="W13" s="97">
        <v>41.445313843508167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2.1841389759004408E-4</v>
      </c>
      <c r="J15" s="98">
        <v>4.2733620953811977E-4</v>
      </c>
      <c r="K15" s="98">
        <v>4.2847345859024734E-4</v>
      </c>
      <c r="L15" s="98">
        <v>1.6976527298625588</v>
      </c>
      <c r="M15" s="98">
        <v>1.7106845794801486</v>
      </c>
      <c r="N15" s="98">
        <v>1.7879598895365687</v>
      </c>
      <c r="O15" s="98">
        <v>1.7818883384985031</v>
      </c>
      <c r="P15" s="98">
        <v>1.8212671543770662</v>
      </c>
      <c r="Q15" s="98">
        <v>1.7724282360754935</v>
      </c>
      <c r="R15" s="98">
        <v>1.698107754046656</v>
      </c>
      <c r="S15" s="98">
        <v>1.6232196762653666</v>
      </c>
      <c r="T15" s="98">
        <v>1.5546929836946319</v>
      </c>
      <c r="U15" s="98">
        <v>1.5093784344844767</v>
      </c>
      <c r="V15" s="98">
        <v>1.4163740806502987</v>
      </c>
      <c r="W15" s="98">
        <v>1.5767651666363522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497.04187446259675</v>
      </c>
      <c r="C17" s="79">
        <f t="shared" si="9"/>
        <v>605.42656921754076</v>
      </c>
      <c r="D17" s="79">
        <f t="shared" si="9"/>
        <v>625.6556319862425</v>
      </c>
      <c r="E17" s="79">
        <f t="shared" si="9"/>
        <v>607.05073086844368</v>
      </c>
      <c r="F17" s="79">
        <f t="shared" si="9"/>
        <v>625.96319862424775</v>
      </c>
      <c r="G17" s="79">
        <f t="shared" si="9"/>
        <v>655.89707652622519</v>
      </c>
      <c r="H17" s="79">
        <f t="shared" si="9"/>
        <v>707.62562338779003</v>
      </c>
      <c r="I17" s="79">
        <f t="shared" si="9"/>
        <v>749.77880826772389</v>
      </c>
      <c r="J17" s="79">
        <f t="shared" si="9"/>
        <v>734.68340240069801</v>
      </c>
      <c r="K17" s="79">
        <f t="shared" si="9"/>
        <v>661.00773715789524</v>
      </c>
      <c r="L17" s="79">
        <f t="shared" ref="L17" si="10">L18+L42</f>
        <v>689.12069658196913</v>
      </c>
      <c r="M17" s="79">
        <f t="shared" ref="M17:V17" si="11">M18+M42</f>
        <v>703.55926583485416</v>
      </c>
      <c r="N17" s="79">
        <f t="shared" si="11"/>
        <v>717.449266854283</v>
      </c>
      <c r="O17" s="79">
        <f t="shared" si="11"/>
        <v>703.95076194124977</v>
      </c>
      <c r="P17" s="79">
        <f t="shared" si="11"/>
        <v>711.44938409332804</v>
      </c>
      <c r="Q17" s="79">
        <f t="shared" si="11"/>
        <v>731.08885127992767</v>
      </c>
      <c r="R17" s="79">
        <f t="shared" si="11"/>
        <v>753.12906218224953</v>
      </c>
      <c r="S17" s="79">
        <f t="shared" si="11"/>
        <v>777.95735553181146</v>
      </c>
      <c r="T17" s="79">
        <f t="shared" si="11"/>
        <v>810.03878584697918</v>
      </c>
      <c r="U17" s="79">
        <f t="shared" si="11"/>
        <v>813.65039305185337</v>
      </c>
      <c r="V17" s="79">
        <f t="shared" si="11"/>
        <v>769.02909979002266</v>
      </c>
      <c r="W17" s="79">
        <f t="shared" ref="W17" si="12">W18+W42</f>
        <v>817.39241434978339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364.06583235586174</v>
      </c>
      <c r="C18" s="32">
        <f t="shared" si="13"/>
        <v>451.60275136952936</v>
      </c>
      <c r="D18" s="32">
        <f t="shared" si="13"/>
        <v>446.20142224805556</v>
      </c>
      <c r="E18" s="32">
        <f t="shared" si="13"/>
        <v>432.58518423684836</v>
      </c>
      <c r="F18" s="32">
        <f t="shared" si="13"/>
        <v>442.89642938285363</v>
      </c>
      <c r="G18" s="32">
        <f t="shared" si="13"/>
        <v>474.42879571801859</v>
      </c>
      <c r="H18" s="32">
        <f t="shared" si="13"/>
        <v>524.11305936681333</v>
      </c>
      <c r="I18" s="32">
        <f t="shared" si="13"/>
        <v>554.82011076516494</v>
      </c>
      <c r="J18" s="32">
        <f t="shared" si="13"/>
        <v>541.32458017245017</v>
      </c>
      <c r="K18" s="32">
        <f t="shared" si="13"/>
        <v>511.80127309412029</v>
      </c>
      <c r="L18" s="32">
        <f t="shared" ref="L18" si="14">L19+L21+L33</f>
        <v>521.95431666390209</v>
      </c>
      <c r="M18" s="32">
        <f t="shared" ref="M18:V18" si="15">M19+M21+M33</f>
        <v>519.64661703830097</v>
      </c>
      <c r="N18" s="32">
        <f t="shared" si="15"/>
        <v>533.38747119465268</v>
      </c>
      <c r="O18" s="32">
        <f t="shared" si="15"/>
        <v>526.58411041531474</v>
      </c>
      <c r="P18" s="32">
        <f t="shared" si="15"/>
        <v>539.22851926822557</v>
      </c>
      <c r="Q18" s="32">
        <f t="shared" si="15"/>
        <v>562.75575184405739</v>
      </c>
      <c r="R18" s="32">
        <f t="shared" si="15"/>
        <v>586.99346758938032</v>
      </c>
      <c r="S18" s="32">
        <f t="shared" si="15"/>
        <v>617.83171940014677</v>
      </c>
      <c r="T18" s="32">
        <f t="shared" si="15"/>
        <v>640.30256060416434</v>
      </c>
      <c r="U18" s="32">
        <f t="shared" si="15"/>
        <v>640.36876767101239</v>
      </c>
      <c r="V18" s="32">
        <f t="shared" si="15"/>
        <v>603.6892184117645</v>
      </c>
      <c r="W18" s="32">
        <f t="shared" ref="W18" si="16">W19+W21+W33</f>
        <v>621.0266951237528</v>
      </c>
      <c r="DA18" s="173" t="s">
        <v>390</v>
      </c>
    </row>
    <row r="19" spans="1:105" ht="11.45" customHeight="1" x14ac:dyDescent="0.25">
      <c r="A19" s="107" t="s">
        <v>181</v>
      </c>
      <c r="B19" s="129">
        <v>0.43276968303612501</v>
      </c>
      <c r="C19" s="129">
        <v>0.43736798950814332</v>
      </c>
      <c r="D19" s="129">
        <v>0.46304067864827997</v>
      </c>
      <c r="E19" s="129">
        <v>0.50462526040590172</v>
      </c>
      <c r="F19" s="129">
        <v>0.55896771947749668</v>
      </c>
      <c r="G19" s="129">
        <v>0.61856081489096881</v>
      </c>
      <c r="H19" s="129">
        <v>0.74685423052835542</v>
      </c>
      <c r="I19" s="129">
        <v>0.86468772940291316</v>
      </c>
      <c r="J19" s="129">
        <v>1.0109936460458391</v>
      </c>
      <c r="K19" s="129">
        <v>1.0497370258691066</v>
      </c>
      <c r="L19" s="129">
        <v>1.095912516823393</v>
      </c>
      <c r="M19" s="129">
        <v>1.25570900622341</v>
      </c>
      <c r="N19" s="129">
        <v>1.8128607667482051</v>
      </c>
      <c r="O19" s="129">
        <v>1.9558976965156001</v>
      </c>
      <c r="P19" s="129">
        <v>2.0983771645834386</v>
      </c>
      <c r="Q19" s="129">
        <v>2.2238351836261687</v>
      </c>
      <c r="R19" s="129">
        <v>2.3828988371293027</v>
      </c>
      <c r="S19" s="129">
        <v>2.2478596956380121</v>
      </c>
      <c r="T19" s="129">
        <v>2.1496666967581812</v>
      </c>
      <c r="U19" s="129">
        <v>2.2855157604342038</v>
      </c>
      <c r="V19" s="129">
        <v>2.0477723885615542</v>
      </c>
      <c r="W19" s="129">
        <v>1.9905173593555787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3.8341019857301311E-3</v>
      </c>
      <c r="K20" s="97">
        <v>3.2609496187080195E-4</v>
      </c>
      <c r="L20" s="97">
        <v>1.6731726551681616E-2</v>
      </c>
      <c r="M20" s="97">
        <v>1.7742115885566366E-2</v>
      </c>
      <c r="N20" s="97">
        <v>2.6751906617104918E-2</v>
      </c>
      <c r="O20" s="97">
        <v>2.5669807726038805E-2</v>
      </c>
      <c r="P20" s="97">
        <v>4.3533767732004888E-2</v>
      </c>
      <c r="Q20" s="97">
        <v>2.3410802366634197E-2</v>
      </c>
      <c r="R20" s="97">
        <v>1.7857482399014236E-2</v>
      </c>
      <c r="S20" s="97">
        <v>8.0567982399566834E-3</v>
      </c>
      <c r="T20" s="97">
        <v>3.802292395080685E-2</v>
      </c>
      <c r="U20" s="97">
        <v>6.0084537875787568E-2</v>
      </c>
      <c r="V20" s="97">
        <v>5.7447489635797135E-2</v>
      </c>
      <c r="W20" s="97">
        <v>4.1209400152591877E-2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278.90292182775346</v>
      </c>
      <c r="C21" s="130">
        <f t="shared" si="17"/>
        <v>350.56673268961481</v>
      </c>
      <c r="D21" s="130">
        <f t="shared" si="17"/>
        <v>334.78184670098886</v>
      </c>
      <c r="E21" s="130">
        <f t="shared" si="17"/>
        <v>333.78162486898475</v>
      </c>
      <c r="F21" s="130">
        <f t="shared" si="17"/>
        <v>340.68800744927557</v>
      </c>
      <c r="G21" s="130">
        <f t="shared" si="17"/>
        <v>367.1407183376437</v>
      </c>
      <c r="H21" s="130">
        <f t="shared" si="17"/>
        <v>414.49317695821412</v>
      </c>
      <c r="I21" s="130">
        <f t="shared" si="17"/>
        <v>460.60116377959798</v>
      </c>
      <c r="J21" s="130">
        <f t="shared" si="17"/>
        <v>455.10554813524499</v>
      </c>
      <c r="K21" s="130">
        <f t="shared" si="17"/>
        <v>436.49114794991931</v>
      </c>
      <c r="L21" s="130">
        <f t="shared" ref="L21" si="18">L22+L24+L26+L27+L29+L32</f>
        <v>439.81117870176183</v>
      </c>
      <c r="M21" s="130">
        <f t="shared" ref="M21:V21" si="19">M22+M24+M26+M27+M29+M32</f>
        <v>438.24714590744401</v>
      </c>
      <c r="N21" s="130">
        <f t="shared" si="19"/>
        <v>450.32444096800151</v>
      </c>
      <c r="O21" s="130">
        <f t="shared" si="19"/>
        <v>443.61406809048822</v>
      </c>
      <c r="P21" s="130">
        <f t="shared" si="19"/>
        <v>452.57309227374037</v>
      </c>
      <c r="Q21" s="130">
        <f t="shared" si="19"/>
        <v>474.28060686039487</v>
      </c>
      <c r="R21" s="130">
        <f t="shared" si="19"/>
        <v>488.22048188953295</v>
      </c>
      <c r="S21" s="130">
        <f t="shared" si="19"/>
        <v>506.16480816926884</v>
      </c>
      <c r="T21" s="130">
        <f t="shared" si="19"/>
        <v>528.0728795428895</v>
      </c>
      <c r="U21" s="130">
        <f t="shared" si="19"/>
        <v>535.818672902461</v>
      </c>
      <c r="V21" s="130">
        <f t="shared" si="19"/>
        <v>502.77841079495062</v>
      </c>
      <c r="W21" s="130">
        <f t="shared" ref="W21" si="20">W22+W24+W26+W27+W29+W32</f>
        <v>511.56835467175313</v>
      </c>
      <c r="DA21" s="176" t="s">
        <v>392</v>
      </c>
    </row>
    <row r="22" spans="1:105" ht="11.45" customHeight="1" x14ac:dyDescent="0.25">
      <c r="A22" s="111" t="s">
        <v>110</v>
      </c>
      <c r="B22" s="96">
        <v>259.87944299615509</v>
      </c>
      <c r="C22" s="96">
        <v>315.78132655732281</v>
      </c>
      <c r="D22" s="96">
        <v>289.49382525603579</v>
      </c>
      <c r="E22" s="96">
        <v>279.08513867785263</v>
      </c>
      <c r="F22" s="96">
        <v>267.76856448483352</v>
      </c>
      <c r="G22" s="96">
        <v>277.73248215823338</v>
      </c>
      <c r="H22" s="96">
        <v>297.80399851756852</v>
      </c>
      <c r="I22" s="96">
        <v>318.74702334755165</v>
      </c>
      <c r="J22" s="96">
        <v>319.14672541059667</v>
      </c>
      <c r="K22" s="96">
        <v>290.8111346222986</v>
      </c>
      <c r="L22" s="96">
        <v>279.02440171310565</v>
      </c>
      <c r="M22" s="96">
        <v>256.75815421594768</v>
      </c>
      <c r="N22" s="96">
        <v>245.35655271629679</v>
      </c>
      <c r="O22" s="96">
        <v>230.08982820068866</v>
      </c>
      <c r="P22" s="96">
        <v>233.23258847530903</v>
      </c>
      <c r="Q22" s="96">
        <v>229.84257882081232</v>
      </c>
      <c r="R22" s="96">
        <v>243.15476522127949</v>
      </c>
      <c r="S22" s="96">
        <v>254.83265721550674</v>
      </c>
      <c r="T22" s="96">
        <v>262.9692559118464</v>
      </c>
      <c r="U22" s="96">
        <v>266.87202849470214</v>
      </c>
      <c r="V22" s="96">
        <v>208.25877862081401</v>
      </c>
      <c r="W22" s="96">
        <v>192.46357622636634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1.2103350979720768</v>
      </c>
      <c r="K23" s="96">
        <v>9.0338859656540205E-2</v>
      </c>
      <c r="L23" s="96">
        <v>4.2599750610044262</v>
      </c>
      <c r="M23" s="96">
        <v>3.6277775376988752</v>
      </c>
      <c r="N23" s="96">
        <v>3.6206617223752935</v>
      </c>
      <c r="O23" s="96">
        <v>3.0197702365267203</v>
      </c>
      <c r="P23" s="96">
        <v>4.8387360983477015</v>
      </c>
      <c r="Q23" s="96">
        <v>2.4196034075860284</v>
      </c>
      <c r="R23" s="96">
        <v>1.8222057405535685</v>
      </c>
      <c r="S23" s="96">
        <v>0.91337342278145894</v>
      </c>
      <c r="T23" s="96">
        <v>4.6513536419460957</v>
      </c>
      <c r="U23" s="96">
        <v>7.0158704576300419</v>
      </c>
      <c r="V23" s="96">
        <v>5.8424188612031172</v>
      </c>
      <c r="W23" s="96">
        <v>3.9845462739792055</v>
      </c>
      <c r="DA23" s="171" t="s">
        <v>641</v>
      </c>
    </row>
    <row r="24" spans="1:105" ht="11.45" customHeight="1" x14ac:dyDescent="0.25">
      <c r="A24" s="111" t="s">
        <v>111</v>
      </c>
      <c r="B24" s="96">
        <v>18.262773758511528</v>
      </c>
      <c r="C24" s="96">
        <v>33.916016622403809</v>
      </c>
      <c r="D24" s="96">
        <v>44.309947498263455</v>
      </c>
      <c r="E24" s="96">
        <v>53.609727807641121</v>
      </c>
      <c r="F24" s="96">
        <v>71.669657925749007</v>
      </c>
      <c r="G24" s="96">
        <v>87.922681579238358</v>
      </c>
      <c r="H24" s="96">
        <v>114.71781128673331</v>
      </c>
      <c r="I24" s="96">
        <v>140.16746803307817</v>
      </c>
      <c r="J24" s="96">
        <v>133.58079799925051</v>
      </c>
      <c r="K24" s="96">
        <v>143.20198767744154</v>
      </c>
      <c r="L24" s="96">
        <v>158.54593770873524</v>
      </c>
      <c r="M24" s="96">
        <v>178.99656102678154</v>
      </c>
      <c r="N24" s="96">
        <v>201.5821969324023</v>
      </c>
      <c r="O24" s="96">
        <v>209.39798511195775</v>
      </c>
      <c r="P24" s="96">
        <v>214.22214196794667</v>
      </c>
      <c r="Q24" s="96">
        <v>238.25037908370368</v>
      </c>
      <c r="R24" s="96">
        <v>237.6825032767448</v>
      </c>
      <c r="S24" s="96">
        <v>242.16276700564575</v>
      </c>
      <c r="T24" s="96">
        <v>252.90182073492625</v>
      </c>
      <c r="U24" s="96">
        <v>249.48838669725976</v>
      </c>
      <c r="V24" s="96">
        <v>270.08889744893452</v>
      </c>
      <c r="W24" s="96">
        <v>289.74310598052801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3.8815911322146415E-2</v>
      </c>
      <c r="H25" s="96">
        <v>0.33574221198412807</v>
      </c>
      <c r="I25" s="96">
        <v>0.17659368924319233</v>
      </c>
      <c r="J25" s="96">
        <v>0.97327243601781976</v>
      </c>
      <c r="K25" s="96">
        <v>0.67837681887259171</v>
      </c>
      <c r="L25" s="96">
        <v>1.3188060462596658</v>
      </c>
      <c r="M25" s="96">
        <v>0.27479231859049719</v>
      </c>
      <c r="N25" s="96">
        <v>0</v>
      </c>
      <c r="O25" s="96">
        <v>0</v>
      </c>
      <c r="P25" s="96">
        <v>0</v>
      </c>
      <c r="Q25" s="96">
        <v>0</v>
      </c>
      <c r="R25" s="96">
        <v>0</v>
      </c>
      <c r="S25" s="96">
        <v>0.73696196674921532</v>
      </c>
      <c r="T25" s="96">
        <v>6.2014508633191392</v>
      </c>
      <c r="U25" s="96">
        <v>9.8574009887106566</v>
      </c>
      <c r="V25" s="96">
        <v>17.186648036084694</v>
      </c>
      <c r="W25" s="96">
        <v>20.934789313266432</v>
      </c>
      <c r="DA25" s="171" t="s">
        <v>643</v>
      </c>
    </row>
    <row r="26" spans="1:105" ht="11.45" customHeight="1" x14ac:dyDescent="0.25">
      <c r="A26" s="111" t="s">
        <v>112</v>
      </c>
      <c r="B26" s="96">
        <v>0.76070507308684432</v>
      </c>
      <c r="C26" s="96">
        <v>0.86938950988822017</v>
      </c>
      <c r="D26" s="96">
        <v>0.9780739466895958</v>
      </c>
      <c r="E26" s="96">
        <v>1.086758383490972</v>
      </c>
      <c r="F26" s="96">
        <v>1.2497850386930349</v>
      </c>
      <c r="G26" s="96">
        <v>1.4855546001719691</v>
      </c>
      <c r="H26" s="96">
        <v>1.9713671539122961</v>
      </c>
      <c r="I26" s="96">
        <v>1.686672398968186</v>
      </c>
      <c r="J26" s="96">
        <v>2.3778159931212381</v>
      </c>
      <c r="K26" s="96">
        <v>2.4778159931212378</v>
      </c>
      <c r="L26" s="96">
        <v>2.2372312983662939</v>
      </c>
      <c r="M26" s="96">
        <v>2.4696474634565782</v>
      </c>
      <c r="N26" s="96">
        <v>3.2460877042132421</v>
      </c>
      <c r="O26" s="96">
        <v>3.8145313843508171</v>
      </c>
      <c r="P26" s="96">
        <v>4.5621668099742054</v>
      </c>
      <c r="Q26" s="96">
        <v>5.4413585554600168</v>
      </c>
      <c r="R26" s="96">
        <v>6.1069296844428846</v>
      </c>
      <c r="S26" s="96">
        <v>7.3127937831038681</v>
      </c>
      <c r="T26" s="96">
        <v>8.802175989014188</v>
      </c>
      <c r="U26" s="96">
        <v>10.485373887719522</v>
      </c>
      <c r="V26" s="96">
        <v>10.084589729976695</v>
      </c>
      <c r="W26" s="96">
        <v>10.409949447566746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3.1894754709774127E-3</v>
      </c>
      <c r="M27" s="96">
        <v>1.1019099676980899E-2</v>
      </c>
      <c r="N27" s="96">
        <v>2.1642078634581109E-2</v>
      </c>
      <c r="O27" s="96">
        <v>0.17126816462390973</v>
      </c>
      <c r="P27" s="96">
        <v>0.32998554632862875</v>
      </c>
      <c r="Q27" s="96">
        <v>0.50665820332928613</v>
      </c>
      <c r="R27" s="96">
        <v>1.0242264934650034</v>
      </c>
      <c r="S27" s="96">
        <v>1.5943736857504183</v>
      </c>
      <c r="T27" s="96">
        <v>3.0923944818618314</v>
      </c>
      <c r="U27" s="96">
        <v>8.5984175318655804</v>
      </c>
      <c r="V27" s="96">
        <v>13.903808146779761</v>
      </c>
      <c r="W27" s="96">
        <v>18.215906320687488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0.3803081813284287</v>
      </c>
      <c r="U28" s="96">
        <v>1.5051098322959373</v>
      </c>
      <c r="V28" s="96">
        <v>1.9025416614882307</v>
      </c>
      <c r="W28" s="96">
        <v>3.0974806924989178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</v>
      </c>
      <c r="P29" s="96">
        <v>6.8133629416749939E-3</v>
      </c>
      <c r="Q29" s="96">
        <v>1.331121446331884E-2</v>
      </c>
      <c r="R29" s="96">
        <v>1.7939499208800634E-2</v>
      </c>
      <c r="S29" s="96">
        <v>2.3227997373855194E-2</v>
      </c>
      <c r="T29" s="96">
        <v>3.8564082679640642E-2</v>
      </c>
      <c r="U29" s="96">
        <v>4.6144752696891222E-2</v>
      </c>
      <c r="V29" s="96">
        <v>7.8531723144816962E-2</v>
      </c>
      <c r="W29" s="96">
        <v>0.20772759371104832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9.3716116557608111E-5</v>
      </c>
      <c r="Q30" s="96">
        <v>9.5340908164300616E-5</v>
      </c>
      <c r="R30" s="96">
        <v>8.9442232949201597E-5</v>
      </c>
      <c r="S30" s="96">
        <v>5.4147530263890118E-5</v>
      </c>
      <c r="T30" s="96">
        <v>4.3282751007248912E-4</v>
      </c>
      <c r="U30" s="96">
        <v>7.6873010661475069E-4</v>
      </c>
      <c r="V30" s="96">
        <v>1.3334407517430324E-3</v>
      </c>
      <c r="W30" s="96">
        <v>2.203998500768716E-3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0</v>
      </c>
      <c r="P31" s="96">
        <v>2.2961394348901334E-3</v>
      </c>
      <c r="Q31" s="96">
        <v>4.2546062064047502E-3</v>
      </c>
      <c r="R31" s="96">
        <v>6.0043457463693391E-3</v>
      </c>
      <c r="S31" s="96">
        <v>8.1207491502491257E-3</v>
      </c>
      <c r="T31" s="96">
        <v>1.4093716196322046E-2</v>
      </c>
      <c r="U31" s="96">
        <v>1.6903539627725228E-2</v>
      </c>
      <c r="V31" s="96">
        <v>3.0999913303980314E-2</v>
      </c>
      <c r="W31" s="96">
        <v>0.10126893962899243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2.087322764973382E-4</v>
      </c>
      <c r="K32" s="96">
        <v>2.0965705792394716E-4</v>
      </c>
      <c r="L32" s="96">
        <v>4.1850608361856652E-4</v>
      </c>
      <c r="M32" s="96">
        <v>1.1764101581275846E-2</v>
      </c>
      <c r="N32" s="96">
        <v>0.11796153645465673</v>
      </c>
      <c r="O32" s="96">
        <v>0.14045522886717052</v>
      </c>
      <c r="P32" s="96">
        <v>0.21939611124018213</v>
      </c>
      <c r="Q32" s="96">
        <v>0.22632098262629305</v>
      </c>
      <c r="R32" s="96">
        <v>0.234117714391992</v>
      </c>
      <c r="S32" s="96">
        <v>0.23898848188818847</v>
      </c>
      <c r="T32" s="96">
        <v>0.26866834256120398</v>
      </c>
      <c r="U32" s="96">
        <v>0.32832153821695642</v>
      </c>
      <c r="V32" s="96">
        <v>0.36380512530083747</v>
      </c>
      <c r="W32" s="96">
        <v>0.52808910289345856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84.730140845072214</v>
      </c>
      <c r="C33" s="130">
        <f t="shared" si="21"/>
        <v>100.59865069040642</v>
      </c>
      <c r="D33" s="130">
        <f t="shared" si="21"/>
        <v>110.95653486841843</v>
      </c>
      <c r="E33" s="130">
        <f t="shared" si="21"/>
        <v>98.29893410745774</v>
      </c>
      <c r="F33" s="130">
        <f t="shared" si="21"/>
        <v>101.64945421410053</v>
      </c>
      <c r="G33" s="130">
        <f t="shared" si="21"/>
        <v>106.66951656548392</v>
      </c>
      <c r="H33" s="130">
        <f t="shared" si="21"/>
        <v>108.87302817807091</v>
      </c>
      <c r="I33" s="130">
        <f t="shared" si="21"/>
        <v>93.354259256164028</v>
      </c>
      <c r="J33" s="130">
        <f t="shared" si="21"/>
        <v>85.208038391159306</v>
      </c>
      <c r="K33" s="130">
        <f t="shared" si="21"/>
        <v>74.260388118331889</v>
      </c>
      <c r="L33" s="130">
        <f t="shared" ref="L33" si="22">L34+L36+L38+L39+L41</f>
        <v>81.047225445316897</v>
      </c>
      <c r="M33" s="130">
        <f t="shared" ref="M33:V33" si="23">M34+M36+M38+M39+M41</f>
        <v>80.143762124633568</v>
      </c>
      <c r="N33" s="130">
        <f t="shared" si="23"/>
        <v>81.250169459902921</v>
      </c>
      <c r="O33" s="130">
        <f t="shared" si="23"/>
        <v>81.014144628310916</v>
      </c>
      <c r="P33" s="130">
        <f t="shared" si="23"/>
        <v>84.557049829901757</v>
      </c>
      <c r="Q33" s="130">
        <f t="shared" si="23"/>
        <v>86.251309800036296</v>
      </c>
      <c r="R33" s="130">
        <f t="shared" si="23"/>
        <v>96.390086862718022</v>
      </c>
      <c r="S33" s="130">
        <f t="shared" si="23"/>
        <v>109.41905153523987</v>
      </c>
      <c r="T33" s="130">
        <f t="shared" si="23"/>
        <v>110.08001436451663</v>
      </c>
      <c r="U33" s="130">
        <f t="shared" si="23"/>
        <v>102.26457900811714</v>
      </c>
      <c r="V33" s="130">
        <f t="shared" si="23"/>
        <v>98.863035228252315</v>
      </c>
      <c r="W33" s="130">
        <f t="shared" ref="W33" si="24">W34+W36+W38+W39+W41</f>
        <v>107.46782309264412</v>
      </c>
      <c r="DA33" s="176" t="s">
        <v>393</v>
      </c>
    </row>
    <row r="34" spans="1:105" ht="11.45" customHeight="1" x14ac:dyDescent="0.25">
      <c r="A34" s="111" t="s">
        <v>110</v>
      </c>
      <c r="B34" s="97">
        <v>10.96039248596302</v>
      </c>
      <c r="C34" s="97">
        <v>9.5738016520635316</v>
      </c>
      <c r="D34" s="97">
        <v>8.2128030918927646</v>
      </c>
      <c r="E34" s="97">
        <v>6.9109256087319793</v>
      </c>
      <c r="F34" s="97">
        <v>6.1510455601359233</v>
      </c>
      <c r="G34" s="97">
        <v>5.0452977722232362</v>
      </c>
      <c r="H34" s="97">
        <v>5.1195621940866456</v>
      </c>
      <c r="I34" s="97">
        <v>2.8408797299125954</v>
      </c>
      <c r="J34" s="97">
        <v>2.0011186902367979</v>
      </c>
      <c r="K34" s="97">
        <v>1.3662086376141469</v>
      </c>
      <c r="L34" s="97">
        <v>1.0539865882832877</v>
      </c>
      <c r="M34" s="97">
        <v>0.94051519362615399</v>
      </c>
      <c r="N34" s="97">
        <v>0.89377387557687571</v>
      </c>
      <c r="O34" s="97">
        <v>0.85199818120958581</v>
      </c>
      <c r="P34" s="97">
        <v>0.866255467607283</v>
      </c>
      <c r="Q34" s="97">
        <v>0.8724697796035692</v>
      </c>
      <c r="R34" s="97">
        <v>0.97543410024065824</v>
      </c>
      <c r="S34" s="97">
        <v>1.0801923251115566</v>
      </c>
      <c r="T34" s="97">
        <v>1.0377997607822964</v>
      </c>
      <c r="U34" s="97">
        <v>0.93778635245608755</v>
      </c>
      <c r="V34" s="97">
        <v>0.86421315561273926</v>
      </c>
      <c r="W34" s="97">
        <v>0.88509194909769462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7.589061685923504E-3</v>
      </c>
      <c r="K35" s="97">
        <v>4.2440510586114866E-4</v>
      </c>
      <c r="L35" s="97">
        <v>1.6091626944286192E-2</v>
      </c>
      <c r="M35" s="97">
        <v>1.3288691468126881E-2</v>
      </c>
      <c r="N35" s="97">
        <v>1.3189184572143979E-2</v>
      </c>
      <c r="O35" s="97">
        <v>1.1181888262124857E-2</v>
      </c>
      <c r="P35" s="97">
        <v>1.7971680668227748E-2</v>
      </c>
      <c r="Q35" s="97">
        <v>9.1846813700711613E-3</v>
      </c>
      <c r="R35" s="97">
        <v>7.3099189126427239E-3</v>
      </c>
      <c r="S35" s="97">
        <v>3.8716347113040596E-3</v>
      </c>
      <c r="T35" s="97">
        <v>1.8356418434494509E-2</v>
      </c>
      <c r="U35" s="97">
        <v>2.4653717374864974E-2</v>
      </c>
      <c r="V35" s="97">
        <v>2.4244333294803598E-2</v>
      </c>
      <c r="W35" s="97">
        <v>1.8323933790767195E-2</v>
      </c>
      <c r="DA35" s="175" t="s">
        <v>652</v>
      </c>
    </row>
    <row r="36" spans="1:105" ht="11.45" customHeight="1" x14ac:dyDescent="0.25">
      <c r="A36" s="111" t="s">
        <v>111</v>
      </c>
      <c r="B36" s="97">
        <v>73.769748359109187</v>
      </c>
      <c r="C36" s="97">
        <v>91.024849038342879</v>
      </c>
      <c r="D36" s="97">
        <v>102.74373177652566</v>
      </c>
      <c r="E36" s="97">
        <v>91.388008498725767</v>
      </c>
      <c r="F36" s="97">
        <v>95.498408653964603</v>
      </c>
      <c r="G36" s="97">
        <v>101.62421879326068</v>
      </c>
      <c r="H36" s="97">
        <v>103.75346598398427</v>
      </c>
      <c r="I36" s="97">
        <v>90.513379526251427</v>
      </c>
      <c r="J36" s="97">
        <v>83.206919700922512</v>
      </c>
      <c r="K36" s="97">
        <v>72.894179480717739</v>
      </c>
      <c r="L36" s="97">
        <v>78.256420870601829</v>
      </c>
      <c r="M36" s="97">
        <v>77.257611198829807</v>
      </c>
      <c r="N36" s="97">
        <v>78.171795417201636</v>
      </c>
      <c r="O36" s="97">
        <v>77.872756855402855</v>
      </c>
      <c r="P36" s="97">
        <v>80.906746318836781</v>
      </c>
      <c r="Q36" s="97">
        <v>81.645552541315595</v>
      </c>
      <c r="R36" s="97">
        <v>90.930779639456787</v>
      </c>
      <c r="S36" s="97">
        <v>104.1383310810632</v>
      </c>
      <c r="T36" s="97">
        <v>101.23281180346559</v>
      </c>
      <c r="U36" s="97">
        <v>94.719137728031043</v>
      </c>
      <c r="V36" s="97">
        <v>88.71160331910653</v>
      </c>
      <c r="W36" s="97">
        <v>96.244979316374383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4.4864835717124907E-2</v>
      </c>
      <c r="H37" s="97">
        <v>0.30365309257352729</v>
      </c>
      <c r="I37" s="97">
        <v>0.11403567347480284</v>
      </c>
      <c r="J37" s="97">
        <v>0.60624732479372045</v>
      </c>
      <c r="K37" s="97">
        <v>0.34531449173625423</v>
      </c>
      <c r="L37" s="97">
        <v>0.65094724276309623</v>
      </c>
      <c r="M37" s="97">
        <v>0.11860450272512883</v>
      </c>
      <c r="N37" s="97">
        <v>0</v>
      </c>
      <c r="O37" s="97">
        <v>0</v>
      </c>
      <c r="P37" s="97">
        <v>0</v>
      </c>
      <c r="Q37" s="97">
        <v>0</v>
      </c>
      <c r="R37" s="97">
        <v>0</v>
      </c>
      <c r="S37" s="97">
        <v>0.31691903027227974</v>
      </c>
      <c r="T37" s="97">
        <v>2.4823479179805155</v>
      </c>
      <c r="U37" s="97">
        <v>3.7423967273598531</v>
      </c>
      <c r="V37" s="97">
        <v>5.6450121325350384</v>
      </c>
      <c r="W37" s="97">
        <v>6.9539820719095591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1.171601094706275E-2</v>
      </c>
      <c r="U38" s="97">
        <v>1.0643527657555114E-2</v>
      </c>
      <c r="V38" s="97">
        <v>1.0146864305941916E-2</v>
      </c>
      <c r="W38" s="97">
        <v>1.0595560122493878E-2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3.9802785921971853E-2</v>
      </c>
      <c r="M39" s="97">
        <v>0.24693446868071472</v>
      </c>
      <c r="N39" s="97">
        <v>0.51493363463887798</v>
      </c>
      <c r="O39" s="97">
        <v>0.64874532295030052</v>
      </c>
      <c r="P39" s="97">
        <v>1.186421828221669</v>
      </c>
      <c r="Q39" s="97">
        <v>2.1936894301074799</v>
      </c>
      <c r="R39" s="97">
        <v>3.030117187303091</v>
      </c>
      <c r="S39" s="97">
        <v>2.8288824493832774</v>
      </c>
      <c r="T39" s="97">
        <v>6.5304806411576353</v>
      </c>
      <c r="U39" s="97">
        <v>5.4377047626445778</v>
      </c>
      <c r="V39" s="97">
        <v>8.2628728434898004</v>
      </c>
      <c r="W39" s="97">
        <v>9.3886678383642455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0.80313014086866363</v>
      </c>
      <c r="U40" s="97">
        <v>0.95184292610213128</v>
      </c>
      <c r="V40" s="97">
        <v>1.1306585693905777</v>
      </c>
      <c r="W40" s="97">
        <v>1.5964738095184297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1.6970152005098018</v>
      </c>
      <c r="M41" s="97">
        <v>1.6987012634968903</v>
      </c>
      <c r="N41" s="97">
        <v>1.6696665324855311</v>
      </c>
      <c r="O41" s="97">
        <v>1.640644268748179</v>
      </c>
      <c r="P41" s="97">
        <v>1.5976262152360212</v>
      </c>
      <c r="Q41" s="97">
        <v>1.5395980490096535</v>
      </c>
      <c r="R41" s="97">
        <v>1.4537559357174867</v>
      </c>
      <c r="S41" s="97">
        <v>1.3716456796818406</v>
      </c>
      <c r="T41" s="97">
        <v>1.2672061481640318</v>
      </c>
      <c r="U41" s="97">
        <v>1.1593066373278851</v>
      </c>
      <c r="V41" s="97">
        <v>1.0141990457373049</v>
      </c>
      <c r="W41" s="97">
        <v>0.93848842868531046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132.97604210673498</v>
      </c>
      <c r="C42" s="32">
        <f t="shared" si="25"/>
        <v>153.8238178480114</v>
      </c>
      <c r="D42" s="32">
        <f t="shared" si="25"/>
        <v>179.45420973818688</v>
      </c>
      <c r="E42" s="32">
        <f t="shared" si="25"/>
        <v>174.46554663159532</v>
      </c>
      <c r="F42" s="32">
        <f t="shared" si="25"/>
        <v>183.0667692413941</v>
      </c>
      <c r="G42" s="32">
        <f t="shared" si="25"/>
        <v>181.46828080820666</v>
      </c>
      <c r="H42" s="32">
        <f t="shared" si="25"/>
        <v>183.51256402097675</v>
      </c>
      <c r="I42" s="32">
        <f t="shared" si="25"/>
        <v>194.95869750255889</v>
      </c>
      <c r="J42" s="32">
        <f t="shared" si="25"/>
        <v>193.35882222824787</v>
      </c>
      <c r="K42" s="32">
        <f t="shared" si="25"/>
        <v>149.20646406377492</v>
      </c>
      <c r="L42" s="32">
        <f t="shared" ref="L42" si="26">L43+L52</f>
        <v>167.16637991806704</v>
      </c>
      <c r="M42" s="32">
        <f t="shared" ref="M42:V42" si="27">M43+M52</f>
        <v>183.91264879655316</v>
      </c>
      <c r="N42" s="32">
        <f t="shared" si="27"/>
        <v>184.06179565963026</v>
      </c>
      <c r="O42" s="32">
        <f t="shared" si="27"/>
        <v>177.36665152593508</v>
      </c>
      <c r="P42" s="32">
        <f t="shared" si="27"/>
        <v>172.22086482510247</v>
      </c>
      <c r="Q42" s="32">
        <f t="shared" si="27"/>
        <v>168.33309943587022</v>
      </c>
      <c r="R42" s="32">
        <f t="shared" si="27"/>
        <v>166.13559459286921</v>
      </c>
      <c r="S42" s="32">
        <f t="shared" si="27"/>
        <v>160.12563613166466</v>
      </c>
      <c r="T42" s="32">
        <f t="shared" si="27"/>
        <v>169.73622524281487</v>
      </c>
      <c r="U42" s="32">
        <f t="shared" si="27"/>
        <v>173.28162538084104</v>
      </c>
      <c r="V42" s="32">
        <f t="shared" si="27"/>
        <v>165.33988137825813</v>
      </c>
      <c r="W42" s="32">
        <f t="shared" ref="W42" si="28">W43+W52</f>
        <v>196.36571922603065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83.353926961160056</v>
      </c>
      <c r="C43" s="141">
        <f t="shared" si="29"/>
        <v>101.12575376108641</v>
      </c>
      <c r="D43" s="141">
        <f t="shared" si="29"/>
        <v>108.65541264167516</v>
      </c>
      <c r="E43" s="141">
        <f t="shared" si="29"/>
        <v>89.664608113256904</v>
      </c>
      <c r="F43" s="141">
        <f t="shared" si="29"/>
        <v>87.055805445880637</v>
      </c>
      <c r="G43" s="141">
        <f t="shared" si="29"/>
        <v>80.602520975967266</v>
      </c>
      <c r="H43" s="141">
        <f t="shared" si="29"/>
        <v>76.354695107991432</v>
      </c>
      <c r="I43" s="141">
        <f t="shared" si="29"/>
        <v>72.690267403825274</v>
      </c>
      <c r="J43" s="141">
        <f t="shared" si="29"/>
        <v>70.477690314383125</v>
      </c>
      <c r="K43" s="141">
        <f t="shared" si="29"/>
        <v>63.187603085576477</v>
      </c>
      <c r="L43" s="141">
        <f t="shared" ref="L43" si="30">L44+L46+L48+L49+L51</f>
        <v>67.75476632876817</v>
      </c>
      <c r="M43" s="141">
        <f t="shared" ref="M43:V43" si="31">M44+M46+M48+M49+M51</f>
        <v>70.792949747409125</v>
      </c>
      <c r="N43" s="141">
        <f t="shared" si="31"/>
        <v>72.628022307207701</v>
      </c>
      <c r="O43" s="141">
        <f t="shared" si="31"/>
        <v>73.265977166827255</v>
      </c>
      <c r="P43" s="141">
        <f t="shared" si="31"/>
        <v>75.401670089344321</v>
      </c>
      <c r="Q43" s="141">
        <f t="shared" si="31"/>
        <v>74.921168149015358</v>
      </c>
      <c r="R43" s="141">
        <f t="shared" si="31"/>
        <v>77.861518712114432</v>
      </c>
      <c r="S43" s="141">
        <f t="shared" si="31"/>
        <v>84.578508266815106</v>
      </c>
      <c r="T43" s="141">
        <f t="shared" si="31"/>
        <v>92.986670602828582</v>
      </c>
      <c r="U43" s="141">
        <f t="shared" si="31"/>
        <v>101.9149491591777</v>
      </c>
      <c r="V43" s="141">
        <f t="shared" si="31"/>
        <v>102.08569736139957</v>
      </c>
      <c r="W43" s="141">
        <f t="shared" ref="W43" si="32">W44+W46+W48+W49+W51</f>
        <v>112.6992926873133</v>
      </c>
      <c r="DA43" s="174" t="s">
        <v>399</v>
      </c>
    </row>
    <row r="44" spans="1:105" ht="11.45" customHeight="1" x14ac:dyDescent="0.25">
      <c r="A44" s="111" t="s">
        <v>110</v>
      </c>
      <c r="B44" s="96">
        <v>21.934617534759766</v>
      </c>
      <c r="C44" s="96">
        <v>24.164511539712525</v>
      </c>
      <c r="D44" s="96">
        <v>23.41244619268371</v>
      </c>
      <c r="E44" s="96">
        <v>21.419430831341405</v>
      </c>
      <c r="F44" s="96">
        <v>21.8814394324577</v>
      </c>
      <c r="G44" s="96">
        <v>19.269179461015241</v>
      </c>
      <c r="H44" s="96">
        <v>18.962603114566267</v>
      </c>
      <c r="I44" s="96">
        <v>15.944313750312491</v>
      </c>
      <c r="J44" s="96">
        <v>15.416398710558287</v>
      </c>
      <c r="K44" s="96">
        <v>13.737494090830264</v>
      </c>
      <c r="L44" s="96">
        <v>12.309964014117782</v>
      </c>
      <c r="M44" s="96">
        <v>12.871416941038516</v>
      </c>
      <c r="N44" s="96">
        <v>12.202418832263739</v>
      </c>
      <c r="O44" s="96">
        <v>10.963926824423631</v>
      </c>
      <c r="P44" s="96">
        <v>10.631193741220475</v>
      </c>
      <c r="Q44" s="96">
        <v>10.273641722920333</v>
      </c>
      <c r="R44" s="96">
        <v>9.7183888718949465</v>
      </c>
      <c r="S44" s="96">
        <v>9.7185085370161985</v>
      </c>
      <c r="T44" s="96">
        <v>10.908747074963809</v>
      </c>
      <c r="U44" s="96">
        <v>10.492367130327157</v>
      </c>
      <c r="V44" s="96">
        <v>9.3577143433136349</v>
      </c>
      <c r="W44" s="96">
        <v>8.4507444611413778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5.846529811551255E-2</v>
      </c>
      <c r="K45" s="96">
        <v>4.2674760452893149E-3</v>
      </c>
      <c r="L45" s="96">
        <v>0.187941052395564</v>
      </c>
      <c r="M45" s="96">
        <v>0.18186233422516174</v>
      </c>
      <c r="N45" s="96">
        <v>0.18006786571318753</v>
      </c>
      <c r="O45" s="96">
        <v>0.14389397462183118</v>
      </c>
      <c r="P45" s="96">
        <v>0.22055897617248069</v>
      </c>
      <c r="Q45" s="96">
        <v>0.10815288728758871</v>
      </c>
      <c r="R45" s="96">
        <v>7.2829763279297272E-2</v>
      </c>
      <c r="S45" s="96">
        <v>3.4833162687145439E-2</v>
      </c>
      <c r="T45" s="96">
        <v>0.19295198695474555</v>
      </c>
      <c r="U45" s="96">
        <v>0.27583665847442734</v>
      </c>
      <c r="V45" s="96">
        <v>0.26251804192451206</v>
      </c>
      <c r="W45" s="96">
        <v>0.17495457070478346</v>
      </c>
      <c r="DA45" s="171" t="s">
        <v>660</v>
      </c>
    </row>
    <row r="46" spans="1:105" ht="11.45" customHeight="1" x14ac:dyDescent="0.25">
      <c r="A46" s="111" t="s">
        <v>111</v>
      </c>
      <c r="B46" s="96">
        <v>61.419309426400282</v>
      </c>
      <c r="C46" s="96">
        <v>76.961242221373894</v>
      </c>
      <c r="D46" s="96">
        <v>85.242966448991453</v>
      </c>
      <c r="E46" s="96">
        <v>68.245177281915502</v>
      </c>
      <c r="F46" s="96">
        <v>65.17436601342294</v>
      </c>
      <c r="G46" s="96">
        <v>61.333341514952025</v>
      </c>
      <c r="H46" s="96">
        <v>57.392091993425169</v>
      </c>
      <c r="I46" s="96">
        <v>56.745735239615193</v>
      </c>
      <c r="J46" s="96">
        <v>55.061072999891806</v>
      </c>
      <c r="K46" s="96">
        <v>49.449890178345541</v>
      </c>
      <c r="L46" s="96">
        <v>55.44458329138125</v>
      </c>
      <c r="M46" s="96">
        <v>57.921313591968627</v>
      </c>
      <c r="N46" s="96">
        <v>60.424444100209165</v>
      </c>
      <c r="O46" s="96">
        <v>62.261429761235696</v>
      </c>
      <c r="P46" s="96">
        <v>64.715717493365531</v>
      </c>
      <c r="Q46" s="96">
        <v>64.572618601453428</v>
      </c>
      <c r="R46" s="96">
        <v>68.065349715511374</v>
      </c>
      <c r="S46" s="96">
        <v>74.718841976214506</v>
      </c>
      <c r="T46" s="96">
        <v>81.898357963496309</v>
      </c>
      <c r="U46" s="96">
        <v>91.199746042641678</v>
      </c>
      <c r="V46" s="96">
        <v>92.44471332344088</v>
      </c>
      <c r="W46" s="96">
        <v>103.9597615951627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2.7077308182300357E-2</v>
      </c>
      <c r="H47" s="96">
        <v>0.16796823178666689</v>
      </c>
      <c r="I47" s="96">
        <v>7.1492614337702293E-2</v>
      </c>
      <c r="J47" s="96">
        <v>0.4011761080260981</v>
      </c>
      <c r="K47" s="96">
        <v>0.2342541450496185</v>
      </c>
      <c r="L47" s="96">
        <v>0.46119536541737949</v>
      </c>
      <c r="M47" s="96">
        <v>8.8919764527559439E-2</v>
      </c>
      <c r="N47" s="96">
        <v>0</v>
      </c>
      <c r="O47" s="96">
        <v>0</v>
      </c>
      <c r="P47" s="96">
        <v>0</v>
      </c>
      <c r="Q47" s="96">
        <v>0</v>
      </c>
      <c r="R47" s="96">
        <v>0</v>
      </c>
      <c r="S47" s="96">
        <v>0.22738815473945709</v>
      </c>
      <c r="T47" s="96">
        <v>2.0082443108603671</v>
      </c>
      <c r="U47" s="96">
        <v>3.6033439420239404</v>
      </c>
      <c r="V47" s="96">
        <v>5.8825622441112149</v>
      </c>
      <c r="W47" s="96">
        <v>7.5113977213953103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6.369535622744425E-4</v>
      </c>
      <c r="S48" s="96">
        <v>7.5845487963889244E-3</v>
      </c>
      <c r="T48" s="96">
        <v>9.4098057137263977E-3</v>
      </c>
      <c r="U48" s="96">
        <v>1.2838990469874394E-2</v>
      </c>
      <c r="V48" s="96">
        <v>1.2056183017453237E-2</v>
      </c>
      <c r="W48" s="96">
        <v>1.2215095492188702E-2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8.2755413840676802E-4</v>
      </c>
      <c r="O49" s="96">
        <v>3.9831740284775041E-2</v>
      </c>
      <c r="P49" s="96">
        <v>5.2810166292350441E-2</v>
      </c>
      <c r="Q49" s="96">
        <v>7.265322640846214E-2</v>
      </c>
      <c r="R49" s="96">
        <v>7.2913412955035686E-2</v>
      </c>
      <c r="S49" s="96">
        <v>0.12910843924291643</v>
      </c>
      <c r="T49" s="96">
        <v>0.16543098188165087</v>
      </c>
      <c r="U49" s="96">
        <v>0.20515027642707173</v>
      </c>
      <c r="V49" s="96">
        <v>0.26384351531943417</v>
      </c>
      <c r="W49" s="96">
        <v>0.26765284008842527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2.0344996805487736E-2</v>
      </c>
      <c r="U50" s="96">
        <v>3.59105262107016E-2</v>
      </c>
      <c r="V50" s="96">
        <v>3.6103294486625449E-2</v>
      </c>
      <c r="W50" s="96">
        <v>4.5512393941379709E-2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2.1841389759004408E-4</v>
      </c>
      <c r="J51" s="96">
        <v>2.1860393304078157E-4</v>
      </c>
      <c r="K51" s="96">
        <v>2.1881640066630015E-4</v>
      </c>
      <c r="L51" s="96">
        <v>2.1902326913828812E-4</v>
      </c>
      <c r="M51" s="96">
        <v>2.192144019822925E-4</v>
      </c>
      <c r="N51" s="96">
        <v>3.3182059638099253E-4</v>
      </c>
      <c r="O51" s="96">
        <v>7.8884088315365098E-4</v>
      </c>
      <c r="P51" s="96">
        <v>1.9486884659726269E-3</v>
      </c>
      <c r="Q51" s="96">
        <v>2.2545982331420504E-3</v>
      </c>
      <c r="R51" s="96">
        <v>4.2297581908078826E-3</v>
      </c>
      <c r="S51" s="96">
        <v>4.4647655450884907E-3</v>
      </c>
      <c r="T51" s="96">
        <v>4.7247767730742686E-3</v>
      </c>
      <c r="U51" s="96">
        <v>4.8467193119099868E-3</v>
      </c>
      <c r="V51" s="96">
        <v>7.3699963081761515E-3</v>
      </c>
      <c r="W51" s="96">
        <v>8.9186954285906308E-3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49.622115145574924</v>
      </c>
      <c r="C52" s="130">
        <f t="shared" si="33"/>
        <v>52.698064086924994</v>
      </c>
      <c r="D52" s="130">
        <f t="shared" si="33"/>
        <v>70.79879709651172</v>
      </c>
      <c r="E52" s="130">
        <f t="shared" si="33"/>
        <v>84.800938518338427</v>
      </c>
      <c r="F52" s="130">
        <f t="shared" si="33"/>
        <v>96.010963795513462</v>
      </c>
      <c r="G52" s="130">
        <f t="shared" si="33"/>
        <v>100.86575983223941</v>
      </c>
      <c r="H52" s="130">
        <f t="shared" si="33"/>
        <v>107.15786891298532</v>
      </c>
      <c r="I52" s="130">
        <f t="shared" si="33"/>
        <v>122.2684300987336</v>
      </c>
      <c r="J52" s="130">
        <f t="shared" si="33"/>
        <v>122.88113191386475</v>
      </c>
      <c r="K52" s="130">
        <f t="shared" si="33"/>
        <v>86.018860978198433</v>
      </c>
      <c r="L52" s="130">
        <f t="shared" ref="L52" si="34">L53+L55</f>
        <v>99.411613589298867</v>
      </c>
      <c r="M52" s="130">
        <f t="shared" ref="M52:V52" si="35">M53+M55</f>
        <v>113.11969904914403</v>
      </c>
      <c r="N52" s="130">
        <f t="shared" si="35"/>
        <v>111.43377335242255</v>
      </c>
      <c r="O52" s="130">
        <f t="shared" si="35"/>
        <v>104.10067435910784</v>
      </c>
      <c r="P52" s="130">
        <f t="shared" si="35"/>
        <v>96.819194735758145</v>
      </c>
      <c r="Q52" s="130">
        <f t="shared" si="35"/>
        <v>93.411931286854866</v>
      </c>
      <c r="R52" s="130">
        <f t="shared" si="35"/>
        <v>88.274075880754765</v>
      </c>
      <c r="S52" s="130">
        <f t="shared" si="35"/>
        <v>75.547127864849557</v>
      </c>
      <c r="T52" s="130">
        <f t="shared" si="35"/>
        <v>76.749554639986286</v>
      </c>
      <c r="U52" s="130">
        <f t="shared" si="35"/>
        <v>71.36667622166334</v>
      </c>
      <c r="V52" s="130">
        <f t="shared" si="35"/>
        <v>63.254184016858559</v>
      </c>
      <c r="W52" s="130">
        <f t="shared" ref="W52" si="36">W53+W55</f>
        <v>83.666426538717332</v>
      </c>
      <c r="DA52" s="176" t="s">
        <v>400</v>
      </c>
    </row>
    <row r="53" spans="1:105" ht="11.45" customHeight="1" x14ac:dyDescent="0.25">
      <c r="A53" s="128" t="s">
        <v>27</v>
      </c>
      <c r="B53" s="97">
        <v>33.682505361508547</v>
      </c>
      <c r="C53" s="97">
        <v>32.34651199996793</v>
      </c>
      <c r="D53" s="97">
        <v>47.7393519803828</v>
      </c>
      <c r="E53" s="97">
        <v>65.034270156023425</v>
      </c>
      <c r="F53" s="97">
        <v>72.172962862042183</v>
      </c>
      <c r="G53" s="97">
        <v>75.649903250326105</v>
      </c>
      <c r="H53" s="97">
        <v>80.228696705966556</v>
      </c>
      <c r="I53" s="97">
        <v>90.728865564628862</v>
      </c>
      <c r="J53" s="97">
        <v>92.506828947897802</v>
      </c>
      <c r="K53" s="97">
        <v>62.95617992598698</v>
      </c>
      <c r="L53" s="97">
        <v>70.878706972213166</v>
      </c>
      <c r="M53" s="97">
        <v>79.181026075337016</v>
      </c>
      <c r="N53" s="97">
        <v>76.858751054241793</v>
      </c>
      <c r="O53" s="97">
        <v>68.899069681089003</v>
      </c>
      <c r="P53" s="97">
        <v>62.346742859076009</v>
      </c>
      <c r="Q53" s="97">
        <v>55.959254138210838</v>
      </c>
      <c r="R53" s="97">
        <v>55.609665991067729</v>
      </c>
      <c r="S53" s="97">
        <v>44.960977293144985</v>
      </c>
      <c r="T53" s="97">
        <v>45.964107056773109</v>
      </c>
      <c r="U53" s="97">
        <v>42.35523365389006</v>
      </c>
      <c r="V53" s="97">
        <v>31.596752464034097</v>
      </c>
      <c r="W53" s="97">
        <v>50.410114637633647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3.3397752244933854E-2</v>
      </c>
      <c r="H54" s="97">
        <v>0.23480364378064128</v>
      </c>
      <c r="I54" s="97">
        <v>0.11430715925557258</v>
      </c>
      <c r="J54" s="97">
        <v>0.67400665445125851</v>
      </c>
      <c r="K54" s="97">
        <v>0.29823617506455424</v>
      </c>
      <c r="L54" s="97">
        <v>0.58957844431022477</v>
      </c>
      <c r="M54" s="97">
        <v>0.12155729483741862</v>
      </c>
      <c r="N54" s="97">
        <v>0</v>
      </c>
      <c r="O54" s="97">
        <v>0</v>
      </c>
      <c r="P54" s="97">
        <v>0</v>
      </c>
      <c r="Q54" s="97">
        <v>0</v>
      </c>
      <c r="R54" s="97">
        <v>0</v>
      </c>
      <c r="S54" s="97">
        <v>0.13682751755207029</v>
      </c>
      <c r="T54" s="97">
        <v>1.1270941053749155</v>
      </c>
      <c r="U54" s="97">
        <v>1.6734747762169606</v>
      </c>
      <c r="V54" s="97">
        <v>2.0106056517384987</v>
      </c>
      <c r="W54" s="97">
        <v>3.6422786510316127</v>
      </c>
      <c r="DA54" s="175" t="s">
        <v>668</v>
      </c>
    </row>
    <row r="55" spans="1:105" ht="11.45" customHeight="1" x14ac:dyDescent="0.25">
      <c r="A55" s="128" t="s">
        <v>116</v>
      </c>
      <c r="B55" s="97">
        <v>15.939609784066375</v>
      </c>
      <c r="C55" s="97">
        <v>20.351552086957064</v>
      </c>
      <c r="D55" s="97">
        <v>23.05944511612892</v>
      </c>
      <c r="E55" s="97">
        <v>19.766668362315002</v>
      </c>
      <c r="F55" s="97">
        <v>23.838000933471278</v>
      </c>
      <c r="G55" s="97">
        <v>25.2158565819133</v>
      </c>
      <c r="H55" s="97">
        <v>26.929172207018759</v>
      </c>
      <c r="I55" s="97">
        <v>31.539564534104734</v>
      </c>
      <c r="J55" s="97">
        <v>30.374302965966951</v>
      </c>
      <c r="K55" s="97">
        <v>23.062681052211445</v>
      </c>
      <c r="L55" s="97">
        <v>28.532906617085704</v>
      </c>
      <c r="M55" s="97">
        <v>33.938672973807009</v>
      </c>
      <c r="N55" s="97">
        <v>34.575022298180762</v>
      </c>
      <c r="O55" s="97">
        <v>35.201604678018846</v>
      </c>
      <c r="P55" s="97">
        <v>34.472451876682136</v>
      </c>
      <c r="Q55" s="97">
        <v>37.452677148644028</v>
      </c>
      <c r="R55" s="97">
        <v>32.664409889687036</v>
      </c>
      <c r="S55" s="97">
        <v>30.586150571704568</v>
      </c>
      <c r="T55" s="97">
        <v>30.785447583213177</v>
      </c>
      <c r="U55" s="97">
        <v>29.011442567773276</v>
      </c>
      <c r="V55" s="97">
        <v>31.657431552824459</v>
      </c>
      <c r="W55" s="97">
        <v>33.256311901083684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1.1132240684827256E-2</v>
      </c>
      <c r="H56" s="98">
        <v>7.881304343479556E-2</v>
      </c>
      <c r="I56" s="98">
        <v>3.9735953972478914E-2</v>
      </c>
      <c r="J56" s="98">
        <v>0.22130779485383678</v>
      </c>
      <c r="K56" s="98">
        <v>0.1092525911170503</v>
      </c>
      <c r="L56" s="98">
        <v>0.2373404850845435</v>
      </c>
      <c r="M56" s="98">
        <v>5.2102043653015746E-2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9.3081318649144443E-2</v>
      </c>
      <c r="T56" s="98">
        <v>0.75489547658372225</v>
      </c>
      <c r="U56" s="98">
        <v>1.1462554487496392</v>
      </c>
      <c r="V56" s="98">
        <v>2.0144668624437108</v>
      </c>
      <c r="W56" s="98">
        <v>2.4028660859052531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12.112117471228542</v>
      </c>
      <c r="C60" s="79">
        <f>IF(C17=0,0,C17/TrRoad_act!C30*100)</f>
        <v>12.503172832944195</v>
      </c>
      <c r="D60" s="79">
        <f>IF(D17=0,0,D17/TrRoad_act!D30*100)</f>
        <v>13.463587035663451</v>
      </c>
      <c r="E60" s="79">
        <f>IF(E17=0,0,E17/TrRoad_act!E30*100)</f>
        <v>12.76452009683843</v>
      </c>
      <c r="F60" s="79">
        <f>IF(F17=0,0,F17/TrRoad_act!F30*100)</f>
        <v>12.871277642049902</v>
      </c>
      <c r="G60" s="79">
        <f>IF(G17=0,0,G17/TrRoad_act!G30*100)</f>
        <v>12.686157101963058</v>
      </c>
      <c r="H60" s="79">
        <f>IF(H17=0,0,H17/TrRoad_act!H30*100)</f>
        <v>12.211315781701741</v>
      </c>
      <c r="I60" s="79">
        <f>IF(I17=0,0,I17/TrRoad_act!I30*100)</f>
        <v>11.769246861239873</v>
      </c>
      <c r="J60" s="79">
        <f>IF(J17=0,0,J17/TrRoad_act!J30*100)</f>
        <v>11.365719048036505</v>
      </c>
      <c r="K60" s="79">
        <f>IF(K17=0,0,K17/TrRoad_act!K30*100)</f>
        <v>10.257600487842385</v>
      </c>
      <c r="L60" s="79">
        <f>IF(L17=0,0,L17/TrRoad_act!L30*100)</f>
        <v>10.792458695596521</v>
      </c>
      <c r="M60" s="79">
        <f>IF(M17=0,0,M17/TrRoad_act!M30*100)</f>
        <v>10.872334480381834</v>
      </c>
      <c r="N60" s="79">
        <f>IF(N17=0,0,N17/TrRoad_act!N30*100)</f>
        <v>10.640132431500875</v>
      </c>
      <c r="O60" s="79">
        <f>IF(O17=0,0,O17/TrRoad_act!O30*100)</f>
        <v>10.168534568097817</v>
      </c>
      <c r="P60" s="79">
        <f>IF(P17=0,0,P17/TrRoad_act!P30*100)</f>
        <v>9.939652294689914</v>
      </c>
      <c r="Q60" s="79">
        <f>IF(Q17=0,0,Q17/TrRoad_act!Q30*100)</f>
        <v>9.4876377145227959</v>
      </c>
      <c r="R60" s="79">
        <f>IF(R17=0,0,R17/TrRoad_act!R30*100)</f>
        <v>9.1251907731902229</v>
      </c>
      <c r="S60" s="79">
        <f>IF(S17=0,0,S17/TrRoad_act!S30*100)</f>
        <v>8.9222261905398135</v>
      </c>
      <c r="T60" s="79">
        <f>IF(T17=0,0,T17/TrRoad_act!T30*100)</f>
        <v>8.6331462338726155</v>
      </c>
      <c r="U60" s="79">
        <f>IF(U17=0,0,U17/TrRoad_act!U30*100)</f>
        <v>8.3585501366755963</v>
      </c>
      <c r="V60" s="79">
        <f>IF(V17=0,0,V17/TrRoad_act!V30*100)</f>
        <v>8.0749359508929661</v>
      </c>
      <c r="W60" s="79">
        <f>IF(W17=0,0,W17/TrRoad_act!W30*100)</f>
        <v>8.2583450477236742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11.543990789715004</v>
      </c>
      <c r="C61" s="32">
        <f>IF(C18=0,0,C18/TrRoad_act!C31*100)</f>
        <v>11.613424415340983</v>
      </c>
      <c r="D61" s="32">
        <f>IF(D18=0,0,D18/TrRoad_act!D31*100)</f>
        <v>12.154802586043013</v>
      </c>
      <c r="E61" s="32">
        <f>IF(E18=0,0,E18/TrRoad_act!E31*100)</f>
        <v>11.512988953388438</v>
      </c>
      <c r="F61" s="32">
        <f>IF(F18=0,0,F18/TrRoad_act!F31*100)</f>
        <v>11.442207884501839</v>
      </c>
      <c r="G61" s="32">
        <f>IF(G18=0,0,G18/TrRoad_act!G31*100)</f>
        <v>11.225413082346151</v>
      </c>
      <c r="H61" s="32">
        <f>IF(H18=0,0,H18/TrRoad_act!H31*100)</f>
        <v>10.7925697596168</v>
      </c>
      <c r="I61" s="32">
        <f>IF(I18=0,0,I18/TrRoad_act!I31*100)</f>
        <v>10.190725587316107</v>
      </c>
      <c r="J61" s="32">
        <f>IF(J18=0,0,J18/TrRoad_act!J31*100)</f>
        <v>9.7819225571712867</v>
      </c>
      <c r="K61" s="32">
        <f>IF(K18=0,0,K18/TrRoad_act!K31*100)</f>
        <v>9.1181700445413938</v>
      </c>
      <c r="L61" s="32">
        <f>IF(L18=0,0,L18/TrRoad_act!L31*100)</f>
        <v>9.3602357600516566</v>
      </c>
      <c r="M61" s="32">
        <f>IF(M18=0,0,M18/TrRoad_act!M31*100)</f>
        <v>9.2632514580598002</v>
      </c>
      <c r="N61" s="32">
        <f>IF(N18=0,0,N18/TrRoad_act!N31*100)</f>
        <v>9.1032113163199391</v>
      </c>
      <c r="O61" s="32">
        <f>IF(O18=0,0,O18/TrRoad_act!O31*100)</f>
        <v>8.8166855524280567</v>
      </c>
      <c r="P61" s="32">
        <f>IF(P18=0,0,P18/TrRoad_act!P31*100)</f>
        <v>8.7197461370331855</v>
      </c>
      <c r="Q61" s="32">
        <f>IF(Q18=0,0,Q18/TrRoad_act!Q31*100)</f>
        <v>8.4242363161543743</v>
      </c>
      <c r="R61" s="32">
        <f>IF(R18=0,0,R18/TrRoad_act!R31*100)</f>
        <v>8.2489312623776012</v>
      </c>
      <c r="S61" s="32">
        <f>IF(S18=0,0,S18/TrRoad_act!S31*100)</f>
        <v>8.2120380655517788</v>
      </c>
      <c r="T61" s="32">
        <f>IF(T18=0,0,T18/TrRoad_act!T31*100)</f>
        <v>7.9427039468375229</v>
      </c>
      <c r="U61" s="32">
        <f>IF(U18=0,0,U18/TrRoad_act!U31*100)</f>
        <v>7.7065228662232368</v>
      </c>
      <c r="V61" s="32">
        <f>IF(V18=0,0,V18/TrRoad_act!V31*100)</f>
        <v>7.4761079289012047</v>
      </c>
      <c r="W61" s="32">
        <f>IF(W18=0,0,W18/TrRoad_act!W31*100)</f>
        <v>7.4564790723568173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5.3560001703422602</v>
      </c>
      <c r="C62" s="141">
        <f>IF(C19=0,0,C19/TrRoad_act!C32*100)</f>
        <v>5.337618600310031</v>
      </c>
      <c r="D62" s="141">
        <f>IF(D19=0,0,D19/TrRoad_act!D32*100)</f>
        <v>5.2872116746219087</v>
      </c>
      <c r="E62" s="141">
        <f>IF(E19=0,0,E19/TrRoad_act!E32*100)</f>
        <v>5.2199731866205887</v>
      </c>
      <c r="F62" s="141">
        <f>IF(F19=0,0,F19/TrRoad_act!F32*100)</f>
        <v>5.1574492022718221</v>
      </c>
      <c r="G62" s="141">
        <f>IF(G19=0,0,G19/TrRoad_act!G32*100)</f>
        <v>5.0981963714421852</v>
      </c>
      <c r="H62" s="141">
        <f>IF(H19=0,0,H19/TrRoad_act!H32*100)</f>
        <v>5.0045504541205288</v>
      </c>
      <c r="I62" s="141">
        <f>IF(I19=0,0,I19/TrRoad_act!I32*100)</f>
        <v>4.9388651699858244</v>
      </c>
      <c r="J62" s="141">
        <f>IF(J19=0,0,J19/TrRoad_act!J32*100)</f>
        <v>4.8469446595911387</v>
      </c>
      <c r="K62" s="141">
        <f>IF(K19=0,0,K19/TrRoad_act!K32*100)</f>
        <v>4.7990429912562025</v>
      </c>
      <c r="L62" s="141">
        <f>IF(L19=0,0,L19/TrRoad_act!L32*100)</f>
        <v>4.7446141864684153</v>
      </c>
      <c r="M62" s="141">
        <f>IF(M19=0,0,M19/TrRoad_act!M32*100)</f>
        <v>4.6177168537360105</v>
      </c>
      <c r="N62" s="141">
        <f>IF(N19=0,0,N19/TrRoad_act!N32*100)</f>
        <v>4.3882179206224912</v>
      </c>
      <c r="O62" s="141">
        <f>IF(O19=0,0,O19/TrRoad_act!O32*100)</f>
        <v>4.3256286886462929</v>
      </c>
      <c r="P62" s="141">
        <f>IF(P19=0,0,P19/TrRoad_act!P32*100)</f>
        <v>4.2589347769097587</v>
      </c>
      <c r="Q62" s="141">
        <f>IF(Q19=0,0,Q19/TrRoad_act!Q32*100)</f>
        <v>4.2118090598980471</v>
      </c>
      <c r="R62" s="141">
        <f>IF(R19=0,0,R19/TrRoad_act!R32*100)</f>
        <v>4.1510270402683593</v>
      </c>
      <c r="S62" s="141">
        <f>IF(S19=0,0,S19/TrRoad_act!S32*100)</f>
        <v>4.0988558282722281</v>
      </c>
      <c r="T62" s="141">
        <f>IF(T19=0,0,T19/TrRoad_act!T32*100)</f>
        <v>4.0671099766643852</v>
      </c>
      <c r="U62" s="141">
        <f>IF(U19=0,0,U19/TrRoad_act!U32*100)</f>
        <v>4.0399688746848152</v>
      </c>
      <c r="V62" s="141">
        <f>IF(V19=0,0,V19/TrRoad_act!V32*100)</f>
        <v>4.0086669803932402</v>
      </c>
      <c r="W62" s="141">
        <f>IF(W19=0,0,W19/TrRoad_act!W32*100)</f>
        <v>3.7219486522635985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9.4244555516651261</v>
      </c>
      <c r="C63" s="130">
        <f>IF(C21=0,0,C21/TrRoad_act!C33*100)</f>
        <v>9.4744947286814689</v>
      </c>
      <c r="D63" s="130">
        <f>IF(D21=0,0,D21/TrRoad_act!D33*100)</f>
        <v>9.6051798523655663</v>
      </c>
      <c r="E63" s="130">
        <f>IF(E21=0,0,E21/TrRoad_act!E33*100)</f>
        <v>9.3528775924308594</v>
      </c>
      <c r="F63" s="130">
        <f>IF(F21=0,0,F21/TrRoad_act!F33*100)</f>
        <v>9.2566611445018339</v>
      </c>
      <c r="G63" s="130">
        <f>IF(G21=0,0,G21/TrRoad_act!G33*100)</f>
        <v>9.1082051804958724</v>
      </c>
      <c r="H63" s="130">
        <f>IF(H21=0,0,H21/TrRoad_act!H33*100)</f>
        <v>8.9113332604234152</v>
      </c>
      <c r="I63" s="130">
        <f>IF(I21=0,0,I21/TrRoad_act!I33*100)</f>
        <v>8.7400025130860612</v>
      </c>
      <c r="J63" s="130">
        <f>IF(J21=0,0,J21/TrRoad_act!J33*100)</f>
        <v>8.4793342168752606</v>
      </c>
      <c r="K63" s="130">
        <f>IF(K21=0,0,K21/TrRoad_act!K33*100)</f>
        <v>8.0016417454696107</v>
      </c>
      <c r="L63" s="130">
        <f>IF(L21=0,0,L21/TrRoad_act!L33*100)</f>
        <v>8.1171617216375633</v>
      </c>
      <c r="M63" s="130">
        <f>IF(M21=0,0,M21/TrRoad_act!M33*100)</f>
        <v>8.0402512726016457</v>
      </c>
      <c r="N63" s="130">
        <f>IF(N21=0,0,N21/TrRoad_act!N33*100)</f>
        <v>7.9229033314675856</v>
      </c>
      <c r="O63" s="130">
        <f>IF(O21=0,0,O21/TrRoad_act!O33*100)</f>
        <v>7.6685793471480679</v>
      </c>
      <c r="P63" s="130">
        <f>IF(P21=0,0,P21/TrRoad_act!P33*100)</f>
        <v>7.5614219902269202</v>
      </c>
      <c r="Q63" s="130">
        <f>IF(Q21=0,0,Q21/TrRoad_act!Q33*100)</f>
        <v>7.3305720133456136</v>
      </c>
      <c r="R63" s="130">
        <f>IF(R21=0,0,R21/TrRoad_act!R33*100)</f>
        <v>7.103631895163752</v>
      </c>
      <c r="S63" s="130">
        <f>IF(S21=0,0,S21/TrRoad_act!S33*100)</f>
        <v>6.9771306070708263</v>
      </c>
      <c r="T63" s="130">
        <f>IF(T21=0,0,T21/TrRoad_act!T33*100)</f>
        <v>6.7727059611452045</v>
      </c>
      <c r="U63" s="130">
        <f>IF(U21=0,0,U21/TrRoad_act!U33*100)</f>
        <v>6.6532268522707865</v>
      </c>
      <c r="V63" s="130">
        <f>IF(V21=0,0,V21/TrRoad_act!V33*100)</f>
        <v>6.4218695820857121</v>
      </c>
      <c r="W63" s="130">
        <f>IF(W21=0,0,W21/TrRoad_act!W33*100)</f>
        <v>6.3415376263029994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9.5488736967174059</v>
      </c>
      <c r="C64" s="96">
        <f>IF(C22=0,0,C22/TrRoad_act!C34*100)</f>
        <v>9.3995167077875426</v>
      </c>
      <c r="D64" s="96">
        <f>IF(D22=0,0,D22/TrRoad_act!D34*100)</f>
        <v>9.3121599110982238</v>
      </c>
      <c r="E64" s="96">
        <f>IF(E22=0,0,E22/TrRoad_act!E34*100)</f>
        <v>9.1974980419297072</v>
      </c>
      <c r="F64" s="96">
        <f>IF(F22=0,0,F22/TrRoad_act!F34*100)</f>
        <v>9.0984004970615242</v>
      </c>
      <c r="G64" s="96">
        <f>IF(G22=0,0,G22/TrRoad_act!G34*100)</f>
        <v>9.0136411313143032</v>
      </c>
      <c r="H64" s="96">
        <f>IF(H22=0,0,H22/TrRoad_act!H34*100)</f>
        <v>8.9096757740263222</v>
      </c>
      <c r="I64" s="96">
        <f>IF(I22=0,0,I22/TrRoad_act!I34*100)</f>
        <v>8.7977727415860194</v>
      </c>
      <c r="J64" s="96">
        <f>IF(J22=0,0,J22/TrRoad_act!J34*100)</f>
        <v>8.6947487566635466</v>
      </c>
      <c r="K64" s="96">
        <f>IF(K22=0,0,K22/TrRoad_act!K34*100)</f>
        <v>8.3801966351837365</v>
      </c>
      <c r="L64" s="96">
        <f>IF(L22=0,0,L22/TrRoad_act!L34*100)</f>
        <v>8.3360761264837677</v>
      </c>
      <c r="M64" s="96">
        <f>IF(M22=0,0,M22/TrRoad_act!M34*100)</f>
        <v>8.2379008734561605</v>
      </c>
      <c r="N64" s="96">
        <f>IF(N22=0,0,N22/TrRoad_act!N34*100)</f>
        <v>8.1277560759390219</v>
      </c>
      <c r="O64" s="96">
        <f>IF(O22=0,0,O22/TrRoad_act!O34*100)</f>
        <v>8.0033933350438833</v>
      </c>
      <c r="P64" s="96">
        <f>IF(P22=0,0,P22/TrRoad_act!P34*100)</f>
        <v>7.9115264051523377</v>
      </c>
      <c r="Q64" s="96">
        <f>IF(Q22=0,0,Q22/TrRoad_act!Q34*100)</f>
        <v>7.7506136941091945</v>
      </c>
      <c r="R64" s="96">
        <f>IF(R22=0,0,R22/TrRoad_act!R34*100)</f>
        <v>7.5883835423169632</v>
      </c>
      <c r="S64" s="96">
        <f>IF(S22=0,0,S22/TrRoad_act!S34*100)</f>
        <v>7.3866376596816758</v>
      </c>
      <c r="T64" s="96">
        <f>IF(T22=0,0,T22/TrRoad_act!T34*100)</f>
        <v>7.1170686364761027</v>
      </c>
      <c r="U64" s="96">
        <f>IF(U22=0,0,U22/TrRoad_act!U34*100)</f>
        <v>6.9776053775739726</v>
      </c>
      <c r="V64" s="96">
        <f>IF(V22=0,0,V22/TrRoad_act!V34*100)</f>
        <v>6.7963126095251667</v>
      </c>
      <c r="W64" s="96">
        <f>IF(W22=0,0,W22/TrRoad_act!W34*100)</f>
        <v>6.6111796537756531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7.9253275568834542</v>
      </c>
      <c r="C65" s="96">
        <f>IF(C24=0,0,C24/TrRoad_act!C35*100)</f>
        <v>10.263203216515427</v>
      </c>
      <c r="D65" s="96">
        <f>IF(D24=0,0,D24/TrRoad_act!D35*100)</f>
        <v>12.113509237401431</v>
      </c>
      <c r="E65" s="96">
        <f>IF(E24=0,0,E24/TrRoad_act!E35*100)</f>
        <v>10.260706249048896</v>
      </c>
      <c r="F65" s="96">
        <f>IF(F24=0,0,F24/TrRoad_act!F35*100)</f>
        <v>9.8812393757214618</v>
      </c>
      <c r="G65" s="96">
        <f>IF(G24=0,0,G24/TrRoad_act!G35*100)</f>
        <v>9.4104883334249578</v>
      </c>
      <c r="H65" s="96">
        <f>IF(H24=0,0,H24/TrRoad_act!H35*100)</f>
        <v>8.9174429428763755</v>
      </c>
      <c r="I65" s="96">
        <f>IF(I24=0,0,I24/TrRoad_act!I35*100)</f>
        <v>8.6172914126442421</v>
      </c>
      <c r="J65" s="96">
        <f>IF(J24=0,0,J24/TrRoad_act!J35*100)</f>
        <v>7.9821755496944409</v>
      </c>
      <c r="K65" s="96">
        <f>IF(K24=0,0,K24/TrRoad_act!K35*100)</f>
        <v>7.3112230480061173</v>
      </c>
      <c r="L65" s="96">
        <f>IF(L24=0,0,L24/TrRoad_act!L35*100)</f>
        <v>7.7493094272594529</v>
      </c>
      <c r="M65" s="96">
        <f>IF(M24=0,0,M24/TrRoad_act!M35*100)</f>
        <v>7.7679168967541203</v>
      </c>
      <c r="N65" s="96">
        <f>IF(N24=0,0,N24/TrRoad_act!N35*100)</f>
        <v>7.7009555555133034</v>
      </c>
      <c r="O65" s="96">
        <f>IF(O24=0,0,O24/TrRoad_act!O35*100)</f>
        <v>7.338717130569214</v>
      </c>
      <c r="P65" s="96">
        <f>IF(P24=0,0,P24/TrRoad_act!P35*100)</f>
        <v>7.2221592007010118</v>
      </c>
      <c r="Q65" s="96">
        <f>IF(Q24=0,0,Q24/TrRoad_act!Q35*100)</f>
        <v>6.9564855674288495</v>
      </c>
      <c r="R65" s="96">
        <f>IF(R24=0,0,R24/TrRoad_act!R35*100)</f>
        <v>6.6629255007960397</v>
      </c>
      <c r="S65" s="96">
        <f>IF(S24=0,0,S24/TrRoad_act!S35*100)</f>
        <v>6.5811131919460433</v>
      </c>
      <c r="T65" s="96">
        <f>IF(T24=0,0,T24/TrRoad_act!T35*100)</f>
        <v>6.433106038005727</v>
      </c>
      <c r="U65" s="96">
        <f>IF(U24=0,0,U24/TrRoad_act!U35*100)</f>
        <v>6.3467196388292946</v>
      </c>
      <c r="V65" s="96">
        <f>IF(V24=0,0,V24/TrRoad_act!V35*100)</f>
        <v>6.2040590299079232</v>
      </c>
      <c r="W65" s="96">
        <f>IF(W24=0,0,W24/TrRoad_act!W35*100)</f>
        <v>6.2468127340775688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10.355522518776315</v>
      </c>
      <c r="C66" s="96">
        <f>IF(C26=0,0,C26/TrRoad_act!C36*100)</f>
        <v>8.608476485108401</v>
      </c>
      <c r="D66" s="96">
        <f>IF(D26=0,0,D26/TrRoad_act!D36*100)</f>
        <v>8.9989986375547524</v>
      </c>
      <c r="E66" s="96">
        <f>IF(E26=0,0,E26/TrRoad_act!E36*100)</f>
        <v>9.1145793627508294</v>
      </c>
      <c r="F66" s="96">
        <f>IF(F26=0,0,F26/TrRoad_act!F36*100)</f>
        <v>10.308524296700256</v>
      </c>
      <c r="G66" s="96">
        <f>IF(G26=0,0,G26/TrRoad_act!G36*100)</f>
        <v>9.6921533490955039</v>
      </c>
      <c r="H66" s="96">
        <f>IF(H26=0,0,H26/TrRoad_act!H36*100)</f>
        <v>8.8076959088991664</v>
      </c>
      <c r="I66" s="96">
        <f>IF(I26=0,0,I26/TrRoad_act!I36*100)</f>
        <v>8.2645126874789181</v>
      </c>
      <c r="J66" s="96">
        <f>IF(J26=0,0,J26/TrRoad_act!J36*100)</f>
        <v>10.266811716271954</v>
      </c>
      <c r="K66" s="96">
        <f>IF(K26=0,0,K26/TrRoad_act!K36*100)</f>
        <v>9.4837730052372837</v>
      </c>
      <c r="L66" s="96">
        <f>IF(L26=0,0,L26/TrRoad_act!L36*100)</f>
        <v>8.9162759270213634</v>
      </c>
      <c r="M66" s="96">
        <f>IF(M26=0,0,M26/TrRoad_act!M36*100)</f>
        <v>8.6317369344460388</v>
      </c>
      <c r="N66" s="96">
        <f>IF(N26=0,0,N26/TrRoad_act!N36*100)</f>
        <v>8.4672179930365861</v>
      </c>
      <c r="O66" s="96">
        <f>IF(O26=0,0,O26/TrRoad_act!O36*100)</f>
        <v>8.6537584665694478</v>
      </c>
      <c r="P66" s="96">
        <f>IF(P26=0,0,P26/TrRoad_act!P36*100)</f>
        <v>8.9217294669378635</v>
      </c>
      <c r="Q66" s="96">
        <f>IF(Q26=0,0,Q26/TrRoad_act!Q36*100)</f>
        <v>9.6689835361334797</v>
      </c>
      <c r="R66" s="96">
        <f>IF(R26=0,0,R26/TrRoad_act!R36*100)</f>
        <v>8.9352651476630225</v>
      </c>
      <c r="S66" s="96">
        <f>IF(S26=0,0,S26/TrRoad_act!S36*100)</f>
        <v>8.7526926101693316</v>
      </c>
      <c r="T66" s="96">
        <f>IF(T26=0,0,T26/TrRoad_act!T36*100)</f>
        <v>8.4516310009501314</v>
      </c>
      <c r="U66" s="96">
        <f>IF(U26=0,0,U26/TrRoad_act!U36*100)</f>
        <v>8.4776906690486289</v>
      </c>
      <c r="V66" s="96">
        <f>IF(V26=0,0,V26/TrRoad_act!V36*100)</f>
        <v>7.8006537767397477</v>
      </c>
      <c r="W66" s="96">
        <f>IF(W26=0,0,W26/TrRoad_act!W36*100)</f>
        <v>7.8216911603732324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8.1092149590074776</v>
      </c>
      <c r="M67" s="96">
        <f>IF(M27=0,0,M27/TrRoad_act!M37*100)</f>
        <v>8.4011466728935815</v>
      </c>
      <c r="N67" s="96">
        <f>IF(N27=0,0,N27/TrRoad_act!N37*100)</f>
        <v>8.534057678938197</v>
      </c>
      <c r="O67" s="96">
        <f>IF(O27=0,0,O27/TrRoad_act!O37*100)</f>
        <v>8.4749291247652714</v>
      </c>
      <c r="P67" s="96">
        <f>IF(P27=0,0,P27/TrRoad_act!P37*100)</f>
        <v>8.4081985756427287</v>
      </c>
      <c r="Q67" s="96">
        <f>IF(Q27=0,0,Q27/TrRoad_act!Q37*100)</f>
        <v>7.6883855076639751</v>
      </c>
      <c r="R67" s="96">
        <f>IF(R27=0,0,R27/TrRoad_act!R37*100)</f>
        <v>6.5328941537103722</v>
      </c>
      <c r="S67" s="96">
        <f>IF(S27=0,0,S27/TrRoad_act!S37*100)</f>
        <v>6.7116749270260776</v>
      </c>
      <c r="T67" s="96">
        <f>IF(T27=0,0,T27/TrRoad_act!T37*100)</f>
        <v>6.5630161054249543</v>
      </c>
      <c r="U67" s="96">
        <f>IF(U27=0,0,U27/TrRoad_act!U37*100)</f>
        <v>5.6842181941160455</v>
      </c>
      <c r="V67" s="96">
        <f>IF(V27=0,0,V27/TrRoad_act!V37*100)</f>
        <v>5.4133590118776747</v>
      </c>
      <c r="W67" s="96">
        <f>IF(W27=0,0,W27/TrRoad_act!W37*100)</f>
        <v>5.2722095811378189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0</v>
      </c>
      <c r="P68" s="96">
        <f>IF(P29=0,0,P29/TrRoad_act!P38*100)</f>
        <v>3.2151412073781098</v>
      </c>
      <c r="Q68" s="96">
        <f>IF(Q29=0,0,Q29/TrRoad_act!Q38*100)</f>
        <v>3.5453456520378084</v>
      </c>
      <c r="R68" s="96">
        <f>IF(R29=0,0,R29/TrRoad_act!R38*100)</f>
        <v>3.6216562950677553</v>
      </c>
      <c r="S68" s="96">
        <f>IF(S29=0,0,S29/TrRoad_act!S38*100)</f>
        <v>3.4360831985419766</v>
      </c>
      <c r="T68" s="96">
        <f>IF(T29=0,0,T29/TrRoad_act!T38*100)</f>
        <v>3.5550051831968315</v>
      </c>
      <c r="U68" s="96">
        <f>IF(U29=0,0,U29/TrRoad_act!U38*100)</f>
        <v>3.6218103466293119</v>
      </c>
      <c r="V68" s="96">
        <f>IF(V29=0,0,V29/TrRoad_act!V38*100)</f>
        <v>3.7942266808141714</v>
      </c>
      <c r="W68" s="96">
        <f>IF(W29=0,0,W29/TrRoad_act!W38*100)</f>
        <v>3.4641260680526589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1.4302991641346736</v>
      </c>
      <c r="K69" s="96">
        <f>IF(K32=0,0,K32/TrRoad_act!K39*100)</f>
        <v>1.4302991641346736</v>
      </c>
      <c r="L69" s="96">
        <f>IF(L32=0,0,L32/TrRoad_act!L39*100)</f>
        <v>1.4241909781526512</v>
      </c>
      <c r="M69" s="96">
        <f>IF(M32=0,0,M32/TrRoad_act!M39*100)</f>
        <v>1.4249864244079591</v>
      </c>
      <c r="N69" s="96">
        <f>IF(N32=0,0,N32/TrRoad_act!N39*100)</f>
        <v>1.3305514405422798</v>
      </c>
      <c r="O69" s="96">
        <f>IF(O32=0,0,O32/TrRoad_act!O39*100)</f>
        <v>1.3387908171744309</v>
      </c>
      <c r="P69" s="96">
        <f>IF(P32=0,0,P32/TrRoad_act!P39*100)</f>
        <v>1.3859316160180835</v>
      </c>
      <c r="Q69" s="96">
        <f>IF(Q32=0,0,Q32/TrRoad_act!Q39*100)</f>
        <v>1.3872516301109541</v>
      </c>
      <c r="R69" s="96">
        <f>IF(R32=0,0,R32/TrRoad_act!R39*100)</f>
        <v>1.3962583697979203</v>
      </c>
      <c r="S69" s="96">
        <f>IF(S32=0,0,S32/TrRoad_act!S39*100)</f>
        <v>1.4000527425427329</v>
      </c>
      <c r="T69" s="96">
        <f>IF(T32=0,0,T32/TrRoad_act!T39*100)</f>
        <v>1.4477308267686004</v>
      </c>
      <c r="U69" s="96">
        <f>IF(U32=0,0,U32/TrRoad_act!U39*100)</f>
        <v>1.5188716189721152</v>
      </c>
      <c r="V69" s="96">
        <f>IF(V32=0,0,V32/TrRoad_act!V39*100)</f>
        <v>1.5644019998046741</v>
      </c>
      <c r="W69" s="96">
        <f>IF(W32=0,0,W32/TrRoad_act!W39*100)</f>
        <v>1.6045923789714804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45.482264231792094</v>
      </c>
      <c r="C70" s="130">
        <f>IF(C33=0,0,C33/TrRoad_act!C40*100)</f>
        <v>55.788086219294577</v>
      </c>
      <c r="D70" s="130">
        <f>IF(D33=0,0,D33/TrRoad_act!D40*100)</f>
        <v>62.758002385440925</v>
      </c>
      <c r="E70" s="130">
        <f>IF(E33=0,0,E33/TrRoad_act!E40*100)</f>
        <v>54.933824782580572</v>
      </c>
      <c r="F70" s="130">
        <f>IF(F33=0,0,F33/TrRoad_act!F40*100)</f>
        <v>56.653216773380386</v>
      </c>
      <c r="G70" s="130">
        <f>IF(G33=0,0,G33/TrRoad_act!G40*100)</f>
        <v>58.171796526843281</v>
      </c>
      <c r="H70" s="130">
        <f>IF(H33=0,0,H33/TrRoad_act!H40*100)</f>
        <v>57.297830476838129</v>
      </c>
      <c r="I70" s="130">
        <f>IF(I33=0,0,I33/TrRoad_act!I40*100)</f>
        <v>59.529309393975041</v>
      </c>
      <c r="J70" s="130">
        <f>IF(J33=0,0,J33/TrRoad_act!J40*100)</f>
        <v>58.426570515995145</v>
      </c>
      <c r="K70" s="130">
        <f>IF(K33=0,0,K33/TrRoad_act!K40*100)</f>
        <v>54.567691830979179</v>
      </c>
      <c r="L70" s="130">
        <f>IF(L33=0,0,L33/TrRoad_act!L40*100)</f>
        <v>60.075577259564653</v>
      </c>
      <c r="M70" s="130">
        <f>IF(M33=0,0,M33/TrRoad_act!M40*100)</f>
        <v>60.757922869280044</v>
      </c>
      <c r="N70" s="130">
        <f>IF(N33=0,0,N33/TrRoad_act!N40*100)</f>
        <v>60.548602324989133</v>
      </c>
      <c r="O70" s="130">
        <f>IF(O33=0,0,O33/TrRoad_act!O40*100)</f>
        <v>56.835254915870905</v>
      </c>
      <c r="P70" s="130">
        <f>IF(P33=0,0,P33/TrRoad_act!P40*100)</f>
        <v>56.585425540768</v>
      </c>
      <c r="Q70" s="130">
        <f>IF(Q33=0,0,Q33/TrRoad_act!Q40*100)</f>
        <v>54.762736380975433</v>
      </c>
      <c r="R70" s="130">
        <f>IF(R33=0,0,R33/TrRoad_act!R40*100)</f>
        <v>51.889581644443382</v>
      </c>
      <c r="S70" s="130">
        <f>IF(S33=0,0,S33/TrRoad_act!S40*100)</f>
        <v>51.12561981835335</v>
      </c>
      <c r="T70" s="130">
        <f>IF(T33=0,0,T33/TrRoad_act!T40*100)</f>
        <v>52.025149754013242</v>
      </c>
      <c r="U70" s="130">
        <f>IF(U33=0,0,U33/TrRoad_act!U40*100)</f>
        <v>51.299011290753512</v>
      </c>
      <c r="V70" s="130">
        <f>IF(V33=0,0,V33/TrRoad_act!V40*100)</f>
        <v>50.784936162866536</v>
      </c>
      <c r="W70" s="130">
        <f>IF(W33=0,0,W33/TrRoad_act!W40*100)</f>
        <v>51.602719241642234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21.352905054436196</v>
      </c>
      <c r="C71" s="97">
        <f>IF(C34=0,0,C34/TrRoad_act!C41*100)</f>
        <v>21.352905054436199</v>
      </c>
      <c r="D71" s="97">
        <f>IF(D34=0,0,D34/TrRoad_act!D41*100)</f>
        <v>21.352905054436203</v>
      </c>
      <c r="E71" s="97">
        <f>IF(E34=0,0,E34/TrRoad_act!E41*100)</f>
        <v>21.352905054436196</v>
      </c>
      <c r="F71" s="97">
        <f>IF(F34=0,0,F34/TrRoad_act!F41*100)</f>
        <v>21.352905054436206</v>
      </c>
      <c r="G71" s="97">
        <f>IF(G34=0,0,G34/TrRoad_act!G41*100)</f>
        <v>21.352905054436196</v>
      </c>
      <c r="H71" s="97">
        <f>IF(H34=0,0,H34/TrRoad_act!H41*100)</f>
        <v>21.352905054436203</v>
      </c>
      <c r="I71" s="97">
        <f>IF(I34=0,0,I34/TrRoad_act!I41*100)</f>
        <v>21.352905054436196</v>
      </c>
      <c r="J71" s="97">
        <f>IF(J34=0,0,J34/TrRoad_act!J41*100)</f>
        <v>21.352905054436199</v>
      </c>
      <c r="K71" s="97">
        <f>IF(K34=0,0,K34/TrRoad_act!K41*100)</f>
        <v>21.352905054436196</v>
      </c>
      <c r="L71" s="97">
        <f>IF(L34=0,0,L34/TrRoad_act!L41*100)</f>
        <v>21.352905054436199</v>
      </c>
      <c r="M71" s="97">
        <f>IF(M34=0,0,M34/TrRoad_act!M41*100)</f>
        <v>21.352905054436196</v>
      </c>
      <c r="N71" s="97">
        <f>IF(N34=0,0,N34/TrRoad_act!N41*100)</f>
        <v>21.352905054436199</v>
      </c>
      <c r="O71" s="97">
        <f>IF(O34=0,0,O34/TrRoad_act!O41*100)</f>
        <v>21.352905054436199</v>
      </c>
      <c r="P71" s="97">
        <f>IF(P34=0,0,P34/TrRoad_act!P41*100)</f>
        <v>21.352905054436199</v>
      </c>
      <c r="Q71" s="97">
        <f>IF(Q34=0,0,Q34/TrRoad_act!Q41*100)</f>
        <v>21.352905054436203</v>
      </c>
      <c r="R71" s="97">
        <f>IF(R34=0,0,R34/TrRoad_act!R41*100)</f>
        <v>21.352905054436196</v>
      </c>
      <c r="S71" s="97">
        <f>IF(S34=0,0,S34/TrRoad_act!S41*100)</f>
        <v>21.273822365744351</v>
      </c>
      <c r="T71" s="97">
        <f>IF(T34=0,0,T34/TrRoad_act!T41*100)</f>
        <v>21.273822365744348</v>
      </c>
      <c r="U71" s="97">
        <f>IF(U34=0,0,U34/TrRoad_act!U41*100)</f>
        <v>20.693355145832783</v>
      </c>
      <c r="V71" s="97">
        <f>IF(V34=0,0,V34/TrRoad_act!V41*100)</f>
        <v>20.679549670773305</v>
      </c>
      <c r="W71" s="97">
        <f>IF(W34=0,0,W34/TrRoad_act!W41*100)</f>
        <v>20.585423950283303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54.659255930668252</v>
      </c>
      <c r="C72" s="97">
        <f>IF(C36=0,0,C36/TrRoad_act!C42*100)</f>
        <v>67.18357542863545</v>
      </c>
      <c r="D72" s="97">
        <f>IF(D36=0,0,D36/TrRoad_act!D42*100)</f>
        <v>74.269863496197999</v>
      </c>
      <c r="E72" s="97">
        <f>IF(E36=0,0,E36/TrRoad_act!E42*100)</f>
        <v>62.348819721272861</v>
      </c>
      <c r="F72" s="97">
        <f>IF(F36=0,0,F36/TrRoad_act!F42*100)</f>
        <v>63.404641532881925</v>
      </c>
      <c r="G72" s="97">
        <f>IF(G36=0,0,G36/TrRoad_act!G42*100)</f>
        <v>63.617855617022393</v>
      </c>
      <c r="H72" s="97">
        <f>IF(H36=0,0,H36/TrRoad_act!H42*100)</f>
        <v>62.488337695424079</v>
      </c>
      <c r="I72" s="97">
        <f>IF(I36=0,0,I36/TrRoad_act!I42*100)</f>
        <v>63.068384911000109</v>
      </c>
      <c r="J72" s="97">
        <f>IF(J36=0,0,J36/TrRoad_act!J42*100)</f>
        <v>60.972558686990219</v>
      </c>
      <c r="K72" s="97">
        <f>IF(K36=0,0,K36/TrRoad_act!K42*100)</f>
        <v>56.206333252963994</v>
      </c>
      <c r="L72" s="97">
        <f>IF(L36=0,0,L36/TrRoad_act!L42*100)</f>
        <v>62.804382769248726</v>
      </c>
      <c r="M72" s="97">
        <f>IF(M36=0,0,M36/TrRoad_act!M42*100)</f>
        <v>63.358633199065828</v>
      </c>
      <c r="N72" s="97">
        <f>IF(N36=0,0,N36/TrRoad_act!N42*100)</f>
        <v>62.794481318278791</v>
      </c>
      <c r="O72" s="97">
        <f>IF(O36=0,0,O36/TrRoad_act!O42*100)</f>
        <v>58.617504424079556</v>
      </c>
      <c r="P72" s="97">
        <f>IF(P36=0,0,P36/TrRoad_act!P42*100)</f>
        <v>58.126046069157965</v>
      </c>
      <c r="Q72" s="97">
        <f>IF(Q36=0,0,Q36/TrRoad_act!Q42*100)</f>
        <v>55.707061634889087</v>
      </c>
      <c r="R72" s="97">
        <f>IF(R36=0,0,R36/TrRoad_act!R42*100)</f>
        <v>52.487962243808461</v>
      </c>
      <c r="S72" s="97">
        <f>IF(S36=0,0,S36/TrRoad_act!S42*100)</f>
        <v>52.427380617127525</v>
      </c>
      <c r="T72" s="97">
        <f>IF(T36=0,0,T36/TrRoad_act!T42*100)</f>
        <v>51.996745344205586</v>
      </c>
      <c r="U72" s="97">
        <f>IF(U36=0,0,U36/TrRoad_act!U42*100)</f>
        <v>52.088472398344308</v>
      </c>
      <c r="V72" s="97">
        <f>IF(V36=0,0,V36/TrRoad_act!V42*100)</f>
        <v>51.154656106804154</v>
      </c>
      <c r="W72" s="97">
        <f>IF(W36=0,0,W36/TrRoad_act!W42*100)</f>
        <v>53.660122364878006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46.923741073643157</v>
      </c>
      <c r="U73" s="97">
        <f>IF(U38=0,0,U38/TrRoad_act!U43*100)</f>
        <v>46.923741073643157</v>
      </c>
      <c r="V73" s="97">
        <f>IF(V38=0,0,V38/TrRoad_act!V43*100)</f>
        <v>46.923741073643157</v>
      </c>
      <c r="W73" s="97">
        <f>IF(W38=0,0,W38/TrRoad_act!W43*100)</f>
        <v>46.923741073643157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50.722529753293713</v>
      </c>
      <c r="M74" s="97">
        <f>IF(M39=0,0,M39/TrRoad_act!M44*100)</f>
        <v>91.803223715587052</v>
      </c>
      <c r="N74" s="97">
        <f>IF(N39=0,0,N39/TrRoad_act!N44*100)</f>
        <v>165.89937507327289</v>
      </c>
      <c r="O74" s="97">
        <f>IF(O39=0,0,O39/TrRoad_act!O44*100)</f>
        <v>110.3458521422573</v>
      </c>
      <c r="P74" s="97">
        <f>IF(P39=0,0,P39/TrRoad_act!P44*100)</f>
        <v>98.634318244224119</v>
      </c>
      <c r="Q74" s="97">
        <f>IF(Q39=0,0,Q39/TrRoad_act!Q44*100)</f>
        <v>106.92076261265973</v>
      </c>
      <c r="R74" s="97">
        <f>IF(R39=0,0,R39/TrRoad_act!R44*100)</f>
        <v>88.646019977618579</v>
      </c>
      <c r="S74" s="97">
        <f>IF(S39=0,0,S39/TrRoad_act!S44*100)</f>
        <v>46.893751274642142</v>
      </c>
      <c r="T74" s="97">
        <f>IF(T39=0,0,T39/TrRoad_act!T44*100)</f>
        <v>81.171738740628015</v>
      </c>
      <c r="U74" s="97">
        <f>IF(U39=0,0,U39/TrRoad_act!U44*100)</f>
        <v>58.230199364647319</v>
      </c>
      <c r="V74" s="97">
        <f>IF(V39=0,0,V39/TrRoad_act!V44*100)</f>
        <v>59.492745129512095</v>
      </c>
      <c r="W74" s="97">
        <f>IF(W39=0,0,W39/TrRoad_act!W44*100)</f>
        <v>43.362625261771257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32.07464573922428</v>
      </c>
      <c r="M75" s="97">
        <f>IF(M41=0,0,M41/TrRoad_act!M45*100)</f>
        <v>32.07464573922428</v>
      </c>
      <c r="N75" s="97">
        <f>IF(N41=0,0,N41/TrRoad_act!N45*100)</f>
        <v>32.07464573922428</v>
      </c>
      <c r="O75" s="97">
        <f>IF(O41=0,0,O41/TrRoad_act!O45*100)</f>
        <v>32.074645739224287</v>
      </c>
      <c r="P75" s="97">
        <f>IF(P41=0,0,P41/TrRoad_act!P45*100)</f>
        <v>32.07464573922428</v>
      </c>
      <c r="Q75" s="97">
        <f>IF(Q41=0,0,Q41/TrRoad_act!Q45*100)</f>
        <v>32.074645739224273</v>
      </c>
      <c r="R75" s="97">
        <f>IF(R41=0,0,R41/TrRoad_act!R45*100)</f>
        <v>32.07464573922428</v>
      </c>
      <c r="S75" s="97">
        <f>IF(S41=0,0,S41/TrRoad_act!S45*100)</f>
        <v>32.074645739224287</v>
      </c>
      <c r="T75" s="97">
        <f>IF(T41=0,0,T41/TrRoad_act!T45*100)</f>
        <v>32.07464573922428</v>
      </c>
      <c r="U75" s="97">
        <f>IF(U41=0,0,U41/TrRoad_act!U45*100)</f>
        <v>32.07464573922428</v>
      </c>
      <c r="V75" s="97">
        <f>IF(V41=0,0,V41/TrRoad_act!V45*100)</f>
        <v>32.07464573922428</v>
      </c>
      <c r="W75" s="97">
        <f>IF(W41=0,0,W41/TrRoad_act!W45*100)</f>
        <v>32.07464573922428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13.998236320033158</v>
      </c>
      <c r="C76" s="32">
        <f>IF(C42=0,0,C42/TrRoad_act!C46*100)</f>
        <v>16.131588727962388</v>
      </c>
      <c r="D76" s="32">
        <f>IF(D42=0,0,D42/TrRoad_act!D46*100)</f>
        <v>18.386104109281394</v>
      </c>
      <c r="E76" s="32">
        <f>IF(E42=0,0,E42/TrRoad_act!E46*100)</f>
        <v>17.474518451526077</v>
      </c>
      <c r="F76" s="32">
        <f>IF(F42=0,0,F42/TrRoad_act!F46*100)</f>
        <v>18.444440651377111</v>
      </c>
      <c r="G76" s="32">
        <f>IF(G42=0,0,G42/TrRoad_act!G46*100)</f>
        <v>19.227454481282592</v>
      </c>
      <c r="H76" s="32">
        <f>IF(H42=0,0,H42/TrRoad_act!H46*100)</f>
        <v>19.55182725663736</v>
      </c>
      <c r="I76" s="32">
        <f>IF(I42=0,0,I42/TrRoad_act!I46*100)</f>
        <v>21.04708788649922</v>
      </c>
      <c r="J76" s="32">
        <f>IF(J42=0,0,J42/TrRoad_act!J46*100)</f>
        <v>20.789014741384921</v>
      </c>
      <c r="K76" s="32">
        <f>IF(K42=0,0,K42/TrRoad_act!K46*100)</f>
        <v>17.95299114528045</v>
      </c>
      <c r="L76" s="32">
        <f>IF(L42=0,0,L42/TrRoad_act!L46*100)</f>
        <v>20.665602562834</v>
      </c>
      <c r="M76" s="32">
        <f>IF(M42=0,0,M42/TrRoad_act!M46*100)</f>
        <v>21.352125268830534</v>
      </c>
      <c r="N76" s="32">
        <f>IF(N42=0,0,N42/TrRoad_act!N46*100)</f>
        <v>20.832611285553963</v>
      </c>
      <c r="O76" s="32">
        <f>IF(O42=0,0,O42/TrRoad_act!O46*100)</f>
        <v>18.665298775175334</v>
      </c>
      <c r="P76" s="32">
        <f>IF(P42=0,0,P42/TrRoad_act!P46*100)</f>
        <v>17.687342776359035</v>
      </c>
      <c r="Q76" s="32">
        <f>IF(Q42=0,0,Q42/TrRoad_act!Q46*100)</f>
        <v>16.414726649310559</v>
      </c>
      <c r="R76" s="32">
        <f>IF(R42=0,0,R42/TrRoad_act!R46*100)</f>
        <v>14.607863855081396</v>
      </c>
      <c r="S76" s="32">
        <f>IF(S42=0,0,S42/TrRoad_act!S46*100)</f>
        <v>13.3903270810354</v>
      </c>
      <c r="T76" s="32">
        <f>IF(T42=0,0,T42/TrRoad_act!T46*100)</f>
        <v>12.845440574347913</v>
      </c>
      <c r="U76" s="32">
        <f>IF(U42=0,0,U42/TrRoad_act!U46*100)</f>
        <v>12.160881661564291</v>
      </c>
      <c r="V76" s="32">
        <f>IF(V42=0,0,V42/TrRoad_act!V46*100)</f>
        <v>11.412646982497728</v>
      </c>
      <c r="W76" s="32">
        <f>IF(W42=0,0,W42/TrRoad_act!W46*100)</f>
        <v>12.514628475953351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10.318632764767841</v>
      </c>
      <c r="C77" s="141">
        <f>IF(C43=0,0,C43/TrRoad_act!C47*100)</f>
        <v>12.205132827452045</v>
      </c>
      <c r="D77" s="141">
        <f>IF(D43=0,0,D43/TrRoad_act!D47*100)</f>
        <v>13.272339182573154</v>
      </c>
      <c r="E77" s="141">
        <f>IF(E43=0,0,E43/TrRoad_act!E47*100)</f>
        <v>11.639449312055964</v>
      </c>
      <c r="F77" s="141">
        <f>IF(F43=0,0,F43/TrRoad_act!F47*100)</f>
        <v>11.73696981317527</v>
      </c>
      <c r="G77" s="141">
        <f>IF(G43=0,0,G43/TrRoad_act!G47*100)</f>
        <v>11.732639448408252</v>
      </c>
      <c r="H77" s="141">
        <f>IF(H43=0,0,H43/TrRoad_act!H47*100)</f>
        <v>11.474646361820351</v>
      </c>
      <c r="I77" s="141">
        <f>IF(I43=0,0,I43/TrRoad_act!I47*100)</f>
        <v>11.52142694971694</v>
      </c>
      <c r="J77" s="141">
        <f>IF(J43=0,0,J43/TrRoad_act!J47*100)</f>
        <v>11.106168034330549</v>
      </c>
      <c r="K77" s="141">
        <f>IF(K43=0,0,K43/TrRoad_act!K47*100)</f>
        <v>10.316955629518541</v>
      </c>
      <c r="L77" s="141">
        <f>IF(L43=0,0,L43/TrRoad_act!L47*100)</f>
        <v>11.22316000413405</v>
      </c>
      <c r="M77" s="141">
        <f>IF(M43=0,0,M43/TrRoad_act!M47*100)</f>
        <v>11.233226883276874</v>
      </c>
      <c r="N77" s="141">
        <f>IF(N43=0,0,N43/TrRoad_act!N47*100)</f>
        <v>11.067152079672592</v>
      </c>
      <c r="O77" s="141">
        <f>IF(O43=0,0,O43/TrRoad_act!O47*100)</f>
        <v>10.369628422031949</v>
      </c>
      <c r="P77" s="141">
        <f>IF(P43=0,0,P43/TrRoad_act!P47*100)</f>
        <v>10.164505348004308</v>
      </c>
      <c r="Q77" s="141">
        <f>IF(Q43=0,0,Q43/TrRoad_act!Q47*100)</f>
        <v>9.6198821656889315</v>
      </c>
      <c r="R77" s="141">
        <f>IF(R43=0,0,R43/TrRoad_act!R47*100)</f>
        <v>9.0082063495450857</v>
      </c>
      <c r="S77" s="141">
        <f>IF(S43=0,0,S43/TrRoad_act!S47*100)</f>
        <v>8.8506895076672265</v>
      </c>
      <c r="T77" s="141">
        <f>IF(T43=0,0,T43/TrRoad_act!T47*100)</f>
        <v>8.6857864551588531</v>
      </c>
      <c r="U77" s="141">
        <f>IF(U43=0,0,U43/TrRoad_act!U47*100)</f>
        <v>8.600461669860799</v>
      </c>
      <c r="V77" s="141">
        <f>IF(V43=0,0,V43/TrRoad_act!V47*100)</f>
        <v>8.3655507251069761</v>
      </c>
      <c r="W77" s="141">
        <f>IF(W43=0,0,W43/TrRoad_act!W47*100)</f>
        <v>8.6728770249974652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10.86528996468582</v>
      </c>
      <c r="C78" s="96">
        <f>IF(C44=0,0,C44/TrRoad_act!C48*100)</f>
        <v>10.784204435936179</v>
      </c>
      <c r="D78" s="96">
        <f>IF(D44=0,0,D44/TrRoad_act!D48*100)</f>
        <v>10.722027620115538</v>
      </c>
      <c r="E78" s="96">
        <f>IF(E44=0,0,E44/TrRoad_act!E48*100)</f>
        <v>10.662390855121814</v>
      </c>
      <c r="F78" s="96">
        <f>IF(F44=0,0,F44/TrRoad_act!F48*100)</f>
        <v>10.58570088255119</v>
      </c>
      <c r="G78" s="96">
        <f>IF(G44=0,0,G44/TrRoad_act!G48*100)</f>
        <v>10.489028014359086</v>
      </c>
      <c r="H78" s="96">
        <f>IF(H44=0,0,H44/TrRoad_act!H48*100)</f>
        <v>10.388762021812269</v>
      </c>
      <c r="I78" s="96">
        <f>IF(I44=0,0,I44/TrRoad_act!I48*100)</f>
        <v>10.288949181584396</v>
      </c>
      <c r="J78" s="96">
        <f>IF(J44=0,0,J44/TrRoad_act!J48*100)</f>
        <v>10.10887331669278</v>
      </c>
      <c r="K78" s="96">
        <f>IF(K44=0,0,K44/TrRoad_act!K48*100)</f>
        <v>9.9550717818162511</v>
      </c>
      <c r="L78" s="96">
        <f>IF(L44=0,0,L44/TrRoad_act!L48*100)</f>
        <v>9.8555176253621024</v>
      </c>
      <c r="M78" s="96">
        <f>IF(M44=0,0,M44/TrRoad_act!M48*100)</f>
        <v>9.7583744056043003</v>
      </c>
      <c r="N78" s="96">
        <f>IF(N44=0,0,N44/TrRoad_act!N48*100)</f>
        <v>9.6223592583642521</v>
      </c>
      <c r="O78" s="96">
        <f>IF(O44=0,0,O44/TrRoad_act!O48*100)</f>
        <v>9.5057799280704618</v>
      </c>
      <c r="P78" s="96">
        <f>IF(P44=0,0,P44/TrRoad_act!P48*100)</f>
        <v>9.4325061203470568</v>
      </c>
      <c r="Q78" s="96">
        <f>IF(Q44=0,0,Q44/TrRoad_act!Q48*100)</f>
        <v>9.2398913416605168</v>
      </c>
      <c r="R78" s="96">
        <f>IF(R44=0,0,R44/TrRoad_act!R48*100)</f>
        <v>9.0483520553830665</v>
      </c>
      <c r="S78" s="96">
        <f>IF(S44=0,0,S44/TrRoad_act!S48*100)</f>
        <v>8.8959734447160148</v>
      </c>
      <c r="T78" s="96">
        <f>IF(T44=0,0,T44/TrRoad_act!T48*100)</f>
        <v>8.7738770184888022</v>
      </c>
      <c r="U78" s="96">
        <f>IF(U44=0,0,U44/TrRoad_act!U48*100)</f>
        <v>8.7220645132975623</v>
      </c>
      <c r="V78" s="96">
        <f>IF(V44=0,0,V44/TrRoad_act!V48*100)</f>
        <v>8.5694685975652032</v>
      </c>
      <c r="W78" s="96">
        <f>IF(W44=0,0,W44/TrRoad_act!W48*100)</f>
        <v>8.4310448906391482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10.136500480718341</v>
      </c>
      <c r="C79" s="96">
        <f>IF(C46=0,0,C46/TrRoad_act!C49*100)</f>
        <v>12.731855145430885</v>
      </c>
      <c r="D79" s="96">
        <f>IF(D46=0,0,D46/TrRoad_act!D49*100)</f>
        <v>14.200008425850253</v>
      </c>
      <c r="E79" s="96">
        <f>IF(E46=0,0,E46/TrRoad_act!E49*100)</f>
        <v>11.984123029710064</v>
      </c>
      <c r="F79" s="96">
        <f>IF(F46=0,0,F46/TrRoad_act!F49*100)</f>
        <v>12.181771779001185</v>
      </c>
      <c r="G79" s="96">
        <f>IF(G46=0,0,G46/TrRoad_act!G49*100)</f>
        <v>12.186578826489161</v>
      </c>
      <c r="H79" s="96">
        <f>IF(H46=0,0,H46/TrRoad_act!H49*100)</f>
        <v>11.885104309934043</v>
      </c>
      <c r="I79" s="96">
        <f>IF(I46=0,0,I46/TrRoad_act!I49*100)</f>
        <v>11.923087931836006</v>
      </c>
      <c r="J79" s="96">
        <f>IF(J46=0,0,J46/TrRoad_act!J49*100)</f>
        <v>11.422011658395515</v>
      </c>
      <c r="K79" s="96">
        <f>IF(K46=0,0,K46/TrRoad_act!K49*100)</f>
        <v>10.422529809185932</v>
      </c>
      <c r="L79" s="96">
        <f>IF(L46=0,0,L46/TrRoad_act!L49*100)</f>
        <v>11.580297298416491</v>
      </c>
      <c r="M79" s="96">
        <f>IF(M46=0,0,M46/TrRoad_act!M49*100)</f>
        <v>11.623966172910398</v>
      </c>
      <c r="N79" s="96">
        <f>IF(N46=0,0,N46/TrRoad_act!N49*100)</f>
        <v>11.413744563769283</v>
      </c>
      <c r="O79" s="96">
        <f>IF(O46=0,0,O46/TrRoad_act!O49*100)</f>
        <v>10.540288313860092</v>
      </c>
      <c r="P79" s="96">
        <f>IF(P46=0,0,P46/TrRoad_act!P49*100)</f>
        <v>10.298083934535553</v>
      </c>
      <c r="Q79" s="96">
        <f>IF(Q46=0,0,Q46/TrRoad_act!Q49*100)</f>
        <v>9.6854644387375544</v>
      </c>
      <c r="R79" s="96">
        <f>IF(R46=0,0,R46/TrRoad_act!R49*100)</f>
        <v>9.004745160496098</v>
      </c>
      <c r="S79" s="96">
        <f>IF(S46=0,0,S46/TrRoad_act!S49*100)</f>
        <v>8.8486145918011694</v>
      </c>
      <c r="T79" s="96">
        <f>IF(T46=0,0,T46/TrRoad_act!T49*100)</f>
        <v>8.6780825670231909</v>
      </c>
      <c r="U79" s="96">
        <f>IF(U46=0,0,U46/TrRoad_act!U49*100)</f>
        <v>8.5904057250970869</v>
      </c>
      <c r="V79" s="96">
        <f>IF(V46=0,0,V46/TrRoad_act!V49*100)</f>
        <v>8.3484300756456609</v>
      </c>
      <c r="W79" s="96">
        <f>IF(W46=0,0,W46/TrRoad_act!W49*100)</f>
        <v>8.6967750125879828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8.4435346334553216</v>
      </c>
      <c r="S80" s="96">
        <f>IF(S48=0,0,S48/TrRoad_act!S50*100)</f>
        <v>7.6206531182745705</v>
      </c>
      <c r="T80" s="96">
        <f>IF(T48=0,0,T48/TrRoad_act!T50*100)</f>
        <v>7.5690147533585064</v>
      </c>
      <c r="U80" s="96">
        <f>IF(U48=0,0,U48/TrRoad_act!U50*100)</f>
        <v>7.7494895309755689</v>
      </c>
      <c r="V80" s="96">
        <f>IF(V48=0,0,V48/TrRoad_act!V50*100)</f>
        <v>7.7589838685229395</v>
      </c>
      <c r="W80" s="96">
        <f>IF(W48=0,0,W48/TrRoad_act!W50*100)</f>
        <v>7.7589838685229378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8.8591624246850653</v>
      </c>
      <c r="O81" s="96">
        <f>IF(O49=0,0,O49/TrRoad_act!O51*100)</f>
        <v>8.9364056272629853</v>
      </c>
      <c r="P81" s="96">
        <f>IF(P49=0,0,P49/TrRoad_act!P51*100)</f>
        <v>9.3920923274426951</v>
      </c>
      <c r="Q81" s="96">
        <f>IF(Q49=0,0,Q49/TrRoad_act!Q51*100)</f>
        <v>9.1215959234321939</v>
      </c>
      <c r="R81" s="96">
        <f>IF(R49=0,0,R49/TrRoad_act!R51*100)</f>
        <v>9.1236720778891325</v>
      </c>
      <c r="S81" s="96">
        <f>IF(S49=0,0,S49/TrRoad_act!S51*100)</f>
        <v>8.0529625420178714</v>
      </c>
      <c r="T81" s="96">
        <f>IF(T49=0,0,T49/TrRoad_act!T51*100)</f>
        <v>7.8562811614489387</v>
      </c>
      <c r="U81" s="96">
        <f>IF(U49=0,0,U49/TrRoad_act!U51*100)</f>
        <v>7.8183305805525851</v>
      </c>
      <c r="V81" s="96">
        <f>IF(V49=0,0,V49/TrRoad_act!V51*100)</f>
        <v>7.8767591474371335</v>
      </c>
      <c r="W81" s="96">
        <f>IF(W49=0,0,W49/TrRoad_act!W51*100)</f>
        <v>7.8865300612700375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1.3002951311446636</v>
      </c>
      <c r="J82" s="96">
        <f>IF(J51=0,0,J51/TrRoad_act!J52*100)</f>
        <v>1.3002951311446633</v>
      </c>
      <c r="K82" s="96">
        <f>IF(K51=0,0,K51/TrRoad_act!K52*100)</f>
        <v>1.3002951311446633</v>
      </c>
      <c r="L82" s="96">
        <f>IF(L51=0,0,L51/TrRoad_act!L52*100)</f>
        <v>1.3002951311446633</v>
      </c>
      <c r="M82" s="96">
        <f>IF(M51=0,0,M51/TrRoad_act!M52*100)</f>
        <v>1.3002951311446636</v>
      </c>
      <c r="N82" s="96">
        <f>IF(N51=0,0,N51/TrRoad_act!N52*100)</f>
        <v>1.3110528293062318</v>
      </c>
      <c r="O82" s="96">
        <f>IF(O51=0,0,O51/TrRoad_act!O52*100)</f>
        <v>1.3347466529691621</v>
      </c>
      <c r="P82" s="96">
        <f>IF(P51=0,0,P51/TrRoad_act!P52*100)</f>
        <v>1.6472580112622734</v>
      </c>
      <c r="Q82" s="96">
        <f>IF(Q51=0,0,Q51/TrRoad_act!Q52*100)</f>
        <v>1.6662785507907278</v>
      </c>
      <c r="R82" s="96">
        <f>IF(R51=0,0,R51/TrRoad_act!R52*100)</f>
        <v>1.7267605699722435</v>
      </c>
      <c r="S82" s="96">
        <f>IF(S51=0,0,S51/TrRoad_act!S52*100)</f>
        <v>1.7640264983561784</v>
      </c>
      <c r="T82" s="96">
        <f>IF(T51=0,0,T51/TrRoad_act!T52*100)</f>
        <v>1.8086777800192042</v>
      </c>
      <c r="U82" s="96">
        <f>IF(U51=0,0,U51/TrRoad_act!U52*100)</f>
        <v>1.8575936963495323</v>
      </c>
      <c r="V82" s="96">
        <f>IF(V51=0,0,V51/TrRoad_act!V52*100)</f>
        <v>2.6635435820065729</v>
      </c>
      <c r="W82" s="96">
        <f>IF(W51=0,0,W51/TrRoad_act!W52*100)</f>
        <v>3.2138170025119219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34.908661470976817</v>
      </c>
      <c r="C83" s="130">
        <f>IF(C52=0,0,C52/TrRoad_act!C53*100)</f>
        <v>42.156596104663926</v>
      </c>
      <c r="D83" s="130">
        <f>IF(D52=0,0,D52/TrRoad_act!D53*100)</f>
        <v>44.988430443256682</v>
      </c>
      <c r="E83" s="130">
        <f>IF(E52=0,0,E52/TrRoad_act!E53*100)</f>
        <v>37.185436542140387</v>
      </c>
      <c r="F83" s="130">
        <f>IF(F52=0,0,F52/TrRoad_act!F53*100)</f>
        <v>38.280681712979579</v>
      </c>
      <c r="G83" s="130">
        <f>IF(G52=0,0,G52/TrRoad_act!G53*100)</f>
        <v>39.277361337777741</v>
      </c>
      <c r="H83" s="130">
        <f>IF(H52=0,0,H52/TrRoad_act!H53*100)</f>
        <v>39.226883671968253</v>
      </c>
      <c r="I83" s="130">
        <f>IF(I52=0,0,I52/TrRoad_act!I53*100)</f>
        <v>41.393047733157424</v>
      </c>
      <c r="J83" s="130">
        <f>IF(J52=0,0,J52/TrRoad_act!J53*100)</f>
        <v>41.581406719072618</v>
      </c>
      <c r="K83" s="130">
        <f>IF(K52=0,0,K52/TrRoad_act!K53*100)</f>
        <v>39.344195885561803</v>
      </c>
      <c r="L83" s="130">
        <f>IF(L52=0,0,L52/TrRoad_act!L53*100)</f>
        <v>48.444709827761493</v>
      </c>
      <c r="M83" s="130">
        <f>IF(M52=0,0,M52/TrRoad_act!M53*100)</f>
        <v>48.943813828088743</v>
      </c>
      <c r="N83" s="130">
        <f>IF(N52=0,0,N52/TrRoad_act!N53*100)</f>
        <v>49.029568436771889</v>
      </c>
      <c r="O83" s="130">
        <f>IF(O52=0,0,O52/TrRoad_act!O53*100)</f>
        <v>42.715991082067298</v>
      </c>
      <c r="P83" s="130">
        <f>IF(P52=0,0,P52/TrRoad_act!P53*100)</f>
        <v>41.753639133436721</v>
      </c>
      <c r="Q83" s="130">
        <f>IF(Q52=0,0,Q52/TrRoad_act!Q53*100)</f>
        <v>37.866947049157503</v>
      </c>
      <c r="R83" s="130">
        <f>IF(R52=0,0,R52/TrRoad_act!R53*100)</f>
        <v>32.339257740499889</v>
      </c>
      <c r="S83" s="130">
        <f>IF(S52=0,0,S52/TrRoad_act!S53*100)</f>
        <v>31.449698087364258</v>
      </c>
      <c r="T83" s="130">
        <f>IF(T52=0,0,T52/TrRoad_act!T53*100)</f>
        <v>30.600431698791226</v>
      </c>
      <c r="U83" s="130">
        <f>IF(U52=0,0,U52/TrRoad_act!U53*100)</f>
        <v>29.746511677926108</v>
      </c>
      <c r="V83" s="130">
        <f>IF(V52=0,0,V52/TrRoad_act!V53*100)</f>
        <v>27.690586765722873</v>
      </c>
      <c r="W83" s="130">
        <f>IF(W52=0,0,W52/TrRoad_act!W53*100)</f>
        <v>31.028455722114991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33.522163381050717</v>
      </c>
      <c r="C84" s="97">
        <f>IF(C53=0,0,C53/TrRoad_act!C54*100)</f>
        <v>40.266220082525969</v>
      </c>
      <c r="D84" s="97">
        <f>IF(D53=0,0,D53/TrRoad_act!D54*100)</f>
        <v>43.253960421380015</v>
      </c>
      <c r="E84" s="97">
        <f>IF(E53=0,0,E53/TrRoad_act!E54*100)</f>
        <v>36.130150086679677</v>
      </c>
      <c r="F84" s="97">
        <f>IF(F53=0,0,F53/TrRoad_act!F54*100)</f>
        <v>37.202558176310404</v>
      </c>
      <c r="G84" s="97">
        <f>IF(G53=0,0,G53/TrRoad_act!G54*100)</f>
        <v>38.207021843599044</v>
      </c>
      <c r="H84" s="97">
        <f>IF(H53=0,0,H53/TrRoad_act!H54*100)</f>
        <v>38.204141288555505</v>
      </c>
      <c r="I84" s="97">
        <f>IF(I53=0,0,I53/TrRoad_act!I54*100)</f>
        <v>40.323940250946158</v>
      </c>
      <c r="J84" s="97">
        <f>IF(J53=0,0,J53/TrRoad_act!J54*100)</f>
        <v>40.573170591183242</v>
      </c>
      <c r="K84" s="97">
        <f>IF(K53=0,0,K53/TrRoad_act!K54*100)</f>
        <v>38.387914589016454</v>
      </c>
      <c r="L84" s="97">
        <f>IF(L53=0,0,L53/TrRoad_act!L54*100)</f>
        <v>47.252471314808773</v>
      </c>
      <c r="M84" s="97">
        <f>IF(M53=0,0,M53/TrRoad_act!M54*100)</f>
        <v>47.69941329839579</v>
      </c>
      <c r="N84" s="97">
        <f>IF(N53=0,0,N53/TrRoad_act!N54*100)</f>
        <v>47.738354692075646</v>
      </c>
      <c r="O84" s="97">
        <f>IF(O53=0,0,O53/TrRoad_act!O54*100)</f>
        <v>41.505463663306628</v>
      </c>
      <c r="P84" s="97">
        <f>IF(P53=0,0,P53/TrRoad_act!P54*100)</f>
        <v>40.484897960438964</v>
      </c>
      <c r="Q84" s="97">
        <f>IF(Q53=0,0,Q53/TrRoad_act!Q54*100)</f>
        <v>36.574675907327347</v>
      </c>
      <c r="R84" s="97">
        <f>IF(R53=0,0,R53/TrRoad_act!R54*100)</f>
        <v>31.241385388240296</v>
      </c>
      <c r="S84" s="97">
        <f>IF(S53=0,0,S53/TrRoad_act!S54*100)</f>
        <v>30.175152545734889</v>
      </c>
      <c r="T84" s="97">
        <f>IF(T53=0,0,T53/TrRoad_act!T54*100)</f>
        <v>29.276501310046566</v>
      </c>
      <c r="U84" s="97">
        <f>IF(U53=0,0,U53/TrRoad_act!U54*100)</f>
        <v>28.236822435926705</v>
      </c>
      <c r="V84" s="97">
        <f>IF(V53=0,0,V53/TrRoad_act!V54*100)</f>
        <v>25.898977429536146</v>
      </c>
      <c r="W84" s="97">
        <f>IF(W53=0,0,W53/TrRoad_act!W54*100)</f>
        <v>29.308206184670727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38.251896525367854</v>
      </c>
      <c r="C85" s="98">
        <f>IF(C55=0,0,C55/TrRoad_act!C55*100)</f>
        <v>45.555831461634241</v>
      </c>
      <c r="D85" s="98">
        <f>IF(D55=0,0,D55/TrRoad_act!D55*100)</f>
        <v>49.061372993793903</v>
      </c>
      <c r="E85" s="98">
        <f>IF(E55=0,0,E55/TrRoad_act!E55*100)</f>
        <v>41.138742284806732</v>
      </c>
      <c r="F85" s="98">
        <f>IF(F55=0,0,F55/TrRoad_act!F55*100)</f>
        <v>41.962494689597655</v>
      </c>
      <c r="G85" s="98">
        <f>IF(G55=0,0,G55/TrRoad_act!G55*100)</f>
        <v>42.881332320268413</v>
      </c>
      <c r="H85" s="98">
        <f>IF(H55=0,0,H55/TrRoad_act!H55*100)</f>
        <v>42.626604743759408</v>
      </c>
      <c r="I85" s="98">
        <f>IF(I55=0,0,I55/TrRoad_act!I55*100)</f>
        <v>44.810717462176449</v>
      </c>
      <c r="J85" s="98">
        <f>IF(J55=0,0,J55/TrRoad_act!J55*100)</f>
        <v>44.986024791467763</v>
      </c>
      <c r="K85" s="98">
        <f>IF(K55=0,0,K55/TrRoad_act!K55*100)</f>
        <v>42.214879077066087</v>
      </c>
      <c r="L85" s="98">
        <f>IF(L55=0,0,L55/TrRoad_act!L55*100)</f>
        <v>51.684116620589315</v>
      </c>
      <c r="M85" s="98">
        <f>IF(M55=0,0,M55/TrRoad_act!M55*100)</f>
        <v>52.115889762025738</v>
      </c>
      <c r="N85" s="98">
        <f>IF(N55=0,0,N55/TrRoad_act!N55*100)</f>
        <v>52.166101958361075</v>
      </c>
      <c r="O85" s="98">
        <f>IF(O55=0,0,O55/TrRoad_act!O55*100)</f>
        <v>45.30204808863239</v>
      </c>
      <c r="P85" s="98">
        <f>IF(P55=0,0,P55/TrRoad_act!P55*100)</f>
        <v>44.262383297943529</v>
      </c>
      <c r="Q85" s="98">
        <f>IF(Q55=0,0,Q55/TrRoad_act!Q55*100)</f>
        <v>39.977405545324054</v>
      </c>
      <c r="R85" s="98">
        <f>IF(R55=0,0,R55/TrRoad_act!R55*100)</f>
        <v>34.397134177698106</v>
      </c>
      <c r="S85" s="98">
        <f>IF(S55=0,0,S55/TrRoad_act!S55*100)</f>
        <v>33.531655287517651</v>
      </c>
      <c r="T85" s="98">
        <f>IF(T55=0,0,T55/TrRoad_act!T55*100)</f>
        <v>32.81610849756602</v>
      </c>
      <c r="U85" s="98">
        <f>IF(U55=0,0,U55/TrRoad_act!U55*100)</f>
        <v>32.265007693457733</v>
      </c>
      <c r="V85" s="98">
        <f>IF(V55=0,0,V55/TrRoad_act!V55*100)</f>
        <v>29.74425642806246</v>
      </c>
      <c r="W85" s="98">
        <f>IF(W55=0,0,W55/TrRoad_act!W55*100)</f>
        <v>34.058671198340548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39.056790424639708</v>
      </c>
      <c r="C88" s="29">
        <f>IF(TrRoad_act!C4=0,0,C18/TrRoad_act!C4*1000)</f>
        <v>48.666100563865577</v>
      </c>
      <c r="D88" s="29">
        <f>IF(TrRoad_act!D4=0,0,D18/TrRoad_act!D4*1000)</f>
        <v>47.469486848165403</v>
      </c>
      <c r="E88" s="29">
        <f>IF(TrRoad_act!E4=0,0,E18/TrRoad_act!E4*1000)</f>
        <v>43.382248324979209</v>
      </c>
      <c r="F88" s="29">
        <f>IF(TrRoad_act!F4=0,0,F18/TrRoad_act!F4*1000)</f>
        <v>43.02253501304363</v>
      </c>
      <c r="G88" s="29">
        <f>IF(TrRoad_act!G4=0,0,G18/TrRoad_act!G4*1000)</f>
        <v>37.477573147801252</v>
      </c>
      <c r="H88" s="29">
        <f>IF(TrRoad_act!H4=0,0,H18/TrRoad_act!H4*1000)</f>
        <v>40.80532717728201</v>
      </c>
      <c r="I88" s="29">
        <f>IF(TrRoad_act!I4=0,0,I18/TrRoad_act!I4*1000)</f>
        <v>43.696092642651045</v>
      </c>
      <c r="J88" s="29">
        <f>IF(TrRoad_act!J4=0,0,J18/TrRoad_act!J4*1000)</f>
        <v>41.713719512038786</v>
      </c>
      <c r="K88" s="29">
        <f>IF(TrRoad_act!K4=0,0,K18/TrRoad_act!K4*1000)</f>
        <v>40.492777594590663</v>
      </c>
      <c r="L88" s="29">
        <f>IF(TrRoad_act!L4=0,0,L18/TrRoad_act!L4*1000)</f>
        <v>42.826340335890094</v>
      </c>
      <c r="M88" s="29">
        <f>IF(TrRoad_act!M4=0,0,M18/TrRoad_act!M4*1000)</f>
        <v>41.627758959507354</v>
      </c>
      <c r="N88" s="29">
        <f>IF(TrRoad_act!N4=0,0,N18/TrRoad_act!N4*1000)</f>
        <v>41.87601727883856</v>
      </c>
      <c r="O88" s="29">
        <f>IF(TrRoad_act!O4=0,0,O18/TrRoad_act!O4*1000)</f>
        <v>39.809515973758941</v>
      </c>
      <c r="P88" s="29">
        <f>IF(TrRoad_act!P4=0,0,P18/TrRoad_act!P4*1000)</f>
        <v>38.837051002187295</v>
      </c>
      <c r="Q88" s="29">
        <f>IF(TrRoad_act!Q4=0,0,Q18/TrRoad_act!Q4*1000)</f>
        <v>38.148423681017114</v>
      </c>
      <c r="R88" s="29">
        <f>IF(TrRoad_act!R4=0,0,R18/TrRoad_act!R4*1000)</f>
        <v>37.045849468648193</v>
      </c>
      <c r="S88" s="29">
        <f>IF(TrRoad_act!S4=0,0,S18/TrRoad_act!S4*1000)</f>
        <v>38.582133116387801</v>
      </c>
      <c r="T88" s="29">
        <f>IF(TrRoad_act!T4=0,0,T18/TrRoad_act!T4*1000)</f>
        <v>39.425058398023118</v>
      </c>
      <c r="U88" s="29">
        <f>IF(TrRoad_act!U4=0,0,U18/TrRoad_act!U4*1000)</f>
        <v>36.986325700072392</v>
      </c>
      <c r="V88" s="29">
        <f>IF(TrRoad_act!V4=0,0,V18/TrRoad_act!V4*1000)</f>
        <v>44.266953634761592</v>
      </c>
      <c r="W88" s="29">
        <f>IF(TrRoad_act!W4=0,0,W18/TrRoad_act!W4*1000)</f>
        <v>42.975265366803583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46.374413066858274</v>
      </c>
      <c r="C89" s="152">
        <f>IF(TrRoad_act!C5=0,0,C19/TrRoad_act!C5*1000)</f>
        <v>46.216144444344941</v>
      </c>
      <c r="D89" s="152">
        <f>IF(TrRoad_act!D5=0,0,D19/TrRoad_act!D5*1000)</f>
        <v>45.787648754078418</v>
      </c>
      <c r="E89" s="152">
        <f>IF(TrRoad_act!E5=0,0,E19/TrRoad_act!E5*1000)</f>
        <v>45.186381512861551</v>
      </c>
      <c r="F89" s="152">
        <f>IF(TrRoad_act!F5=0,0,F19/TrRoad_act!F5*1000)</f>
        <v>44.639168434643963</v>
      </c>
      <c r="G89" s="152">
        <f>IF(TrRoad_act!G5=0,0,G19/TrRoad_act!G5*1000)</f>
        <v>44.166312346488418</v>
      </c>
      <c r="H89" s="152">
        <f>IF(TrRoad_act!H5=0,0,H19/TrRoad_act!H5*1000)</f>
        <v>43.342955765681076</v>
      </c>
      <c r="I89" s="152">
        <f>IF(TrRoad_act!I5=0,0,I19/TrRoad_act!I5*1000)</f>
        <v>42.705529345713963</v>
      </c>
      <c r="J89" s="152">
        <f>IF(TrRoad_act!J5=0,0,J19/TrRoad_act!J5*1000)</f>
        <v>41.888663291045525</v>
      </c>
      <c r="K89" s="152">
        <f>IF(TrRoad_act!K5=0,0,K19/TrRoad_act!K5*1000)</f>
        <v>41.454789786943209</v>
      </c>
      <c r="L89" s="152">
        <f>IF(TrRoad_act!L5=0,0,L19/TrRoad_act!L5*1000)</f>
        <v>41.055158737868432</v>
      </c>
      <c r="M89" s="152">
        <f>IF(TrRoad_act!M5=0,0,M19/TrRoad_act!M5*1000)</f>
        <v>39.99214900260116</v>
      </c>
      <c r="N89" s="152">
        <f>IF(TrRoad_act!N5=0,0,N19/TrRoad_act!N5*1000)</f>
        <v>38.240566036384962</v>
      </c>
      <c r="O89" s="152">
        <f>IF(TrRoad_act!O5=0,0,O19/TrRoad_act!O5*1000)</f>
        <v>37.714541933950414</v>
      </c>
      <c r="P89" s="152">
        <f>IF(TrRoad_act!P5=0,0,P19/TrRoad_act!P5*1000)</f>
        <v>37.052595722353303</v>
      </c>
      <c r="Q89" s="152">
        <f>IF(TrRoad_act!Q5=0,0,Q19/TrRoad_act!Q5*1000)</f>
        <v>36.579382441139835</v>
      </c>
      <c r="R89" s="152">
        <f>IF(TrRoad_act!R5=0,0,R19/TrRoad_act!R5*1000)</f>
        <v>35.992875674306553</v>
      </c>
      <c r="S89" s="152">
        <f>IF(TrRoad_act!S5=0,0,S19/TrRoad_act!S5*1000)</f>
        <v>35.583075592714152</v>
      </c>
      <c r="T89" s="152">
        <f>IF(TrRoad_act!T5=0,0,T19/TrRoad_act!T5*1000)</f>
        <v>35.343440825749305</v>
      </c>
      <c r="U89" s="152">
        <f>IF(TrRoad_act!U5=0,0,U19/TrRoad_act!U5*1000)</f>
        <v>35.073988219893785</v>
      </c>
      <c r="V89" s="152">
        <f>IF(TrRoad_act!V5=0,0,V19/TrRoad_act!V5*1000)</f>
        <v>34.841091339655932</v>
      </c>
      <c r="W89" s="152">
        <f>IF(TrRoad_act!W5=0,0,W19/TrRoad_act!W5*1000)</f>
        <v>32.345699931867763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41.738714854601135</v>
      </c>
      <c r="C90" s="116">
        <f>IF(TrRoad_act!C6=0,0,C21/TrRoad_act!C6*1000)</f>
        <v>51.484631449699371</v>
      </c>
      <c r="D90" s="116">
        <f>IF(TrRoad_act!D6=0,0,D21/TrRoad_act!D6*1000)</f>
        <v>47.42194583148251</v>
      </c>
      <c r="E90" s="116">
        <f>IF(TrRoad_act!E6=0,0,E21/TrRoad_act!E6*1000)</f>
        <v>43.555795020075166</v>
      </c>
      <c r="F90" s="116">
        <f>IF(TrRoad_act!F6=0,0,F21/TrRoad_act!F6*1000)</f>
        <v>43.605274215957451</v>
      </c>
      <c r="G90" s="116">
        <f>IF(TrRoad_act!G6=0,0,G21/TrRoad_act!G6*1000)</f>
        <v>36.976605734479172</v>
      </c>
      <c r="H90" s="116">
        <f>IF(TrRoad_act!H6=0,0,H21/TrRoad_act!H6*1000)</f>
        <v>41.674359235694162</v>
      </c>
      <c r="I90" s="116">
        <f>IF(TrRoad_act!I6=0,0,I21/TrRoad_act!I6*1000)</f>
        <v>46.060116377959808</v>
      </c>
      <c r="J90" s="116">
        <f>IF(TrRoad_act!J6=0,0,J21/TrRoad_act!J6*1000)</f>
        <v>43.343385536689993</v>
      </c>
      <c r="K90" s="116">
        <f>IF(TrRoad_act!K6=0,0,K21/TrRoad_act!K6*1000)</f>
        <v>41.57058551903993</v>
      </c>
      <c r="L90" s="116">
        <f>IF(TrRoad_act!L6=0,0,L21/TrRoad_act!L6*1000)</f>
        <v>43.545661257600187</v>
      </c>
      <c r="M90" s="116">
        <f>IF(TrRoad_act!M6=0,0,M21/TrRoad_act!M6*1000)</f>
        <v>42.21594016041626</v>
      </c>
      <c r="N90" s="116">
        <f>IF(TrRoad_act!N6=0,0,N21/TrRoad_act!N6*1000)</f>
        <v>41.663549957559546</v>
      </c>
      <c r="O90" s="116">
        <f>IF(TrRoad_act!O6=0,0,O21/TrRoad_act!O6*1000)</f>
        <v>39.445919354617224</v>
      </c>
      <c r="P90" s="116">
        <f>IF(TrRoad_act!P6=0,0,P21/TrRoad_act!P6*1000)</f>
        <v>38.185373018326658</v>
      </c>
      <c r="Q90" s="116">
        <f>IF(TrRoad_act!Q6=0,0,Q21/TrRoad_act!Q6*1000)</f>
        <v>38.45950275912115</v>
      </c>
      <c r="R90" s="116">
        <f>IF(TrRoad_act!R6=0,0,R21/TrRoad_act!R6*1000)</f>
        <v>38.020888653162999</v>
      </c>
      <c r="S90" s="116">
        <f>IF(TrRoad_act!S6=0,0,S21/TrRoad_act!S6*1000)</f>
        <v>38.693937881530857</v>
      </c>
      <c r="T90" s="116">
        <f>IF(TrRoad_act!T6=0,0,T21/TrRoad_act!T6*1000)</f>
        <v>39.585131511193545</v>
      </c>
      <c r="U90" s="116">
        <f>IF(TrRoad_act!U6=0,0,U21/TrRoad_act!U6*1000)</f>
        <v>38.013456273453286</v>
      </c>
      <c r="V90" s="116">
        <f>IF(TrRoad_act!V6=0,0,V21/TrRoad_act!V6*1000)</f>
        <v>41.195492975781171</v>
      </c>
      <c r="W90" s="116">
        <f>IF(TrRoad_act!W6=0,0,W21/TrRoad_act!W6*1000)</f>
        <v>39.047279038961754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42.390302020076824</v>
      </c>
      <c r="C91" s="87">
        <f>IF(TrRoad_act!C7=0,0,C22/TrRoad_act!C7*1000)</f>
        <v>51.216584496992418</v>
      </c>
      <c r="D91" s="87">
        <f>IF(TrRoad_act!D7=0,0,D22/TrRoad_act!D7*1000)</f>
        <v>46.122778998457953</v>
      </c>
      <c r="E91" s="87">
        <f>IF(TrRoad_act!E7=0,0,E22/TrRoad_act!E7*1000)</f>
        <v>43.024188359208111</v>
      </c>
      <c r="F91" s="87">
        <f>IF(TrRoad_act!F7=0,0,F22/TrRoad_act!F7*1000)</f>
        <v>43.118624813455938</v>
      </c>
      <c r="G91" s="87">
        <f>IF(TrRoad_act!G7=0,0,G22/TrRoad_act!G7*1000)</f>
        <v>36.852800421175054</v>
      </c>
      <c r="H91" s="87">
        <f>IF(TrRoad_act!H7=0,0,H22/TrRoad_act!H7*1000)</f>
        <v>42.020292165459914</v>
      </c>
      <c r="I91" s="87">
        <f>IF(TrRoad_act!I7=0,0,I22/TrRoad_act!I7*1000)</f>
        <v>46.803735768606835</v>
      </c>
      <c r="J91" s="87">
        <f>IF(TrRoad_act!J7=0,0,J22/TrRoad_act!J7*1000)</f>
        <v>44.869873527970398</v>
      </c>
      <c r="K91" s="87">
        <f>IF(TrRoad_act!K7=0,0,K22/TrRoad_act!K7*1000)</f>
        <v>44.017384391856289</v>
      </c>
      <c r="L91" s="87">
        <f>IF(TrRoad_act!L7=0,0,L22/TrRoad_act!L7*1000)</f>
        <v>45.238686771530411</v>
      </c>
      <c r="M91" s="87">
        <f>IF(TrRoad_act!M7=0,0,M22/TrRoad_act!M7*1000)</f>
        <v>43.815538562983825</v>
      </c>
      <c r="N91" s="87">
        <f>IF(TrRoad_act!N7=0,0,N22/TrRoad_act!N7*1000)</f>
        <v>43.345253356749531</v>
      </c>
      <c r="O91" s="87">
        <f>IF(TrRoad_act!O7=0,0,O22/TrRoad_act!O7*1000)</f>
        <v>41.791957837002748</v>
      </c>
      <c r="P91" s="87">
        <f>IF(TrRoad_act!P7=0,0,P22/TrRoad_act!P7*1000)</f>
        <v>40.561336148197434</v>
      </c>
      <c r="Q91" s="87">
        <f>IF(TrRoad_act!Q7=0,0,Q22/TrRoad_act!Q7*1000)</f>
        <v>41.32445492072398</v>
      </c>
      <c r="R91" s="87">
        <f>IF(TrRoad_act!R7=0,0,R22/TrRoad_act!R7*1000)</f>
        <v>41.26269714189722</v>
      </c>
      <c r="S91" s="87">
        <f>IF(TrRoad_act!S7=0,0,S22/TrRoad_act!S7*1000)</f>
        <v>41.602852892984373</v>
      </c>
      <c r="T91" s="87">
        <f>IF(TrRoad_act!T7=0,0,T22/TrRoad_act!T7*1000)</f>
        <v>42.240628826113905</v>
      </c>
      <c r="U91" s="87">
        <f>IF(TrRoad_act!U7=0,0,U22/TrRoad_act!U7*1000)</f>
        <v>40.455137423426841</v>
      </c>
      <c r="V91" s="87">
        <f>IF(TrRoad_act!V7=0,0,V22/TrRoad_act!V7*1000)</f>
        <v>44.326659894617087</v>
      </c>
      <c r="W91" s="87">
        <f>IF(TrRoad_act!W7=0,0,W22/TrRoad_act!W7*1000)</f>
        <v>41.406614013735982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34.136958711967459</v>
      </c>
      <c r="C92" s="87">
        <f>IF(TrRoad_act!C8=0,0,C24/TrRoad_act!C8*1000)</f>
        <v>54.260183899875805</v>
      </c>
      <c r="D92" s="87">
        <f>IF(TrRoad_act!D8=0,0,D24/TrRoad_act!D8*1000)</f>
        <v>58.214109762739056</v>
      </c>
      <c r="E92" s="87">
        <f>IF(TrRoad_act!E8=0,0,E24/TrRoad_act!E8*1000)</f>
        <v>46.570776674128197</v>
      </c>
      <c r="F92" s="87">
        <f>IF(TrRoad_act!F8=0,0,F24/TrRoad_act!F8*1000)</f>
        <v>45.436462965272099</v>
      </c>
      <c r="G92" s="87">
        <f>IF(TrRoad_act!G8=0,0,G24/TrRoad_act!G8*1000)</f>
        <v>37.331516887154315</v>
      </c>
      <c r="H92" s="87">
        <f>IF(TrRoad_act!H8=0,0,H24/TrRoad_act!H8*1000)</f>
        <v>40.806631946891635</v>
      </c>
      <c r="I92" s="87">
        <f>IF(TrRoad_act!I8=0,0,I24/TrRoad_act!I8*1000)</f>
        <v>44.480719490968298</v>
      </c>
      <c r="J92" s="87">
        <f>IF(TrRoad_act!J8=0,0,J24/TrRoad_act!J8*1000)</f>
        <v>39.967991774263886</v>
      </c>
      <c r="K92" s="87">
        <f>IF(TrRoad_act!K8=0,0,K24/TrRoad_act!K8*1000)</f>
        <v>37.260896573060577</v>
      </c>
      <c r="L92" s="87">
        <f>IF(TrRoad_act!L8=0,0,L24/TrRoad_act!L8*1000)</f>
        <v>40.804171475816069</v>
      </c>
      <c r="M92" s="87">
        <f>IF(TrRoad_act!M8=0,0,M24/TrRoad_act!M8*1000)</f>
        <v>40.087540098798236</v>
      </c>
      <c r="N92" s="87">
        <f>IF(TrRoad_act!N8=0,0,N24/TrRoad_act!N8*1000)</f>
        <v>39.848203397793974</v>
      </c>
      <c r="O92" s="87">
        <f>IF(TrRoad_act!O8=0,0,O24/TrRoad_act!O8*1000)</f>
        <v>37.181931655114781</v>
      </c>
      <c r="P92" s="87">
        <f>IF(TrRoad_act!P8=0,0,P24/TrRoad_act!P8*1000)</f>
        <v>35.926281843128017</v>
      </c>
      <c r="Q92" s="87">
        <f>IF(TrRoad_act!Q8=0,0,Q24/TrRoad_act!Q8*1000)</f>
        <v>35.987706932429255</v>
      </c>
      <c r="R92" s="87">
        <f>IF(TrRoad_act!R8=0,0,R24/TrRoad_act!R8*1000)</f>
        <v>35.153335608185998</v>
      </c>
      <c r="S92" s="87">
        <f>IF(TrRoad_act!S8=0,0,S24/TrRoad_act!S8*1000)</f>
        <v>35.964077260191274</v>
      </c>
      <c r="T92" s="87">
        <f>IF(TrRoad_act!T8=0,0,T24/TrRoad_act!T8*1000)</f>
        <v>37.046158018521126</v>
      </c>
      <c r="U92" s="87">
        <f>IF(TrRoad_act!U8=0,0,U24/TrRoad_act!U8*1000)</f>
        <v>35.703421336751326</v>
      </c>
      <c r="V92" s="87">
        <f>IF(TrRoad_act!V8=0,0,V24/TrRoad_act!V8*1000)</f>
        <v>39.260952003977486</v>
      </c>
      <c r="W92" s="87">
        <f>IF(TrRoad_act!W8=0,0,W24/TrRoad_act!W8*1000)</f>
        <v>37.961423554081271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46.114682547489082</v>
      </c>
      <c r="C93" s="87">
        <f>IF(TrRoad_act!C9=0,0,C26/TrRoad_act!C9*1000)</f>
        <v>47.036202425559182</v>
      </c>
      <c r="D93" s="87">
        <f>IF(TrRoad_act!D9=0,0,D26/TrRoad_act!D9*1000)</f>
        <v>44.673755036312194</v>
      </c>
      <c r="E93" s="87">
        <f>IF(TrRoad_act!E9=0,0,E26/TrRoad_act!E9*1000)</f>
        <v>42.6797364665996</v>
      </c>
      <c r="F93" s="87">
        <f>IF(TrRoad_act!F9=0,0,F26/TrRoad_act!F9*1000)</f>
        <v>48.827620266097938</v>
      </c>
      <c r="G93" s="87">
        <f>IF(TrRoad_act!G9=0,0,G26/TrRoad_act!G9*1000)</f>
        <v>39.563883799895081</v>
      </c>
      <c r="H93" s="87">
        <f>IF(TrRoad_act!H9=0,0,H26/TrRoad_act!H9*1000)</f>
        <v>41.41645861735087</v>
      </c>
      <c r="I93" s="87">
        <f>IF(TrRoad_act!I9=0,0,I26/TrRoad_act!I9*1000)</f>
        <v>43.794051795910214</v>
      </c>
      <c r="J93" s="87">
        <f>IF(TrRoad_act!J9=0,0,J26/TrRoad_act!J9*1000)</f>
        <v>52.769269049232079</v>
      </c>
      <c r="K93" s="87">
        <f>IF(TrRoad_act!K9=0,0,K26/TrRoad_act!K9*1000)</f>
        <v>49.541892507155644</v>
      </c>
      <c r="L93" s="87">
        <f>IF(TrRoad_act!L9=0,0,L26/TrRoad_act!L9*1000)</f>
        <v>48.095959654094521</v>
      </c>
      <c r="M93" s="87">
        <f>IF(TrRoad_act!M9=0,0,M26/TrRoad_act!M9*1000)</f>
        <v>45.571092861004161</v>
      </c>
      <c r="N93" s="87">
        <f>IF(TrRoad_act!N9=0,0,N26/TrRoad_act!N9*1000)</f>
        <v>44.771027223614723</v>
      </c>
      <c r="O93" s="87">
        <f>IF(TrRoad_act!O9=0,0,O26/TrRoad_act!O9*1000)</f>
        <v>44.758584141592728</v>
      </c>
      <c r="P93" s="87">
        <f>IF(TrRoad_act!P9=0,0,P26/TrRoad_act!P9*1000)</f>
        <v>45.30300549705327</v>
      </c>
      <c r="Q93" s="87">
        <f>IF(TrRoad_act!Q9=0,0,Q26/TrRoad_act!Q9*1000)</f>
        <v>51.007146069711261</v>
      </c>
      <c r="R93" s="87">
        <f>IF(TrRoad_act!R9=0,0,R26/TrRoad_act!R9*1000)</f>
        <v>48.087662035424025</v>
      </c>
      <c r="S93" s="87">
        <f>IF(TrRoad_act!S9=0,0,S26/TrRoad_act!S9*1000)</f>
        <v>48.808128731851355</v>
      </c>
      <c r="T93" s="87">
        <f>IF(TrRoad_act!T9=0,0,T26/TrRoad_act!T9*1000)</f>
        <v>49.670073435502843</v>
      </c>
      <c r="U93" s="87">
        <f>IF(TrRoad_act!U9=0,0,U26/TrRoad_act!U9*1000)</f>
        <v>48.704265306766757</v>
      </c>
      <c r="V93" s="87">
        <f>IF(TrRoad_act!V9=0,0,V26/TrRoad_act!V9*1000)</f>
        <v>50.315712739959686</v>
      </c>
      <c r="W93" s="87">
        <f>IF(TrRoad_act!W9=0,0,W26/TrRoad_act!W9*1000)</f>
        <v>48.426297949028346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44.848484253970938</v>
      </c>
      <c r="M94" s="87">
        <f>IF(TrRoad_act!M10=0,0,M27/TrRoad_act!M10*1000)</f>
        <v>45.475101473830584</v>
      </c>
      <c r="N94" s="87">
        <f>IF(TrRoad_act!N10=0,0,N27/TrRoad_act!N10*1000)</f>
        <v>46.26533954746624</v>
      </c>
      <c r="O94" s="87">
        <f>IF(TrRoad_act!O10=0,0,O27/TrRoad_act!O10*1000)</f>
        <v>44.941908121887927</v>
      </c>
      <c r="P94" s="87">
        <f>IF(TrRoad_act!P10=0,0,P27/TrRoad_act!P10*1000)</f>
        <v>43.774862136546375</v>
      </c>
      <c r="Q94" s="87">
        <f>IF(TrRoad_act!Q10=0,0,Q27/TrRoad_act!Q10*1000)</f>
        <v>41.584282989451218</v>
      </c>
      <c r="R94" s="87">
        <f>IF(TrRoad_act!R10=0,0,R27/TrRoad_act!R10*1000)</f>
        <v>36.047545799489605</v>
      </c>
      <c r="S94" s="87">
        <f>IF(TrRoad_act!S10=0,0,S27/TrRoad_act!S10*1000)</f>
        <v>38.3729561019139</v>
      </c>
      <c r="T94" s="87">
        <f>IF(TrRoad_act!T10=0,0,T27/TrRoad_act!T10*1000)</f>
        <v>39.545913022942202</v>
      </c>
      <c r="U94" s="87">
        <f>IF(TrRoad_act!U10=0,0,U27/TrRoad_act!U10*1000)</f>
        <v>33.481432652185809</v>
      </c>
      <c r="V94" s="87">
        <f>IF(TrRoad_act!V10=0,0,V27/TrRoad_act!V10*1000)</f>
        <v>35.80002408677759</v>
      </c>
      <c r="W94" s="87">
        <f>IF(TrRoad_act!W10=0,0,W27/TrRoad_act!W10*1000)</f>
        <v>33.467027005593565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0</v>
      </c>
      <c r="P95" s="87">
        <f>IF(TrRoad_act!P11=0,0,P29/TrRoad_act!P11*1000)</f>
        <v>16.738705899527066</v>
      </c>
      <c r="Q95" s="87">
        <f>IF(TrRoad_act!Q11=0,0,Q29/TrRoad_act!Q11*1000)</f>
        <v>19.175762810384324</v>
      </c>
      <c r="R95" s="87">
        <f>IF(TrRoad_act!R11=0,0,R29/TrRoad_act!R11*1000)</f>
        <v>19.983764943186401</v>
      </c>
      <c r="S95" s="87">
        <f>IF(TrRoad_act!S11=0,0,S29/TrRoad_act!S11*1000)</f>
        <v>19.645270543309625</v>
      </c>
      <c r="T95" s="87">
        <f>IF(TrRoad_act!T11=0,0,T29/TrRoad_act!T11*1000)</f>
        <v>21.420932618861471</v>
      </c>
      <c r="U95" s="87">
        <f>IF(TrRoad_act!U11=0,0,U29/TrRoad_act!U11*1000)</f>
        <v>21.333347007189747</v>
      </c>
      <c r="V95" s="87">
        <f>IF(TrRoad_act!V11=0,0,V29/TrRoad_act!V11*1000)</f>
        <v>25.09225903284889</v>
      </c>
      <c r="W95" s="87">
        <f>IF(TrRoad_act!W11=0,0,W29/TrRoad_act!W11*1000)</f>
        <v>21.989641892285842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7.5373074024517246</v>
      </c>
      <c r="K96" s="87">
        <f>IF(TrRoad_act!K12=0,0,K32/TrRoad_act!K12*1000)</f>
        <v>7.6605894696594241</v>
      </c>
      <c r="L96" s="87">
        <f>IF(TrRoad_act!L12=0,0,L32/TrRoad_act!L12*1000)</f>
        <v>7.8765709111433271</v>
      </c>
      <c r="M96" s="87">
        <f>IF(TrRoad_act!M12=0,0,M32/TrRoad_act!M12*1000)</f>
        <v>7.7133997026698271</v>
      </c>
      <c r="N96" s="87">
        <f>IF(TrRoad_act!N12=0,0,N32/TrRoad_act!N12*1000)</f>
        <v>7.2132643694198668</v>
      </c>
      <c r="O96" s="87">
        <f>IF(TrRoad_act!O12=0,0,O32/TrRoad_act!O12*1000)</f>
        <v>7.0995064400077794</v>
      </c>
      <c r="P96" s="87">
        <f>IF(TrRoad_act!P12=0,0,P32/TrRoad_act!P12*1000)</f>
        <v>7.2154534501149028</v>
      </c>
      <c r="Q96" s="87">
        <f>IF(TrRoad_act!Q12=0,0,Q32/TrRoad_act!Q12*1000)</f>
        <v>7.5032481535436428</v>
      </c>
      <c r="R96" s="87">
        <f>IF(TrRoad_act!R12=0,0,R32/TrRoad_act!R12*1000)</f>
        <v>7.7043476212798012</v>
      </c>
      <c r="S96" s="87">
        <f>IF(TrRoad_act!S12=0,0,S32/TrRoad_act!S12*1000)</f>
        <v>8.0045835077059468</v>
      </c>
      <c r="T96" s="87">
        <f>IF(TrRoad_act!T12=0,0,T32/TrRoad_act!T12*1000)</f>
        <v>8.7234034529793707</v>
      </c>
      <c r="U96" s="87">
        <f>IF(TrRoad_act!U12=0,0,U32/TrRoad_act!U12*1000)</f>
        <v>8.9465245846072996</v>
      </c>
      <c r="V96" s="87">
        <f>IF(TrRoad_act!V12=0,0,V32/TrRoad_act!V12*1000)</f>
        <v>10.345818400650334</v>
      </c>
      <c r="W96" s="87">
        <f>IF(TrRoad_act!W12=0,0,W32/TrRoad_act!W12*1000)</f>
        <v>10.185660424451246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32.216783591282208</v>
      </c>
      <c r="C97" s="116">
        <f>IF(TrRoad_act!C13=0,0,C33/TrRoad_act!C13*1000)</f>
        <v>40.877143718165954</v>
      </c>
      <c r="D97" s="116">
        <f>IF(TrRoad_act!D13=0,0,D33/TrRoad_act!D13*1000)</f>
        <v>47.62083041563023</v>
      </c>
      <c r="E97" s="116">
        <f>IF(TrRoad_act!E13=0,0,E33/TrRoad_act!E13*1000)</f>
        <v>42.794485897891917</v>
      </c>
      <c r="F97" s="116">
        <f>IF(TrRoad_act!F13=0,0,F33/TrRoad_act!F13*1000)</f>
        <v>41.17029332284347</v>
      </c>
      <c r="G97" s="116">
        <f>IF(TrRoad_act!G13=0,0,G33/TrRoad_act!G13*1000)</f>
        <v>39.274490635303351</v>
      </c>
      <c r="H97" s="116">
        <f>IF(TrRoad_act!H13=0,0,H33/TrRoad_act!H13*1000)</f>
        <v>37.790013251673344</v>
      </c>
      <c r="I97" s="116">
        <f>IF(TrRoad_act!I13=0,0,I33/TrRoad_act!I13*1000)</f>
        <v>34.872715448697811</v>
      </c>
      <c r="J97" s="116">
        <f>IF(TrRoad_act!J13=0,0,J33/TrRoad_act!J13*1000)</f>
        <v>34.73625698783502</v>
      </c>
      <c r="K97" s="116">
        <f>IF(TrRoad_act!K13=0,0,K33/TrRoad_act!K13*1000)</f>
        <v>35.127903556448388</v>
      </c>
      <c r="L97" s="116">
        <f>IF(TrRoad_act!L13=0,0,L33/TrRoad_act!L13*1000)</f>
        <v>39.324223893894661</v>
      </c>
      <c r="M97" s="116">
        <f>IF(TrRoad_act!M13=0,0,M33/TrRoad_act!M13*1000)</f>
        <v>38.703811627159823</v>
      </c>
      <c r="N97" s="116">
        <f>IF(TrRoad_act!N13=0,0,N33/TrRoad_act!N13*1000)</f>
        <v>43.188310987031791</v>
      </c>
      <c r="O97" s="116">
        <f>IF(TrRoad_act!O13=0,0,O33/TrRoad_act!O13*1000)</f>
        <v>41.984942282499439</v>
      </c>
      <c r="P97" s="116">
        <f>IF(TrRoad_act!P13=0,0,P33/TrRoad_act!P13*1000)</f>
        <v>42.79744392251132</v>
      </c>
      <c r="Q97" s="116">
        <f>IF(TrRoad_act!Q13=0,0,Q33/TrRoad_act!Q13*1000)</f>
        <v>36.562657821126024</v>
      </c>
      <c r="R97" s="116">
        <f>IF(TrRoad_act!R13=0,0,R33/TrRoad_act!R13*1000)</f>
        <v>32.808062240543912</v>
      </c>
      <c r="S97" s="116">
        <f>IF(TrRoad_act!S13=0,0,S33/TrRoad_act!S13*1000)</f>
        <v>38.13839370346458</v>
      </c>
      <c r="T97" s="116">
        <f>IF(TrRoad_act!T13=0,0,T33/TrRoad_act!T13*1000)</f>
        <v>38.760568438210079</v>
      </c>
      <c r="U97" s="116">
        <f>IF(TrRoad_act!U13=0,0,U33/TrRoad_act!U13*1000)</f>
        <v>32.434056139586787</v>
      </c>
      <c r="V97" s="116">
        <f>IF(TrRoad_act!V13=0,0,V33/TrRoad_act!V13*1000)</f>
        <v>71.952718506733859</v>
      </c>
      <c r="W97" s="116">
        <f>IF(TrRoad_act!W13=0,0,W33/TrRoad_act!W13*1000)</f>
        <v>83.437750848326175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32.634814675971498</v>
      </c>
      <c r="C98" s="101">
        <f>IF(TrRoad_act!C14=0,0,C34/TrRoad_act!C14*1000)</f>
        <v>32.725193555728367</v>
      </c>
      <c r="D98" s="101">
        <f>IF(TrRoad_act!D14=0,0,D34/TrRoad_act!D14*1000)</f>
        <v>32.815926220189503</v>
      </c>
      <c r="E98" s="101">
        <f>IF(TrRoad_act!E14=0,0,E34/TrRoad_act!E14*1000)</f>
        <v>32.882404376014037</v>
      </c>
      <c r="F98" s="101">
        <f>IF(TrRoad_act!F14=0,0,F34/TrRoad_act!F14*1000)</f>
        <v>32.70341854660203</v>
      </c>
      <c r="G98" s="101">
        <f>IF(TrRoad_act!G14=0,0,G34/TrRoad_act!G14*1000)</f>
        <v>32.502215192324229</v>
      </c>
      <c r="H98" s="101">
        <f>IF(TrRoad_act!H14=0,0,H34/TrRoad_act!H14*1000)</f>
        <v>32.435646101228883</v>
      </c>
      <c r="I98" s="101">
        <f>IF(TrRoad_act!I14=0,0,I34/TrRoad_act!I14*1000)</f>
        <v>32.078007409967412</v>
      </c>
      <c r="J98" s="101">
        <f>IF(TrRoad_act!J14=0,0,J34/TrRoad_act!J14*1000)</f>
        <v>32.124485543206966</v>
      </c>
      <c r="K98" s="101">
        <f>IF(TrRoad_act!K14=0,0,K34/TrRoad_act!K14*1000)</f>
        <v>32.365334305497072</v>
      </c>
      <c r="L98" s="101">
        <f>IF(TrRoad_act!L14=0,0,L34/TrRoad_act!L14*1000)</f>
        <v>32.413900526203626</v>
      </c>
      <c r="M98" s="101">
        <f>IF(TrRoad_act!M14=0,0,M34/TrRoad_act!M14*1000)</f>
        <v>32.334387345359602</v>
      </c>
      <c r="N98" s="101">
        <f>IF(TrRoad_act!N14=0,0,N34/TrRoad_act!N14*1000)</f>
        <v>32.65360529575122</v>
      </c>
      <c r="O98" s="101">
        <f>IF(TrRoad_act!O14=0,0,O34/TrRoad_act!O14*1000)</f>
        <v>32.746559474185254</v>
      </c>
      <c r="P98" s="101">
        <f>IF(TrRoad_act!P14=0,0,P34/TrRoad_act!P14*1000)</f>
        <v>32.807588256013823</v>
      </c>
      <c r="Q98" s="101">
        <f>IF(TrRoad_act!Q14=0,0,Q34/TrRoad_act!Q14*1000)</f>
        <v>32.470625050286401</v>
      </c>
      <c r="R98" s="101">
        <f>IF(TrRoad_act!R14=0,0,R34/TrRoad_act!R14*1000)</f>
        <v>32.312193643586198</v>
      </c>
      <c r="S98" s="101">
        <f>IF(TrRoad_act!S14=0,0,S34/TrRoad_act!S14*1000)</f>
        <v>32.65065595287961</v>
      </c>
      <c r="T98" s="101">
        <f>IF(TrRoad_act!T14=0,0,T34/TrRoad_act!T14*1000)</f>
        <v>32.647399950893828</v>
      </c>
      <c r="U98" s="101">
        <f>IF(TrRoad_act!U14=0,0,U34/TrRoad_act!U14*1000)</f>
        <v>31.314078482863835</v>
      </c>
      <c r="V98" s="101">
        <f>IF(TrRoad_act!V14=0,0,V34/TrRoad_act!V14*1000)</f>
        <v>38.792978553185556</v>
      </c>
      <c r="W98" s="101">
        <f>IF(TrRoad_act!W14=0,0,W34/TrRoad_act!W14*1000)</f>
        <v>38.824393982459682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32.155586375489875</v>
      </c>
      <c r="C99" s="101">
        <f>IF(TrRoad_act!C15=0,0,C36/TrRoad_act!C15*1000)</f>
        <v>41.976945928548851</v>
      </c>
      <c r="D99" s="101">
        <f>IF(TrRoad_act!D15=0,0,D36/TrRoad_act!D15*1000)</f>
        <v>49.402409649714428</v>
      </c>
      <c r="E99" s="101">
        <f>IF(TrRoad_act!E15=0,0,E36/TrRoad_act!E15*1000)</f>
        <v>43.792761921044075</v>
      </c>
      <c r="F99" s="101">
        <f>IF(TrRoad_act!F15=0,0,F36/TrRoad_act!F15*1000)</f>
        <v>41.868477433689876</v>
      </c>
      <c r="G99" s="101">
        <f>IF(TrRoad_act!G15=0,0,G36/TrRoad_act!G15*1000)</f>
        <v>39.685013898145215</v>
      </c>
      <c r="H99" s="101">
        <f>IF(TrRoad_act!H15=0,0,H36/TrRoad_act!H15*1000)</f>
        <v>38.100358331241587</v>
      </c>
      <c r="I99" s="101">
        <f>IF(TrRoad_act!I15=0,0,I36/TrRoad_act!I15*1000)</f>
        <v>34.968334421762258</v>
      </c>
      <c r="J99" s="101">
        <f>IF(TrRoad_act!J15=0,0,J36/TrRoad_act!J15*1000)</f>
        <v>34.804309696480594</v>
      </c>
      <c r="K99" s="101">
        <f>IF(TrRoad_act!K15=0,0,K36/TrRoad_act!K15*1000)</f>
        <v>35.184190129791773</v>
      </c>
      <c r="L99" s="101">
        <f>IF(TrRoad_act!L15=0,0,L36/TrRoad_act!L15*1000)</f>
        <v>40.241184130547218</v>
      </c>
      <c r="M99" s="101">
        <f>IF(TrRoad_act!M15=0,0,M36/TrRoad_act!M15*1000)</f>
        <v>39.568613058626148</v>
      </c>
      <c r="N99" s="101">
        <f>IF(TrRoad_act!N15=0,0,N36/TrRoad_act!N15*1000)</f>
        <v>44.033793337653734</v>
      </c>
      <c r="O99" s="101">
        <f>IF(TrRoad_act!O15=0,0,O36/TrRoad_act!O15*1000)</f>
        <v>42.664677252569497</v>
      </c>
      <c r="P99" s="101">
        <f>IF(TrRoad_act!P15=0,0,P36/TrRoad_act!P15*1000)</f>
        <v>43.348464975475025</v>
      </c>
      <c r="Q99" s="101">
        <f>IF(TrRoad_act!Q15=0,0,Q36/TrRoad_act!Q15*1000)</f>
        <v>36.645658456903554</v>
      </c>
      <c r="R99" s="101">
        <f>IF(TrRoad_act!R15=0,0,R36/TrRoad_act!R15*1000)</f>
        <v>32.706344142813549</v>
      </c>
      <c r="S99" s="101">
        <f>IF(TrRoad_act!S15=0,0,S36/TrRoad_act!S15*1000)</f>
        <v>38.627032415207125</v>
      </c>
      <c r="T99" s="101">
        <f>IF(TrRoad_act!T15=0,0,T36/TrRoad_act!T15*1000)</f>
        <v>38.274661567429796</v>
      </c>
      <c r="U99" s="101">
        <f>IF(TrRoad_act!U15=0,0,U36/TrRoad_act!U15*1000)</f>
        <v>32.493152237460698</v>
      </c>
      <c r="V99" s="101">
        <f>IF(TrRoad_act!V15=0,0,V36/TrRoad_act!V15*1000)</f>
        <v>72.089488931994453</v>
      </c>
      <c r="W99" s="101">
        <f>IF(TrRoad_act!W15=0,0,W36/TrRoad_act!W15*1000)</f>
        <v>86.504240600931951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34.540437044326247</v>
      </c>
      <c r="U100" s="101">
        <f>IF(TrRoad_act!U16=0,0,U38/TrRoad_act!U16*1000)</f>
        <v>29.27135682914631</v>
      </c>
      <c r="V100" s="101">
        <f>IF(TrRoad_act!V16=0,0,V38/TrRoad_act!V16*1000)</f>
        <v>66.127089305683597</v>
      </c>
      <c r="W100" s="101">
        <f>IF(TrRoad_act!W16=0,0,W38/TrRoad_act!W16*1000)</f>
        <v>75.644676322748239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32.499876113245783</v>
      </c>
      <c r="M101" s="101">
        <f>IF(TrRoad_act!M17=0,0,M39/TrRoad_act!M17*1000)</f>
        <v>57.332774609003309</v>
      </c>
      <c r="N101" s="101">
        <f>IF(TrRoad_act!N17=0,0,N39/TrRoad_act!N17*1000)</f>
        <v>116.33472629219636</v>
      </c>
      <c r="O101" s="101">
        <f>IF(TrRoad_act!O17=0,0,O39/TrRoad_act!O17*1000)</f>
        <v>80.315090416493575</v>
      </c>
      <c r="P101" s="101">
        <f>IF(TrRoad_act!P17=0,0,P39/TrRoad_act!P17*1000)</f>
        <v>73.558182242474771</v>
      </c>
      <c r="Q101" s="101">
        <f>IF(TrRoad_act!Q17=0,0,Q39/TrRoad_act!Q17*1000)</f>
        <v>70.335458982479366</v>
      </c>
      <c r="R101" s="101">
        <f>IF(TrRoad_act!R17=0,0,R39/TrRoad_act!R17*1000)</f>
        <v>55.237184153033539</v>
      </c>
      <c r="S101" s="101">
        <f>IF(TrRoad_act!S17=0,0,S39/TrRoad_act!S17*1000)</f>
        <v>34.550008587774201</v>
      </c>
      <c r="T101" s="101">
        <f>IF(TrRoad_act!T17=0,0,T39/TrRoad_act!T17*1000)</f>
        <v>59.750294149585372</v>
      </c>
      <c r="U101" s="101">
        <f>IF(TrRoad_act!U17=0,0,U39/TrRoad_act!U17*1000)</f>
        <v>36.32440433851761</v>
      </c>
      <c r="V101" s="101">
        <f>IF(TrRoad_act!V17=0,0,V39/TrRoad_act!V17*1000)</f>
        <v>83.839906627335694</v>
      </c>
      <c r="W101" s="101">
        <f>IF(TrRoad_act!W17=0,0,W39/TrRoad_act!W17*1000)</f>
        <v>69.903883990907076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20.551459439645658</v>
      </c>
      <c r="M102" s="101">
        <f>IF(TrRoad_act!M18=0,0,M41/TrRoad_act!M18*1000)</f>
        <v>20.031196731475422</v>
      </c>
      <c r="N102" s="101">
        <f>IF(TrRoad_act!N18=0,0,N41/TrRoad_act!N18*1000)</f>
        <v>22.491917955349567</v>
      </c>
      <c r="O102" s="101">
        <f>IF(TrRoad_act!O18=0,0,O41/TrRoad_act!O18*1000)</f>
        <v>23.345490769347023</v>
      </c>
      <c r="P102" s="101">
        <f>IF(TrRoad_act!P18=0,0,P41/TrRoad_act!P18*1000)</f>
        <v>23.92020017623873</v>
      </c>
      <c r="Q102" s="101">
        <f>IF(TrRoad_act!Q18=0,0,Q41/TrRoad_act!Q18*1000)</f>
        <v>21.099596323882285</v>
      </c>
      <c r="R102" s="101">
        <f>IF(TrRoad_act!R18=0,0,R41/TrRoad_act!R18*1000)</f>
        <v>19.986380818768485</v>
      </c>
      <c r="S102" s="101">
        <f>IF(TrRoad_act!S18=0,0,S41/TrRoad_act!S18*1000)</f>
        <v>23.631704771276503</v>
      </c>
      <c r="T102" s="101">
        <f>IF(TrRoad_act!T18=0,0,T41/TrRoad_act!T18*1000)</f>
        <v>23.610058714969544</v>
      </c>
      <c r="U102" s="101">
        <f>IF(TrRoad_act!U18=0,0,U41/TrRoad_act!U18*1000)</f>
        <v>20.008387633198524</v>
      </c>
      <c r="V102" s="101">
        <f>IF(TrRoad_act!V18=0,0,V41/TrRoad_act!V18*1000)</f>
        <v>45.201062718275139</v>
      </c>
      <c r="W102" s="101">
        <f>IF(TrRoad_act!W18=0,0,W41/TrRoad_act!W18*1000)</f>
        <v>51.706793610138305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85.399925968723096</v>
      </c>
      <c r="C103" s="29">
        <f>IF(TrRoad_act!C19=0,0,C42/TrRoad_act!C19*1000)</f>
        <v>107.21083861076765</v>
      </c>
      <c r="D103" s="29">
        <f>IF(TrRoad_act!D19=0,0,D42/TrRoad_act!D19*1000)</f>
        <v>106.6617137569871</v>
      </c>
      <c r="E103" s="29">
        <f>IF(TrRoad_act!E19=0,0,E42/TrRoad_act!E19*1000)</f>
        <v>70.164409910489567</v>
      </c>
      <c r="F103" s="29">
        <f>IF(TrRoad_act!F19=0,0,F42/TrRoad_act!F19*1000)</f>
        <v>73.31876295250936</v>
      </c>
      <c r="G103" s="29">
        <f>IF(TrRoad_act!G19=0,0,G42/TrRoad_act!G19*1000)</f>
        <v>63.01351407119121</v>
      </c>
      <c r="H103" s="29">
        <f>IF(TrRoad_act!H19=0,0,H42/TrRoad_act!H19*1000)</f>
        <v>59.735431596763895</v>
      </c>
      <c r="I103" s="29">
        <f>IF(TrRoad_act!I19=0,0,I42/TrRoad_act!I19*1000)</f>
        <v>62.26350524370126</v>
      </c>
      <c r="J103" s="29">
        <f>IF(TrRoad_act!J19=0,0,J42/TrRoad_act!J19*1000)</f>
        <v>65.101033247719869</v>
      </c>
      <c r="K103" s="29">
        <f>IF(TrRoad_act!K19=0,0,K42/TrRoad_act!K19*1000)</f>
        <v>65.728061115858253</v>
      </c>
      <c r="L103" s="29">
        <f>IF(TrRoad_act!L19=0,0,L42/TrRoad_act!L19*1000)</f>
        <v>70.715784609892523</v>
      </c>
      <c r="M103" s="29">
        <f>IF(TrRoad_act!M19=0,0,M42/TrRoad_act!M19*1000)</f>
        <v>68.541061896478979</v>
      </c>
      <c r="N103" s="29">
        <f>IF(TrRoad_act!N19=0,0,N42/TrRoad_act!N19*1000)</f>
        <v>67.063679291174225</v>
      </c>
      <c r="O103" s="29">
        <f>IF(TrRoad_act!O19=0,0,O42/TrRoad_act!O19*1000)</f>
        <v>60.744896791351245</v>
      </c>
      <c r="P103" s="29">
        <f>IF(TrRoad_act!P19=0,0,P42/TrRoad_act!P19*1000)</f>
        <v>59.67477928708562</v>
      </c>
      <c r="Q103" s="29">
        <f>IF(TrRoad_act!Q19=0,0,Q42/TrRoad_act!Q19*1000)</f>
        <v>54.404134073033333</v>
      </c>
      <c r="R103" s="29">
        <f>IF(TrRoad_act!R19=0,0,R42/TrRoad_act!R19*1000)</f>
        <v>48.848484734875179</v>
      </c>
      <c r="S103" s="29">
        <f>IF(TrRoad_act!S19=0,0,S42/TrRoad_act!S19*1000)</f>
        <v>49.604037581247489</v>
      </c>
      <c r="T103" s="29">
        <f>IF(TrRoad_act!T19=0,0,T42/TrRoad_act!T19*1000)</f>
        <v>50.440633095978292</v>
      </c>
      <c r="U103" s="29">
        <f>IF(TrRoad_act!U19=0,0,U42/TrRoad_act!U19*1000)</f>
        <v>51.472273598105694</v>
      </c>
      <c r="V103" s="29">
        <f>IF(TrRoad_act!V19=0,0,V42/TrRoad_act!V19*1000)</f>
        <v>52.438129778829406</v>
      </c>
      <c r="W103" s="29">
        <f>IF(TrRoad_act!W19=0,0,W42/TrRoad_act!W19*1000)</f>
        <v>54.565905986249341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336.11887082070768</v>
      </c>
      <c r="C104" s="152">
        <f>IF(TrRoad_act!C20=0,0,C43/TrRoad_act!C20*1000)</f>
        <v>403.86208877553389</v>
      </c>
      <c r="D104" s="152">
        <f>IF(TrRoad_act!D20=0,0,D43/TrRoad_act!D20*1000)</f>
        <v>440.74011848171352</v>
      </c>
      <c r="E104" s="152">
        <f>IF(TrRoad_act!E20=0,0,E43/TrRoad_act!E20*1000)</f>
        <v>383.7888947780757</v>
      </c>
      <c r="F104" s="152">
        <f>IF(TrRoad_act!F20=0,0,F43/TrRoad_act!F20*1000)</f>
        <v>388.74486728772462</v>
      </c>
      <c r="G104" s="152">
        <f>IF(TrRoad_act!G20=0,0,G43/TrRoad_act!G20*1000)</f>
        <v>384.53035464604892</v>
      </c>
      <c r="H104" s="152">
        <f>IF(TrRoad_act!H20=0,0,H43/TrRoad_act!H20*1000)</f>
        <v>376.07200763810613</v>
      </c>
      <c r="I104" s="152">
        <f>IF(TrRoad_act!I20=0,0,I43/TrRoad_act!I20*1000)</f>
        <v>371.43904956177579</v>
      </c>
      <c r="J104" s="152">
        <f>IF(TrRoad_act!J20=0,0,J43/TrRoad_act!J20*1000)</f>
        <v>354.92352342946793</v>
      </c>
      <c r="K104" s="152">
        <f>IF(TrRoad_act!K20=0,0,K43/TrRoad_act!K20*1000)</f>
        <v>325.93368788418576</v>
      </c>
      <c r="L104" s="152">
        <f>IF(TrRoad_act!L20=0,0,L43/TrRoad_act!L20*1000)</f>
        <v>350.7614033807713</v>
      </c>
      <c r="M104" s="152">
        <f>IF(TrRoad_act!M20=0,0,M43/TrRoad_act!M20*1000)</f>
        <v>350.68294919147365</v>
      </c>
      <c r="N104" s="152">
        <f>IF(TrRoad_act!N20=0,0,N43/TrRoad_act!N20*1000)</f>
        <v>342.66228166147636</v>
      </c>
      <c r="O104" s="152">
        <f>IF(TrRoad_act!O20=0,0,O43/TrRoad_act!O20*1000)</f>
        <v>317.40238773169284</v>
      </c>
      <c r="P104" s="152">
        <f>IF(TrRoad_act!P20=0,0,P43/TrRoad_act!P20*1000)</f>
        <v>309.17795282200223</v>
      </c>
      <c r="Q104" s="152">
        <f>IF(TrRoad_act!Q20=0,0,Q43/TrRoad_act!Q20*1000)</f>
        <v>290.37163470762016</v>
      </c>
      <c r="R104" s="152">
        <f>IF(TrRoad_act!R20=0,0,R43/TrRoad_act!R20*1000)</f>
        <v>272.13770416582713</v>
      </c>
      <c r="S104" s="152">
        <f>IF(TrRoad_act!S20=0,0,S43/TrRoad_act!S20*1000)</f>
        <v>268.05532972457377</v>
      </c>
      <c r="T104" s="152">
        <f>IF(TrRoad_act!T20=0,0,T43/TrRoad_act!T20*1000)</f>
        <v>264.86700510103486</v>
      </c>
      <c r="U104" s="152">
        <f>IF(TrRoad_act!U20=0,0,U43/TrRoad_act!U20*1000)</f>
        <v>262.32650380706974</v>
      </c>
      <c r="V104" s="152">
        <f>IF(TrRoad_act!V20=0,0,V43/TrRoad_act!V20*1000)</f>
        <v>253.91491139788653</v>
      </c>
      <c r="W104" s="152">
        <f>IF(TrRoad_act!W20=0,0,W43/TrRoad_act!W20*1000)</f>
        <v>263.50765088379819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446.54548692932218</v>
      </c>
      <c r="C105" s="87">
        <f>IF(TrRoad_act!C21=0,0,C44/TrRoad_act!C21*1000)</f>
        <v>454.4373454487087</v>
      </c>
      <c r="D105" s="87">
        <f>IF(TrRoad_act!D21=0,0,D44/TrRoad_act!D21*1000)</f>
        <v>451.78670940896995</v>
      </c>
      <c r="E105" s="87">
        <f>IF(TrRoad_act!E21=0,0,E44/TrRoad_act!E21*1000)</f>
        <v>445.38938265816739</v>
      </c>
      <c r="F105" s="87">
        <f>IF(TrRoad_act!F21=0,0,F44/TrRoad_act!F21*1000)</f>
        <v>448.14047603096873</v>
      </c>
      <c r="G105" s="87">
        <f>IF(TrRoad_act!G21=0,0,G44/TrRoad_act!G21*1000)</f>
        <v>436.6090933650683</v>
      </c>
      <c r="H105" s="87">
        <f>IF(TrRoad_act!H21=0,0,H44/TrRoad_act!H21*1000)</f>
        <v>435.36514925906755</v>
      </c>
      <c r="I105" s="87">
        <f>IF(TrRoad_act!I21=0,0,I44/TrRoad_act!I21*1000)</f>
        <v>421.25385526448025</v>
      </c>
      <c r="J105" s="87">
        <f>IF(TrRoad_act!J21=0,0,J44/TrRoad_act!J21*1000)</f>
        <v>404.58589040154465</v>
      </c>
      <c r="K105" s="87">
        <f>IF(TrRoad_act!K21=0,0,K44/TrRoad_act!K21*1000)</f>
        <v>389.31565120787889</v>
      </c>
      <c r="L105" s="87">
        <f>IF(TrRoad_act!L21=0,0,L44/TrRoad_act!L21*1000)</f>
        <v>378.76288146632726</v>
      </c>
      <c r="M105" s="87">
        <f>IF(TrRoad_act!M21=0,0,M44/TrRoad_act!M21*1000)</f>
        <v>378.04431530015597</v>
      </c>
      <c r="N105" s="87">
        <f>IF(TrRoad_act!N21=0,0,N44/TrRoad_act!N21*1000)</f>
        <v>369.59000291165552</v>
      </c>
      <c r="O105" s="87">
        <f>IF(TrRoad_act!O21=0,0,O44/TrRoad_act!O21*1000)</f>
        <v>360.52041873258423</v>
      </c>
      <c r="P105" s="87">
        <f>IF(TrRoad_act!P21=0,0,P44/TrRoad_act!P21*1000)</f>
        <v>355.82695098660173</v>
      </c>
      <c r="Q105" s="87">
        <f>IF(TrRoad_act!Q21=0,0,Q44/TrRoad_act!Q21*1000)</f>
        <v>345.81103981134419</v>
      </c>
      <c r="R105" s="87">
        <f>IF(TrRoad_act!R21=0,0,R44/TrRoad_act!R21*1000)</f>
        <v>334.39884771621695</v>
      </c>
      <c r="S105" s="87">
        <f>IF(TrRoad_act!S21=0,0,S44/TrRoad_act!S21*1000)</f>
        <v>328.22353446163288</v>
      </c>
      <c r="T105" s="87">
        <f>IF(TrRoad_act!T21=0,0,T44/TrRoad_act!T21*1000)</f>
        <v>330.30208634946871</v>
      </c>
      <c r="U105" s="87">
        <f>IF(TrRoad_act!U21=0,0,U44/TrRoad_act!U21*1000)</f>
        <v>323.13497312836546</v>
      </c>
      <c r="V105" s="87">
        <f>IF(TrRoad_act!V21=0,0,V44/TrRoad_act!V21*1000)</f>
        <v>310.53268962854395</v>
      </c>
      <c r="W105" s="87">
        <f>IF(TrRoad_act!W21=0,0,W44/TrRoad_act!W21*1000)</f>
        <v>300.53406438583505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308.8434423895946</v>
      </c>
      <c r="C106" s="87">
        <f>IF(TrRoad_act!C22=0,0,C46/TrRoad_act!C22*1000)</f>
        <v>390.22610875363171</v>
      </c>
      <c r="D106" s="87">
        <f>IF(TrRoad_act!D22=0,0,D46/TrRoad_act!D22*1000)</f>
        <v>437.8000404580884</v>
      </c>
      <c r="E106" s="87">
        <f>IF(TrRoad_act!E22=0,0,E46/TrRoad_act!E22*1000)</f>
        <v>367.82208843674948</v>
      </c>
      <c r="F106" s="87">
        <f>IF(TrRoad_act!F22=0,0,F46/TrRoad_act!F22*1000)</f>
        <v>372.18349393409716</v>
      </c>
      <c r="G106" s="87">
        <f>IF(TrRoad_act!G22=0,0,G46/TrRoad_act!G22*1000)</f>
        <v>370.6408252748173</v>
      </c>
      <c r="H106" s="87">
        <f>IF(TrRoad_act!H22=0,0,H46/TrRoad_act!H22*1000)</f>
        <v>359.87808352507938</v>
      </c>
      <c r="I106" s="87">
        <f>IF(TrRoad_act!I22=0,0,I46/TrRoad_act!I22*1000)</f>
        <v>359.50314033502326</v>
      </c>
      <c r="J106" s="87">
        <f>IF(TrRoad_act!J22=0,0,J46/TrRoad_act!J22*1000)</f>
        <v>343.13908617882601</v>
      </c>
      <c r="K106" s="87">
        <f>IF(TrRoad_act!K22=0,0,K46/TrRoad_act!K22*1000)</f>
        <v>311.83780355959067</v>
      </c>
      <c r="L106" s="87">
        <f>IF(TrRoad_act!L22=0,0,L46/TrRoad_act!L22*1000)</f>
        <v>345.10535700010047</v>
      </c>
      <c r="M106" s="87">
        <f>IF(TrRoad_act!M22=0,0,M46/TrRoad_act!M22*1000)</f>
        <v>345.13997184953581</v>
      </c>
      <c r="N106" s="87">
        <f>IF(TrRoad_act!N22=0,0,N46/TrRoad_act!N22*1000)</f>
        <v>337.70473951831343</v>
      </c>
      <c r="O106" s="87">
        <f>IF(TrRoad_act!O22=0,0,O46/TrRoad_act!O22*1000)</f>
        <v>310.86571029811847</v>
      </c>
      <c r="P106" s="87">
        <f>IF(TrRoad_act!P22=0,0,P46/TrRoad_act!P22*1000)</f>
        <v>302.66613515603058</v>
      </c>
      <c r="Q106" s="87">
        <f>IF(TrRoad_act!Q22=0,0,Q46/TrRoad_act!Q22*1000)</f>
        <v>283.13823094440403</v>
      </c>
      <c r="R106" s="87">
        <f>IF(TrRoad_act!R22=0,0,R46/TrRoad_act!R22*1000)</f>
        <v>265.08284487651559</v>
      </c>
      <c r="S106" s="87">
        <f>IF(TrRoad_act!S22=0,0,S46/TrRoad_act!S22*1000)</f>
        <v>261.78248215406563</v>
      </c>
      <c r="T106" s="87">
        <f>IF(TrRoad_act!T22=0,0,T46/TrRoad_act!T22*1000)</f>
        <v>258.016490886074</v>
      </c>
      <c r="U106" s="87">
        <f>IF(TrRoad_act!U22=0,0,U46/TrRoad_act!U22*1000)</f>
        <v>256.70466226052213</v>
      </c>
      <c r="V106" s="87">
        <f>IF(TrRoad_act!V22=0,0,V46/TrRoad_act!V22*1000)</f>
        <v>249.20982241777787</v>
      </c>
      <c r="W106" s="87">
        <f>IF(TrRoad_act!W22=0,0,W46/TrRoad_act!W22*1000)</f>
        <v>260.81282583054258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332.89896071659837</v>
      </c>
      <c r="O108" s="87">
        <f>IF(TrRoad_act!O24=0,0,O49/TrRoad_act!O24*1000)</f>
        <v>335.40299208265566</v>
      </c>
      <c r="P108" s="87">
        <f>IF(TrRoad_act!P24=0,0,P49/TrRoad_act!P24*1000)</f>
        <v>351.98685710860974</v>
      </c>
      <c r="Q108" s="87">
        <f>IF(TrRoad_act!Q24=0,0,Q49/TrRoad_act!Q24*1000)</f>
        <v>341.38373000110755</v>
      </c>
      <c r="R108" s="87">
        <f>IF(TrRoad_act!R24=0,0,R49/TrRoad_act!R24*1000)</f>
        <v>342.48105626992344</v>
      </c>
      <c r="S108" s="87">
        <f>IF(TrRoad_act!S24=0,0,S49/TrRoad_act!S24*1000)</f>
        <v>303.18290518776723</v>
      </c>
      <c r="T108" s="87">
        <f>IF(TrRoad_act!T24=0,0,T49/TrRoad_act!T24*1000)</f>
        <v>296.6548632998643</v>
      </c>
      <c r="U108" s="87">
        <f>IF(TrRoad_act!U24=0,0,U49/TrRoad_act!U24*1000)</f>
        <v>296.12284773624674</v>
      </c>
      <c r="V108" s="87">
        <f>IF(TrRoad_act!V24=0,0,V49/TrRoad_act!V24*1000)</f>
        <v>297.42177002784905</v>
      </c>
      <c r="W108" s="87">
        <f>IF(TrRoad_act!W24=0,0,W49/TrRoad_act!W24*1000)</f>
        <v>298.57164289123051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48.597651045341671</v>
      </c>
      <c r="J109" s="87">
        <f>IF(TrRoad_act!J25=0,0,J51/TrRoad_act!J25*1000)</f>
        <v>48.606104778518841</v>
      </c>
      <c r="K109" s="87">
        <f>IF(TrRoad_act!K25=0,0,K51/TrRoad_act!K25*1000)</f>
        <v>48.615549449463735</v>
      </c>
      <c r="L109" s="87">
        <f>IF(TrRoad_act!L25=0,0,L51/TrRoad_act!L25*1000)</f>
        <v>48.624738178828203</v>
      </c>
      <c r="M109" s="87">
        <f>IF(TrRoad_act!M25=0,0,M51/TrRoad_act!M25*1000)</f>
        <v>48.63322179073451</v>
      </c>
      <c r="N109" s="87">
        <f>IF(TrRoad_act!N25=0,0,N51/TrRoad_act!N25*1000)</f>
        <v>49.043814955424445</v>
      </c>
      <c r="O109" s="87">
        <f>IF(TrRoad_act!O25=0,0,O51/TrRoad_act!O25*1000)</f>
        <v>49.937755771266815</v>
      </c>
      <c r="P109" s="87">
        <f>IF(TrRoad_act!P25=0,0,P51/TrRoad_act!P25*1000)</f>
        <v>61.640173576324365</v>
      </c>
      <c r="Q109" s="87">
        <f>IF(TrRoad_act!Q25=0,0,Q51/TrRoad_act!Q25*1000)</f>
        <v>62.361936624324883</v>
      </c>
      <c r="R109" s="87">
        <f>IF(TrRoad_act!R25=0,0,R51/TrRoad_act!R25*1000)</f>
        <v>64.610169659665672</v>
      </c>
      <c r="S109" s="87">
        <f>IF(TrRoad_act!S25=0,0,S51/TrRoad_act!S25*1000)</f>
        <v>65.988953166320627</v>
      </c>
      <c r="T109" s="87">
        <f>IF(TrRoad_act!T25=0,0,T51/TrRoad_act!T25*1000)</f>
        <v>67.643264272809319</v>
      </c>
      <c r="U109" s="87">
        <f>IF(TrRoad_act!U25=0,0,U51/TrRoad_act!U25*1000)</f>
        <v>69.455955859738594</v>
      </c>
      <c r="V109" s="87">
        <f>IF(TrRoad_act!V25=0,0,V51/TrRoad_act!V25*1000)</f>
        <v>99.515375585166808</v>
      </c>
      <c r="W109" s="87">
        <f>IF(TrRoad_act!W25=0,0,W51/TrRoad_act!W25*1000)</f>
        <v>120.14510142909728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37.905275011813117</v>
      </c>
      <c r="C110" s="116">
        <f>IF(TrRoad_act!C26=0,0,C52/TrRoad_act!C26*1000)</f>
        <v>44.494149944682981</v>
      </c>
      <c r="D110" s="116">
        <f>IF(TrRoad_act!D26=0,0,D52/TrRoad_act!D26*1000)</f>
        <v>49.305121595026741</v>
      </c>
      <c r="E110" s="116">
        <f>IF(TrRoad_act!E26=0,0,E52/TrRoad_act!E26*1000)</f>
        <v>37.640878154026666</v>
      </c>
      <c r="F110" s="116">
        <f>IF(TrRoad_act!F26=0,0,F52/TrRoad_act!F26*1000)</f>
        <v>42.24123441041781</v>
      </c>
      <c r="G110" s="116">
        <f>IF(TrRoad_act!G26=0,0,G52/TrRoad_act!G26*1000)</f>
        <v>37.774350312570476</v>
      </c>
      <c r="H110" s="116">
        <f>IF(TrRoad_act!H26=0,0,H52/TrRoad_act!H26*1000)</f>
        <v>37.349509662688391</v>
      </c>
      <c r="I110" s="116">
        <f>IF(TrRoad_act!I26=0,0,I52/TrRoad_act!I26*1000)</f>
        <v>41.65182043684986</v>
      </c>
      <c r="J110" s="116">
        <f>IF(TrRoad_act!J26=0,0,J52/TrRoad_act!J26*1000)</f>
        <v>44.336402573088449</v>
      </c>
      <c r="K110" s="116">
        <f>IF(TrRoad_act!K26=0,0,K52/TrRoad_act!K26*1000)</f>
        <v>41.431095334567374</v>
      </c>
      <c r="L110" s="116">
        <f>IF(TrRoad_act!L26=0,0,L52/TrRoad_act!L26*1000)</f>
        <v>45.795889454781175</v>
      </c>
      <c r="M110" s="116">
        <f>IF(TrRoad_act!M26=0,0,M52/TrRoad_act!M26*1000)</f>
        <v>45.587486906429554</v>
      </c>
      <c r="N110" s="116">
        <f>IF(TrRoad_act!N26=0,0,N52/TrRoad_act!N26*1000)</f>
        <v>43.999227323868084</v>
      </c>
      <c r="O110" s="116">
        <f>IF(TrRoad_act!O26=0,0,O52/TrRoad_act!O26*1000)</f>
        <v>38.713080912748929</v>
      </c>
      <c r="P110" s="116">
        <f>IF(TrRoad_act!P26=0,0,P52/TrRoad_act!P26*1000)</f>
        <v>36.644609041932448</v>
      </c>
      <c r="Q110" s="116">
        <f>IF(TrRoad_act!Q26=0,0,Q52/TrRoad_act!Q26*1000)</f>
        <v>32.936695864395325</v>
      </c>
      <c r="R110" s="116">
        <f>IF(TrRoad_act!R26=0,0,R52/TrRoad_act!R26*1000)</f>
        <v>28.339041061277488</v>
      </c>
      <c r="S110" s="116">
        <f>IF(TrRoad_act!S26=0,0,S52/TrRoad_act!S26*1000)</f>
        <v>25.938479551711183</v>
      </c>
      <c r="T110" s="116">
        <f>IF(TrRoad_act!T26=0,0,T52/TrRoad_act!T26*1000)</f>
        <v>25.464351240871359</v>
      </c>
      <c r="U110" s="116">
        <f>IF(TrRoad_act!U26=0,0,U52/TrRoad_act!U26*1000)</f>
        <v>23.964632713788898</v>
      </c>
      <c r="V110" s="116">
        <f>IF(TrRoad_act!V26=0,0,V52/TrRoad_act!V26*1000)</f>
        <v>22.993160311471669</v>
      </c>
      <c r="W110" s="116">
        <f>IF(TrRoad_act!W26=0,0,W52/TrRoad_act!W26*1000)</f>
        <v>26.384871188494902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47.108399107004963</v>
      </c>
      <c r="C111" s="101">
        <f>IF(TrRoad_act!C27=0,0,C53/TrRoad_act!C27*1000)</f>
        <v>59.026481751766291</v>
      </c>
      <c r="D111" s="101">
        <f>IF(TrRoad_act!D27=0,0,D53/TrRoad_act!D27*1000)</f>
        <v>62.650068215725454</v>
      </c>
      <c r="E111" s="101">
        <f>IF(TrRoad_act!E27=0,0,E53/TrRoad_act!E27*1000)</f>
        <v>41.475937599504739</v>
      </c>
      <c r="F111" s="101">
        <f>IF(TrRoad_act!F27=0,0,F53/TrRoad_act!F27*1000)</f>
        <v>48.831503966199044</v>
      </c>
      <c r="G111" s="101">
        <f>IF(TrRoad_act!G27=0,0,G53/TrRoad_act!G27*1000)</f>
        <v>40.958258392163565</v>
      </c>
      <c r="H111" s="101">
        <f>IF(TrRoad_act!H27=0,0,H53/TrRoad_act!H27*1000)</f>
        <v>40.540018547734483</v>
      </c>
      <c r="I111" s="101">
        <f>IF(TrRoad_act!I27=0,0,I53/TrRoad_act!I27*1000)</f>
        <v>46.719292257790357</v>
      </c>
      <c r="J111" s="101">
        <f>IF(TrRoad_act!J27=0,0,J53/TrRoad_act!J27*1000)</f>
        <v>50.494993967193125</v>
      </c>
      <c r="K111" s="101">
        <f>IF(TrRoad_act!K27=0,0,K53/TrRoad_act!K27*1000)</f>
        <v>47.47826540421341</v>
      </c>
      <c r="L111" s="101">
        <f>IF(TrRoad_act!L27=0,0,L53/TrRoad_act!L27*1000)</f>
        <v>51.065350844533981</v>
      </c>
      <c r="M111" s="101">
        <f>IF(TrRoad_act!M27=0,0,M53/TrRoad_act!M27*1000)</f>
        <v>50.724552258383738</v>
      </c>
      <c r="N111" s="101">
        <f>IF(TrRoad_act!N27=0,0,N53/TrRoad_act!N27*1000)</f>
        <v>48.066761134610253</v>
      </c>
      <c r="O111" s="101">
        <f>IF(TrRoad_act!O27=0,0,O53/TrRoad_act!O27*1000)</f>
        <v>43.251142298235408</v>
      </c>
      <c r="P111" s="101">
        <f>IF(TrRoad_act!P27=0,0,P53/TrRoad_act!P27*1000)</f>
        <v>40.458626125292675</v>
      </c>
      <c r="Q111" s="101">
        <f>IF(TrRoad_act!Q27=0,0,Q53/TrRoad_act!Q27*1000)</f>
        <v>36.718670694364071</v>
      </c>
      <c r="R111" s="101">
        <f>IF(TrRoad_act!R27=0,0,R53/TrRoad_act!R27*1000)</f>
        <v>31.032179682515476</v>
      </c>
      <c r="S111" s="101">
        <f>IF(TrRoad_act!S27=0,0,S53/TrRoad_act!S27*1000)</f>
        <v>27.566509683105451</v>
      </c>
      <c r="T111" s="101">
        <f>IF(TrRoad_act!T27=0,0,T53/TrRoad_act!T27*1000)</f>
        <v>27.262222453602082</v>
      </c>
      <c r="U111" s="101">
        <f>IF(TrRoad_act!U27=0,0,U53/TrRoad_act!U27*1000)</f>
        <v>24.769142487655007</v>
      </c>
      <c r="V111" s="101">
        <f>IF(TrRoad_act!V27=0,0,V53/TrRoad_act!V27*1000)</f>
        <v>24.820701071511468</v>
      </c>
      <c r="W111" s="101">
        <f>IF(TrRoad_act!W27=0,0,W53/TrRoad_act!W27*1000)</f>
        <v>28.0056192431298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26.829462297134555</v>
      </c>
      <c r="C112" s="88">
        <f>IF(TrRoad_act!C28=0,0,C55/TrRoad_act!C28*1000)</f>
        <v>31.980094585388265</v>
      </c>
      <c r="D112" s="88">
        <f>IF(TrRoad_act!D28=0,0,D55/TrRoad_act!D28*1000)</f>
        <v>34.216283576633018</v>
      </c>
      <c r="E112" s="88">
        <f>IF(TrRoad_act!E28=0,0,E55/TrRoad_act!E28*1000)</f>
        <v>28.860882680703618</v>
      </c>
      <c r="F112" s="88">
        <f>IF(TrRoad_act!F28=0,0,F55/TrRoad_act!F28*1000)</f>
        <v>29.987909055608444</v>
      </c>
      <c r="G112" s="88">
        <f>IF(TrRoad_act!G28=0,0,G55/TrRoad_act!G28*1000)</f>
        <v>30.63082770900801</v>
      </c>
      <c r="H112" s="88">
        <f>IF(TrRoad_act!H28=0,0,H55/TrRoad_act!H28*1000)</f>
        <v>30.255562087146629</v>
      </c>
      <c r="I112" s="88">
        <f>IF(TrRoad_act!I28=0,0,I55/TrRoad_act!I28*1000)</f>
        <v>31.74628795576718</v>
      </c>
      <c r="J112" s="88">
        <f>IF(TrRoad_act!J28=0,0,J55/TrRoad_act!J28*1000)</f>
        <v>32.328118181543701</v>
      </c>
      <c r="K112" s="88">
        <f>IF(TrRoad_act!K28=0,0,K55/TrRoad_act!K28*1000)</f>
        <v>30.742418542436255</v>
      </c>
      <c r="L112" s="88">
        <f>IF(TrRoad_act!L28=0,0,L55/TrRoad_act!L28*1000)</f>
        <v>36.451942670710949</v>
      </c>
      <c r="M112" s="88">
        <f>IF(TrRoad_act!M28=0,0,M55/TrRoad_act!M28*1000)</f>
        <v>36.87478860222302</v>
      </c>
      <c r="N112" s="88">
        <f>IF(TrRoad_act!N28=0,0,N55/TrRoad_act!N28*1000)</f>
        <v>37.032886332588738</v>
      </c>
      <c r="O112" s="88">
        <f>IF(TrRoad_act!O28=0,0,O55/TrRoad_act!O28*1000)</f>
        <v>32.117344257733507</v>
      </c>
      <c r="P112" s="88">
        <f>IF(TrRoad_act!P28=0,0,P55/TrRoad_act!P28*1000)</f>
        <v>31.30691818670013</v>
      </c>
      <c r="Q112" s="88">
        <f>IF(TrRoad_act!Q28=0,0,Q55/TrRoad_act!Q28*1000)</f>
        <v>28.543961152538973</v>
      </c>
      <c r="R112" s="88">
        <f>IF(TrRoad_act!R28=0,0,R55/TrRoad_act!R28*1000)</f>
        <v>24.690993719770766</v>
      </c>
      <c r="S112" s="88">
        <f>IF(TrRoad_act!S28=0,0,S55/TrRoad_act!S28*1000)</f>
        <v>23.866522620108267</v>
      </c>
      <c r="T112" s="88">
        <f>IF(TrRoad_act!T28=0,0,T55/TrRoad_act!T28*1000)</f>
        <v>23.181812939166548</v>
      </c>
      <c r="U112" s="88">
        <f>IF(TrRoad_act!U28=0,0,U55/TrRoad_act!U28*1000)</f>
        <v>22.879686567644537</v>
      </c>
      <c r="V112" s="88">
        <f>IF(TrRoad_act!V28=0,0,V55/TrRoad_act!V28*1000)</f>
        <v>21.419101185943475</v>
      </c>
      <c r="W112" s="88">
        <f>IF(TrRoad_act!W28=0,0,W55/TrRoad_act!W28*1000)</f>
        <v>24.256974399039883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64.592490005391795</v>
      </c>
      <c r="C116" s="152">
        <f>IF(C19=0,0,1000000*C19/TrRoad_act!C59)</f>
        <v>64.31882198649167</v>
      </c>
      <c r="D116" s="152">
        <f>IF(D19=0,0,1000000*D19/TrRoad_act!D59)</f>
        <v>63.430229951819179</v>
      </c>
      <c r="E116" s="152">
        <f>IF(E19=0,0,1000000*E19/TrRoad_act!E59)</f>
        <v>62.299414864926135</v>
      </c>
      <c r="F116" s="152">
        <f>IF(F19=0,0,1000000*F19/TrRoad_act!F59)</f>
        <v>61.425024118406228</v>
      </c>
      <c r="G116" s="152">
        <f>IF(G19=0,0,1000000*G19/TrRoad_act!G59)</f>
        <v>60.441744663960215</v>
      </c>
      <c r="H116" s="152">
        <f>IF(H19=0,0,1000000*H19/TrRoad_act!H59)</f>
        <v>59.302384510747615</v>
      </c>
      <c r="I116" s="152">
        <f>IF(I19=0,0,1000000*I19/TrRoad_act!I59)</f>
        <v>58.503905913593584</v>
      </c>
      <c r="J116" s="152">
        <f>IF(J19=0,0,1000000*J19/TrRoad_act!J59)</f>
        <v>57.371106914416018</v>
      </c>
      <c r="K116" s="152">
        <f>IF(K19=0,0,1000000*K19/TrRoad_act!K59)</f>
        <v>56.437474509091757</v>
      </c>
      <c r="L116" s="152">
        <f>IF(L19=0,0,1000000*L19/TrRoad_act!L59)</f>
        <v>55.63007699611132</v>
      </c>
      <c r="M116" s="152">
        <f>IF(M19=0,0,1000000*M19/TrRoad_act!M59)</f>
        <v>54.085756395029932</v>
      </c>
      <c r="N116" s="152">
        <f>IF(N19=0,0,1000000*N19/TrRoad_act!N59)</f>
        <v>51.395139816522693</v>
      </c>
      <c r="O116" s="152">
        <f>IF(O19=0,0,1000000*O19/TrRoad_act!O59)</f>
        <v>50.539992158025846</v>
      </c>
      <c r="P116" s="152">
        <f>IF(P19=0,0,1000000*P19/TrRoad_act!P59)</f>
        <v>49.607025167457174</v>
      </c>
      <c r="Q116" s="152">
        <f>IF(Q19=0,0,1000000*Q19/TrRoad_act!Q59)</f>
        <v>48.875498541234478</v>
      </c>
      <c r="R116" s="152">
        <f>IF(R19=0,0,1000000*R19/TrRoad_act!R59)</f>
        <v>48.829894203469323</v>
      </c>
      <c r="S116" s="152">
        <f>IF(S19=0,0,1000000*S19/TrRoad_act!S59)</f>
        <v>43.478910940773929</v>
      </c>
      <c r="T116" s="152">
        <f>IF(T19=0,0,1000000*T19/TrRoad_act!T59)</f>
        <v>39.443425628590482</v>
      </c>
      <c r="U116" s="152">
        <f>IF(U19=0,0,1000000*U19/TrRoad_act!U59)</f>
        <v>39.521965803216446</v>
      </c>
      <c r="V116" s="152">
        <f>IF(V19=0,0,1000000*V19/TrRoad_act!V59)</f>
        <v>33.781032160899294</v>
      </c>
      <c r="W116" s="152">
        <f>IF(W19=0,0,1000000*W19/TrRoad_act!W59)</f>
        <v>31.312212668799411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676.30700434236803</v>
      </c>
      <c r="C117" s="116">
        <f>IF(C21=0,0,1000000*C21/TrRoad_act!C60)</f>
        <v>860.70889440121493</v>
      </c>
      <c r="D117" s="116">
        <f>IF(D21=0,0,1000000*D21/TrRoad_act!D60)</f>
        <v>835.49250486895153</v>
      </c>
      <c r="E117" s="116">
        <f>IF(E21=0,0,1000000*E21/TrRoad_act!E60)</f>
        <v>769.08208495157783</v>
      </c>
      <c r="F117" s="116">
        <f>IF(F21=0,0,1000000*F21/TrRoad_act!F60)</f>
        <v>723.32910286470394</v>
      </c>
      <c r="G117" s="116">
        <f>IF(G21=0,0,1000000*G21/TrRoad_act!G60)</f>
        <v>743.65144488078522</v>
      </c>
      <c r="H117" s="116">
        <f>IF(H21=0,0,1000000*H21/TrRoad_act!H60)</f>
        <v>821.28923124123537</v>
      </c>
      <c r="I117" s="116">
        <f>IF(I21=0,0,1000000*I21/TrRoad_act!I60)</f>
        <v>879.34548258800692</v>
      </c>
      <c r="J117" s="116">
        <f>IF(J21=0,0,1000000*J21/TrRoad_act!J60)</f>
        <v>824.76540075252808</v>
      </c>
      <c r="K117" s="116">
        <f>IF(K21=0,0,1000000*K21/TrRoad_act!K60)</f>
        <v>800.0204324595295</v>
      </c>
      <c r="L117" s="116">
        <f>IF(L21=0,0,1000000*L21/TrRoad_act!L60)</f>
        <v>795.77907415097673</v>
      </c>
      <c r="M117" s="116">
        <f>IF(M21=0,0,1000000*M21/TrRoad_act!M60)</f>
        <v>763.49676987359578</v>
      </c>
      <c r="N117" s="116">
        <f>IF(N21=0,0,1000000*N21/TrRoad_act!N60)</f>
        <v>747.92300443116005</v>
      </c>
      <c r="O117" s="116">
        <f>IF(O21=0,0,1000000*O21/TrRoad_act!O60)</f>
        <v>705.75687174832865</v>
      </c>
      <c r="P117" s="116">
        <f>IF(P21=0,0,1000000*P21/TrRoad_act!P60)</f>
        <v>693.12059464544052</v>
      </c>
      <c r="Q117" s="116">
        <f>IF(Q21=0,0,1000000*Q21/TrRoad_act!Q60)</f>
        <v>700.98050662492074</v>
      </c>
      <c r="R117" s="116">
        <f>IF(R21=0,0,1000000*R21/TrRoad_act!R60)</f>
        <v>694.33234382022204</v>
      </c>
      <c r="S117" s="116">
        <f>IF(S21=0,0,1000000*S21/TrRoad_act!S60)</f>
        <v>697.2504878740906</v>
      </c>
      <c r="T117" s="116">
        <f>IF(T21=0,0,1000000*T21/TrRoad_act!T60)</f>
        <v>707.43248106122928</v>
      </c>
      <c r="U117" s="116">
        <f>IF(U21=0,0,1000000*U21/TrRoad_act!U60)</f>
        <v>674.04849369936449</v>
      </c>
      <c r="V117" s="116">
        <f>IF(V21=0,0,1000000*V21/TrRoad_act!V60)</f>
        <v>621.7203533063398</v>
      </c>
      <c r="W117" s="116">
        <f>IF(W21=0,0,1000000*W21/TrRoad_act!W60)</f>
        <v>619.38013922598498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684.70951686129808</v>
      </c>
      <c r="C118" s="87">
        <f>IF(C22=0,0,1000000*C22/TrRoad_act!C61)</f>
        <v>868.66228703675336</v>
      </c>
      <c r="D118" s="87">
        <f>IF(D22=0,0,1000000*D22/TrRoad_act!D61)</f>
        <v>816.65568908319858</v>
      </c>
      <c r="E118" s="87">
        <f>IF(E22=0,0,1000000*E22/TrRoad_act!E61)</f>
        <v>734.86389068838275</v>
      </c>
      <c r="F118" s="87">
        <f>IF(F22=0,0,1000000*F22/TrRoad_act!F61)</f>
        <v>664.04925275727737</v>
      </c>
      <c r="G118" s="87">
        <f>IF(G22=0,0,1000000*G22/TrRoad_act!G61)</f>
        <v>670.89840147796201</v>
      </c>
      <c r="H118" s="87">
        <f>IF(H22=0,0,1000000*H22/TrRoad_act!H61)</f>
        <v>726.79260945688611</v>
      </c>
      <c r="I118" s="87">
        <f>IF(I22=0,0,1000000*I22/TrRoad_act!I61)</f>
        <v>783.90567798342317</v>
      </c>
      <c r="J118" s="87">
        <f>IF(J22=0,0,1000000*J22/TrRoad_act!J61)</f>
        <v>755.73997781323726</v>
      </c>
      <c r="K118" s="87">
        <f>IF(K22=0,0,1000000*K22/TrRoad_act!K61)</f>
        <v>699.34429272810451</v>
      </c>
      <c r="L118" s="87">
        <f>IF(L22=0,0,1000000*L22/TrRoad_act!L61)</f>
        <v>673.59125931986659</v>
      </c>
      <c r="M118" s="87">
        <f>IF(M22=0,0,1000000*M22/TrRoad_act!M61)</f>
        <v>613.68431746595911</v>
      </c>
      <c r="N118" s="87">
        <f>IF(N22=0,0,1000000*N22/TrRoad_act!N61)</f>
        <v>581.11205965694774</v>
      </c>
      <c r="O118" s="87">
        <f>IF(O22=0,0,1000000*O22/TrRoad_act!O61)</f>
        <v>542.58534884212372</v>
      </c>
      <c r="P118" s="87">
        <f>IF(P22=0,0,1000000*P22/TrRoad_act!P61)</f>
        <v>547.07055209651924</v>
      </c>
      <c r="Q118" s="87">
        <f>IF(Q22=0,0,1000000*Q22/TrRoad_act!Q61)</f>
        <v>532.97818584649065</v>
      </c>
      <c r="R118" s="87">
        <f>IF(R22=0,0,1000000*R22/TrRoad_act!R61)</f>
        <v>553.08830637802953</v>
      </c>
      <c r="S118" s="87">
        <f>IF(S22=0,0,1000000*S22/TrRoad_act!S61)</f>
        <v>572.36311474658373</v>
      </c>
      <c r="T118" s="87">
        <f>IF(T22=0,0,1000000*T22/TrRoad_act!T61)</f>
        <v>587.4215787892482</v>
      </c>
      <c r="U118" s="87">
        <f>IF(U22=0,0,1000000*U22/TrRoad_act!U61)</f>
        <v>569.82296803340751</v>
      </c>
      <c r="V118" s="87">
        <f>IF(V22=0,0,1000000*V22/TrRoad_act!V61)</f>
        <v>446.83341726970872</v>
      </c>
      <c r="W118" s="87">
        <f>IF(W22=0,0,1000000*W22/TrRoad_act!W61)</f>
        <v>413.15914301310409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566.39293383300856</v>
      </c>
      <c r="C119" s="87">
        <f>IF(C24=0,0,1000000*C24/TrRoad_act!C62)</f>
        <v>786.1120114593873</v>
      </c>
      <c r="D119" s="87">
        <f>IF(D24=0,0,1000000*D24/TrRoad_act!D62)</f>
        <v>973.39574038934677</v>
      </c>
      <c r="E119" s="87">
        <f>IF(E24=0,0,1000000*E24/TrRoad_act!E62)</f>
        <v>1003.9462875267536</v>
      </c>
      <c r="F119" s="87">
        <f>IF(F24=0,0,1000000*F24/TrRoad_act!F62)</f>
        <v>1071.7278711251029</v>
      </c>
      <c r="G119" s="87">
        <f>IF(G24=0,0,1000000*G24/TrRoad_act!G62)</f>
        <v>1118.2819477664088</v>
      </c>
      <c r="H119" s="87">
        <f>IF(H24=0,0,1000000*H24/TrRoad_act!H62)</f>
        <v>1227.3485180675025</v>
      </c>
      <c r="I119" s="87">
        <f>IF(I24=0,0,1000000*I24/TrRoad_act!I62)</f>
        <v>1209.184586073708</v>
      </c>
      <c r="J119" s="87">
        <f>IF(J24=0,0,1000000*J24/TrRoad_act!J62)</f>
        <v>1044.1302067397546</v>
      </c>
      <c r="K119" s="87">
        <f>IF(K24=0,0,1000000*K24/TrRoad_act!K62)</f>
        <v>1118.9491063177672</v>
      </c>
      <c r="L119" s="87">
        <f>IF(L24=0,0,1000000*L24/TrRoad_act!L62)</f>
        <v>1160.1827779880518</v>
      </c>
      <c r="M119" s="87">
        <f>IF(M24=0,0,1000000*M24/TrRoad_act!M62)</f>
        <v>1166.8539385452607</v>
      </c>
      <c r="N119" s="87">
        <f>IF(N24=0,0,1000000*N24/TrRoad_act!N62)</f>
        <v>1143.3201008002943</v>
      </c>
      <c r="O119" s="87">
        <f>IF(O24=0,0,1000000*O24/TrRoad_act!O62)</f>
        <v>1045.6462701027069</v>
      </c>
      <c r="P119" s="87">
        <f>IF(P24=0,0,1000000*P24/TrRoad_act!P62)</f>
        <v>968.32757896996634</v>
      </c>
      <c r="Q119" s="87">
        <f>IF(Q24=0,0,1000000*Q24/TrRoad_act!Q62)</f>
        <v>994.92777267535405</v>
      </c>
      <c r="R119" s="87">
        <f>IF(R24=0,0,1000000*R24/TrRoad_act!R62)</f>
        <v>927.06754118575395</v>
      </c>
      <c r="S119" s="87">
        <f>IF(S24=0,0,1000000*S24/TrRoad_act!S62)</f>
        <v>889.43120909124411</v>
      </c>
      <c r="T119" s="87">
        <f>IF(T24=0,0,1000000*T24/TrRoad_act!T62)</f>
        <v>877.76558633529862</v>
      </c>
      <c r="U119" s="87">
        <f>IF(U24=0,0,1000000*U24/TrRoad_act!U62)</f>
        <v>807.46327148618911</v>
      </c>
      <c r="V119" s="87">
        <f>IF(V24=0,0,1000000*V24/TrRoad_act!V62)</f>
        <v>848.65829635742045</v>
      </c>
      <c r="W119" s="87">
        <f>IF(W24=0,0,1000000*W24/TrRoad_act!W62)</f>
        <v>876.42123055955574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1267.8417884780738</v>
      </c>
      <c r="C120" s="87">
        <f>IF(C26=0,0,1000000*C26/TrRoad_act!C63)</f>
        <v>1379.9833490289209</v>
      </c>
      <c r="D120" s="87">
        <f>IF(D26=0,0,1000000*D26/TrRoad_act!D63)</f>
        <v>1413.4016570658898</v>
      </c>
      <c r="E120" s="87">
        <f>IF(E26=0,0,1000000*E26/TrRoad_act!E63)</f>
        <v>1320.484062564972</v>
      </c>
      <c r="F120" s="87">
        <f>IF(F26=0,0,1000000*F26/TrRoad_act!F63)</f>
        <v>1402.6768111032941</v>
      </c>
      <c r="G120" s="87">
        <f>IF(G26=0,0,1000000*G26/TrRoad_act!G63)</f>
        <v>1343.1777578408401</v>
      </c>
      <c r="H120" s="87">
        <f>IF(H26=0,0,1000000*H26/TrRoad_act!H63)</f>
        <v>1343.8085575407608</v>
      </c>
      <c r="I120" s="87">
        <f>IF(I26=0,0,1000000*I26/TrRoad_act!I63)</f>
        <v>1331.2331483568951</v>
      </c>
      <c r="J120" s="87">
        <f>IF(J26=0,0,1000000*J26/TrRoad_act!J63)</f>
        <v>1517.432031347312</v>
      </c>
      <c r="K120" s="87">
        <f>IF(K26=0,0,1000000*K26/TrRoad_act!K63)</f>
        <v>1387.354979351197</v>
      </c>
      <c r="L120" s="87">
        <f>IF(L26=0,0,1000000*L26/TrRoad_act!L63)</f>
        <v>1252.6491032286078</v>
      </c>
      <c r="M120" s="87">
        <f>IF(M26=0,0,1000000*M26/TrRoad_act!M63)</f>
        <v>1149.7427669723361</v>
      </c>
      <c r="N120" s="87">
        <f>IF(N26=0,0,1000000*N26/TrRoad_act!N63)</f>
        <v>1098.8787082644692</v>
      </c>
      <c r="O120" s="87">
        <f>IF(O26=0,0,1000000*O26/TrRoad_act!O63)</f>
        <v>1115.0340205644013</v>
      </c>
      <c r="P120" s="87">
        <f>IF(P26=0,0,1000000*P26/TrRoad_act!P63)</f>
        <v>1122.3042582962375</v>
      </c>
      <c r="Q120" s="87">
        <f>IF(Q26=0,0,1000000*Q26/TrRoad_act!Q63)</f>
        <v>1246.5884434043567</v>
      </c>
      <c r="R120" s="87">
        <f>IF(R26=0,0,1000000*R26/TrRoad_act!R63)</f>
        <v>1202.3882032768033</v>
      </c>
      <c r="S120" s="87">
        <f>IF(S26=0,0,1000000*S26/TrRoad_act!S63)</f>
        <v>1229.660969077496</v>
      </c>
      <c r="T120" s="87">
        <f>IF(T26=0,0,1000000*T26/TrRoad_act!T63)</f>
        <v>1268.6906873759278</v>
      </c>
      <c r="U120" s="87">
        <f>IF(U26=0,0,1000000*U26/TrRoad_act!U63)</f>
        <v>1257.0883452487137</v>
      </c>
      <c r="V120" s="87">
        <f>IF(V26=0,0,1000000*V26/TrRoad_act!V63)</f>
        <v>1124.8845209120686</v>
      </c>
      <c r="W120" s="87">
        <f>IF(W26=0,0,1000000*W26/TrRoad_act!W63)</f>
        <v>1161.1767370403509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1594.7377354887062</v>
      </c>
      <c r="M121" s="87">
        <f>IF(M27=0,0,1000000*M27/TrRoad_act!M64)</f>
        <v>1574.157096711557</v>
      </c>
      <c r="N121" s="87">
        <f>IF(N27=0,0,1000000*N27/TrRoad_act!N64)</f>
        <v>1545.8627596129365</v>
      </c>
      <c r="O121" s="87">
        <f>IF(O27=0,0,1000000*O27/TrRoad_act!O64)</f>
        <v>1463.8304668710232</v>
      </c>
      <c r="P121" s="87">
        <f>IF(P27=0,0,1000000*P27/TrRoad_act!P64)</f>
        <v>1416.2469799511962</v>
      </c>
      <c r="Q121" s="87">
        <f>IF(Q27=0,0,1000000*Q27/TrRoad_act!Q64)</f>
        <v>1322.8673716169351</v>
      </c>
      <c r="R121" s="87">
        <f>IF(R27=0,0,1000000*R27/TrRoad_act!R64)</f>
        <v>1173.2262239003476</v>
      </c>
      <c r="S121" s="87">
        <f>IF(S27=0,0,1000000*S27/TrRoad_act!S64)</f>
        <v>1258.3849137730215</v>
      </c>
      <c r="T121" s="87">
        <f>IF(T27=0,0,1000000*T27/TrRoad_act!T64)</f>
        <v>1314.7935722201664</v>
      </c>
      <c r="U121" s="87">
        <f>IF(U27=0,0,1000000*U27/TrRoad_act!U64)</f>
        <v>1124.858389830662</v>
      </c>
      <c r="V121" s="87">
        <f>IF(V27=0,0,1000000*V27/TrRoad_act!V64)</f>
        <v>1041.7959048988282</v>
      </c>
      <c r="W121" s="87">
        <f>IF(W27=0,0,1000000*W27/TrRoad_act!W64)</f>
        <v>1044.5499352421291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0</v>
      </c>
      <c r="P122" s="87">
        <f>IF(P29=0,0,1000000*P29/TrRoad_act!P65)</f>
        <v>262.05242083365363</v>
      </c>
      <c r="Q122" s="87">
        <f>IF(Q29=0,0,1000000*Q29/TrRoad_act!Q65)</f>
        <v>316.93367769806764</v>
      </c>
      <c r="R122" s="87">
        <f>IF(R29=0,0,1000000*R29/TrRoad_act!R65)</f>
        <v>314.72805629474794</v>
      </c>
      <c r="S122" s="87">
        <f>IF(S29=0,0,1000000*S29/TrRoad_act!S65)</f>
        <v>290.3499671731899</v>
      </c>
      <c r="T122" s="87">
        <f>IF(T29=0,0,1000000*T29/TrRoad_act!T65)</f>
        <v>298.94637736155534</v>
      </c>
      <c r="U122" s="87">
        <f>IF(U29=0,0,1000000*U29/TrRoad_act!U65)</f>
        <v>297.70808191542721</v>
      </c>
      <c r="V122" s="87">
        <f>IF(V29=0,0,1000000*V29/TrRoad_act!V65)</f>
        <v>282.48821275114017</v>
      </c>
      <c r="W122" s="87">
        <f>IF(W29=0,0,1000000*W29/TrRoad_act!W65)</f>
        <v>247.29475441791465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208.7322764973382</v>
      </c>
      <c r="K123" s="87">
        <f>IF(K32=0,0,1000000*K32/TrRoad_act!K66)</f>
        <v>209.65705792394715</v>
      </c>
      <c r="L123" s="87">
        <f>IF(L32=0,0,1000000*L32/TrRoad_act!L66)</f>
        <v>209.25304180928325</v>
      </c>
      <c r="M123" s="87">
        <f>IF(M32=0,0,1000000*M32/TrRoad_act!M66)</f>
        <v>210.07324252278295</v>
      </c>
      <c r="N123" s="87">
        <f>IF(N32=0,0,1000000*N32/TrRoad_act!N66)</f>
        <v>196.60256075776121</v>
      </c>
      <c r="O123" s="87">
        <f>IF(O32=0,0,1000000*O32/TrRoad_act!O66)</f>
        <v>198.38309162029734</v>
      </c>
      <c r="P123" s="87">
        <f>IF(P32=0,0,1000000*P32/TrRoad_act!P66)</f>
        <v>205.61959816324475</v>
      </c>
      <c r="Q123" s="87">
        <f>IF(Q32=0,0,1000000*Q32/TrRoad_act!Q66)</f>
        <v>205.93356016951142</v>
      </c>
      <c r="R123" s="87">
        <f>IF(R32=0,0,1000000*R32/TrRoad_act!R66)</f>
        <v>207.1838180460106</v>
      </c>
      <c r="S123" s="87">
        <f>IF(S32=0,0,1000000*S32/TrRoad_act!S66)</f>
        <v>207.09573820466937</v>
      </c>
      <c r="T123" s="87">
        <f>IF(T32=0,0,1000000*T32/TrRoad_act!T66)</f>
        <v>213.56783987377105</v>
      </c>
      <c r="U123" s="87">
        <f>IF(U32=0,0,1000000*U32/TrRoad_act!U66)</f>
        <v>223.9573930538584</v>
      </c>
      <c r="V123" s="87">
        <f>IF(V32=0,0,1000000*V32/TrRoad_act!V66)</f>
        <v>205.65580853636939</v>
      </c>
      <c r="W123" s="87">
        <f>IF(W32=0,0,1000000*W32/TrRoad_act!W66)</f>
        <v>233.66774464312326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13984.179046884339</v>
      </c>
      <c r="C124" s="116">
        <f>IF(C33=0,0,1000000*C33/TrRoad_act!C67)</f>
        <v>17458.981376328778</v>
      </c>
      <c r="D124" s="116">
        <f>IF(D33=0,0,1000000*D33/TrRoad_act!D67)</f>
        <v>20002.980866850266</v>
      </c>
      <c r="E124" s="116">
        <f>IF(E33=0,0,1000000*E33/TrRoad_act!E67)</f>
        <v>17859.544714291012</v>
      </c>
      <c r="F124" s="116">
        <f>IF(F33=0,0,1000000*F33/TrRoad_act!F67)</f>
        <v>18778.764864973309</v>
      </c>
      <c r="G124" s="116">
        <f>IF(G33=0,0,1000000*G33/TrRoad_act!G67)</f>
        <v>19677.092153750953</v>
      </c>
      <c r="H124" s="116">
        <f>IF(H33=0,0,1000000*H33/TrRoad_act!H67)</f>
        <v>19791.497578271392</v>
      </c>
      <c r="I124" s="116">
        <f>IF(I33=0,0,1000000*I33/TrRoad_act!I67)</f>
        <v>19994.486882879424</v>
      </c>
      <c r="J124" s="116">
        <f>IF(J33=0,0,1000000*J33/TrRoad_act!J67)</f>
        <v>19190.999637648492</v>
      </c>
      <c r="K124" s="116">
        <f>IF(K33=0,0,1000000*K33/TrRoad_act!K67)</f>
        <v>17530.78095333614</v>
      </c>
      <c r="L124" s="116">
        <f>IF(L33=0,0,1000000*L33/TrRoad_act!L67)</f>
        <v>18931.844299303175</v>
      </c>
      <c r="M124" s="116">
        <f>IF(M33=0,0,1000000*M33/TrRoad_act!M67)</f>
        <v>18769.030942537134</v>
      </c>
      <c r="N124" s="116">
        <f>IF(N33=0,0,1000000*N33/TrRoad_act!N67)</f>
        <v>18369.923006986872</v>
      </c>
      <c r="O124" s="116">
        <f>IF(O33=0,0,1000000*O33/TrRoad_act!O67)</f>
        <v>17588.828620996726</v>
      </c>
      <c r="P124" s="116">
        <f>IF(P33=0,0,1000000*P33/TrRoad_act!P67)</f>
        <v>17891.885279285179</v>
      </c>
      <c r="Q124" s="116">
        <f>IF(Q33=0,0,1000000*Q33/TrRoad_act!Q67)</f>
        <v>17696.20636028648</v>
      </c>
      <c r="R124" s="116">
        <f>IF(R33=0,0,1000000*R33/TrRoad_act!R67)</f>
        <v>19524.0200248568</v>
      </c>
      <c r="S124" s="116">
        <f>IF(S33=0,0,1000000*S33/TrRoad_act!S67)</f>
        <v>21590.183807269113</v>
      </c>
      <c r="T124" s="116">
        <f>IF(T33=0,0,1000000*T33/TrRoad_act!T67)</f>
        <v>21558.953067864597</v>
      </c>
      <c r="U124" s="116">
        <f>IF(U33=0,0,1000000*U33/TrRoad_act!U67)</f>
        <v>19587.163188683611</v>
      </c>
      <c r="V124" s="116">
        <f>IF(V33=0,0,1000000*V33/TrRoad_act!V67)</f>
        <v>18706.345360123429</v>
      </c>
      <c r="W124" s="116">
        <f>IF(W33=0,0,1000000*W33/TrRoad_act!W67)</f>
        <v>19997.734107302593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4243.2800952237785</v>
      </c>
      <c r="C125" s="101">
        <f>IF(C34=0,0,1000000*C34/TrRoad_act!C68)</f>
        <v>4238.0706737775708</v>
      </c>
      <c r="D125" s="101">
        <f>IF(D34=0,0,1000000*D34/TrRoad_act!D68)</f>
        <v>4235.5869478559898</v>
      </c>
      <c r="E125" s="101">
        <f>IF(E34=0,0,1000000*E34/TrRoad_act!E68)</f>
        <v>4239.8316617987603</v>
      </c>
      <c r="F125" s="101">
        <f>IF(F34=0,0,1000000*F34/TrRoad_act!F68)</f>
        <v>4242.1003863006372</v>
      </c>
      <c r="G125" s="101">
        <f>IF(G34=0,0,1000000*G34/TrRoad_act!G68)</f>
        <v>4421.8210098363152</v>
      </c>
      <c r="H125" s="101">
        <f>IF(H34=0,0,1000000*H34/TrRoad_act!H68)</f>
        <v>4486.9081455623536</v>
      </c>
      <c r="I125" s="101">
        <f>IF(I34=0,0,1000000*I34/TrRoad_act!I68)</f>
        <v>4445.821173572137</v>
      </c>
      <c r="J125" s="101">
        <f>IF(J34=0,0,1000000*J34/TrRoad_act!J68)</f>
        <v>4257.6993409293573</v>
      </c>
      <c r="K125" s="101">
        <f>IF(K34=0,0,1000000*K34/TrRoad_act!K68)</f>
        <v>4078.2347391467069</v>
      </c>
      <c r="L125" s="101">
        <f>IF(L34=0,0,1000000*L34/TrRoad_act!L68)</f>
        <v>3918.1657556999548</v>
      </c>
      <c r="M125" s="101">
        <f>IF(M34=0,0,1000000*M34/TrRoad_act!M68)</f>
        <v>3762.0607745046159</v>
      </c>
      <c r="N125" s="101">
        <f>IF(N34=0,0,1000000*N34/TrRoad_act!N68)</f>
        <v>3724.0578149036492</v>
      </c>
      <c r="O125" s="101">
        <f>IF(O34=0,0,1000000*O34/TrRoad_act!O68)</f>
        <v>3688.3038147601119</v>
      </c>
      <c r="P125" s="101">
        <f>IF(P34=0,0,1000000*P34/TrRoad_act!P68)</f>
        <v>3850.0243004768136</v>
      </c>
      <c r="Q125" s="101">
        <f>IF(Q34=0,0,1000000*Q34/TrRoad_act!Q68)</f>
        <v>4020.5980626892588</v>
      </c>
      <c r="R125" s="101">
        <f>IF(R34=0,0,1000000*R34/TrRoad_act!R68)</f>
        <v>4622.9104276808448</v>
      </c>
      <c r="S125" s="101">
        <f>IF(S34=0,0,1000000*S34/TrRoad_act!S68)</f>
        <v>5095.2468165639457</v>
      </c>
      <c r="T125" s="101">
        <f>IF(T34=0,0,1000000*T34/TrRoad_act!T68)</f>
        <v>4895.2818904825299</v>
      </c>
      <c r="U125" s="101">
        <f>IF(U34=0,0,1000000*U34/TrRoad_act!U68)</f>
        <v>4282.1294632698064</v>
      </c>
      <c r="V125" s="101">
        <f>IF(V34=0,0,1000000*V34/TrRoad_act!V68)</f>
        <v>4038.3792318352303</v>
      </c>
      <c r="W125" s="101">
        <f>IF(W34=0,0,1000000*W34/TrRoad_act!W68)</f>
        <v>4155.3612633694584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21222.597341515877</v>
      </c>
      <c r="C126" s="101">
        <f>IF(C36=0,0,1000000*C36/TrRoad_act!C69)</f>
        <v>25984.827016369647</v>
      </c>
      <c r="D126" s="101">
        <f>IF(D36=0,0,1000000*D36/TrRoad_act!D69)</f>
        <v>28476.644062229949</v>
      </c>
      <c r="E126" s="101">
        <f>IF(E36=0,0,1000000*E36/TrRoad_act!E69)</f>
        <v>23590.089958370103</v>
      </c>
      <c r="F126" s="101">
        <f>IF(F36=0,0,1000000*F36/TrRoad_act!F69)</f>
        <v>24097.504076195964</v>
      </c>
      <c r="G126" s="101">
        <f>IF(G36=0,0,1000000*G36/TrRoad_act!G69)</f>
        <v>23743.97635356558</v>
      </c>
      <c r="H126" s="101">
        <f>IF(H36=0,0,1000000*H36/TrRoad_act!H69)</f>
        <v>23796.666510088136</v>
      </c>
      <c r="I126" s="101">
        <f>IF(I36=0,0,1000000*I36/TrRoad_act!I69)</f>
        <v>22459.89566408224</v>
      </c>
      <c r="J126" s="101">
        <f>IF(J36=0,0,1000000*J36/TrRoad_act!J69)</f>
        <v>20958.921839023304</v>
      </c>
      <c r="K126" s="101">
        <f>IF(K36=0,0,1000000*K36/TrRoad_act!K69)</f>
        <v>18686.023963270374</v>
      </c>
      <c r="L126" s="101">
        <f>IF(L36=0,0,1000000*L36/TrRoad_act!L69)</f>
        <v>20086.350326129836</v>
      </c>
      <c r="M126" s="101">
        <f>IF(M36=0,0,1000000*M36/TrRoad_act!M69)</f>
        <v>19814.72459575014</v>
      </c>
      <c r="N126" s="101">
        <f>IF(N36=0,0,1000000*N36/TrRoad_act!N69)</f>
        <v>19239.920112528092</v>
      </c>
      <c r="O126" s="101">
        <f>IF(O36=0,0,1000000*O36/TrRoad_act!O69)</f>
        <v>18323.001613035965</v>
      </c>
      <c r="P126" s="101">
        <f>IF(P36=0,0,1000000*P36/TrRoad_act!P69)</f>
        <v>18539.584399366813</v>
      </c>
      <c r="Q126" s="101">
        <f>IF(Q36=0,0,1000000*Q36/TrRoad_act!Q69)</f>
        <v>18127.34292657984</v>
      </c>
      <c r="R126" s="101">
        <f>IF(R36=0,0,1000000*R36/TrRoad_act!R69)</f>
        <v>19954.088136812989</v>
      </c>
      <c r="S126" s="101">
        <f>IF(S36=0,0,1000000*S36/TrRoad_act!S69)</f>
        <v>22385.711754312812</v>
      </c>
      <c r="T126" s="101">
        <f>IF(T36=0,0,1000000*T36/TrRoad_act!T69)</f>
        <v>21742.442397651543</v>
      </c>
      <c r="U126" s="101">
        <f>IF(U36=0,0,1000000*U36/TrRoad_act!U69)</f>
        <v>20020.954920319393</v>
      </c>
      <c r="V126" s="101">
        <f>IF(V36=0,0,1000000*V36/TrRoad_act!V69)</f>
        <v>18858.759208993735</v>
      </c>
      <c r="W126" s="101">
        <f>IF(W36=0,0,1000000*W36/TrRoad_act!W69)</f>
        <v>20653.429037848578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11716.01094706275</v>
      </c>
      <c r="U127" s="101">
        <f>IF(U38=0,0,1000000*U38/TrRoad_act!U70)</f>
        <v>10643.527657555114</v>
      </c>
      <c r="V127" s="101">
        <f>IF(V38=0,0,1000000*V38/TrRoad_act!V70)</f>
        <v>10146.864305941916</v>
      </c>
      <c r="W127" s="101">
        <f>IF(W38=0,0,1000000*W38/TrRoad_act!W70)</f>
        <v>10595.560122493878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19901.392960985926</v>
      </c>
      <c r="M128" s="101">
        <f>IF(M39=0,0,1000000*M39/TrRoad_act!M71)</f>
        <v>35276.352668673535</v>
      </c>
      <c r="N128" s="101">
        <f>IF(N39=0,0,1000000*N39/TrRoad_act!N71)</f>
        <v>64366.704329859749</v>
      </c>
      <c r="O128" s="101">
        <f>IF(O39=0,0,1000000*O39/TrRoad_act!O71)</f>
        <v>43249.6881966867</v>
      </c>
      <c r="P128" s="101">
        <f>IF(P39=0,0,1000000*P39/TrRoad_act!P71)</f>
        <v>39547.39427405563</v>
      </c>
      <c r="Q128" s="101">
        <f>IF(Q39=0,0,1000000*Q39/TrRoad_act!Q71)</f>
        <v>43873.788602149602</v>
      </c>
      <c r="R128" s="101">
        <f>IF(R39=0,0,1000000*R39/TrRoad_act!R71)</f>
        <v>42677.706863423817</v>
      </c>
      <c r="S128" s="101">
        <f>IF(S39=0,0,1000000*S39/TrRoad_act!S71)</f>
        <v>25485.427471921419</v>
      </c>
      <c r="T128" s="101">
        <f>IF(T39=0,0,1000000*T39/TrRoad_act!T71)</f>
        <v>43248.216166606857</v>
      </c>
      <c r="U128" s="101">
        <f>IF(U39=0,0,1000000*U39/TrRoad_act!U71)</f>
        <v>28469.658443165328</v>
      </c>
      <c r="V128" s="101">
        <f>IF(V39=0,0,1000000*V39/TrRoad_act!V71)</f>
        <v>28009.738452507798</v>
      </c>
      <c r="W128" s="101">
        <f>IF(W39=0,0,1000000*W39/TrRoad_act!W71)</f>
        <v>21533.641831110654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14886.098250085981</v>
      </c>
      <c r="M129" s="101">
        <f>IF(M41=0,0,1000000*M41/TrRoad_act!M72)</f>
        <v>14900.888276288513</v>
      </c>
      <c r="N129" s="101">
        <f>IF(N41=0,0,1000000*N41/TrRoad_act!N72)</f>
        <v>14907.736897192242</v>
      </c>
      <c r="O129" s="101">
        <f>IF(O41=0,0,1000000*O41/TrRoad_act!O72)</f>
        <v>14914.947897710719</v>
      </c>
      <c r="P129" s="101">
        <f>IF(P41=0,0,1000000*P41/TrRoad_act!P72)</f>
        <v>14931.086123701132</v>
      </c>
      <c r="Q129" s="101">
        <f>IF(Q41=0,0,1000000*Q41/TrRoad_act!Q72)</f>
        <v>14947.553873880132</v>
      </c>
      <c r="R129" s="101">
        <f>IF(R41=0,0,1000000*R41/TrRoad_act!R72)</f>
        <v>14834.244242015171</v>
      </c>
      <c r="S129" s="101">
        <f>IF(S41=0,0,1000000*S41/TrRoad_act!S72)</f>
        <v>14748.878276148824</v>
      </c>
      <c r="T129" s="101">
        <f>IF(T41=0,0,1000000*T41/TrRoad_act!T72)</f>
        <v>14734.955211209672</v>
      </c>
      <c r="U129" s="101">
        <f>IF(U41=0,0,1000000*U41/TrRoad_act!U72)</f>
        <v>14674.767561112469</v>
      </c>
      <c r="V129" s="101">
        <f>IF(V41=0,0,1000000*V41/TrRoad_act!V72)</f>
        <v>14284.493601933873</v>
      </c>
      <c r="W129" s="101">
        <f>IF(W41=0,0,1000000*W41/TrRoad_act!W72)</f>
        <v>14663.881698207975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1555.168606312923</v>
      </c>
      <c r="C131" s="152">
        <f>IF(C43=0,0,1000000*C43/TrRoad_act!C74)</f>
        <v>1942.3727745440412</v>
      </c>
      <c r="D131" s="152">
        <f>IF(D43=0,0,1000000*D43/TrRoad_act!D74)</f>
        <v>2158.1736908925268</v>
      </c>
      <c r="E131" s="152">
        <f>IF(E43=0,0,1000000*E43/TrRoad_act!E74)</f>
        <v>1840.368796068572</v>
      </c>
      <c r="F131" s="152">
        <f>IF(F43=0,0,1000000*F43/TrRoad_act!F74)</f>
        <v>1858.3005410352987</v>
      </c>
      <c r="G131" s="152">
        <f>IF(G43=0,0,1000000*G43/TrRoad_act!G74)</f>
        <v>1785.5723394689367</v>
      </c>
      <c r="H131" s="152">
        <f>IF(H43=0,0,1000000*H43/TrRoad_act!H74)</f>
        <v>1733.9153217365661</v>
      </c>
      <c r="I131" s="152">
        <f>IF(I43=0,0,1000000*I43/TrRoad_act!I74)</f>
        <v>1662.4798143771218</v>
      </c>
      <c r="J131" s="152">
        <f>IF(J43=0,0,1000000*J43/TrRoad_act!J74)</f>
        <v>1536.0640406778937</v>
      </c>
      <c r="K131" s="152">
        <f>IF(K43=0,0,1000000*K43/TrRoad_act!K74)</f>
        <v>1366.9277697740768</v>
      </c>
      <c r="L131" s="152">
        <f>IF(L43=0,0,1000000*L43/TrRoad_act!L74)</f>
        <v>1439.4774974774939</v>
      </c>
      <c r="M131" s="152">
        <f>IF(M43=0,0,1000000*M43/TrRoad_act!M74)</f>
        <v>1434.7692537121079</v>
      </c>
      <c r="N131" s="152">
        <f>IF(N43=0,0,1000000*N43/TrRoad_act!N74)</f>
        <v>1386.0838640254915</v>
      </c>
      <c r="O131" s="152">
        <f>IF(O43=0,0,1000000*O43/TrRoad_act!O74)</f>
        <v>1275.9661645215476</v>
      </c>
      <c r="P131" s="152">
        <f>IF(P43=0,0,1000000*P43/TrRoad_act!P74)</f>
        <v>1231.4095585534415</v>
      </c>
      <c r="Q131" s="152">
        <f>IF(Q43=0,0,1000000*Q43/TrRoad_act!Q74)</f>
        <v>1135.4100589369768</v>
      </c>
      <c r="R131" s="152">
        <f>IF(R43=0,0,1000000*R43/TrRoad_act!R74)</f>
        <v>1089.9631652847265</v>
      </c>
      <c r="S131" s="152">
        <f>IF(S43=0,0,1000000*S43/TrRoad_act!S74)</f>
        <v>1096.741464597307</v>
      </c>
      <c r="T131" s="152">
        <f>IF(T43=0,0,1000000*T43/TrRoad_act!T74)</f>
        <v>1116.1123786543346</v>
      </c>
      <c r="U131" s="152">
        <f>IF(U43=0,0,1000000*U43/TrRoad_act!U74)</f>
        <v>1122.9183789946749</v>
      </c>
      <c r="V131" s="152">
        <f>IF(V43=0,0,1000000*V43/TrRoad_act!V74)</f>
        <v>1077.4670947733896</v>
      </c>
      <c r="W131" s="152">
        <f>IF(W43=0,0,1000000*W43/TrRoad_act!W74)</f>
        <v>1137.3657020760668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1563.1854001396641</v>
      </c>
      <c r="C132" s="87">
        <f>IF(C44=0,0,1000000*C44/TrRoad_act!C75)</f>
        <v>1758.1862296065574</v>
      </c>
      <c r="D132" s="87">
        <f>IF(D44=0,0,1000000*D44/TrRoad_act!D75)</f>
        <v>1747.4582917363571</v>
      </c>
      <c r="E132" s="87">
        <f>IF(E44=0,0,1000000*E44/TrRoad_act!E75)</f>
        <v>1663.9035835734796</v>
      </c>
      <c r="F132" s="87">
        <f>IF(F44=0,0,1000000*F44/TrRoad_act!F75)</f>
        <v>1766.1990017319961</v>
      </c>
      <c r="G132" s="87">
        <f>IF(G44=0,0,1000000*G44/TrRoad_act!G75)</f>
        <v>1608.3114482109377</v>
      </c>
      <c r="H132" s="87">
        <f>IF(H44=0,0,1000000*H44/TrRoad_act!H75)</f>
        <v>1647.6325583948446</v>
      </c>
      <c r="I132" s="87">
        <f>IF(I44=0,0,1000000*I44/TrRoad_act!I75)</f>
        <v>1452.3878438980225</v>
      </c>
      <c r="J132" s="87">
        <f>IF(J44=0,0,1000000*J44/TrRoad_act!J75)</f>
        <v>1273.7667281300742</v>
      </c>
      <c r="K132" s="87">
        <f>IF(K44=0,0,1000000*K44/TrRoad_act!K75)</f>
        <v>1117.3236348784274</v>
      </c>
      <c r="L132" s="87">
        <f>IF(L44=0,0,1000000*L44/TrRoad_act!L75)</f>
        <v>1013.833307043138</v>
      </c>
      <c r="M132" s="87">
        <f>IF(M44=0,0,1000000*M44/TrRoad_act!M75)</f>
        <v>1044.8426772496564</v>
      </c>
      <c r="N132" s="87">
        <f>IF(N44=0,0,1000000*N44/TrRoad_act!N75)</f>
        <v>987.01114877163616</v>
      </c>
      <c r="O132" s="87">
        <f>IF(O44=0,0,1000000*O44/TrRoad_act!O75)</f>
        <v>915.26227768792296</v>
      </c>
      <c r="P132" s="87">
        <f>IF(P44=0,0,1000000*P44/TrRoad_act!P75)</f>
        <v>884.16448280276734</v>
      </c>
      <c r="Q132" s="87">
        <f>IF(Q44=0,0,1000000*Q44/TrRoad_act!Q75)</f>
        <v>832.48048966212889</v>
      </c>
      <c r="R132" s="87">
        <f>IF(R44=0,0,1000000*R44/TrRoad_act!R75)</f>
        <v>765.40827533235779</v>
      </c>
      <c r="S132" s="87">
        <f>IF(S44=0,0,1000000*S44/TrRoad_act!S75)</f>
        <v>746.31458585595135</v>
      </c>
      <c r="T132" s="87">
        <f>IF(T44=0,0,1000000*T44/TrRoad_act!T75)</f>
        <v>814.02485448577045</v>
      </c>
      <c r="U132" s="87">
        <f>IF(U44=0,0,1000000*U44/TrRoad_act!U75)</f>
        <v>746.94718661117372</v>
      </c>
      <c r="V132" s="87">
        <f>IF(V44=0,0,1000000*V44/TrRoad_act!V75)</f>
        <v>657.00444732946949</v>
      </c>
      <c r="W132" s="87">
        <f>IF(W44=0,0,1000000*W44/TrRoad_act!W75)</f>
        <v>595.37441603081425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1552.3254669767043</v>
      </c>
      <c r="C133" s="87">
        <f>IF(C46=0,0,1000000*C46/TrRoad_act!C76)</f>
        <v>2008.4355599408623</v>
      </c>
      <c r="D133" s="87">
        <f>IF(D46=0,0,1000000*D46/TrRoad_act!D76)</f>
        <v>2307.1063778551329</v>
      </c>
      <c r="E133" s="87">
        <f>IF(E46=0,0,1000000*E46/TrRoad_act!E76)</f>
        <v>1903.7373711759512</v>
      </c>
      <c r="F133" s="87">
        <f>IF(F46=0,0,1000000*F46/TrRoad_act!F76)</f>
        <v>1891.4146501080429</v>
      </c>
      <c r="G133" s="87">
        <f>IF(G46=0,0,1000000*G46/TrRoad_act!G76)</f>
        <v>1849.6182604026546</v>
      </c>
      <c r="H133" s="87">
        <f>IF(H46=0,0,1000000*H46/TrRoad_act!H76)</f>
        <v>1764.4446765279665</v>
      </c>
      <c r="I133" s="87">
        <f>IF(I46=0,0,1000000*I46/TrRoad_act!I76)</f>
        <v>1733.0117041172489</v>
      </c>
      <c r="J133" s="87">
        <f>IF(J46=0,0,1000000*J46/TrRoad_act!J76)</f>
        <v>1630.1350919232555</v>
      </c>
      <c r="K133" s="87">
        <f>IF(K46=0,0,1000000*K46/TrRoad_act!K76)</f>
        <v>1457.4520374412903</v>
      </c>
      <c r="L133" s="87">
        <f>IF(L46=0,0,1000000*L46/TrRoad_act!L76)</f>
        <v>1587.5328071977451</v>
      </c>
      <c r="M133" s="87">
        <f>IF(M46=0,0,1000000*M46/TrRoad_act!M76)</f>
        <v>1564.5951807663055</v>
      </c>
      <c r="N133" s="87">
        <f>IF(N46=0,0,1000000*N46/TrRoad_act!N76)</f>
        <v>1509.4412855089597</v>
      </c>
      <c r="O133" s="87">
        <f>IF(O46=0,0,1000000*O46/TrRoad_act!O76)</f>
        <v>1371.8201595477835</v>
      </c>
      <c r="P133" s="87">
        <f>IF(P46=0,0,1000000*P46/TrRoad_act!P76)</f>
        <v>1317.1537967021254</v>
      </c>
      <c r="Q133" s="87">
        <f>IF(Q46=0,0,1000000*Q46/TrRoad_act!Q76)</f>
        <v>1206.0180531443248</v>
      </c>
      <c r="R133" s="87">
        <f>IF(R46=0,0,1000000*R46/TrRoad_act!R76)</f>
        <v>1161.0888355141647</v>
      </c>
      <c r="S133" s="87">
        <f>IF(S46=0,0,1000000*S46/TrRoad_act!S76)</f>
        <v>1169.6201176559416</v>
      </c>
      <c r="T133" s="87">
        <f>IF(T46=0,0,1000000*T46/TrRoad_act!T76)</f>
        <v>1175.9402392633544</v>
      </c>
      <c r="U133" s="87">
        <f>IF(U46=0,0,1000000*U46/TrRoad_act!U76)</f>
        <v>1193.8702191732123</v>
      </c>
      <c r="V133" s="87">
        <f>IF(V46=0,0,1000000*V46/TrRoad_act!V76)</f>
        <v>1154.1162712040059</v>
      </c>
      <c r="W133" s="87">
        <f>IF(W46=0,0,1000000*W46/TrRoad_act!W76)</f>
        <v>1230.42408771541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636.95356227444245</v>
      </c>
      <c r="S134" s="87">
        <f>IF(S48=0,0,1000000*S48/TrRoad_act!S77)</f>
        <v>583.42683049145569</v>
      </c>
      <c r="T134" s="87">
        <f>IF(T48=0,0,1000000*T48/TrRoad_act!T77)</f>
        <v>588.1128571078998</v>
      </c>
      <c r="U134" s="87">
        <f>IF(U48=0,0,1000000*U48/TrRoad_act!U77)</f>
        <v>611.38049856544728</v>
      </c>
      <c r="V134" s="87">
        <f>IF(V48=0,0,1000000*V48/TrRoad_act!V77)</f>
        <v>602.8091508726618</v>
      </c>
      <c r="W134" s="87">
        <f>IF(W48=0,0,1000000*W48/TrRoad_act!W77)</f>
        <v>610.75477460943512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827.55413840676806</v>
      </c>
      <c r="O135" s="87">
        <f>IF(O49=0,0,1000000*O49/TrRoad_act!O78)</f>
        <v>829.82792259948008</v>
      </c>
      <c r="P135" s="87">
        <f>IF(P49=0,0,1000000*P49/TrRoad_act!P78)</f>
        <v>865.74043102213841</v>
      </c>
      <c r="Q135" s="87">
        <f>IF(Q49=0,0,1000000*Q49/TrRoad_act!Q78)</f>
        <v>835.09455641910506</v>
      </c>
      <c r="R135" s="87">
        <f>IF(R49=0,0,1000000*R49/TrRoad_act!R78)</f>
        <v>847.83038319808941</v>
      </c>
      <c r="S135" s="87">
        <f>IF(S49=0,0,1000000*S49/TrRoad_act!S78)</f>
        <v>759.46140731127309</v>
      </c>
      <c r="T135" s="87">
        <f>IF(T49=0,0,1000000*T49/TrRoad_act!T78)</f>
        <v>751.95900855295849</v>
      </c>
      <c r="U135" s="87">
        <f>IF(U49=0,0,1000000*U49/TrRoad_act!U78)</f>
        <v>759.81583861878426</v>
      </c>
      <c r="V135" s="87">
        <f>IF(V49=0,0,1000000*V49/TrRoad_act!V78)</f>
        <v>753.83861519838331</v>
      </c>
      <c r="W135" s="87">
        <f>IF(W49=0,0,1000000*W49/TrRoad_act!W78)</f>
        <v>764.72240025264364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109.20694879502204</v>
      </c>
      <c r="J136" s="87">
        <f>IF(J51=0,0,1000000*J51/TrRoad_act!J79)</f>
        <v>109.30196652039078</v>
      </c>
      <c r="K136" s="87">
        <f>IF(K51=0,0,1000000*K51/TrRoad_act!K79)</f>
        <v>109.40820033315008</v>
      </c>
      <c r="L136" s="87">
        <f>IF(L51=0,0,1000000*L51/TrRoad_act!L79)</f>
        <v>109.51163456914406</v>
      </c>
      <c r="M136" s="87">
        <f>IF(M51=0,0,1000000*M51/TrRoad_act!M79)</f>
        <v>109.60720099114624</v>
      </c>
      <c r="N136" s="87">
        <f>IF(N51=0,0,1000000*N51/TrRoad_act!N79)</f>
        <v>110.60686546033084</v>
      </c>
      <c r="O136" s="87">
        <f>IF(O51=0,0,1000000*O51/TrRoad_act!O79)</f>
        <v>112.69155473623586</v>
      </c>
      <c r="P136" s="87">
        <f>IF(P51=0,0,1000000*P51/TrRoad_act!P79)</f>
        <v>139.19203328375906</v>
      </c>
      <c r="Q136" s="87">
        <f>IF(Q51=0,0,1000000*Q51/TrRoad_act!Q79)</f>
        <v>140.91238957137816</v>
      </c>
      <c r="R136" s="87">
        <f>IF(R51=0,0,1000000*R51/TrRoad_act!R79)</f>
        <v>145.8537307175132</v>
      </c>
      <c r="S136" s="87">
        <f>IF(S51=0,0,1000000*S51/TrRoad_act!S79)</f>
        <v>148.82551816961634</v>
      </c>
      <c r="T136" s="87">
        <f>IF(T51=0,0,1000000*T51/TrRoad_act!T79)</f>
        <v>152.41215397013769</v>
      </c>
      <c r="U136" s="87">
        <f>IF(U51=0,0,1000000*U51/TrRoad_act!U79)</f>
        <v>156.34578425516085</v>
      </c>
      <c r="V136" s="87">
        <f>IF(V51=0,0,1000000*V51/TrRoad_act!V79)</f>
        <v>223.33322145988339</v>
      </c>
      <c r="W136" s="87">
        <f>IF(W51=0,0,1000000*W51/TrRoad_act!W79)</f>
        <v>270.26349783607969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7053.6055644029748</v>
      </c>
      <c r="C137" s="116">
        <f>IF(C52=0,0,1000000*C52/TrRoad_act!C80)</f>
        <v>9894.4919427196764</v>
      </c>
      <c r="D137" s="116">
        <f>IF(D52=0,0,1000000*D52/TrRoad_act!D80)</f>
        <v>9707.7741802429337</v>
      </c>
      <c r="E137" s="116">
        <f>IF(E52=0,0,1000000*E52/TrRoad_act!E80)</f>
        <v>7468.1583899901743</v>
      </c>
      <c r="F137" s="116">
        <f>IF(F52=0,0,1000000*F52/TrRoad_act!F80)</f>
        <v>8315.5173909157693</v>
      </c>
      <c r="G137" s="116">
        <f>IF(G52=0,0,1000000*G52/TrRoad_act!G80)</f>
        <v>8406.8811328754291</v>
      </c>
      <c r="H137" s="116">
        <f>IF(H52=0,0,1000000*H52/TrRoad_act!H80)</f>
        <v>8186.8644596978629</v>
      </c>
      <c r="I137" s="116">
        <f>IF(I52=0,0,1000000*I52/TrRoad_act!I80)</f>
        <v>8916.2422590777805</v>
      </c>
      <c r="J137" s="116">
        <f>IF(J52=0,0,1000000*J52/TrRoad_act!J80)</f>
        <v>8563.1450811055565</v>
      </c>
      <c r="K137" s="116">
        <f>IF(K52=0,0,1000000*K52/TrRoad_act!K80)</f>
        <v>6957.7659935451302</v>
      </c>
      <c r="L137" s="116">
        <f>IF(L52=0,0,1000000*L52/TrRoad_act!L80)</f>
        <v>8642.9850103720091</v>
      </c>
      <c r="M137" s="116">
        <f>IF(M52=0,0,1000000*M52/TrRoad_act!M80)</f>
        <v>9115.9399668904844</v>
      </c>
      <c r="N137" s="116">
        <f>IF(N52=0,0,1000000*N52/TrRoad_act!N80)</f>
        <v>8462.4675996675687</v>
      </c>
      <c r="O137" s="116">
        <f>IF(O52=0,0,1000000*O52/TrRoad_act!O80)</f>
        <v>8553.8762825889753</v>
      </c>
      <c r="P137" s="116">
        <f>IF(P52=0,0,1000000*P52/TrRoad_act!P80)</f>
        <v>7591.8760084496307</v>
      </c>
      <c r="Q137" s="116">
        <f>IF(Q52=0,0,1000000*Q52/TrRoad_act!Q80)</f>
        <v>7047.8294316323272</v>
      </c>
      <c r="R137" s="116">
        <f>IF(R52=0,0,1000000*R52/TrRoad_act!R80)</f>
        <v>6229.6454397145217</v>
      </c>
      <c r="S137" s="116">
        <f>IF(S52=0,0,1000000*S52/TrRoad_act!S80)</f>
        <v>4907.569693702063</v>
      </c>
      <c r="T137" s="116">
        <f>IF(T52=0,0,1000000*T52/TrRoad_act!T80)</f>
        <v>4695.885624081393</v>
      </c>
      <c r="U137" s="116">
        <f>IF(U52=0,0,1000000*U52/TrRoad_act!U80)</f>
        <v>3760.2969714770716</v>
      </c>
      <c r="V137" s="116">
        <f>IF(V52=0,0,1000000*V52/TrRoad_act!V80)</f>
        <v>3227.4189508066006</v>
      </c>
      <c r="W137" s="116">
        <f>IF(W52=0,0,1000000*W52/TrRoad_act!W80)</f>
        <v>4275.4574346526306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5146.2957007652476</v>
      </c>
      <c r="C138" s="101">
        <f>IF(C53=0,0,1000000*C53/TrRoad_act!C81)</f>
        <v>6738.8566666599854</v>
      </c>
      <c r="D138" s="101">
        <f>IF(D53=0,0,1000000*D53/TrRoad_act!D81)</f>
        <v>7082.9899080686646</v>
      </c>
      <c r="E138" s="101">
        <f>IF(E53=0,0,1000000*E53/TrRoad_act!E81)</f>
        <v>6027.2724889734409</v>
      </c>
      <c r="F138" s="101">
        <f>IF(F53=0,0,1000000*F53/TrRoad_act!F81)</f>
        <v>6634.7640064388852</v>
      </c>
      <c r="G138" s="101">
        <f>IF(G53=0,0,1000000*G53/TrRoad_act!G81)</f>
        <v>6691.1288917677439</v>
      </c>
      <c r="H138" s="101">
        <f>IF(H53=0,0,1000000*H53/TrRoad_act!H81)</f>
        <v>6498.3554759409171</v>
      </c>
      <c r="I138" s="101">
        <f>IF(I53=0,0,1000000*I53/TrRoad_act!I81)</f>
        <v>7041.4331055202838</v>
      </c>
      <c r="J138" s="101">
        <f>IF(J53=0,0,1000000*J53/TrRoad_act!J81)</f>
        <v>6824.0505272866485</v>
      </c>
      <c r="K138" s="101">
        <f>IF(K53=0,0,1000000*K53/TrRoad_act!K81)</f>
        <v>5371.6877069954762</v>
      </c>
      <c r="L138" s="101">
        <f>IF(L53=0,0,1000000*L53/TrRoad_act!L81)</f>
        <v>6530.7939714561098</v>
      </c>
      <c r="M138" s="101">
        <f>IF(M53=0,0,1000000*M53/TrRoad_act!M81)</f>
        <v>6800.7408808156852</v>
      </c>
      <c r="N138" s="101">
        <f>IF(N53=0,0,1000000*N53/TrRoad_act!N81)</f>
        <v>6204.290527465434</v>
      </c>
      <c r="O138" s="101">
        <f>IF(O53=0,0,1000000*O53/TrRoad_act!O81)</f>
        <v>6121.0971642758532</v>
      </c>
      <c r="P138" s="101">
        <f>IF(P53=0,0,1000000*P53/TrRoad_act!P81)</f>
        <v>5267.1067719080856</v>
      </c>
      <c r="Q138" s="101">
        <f>IF(Q53=0,0,1000000*Q53/TrRoad_act!Q81)</f>
        <v>4604.9419139409838</v>
      </c>
      <c r="R138" s="101">
        <f>IF(R53=0,0,1000000*R53/TrRoad_act!R81)</f>
        <v>4260.2977086545416</v>
      </c>
      <c r="S138" s="101">
        <f>IF(S53=0,0,1000000*S53/TrRoad_act!S81)</f>
        <v>3139.5138114059764</v>
      </c>
      <c r="T138" s="101">
        <f>IF(T53=0,0,1000000*T53/TrRoad_act!T81)</f>
        <v>3016.017523410309</v>
      </c>
      <c r="U138" s="101">
        <f>IF(U53=0,0,1000000*U53/TrRoad_act!U81)</f>
        <v>2363.4414181066936</v>
      </c>
      <c r="V138" s="101">
        <f>IF(V53=0,0,1000000*V53/TrRoad_act!V81)</f>
        <v>1722.1754218146889</v>
      </c>
      <c r="W138" s="101">
        <f>IF(W53=0,0,1000000*W53/TrRoad_act!W81)</f>
        <v>2736.7054634980263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32529.815885849745</v>
      </c>
      <c r="C139" s="88">
        <f>IF(C55=0,0,1000000*C55/TrRoad_act!C82)</f>
        <v>38691.163663416468</v>
      </c>
      <c r="D139" s="88">
        <f>IF(D55=0,0,1000000*D55/TrRoad_act!D82)</f>
        <v>41698.815761535123</v>
      </c>
      <c r="E139" s="88">
        <f>IF(E55=0,0,1000000*E55/TrRoad_act!E82)</f>
        <v>34985.253738610627</v>
      </c>
      <c r="F139" s="88">
        <f>IF(F55=0,0,1000000*F55/TrRoad_act!F82)</f>
        <v>35685.63013992706</v>
      </c>
      <c r="G139" s="88">
        <f>IF(G55=0,0,1000000*G55/TrRoad_act!G82)</f>
        <v>36439.099106811125</v>
      </c>
      <c r="H139" s="88">
        <f>IF(H55=0,0,1000000*H55/TrRoad_act!H82)</f>
        <v>36243.838771223098</v>
      </c>
      <c r="I139" s="88">
        <f>IF(I55=0,0,1000000*I55/TrRoad_act!I82)</f>
        <v>38091.261514619247</v>
      </c>
      <c r="J139" s="88">
        <f>IF(J55=0,0,1000000*J55/TrRoad_act!J82)</f>
        <v>38254.789629681298</v>
      </c>
      <c r="K139" s="88">
        <f>IF(K55=0,0,1000000*K55/TrRoad_act!K82)</f>
        <v>35867.311123190426</v>
      </c>
      <c r="L139" s="88">
        <f>IF(L55=0,0,1000000*L55/TrRoad_act!L82)</f>
        <v>43964.416975478744</v>
      </c>
      <c r="M139" s="88">
        <f>IF(M55=0,0,1000000*M55/TrRoad_act!M82)</f>
        <v>44306.361584604449</v>
      </c>
      <c r="N139" s="88">
        <f>IF(N55=0,0,1000000*N55/TrRoad_act!N82)</f>
        <v>44326.951664334309</v>
      </c>
      <c r="O139" s="88">
        <f>IF(O55=0,0,1000000*O55/TrRoad_act!O82)</f>
        <v>38513.790676169418</v>
      </c>
      <c r="P139" s="88">
        <f>IF(P55=0,0,1000000*P55/TrRoad_act!P82)</f>
        <v>37633.681088080928</v>
      </c>
      <c r="Q139" s="88">
        <f>IF(Q55=0,0,1000000*Q55/TrRoad_act!Q82)</f>
        <v>33986.095416192402</v>
      </c>
      <c r="R139" s="88">
        <f>IF(R55=0,0,1000000*R55/TrRoad_act!R82)</f>
        <v>29242.981100883648</v>
      </c>
      <c r="S139" s="88">
        <f>IF(S55=0,0,1000000*S55/TrRoad_act!S82)</f>
        <v>28505.2661432475</v>
      </c>
      <c r="T139" s="88">
        <f>IF(T55=0,0,1000000*T55/TrRoad_act!T82)</f>
        <v>27885.369187693093</v>
      </c>
      <c r="U139" s="88">
        <f>IF(U55=0,0,1000000*U55/TrRoad_act!U82)</f>
        <v>27421.023220957726</v>
      </c>
      <c r="V139" s="88">
        <f>IF(V55=0,0,1000000*V55/TrRoad_act!V82)</f>
        <v>25285.488460722412</v>
      </c>
      <c r="W139" s="88">
        <f>IF(W55=0,0,1000000*W55/TrRoad_act!W82)</f>
        <v>28943.700523136366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0.73246511221914834</v>
      </c>
      <c r="C142" s="46">
        <f t="shared" si="41"/>
        <v>0.74592489714018528</v>
      </c>
      <c r="D142" s="46">
        <f t="shared" si="41"/>
        <v>0.71317414794384371</v>
      </c>
      <c r="E142" s="46">
        <f t="shared" si="41"/>
        <v>0.71260137290007741</v>
      </c>
      <c r="F142" s="46">
        <f t="shared" si="41"/>
        <v>0.70754387854790624</v>
      </c>
      <c r="G142" s="46">
        <f t="shared" si="41"/>
        <v>0.72332811457355106</v>
      </c>
      <c r="H142" s="46">
        <f t="shared" si="41"/>
        <v>0.74066433159613143</v>
      </c>
      <c r="I142" s="46">
        <f t="shared" si="41"/>
        <v>0.73997838382097225</v>
      </c>
      <c r="J142" s="46">
        <f t="shared" si="41"/>
        <v>0.73681340616050894</v>
      </c>
      <c r="K142" s="46">
        <f t="shared" si="41"/>
        <v>0.77427425478359579</v>
      </c>
      <c r="L142" s="46">
        <f t="shared" ref="L142" si="42">IF(L18=0,0,L18/L$17)</f>
        <v>0.75742075263852848</v>
      </c>
      <c r="M142" s="46">
        <f t="shared" ref="M142:V142" si="43">IF(M18=0,0,M18/M$17)</f>
        <v>0.73859679244175735</v>
      </c>
      <c r="N142" s="46">
        <f t="shared" si="43"/>
        <v>0.74344974040232159</v>
      </c>
      <c r="O142" s="46">
        <f t="shared" si="43"/>
        <v>0.74804111151635111</v>
      </c>
      <c r="P142" s="46">
        <f t="shared" si="43"/>
        <v>0.7579295608715988</v>
      </c>
      <c r="Q142" s="46">
        <f t="shared" si="43"/>
        <v>0.76975014850634482</v>
      </c>
      <c r="R142" s="46">
        <f t="shared" si="43"/>
        <v>0.77940620945966621</v>
      </c>
      <c r="S142" s="46">
        <f t="shared" si="43"/>
        <v>0.79417170492307665</v>
      </c>
      <c r="T142" s="46">
        <f t="shared" si="43"/>
        <v>0.79045913824319158</v>
      </c>
      <c r="U142" s="46">
        <f t="shared" si="43"/>
        <v>0.78703184210248656</v>
      </c>
      <c r="V142" s="46">
        <f t="shared" si="43"/>
        <v>0.78500178806835408</v>
      </c>
      <c r="W142" s="46">
        <f t="shared" ref="W142" si="44">IF(W18=0,0,W18/W$17)</f>
        <v>0.75976566973375337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8.7069059021241814E-4</v>
      </c>
      <c r="C143" s="154">
        <f t="shared" si="45"/>
        <v>7.2241294278412992E-4</v>
      </c>
      <c r="D143" s="154">
        <f t="shared" si="45"/>
        <v>7.400887244925524E-4</v>
      </c>
      <c r="E143" s="154">
        <f t="shared" si="45"/>
        <v>8.3127362301992026E-4</v>
      </c>
      <c r="F143" s="154">
        <f t="shared" si="45"/>
        <v>8.9297217584996232E-4</v>
      </c>
      <c r="G143" s="154">
        <f t="shared" si="45"/>
        <v>9.4307603590338069E-4</v>
      </c>
      <c r="H143" s="154">
        <f t="shared" si="45"/>
        <v>1.05543695118438E-3</v>
      </c>
      <c r="I143" s="154">
        <f t="shared" si="45"/>
        <v>1.1532570937829957E-3</v>
      </c>
      <c r="J143" s="154">
        <f t="shared" si="45"/>
        <v>1.3760943050329601E-3</v>
      </c>
      <c r="K143" s="154">
        <f t="shared" si="45"/>
        <v>1.5880858375162338E-3</v>
      </c>
      <c r="L143" s="154">
        <f t="shared" ref="L143" si="46">IF(L19=0,0,L19/L$17)</f>
        <v>1.5903056202768349E-3</v>
      </c>
      <c r="M143" s="154">
        <f t="shared" ref="M143:V143" si="47">IF(M19=0,0,M19/M$17)</f>
        <v>1.7847949237558068E-3</v>
      </c>
      <c r="N143" s="154">
        <f t="shared" si="47"/>
        <v>2.526813881484396E-3</v>
      </c>
      <c r="O143" s="154">
        <f t="shared" si="47"/>
        <v>2.7784580999982429E-3</v>
      </c>
      <c r="P143" s="154">
        <f t="shared" si="47"/>
        <v>2.9494398498322028E-3</v>
      </c>
      <c r="Q143" s="154">
        <f t="shared" si="47"/>
        <v>3.0418124688030308E-3</v>
      </c>
      <c r="R143" s="154">
        <f t="shared" si="47"/>
        <v>3.1639979875755552E-3</v>
      </c>
      <c r="S143" s="154">
        <f t="shared" si="47"/>
        <v>2.8894381930502809E-3</v>
      </c>
      <c r="T143" s="154">
        <f t="shared" si="47"/>
        <v>2.6537824290851489E-3</v>
      </c>
      <c r="U143" s="154">
        <f t="shared" si="47"/>
        <v>2.8089653491859732E-3</v>
      </c>
      <c r="V143" s="154">
        <f t="shared" si="47"/>
        <v>2.6628022127129941E-3</v>
      </c>
      <c r="W143" s="154">
        <f t="shared" ref="W143" si="48">IF(W19=0,0,W19/W$17)</f>
        <v>2.4352041007610634E-3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0.56112560361097175</v>
      </c>
      <c r="C144" s="156">
        <f t="shared" si="49"/>
        <v>0.57904087880168642</v>
      </c>
      <c r="D144" s="156">
        <f t="shared" si="49"/>
        <v>0.53508963970830259</v>
      </c>
      <c r="E144" s="156">
        <f t="shared" si="49"/>
        <v>0.54984140187341257</v>
      </c>
      <c r="F144" s="156">
        <f t="shared" si="49"/>
        <v>0.54426204000178491</v>
      </c>
      <c r="G144" s="156">
        <f t="shared" si="49"/>
        <v>0.55975355200864974</v>
      </c>
      <c r="H144" s="156">
        <f t="shared" si="49"/>
        <v>0.58575207462642331</v>
      </c>
      <c r="I144" s="156">
        <f t="shared" si="49"/>
        <v>0.61431606055092836</v>
      </c>
      <c r="J144" s="156">
        <f t="shared" si="49"/>
        <v>0.61945805043112889</v>
      </c>
      <c r="K144" s="156">
        <f t="shared" si="49"/>
        <v>0.66034196487121366</v>
      </c>
      <c r="L144" s="156">
        <f t="shared" ref="L144" si="50">IF(L21=0,0,L21/L$17)</f>
        <v>0.63822082384583767</v>
      </c>
      <c r="M144" s="156">
        <f t="shared" ref="M144:V144" si="51">IF(M21=0,0,M21/M$17)</f>
        <v>0.62290011259735634</v>
      </c>
      <c r="N144" s="156">
        <f t="shared" si="51"/>
        <v>0.62767426461035647</v>
      </c>
      <c r="O144" s="156">
        <f t="shared" si="51"/>
        <v>0.63017769434208137</v>
      </c>
      <c r="P144" s="156">
        <f t="shared" si="51"/>
        <v>0.63612830707626522</v>
      </c>
      <c r="Q144" s="156">
        <f t="shared" si="51"/>
        <v>0.6487318279167642</v>
      </c>
      <c r="R144" s="156">
        <f t="shared" si="51"/>
        <v>0.64825606447170747</v>
      </c>
      <c r="S144" s="156">
        <f t="shared" si="51"/>
        <v>0.65063310292021692</v>
      </c>
      <c r="T144" s="156">
        <f t="shared" si="51"/>
        <v>0.65191061066382738</v>
      </c>
      <c r="U144" s="156">
        <f t="shared" si="51"/>
        <v>0.65853673454602957</v>
      </c>
      <c r="V144" s="156">
        <f t="shared" si="51"/>
        <v>0.65378333658925303</v>
      </c>
      <c r="W144" s="156">
        <f t="shared" ref="W144" si="52">IF(W21=0,0,W21/W$17)</f>
        <v>0.62585405209405309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0.52285221094729206</v>
      </c>
      <c r="C145" s="103">
        <f t="shared" si="53"/>
        <v>0.52158485043932201</v>
      </c>
      <c r="D145" s="103">
        <f t="shared" si="53"/>
        <v>0.46270473796742145</v>
      </c>
      <c r="E145" s="103">
        <f t="shared" si="53"/>
        <v>0.45973939983334644</v>
      </c>
      <c r="F145" s="103">
        <f t="shared" si="53"/>
        <v>0.42777045850832712</v>
      </c>
      <c r="G145" s="103">
        <f t="shared" si="53"/>
        <v>0.42343912192621064</v>
      </c>
      <c r="H145" s="103">
        <f t="shared" si="53"/>
        <v>0.42084965365134497</v>
      </c>
      <c r="I145" s="103">
        <f t="shared" si="53"/>
        <v>0.42512140891789046</v>
      </c>
      <c r="J145" s="103">
        <f t="shared" si="53"/>
        <v>0.43440034764326052</v>
      </c>
      <c r="K145" s="103">
        <f t="shared" si="53"/>
        <v>0.43995118101444008</v>
      </c>
      <c r="L145" s="103">
        <f t="shared" ref="L145" si="54">IF(L22=0,0,L22/L$17)</f>
        <v>0.40489917527809499</v>
      </c>
      <c r="M145" s="103">
        <f t="shared" ref="M145:V145" si="55">IF(M22=0,0,M22/M$17)</f>
        <v>0.36494175641518206</v>
      </c>
      <c r="N145" s="103">
        <f t="shared" si="55"/>
        <v>0.34198453333443818</v>
      </c>
      <c r="O145" s="103">
        <f t="shared" si="55"/>
        <v>0.32685500270811763</v>
      </c>
      <c r="P145" s="103">
        <f t="shared" si="55"/>
        <v>0.32782738124447308</v>
      </c>
      <c r="Q145" s="103">
        <f t="shared" si="55"/>
        <v>0.31438391984561609</v>
      </c>
      <c r="R145" s="103">
        <f t="shared" si="55"/>
        <v>0.32285935762021956</v>
      </c>
      <c r="S145" s="103">
        <f t="shared" si="55"/>
        <v>0.32756635746608914</v>
      </c>
      <c r="T145" s="103">
        <f t="shared" si="55"/>
        <v>0.32463785747849705</v>
      </c>
      <c r="U145" s="103">
        <f t="shared" si="55"/>
        <v>0.32799348562189484</v>
      </c>
      <c r="V145" s="103">
        <f t="shared" si="55"/>
        <v>0.27080740985962354</v>
      </c>
      <c r="W145" s="103">
        <f t="shared" ref="W145" si="56">IF(W22=0,0,W22/W$17)</f>
        <v>0.2354604383984486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3.6742927903725006E-2</v>
      </c>
      <c r="C146" s="103">
        <f t="shared" si="57"/>
        <v>5.6020033389412034E-2</v>
      </c>
      <c r="D146" s="103">
        <f t="shared" si="57"/>
        <v>7.0821623322712746E-2</v>
      </c>
      <c r="E146" s="103">
        <f t="shared" si="57"/>
        <v>8.8311775411170856E-2</v>
      </c>
      <c r="F146" s="103">
        <f t="shared" si="57"/>
        <v>0.11449500239513404</v>
      </c>
      <c r="G146" s="103">
        <f t="shared" si="57"/>
        <v>0.13404950978726138</v>
      </c>
      <c r="H146" s="103">
        <f t="shared" si="57"/>
        <v>0.16211653096663817</v>
      </c>
      <c r="I146" s="103">
        <f t="shared" si="57"/>
        <v>0.18694509165565598</v>
      </c>
      <c r="J146" s="103">
        <f t="shared" si="57"/>
        <v>0.18182090076181581</v>
      </c>
      <c r="K146" s="103">
        <f t="shared" si="57"/>
        <v>0.21664192357741618</v>
      </c>
      <c r="L146" s="103">
        <f t="shared" ref="L146" si="58">IF(L24=0,0,L24/L$17)</f>
        <v>0.23006991154832715</v>
      </c>
      <c r="M146" s="103">
        <f t="shared" ref="M146:V146" si="59">IF(M24=0,0,M24/M$17)</f>
        <v>0.2544157538944235</v>
      </c>
      <c r="N146" s="103">
        <f t="shared" si="59"/>
        <v>0.28097066405302284</v>
      </c>
      <c r="O146" s="103">
        <f t="shared" si="59"/>
        <v>0.29746112431856941</v>
      </c>
      <c r="P146" s="103">
        <f t="shared" si="59"/>
        <v>0.30110665179779672</v>
      </c>
      <c r="Q146" s="103">
        <f t="shared" si="59"/>
        <v>0.32588430074757035</v>
      </c>
      <c r="R146" s="103">
        <f t="shared" si="59"/>
        <v>0.31559332286028297</v>
      </c>
      <c r="S146" s="103">
        <f t="shared" si="59"/>
        <v>0.31128025885185356</v>
      </c>
      <c r="T146" s="103">
        <f t="shared" si="59"/>
        <v>0.31220952027684856</v>
      </c>
      <c r="U146" s="103">
        <f t="shared" si="59"/>
        <v>0.30662848420864713</v>
      </c>
      <c r="V146" s="103">
        <f t="shared" si="59"/>
        <v>0.35120764288721995</v>
      </c>
      <c r="W146" s="103">
        <f t="shared" ref="W146" si="60">IF(W24=0,0,W24/W$17)</f>
        <v>0.35447246743904748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1.5304647599547242E-3</v>
      </c>
      <c r="C147" s="103">
        <f t="shared" si="61"/>
        <v>1.4359949729524221E-3</v>
      </c>
      <c r="D147" s="103">
        <f t="shared" si="61"/>
        <v>1.5632784181683873E-3</v>
      </c>
      <c r="E147" s="103">
        <f t="shared" si="61"/>
        <v>1.7902266288951846E-3</v>
      </c>
      <c r="F147" s="103">
        <f t="shared" si="61"/>
        <v>1.9965790983237242E-3</v>
      </c>
      <c r="G147" s="103">
        <f t="shared" si="61"/>
        <v>2.264920295177701E-3</v>
      </c>
      <c r="H147" s="103">
        <f t="shared" si="61"/>
        <v>2.7858900084401774E-3</v>
      </c>
      <c r="I147" s="103">
        <f t="shared" si="61"/>
        <v>2.2495599773819227E-3</v>
      </c>
      <c r="J147" s="103">
        <f t="shared" si="61"/>
        <v>3.2365179141809058E-3</v>
      </c>
      <c r="K147" s="103">
        <f t="shared" si="61"/>
        <v>3.7485431014393114E-3</v>
      </c>
      <c r="L147" s="103">
        <f t="shared" ref="L147" si="62">IF(L26=0,0,L26/L$17)</f>
        <v>3.2465013885999011E-3</v>
      </c>
      <c r="M147" s="103">
        <f t="shared" ref="M147:V147" si="63">IF(M26=0,0,M26/M$17)</f>
        <v>3.5102195129589498E-3</v>
      </c>
      <c r="N147" s="103">
        <f t="shared" si="63"/>
        <v>4.5244839658781563E-3</v>
      </c>
      <c r="O147" s="103">
        <f t="shared" si="63"/>
        <v>5.4187474331751197E-3</v>
      </c>
      <c r="P147" s="103">
        <f t="shared" si="63"/>
        <v>6.4124966750631687E-3</v>
      </c>
      <c r="Q147" s="103">
        <f t="shared" si="63"/>
        <v>7.4428142980620653E-3</v>
      </c>
      <c r="R147" s="103">
        <f t="shared" si="63"/>
        <v>8.1087425663107261E-3</v>
      </c>
      <c r="S147" s="103">
        <f t="shared" si="63"/>
        <v>9.3999931115823741E-3</v>
      </c>
      <c r="T147" s="103">
        <f t="shared" si="63"/>
        <v>1.0866363614688653E-2</v>
      </c>
      <c r="U147" s="103">
        <f t="shared" si="63"/>
        <v>1.2886829499818475E-2</v>
      </c>
      <c r="V147" s="103">
        <f t="shared" si="63"/>
        <v>1.3113404593831642E-2</v>
      </c>
      <c r="W147" s="103">
        <f t="shared" ref="W147" si="64">IF(W26=0,0,W26/W$17)</f>
        <v>1.2735559157161519E-2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4.6283263393440006E-6</v>
      </c>
      <c r="M148" s="103">
        <f t="shared" ref="M148:V148" si="67">IF(M27=0,0,M27/M$17)</f>
        <v>1.5661935265546488E-5</v>
      </c>
      <c r="N148" s="103">
        <f t="shared" si="67"/>
        <v>3.0165308732522139E-5</v>
      </c>
      <c r="O148" s="103">
        <f t="shared" si="67"/>
        <v>2.4329565913333497E-4</v>
      </c>
      <c r="P148" s="103">
        <f t="shared" si="67"/>
        <v>4.6382153629827473E-4</v>
      </c>
      <c r="Q148" s="103">
        <f t="shared" si="67"/>
        <v>6.9301864259354033E-4</v>
      </c>
      <c r="R148" s="103">
        <f t="shared" si="67"/>
        <v>1.359961452685451E-3</v>
      </c>
      <c r="S148" s="103">
        <f t="shared" si="67"/>
        <v>2.0494358391412145E-3</v>
      </c>
      <c r="T148" s="103">
        <f t="shared" si="67"/>
        <v>3.8175881647795592E-3</v>
      </c>
      <c r="U148" s="103">
        <f t="shared" si="67"/>
        <v>1.0567705251901241E-2</v>
      </c>
      <c r="V148" s="103">
        <f t="shared" si="67"/>
        <v>1.8079690548219941E-2</v>
      </c>
      <c r="W148" s="103">
        <f t="shared" ref="W148" si="68">IF(W27=0,0,W27/W$17)</f>
        <v>2.2285387044089243E-2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0</v>
      </c>
      <c r="O149" s="103">
        <f t="shared" si="71"/>
        <v>0</v>
      </c>
      <c r="P149" s="103">
        <f t="shared" si="71"/>
        <v>9.5767360180625535E-6</v>
      </c>
      <c r="Q149" s="103">
        <f t="shared" si="71"/>
        <v>1.8207382645781983E-5</v>
      </c>
      <c r="R149" s="103">
        <f t="shared" si="71"/>
        <v>2.3819953457671055E-5</v>
      </c>
      <c r="S149" s="103">
        <f t="shared" si="71"/>
        <v>2.9857674342543545E-5</v>
      </c>
      <c r="T149" s="103">
        <f t="shared" si="71"/>
        <v>4.7607698981127075E-5</v>
      </c>
      <c r="U149" s="103">
        <f t="shared" si="71"/>
        <v>5.6713243293364266E-5</v>
      </c>
      <c r="V149" s="103">
        <f t="shared" si="71"/>
        <v>1.0211801239544697E-4</v>
      </c>
      <c r="W149" s="103">
        <f t="shared" ref="W149" si="72">IF(W29=0,0,W29/W$17)</f>
        <v>2.5413447698348265E-4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2.8411187161064398E-7</v>
      </c>
      <c r="K150" s="103">
        <f t="shared" si="73"/>
        <v>3.1717791810637501E-7</v>
      </c>
      <c r="L150" s="103">
        <f t="shared" ref="L150" si="74">IF(L32=0,0,L32/L$17)</f>
        <v>6.0730447611623328E-7</v>
      </c>
      <c r="M150" s="103">
        <f t="shared" ref="M150:V150" si="75">IF(M32=0,0,M32/M$17)</f>
        <v>1.6720839526313938E-5</v>
      </c>
      <c r="N150" s="103">
        <f t="shared" si="75"/>
        <v>1.6441794828485793E-4</v>
      </c>
      <c r="O150" s="103">
        <f t="shared" si="75"/>
        <v>1.9952422308606381E-4</v>
      </c>
      <c r="P150" s="103">
        <f t="shared" si="75"/>
        <v>3.0837908661595205E-4</v>
      </c>
      <c r="Q150" s="103">
        <f t="shared" si="75"/>
        <v>3.0956700027646392E-4</v>
      </c>
      <c r="R150" s="103">
        <f t="shared" si="75"/>
        <v>3.1086001875112597E-4</v>
      </c>
      <c r="S150" s="103">
        <f t="shared" si="75"/>
        <v>3.0719997720802573E-4</v>
      </c>
      <c r="T150" s="103">
        <f t="shared" si="75"/>
        <v>3.3167343003246872E-4</v>
      </c>
      <c r="U150" s="103">
        <f t="shared" si="75"/>
        <v>4.0351672047435821E-4</v>
      </c>
      <c r="V150" s="103">
        <f t="shared" si="75"/>
        <v>4.7307068796248621E-4</v>
      </c>
      <c r="W150" s="103">
        <f t="shared" ref="W150" si="76">IF(W32=0,0,W32/W$17)</f>
        <v>6.4606557832267277E-4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0.17046881801796421</v>
      </c>
      <c r="C151" s="156">
        <f t="shared" si="77"/>
        <v>0.16616160539571478</v>
      </c>
      <c r="D151" s="156">
        <f t="shared" si="77"/>
        <v>0.1773444195110486</v>
      </c>
      <c r="E151" s="156">
        <f t="shared" si="77"/>
        <v>0.16192869740364496</v>
      </c>
      <c r="F151" s="156">
        <f t="shared" si="77"/>
        <v>0.16238886637027125</v>
      </c>
      <c r="G151" s="156">
        <f t="shared" si="77"/>
        <v>0.16263148652899792</v>
      </c>
      <c r="H151" s="156">
        <f t="shared" si="77"/>
        <v>0.1538568200185238</v>
      </c>
      <c r="I151" s="156">
        <f t="shared" si="77"/>
        <v>0.12450906617626084</v>
      </c>
      <c r="J151" s="156">
        <f t="shared" si="77"/>
        <v>0.11597926142434703</v>
      </c>
      <c r="K151" s="156">
        <f t="shared" si="77"/>
        <v>0.11234420407486588</v>
      </c>
      <c r="L151" s="156">
        <f t="shared" ref="L151" si="78">IF(L33=0,0,L33/L$17)</f>
        <v>0.11760962317241409</v>
      </c>
      <c r="M151" s="156">
        <f t="shared" ref="M151:V151" si="79">IF(M33=0,0,M33/M$17)</f>
        <v>0.11391188492064526</v>
      </c>
      <c r="N151" s="156">
        <f t="shared" si="79"/>
        <v>0.11324866191048066</v>
      </c>
      <c r="O151" s="156">
        <f t="shared" si="79"/>
        <v>0.11508495907427142</v>
      </c>
      <c r="P151" s="156">
        <f t="shared" si="79"/>
        <v>0.11885181394550136</v>
      </c>
      <c r="Q151" s="156">
        <f t="shared" si="79"/>
        <v>0.11797650812077752</v>
      </c>
      <c r="R151" s="156">
        <f t="shared" si="79"/>
        <v>0.12798614700038305</v>
      </c>
      <c r="S151" s="156">
        <f t="shared" si="79"/>
        <v>0.14064916380980938</v>
      </c>
      <c r="T151" s="156">
        <f t="shared" si="79"/>
        <v>0.13589474515027897</v>
      </c>
      <c r="U151" s="156">
        <f t="shared" si="79"/>
        <v>0.12568614220727095</v>
      </c>
      <c r="V151" s="156">
        <f t="shared" si="79"/>
        <v>0.12855564926638807</v>
      </c>
      <c r="W151" s="156">
        <f t="shared" ref="W151" si="80">IF(W33=0,0,W33/W$17)</f>
        <v>0.13147641353893927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2.205124567786855E-2</v>
      </c>
      <c r="C152" s="103">
        <f t="shared" si="81"/>
        <v>1.5813315997077575E-2</v>
      </c>
      <c r="D152" s="103">
        <f t="shared" si="81"/>
        <v>1.3126714876392826E-2</v>
      </c>
      <c r="E152" s="103">
        <f t="shared" si="81"/>
        <v>1.1384428446112312E-2</v>
      </c>
      <c r="F152" s="103">
        <f t="shared" si="81"/>
        <v>9.8265290573867486E-3</v>
      </c>
      <c r="G152" s="103">
        <f t="shared" si="81"/>
        <v>7.6922095749294081E-3</v>
      </c>
      <c r="H152" s="103">
        <f t="shared" si="81"/>
        <v>7.2348456936543754E-3</v>
      </c>
      <c r="I152" s="103">
        <f t="shared" si="81"/>
        <v>3.7889570878591717E-3</v>
      </c>
      <c r="J152" s="103">
        <f t="shared" si="81"/>
        <v>2.7237837192154004E-3</v>
      </c>
      <c r="K152" s="103">
        <f t="shared" si="81"/>
        <v>2.0668572556932115E-3</v>
      </c>
      <c r="L152" s="103">
        <f t="shared" ref="L152" si="82">IF(L34=0,0,L34/L$17)</f>
        <v>1.5294658737011518E-3</v>
      </c>
      <c r="M152" s="103">
        <f t="shared" ref="M152:V152" si="83">IF(M34=0,0,M34/M$17)</f>
        <v>1.3367959734140156E-3</v>
      </c>
      <c r="N152" s="103">
        <f t="shared" si="83"/>
        <v>1.2457659612584216E-3</v>
      </c>
      <c r="O152" s="103">
        <f t="shared" si="83"/>
        <v>1.2103093387669233E-3</v>
      </c>
      <c r="P152" s="103">
        <f t="shared" si="83"/>
        <v>1.2175925469543277E-3</v>
      </c>
      <c r="Q152" s="103">
        <f t="shared" si="83"/>
        <v>1.1933840573223405E-3</v>
      </c>
      <c r="R152" s="103">
        <f t="shared" si="83"/>
        <v>1.2951752219125135E-3</v>
      </c>
      <c r="S152" s="103">
        <f t="shared" si="83"/>
        <v>1.38849811937717E-3</v>
      </c>
      <c r="T152" s="103">
        <f t="shared" si="83"/>
        <v>1.2811729251916864E-3</v>
      </c>
      <c r="U152" s="103">
        <f t="shared" si="83"/>
        <v>1.1525667048947435E-3</v>
      </c>
      <c r="V152" s="103">
        <f t="shared" si="83"/>
        <v>1.1237717218356312E-3</v>
      </c>
      <c r="W152" s="103">
        <f t="shared" ref="W152" si="84">IF(W34=0,0,W34/W$17)</f>
        <v>1.0828237864205831E-3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0.14841757234009564</v>
      </c>
      <c r="C153" s="103">
        <f t="shared" si="85"/>
        <v>0.1503482893986372</v>
      </c>
      <c r="D153" s="103">
        <f t="shared" si="85"/>
        <v>0.16421770463465576</v>
      </c>
      <c r="E153" s="103">
        <f t="shared" si="85"/>
        <v>0.15054426895753267</v>
      </c>
      <c r="F153" s="103">
        <f t="shared" si="85"/>
        <v>0.15256233731288449</v>
      </c>
      <c r="G153" s="103">
        <f t="shared" si="85"/>
        <v>0.15493927695406853</v>
      </c>
      <c r="H153" s="103">
        <f t="shared" si="85"/>
        <v>0.14662197432486943</v>
      </c>
      <c r="I153" s="103">
        <f t="shared" si="85"/>
        <v>0.12072010908840167</v>
      </c>
      <c r="J153" s="103">
        <f t="shared" si="85"/>
        <v>0.11325547770513164</v>
      </c>
      <c r="K153" s="103">
        <f t="shared" si="85"/>
        <v>0.11027734681917266</v>
      </c>
      <c r="L153" s="103">
        <f t="shared" ref="L153" si="86">IF(L36=0,0,L36/L$17)</f>
        <v>0.11355981798072934</v>
      </c>
      <c r="M153" s="103">
        <f t="shared" ref="M153:V153" si="87">IF(M36=0,0,M36/M$17)</f>
        <v>0.10980967055725539</v>
      </c>
      <c r="N153" s="103">
        <f t="shared" si="87"/>
        <v>0.10895794173705478</v>
      </c>
      <c r="O153" s="103">
        <f t="shared" si="87"/>
        <v>0.1106224484233202</v>
      </c>
      <c r="P153" s="103">
        <f t="shared" si="87"/>
        <v>0.11372101533539794</v>
      </c>
      <c r="Q153" s="103">
        <f t="shared" si="87"/>
        <v>0.11167664832855481</v>
      </c>
      <c r="R153" s="103">
        <f t="shared" si="87"/>
        <v>0.12073731343732486</v>
      </c>
      <c r="S153" s="103">
        <f t="shared" si="87"/>
        <v>0.13386123331898347</v>
      </c>
      <c r="T153" s="103">
        <f t="shared" si="87"/>
        <v>0.12497279583670334</v>
      </c>
      <c r="U153" s="103">
        <f t="shared" si="87"/>
        <v>0.11641257539710259</v>
      </c>
      <c r="V153" s="103">
        <f t="shared" si="87"/>
        <v>0.11535532705242042</v>
      </c>
      <c r="W153" s="103">
        <f t="shared" ref="W153" si="88">IF(W36=0,0,W36/W$17)</f>
        <v>0.1177463573514259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1.4463518478084295E-5</v>
      </c>
      <c r="U154" s="103">
        <f t="shared" si="91"/>
        <v>1.3081205083221548E-5</v>
      </c>
      <c r="V154" s="103">
        <f t="shared" si="91"/>
        <v>1.3194382772657677E-5</v>
      </c>
      <c r="W154" s="103">
        <f t="shared" ref="W154" si="92">IF(W38=0,0,W38/W$17)</f>
        <v>1.2962635738334321E-5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5.7758802078348859E-5</v>
      </c>
      <c r="M155" s="103">
        <f t="shared" ref="M155:V155" si="95">IF(M39=0,0,M39/M$17)</f>
        <v>3.5097891630735405E-4</v>
      </c>
      <c r="N155" s="103">
        <f t="shared" si="95"/>
        <v>7.1772828885399524E-4</v>
      </c>
      <c r="O155" s="103">
        <f t="shared" si="95"/>
        <v>9.2157769836243659E-4</v>
      </c>
      <c r="P155" s="103">
        <f t="shared" si="95"/>
        <v>1.6676124187438104E-3</v>
      </c>
      <c r="Q155" s="103">
        <f t="shared" si="95"/>
        <v>3.0005784198007621E-3</v>
      </c>
      <c r="R155" s="103">
        <f t="shared" si="95"/>
        <v>4.0233704147906507E-3</v>
      </c>
      <c r="S155" s="103">
        <f t="shared" si="95"/>
        <v>3.6362950093189288E-3</v>
      </c>
      <c r="T155" s="103">
        <f t="shared" si="95"/>
        <v>8.0619357433969578E-3</v>
      </c>
      <c r="U155" s="103">
        <f t="shared" si="95"/>
        <v>6.6830973217486501E-3</v>
      </c>
      <c r="V155" s="103">
        <f t="shared" si="95"/>
        <v>1.0744551598562281E-2</v>
      </c>
      <c r="W155" s="103">
        <f t="shared" ref="W155" si="96">IF(W39=0,0,W39/W$17)</f>
        <v>1.1486120587297977E-2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2.4625805159052372E-3</v>
      </c>
      <c r="M156" s="103">
        <f t="shared" ref="M156:V156" si="99">IF(M41=0,0,M41/M$17)</f>
        <v>2.4144394736684842E-3</v>
      </c>
      <c r="N156" s="103">
        <f t="shared" si="99"/>
        <v>2.3272259233134704E-3</v>
      </c>
      <c r="O156" s="103">
        <f t="shared" si="99"/>
        <v>2.3306236138218766E-3</v>
      </c>
      <c r="P156" s="103">
        <f t="shared" si="99"/>
        <v>2.2455936444052702E-3</v>
      </c>
      <c r="Q156" s="103">
        <f t="shared" si="99"/>
        <v>2.1058973150996042E-3</v>
      </c>
      <c r="R156" s="103">
        <f t="shared" si="99"/>
        <v>1.9302879263550351E-3</v>
      </c>
      <c r="S156" s="103">
        <f t="shared" si="99"/>
        <v>1.7631373621298098E-3</v>
      </c>
      <c r="T156" s="103">
        <f t="shared" si="99"/>
        <v>1.5643771265088707E-3</v>
      </c>
      <c r="U156" s="103">
        <f t="shared" si="99"/>
        <v>1.4248215784417415E-3</v>
      </c>
      <c r="V156" s="103">
        <f t="shared" si="99"/>
        <v>1.3188045107970869E-3</v>
      </c>
      <c r="W156" s="103">
        <f t="shared" ref="W156" si="100">IF(W41=0,0,W41/W$17)</f>
        <v>1.148149178056486E-3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0.26753488778085166</v>
      </c>
      <c r="C157" s="46">
        <f t="shared" si="101"/>
        <v>0.25407510285981472</v>
      </c>
      <c r="D157" s="46">
        <f t="shared" si="101"/>
        <v>0.28682585205615618</v>
      </c>
      <c r="E157" s="46">
        <f t="shared" si="101"/>
        <v>0.28739862709992259</v>
      </c>
      <c r="F157" s="46">
        <f t="shared" si="101"/>
        <v>0.29245612145209376</v>
      </c>
      <c r="G157" s="46">
        <f t="shared" si="101"/>
        <v>0.27667188542644905</v>
      </c>
      <c r="H157" s="46">
        <f t="shared" si="101"/>
        <v>0.25933566840386862</v>
      </c>
      <c r="I157" s="46">
        <f t="shared" si="101"/>
        <v>0.26002161617902769</v>
      </c>
      <c r="J157" s="46">
        <f t="shared" si="101"/>
        <v>0.26318659383949106</v>
      </c>
      <c r="K157" s="46">
        <f t="shared" si="101"/>
        <v>0.22572574521640418</v>
      </c>
      <c r="L157" s="46">
        <f t="shared" ref="L157" si="102">IF(L42=0,0,L42/L$17)</f>
        <v>0.24257924736147149</v>
      </c>
      <c r="M157" s="46">
        <f t="shared" ref="M157:V157" si="103">IF(M42=0,0,M42/M$17)</f>
        <v>0.26140320755824259</v>
      </c>
      <c r="N157" s="46">
        <f t="shared" si="103"/>
        <v>0.2565502595976783</v>
      </c>
      <c r="O157" s="46">
        <f t="shared" si="103"/>
        <v>0.251958888483649</v>
      </c>
      <c r="P157" s="46">
        <f t="shared" si="103"/>
        <v>0.24207043912840118</v>
      </c>
      <c r="Q157" s="46">
        <f t="shared" si="103"/>
        <v>0.23024985149365507</v>
      </c>
      <c r="R157" s="46">
        <f t="shared" si="103"/>
        <v>0.22059379054033385</v>
      </c>
      <c r="S157" s="46">
        <f t="shared" si="103"/>
        <v>0.20582829507692335</v>
      </c>
      <c r="T157" s="46">
        <f t="shared" si="103"/>
        <v>0.2095408617568085</v>
      </c>
      <c r="U157" s="46">
        <f t="shared" si="103"/>
        <v>0.2129681578975135</v>
      </c>
      <c r="V157" s="46">
        <f t="shared" si="103"/>
        <v>0.21499821193164587</v>
      </c>
      <c r="W157" s="46">
        <f t="shared" ref="W157" si="104">IF(W42=0,0,W42/W$17)</f>
        <v>0.24023433026624672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0.16770000928248266</v>
      </c>
      <c r="C158" s="154">
        <f t="shared" si="105"/>
        <v>0.16703223628223374</v>
      </c>
      <c r="D158" s="154">
        <f t="shared" si="105"/>
        <v>0.1736664821456676</v>
      </c>
      <c r="E158" s="154">
        <f t="shared" si="105"/>
        <v>0.14770529636787222</v>
      </c>
      <c r="F158" s="154">
        <f t="shared" si="105"/>
        <v>0.13907495782054491</v>
      </c>
      <c r="G158" s="154">
        <f t="shared" si="105"/>
        <v>0.12288897734207918</v>
      </c>
      <c r="H158" s="154">
        <f t="shared" si="105"/>
        <v>0.10790267139061449</v>
      </c>
      <c r="I158" s="154">
        <f t="shared" si="105"/>
        <v>9.6948948946380092E-2</v>
      </c>
      <c r="J158" s="154">
        <f t="shared" si="105"/>
        <v>9.592933511780144E-2</v>
      </c>
      <c r="K158" s="154">
        <f t="shared" si="105"/>
        <v>9.559283429458984E-2</v>
      </c>
      <c r="L158" s="154">
        <f t="shared" ref="L158" si="106">IF(L43=0,0,L43/L$17)</f>
        <v>9.8320608660908096E-2</v>
      </c>
      <c r="M158" s="154">
        <f t="shared" ref="M158:V158" si="107">IF(M43=0,0,M43/M$17)</f>
        <v>0.10062116041269832</v>
      </c>
      <c r="N158" s="154">
        <f t="shared" si="107"/>
        <v>0.10123088232517319</v>
      </c>
      <c r="O158" s="154">
        <f t="shared" si="107"/>
        <v>0.10407826957212936</v>
      </c>
      <c r="P158" s="154">
        <f t="shared" si="107"/>
        <v>0.1059831827466353</v>
      </c>
      <c r="Q158" s="154">
        <f t="shared" si="107"/>
        <v>0.10247888203718303</v>
      </c>
      <c r="R158" s="154">
        <f t="shared" si="107"/>
        <v>0.10338403153173333</v>
      </c>
      <c r="S158" s="154">
        <f t="shared" si="107"/>
        <v>0.10871869475287274</v>
      </c>
      <c r="T158" s="154">
        <f t="shared" si="107"/>
        <v>0.11479286205487237</v>
      </c>
      <c r="U158" s="154">
        <f t="shared" si="107"/>
        <v>0.1252564369531162</v>
      </c>
      <c r="V158" s="154">
        <f t="shared" si="107"/>
        <v>0.13274620867958478</v>
      </c>
      <c r="W158" s="154">
        <f t="shared" ref="W158" si="108">IF(W43=0,0,W43/W$17)</f>
        <v>0.1378766070112884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4.4130321129332503E-2</v>
      </c>
      <c r="C159" s="103">
        <f t="shared" si="109"/>
        <v>3.9913199665060912E-2</v>
      </c>
      <c r="D159" s="103">
        <f t="shared" si="109"/>
        <v>3.7420659218486065E-2</v>
      </c>
      <c r="E159" s="103">
        <f t="shared" si="109"/>
        <v>3.5284416511119056E-2</v>
      </c>
      <c r="F159" s="103">
        <f t="shared" si="109"/>
        <v>3.4956431113760504E-2</v>
      </c>
      <c r="G159" s="103">
        <f t="shared" si="109"/>
        <v>2.9378358511779078E-2</v>
      </c>
      <c r="H159" s="103">
        <f t="shared" si="109"/>
        <v>2.6797507732665104E-2</v>
      </c>
      <c r="I159" s="103">
        <f t="shared" si="109"/>
        <v>2.126535662851016E-2</v>
      </c>
      <c r="J159" s="103">
        <f t="shared" si="109"/>
        <v>2.0983730761009008E-2</v>
      </c>
      <c r="K159" s="103">
        <f t="shared" si="109"/>
        <v>2.0782652484366886E-2</v>
      </c>
      <c r="L159" s="103">
        <f t="shared" ref="L159" si="110">IF(L44=0,0,L44/L$17)</f>
        <v>1.7863291692115858E-2</v>
      </c>
      <c r="M159" s="103">
        <f t="shared" ref="M159:V159" si="111">IF(M44=0,0,M44/M$17)</f>
        <v>1.8294715976436039E-2</v>
      </c>
      <c r="N159" s="103">
        <f t="shared" si="111"/>
        <v>1.7008058124815258E-2</v>
      </c>
      <c r="O159" s="103">
        <f t="shared" si="111"/>
        <v>1.557484900533236E-2</v>
      </c>
      <c r="P159" s="103">
        <f t="shared" si="111"/>
        <v>1.4943007863825592E-2</v>
      </c>
      <c r="Q159" s="103">
        <f t="shared" si="111"/>
        <v>1.4052521393171463E-2</v>
      </c>
      <c r="R159" s="103">
        <f t="shared" si="111"/>
        <v>1.2904015207878402E-2</v>
      </c>
      <c r="S159" s="103">
        <f t="shared" si="111"/>
        <v>1.2492340959193873E-2</v>
      </c>
      <c r="T159" s="103">
        <f t="shared" si="111"/>
        <v>1.346694413349305E-2</v>
      </c>
      <c r="U159" s="103">
        <f t="shared" si="111"/>
        <v>1.2895424398398202E-2</v>
      </c>
      <c r="V159" s="103">
        <f t="shared" si="111"/>
        <v>1.2168218791549872E-2</v>
      </c>
      <c r="W159" s="103">
        <f t="shared" ref="W159" si="112">IF(W44=0,0,W44/W$17)</f>
        <v>1.0338662694666365E-2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0.12356968815315014</v>
      </c>
      <c r="C160" s="103">
        <f t="shared" si="113"/>
        <v>0.12711903661717283</v>
      </c>
      <c r="D160" s="103">
        <f t="shared" si="113"/>
        <v>0.13624582292718154</v>
      </c>
      <c r="E160" s="103">
        <f t="shared" si="113"/>
        <v>0.11242087985675316</v>
      </c>
      <c r="F160" s="103">
        <f t="shared" si="113"/>
        <v>0.10411852670678443</v>
      </c>
      <c r="G160" s="103">
        <f t="shared" si="113"/>
        <v>9.351061883030011E-2</v>
      </c>
      <c r="H160" s="103">
        <f t="shared" si="113"/>
        <v>8.1105163657949383E-2</v>
      </c>
      <c r="I160" s="103">
        <f t="shared" si="113"/>
        <v>7.5683301013427642E-2</v>
      </c>
      <c r="J160" s="103">
        <f t="shared" si="113"/>
        <v>7.4945306808307841E-2</v>
      </c>
      <c r="K160" s="103">
        <f t="shared" si="113"/>
        <v>7.480985077567015E-2</v>
      </c>
      <c r="L160" s="103">
        <f t="shared" ref="L160" si="114">IF(L46=0,0,L46/L$17)</f>
        <v>8.0456999138736884E-2</v>
      </c>
      <c r="M160" s="103">
        <f t="shared" ref="M160:V160" si="115">IF(M46=0,0,M46/M$17)</f>
        <v>8.232613285710666E-2</v>
      </c>
      <c r="N160" s="103">
        <f t="shared" si="115"/>
        <v>8.4221208232806835E-2</v>
      </c>
      <c r="O160" s="103">
        <f t="shared" si="115"/>
        <v>8.8445716841815E-2</v>
      </c>
      <c r="P160" s="103">
        <f t="shared" si="115"/>
        <v>9.0963206856717327E-2</v>
      </c>
      <c r="Q160" s="103">
        <f t="shared" si="115"/>
        <v>8.8323900013528078E-2</v>
      </c>
      <c r="R160" s="103">
        <f t="shared" si="115"/>
        <v>9.0376740366766323E-2</v>
      </c>
      <c r="S160" s="103">
        <f t="shared" si="115"/>
        <v>9.6044907146789205E-2</v>
      </c>
      <c r="T160" s="103">
        <f t="shared" si="115"/>
        <v>0.10110424265408861</v>
      </c>
      <c r="U160" s="103">
        <f t="shared" si="115"/>
        <v>0.11208714064595748</v>
      </c>
      <c r="V160" s="103">
        <f t="shared" si="115"/>
        <v>0.12020964271531751</v>
      </c>
      <c r="W160" s="103">
        <f t="shared" ref="W160" si="116">IF(W46=0,0,W46/W$17)</f>
        <v>0.12718464200314394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8.4574290683833181E-7</v>
      </c>
      <c r="S161" s="103">
        <f t="shared" si="119"/>
        <v>9.7493117617020656E-6</v>
      </c>
      <c r="T161" s="103">
        <f t="shared" si="119"/>
        <v>1.1616487849884218E-5</v>
      </c>
      <c r="U161" s="103">
        <f t="shared" si="119"/>
        <v>1.5779492739772049E-5</v>
      </c>
      <c r="V161" s="103">
        <f t="shared" si="119"/>
        <v>1.5677148004861041E-5</v>
      </c>
      <c r="W161" s="103">
        <f t="shared" ref="W161" si="120">IF(W48=0,0,W48/W$17)</f>
        <v>1.4943979510631409E-5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1.1534671183584161E-6</v>
      </c>
      <c r="O162" s="103">
        <f t="shared" si="123"/>
        <v>5.6583133989276532E-5</v>
      </c>
      <c r="P162" s="103">
        <f t="shared" si="123"/>
        <v>7.4228985888647272E-5</v>
      </c>
      <c r="Q162" s="103">
        <f t="shared" si="123"/>
        <v>9.9376739614161954E-5</v>
      </c>
      <c r="R162" s="103">
        <f t="shared" si="123"/>
        <v>9.681396803857688E-5</v>
      </c>
      <c r="S162" s="103">
        <f t="shared" si="123"/>
        <v>1.659582473574762E-4</v>
      </c>
      <c r="T162" s="103">
        <f t="shared" si="123"/>
        <v>2.0422600099163855E-4</v>
      </c>
      <c r="U162" s="103">
        <f t="shared" si="123"/>
        <v>2.5213565700815395E-4</v>
      </c>
      <c r="V162" s="103">
        <f t="shared" si="123"/>
        <v>3.4308651700107909E-4</v>
      </c>
      <c r="W162" s="103">
        <f t="shared" ref="W162" si="124">IF(W49=0,0,W49/W$17)</f>
        <v>3.2744717884534915E-4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2.9130444229900791E-7</v>
      </c>
      <c r="J163" s="103">
        <f t="shared" si="125"/>
        <v>2.9754848459412248E-7</v>
      </c>
      <c r="K163" s="103">
        <f t="shared" si="125"/>
        <v>3.3103455279833037E-7</v>
      </c>
      <c r="L163" s="103">
        <f t="shared" ref="L163" si="126">IF(L51=0,0,L51/L$17)</f>
        <v>3.1783005535117586E-7</v>
      </c>
      <c r="M163" s="103">
        <f t="shared" ref="M163:V163" si="127">IF(M51=0,0,M51/M$17)</f>
        <v>3.1157915562688145E-7</v>
      </c>
      <c r="N163" s="103">
        <f t="shared" si="127"/>
        <v>4.6250043272869731E-7</v>
      </c>
      <c r="O163" s="103">
        <f t="shared" si="127"/>
        <v>1.1205909927255479E-6</v>
      </c>
      <c r="P163" s="103">
        <f t="shared" si="127"/>
        <v>2.7390402037609996E-6</v>
      </c>
      <c r="Q163" s="103">
        <f t="shared" si="127"/>
        <v>3.0838908693449411E-6</v>
      </c>
      <c r="R163" s="103">
        <f t="shared" si="127"/>
        <v>5.6162461431933487E-6</v>
      </c>
      <c r="S163" s="103">
        <f t="shared" si="127"/>
        <v>5.7390877704811699E-6</v>
      </c>
      <c r="T163" s="103">
        <f t="shared" si="127"/>
        <v>5.8327784491628094E-6</v>
      </c>
      <c r="U163" s="103">
        <f t="shared" si="127"/>
        <v>5.9567590125911835E-6</v>
      </c>
      <c r="V163" s="103">
        <f t="shared" si="127"/>
        <v>9.5835077114617256E-6</v>
      </c>
      <c r="W163" s="103">
        <f t="shared" ref="W163" si="128">IF(W51=0,0,W51/W$17)</f>
        <v>1.0911155122090587E-5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9.9834878498369001E-2</v>
      </c>
      <c r="C164" s="156">
        <f t="shared" si="129"/>
        <v>8.704286657758098E-2</v>
      </c>
      <c r="D164" s="156">
        <f t="shared" si="129"/>
        <v>0.11315936991048857</v>
      </c>
      <c r="E164" s="156">
        <f t="shared" si="129"/>
        <v>0.13969333073205042</v>
      </c>
      <c r="F164" s="156">
        <f t="shared" si="129"/>
        <v>0.15338116363154886</v>
      </c>
      <c r="G164" s="156">
        <f t="shared" si="129"/>
        <v>0.15378290808436987</v>
      </c>
      <c r="H164" s="156">
        <f t="shared" si="129"/>
        <v>0.15143299701325416</v>
      </c>
      <c r="I164" s="156">
        <f t="shared" si="129"/>
        <v>0.16307266723264757</v>
      </c>
      <c r="J164" s="156">
        <f t="shared" si="129"/>
        <v>0.16725725872168962</v>
      </c>
      <c r="K164" s="156">
        <f t="shared" si="129"/>
        <v>0.13013291092181431</v>
      </c>
      <c r="L164" s="156">
        <f t="shared" ref="L164" si="130">IF(L52=0,0,L52/L$17)</f>
        <v>0.14425863870056341</v>
      </c>
      <c r="M164" s="156">
        <f t="shared" ref="M164:V164" si="131">IF(M52=0,0,M52/M$17)</f>
        <v>0.16078204714554425</v>
      </c>
      <c r="N164" s="156">
        <f t="shared" si="131"/>
        <v>0.15531937727250508</v>
      </c>
      <c r="O164" s="156">
        <f t="shared" si="131"/>
        <v>0.14788061891151963</v>
      </c>
      <c r="P164" s="156">
        <f t="shared" si="131"/>
        <v>0.13608725638176586</v>
      </c>
      <c r="Q164" s="156">
        <f t="shared" si="131"/>
        <v>0.12777096945647204</v>
      </c>
      <c r="R164" s="156">
        <f t="shared" si="131"/>
        <v>0.11720975900860049</v>
      </c>
      <c r="S164" s="156">
        <f t="shared" si="131"/>
        <v>9.710960032405061E-2</v>
      </c>
      <c r="T164" s="156">
        <f t="shared" si="131"/>
        <v>9.4747999701936134E-2</v>
      </c>
      <c r="U164" s="156">
        <f t="shared" si="131"/>
        <v>8.7711720944397303E-2</v>
      </c>
      <c r="V164" s="156">
        <f t="shared" si="131"/>
        <v>8.2252003252061098E-2</v>
      </c>
      <c r="W164" s="156">
        <f t="shared" ref="W164" si="132">IF(W52=0,0,W52/W$17)</f>
        <v>0.1023577232549583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6.7765930985042619E-2</v>
      </c>
      <c r="C165" s="104">
        <f t="shared" si="133"/>
        <v>5.3427638700714569E-2</v>
      </c>
      <c r="D165" s="104">
        <f t="shared" si="133"/>
        <v>7.6302920552040257E-2</v>
      </c>
      <c r="E165" s="104">
        <f t="shared" si="133"/>
        <v>0.10713152435050317</v>
      </c>
      <c r="F165" s="104">
        <f t="shared" si="133"/>
        <v>0.1152990511593415</v>
      </c>
      <c r="G165" s="104">
        <f t="shared" si="133"/>
        <v>0.11533807049573172</v>
      </c>
      <c r="H165" s="104">
        <f t="shared" si="133"/>
        <v>0.11337731994761298</v>
      </c>
      <c r="I165" s="104">
        <f t="shared" si="133"/>
        <v>0.12100750856675621</v>
      </c>
      <c r="J165" s="104">
        <f t="shared" si="133"/>
        <v>0.12591386799486232</v>
      </c>
      <c r="K165" s="104">
        <f t="shared" si="133"/>
        <v>9.5242727712502723E-2</v>
      </c>
      <c r="L165" s="104">
        <f t="shared" ref="L165" si="134">IF(L53=0,0,L53/L$17)</f>
        <v>0.10285383579940459</v>
      </c>
      <c r="M165" s="104">
        <f t="shared" ref="M165:V165" si="135">IF(M53=0,0,M53/M$17)</f>
        <v>0.11254350545917351</v>
      </c>
      <c r="N165" s="104">
        <f t="shared" si="135"/>
        <v>0.10712778534325568</v>
      </c>
      <c r="O165" s="104">
        <f t="shared" si="135"/>
        <v>9.7874842114084065E-2</v>
      </c>
      <c r="P165" s="104">
        <f t="shared" si="135"/>
        <v>8.7633420244689328E-2</v>
      </c>
      <c r="Q165" s="104">
        <f t="shared" si="135"/>
        <v>7.6542343711358984E-2</v>
      </c>
      <c r="R165" s="104">
        <f t="shared" si="135"/>
        <v>7.3838162386051648E-2</v>
      </c>
      <c r="S165" s="104">
        <f t="shared" si="135"/>
        <v>5.7793627084365917E-2</v>
      </c>
      <c r="T165" s="104">
        <f t="shared" si="135"/>
        <v>5.6743094108404807E-2</v>
      </c>
      <c r="U165" s="104">
        <f t="shared" si="135"/>
        <v>5.2055814162423435E-2</v>
      </c>
      <c r="V165" s="104">
        <f t="shared" si="135"/>
        <v>4.1086549875240533E-2</v>
      </c>
      <c r="W165" s="104">
        <f t="shared" ref="W165" si="136">IF(W53=0,0,W53/W$17)</f>
        <v>6.1671865009578927E-2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3.2068947513326382E-2</v>
      </c>
      <c r="C166" s="105">
        <f t="shared" si="137"/>
        <v>3.3615227876866403E-2</v>
      </c>
      <c r="D166" s="105">
        <f t="shared" si="137"/>
        <v>3.6856449358448312E-2</v>
      </c>
      <c r="E166" s="105">
        <f t="shared" si="137"/>
        <v>3.2561806381547237E-2</v>
      </c>
      <c r="F166" s="105">
        <f t="shared" si="137"/>
        <v>3.8082112472207358E-2</v>
      </c>
      <c r="G166" s="105">
        <f t="shared" si="137"/>
        <v>3.8444837588638155E-2</v>
      </c>
      <c r="H166" s="105">
        <f t="shared" si="137"/>
        <v>3.8055677065641176E-2</v>
      </c>
      <c r="I166" s="105">
        <f t="shared" si="137"/>
        <v>4.2065158665891347E-2</v>
      </c>
      <c r="J166" s="105">
        <f t="shared" si="137"/>
        <v>4.1343390726827307E-2</v>
      </c>
      <c r="K166" s="105">
        <f t="shared" si="137"/>
        <v>3.4890183209311587E-2</v>
      </c>
      <c r="L166" s="105">
        <f t="shared" ref="L166" si="138">IF(L55=0,0,L55/L$17)</f>
        <v>4.1404802901158826E-2</v>
      </c>
      <c r="M166" s="105">
        <f t="shared" ref="M166:V166" si="139">IF(M55=0,0,M55/M$17)</f>
        <v>4.8238541686370748E-2</v>
      </c>
      <c r="N166" s="105">
        <f t="shared" si="139"/>
        <v>4.8191591929249399E-2</v>
      </c>
      <c r="O166" s="105">
        <f t="shared" si="139"/>
        <v>5.0005776797435585E-2</v>
      </c>
      <c r="P166" s="105">
        <f t="shared" si="139"/>
        <v>4.8453836137076524E-2</v>
      </c>
      <c r="Q166" s="105">
        <f t="shared" si="139"/>
        <v>5.1228625745113048E-2</v>
      </c>
      <c r="R166" s="105">
        <f t="shared" si="139"/>
        <v>4.3371596622548851E-2</v>
      </c>
      <c r="S166" s="105">
        <f t="shared" si="139"/>
        <v>3.9315973239684693E-2</v>
      </c>
      <c r="T166" s="105">
        <f t="shared" si="139"/>
        <v>3.800490559353132E-2</v>
      </c>
      <c r="U166" s="105">
        <f t="shared" si="139"/>
        <v>3.5655906781973862E-2</v>
      </c>
      <c r="V166" s="105">
        <f t="shared" si="139"/>
        <v>4.1165453376820552E-2</v>
      </c>
      <c r="W166" s="105">
        <f t="shared" ref="W166" si="140">IF(W55=0,0,W55/W$17)</f>
        <v>4.0685858245379368E-2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1482.75691452</v>
      </c>
      <c r="C4" s="146">
        <f t="shared" si="0"/>
        <v>1807.5567747599998</v>
      </c>
      <c r="D4" s="146">
        <f t="shared" si="0"/>
        <v>1875.9681449999998</v>
      </c>
      <c r="E4" s="146">
        <f t="shared" si="0"/>
        <v>1820.9434975200002</v>
      </c>
      <c r="F4" s="146">
        <f t="shared" si="0"/>
        <v>1881.8660037600002</v>
      </c>
      <c r="G4" s="146">
        <f t="shared" si="0"/>
        <v>1972.87588332</v>
      </c>
      <c r="H4" s="146">
        <f t="shared" si="0"/>
        <v>2126.1269818800001</v>
      </c>
      <c r="I4" s="146">
        <f t="shared" si="0"/>
        <v>2255.74263144</v>
      </c>
      <c r="J4" s="146">
        <f t="shared" si="0"/>
        <v>2197.7207992800004</v>
      </c>
      <c r="K4" s="146">
        <f t="shared" si="0"/>
        <v>1982.4472349999996</v>
      </c>
      <c r="L4" s="146">
        <f t="shared" ref="L4" si="1">L5+L9+L10+L15</f>
        <v>2049.5230243200003</v>
      </c>
      <c r="M4" s="146">
        <f t="shared" ref="M4:V4" si="2">M5+M9+M10+M15</f>
        <v>2108.2899553200004</v>
      </c>
      <c r="N4" s="146">
        <f t="shared" si="2"/>
        <v>2154.9329488800004</v>
      </c>
      <c r="O4" s="146">
        <f t="shared" si="2"/>
        <v>2117.7229968000001</v>
      </c>
      <c r="P4" s="146">
        <f t="shared" si="2"/>
        <v>2133.81675756</v>
      </c>
      <c r="Q4" s="146">
        <f t="shared" si="2"/>
        <v>2201.7407940000003</v>
      </c>
      <c r="R4" s="146">
        <f t="shared" si="2"/>
        <v>2268.2623374</v>
      </c>
      <c r="S4" s="146">
        <f t="shared" si="2"/>
        <v>2340.3994531200001</v>
      </c>
      <c r="T4" s="146">
        <f t="shared" si="2"/>
        <v>2385.0725097599998</v>
      </c>
      <c r="U4" s="146">
        <f t="shared" si="2"/>
        <v>2358.2553843600003</v>
      </c>
      <c r="V4" s="146">
        <f t="shared" si="2"/>
        <v>2188.8346939200005</v>
      </c>
      <c r="W4" s="146">
        <f t="shared" ref="W4" si="3">W5+W9+W10+W15</f>
        <v>2312.2550404799999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1482.75691452</v>
      </c>
      <c r="C5" s="101">
        <f t="shared" si="4"/>
        <v>1807.5567747599998</v>
      </c>
      <c r="D5" s="101">
        <f t="shared" si="4"/>
        <v>1875.9681449999998</v>
      </c>
      <c r="E5" s="101">
        <f t="shared" si="4"/>
        <v>1820.9434975200002</v>
      </c>
      <c r="F5" s="101">
        <f t="shared" si="4"/>
        <v>1881.8660037600002</v>
      </c>
      <c r="G5" s="101">
        <f t="shared" si="4"/>
        <v>1972.87588332</v>
      </c>
      <c r="H5" s="101">
        <f t="shared" si="4"/>
        <v>2126.1269818800001</v>
      </c>
      <c r="I5" s="101">
        <f t="shared" si="4"/>
        <v>2255.74263144</v>
      </c>
      <c r="J5" s="101">
        <f t="shared" si="4"/>
        <v>2197.7207992800004</v>
      </c>
      <c r="K5" s="101">
        <f t="shared" si="4"/>
        <v>1982.4472349999996</v>
      </c>
      <c r="L5" s="101">
        <f t="shared" ref="L5" si="5">SUM(L6:L8)</f>
        <v>2049.4220443200002</v>
      </c>
      <c r="M5" s="101">
        <f t="shared" ref="M5:V5" si="6">SUM(M6:M8)</f>
        <v>2107.6840753200004</v>
      </c>
      <c r="N5" s="101">
        <f t="shared" si="6"/>
        <v>2153.6706988800001</v>
      </c>
      <c r="O5" s="101">
        <f t="shared" si="6"/>
        <v>2115.7033968000001</v>
      </c>
      <c r="P5" s="101">
        <f t="shared" si="6"/>
        <v>2130.13098756</v>
      </c>
      <c r="Q5" s="101">
        <f t="shared" si="6"/>
        <v>2195.2275840000002</v>
      </c>
      <c r="R5" s="101">
        <f t="shared" si="6"/>
        <v>2258.5682573999998</v>
      </c>
      <c r="S5" s="101">
        <f t="shared" si="6"/>
        <v>2329.7068828800002</v>
      </c>
      <c r="T5" s="101">
        <f t="shared" si="6"/>
        <v>2364.9092272799999</v>
      </c>
      <c r="U5" s="101">
        <f t="shared" si="6"/>
        <v>2330.6607817200002</v>
      </c>
      <c r="V5" s="101">
        <f t="shared" si="6"/>
        <v>2143.3591587600004</v>
      </c>
      <c r="W5" s="101">
        <f t="shared" ref="W5" si="7">SUM(W6:W8)</f>
        <v>2257.9209338400001</v>
      </c>
      <c r="DA5" s="175"/>
    </row>
    <row r="6" spans="1:105" ht="11.45" customHeight="1" x14ac:dyDescent="0.25">
      <c r="A6" s="128" t="s">
        <v>52</v>
      </c>
      <c r="B6" s="101">
        <v>2.00968452</v>
      </c>
      <c r="C6" s="101">
        <v>2.2968147600000006</v>
      </c>
      <c r="D6" s="101">
        <v>2.5839450000000004</v>
      </c>
      <c r="E6" s="101">
        <v>2.8710752400000015</v>
      </c>
      <c r="F6" s="101">
        <v>3.3017705999999998</v>
      </c>
      <c r="G6" s="101">
        <v>3.9246433200000008</v>
      </c>
      <c r="H6" s="101">
        <v>5.208097320000002</v>
      </c>
      <c r="I6" s="101">
        <v>4.4559705600000017</v>
      </c>
      <c r="J6" s="101">
        <v>6.281882640000001</v>
      </c>
      <c r="K6" s="101">
        <v>6.5460697200000002</v>
      </c>
      <c r="L6" s="101">
        <v>5.9104760400000007</v>
      </c>
      <c r="M6" s="101">
        <v>6.5244895200000022</v>
      </c>
      <c r="N6" s="101">
        <v>8.5757443200000019</v>
      </c>
      <c r="O6" s="101">
        <v>10.077499080000003</v>
      </c>
      <c r="P6" s="101">
        <v>12.052655280000003</v>
      </c>
      <c r="Q6" s="101">
        <v>14.375366280000001</v>
      </c>
      <c r="R6" s="101">
        <v>16.135401960000003</v>
      </c>
      <c r="S6" s="101">
        <v>19.33949376</v>
      </c>
      <c r="T6" s="101">
        <v>23.310023400000002</v>
      </c>
      <c r="U6" s="101">
        <v>27.763040880000013</v>
      </c>
      <c r="V6" s="101">
        <v>26.700840720000013</v>
      </c>
      <c r="W6" s="101">
        <v>27.562004280000011</v>
      </c>
      <c r="DA6" s="175" t="s">
        <v>740</v>
      </c>
    </row>
    <row r="7" spans="1:105" ht="11.45" customHeight="1" x14ac:dyDescent="0.25">
      <c r="A7" s="128" t="s">
        <v>53</v>
      </c>
      <c r="B7" s="101">
        <v>850.72679999999991</v>
      </c>
      <c r="C7" s="101">
        <v>1015.3835999999999</v>
      </c>
      <c r="D7" s="101">
        <v>933.05520000000001</v>
      </c>
      <c r="E7" s="101">
        <v>893.41557227999999</v>
      </c>
      <c r="F7" s="101">
        <v>859.87448316000018</v>
      </c>
      <c r="G7" s="101">
        <v>878.16959999999995</v>
      </c>
      <c r="H7" s="101">
        <v>936.10434456000007</v>
      </c>
      <c r="I7" s="101">
        <v>981.84251088000008</v>
      </c>
      <c r="J7" s="101">
        <v>975.74397228000009</v>
      </c>
      <c r="K7" s="101">
        <v>890.36642771999993</v>
      </c>
      <c r="L7" s="101">
        <v>838.52997227999992</v>
      </c>
      <c r="M7" s="101">
        <v>777.54608315999997</v>
      </c>
      <c r="N7" s="101">
        <v>744.00474455999995</v>
      </c>
      <c r="O7" s="101">
        <v>698.26682772000004</v>
      </c>
      <c r="P7" s="101">
        <v>701.31597227999998</v>
      </c>
      <c r="Q7" s="101">
        <v>698.26682772000004</v>
      </c>
      <c r="R7" s="101">
        <v>737.90645543999995</v>
      </c>
      <c r="S7" s="101">
        <v>774.49668912000004</v>
      </c>
      <c r="T7" s="101">
        <v>789.74291087999995</v>
      </c>
      <c r="U7" s="101">
        <v>792.7920554399999</v>
      </c>
      <c r="V7" s="101">
        <v>622.03671684000017</v>
      </c>
      <c r="W7" s="101">
        <v>579.34794456000009</v>
      </c>
      <c r="DA7" s="175" t="s">
        <v>741</v>
      </c>
    </row>
    <row r="8" spans="1:105" ht="11.45" customHeight="1" x14ac:dyDescent="0.25">
      <c r="A8" s="128" t="s">
        <v>54</v>
      </c>
      <c r="B8" s="101">
        <v>630.02043000000015</v>
      </c>
      <c r="C8" s="101">
        <v>789.87636000000009</v>
      </c>
      <c r="D8" s="101">
        <v>940.32899999999995</v>
      </c>
      <c r="E8" s="101">
        <v>924.65685000000008</v>
      </c>
      <c r="F8" s="101">
        <v>1018.68975</v>
      </c>
      <c r="G8" s="101">
        <v>1090.7816399999999</v>
      </c>
      <c r="H8" s="101">
        <v>1184.8145399999999</v>
      </c>
      <c r="I8" s="101">
        <v>1269.4441499999998</v>
      </c>
      <c r="J8" s="101">
        <v>1215.6949443600001</v>
      </c>
      <c r="K8" s="101">
        <v>1085.5347375599997</v>
      </c>
      <c r="L8" s="101">
        <v>1204.9815960000001</v>
      </c>
      <c r="M8" s="101">
        <v>1323.6135026400002</v>
      </c>
      <c r="N8" s="101">
        <v>1401.0902100000001</v>
      </c>
      <c r="O8" s="101">
        <v>1407.35907</v>
      </c>
      <c r="P8" s="101">
        <v>1416.7623599999999</v>
      </c>
      <c r="Q8" s="101">
        <v>1482.58539</v>
      </c>
      <c r="R8" s="101">
        <v>1504.5264</v>
      </c>
      <c r="S8" s="101">
        <v>1535.8706999999999</v>
      </c>
      <c r="T8" s="101">
        <v>1551.8562930000001</v>
      </c>
      <c r="U8" s="101">
        <v>1510.1056854000001</v>
      </c>
      <c r="V8" s="101">
        <v>1494.6216012</v>
      </c>
      <c r="W8" s="101">
        <v>1651.0109849999999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0.10098000000000001</v>
      </c>
      <c r="M9" s="101">
        <v>0.60588000000000009</v>
      </c>
      <c r="N9" s="101">
        <v>1.2622500000000001</v>
      </c>
      <c r="O9" s="101">
        <v>2.0196000000000001</v>
      </c>
      <c r="P9" s="101">
        <v>3.6857699999999998</v>
      </c>
      <c r="Q9" s="101">
        <v>6.5132100000000008</v>
      </c>
      <c r="R9" s="101">
        <v>9.6940800000000014</v>
      </c>
      <c r="S9" s="101">
        <v>10.69257024</v>
      </c>
      <c r="T9" s="101">
        <v>20.163282479999999</v>
      </c>
      <c r="U9" s="101">
        <v>27.594602640000002</v>
      </c>
      <c r="V9" s="101">
        <v>45.475535160000007</v>
      </c>
      <c r="W9" s="101">
        <v>54.334106640000009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1482.75691452</v>
      </c>
      <c r="C17" s="79">
        <f t="shared" si="12"/>
        <v>1807.5567747599998</v>
      </c>
      <c r="D17" s="79">
        <f t="shared" si="12"/>
        <v>1875.9681449999998</v>
      </c>
      <c r="E17" s="79">
        <f t="shared" si="12"/>
        <v>1820.9434975200002</v>
      </c>
      <c r="F17" s="79">
        <f t="shared" si="12"/>
        <v>1881.8660037600002</v>
      </c>
      <c r="G17" s="79">
        <f t="shared" si="12"/>
        <v>1972.8758833200004</v>
      </c>
      <c r="H17" s="79">
        <f t="shared" si="12"/>
        <v>2126.1269818800001</v>
      </c>
      <c r="I17" s="79">
        <f t="shared" si="12"/>
        <v>2255.74263144</v>
      </c>
      <c r="J17" s="79">
        <f t="shared" si="12"/>
        <v>2197.7207992800004</v>
      </c>
      <c r="K17" s="79">
        <f t="shared" si="12"/>
        <v>1982.4472349999994</v>
      </c>
      <c r="L17" s="79">
        <f t="shared" ref="L17" si="13">SUM(L18,L33)</f>
        <v>2049.5230243199999</v>
      </c>
      <c r="M17" s="79">
        <f t="shared" ref="M17:V17" si="14">SUM(M18,M33)</f>
        <v>2108.2899553200004</v>
      </c>
      <c r="N17" s="79">
        <f t="shared" si="14"/>
        <v>2154.9329488800004</v>
      </c>
      <c r="O17" s="79">
        <f t="shared" si="14"/>
        <v>2117.7229967999997</v>
      </c>
      <c r="P17" s="79">
        <f t="shared" si="14"/>
        <v>2133.81675756</v>
      </c>
      <c r="Q17" s="79">
        <f t="shared" si="14"/>
        <v>2201.7407940000003</v>
      </c>
      <c r="R17" s="79">
        <f t="shared" si="14"/>
        <v>2268.2623374</v>
      </c>
      <c r="S17" s="79">
        <f t="shared" si="14"/>
        <v>2340.3994531200001</v>
      </c>
      <c r="T17" s="79">
        <f t="shared" si="14"/>
        <v>2385.0725097599998</v>
      </c>
      <c r="U17" s="79">
        <f t="shared" si="14"/>
        <v>2358.2553843599994</v>
      </c>
      <c r="V17" s="79">
        <f t="shared" si="14"/>
        <v>2188.8346939200001</v>
      </c>
      <c r="W17" s="79">
        <f t="shared" ref="W17" si="15">SUM(W18,W33)</f>
        <v>2312.2550404799999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1074.6176626598115</v>
      </c>
      <c r="C18" s="32">
        <f t="shared" si="16"/>
        <v>1335.1871252724482</v>
      </c>
      <c r="D18" s="32">
        <f t="shared" si="16"/>
        <v>1323.9311459956432</v>
      </c>
      <c r="E18" s="32">
        <f t="shared" si="16"/>
        <v>1283.9828916020858</v>
      </c>
      <c r="F18" s="32">
        <f t="shared" si="16"/>
        <v>1318.3136513197965</v>
      </c>
      <c r="G18" s="32">
        <f t="shared" si="16"/>
        <v>1413.9798908013622</v>
      </c>
      <c r="H18" s="32">
        <f t="shared" si="16"/>
        <v>1562.0990774141899</v>
      </c>
      <c r="I18" s="32">
        <f t="shared" si="16"/>
        <v>1654.8037583120727</v>
      </c>
      <c r="J18" s="32">
        <f t="shared" si="16"/>
        <v>1605.131501362624</v>
      </c>
      <c r="K18" s="32">
        <f t="shared" si="16"/>
        <v>1524.3110865507745</v>
      </c>
      <c r="L18" s="32">
        <f t="shared" ref="L18" si="17">SUM(L19,L20,L27)</f>
        <v>1537.9190452105065</v>
      </c>
      <c r="M18" s="32">
        <f t="shared" ref="M18:V18" si="18">SUM(M19,M20,M27)</f>
        <v>1541.6455938079953</v>
      </c>
      <c r="N18" s="32">
        <f t="shared" si="18"/>
        <v>1586.8725613000699</v>
      </c>
      <c r="O18" s="32">
        <f t="shared" si="18"/>
        <v>1570.1107105048964</v>
      </c>
      <c r="P18" s="32">
        <f t="shared" si="18"/>
        <v>1602.3378075354701</v>
      </c>
      <c r="Q18" s="32">
        <f t="shared" si="18"/>
        <v>1681.9412268172632</v>
      </c>
      <c r="R18" s="32">
        <f t="shared" si="18"/>
        <v>1755.0728922296917</v>
      </c>
      <c r="S18" s="32">
        <f t="shared" si="18"/>
        <v>1847.2102002823335</v>
      </c>
      <c r="T18" s="32">
        <f t="shared" si="18"/>
        <v>1873.4923718094167</v>
      </c>
      <c r="U18" s="32">
        <f t="shared" si="18"/>
        <v>1843.7591204714313</v>
      </c>
      <c r="V18" s="32">
        <f t="shared" si="18"/>
        <v>1709.5730949483955</v>
      </c>
      <c r="W18" s="32">
        <f t="shared" ref="W18" si="19">SUM(W19,W20,W27)</f>
        <v>1747.6522557584588</v>
      </c>
      <c r="DA18" s="173" t="s">
        <v>402</v>
      </c>
    </row>
    <row r="19" spans="1:105" ht="11.45" customHeight="1" x14ac:dyDescent="0.25">
      <c r="A19" s="136" t="s">
        <v>180</v>
      </c>
      <c r="B19" s="141">
        <v>1.2556606354924043</v>
      </c>
      <c r="C19" s="141">
        <v>1.2690024028415774</v>
      </c>
      <c r="D19" s="141">
        <v>1.3434904883616807</v>
      </c>
      <c r="E19" s="141">
        <v>1.4641461729053287</v>
      </c>
      <c r="F19" s="141">
        <v>1.6218182312005096</v>
      </c>
      <c r="G19" s="141">
        <v>1.7947247609113572</v>
      </c>
      <c r="H19" s="141">
        <v>2.16696199961665</v>
      </c>
      <c r="I19" s="141">
        <v>2.508850287726633</v>
      </c>
      <c r="J19" s="141">
        <v>2.9222254762961088</v>
      </c>
      <c r="K19" s="141">
        <v>3.0448158640670333</v>
      </c>
      <c r="L19" s="141">
        <v>3.1311916939677538</v>
      </c>
      <c r="M19" s="141">
        <v>3.5919020050912733</v>
      </c>
      <c r="N19" s="141">
        <v>5.1823098388886448</v>
      </c>
      <c r="O19" s="141">
        <v>5.6004643404754058</v>
      </c>
      <c r="P19" s="141">
        <v>5.9620303054187458</v>
      </c>
      <c r="Q19" s="141">
        <v>6.3844266020239919</v>
      </c>
      <c r="R19" s="141">
        <v>6.8620549147814467</v>
      </c>
      <c r="S19" s="141">
        <v>6.4986814921825422</v>
      </c>
      <c r="T19" s="141">
        <v>6.1268338925570118</v>
      </c>
      <c r="U19" s="141">
        <v>6.4569827617270512</v>
      </c>
      <c r="V19" s="141">
        <v>5.7748329547678958</v>
      </c>
      <c r="W19" s="141">
        <v>5.655824256568609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812.69629076041019</v>
      </c>
      <c r="C20" s="130">
        <f t="shared" si="20"/>
        <v>1023.7429901653861</v>
      </c>
      <c r="D20" s="130">
        <f t="shared" si="20"/>
        <v>980.00451321993114</v>
      </c>
      <c r="E20" s="130">
        <f t="shared" si="20"/>
        <v>978.943148074497</v>
      </c>
      <c r="F20" s="130">
        <f t="shared" si="20"/>
        <v>1002.5688088074878</v>
      </c>
      <c r="G20" s="130">
        <f t="shared" si="20"/>
        <v>1082.4047773007815</v>
      </c>
      <c r="H20" s="130">
        <f t="shared" si="20"/>
        <v>1224.1333050287963</v>
      </c>
      <c r="I20" s="130">
        <f t="shared" si="20"/>
        <v>1363.5956068373612</v>
      </c>
      <c r="J20" s="130">
        <f t="shared" si="20"/>
        <v>1340.1632656887552</v>
      </c>
      <c r="K20" s="130">
        <f t="shared" si="20"/>
        <v>1292.2265500869362</v>
      </c>
      <c r="L20" s="130">
        <f t="shared" ref="L20" si="21">SUM(L21:L26)</f>
        <v>1290.9182817475037</v>
      </c>
      <c r="M20" s="130">
        <f t="shared" ref="M20:V20" si="22">SUM(M21:M26)</f>
        <v>1295.4658852595749</v>
      </c>
      <c r="N20" s="130">
        <f t="shared" si="22"/>
        <v>1335.4041557205974</v>
      </c>
      <c r="O20" s="130">
        <f t="shared" si="22"/>
        <v>1318.9529831961888</v>
      </c>
      <c r="P20" s="130">
        <f t="shared" si="22"/>
        <v>1340.1212499534324</v>
      </c>
      <c r="Q20" s="130">
        <f t="shared" si="22"/>
        <v>1414.6007961282687</v>
      </c>
      <c r="R20" s="130">
        <f t="shared" si="22"/>
        <v>1456.179387340462</v>
      </c>
      <c r="S20" s="130">
        <f t="shared" si="22"/>
        <v>1508.8466605639765</v>
      </c>
      <c r="T20" s="130">
        <f t="shared" si="22"/>
        <v>1544.559052657421</v>
      </c>
      <c r="U20" s="130">
        <f t="shared" si="22"/>
        <v>1541.8402874107996</v>
      </c>
      <c r="V20" s="130">
        <f t="shared" si="22"/>
        <v>1426.8748637850429</v>
      </c>
      <c r="W20" s="130">
        <f t="shared" ref="W20" si="23">SUM(W21:W26)</f>
        <v>1444.1332199252174</v>
      </c>
      <c r="DA20" s="176" t="s">
        <v>404</v>
      </c>
    </row>
    <row r="21" spans="1:105" ht="11.45" customHeight="1" x14ac:dyDescent="0.25">
      <c r="A21" s="111" t="s">
        <v>110</v>
      </c>
      <c r="B21" s="96">
        <v>754.02783359185742</v>
      </c>
      <c r="C21" s="96">
        <v>916.22448781492801</v>
      </c>
      <c r="D21" s="96">
        <v>839.95255407430568</v>
      </c>
      <c r="E21" s="96">
        <v>809.75224542118838</v>
      </c>
      <c r="F21" s="96">
        <v>776.91774406907507</v>
      </c>
      <c r="G21" s="96">
        <v>805.8275769159635</v>
      </c>
      <c r="H21" s="96">
        <v>864.06412622839571</v>
      </c>
      <c r="I21" s="96">
        <v>924.82931588460985</v>
      </c>
      <c r="J21" s="96">
        <v>922.47730271990145</v>
      </c>
      <c r="K21" s="96">
        <v>843.51255059542768</v>
      </c>
      <c r="L21" s="96">
        <v>797.21590514436309</v>
      </c>
      <c r="M21" s="96">
        <v>734.44573892600908</v>
      </c>
      <c r="N21" s="96">
        <v>701.38518109045197</v>
      </c>
      <c r="O21" s="96">
        <v>658.83296464825685</v>
      </c>
      <c r="P21" s="96">
        <v>662.67389112438013</v>
      </c>
      <c r="Q21" s="96">
        <v>659.85693782784642</v>
      </c>
      <c r="R21" s="96">
        <v>700.21493390349508</v>
      </c>
      <c r="S21" s="96">
        <v>736.73471536668387</v>
      </c>
      <c r="T21" s="96">
        <v>749.49709750396767</v>
      </c>
      <c r="U21" s="96">
        <v>753.96027339144212</v>
      </c>
      <c r="V21" s="96">
        <v>587.3014328237864</v>
      </c>
      <c r="W21" s="96">
        <v>546.86293380502548</v>
      </c>
      <c r="DA21" s="171" t="s">
        <v>750</v>
      </c>
    </row>
    <row r="22" spans="1:105" ht="11.45" customHeight="1" x14ac:dyDescent="0.25">
      <c r="A22" s="111" t="s">
        <v>111</v>
      </c>
      <c r="B22" s="96">
        <v>56.658772648552826</v>
      </c>
      <c r="C22" s="96">
        <v>105.22168759045809</v>
      </c>
      <c r="D22" s="96">
        <v>137.46801414562552</v>
      </c>
      <c r="E22" s="96">
        <v>166.31982741330862</v>
      </c>
      <c r="F22" s="96">
        <v>222.34929413841274</v>
      </c>
      <c r="G22" s="96">
        <v>272.65255706481781</v>
      </c>
      <c r="H22" s="96">
        <v>354.86108148040046</v>
      </c>
      <c r="I22" s="96">
        <v>434.31032039275124</v>
      </c>
      <c r="J22" s="96">
        <v>411.40408032885364</v>
      </c>
      <c r="K22" s="96">
        <v>442.16792977150851</v>
      </c>
      <c r="L22" s="96">
        <v>487.78440913973952</v>
      </c>
      <c r="M22" s="96">
        <v>554.46977520954374</v>
      </c>
      <c r="N22" s="96">
        <v>625.39239750838726</v>
      </c>
      <c r="O22" s="96">
        <v>649.64024569345781</v>
      </c>
      <c r="P22" s="96">
        <v>664.60680061762673</v>
      </c>
      <c r="Q22" s="96">
        <v>739.15245517640915</v>
      </c>
      <c r="R22" s="96">
        <v>737.39066659683465</v>
      </c>
      <c r="S22" s="96">
        <v>749.0039563578074</v>
      </c>
      <c r="T22" s="96">
        <v>765.36786545662756</v>
      </c>
      <c r="U22" s="96">
        <v>743.43567512473408</v>
      </c>
      <c r="V22" s="96">
        <v>784.60869314071431</v>
      </c>
      <c r="W22" s="96">
        <v>833.95597522486571</v>
      </c>
      <c r="DA22" s="171" t="s">
        <v>751</v>
      </c>
    </row>
    <row r="23" spans="1:105" ht="11.45" customHeight="1" x14ac:dyDescent="0.25">
      <c r="A23" s="111" t="s">
        <v>112</v>
      </c>
      <c r="B23" s="96">
        <v>2.00968452</v>
      </c>
      <c r="C23" s="96">
        <v>2.2968147600000006</v>
      </c>
      <c r="D23" s="96">
        <v>2.5839450000000004</v>
      </c>
      <c r="E23" s="96">
        <v>2.8710752400000015</v>
      </c>
      <c r="F23" s="96">
        <v>3.3017705999999998</v>
      </c>
      <c r="G23" s="96">
        <v>3.9246433200000008</v>
      </c>
      <c r="H23" s="96">
        <v>5.208097320000002</v>
      </c>
      <c r="I23" s="96">
        <v>4.4559705600000017</v>
      </c>
      <c r="J23" s="96">
        <v>6.281882640000001</v>
      </c>
      <c r="K23" s="96">
        <v>6.5460697200000002</v>
      </c>
      <c r="L23" s="96">
        <v>5.9104760400000007</v>
      </c>
      <c r="M23" s="96">
        <v>6.5244895200000022</v>
      </c>
      <c r="N23" s="96">
        <v>8.5757443200000019</v>
      </c>
      <c r="O23" s="96">
        <v>10.077499080000003</v>
      </c>
      <c r="P23" s="96">
        <v>12.052655280000003</v>
      </c>
      <c r="Q23" s="96">
        <v>14.375366280000001</v>
      </c>
      <c r="R23" s="96">
        <v>16.133719210982875</v>
      </c>
      <c r="S23" s="96">
        <v>19.319456362003645</v>
      </c>
      <c r="T23" s="96">
        <v>23.254211721837706</v>
      </c>
      <c r="U23" s="96">
        <v>27.701003101048688</v>
      </c>
      <c r="V23" s="96">
        <v>26.642183137605322</v>
      </c>
      <c r="W23" s="96">
        <v>27.501741475002721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7.4914234009592984E-3</v>
      </c>
      <c r="M24" s="96">
        <v>2.5881604021974418E-2</v>
      </c>
      <c r="N24" s="96">
        <v>5.0832801758095215E-2</v>
      </c>
      <c r="O24" s="96">
        <v>0.40227377447418317</v>
      </c>
      <c r="P24" s="96">
        <v>0.77506833529184238</v>
      </c>
      <c r="Q24" s="96">
        <v>1.1900361533571702</v>
      </c>
      <c r="R24" s="96">
        <v>2.4056978618728344</v>
      </c>
      <c r="S24" s="96">
        <v>3.7448566223474171</v>
      </c>
      <c r="T24" s="96">
        <v>6.3701341998440943</v>
      </c>
      <c r="U24" s="96">
        <v>16.660724239549143</v>
      </c>
      <c r="V24" s="96">
        <v>28.188512314067026</v>
      </c>
      <c r="W24" s="96">
        <v>35.510079499676053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</v>
      </c>
      <c r="P25" s="96">
        <v>1.2834596133792599E-2</v>
      </c>
      <c r="Q25" s="96">
        <v>2.6000690656071714E-2</v>
      </c>
      <c r="R25" s="96">
        <v>3.436976727648778E-2</v>
      </c>
      <c r="S25" s="96">
        <v>4.3675855134139331E-2</v>
      </c>
      <c r="T25" s="96">
        <v>6.9743775144018458E-2</v>
      </c>
      <c r="U25" s="96">
        <v>8.2611554025653414E-2</v>
      </c>
      <c r="V25" s="96">
        <v>0.13404236886963647</v>
      </c>
      <c r="W25" s="96">
        <v>0.30248992064749908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260.66571126390886</v>
      </c>
      <c r="C27" s="130">
        <f t="shared" si="24"/>
        <v>310.17513270422057</v>
      </c>
      <c r="D27" s="130">
        <f t="shared" si="24"/>
        <v>342.58314228735031</v>
      </c>
      <c r="E27" s="130">
        <f t="shared" si="24"/>
        <v>303.57559735468351</v>
      </c>
      <c r="F27" s="130">
        <f t="shared" si="24"/>
        <v>314.1230242811082</v>
      </c>
      <c r="G27" s="130">
        <f t="shared" si="24"/>
        <v>329.78038873966932</v>
      </c>
      <c r="H27" s="130">
        <f t="shared" si="24"/>
        <v>335.79881038577702</v>
      </c>
      <c r="I27" s="130">
        <f t="shared" si="24"/>
        <v>288.69930118698488</v>
      </c>
      <c r="J27" s="130">
        <f t="shared" si="24"/>
        <v>262.04601019757263</v>
      </c>
      <c r="K27" s="130">
        <f t="shared" si="24"/>
        <v>229.03972059977124</v>
      </c>
      <c r="L27" s="130">
        <f t="shared" ref="L27" si="25">SUM(L28:L32)</f>
        <v>243.86957176903508</v>
      </c>
      <c r="M27" s="130">
        <f t="shared" ref="M27:V27" si="26">SUM(M28:M32)</f>
        <v>242.58780654332912</v>
      </c>
      <c r="N27" s="130">
        <f t="shared" si="26"/>
        <v>246.28609574058402</v>
      </c>
      <c r="O27" s="130">
        <f t="shared" si="26"/>
        <v>245.55726296823221</v>
      </c>
      <c r="P27" s="130">
        <f t="shared" si="26"/>
        <v>256.254527276619</v>
      </c>
      <c r="Q27" s="130">
        <f t="shared" si="26"/>
        <v>260.95600408697049</v>
      </c>
      <c r="R27" s="130">
        <f t="shared" si="26"/>
        <v>292.03144997444826</v>
      </c>
      <c r="S27" s="130">
        <f t="shared" si="26"/>
        <v>331.86485822617453</v>
      </c>
      <c r="T27" s="130">
        <f t="shared" si="26"/>
        <v>322.80648525943866</v>
      </c>
      <c r="U27" s="130">
        <f t="shared" si="26"/>
        <v>295.46185029890472</v>
      </c>
      <c r="V27" s="130">
        <f t="shared" si="26"/>
        <v>276.92339820858473</v>
      </c>
      <c r="W27" s="130">
        <f t="shared" ref="W27" si="27">SUM(W28:W32)</f>
        <v>297.86321157667277</v>
      </c>
      <c r="DA27" s="176" t="s">
        <v>405</v>
      </c>
    </row>
    <row r="28" spans="1:105" ht="11.45" customHeight="1" x14ac:dyDescent="0.25">
      <c r="A28" s="111" t="s">
        <v>110</v>
      </c>
      <c r="B28" s="97">
        <v>31.801057083339373</v>
      </c>
      <c r="C28" s="97">
        <v>27.777929780503701</v>
      </c>
      <c r="D28" s="97">
        <v>23.829057241699683</v>
      </c>
      <c r="E28" s="97">
        <v>20.051721693676864</v>
      </c>
      <c r="F28" s="97">
        <v>17.846965902965721</v>
      </c>
      <c r="G28" s="97">
        <v>14.638691329931763</v>
      </c>
      <c r="H28" s="97">
        <v>14.854166014981965</v>
      </c>
      <c r="I28" s="97">
        <v>8.2426773104662523</v>
      </c>
      <c r="J28" s="97">
        <v>5.7841313252300433</v>
      </c>
      <c r="K28" s="97">
        <v>3.9627579392933243</v>
      </c>
      <c r="L28" s="97">
        <v>3.0114028265249537</v>
      </c>
      <c r="M28" s="97">
        <v>2.6903035600300131</v>
      </c>
      <c r="N28" s="97">
        <v>2.5549745651189375</v>
      </c>
      <c r="O28" s="97">
        <v>2.439588451131514</v>
      </c>
      <c r="P28" s="97">
        <v>2.4612550294954105</v>
      </c>
      <c r="Q28" s="97">
        <v>2.5047806201538187</v>
      </c>
      <c r="R28" s="97">
        <v>2.808966229412206</v>
      </c>
      <c r="S28" s="97">
        <v>3.1228932503314697</v>
      </c>
      <c r="T28" s="97">
        <v>2.9578663323190519</v>
      </c>
      <c r="U28" s="97">
        <v>2.6494108755747376</v>
      </c>
      <c r="V28" s="97">
        <v>2.4371295554395482</v>
      </c>
      <c r="W28" s="97">
        <v>2.5148861382555214</v>
      </c>
      <c r="DA28" s="175" t="s">
        <v>756</v>
      </c>
    </row>
    <row r="29" spans="1:105" ht="11.45" customHeight="1" x14ac:dyDescent="0.25">
      <c r="A29" s="111" t="s">
        <v>111</v>
      </c>
      <c r="B29" s="97">
        <v>228.86465418056952</v>
      </c>
      <c r="C29" s="97">
        <v>282.39720292371686</v>
      </c>
      <c r="D29" s="97">
        <v>318.75408504565064</v>
      </c>
      <c r="E29" s="97">
        <v>283.52387566100663</v>
      </c>
      <c r="F29" s="97">
        <v>296.27605837814247</v>
      </c>
      <c r="G29" s="97">
        <v>315.14169740973756</v>
      </c>
      <c r="H29" s="97">
        <v>320.94464437079506</v>
      </c>
      <c r="I29" s="97">
        <v>280.45662387651862</v>
      </c>
      <c r="J29" s="97">
        <v>256.26187887234261</v>
      </c>
      <c r="K29" s="97">
        <v>225.07696266047793</v>
      </c>
      <c r="L29" s="97">
        <v>240.76468036591109</v>
      </c>
      <c r="M29" s="97">
        <v>239.31750458732108</v>
      </c>
      <c r="N29" s="97">
        <v>242.5216477320802</v>
      </c>
      <c r="O29" s="97">
        <v>241.59390487603071</v>
      </c>
      <c r="P29" s="97">
        <v>251.00661082639004</v>
      </c>
      <c r="Q29" s="97">
        <v>253.29869714056528</v>
      </c>
      <c r="R29" s="97">
        <v>282.10536025210797</v>
      </c>
      <c r="S29" s="97">
        <v>322.09750058892035</v>
      </c>
      <c r="T29" s="97">
        <v>306.36529566704996</v>
      </c>
      <c r="U29" s="97">
        <v>282.24795164321313</v>
      </c>
      <c r="V29" s="97">
        <v>257.70735414913372</v>
      </c>
      <c r="W29" s="97">
        <v>277.01806852197586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3.0952187213525429E-2</v>
      </c>
      <c r="U30" s="97">
        <v>2.8118824927487261E-2</v>
      </c>
      <c r="V30" s="97">
        <v>2.6806704521430219E-2</v>
      </c>
      <c r="W30" s="97">
        <v>2.7992100897261004E-2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9.348857659904071E-2</v>
      </c>
      <c r="M31" s="97">
        <v>0.57999839597802572</v>
      </c>
      <c r="N31" s="97">
        <v>1.2094734433848966</v>
      </c>
      <c r="O31" s="97">
        <v>1.5237696410699868</v>
      </c>
      <c r="P31" s="97">
        <v>2.7866614207335498</v>
      </c>
      <c r="Q31" s="97">
        <v>5.1525263262514125</v>
      </c>
      <c r="R31" s="97">
        <v>7.1171234929281271</v>
      </c>
      <c r="S31" s="97">
        <v>6.6444643869227056</v>
      </c>
      <c r="T31" s="97">
        <v>13.452371072856137</v>
      </c>
      <c r="U31" s="97">
        <v>10.536368955189349</v>
      </c>
      <c r="V31" s="97">
        <v>16.75210779949003</v>
      </c>
      <c r="W31" s="97">
        <v>18.302264815544106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408.13925186018866</v>
      </c>
      <c r="C33" s="32">
        <f t="shared" si="28"/>
        <v>472.36964948755167</v>
      </c>
      <c r="D33" s="32">
        <f t="shared" si="28"/>
        <v>552.03699900435674</v>
      </c>
      <c r="E33" s="32">
        <f t="shared" si="28"/>
        <v>536.96060591791434</v>
      </c>
      <c r="F33" s="32">
        <f t="shared" si="28"/>
        <v>563.55235244020378</v>
      </c>
      <c r="G33" s="32">
        <f t="shared" si="28"/>
        <v>558.8959925186382</v>
      </c>
      <c r="H33" s="32">
        <f t="shared" si="28"/>
        <v>564.02790446581014</v>
      </c>
      <c r="I33" s="32">
        <f t="shared" si="28"/>
        <v>600.93887312792708</v>
      </c>
      <c r="J33" s="32">
        <f t="shared" si="28"/>
        <v>592.58929791737614</v>
      </c>
      <c r="K33" s="32">
        <f t="shared" si="28"/>
        <v>458.136148449225</v>
      </c>
      <c r="L33" s="32">
        <f t="shared" ref="L33" si="29">L34+L40</f>
        <v>511.60397910949348</v>
      </c>
      <c r="M33" s="32">
        <f t="shared" ref="M33:V33" si="30">M34+M40</f>
        <v>566.64436151200516</v>
      </c>
      <c r="N33" s="32">
        <f t="shared" si="30"/>
        <v>568.06038757993019</v>
      </c>
      <c r="O33" s="32">
        <f t="shared" si="30"/>
        <v>547.61228629510344</v>
      </c>
      <c r="P33" s="32">
        <f t="shared" si="30"/>
        <v>531.47895002452981</v>
      </c>
      <c r="Q33" s="32">
        <f t="shared" si="30"/>
        <v>519.79956718273684</v>
      </c>
      <c r="R33" s="32">
        <f t="shared" si="30"/>
        <v>513.1894451703082</v>
      </c>
      <c r="S33" s="32">
        <f t="shared" si="30"/>
        <v>493.18925283766657</v>
      </c>
      <c r="T33" s="32">
        <f t="shared" si="30"/>
        <v>511.58013795058315</v>
      </c>
      <c r="U33" s="32">
        <f t="shared" si="30"/>
        <v>514.49626388856814</v>
      </c>
      <c r="V33" s="32">
        <f t="shared" si="30"/>
        <v>479.26159897160483</v>
      </c>
      <c r="W33" s="32">
        <f t="shared" ref="W33" si="31">W34+W40</f>
        <v>564.60278472154118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254.19066893679226</v>
      </c>
      <c r="C34" s="141">
        <f t="shared" si="32"/>
        <v>308.87818474067075</v>
      </c>
      <c r="D34" s="141">
        <f t="shared" si="32"/>
        <v>332.38947987475336</v>
      </c>
      <c r="E34" s="141">
        <f t="shared" si="32"/>
        <v>273.87258000097711</v>
      </c>
      <c r="F34" s="141">
        <f t="shared" si="32"/>
        <v>265.6861333548834</v>
      </c>
      <c r="G34" s="141">
        <f t="shared" si="32"/>
        <v>246.10631362604289</v>
      </c>
      <c r="H34" s="141">
        <f t="shared" si="32"/>
        <v>232.55228768863978</v>
      </c>
      <c r="I34" s="141">
        <f t="shared" si="32"/>
        <v>222.08890319361942</v>
      </c>
      <c r="J34" s="141">
        <f t="shared" si="32"/>
        <v>214.13820448195798</v>
      </c>
      <c r="K34" s="141">
        <f t="shared" si="32"/>
        <v>192.53381780486643</v>
      </c>
      <c r="L34" s="141">
        <f t="shared" ref="L34" si="33">SUM(L35:L39)</f>
        <v>205.75296900434736</v>
      </c>
      <c r="M34" s="141">
        <f t="shared" ref="M34:V34" si="34">SUM(M35:M39)</f>
        <v>216.23844452812682</v>
      </c>
      <c r="N34" s="141">
        <f t="shared" si="34"/>
        <v>222.34615417643542</v>
      </c>
      <c r="O34" s="141">
        <f t="shared" si="34"/>
        <v>224.64839707072926</v>
      </c>
      <c r="P34" s="141">
        <f t="shared" si="34"/>
        <v>231.10526007545266</v>
      </c>
      <c r="Q34" s="141">
        <f t="shared" si="34"/>
        <v>229.99663541409009</v>
      </c>
      <c r="R34" s="141">
        <f t="shared" si="34"/>
        <v>239.32629260522808</v>
      </c>
      <c r="S34" s="141">
        <f t="shared" si="34"/>
        <v>259.52369655947024</v>
      </c>
      <c r="T34" s="141">
        <f t="shared" si="34"/>
        <v>279.30959660433507</v>
      </c>
      <c r="U34" s="141">
        <f t="shared" si="34"/>
        <v>301.8349299458315</v>
      </c>
      <c r="V34" s="141">
        <f t="shared" si="34"/>
        <v>295.50808993840548</v>
      </c>
      <c r="W34" s="141">
        <f t="shared" ref="W34" si="35">SUM(W35:W39)</f>
        <v>323.78906077959965</v>
      </c>
      <c r="DA34" s="174" t="s">
        <v>411</v>
      </c>
    </row>
    <row r="35" spans="1:105" ht="11.45" customHeight="1" x14ac:dyDescent="0.25">
      <c r="A35" s="111" t="s">
        <v>110</v>
      </c>
      <c r="B35" s="96">
        <v>63.642248689310811</v>
      </c>
      <c r="C35" s="96">
        <v>70.1121800017266</v>
      </c>
      <c r="D35" s="96">
        <v>67.930098195633022</v>
      </c>
      <c r="E35" s="96">
        <v>62.147458992229517</v>
      </c>
      <c r="F35" s="96">
        <v>63.487954956759033</v>
      </c>
      <c r="G35" s="96">
        <v>55.908606993193381</v>
      </c>
      <c r="H35" s="96">
        <v>55.019090317005777</v>
      </c>
      <c r="I35" s="96">
        <v>46.261667397197179</v>
      </c>
      <c r="J35" s="96">
        <v>44.56031275857228</v>
      </c>
      <c r="K35" s="96">
        <v>39.846303321211742</v>
      </c>
      <c r="L35" s="96">
        <v>35.17147261514404</v>
      </c>
      <c r="M35" s="96">
        <v>36.818138668869665</v>
      </c>
      <c r="N35" s="96">
        <v>34.882279065540416</v>
      </c>
      <c r="O35" s="96">
        <v>31.393810280136275</v>
      </c>
      <c r="P35" s="96">
        <v>30.205961224571944</v>
      </c>
      <c r="Q35" s="96">
        <v>29.494681979319836</v>
      </c>
      <c r="R35" s="96">
        <v>27.986130625034736</v>
      </c>
      <c r="S35" s="96">
        <v>28.096723155667927</v>
      </c>
      <c r="T35" s="96">
        <v>31.091369376012111</v>
      </c>
      <c r="U35" s="96">
        <v>29.642776857230238</v>
      </c>
      <c r="V35" s="96">
        <v>26.389279137136597</v>
      </c>
      <c r="W35" s="96">
        <v>24.011810439502998</v>
      </c>
      <c r="DA35" s="171" t="s">
        <v>761</v>
      </c>
    </row>
    <row r="36" spans="1:105" ht="11.45" customHeight="1" x14ac:dyDescent="0.25">
      <c r="A36" s="111" t="s">
        <v>111</v>
      </c>
      <c r="B36" s="96">
        <v>190.54842024748146</v>
      </c>
      <c r="C36" s="96">
        <v>238.76600473894413</v>
      </c>
      <c r="D36" s="96">
        <v>264.45938167912033</v>
      </c>
      <c r="E36" s="96">
        <v>211.72512100874758</v>
      </c>
      <c r="F36" s="96">
        <v>202.19817839812438</v>
      </c>
      <c r="G36" s="96">
        <v>190.1977066328495</v>
      </c>
      <c r="H36" s="96">
        <v>177.533197371634</v>
      </c>
      <c r="I36" s="96">
        <v>175.82723579642223</v>
      </c>
      <c r="J36" s="96">
        <v>169.5778917233857</v>
      </c>
      <c r="K36" s="96">
        <v>152.6875144836547</v>
      </c>
      <c r="L36" s="96">
        <v>170.58149638920332</v>
      </c>
      <c r="M36" s="96">
        <v>179.42030585925716</v>
      </c>
      <c r="N36" s="96">
        <v>187.46193135603801</v>
      </c>
      <c r="O36" s="96">
        <v>193.16103020613716</v>
      </c>
      <c r="P36" s="96">
        <v>200.77525860690611</v>
      </c>
      <c r="Q36" s="96">
        <v>200.33130591437885</v>
      </c>
      <c r="R36" s="96">
        <v>211.16722058597716</v>
      </c>
      <c r="S36" s="96">
        <v>231.10368677507606</v>
      </c>
      <c r="T36" s="96">
        <v>247.85259053007445</v>
      </c>
      <c r="U36" s="96">
        <v>271.76072468931596</v>
      </c>
      <c r="V36" s="96">
        <v>268.55204487695266</v>
      </c>
      <c r="W36" s="96">
        <v>299.22321731121679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1.6827490171288314E-3</v>
      </c>
      <c r="S37" s="96">
        <v>2.0037397996355049E-2</v>
      </c>
      <c r="T37" s="96">
        <v>2.4859490948766935E-2</v>
      </c>
      <c r="U37" s="96">
        <v>3.3918954023839445E-2</v>
      </c>
      <c r="V37" s="96">
        <v>3.1850877873265598E-2</v>
      </c>
      <c r="W37" s="96">
        <v>3.2270704100024965E-2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1.9437548570082972E-3</v>
      </c>
      <c r="O38" s="96">
        <v>9.355658445583015E-2</v>
      </c>
      <c r="P38" s="96">
        <v>0.12404024397460801</v>
      </c>
      <c r="Q38" s="96">
        <v>0.17064752039141856</v>
      </c>
      <c r="R38" s="96">
        <v>0.17125864519904047</v>
      </c>
      <c r="S38" s="96">
        <v>0.30324923072987808</v>
      </c>
      <c r="T38" s="96">
        <v>0.34077720729976962</v>
      </c>
      <c r="U38" s="96">
        <v>0.39750944526150911</v>
      </c>
      <c r="V38" s="96">
        <v>0.53491504644295285</v>
      </c>
      <c r="W38" s="96">
        <v>0.52176232477986073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153.94858292339637</v>
      </c>
      <c r="C40" s="130">
        <f t="shared" si="36"/>
        <v>163.49146474688092</v>
      </c>
      <c r="D40" s="130">
        <f t="shared" si="36"/>
        <v>219.64751912960338</v>
      </c>
      <c r="E40" s="130">
        <f t="shared" si="36"/>
        <v>263.08802591693728</v>
      </c>
      <c r="F40" s="130">
        <f t="shared" si="36"/>
        <v>297.86621908532032</v>
      </c>
      <c r="G40" s="130">
        <f t="shared" si="36"/>
        <v>312.78967889259525</v>
      </c>
      <c r="H40" s="130">
        <f t="shared" si="36"/>
        <v>331.47561677717033</v>
      </c>
      <c r="I40" s="130">
        <f t="shared" si="36"/>
        <v>378.84996993430769</v>
      </c>
      <c r="J40" s="130">
        <f t="shared" si="36"/>
        <v>378.45109343541816</v>
      </c>
      <c r="K40" s="130">
        <f t="shared" si="36"/>
        <v>265.60233064435857</v>
      </c>
      <c r="L40" s="130">
        <f t="shared" ref="L40" si="37">SUM(L41:L42)</f>
        <v>305.85101010514614</v>
      </c>
      <c r="M40" s="130">
        <f t="shared" ref="M40:V40" si="38">SUM(M41:M42)</f>
        <v>350.40591698387834</v>
      </c>
      <c r="N40" s="130">
        <f t="shared" si="38"/>
        <v>345.71423340349475</v>
      </c>
      <c r="O40" s="130">
        <f t="shared" si="38"/>
        <v>322.96388922437416</v>
      </c>
      <c r="P40" s="130">
        <f t="shared" si="38"/>
        <v>300.37368994907712</v>
      </c>
      <c r="Q40" s="130">
        <f t="shared" si="38"/>
        <v>289.80293176864677</v>
      </c>
      <c r="R40" s="130">
        <f t="shared" si="38"/>
        <v>273.86315256508016</v>
      </c>
      <c r="S40" s="130">
        <f t="shared" si="38"/>
        <v>233.66555627819636</v>
      </c>
      <c r="T40" s="130">
        <f t="shared" si="38"/>
        <v>232.27054134624808</v>
      </c>
      <c r="U40" s="130">
        <f t="shared" si="38"/>
        <v>212.66133394273669</v>
      </c>
      <c r="V40" s="130">
        <f t="shared" si="38"/>
        <v>183.75350903319935</v>
      </c>
      <c r="W40" s="130">
        <f t="shared" ref="W40" si="39">SUM(W41:W42)</f>
        <v>240.81372394194159</v>
      </c>
      <c r="DA40" s="176" t="s">
        <v>412</v>
      </c>
    </row>
    <row r="41" spans="1:105" ht="11.45" customHeight="1" x14ac:dyDescent="0.25">
      <c r="A41" s="128" t="s">
        <v>27</v>
      </c>
      <c r="B41" s="97">
        <v>104.49723786464492</v>
      </c>
      <c r="C41" s="97">
        <v>100.3524269431261</v>
      </c>
      <c r="D41" s="97">
        <v>148.10746308375684</v>
      </c>
      <c r="E41" s="97">
        <v>201.76354237632603</v>
      </c>
      <c r="F41" s="97">
        <v>223.91075683490149</v>
      </c>
      <c r="G41" s="97">
        <v>234.59406824755038</v>
      </c>
      <c r="H41" s="97">
        <v>248.17455772131518</v>
      </c>
      <c r="I41" s="97">
        <v>281.1243095505281</v>
      </c>
      <c r="J41" s="97">
        <v>284.90387434024763</v>
      </c>
      <c r="K41" s="97">
        <v>194.39118266220427</v>
      </c>
      <c r="L41" s="97">
        <v>218.06631378058245</v>
      </c>
      <c r="M41" s="97">
        <v>245.27558226263508</v>
      </c>
      <c r="N41" s="97">
        <v>238.44803421519956</v>
      </c>
      <c r="O41" s="97">
        <v>213.75376908112054</v>
      </c>
      <c r="P41" s="97">
        <v>193.42570716476317</v>
      </c>
      <c r="Q41" s="97">
        <v>173.60904207236311</v>
      </c>
      <c r="R41" s="97">
        <v>172.52447323240915</v>
      </c>
      <c r="S41" s="97">
        <v>139.06328495781526</v>
      </c>
      <c r="T41" s="97">
        <v>139.10319191626124</v>
      </c>
      <c r="U41" s="97">
        <v>126.21185355915992</v>
      </c>
      <c r="V41" s="97">
        <v>91.788618090025949</v>
      </c>
      <c r="W41" s="97">
        <v>145.09341360015071</v>
      </c>
      <c r="DA41" s="175" t="s">
        <v>766</v>
      </c>
    </row>
    <row r="42" spans="1:105" ht="11.45" customHeight="1" x14ac:dyDescent="0.25">
      <c r="A42" s="138" t="s">
        <v>116</v>
      </c>
      <c r="B42" s="98">
        <v>49.451345058751464</v>
      </c>
      <c r="C42" s="98">
        <v>63.139037803754832</v>
      </c>
      <c r="D42" s="98">
        <v>71.540056045846555</v>
      </c>
      <c r="E42" s="98">
        <v>61.324483540611276</v>
      </c>
      <c r="F42" s="98">
        <v>73.955462250418847</v>
      </c>
      <c r="G42" s="98">
        <v>78.195610645044837</v>
      </c>
      <c r="H42" s="98">
        <v>83.301059055855163</v>
      </c>
      <c r="I42" s="98">
        <v>97.725660383779612</v>
      </c>
      <c r="J42" s="98">
        <v>93.547219095170533</v>
      </c>
      <c r="K42" s="98">
        <v>71.211147982154316</v>
      </c>
      <c r="L42" s="98">
        <v>87.784696324563683</v>
      </c>
      <c r="M42" s="98">
        <v>105.13033472124326</v>
      </c>
      <c r="N42" s="98">
        <v>107.2661991882952</v>
      </c>
      <c r="O42" s="98">
        <v>109.21012014325362</v>
      </c>
      <c r="P42" s="98">
        <v>106.94798278431395</v>
      </c>
      <c r="Q42" s="98">
        <v>116.19388969628363</v>
      </c>
      <c r="R42" s="98">
        <v>101.33867933267099</v>
      </c>
      <c r="S42" s="98">
        <v>94.602271320381107</v>
      </c>
      <c r="T42" s="98">
        <v>93.167349429986828</v>
      </c>
      <c r="U42" s="98">
        <v>86.44948038357677</v>
      </c>
      <c r="V42" s="98">
        <v>91.964890943173415</v>
      </c>
      <c r="W42" s="98">
        <v>95.720310341790892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2.9831629701685829</v>
      </c>
      <c r="C47" s="145">
        <f>IF(C4=0,0,C4/TrRoad_ene!C4)</f>
        <v>2.9855920877342794</v>
      </c>
      <c r="D47" s="145">
        <f>IF(D4=0,0,D4/TrRoad_ene!D4)</f>
        <v>2.9984036730308699</v>
      </c>
      <c r="E47" s="145">
        <f>IF(E4=0,0,E4/TrRoad_ene!E4)</f>
        <v>2.9996562147532013</v>
      </c>
      <c r="F47" s="145">
        <f>IF(F4=0,0,F4/TrRoad_ene!F4)</f>
        <v>3.0063524627262375</v>
      </c>
      <c r="G47" s="145">
        <f>IF(G4=0,0,G4/TrRoad_ene!G4)</f>
        <v>3.0079046757896579</v>
      </c>
      <c r="H47" s="145">
        <f>IF(H4=0,0,H4/TrRoad_ene!H4)</f>
        <v>3.0045929819514869</v>
      </c>
      <c r="I47" s="145">
        <f>IF(I4=0,0,I4/TrRoad_ene!I4)</f>
        <v>3.0085441287032761</v>
      </c>
      <c r="J47" s="145">
        <f>IF(J4=0,0,J4/TrRoad_ene!J4)</f>
        <v>2.991384849717019</v>
      </c>
      <c r="K47" s="145">
        <f>IF(K4=0,0,K4/TrRoad_ene!K4)</f>
        <v>2.9991286388323348</v>
      </c>
      <c r="L47" s="145">
        <f>IF(L4=0,0,L4/TrRoad_ene!L4)</f>
        <v>2.9741132931946637</v>
      </c>
      <c r="M47" s="145">
        <f>IF(M4=0,0,M4/TrRoad_ene!M4)</f>
        <v>2.9966060539594648</v>
      </c>
      <c r="N47" s="145">
        <f>IF(N4=0,0,N4/TrRoad_ene!N4)</f>
        <v>3.0036032489495552</v>
      </c>
      <c r="O47" s="145">
        <f>IF(O4=0,0,O4/TrRoad_ene!O4)</f>
        <v>3.0083396613707198</v>
      </c>
      <c r="P47" s="145">
        <f>IF(P4=0,0,P4/TrRoad_ene!P4)</f>
        <v>2.9992530814814593</v>
      </c>
      <c r="Q47" s="145">
        <f>IF(Q4=0,0,Q4/TrRoad_ene!Q4)</f>
        <v>3.0115912589083824</v>
      </c>
      <c r="R47" s="145">
        <f>IF(R4=0,0,R4/TrRoad_ene!R4)</f>
        <v>3.0117843691060537</v>
      </c>
      <c r="S47" s="145">
        <f>IF(S4=0,0,S4/TrRoad_ene!S4)</f>
        <v>3.0083904168758759</v>
      </c>
      <c r="T47" s="145">
        <f>IF(T4=0,0,T4/TrRoad_ene!T4)</f>
        <v>2.9443929740551376</v>
      </c>
      <c r="U47" s="145">
        <f>IF(U4=0,0,U4/TrRoad_ene!U4)</f>
        <v>2.8983644627941705</v>
      </c>
      <c r="V47" s="145">
        <f>IF(V4=0,0,V4/TrRoad_ene!V4)</f>
        <v>2.8462312993326839</v>
      </c>
      <c r="W47" s="145">
        <f>IF(W4=0,0,W4/TrRoad_ene!W4)</f>
        <v>2.8288188144238462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2.890448904130515</v>
      </c>
      <c r="K48" s="97">
        <f>IF(K7=0,0,(K7+K12)/(TrRoad_ene!K7+TrRoad_ene!K12))</f>
        <v>2.9005510799679999</v>
      </c>
      <c r="L48" s="97">
        <f>IF(L7=0,0,(L7+L12)/(TrRoad_ene!L7+TrRoad_ene!L12))</f>
        <v>2.8571547873582204</v>
      </c>
      <c r="M48" s="97">
        <f>IF(M7=0,0,(M7+M12)/(TrRoad_ene!M7+TrRoad_ene!M12))</f>
        <v>2.8604573092089609</v>
      </c>
      <c r="N48" s="97">
        <f>IF(N7=0,0,(N7+N12)/(TrRoad_ene!N7+TrRoad_ene!N12))</f>
        <v>2.8586364347132656</v>
      </c>
      <c r="O48" s="97">
        <f>IF(O7=0,0,(O7+O12)/(TrRoad_ene!O7+TrRoad_ene!O12))</f>
        <v>2.8633728392096076</v>
      </c>
      <c r="P48" s="97">
        <f>IF(P7=0,0,(P7+P12)/(TrRoad_ene!P7+TrRoad_ene!P12))</f>
        <v>2.8412577138401636</v>
      </c>
      <c r="Q48" s="97">
        <f>IF(Q7=0,0,(Q7+Q12)/(TrRoad_ene!Q7+TrRoad_ene!Q12))</f>
        <v>2.8709081720766707</v>
      </c>
      <c r="R48" s="97">
        <f>IF(R7=0,0,(R7+R12)/(TrRoad_ene!R7+TrRoad_ene!R12))</f>
        <v>2.8797088688197183</v>
      </c>
      <c r="S48" s="97">
        <f>IF(S7=0,0,(S7+S12)/(TrRoad_ene!S7+TrRoad_ene!S12))</f>
        <v>2.8910529891137249</v>
      </c>
      <c r="T48" s="97">
        <f>IF(T7=0,0,(T7+T12)/(TrRoad_ene!T7+TrRoad_ene!T12))</f>
        <v>2.8501320236279524</v>
      </c>
      <c r="U48" s="97">
        <f>IF(U7=0,0,(U7+U12)/(TrRoad_ene!U7+TrRoad_ene!U12))</f>
        <v>2.825175338322913</v>
      </c>
      <c r="V48" s="97">
        <f>IF(V7=0,0,(V7+V12)/(TrRoad_ene!V7+TrRoad_ene!V12))</f>
        <v>2.8200560702082682</v>
      </c>
      <c r="W48" s="97">
        <f>IF(W7=0,0,(W7+W12)/(TrRoad_ene!W7+TrRoad_ene!W12))</f>
        <v>2.8413840401772013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3.1010491509986053</v>
      </c>
      <c r="H49" s="97">
        <f>IF(H8=0,0,(H8+H13+H14)/(TrRoad_ene!H8+TrRoad_ene!H13+TrRoad_ene!H14))</f>
        <v>3.0933390159740508</v>
      </c>
      <c r="I49" s="97">
        <f>IF(I8=0,0,(I8+I13+I14)/(TrRoad_ene!I8+TrRoad_ene!I13+TrRoad_ene!I14))</f>
        <v>3.0985101356775475</v>
      </c>
      <c r="J49" s="97">
        <f>IF(J8=0,0,(J8+J13+J14)/(TrRoad_ene!J8+TrRoad_ene!J13+TrRoad_ene!J14))</f>
        <v>3.0798145129449068</v>
      </c>
      <c r="K49" s="97">
        <f>IF(K8=0,0,(K8+K13+K14)/(TrRoad_ene!K8+TrRoad_ene!K13+TrRoad_ene!K14))</f>
        <v>3.0877220137996915</v>
      </c>
      <c r="L49" s="97">
        <f>IF(L8=0,0,(L8+L13+L14)/(TrRoad_ene!L8+TrRoad_ene!L13+TrRoad_ene!L14))</f>
        <v>3.0766124707392266</v>
      </c>
      <c r="M49" s="97">
        <f>IF(M8=0,0,(M8+M13+M14)/(TrRoad_ene!M8+TrRoad_ene!M13+TrRoad_ene!M14))</f>
        <v>3.0976560221544349</v>
      </c>
      <c r="N49" s="97">
        <f>IF(N8=0,0,(N8+N13+N14)/(TrRoad_ene!N8+TrRoad_ene!N13+TrRoad_ene!N14))</f>
        <v>3.1024188000000001</v>
      </c>
      <c r="O49" s="97">
        <f>IF(O8=0,0,(O8+O13+O14)/(TrRoad_ene!O8+TrRoad_ene!O13+TrRoad_ene!O14))</f>
        <v>3.1024188000000001</v>
      </c>
      <c r="P49" s="97">
        <f>IF(P8=0,0,(P8+P13+P14)/(TrRoad_ene!P8+TrRoad_ene!P13+TrRoad_ene!P14))</f>
        <v>3.1024188000000001</v>
      </c>
      <c r="Q49" s="97">
        <f>IF(Q8=0,0,(Q8+Q13+Q14)/(TrRoad_ene!Q8+TrRoad_ene!Q13+TrRoad_ene!Q14))</f>
        <v>3.1024188000000001</v>
      </c>
      <c r="R49" s="97">
        <f>IF(R8=0,0,(R8+R13+R14)/(TrRoad_ene!R8+TrRoad_ene!R13+TrRoad_ene!R14))</f>
        <v>3.1024188000000001</v>
      </c>
      <c r="S49" s="97">
        <f>IF(S8=0,0,(S8+S13+S14)/(TrRoad_ene!S8+TrRoad_ene!S13+TrRoad_ene!S14))</f>
        <v>3.0929773623719172</v>
      </c>
      <c r="T49" s="97">
        <f>IF(T8=0,0,(T8+T13+T14)/(TrRoad_ene!T8+TrRoad_ene!T13+TrRoad_ene!T14))</f>
        <v>3.0263438326876728</v>
      </c>
      <c r="U49" s="97">
        <f>IF(U8=0,0,(U8+U13+U14)/(TrRoad_ene!U8+TrRoad_ene!U13+TrRoad_ene!U14))</f>
        <v>2.9798408052830605</v>
      </c>
      <c r="V49" s="97">
        <f>IF(V8=0,0,(V8+V13+V14)/(TrRoad_ene!V8+TrRoad_ene!V13+TrRoad_ene!V14))</f>
        <v>2.9050016514990569</v>
      </c>
      <c r="W49" s="97">
        <f>IF(W8=0,0,(W8+W13+W14)/(TrRoad_ene!W8+TrRoad_ene!W13+TrRoad_ene!W14))</f>
        <v>2.8782599413458043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2.0599358319928318</v>
      </c>
      <c r="U51" s="97">
        <f>IF(U9=0,0,(U9+U11)/(TrRoad_ene!U9+TrRoad_ene!U11))</f>
        <v>1.9376500591887749</v>
      </c>
      <c r="V51" s="97">
        <f>IF(V9=0,0,(V9+V11)/(TrRoad_ene!V9+TrRoad_ene!V11))</f>
        <v>2.0273950860430796</v>
      </c>
      <c r="W51" s="97">
        <f>IF(W9=0,0,(W9+W11)/(TrRoad_ene!W9+TrRoad_ene!W11))</f>
        <v>1.9493995453494328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361.32420330500923</v>
      </c>
      <c r="C54" s="62">
        <f>IF(TrRoad_act!C30=0,0,C17/TrRoad_act!C30*1000
)</f>
        <v>373.29373881612389</v>
      </c>
      <c r="D54" s="62">
        <f>IF(TrRoad_act!D30=0,0,D17/TrRoad_act!D30*1000
)</f>
        <v>403.69268819904096</v>
      </c>
      <c r="E54" s="62">
        <f>IF(TrRoad_act!E30=0,0,E17/TrRoad_act!E30*1000
)</f>
        <v>382.89172036823533</v>
      </c>
      <c r="F54" s="62">
        <f>IF(TrRoad_act!F30=0,0,F17/TrRoad_act!F30*1000
)</f>
        <v>386.95597237609883</v>
      </c>
      <c r="G54" s="62">
        <f>IF(TrRoad_act!G30=0,0,G17/TrRoad_act!G30*1000
)</f>
        <v>381.58751264796871</v>
      </c>
      <c r="H54" s="62">
        <f>IF(TrRoad_act!H30=0,0,H17/TrRoad_act!H30*1000
)</f>
        <v>366.90033698094487</v>
      </c>
      <c r="I54" s="62">
        <f>IF(TrRoad_act!I30=0,0,I17/TrRoad_act!I30*1000
)</f>
        <v>354.08298543642678</v>
      </c>
      <c r="J54" s="62">
        <f>IF(TrRoad_act!J30=0,0,J17/TrRoad_act!J30*1000
)</f>
        <v>339.99239766436546</v>
      </c>
      <c r="K54" s="62">
        <f>IF(TrRoad_act!K30=0,0,K17/TrRoad_act!K30*1000
)</f>
        <v>307.63863388788616</v>
      </c>
      <c r="L54" s="62">
        <f>IF(TrRoad_act!L30=0,0,L17/TrRoad_act!L30*1000
)</f>
        <v>320.9799487282794</v>
      </c>
      <c r="M54" s="62">
        <f>IF(TrRoad_act!M30=0,0,M17/TrRoad_act!M30*1000
)</f>
        <v>325.80103324584434</v>
      </c>
      <c r="N54" s="62">
        <f>IF(TrRoad_act!N30=0,0,N17/TrRoad_act!N30*1000
)</f>
        <v>319.58736340509557</v>
      </c>
      <c r="O54" s="62">
        <f>IF(TrRoad_act!O30=0,0,O17/TrRoad_act!O30*1000
)</f>
        <v>305.90405839227844</v>
      </c>
      <c r="P54" s="62">
        <f>IF(TrRoad_act!P30=0,0,P17/TrRoad_act!P30*1000
)</f>
        <v>298.11532773702982</v>
      </c>
      <c r="Q54" s="62">
        <f>IF(TrRoad_act!Q30=0,0,Q17/TrRoad_act!Q30*1000
)</f>
        <v>285.72886808746358</v>
      </c>
      <c r="R54" s="62">
        <f>IF(TrRoad_act!R30=0,0,R17/TrRoad_act!R30*1000
)</f>
        <v>274.83106935805091</v>
      </c>
      <c r="S54" s="62">
        <f>IF(TrRoad_act!S30=0,0,S17/TrRoad_act!S30*1000
)</f>
        <v>268.41539768818927</v>
      </c>
      <c r="T54" s="62">
        <f>IF(TrRoad_act!T30=0,0,T17/TrRoad_act!T30*1000
)</f>
        <v>254.19375115005099</v>
      </c>
      <c r="U54" s="62">
        <f>IF(TrRoad_act!U30=0,0,U17/TrRoad_act!U30*1000
)</f>
        <v>242.26124676623891</v>
      </c>
      <c r="V54" s="62">
        <f>IF(TrRoad_act!V30=0,0,V17/TrRoad_act!V30*1000
)</f>
        <v>229.83135443538288</v>
      </c>
      <c r="W54" s="62">
        <f>IF(TrRoad_act!W30=0,0,W17/TrRoad_act!W30*1000
)</f>
        <v>233.61361847004727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340.74541738605404</v>
      </c>
      <c r="C55" s="29">
        <f>IF(TrRoad_act!C31=0,0,C18/TrRoad_act!C31*1000
)</f>
        <v>343.35695946635059</v>
      </c>
      <c r="D55" s="29">
        <f>IF(TrRoad_act!D31=0,0,D18/TrRoad_act!D31*1000
)</f>
        <v>360.64702877940817</v>
      </c>
      <c r="E55" s="29">
        <f>IF(TrRoad_act!E31=0,0,E18/TrRoad_act!E31*1000
)</f>
        <v>341.72415944927224</v>
      </c>
      <c r="F55" s="29">
        <f>IF(TrRoad_act!F31=0,0,F18/TrRoad_act!F31*1000
)</f>
        <v>340.58569576631959</v>
      </c>
      <c r="G55" s="29">
        <f>IF(TrRoad_act!G31=0,0,G18/TrRoad_act!G31*1000
)</f>
        <v>334.56039151995265</v>
      </c>
      <c r="H55" s="29">
        <f>IF(TrRoad_act!H31=0,0,H18/TrRoad_act!H31*1000
)</f>
        <v>321.66844468239935</v>
      </c>
      <c r="I55" s="29">
        <f>IF(TrRoad_act!I31=0,0,I18/TrRoad_act!I31*1000
)</f>
        <v>303.94808469650917</v>
      </c>
      <c r="J55" s="29">
        <f>IF(TrRoad_act!J31=0,0,J18/TrRoad_act!J31*1000
)</f>
        <v>290.05281887261248</v>
      </c>
      <c r="K55" s="29">
        <f>IF(TrRoad_act!K31=0,0,K18/TrRoad_act!K31*1000
)</f>
        <v>271.56883772334038</v>
      </c>
      <c r="L55" s="29">
        <f>IF(TrRoad_act!L31=0,0,L18/TrRoad_act!L31*1000
)</f>
        <v>275.79587683175197</v>
      </c>
      <c r="M55" s="29">
        <f>IF(TrRoad_act!M31=0,0,M18/TrRoad_act!M31*1000
)</f>
        <v>274.81465916289824</v>
      </c>
      <c r="N55" s="29">
        <f>IF(TrRoad_act!N31=0,0,N18/TrRoad_act!N31*1000
)</f>
        <v>270.82818846925369</v>
      </c>
      <c r="O55" s="29">
        <f>IF(TrRoad_act!O31=0,0,O18/TrRoad_act!O31*1000
)</f>
        <v>262.88625393772355</v>
      </c>
      <c r="P55" s="29">
        <f>IF(TrRoad_act!P31=0,0,P18/TrRoad_act!P31*1000
)</f>
        <v>259.11053307122341</v>
      </c>
      <c r="Q55" s="29">
        <f>IF(TrRoad_act!Q31=0,0,Q18/TrRoad_act!Q31*1000
)</f>
        <v>251.78010741181288</v>
      </c>
      <c r="R55" s="29">
        <f>IF(TrRoad_act!R31=0,0,R18/TrRoad_act!R31*1000
)</f>
        <v>246.63776426541784</v>
      </c>
      <c r="S55" s="29">
        <f>IF(TrRoad_act!S31=0,0,S18/TrRoad_act!S31*1000
)</f>
        <v>245.52576378762149</v>
      </c>
      <c r="T55" s="29">
        <f>IF(TrRoad_act!T31=0,0,T18/TrRoad_act!T31*1000
)</f>
        <v>232.39943382234645</v>
      </c>
      <c r="U55" s="29">
        <f>IF(TrRoad_act!U31=0,0,U18/TrRoad_act!U31*1000
)</f>
        <v>221.88733334697153</v>
      </c>
      <c r="V55" s="29">
        <f>IF(TrRoad_act!V31=0,0,V18/TrRoad_act!V31*1000
)</f>
        <v>211.71411680674137</v>
      </c>
      <c r="W55" s="29">
        <f>IF(TrRoad_act!W31=0,0,W18/TrRoad_act!W31*1000
)</f>
        <v>209.83530294496217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155.40179548639961</v>
      </c>
      <c r="C56" s="152">
        <f>IF(TrRoad_act!C32=0,0,C19/TrRoad_act!C32*1000
)</f>
        <v>154.8684629815418</v>
      </c>
      <c r="D56" s="152">
        <f>IF(TrRoad_act!D32=0,0,D19/TrRoad_act!D32*1000
)</f>
        <v>153.40593002639758</v>
      </c>
      <c r="E56" s="152">
        <f>IF(TrRoad_act!E32=0,0,E19/TrRoad_act!E32*1000
)</f>
        <v>151.45503730255959</v>
      </c>
      <c r="F56" s="152">
        <f>IF(TrRoad_act!F32=0,0,F19/TrRoad_act!F32*1000
)</f>
        <v>149.64093365809666</v>
      </c>
      <c r="G56" s="152">
        <f>IF(TrRoad_act!G32=0,0,G19/TrRoad_act!G32*1000
)</f>
        <v>147.92174097592221</v>
      </c>
      <c r="H56" s="152">
        <f>IF(TrRoad_act!H32=0,0,H19/TrRoad_act!H32*1000
)</f>
        <v>145.20464926029098</v>
      </c>
      <c r="I56" s="152">
        <f>IF(TrRoad_act!I32=0,0,I19/TrRoad_act!I32*1000
)</f>
        <v>143.29882200731777</v>
      </c>
      <c r="J56" s="152">
        <f>IF(TrRoad_act!J32=0,0,J19/TrRoad_act!J32*1000
)</f>
        <v>140.09845879696459</v>
      </c>
      <c r="K56" s="152">
        <f>IF(TrRoad_act!K32=0,0,K19/TrRoad_act!K32*1000
)</f>
        <v>139.1986933110104</v>
      </c>
      <c r="L56" s="152">
        <f>IF(TrRoad_act!L32=0,0,L19/TrRoad_act!L32*1000
)</f>
        <v>135.56097137035962</v>
      </c>
      <c r="M56" s="152">
        <f>IF(TrRoad_act!M32=0,0,M19/TrRoad_act!M32*1000
)</f>
        <v>132.08781926126579</v>
      </c>
      <c r="N56" s="152">
        <f>IF(TrRoad_act!N32=0,0,N19/TrRoad_act!N32*1000
)</f>
        <v>125.44319631353137</v>
      </c>
      <c r="O56" s="152">
        <f>IF(TrRoad_act!O32=0,0,O19/TrRoad_act!O32*1000
)</f>
        <v>123.85887699575669</v>
      </c>
      <c r="P56" s="152">
        <f>IF(TrRoad_act!P32=0,0,P19/TrRoad_act!P32*1000
)</f>
        <v>121.00731287636991</v>
      </c>
      <c r="Q56" s="152">
        <f>IF(TrRoad_act!Q32=0,0,Q19/TrRoad_act!Q32*1000
)</f>
        <v>120.91717049287864</v>
      </c>
      <c r="R56" s="152">
        <f>IF(TrRoad_act!R32=0,0,R19/TrRoad_act!R32*1000
)</f>
        <v>119.5374938257126</v>
      </c>
      <c r="S56" s="152">
        <f>IF(TrRoad_act!S32=0,0,S19/TrRoad_act!S32*1000
)</f>
        <v>118.50009394272635</v>
      </c>
      <c r="T56" s="152">
        <f>IF(TrRoad_act!T32=0,0,T19/TrRoad_act!T32*1000
)</f>
        <v>115.91800388107899</v>
      </c>
      <c r="U56" s="152">
        <f>IF(TrRoad_act!U32=0,0,U19/TrRoad_act!U32*1000
)</f>
        <v>114.13620432351709</v>
      </c>
      <c r="V56" s="152">
        <f>IF(TrRoad_act!V32=0,0,V19/TrRoad_act!V32*1000
)</f>
        <v>113.04665651501405</v>
      </c>
      <c r="W56" s="152">
        <f>IF(TrRoad_act!W32=0,0,W19/TrRoad_act!W32*1000
)</f>
        <v>105.75485498900834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274.61957081987219</v>
      </c>
      <c r="C57" s="116">
        <f>IF(TrRoad_act!C33=0,0,C20/TrRoad_act!C33*1000
)</f>
        <v>276.67906448026446</v>
      </c>
      <c r="D57" s="116">
        <f>IF(TrRoad_act!D33=0,0,D20/TrRoad_act!D33*1000
)</f>
        <v>281.17174507418127</v>
      </c>
      <c r="E57" s="116">
        <f>IF(TrRoad_act!E33=0,0,E20/TrRoad_act!E33*1000
)</f>
        <v>274.30915160424297</v>
      </c>
      <c r="F57" s="116">
        <f>IF(TrRoad_act!F33=0,0,F20/TrRoad_act!F33*1000
)</f>
        <v>272.40288869162816</v>
      </c>
      <c r="G57" s="116">
        <f>IF(TrRoad_act!G33=0,0,G20/TrRoad_act!G33*1000
)</f>
        <v>268.52823202622193</v>
      </c>
      <c r="H57" s="116">
        <f>IF(TrRoad_act!H33=0,0,H20/TrRoad_act!H33*1000
)</f>
        <v>263.18068529738139</v>
      </c>
      <c r="I57" s="116">
        <f>IF(TrRoad_act!I33=0,0,I20/TrRoad_act!I33*1000
)</f>
        <v>258.74509158414639</v>
      </c>
      <c r="J57" s="116">
        <f>IF(TrRoad_act!J33=0,0,J20/TrRoad_act!J33*1000
)</f>
        <v>249.69355529757181</v>
      </c>
      <c r="K57" s="116">
        <f>IF(TrRoad_act!K33=0,0,K20/TrRoad_act!K33*1000
)</f>
        <v>236.88759683543807</v>
      </c>
      <c r="L57" s="116">
        <f>IF(TrRoad_act!L33=0,0,L20/TrRoad_act!L33*1000
)</f>
        <v>238.25207202085596</v>
      </c>
      <c r="M57" s="116">
        <f>IF(TrRoad_act!M33=0,0,M20/TrRoad_act!M33*1000
)</f>
        <v>237.6711709326249</v>
      </c>
      <c r="N57" s="116">
        <f>IF(TrRoad_act!N33=0,0,N20/TrRoad_act!N33*1000
)</f>
        <v>234.9478969311856</v>
      </c>
      <c r="O57" s="116">
        <f>IF(TrRoad_act!O33=0,0,O20/TrRoad_act!O33*1000
)</f>
        <v>228.00213821745788</v>
      </c>
      <c r="P57" s="116">
        <f>IF(TrRoad_act!P33=0,0,P20/TrRoad_act!P33*1000
)</f>
        <v>223.90244718391602</v>
      </c>
      <c r="Q57" s="116">
        <f>IF(TrRoad_act!Q33=0,0,Q20/TrRoad_act!Q33*1000
)</f>
        <v>218.64341185695338</v>
      </c>
      <c r="R57" s="116">
        <f>IF(TrRoad_act!R33=0,0,R20/TrRoad_act!R33*1000
)</f>
        <v>211.87481321875876</v>
      </c>
      <c r="S57" s="116">
        <f>IF(TrRoad_act!S33=0,0,S20/TrRoad_act!S33*1000
)</f>
        <v>207.98404090702815</v>
      </c>
      <c r="T57" s="116">
        <f>IF(TrRoad_act!T33=0,0,T20/TrRoad_act!T33*1000
)</f>
        <v>198.0947082972491</v>
      </c>
      <c r="U57" s="116">
        <f>IF(TrRoad_act!U33=0,0,U20/TrRoad_act!U33*1000
)</f>
        <v>191.44934137041207</v>
      </c>
      <c r="V57" s="116">
        <f>IF(TrRoad_act!V33=0,0,V20/TrRoad_act!V33*1000
)</f>
        <v>182.25134748120504</v>
      </c>
      <c r="W57" s="116">
        <f>IF(TrRoad_act!W33=0,0,W20/TrRoad_act!W33*1000
)</f>
        <v>179.01860167691765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277.05602504637591</v>
      </c>
      <c r="C58" s="87">
        <f>IF(TrRoad_act!C34=0,0,C21/TrRoad_act!C34*1000
)</f>
        <v>272.72250310650264</v>
      </c>
      <c r="D58" s="87">
        <f>IF(TrRoad_act!D34=0,0,D21/TrRoad_act!D34*1000
)</f>
        <v>270.18788723239726</v>
      </c>
      <c r="E58" s="87">
        <f>IF(TrRoad_act!E34=0,0,E21/TrRoad_act!E34*1000
)</f>
        <v>266.86102767752249</v>
      </c>
      <c r="F58" s="87">
        <f>IF(TrRoad_act!F34=0,0,F21/TrRoad_act!F34*1000
)</f>
        <v>263.98575958360357</v>
      </c>
      <c r="G58" s="87">
        <f>IF(TrRoad_act!G34=0,0,G21/TrRoad_act!G34*1000
)</f>
        <v>261.526506931906</v>
      </c>
      <c r="H58" s="87">
        <f>IF(TrRoad_act!H34=0,0,H21/TrRoad_act!H34*1000
)</f>
        <v>258.51000157770534</v>
      </c>
      <c r="I58" s="87">
        <f>IF(TrRoad_act!I34=0,0,I21/TrRoad_act!I34*1000
)</f>
        <v>255.26318835729339</v>
      </c>
      <c r="J58" s="87">
        <f>IF(TrRoad_act!J34=0,0,J21/TrRoad_act!J34*1000
)</f>
        <v>251.31727015388304</v>
      </c>
      <c r="K58" s="87">
        <f>IF(TrRoad_act!K34=0,0,K21/TrRoad_act!K34*1000
)</f>
        <v>243.07188400526391</v>
      </c>
      <c r="L58" s="87">
        <f>IF(TrRoad_act!L34=0,0,L21/TrRoad_act!L34*1000
)</f>
        <v>238.1745981256567</v>
      </c>
      <c r="M58" s="87">
        <f>IF(TrRoad_act!M34=0,0,M21/TrRoad_act!M34*1000
)</f>
        <v>235.64163766016557</v>
      </c>
      <c r="N58" s="87">
        <f>IF(TrRoad_act!N34=0,0,N21/TrRoad_act!N34*1000
)</f>
        <v>232.34299651141401</v>
      </c>
      <c r="O58" s="87">
        <f>IF(TrRoad_act!O34=0,0,O21/TrRoad_act!O34*1000
)</f>
        <v>229.1669909707586</v>
      </c>
      <c r="P58" s="87">
        <f>IF(TrRoad_act!P34=0,0,P21/TrRoad_act!P34*1000
)</f>
        <v>224.78685426889214</v>
      </c>
      <c r="Q58" s="87">
        <f>IF(TrRoad_act!Q34=0,0,Q21/TrRoad_act!Q34*1000
)</f>
        <v>222.51300193027441</v>
      </c>
      <c r="R58" s="87">
        <f>IF(TrRoad_act!R34=0,0,R21/TrRoad_act!R34*1000
)</f>
        <v>218.52335386815756</v>
      </c>
      <c r="S58" s="87">
        <f>IF(TrRoad_act!S34=0,0,S21/TrRoad_act!S34*1000
)</f>
        <v>213.55160885522716</v>
      </c>
      <c r="T58" s="87">
        <f>IF(TrRoad_act!T34=0,0,T21/TrRoad_act!T34*1000
)</f>
        <v>202.84585235178665</v>
      </c>
      <c r="U58" s="87">
        <f>IF(TrRoad_act!U34=0,0,U21/TrRoad_act!U34*1000
)</f>
        <v>197.12958633271325</v>
      </c>
      <c r="V58" s="87">
        <f>IF(TrRoad_act!V34=0,0,V21/TrRoad_act!V34*1000
)</f>
        <v>191.65982629524439</v>
      </c>
      <c r="W58" s="87">
        <f>IF(TrRoad_act!W34=0,0,W21/TrRoad_act!W34*1000
)</f>
        <v>187.84900354982372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245.876852086333</v>
      </c>
      <c r="C59" s="87">
        <f>IF(TrRoad_act!C35=0,0,C22/TrRoad_act!C35*1000
)</f>
        <v>318.40754607137933</v>
      </c>
      <c r="D59" s="87">
        <f>IF(TrRoad_act!D35=0,0,D22/TrRoad_act!D35*1000
)</f>
        <v>375.81178792087866</v>
      </c>
      <c r="E59" s="87">
        <f>IF(TrRoad_act!E35=0,0,E22/TrRoad_act!E35*1000
)</f>
        <v>318.3300796832678</v>
      </c>
      <c r="F59" s="87">
        <f>IF(TrRoad_act!F35=0,0,F22/TrRoad_act!F35*1000
)</f>
        <v>306.55742806538535</v>
      </c>
      <c r="G59" s="87">
        <f>IF(TrRoad_act!G35=0,0,G22/TrRoad_act!G35*1000
)</f>
        <v>291.8238685684974</v>
      </c>
      <c r="H59" s="87">
        <f>IF(TrRoad_act!H35=0,0,H22/TrRoad_act!H35*1000
)</f>
        <v>275.84674177921954</v>
      </c>
      <c r="I59" s="87">
        <f>IF(TrRoad_act!I35=0,0,I22/TrRoad_act!I35*1000
)</f>
        <v>267.00764784165267</v>
      </c>
      <c r="J59" s="87">
        <f>IF(TrRoad_act!J35=0,0,J22/TrRoad_act!J35*1000
)</f>
        <v>245.83620102822925</v>
      </c>
      <c r="K59" s="87">
        <f>IF(TrRoad_act!K35=0,0,K22/TrRoad_act!K35*1000
)</f>
        <v>225.75024353128177</v>
      </c>
      <c r="L59" s="87">
        <f>IF(TrRoad_act!L35=0,0,L22/TrRoad_act!L35*1000
)</f>
        <v>238.4162202352349</v>
      </c>
      <c r="M59" s="87">
        <f>IF(TrRoad_act!M35=0,0,M22/TrRoad_act!M35*1000
)</f>
        <v>240.62334554825594</v>
      </c>
      <c r="N59" s="87">
        <f>IF(TrRoad_act!N35=0,0,N22/TrRoad_act!N35*1000
)</f>
        <v>238.91589293388915</v>
      </c>
      <c r="O59" s="87">
        <f>IF(TrRoad_act!O35=0,0,O22/TrRoad_act!O35*1000
)</f>
        <v>227.67773993759985</v>
      </c>
      <c r="P59" s="87">
        <f>IF(TrRoad_act!P35=0,0,P22/TrRoad_act!P35*1000
)</f>
        <v>224.06162480847792</v>
      </c>
      <c r="Q59" s="87">
        <f>IF(TrRoad_act!Q35=0,0,Q22/TrRoad_act!Q35*1000
)</f>
        <v>215.81931606319935</v>
      </c>
      <c r="R59" s="87">
        <f>IF(TrRoad_act!R35=0,0,R22/TrRoad_act!R35*1000
)</f>
        <v>206.71185336669049</v>
      </c>
      <c r="S59" s="87">
        <f>IF(TrRoad_act!S35=0,0,S22/TrRoad_act!S35*1000
)</f>
        <v>203.55234121896305</v>
      </c>
      <c r="T59" s="87">
        <f>IF(TrRoad_act!T35=0,0,T22/TrRoad_act!T35*1000
)</f>
        <v>194.68790783144465</v>
      </c>
      <c r="U59" s="87">
        <f>IF(TrRoad_act!U35=0,0,U22/TrRoad_act!U35*1000
)</f>
        <v>189.12214159474897</v>
      </c>
      <c r="V59" s="87">
        <f>IF(TrRoad_act!V35=0,0,V22/TrRoad_act!V35*1000
)</f>
        <v>180.22801727880156</v>
      </c>
      <c r="W59" s="87">
        <f>IF(TrRoad_act!W35=0,0,W22/TrRoad_act!W35*1000
)</f>
        <v>179.79950853584324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273.57952561097596</v>
      </c>
      <c r="C60" s="87">
        <f>IF(TrRoad_act!C36=0,0,C23/TrRoad_act!C36*1000
)</f>
        <v>227.42482658494521</v>
      </c>
      <c r="D60" s="87">
        <f>IF(TrRoad_act!D36=0,0,D23/TrRoad_act!D36*1000
)</f>
        <v>237.74191729795689</v>
      </c>
      <c r="E60" s="87">
        <f>IF(TrRoad_act!E36=0,0,E23/TrRoad_act!E36*1000
)</f>
        <v>240.79541072734028</v>
      </c>
      <c r="F60" s="87">
        <f>IF(TrRoad_act!F36=0,0,F23/TrRoad_act!F36*1000
)</f>
        <v>272.33789330542947</v>
      </c>
      <c r="G60" s="87">
        <f>IF(TrRoad_act!G36=0,0,G23/TrRoad_act!G36*1000
)</f>
        <v>256.05416922097623</v>
      </c>
      <c r="H60" s="87">
        <f>IF(TrRoad_act!H36=0,0,H23/TrRoad_act!H36*1000
)</f>
        <v>232.68794637000175</v>
      </c>
      <c r="I60" s="87">
        <f>IF(TrRoad_act!I36=0,0,I23/TrRoad_act!I36*1000
)</f>
        <v>218.33774745280084</v>
      </c>
      <c r="J60" s="87">
        <f>IF(TrRoad_act!J36=0,0,J23/TrRoad_act!J36*1000
)</f>
        <v>271.23590082316764</v>
      </c>
      <c r="K60" s="87">
        <f>IF(TrRoad_act!K36=0,0,K23/TrRoad_act!K36*1000
)</f>
        <v>250.5490297636463</v>
      </c>
      <c r="L60" s="87">
        <f>IF(TrRoad_act!L36=0,0,L23/TrRoad_act!L36*1000
)</f>
        <v>235.55649016340678</v>
      </c>
      <c r="M60" s="87">
        <f>IF(TrRoad_act!M36=0,0,M23/TrRoad_act!M36*1000
)</f>
        <v>228.03933760394506</v>
      </c>
      <c r="N60" s="87">
        <f>IF(TrRoad_act!N36=0,0,N23/TrRoad_act!N36*1000
)</f>
        <v>223.69295973037958</v>
      </c>
      <c r="O60" s="87">
        <f>IF(TrRoad_act!O36=0,0,O23/TrRoad_act!O36*1000
)</f>
        <v>228.62111803082607</v>
      </c>
      <c r="P60" s="87">
        <f>IF(TrRoad_act!P36=0,0,P23/TrRoad_act!P36*1000
)</f>
        <v>235.7005656420271</v>
      </c>
      <c r="Q60" s="87">
        <f>IF(TrRoad_act!Q36=0,0,Q23/TrRoad_act!Q36*1000
)</f>
        <v>255.44205269791786</v>
      </c>
      <c r="R60" s="87">
        <f>IF(TrRoad_act!R36=0,0,R23/TrRoad_act!R36*1000
)</f>
        <v>236.05816083868632</v>
      </c>
      <c r="S60" s="87">
        <f>IF(TrRoad_act!S36=0,0,S23/TrRoad_act!S36*1000
)</f>
        <v>231.23483028182144</v>
      </c>
      <c r="T60" s="87">
        <f>IF(TrRoad_act!T36=0,0,T23/TrRoad_act!T36*1000
)</f>
        <v>223.28117153784927</v>
      </c>
      <c r="U60" s="87">
        <f>IF(TrRoad_act!U36=0,0,U23/TrRoad_act!U36*1000
)</f>
        <v>223.96963429992039</v>
      </c>
      <c r="V60" s="87">
        <f>IF(TrRoad_act!V36=0,0,V23/TrRoad_act!V36*1000
)</f>
        <v>206.08319433678463</v>
      </c>
      <c r="W60" s="87">
        <f>IF(TrRoad_act!W36=0,0,W23/TrRoad_act!W36*1000
)</f>
        <v>206.63897483208166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190.46881927798981</v>
      </c>
      <c r="M61" s="87">
        <f>IF(TrRoad_act!M37=0,0,M24/TrRoad_act!M37*1000
)</f>
        <v>197.32569619329743</v>
      </c>
      <c r="N61" s="87">
        <f>IF(TrRoad_act!N37=0,0,N24/TrRoad_act!N37*1000
)</f>
        <v>200.4475029919011</v>
      </c>
      <c r="O61" s="87">
        <f>IF(TrRoad_act!O37=0,0,O24/TrRoad_act!O37*1000
)</f>
        <v>199.05869458617227</v>
      </c>
      <c r="P61" s="87">
        <f>IF(TrRoad_act!P37=0,0,P24/TrRoad_act!P37*1000
)</f>
        <v>197.49133091837049</v>
      </c>
      <c r="Q61" s="87">
        <f>IF(TrRoad_act!Q37=0,0,Q24/TrRoad_act!Q37*1000
)</f>
        <v>180.58439900796509</v>
      </c>
      <c r="R61" s="87">
        <f>IF(TrRoad_act!R37=0,0,R24/TrRoad_act!R37*1000
)</f>
        <v>153.44427817185328</v>
      </c>
      <c r="S61" s="87">
        <f>IF(TrRoad_act!S37=0,0,S24/TrRoad_act!S37*1000
)</f>
        <v>157.6434716788923</v>
      </c>
      <c r="T61" s="87">
        <f>IF(TrRoad_act!T37=0,0,T24/TrRoad_act!T37*1000
)</f>
        <v>135.19392041510909</v>
      </c>
      <c r="U61" s="87">
        <f>IF(TrRoad_act!U37=0,0,U24/TrRoad_act!U37*1000
)</f>
        <v>110.14025720270867</v>
      </c>
      <c r="V61" s="87">
        <f>IF(TrRoad_act!V37=0,0,V24/TrRoad_act!V37*1000
)</f>
        <v>109.75017459667818</v>
      </c>
      <c r="W61" s="87">
        <f>IF(TrRoad_act!W37=0,0,W24/TrRoad_act!W37*1000
)</f>
        <v>102.7764296045699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0</v>
      </c>
      <c r="P62" s="87">
        <f>IF(TrRoad_act!P38=0,0,P25/TrRoad_act!P38*1000
)</f>
        <v>60.564862407972328</v>
      </c>
      <c r="Q62" s="87">
        <f>IF(TrRoad_act!Q38=0,0,Q25/TrRoad_act!Q38*1000
)</f>
        <v>69.250958146234112</v>
      </c>
      <c r="R62" s="87">
        <f>IF(TrRoad_act!R38=0,0,R25/TrRoad_act!R38*1000
)</f>
        <v>69.386264671112656</v>
      </c>
      <c r="S62" s="87">
        <f>IF(TrRoad_act!S38=0,0,S25/TrRoad_act!S38*1000
)</f>
        <v>64.609044676958931</v>
      </c>
      <c r="T62" s="87">
        <f>IF(TrRoad_act!T38=0,0,T25/TrRoad_act!T38*1000
)</f>
        <v>64.292850991006731</v>
      </c>
      <c r="U62" s="87">
        <f>IF(TrRoad_act!U38=0,0,U25/TrRoad_act!U38*1000
)</f>
        <v>64.840174371851234</v>
      </c>
      <c r="V62" s="87">
        <f>IF(TrRoad_act!V38=0,0,V25/TrRoad_act!V38*1000
)</f>
        <v>64.761998331151602</v>
      </c>
      <c r="W62" s="87">
        <f>IF(TrRoad_act!W38=0,0,W25/TrRoad_act!W38*1000
)</f>
        <v>50.444103294999536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1399.2266078668551</v>
      </c>
      <c r="C64" s="116">
        <f>IF(TrRoad_act!C40=0,0,C27/TrRoad_act!C40*1000
)</f>
        <v>1720.1102527346718</v>
      </c>
      <c r="D64" s="116">
        <f>IF(TrRoad_act!D40=0,0,D27/TrRoad_act!D40*1000
)</f>
        <v>1937.6807041043312</v>
      </c>
      <c r="E64" s="116">
        <f>IF(TrRoad_act!E40=0,0,E27/TrRoad_act!E40*1000
)</f>
        <v>1696.5157175681113</v>
      </c>
      <c r="F64" s="116">
        <f>IF(TrRoad_act!F40=0,0,F27/TrRoad_act!F40*1000
)</f>
        <v>1750.7304811124932</v>
      </c>
      <c r="G64" s="116">
        <f>IF(TrRoad_act!G40=0,0,G27/TrRoad_act!G40*1000
)</f>
        <v>1798.4442313029895</v>
      </c>
      <c r="H64" s="116">
        <f>IF(TrRoad_act!H40=0,0,H27/TrRoad_act!H40*1000
)</f>
        <v>1767.2460878316576</v>
      </c>
      <c r="I64" s="116">
        <f>IF(TrRoad_act!I40=0,0,I27/TrRoad_act!I40*1000
)</f>
        <v>1840.9518921922825</v>
      </c>
      <c r="J64" s="116">
        <f>IF(TrRoad_act!J40=0,0,J27/TrRoad_act!J40*1000
)</f>
        <v>1796.8316114682652</v>
      </c>
      <c r="K64" s="116">
        <f>IF(TrRoad_act!K40=0,0,K27/TrRoad_act!K40*1000
)</f>
        <v>1683.0196027021032</v>
      </c>
      <c r="L64" s="116">
        <f>IF(TrRoad_act!L40=0,0,L27/TrRoad_act!L40*1000
)</f>
        <v>1807.6627817385895</v>
      </c>
      <c r="M64" s="116">
        <f>IF(TrRoad_act!M40=0,0,M27/TrRoad_act!M40*1000
)</f>
        <v>1839.0865175590618</v>
      </c>
      <c r="N64" s="116">
        <f>IF(TrRoad_act!N40=0,0,N27/TrRoad_act!N40*1000
)</f>
        <v>1835.3535713584024</v>
      </c>
      <c r="O64" s="116">
        <f>IF(TrRoad_act!O40=0,0,O27/TrRoad_act!O40*1000
)</f>
        <v>1722.7003631617558</v>
      </c>
      <c r="P64" s="116">
        <f>IF(TrRoad_act!P40=0,0,P27/TrRoad_act!P40*1000
)</f>
        <v>1714.8506838714375</v>
      </c>
      <c r="Q64" s="116">
        <f>IF(TrRoad_act!Q40=0,0,Q27/TrRoad_act!Q40*1000
)</f>
        <v>1656.8635180125111</v>
      </c>
      <c r="R64" s="116">
        <f>IF(TrRoad_act!R40=0,0,R27/TrRoad_act!R40*1000
)</f>
        <v>1572.0900623086147</v>
      </c>
      <c r="S64" s="116">
        <f>IF(TrRoad_act!S40=0,0,S27/TrRoad_act!S40*1000
)</f>
        <v>1550.6254472767707</v>
      </c>
      <c r="T64" s="116">
        <f>IF(TrRoad_act!T40=0,0,T27/TrRoad_act!T40*1000
)</f>
        <v>1525.6225968119413</v>
      </c>
      <c r="U64" s="116">
        <f>IF(TrRoad_act!U40=0,0,U27/TrRoad_act!U40*1000
)</f>
        <v>1482.1261615194619</v>
      </c>
      <c r="V64" s="116">
        <f>IF(TrRoad_act!V40=0,0,V27/TrRoad_act!V40*1000
)</f>
        <v>1422.5273447813463</v>
      </c>
      <c r="W64" s="116">
        <f>IF(TrRoad_act!W40=0,0,W27/TrRoad_act!W40*1000
)</f>
        <v>1430.2468624636165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619.54437617166036</v>
      </c>
      <c r="C65" s="101">
        <f>IF(TrRoad_act!C41=0,0,C28/TrRoad_act!C41*1000
)</f>
        <v>619.54437617166047</v>
      </c>
      <c r="D65" s="101">
        <f>IF(TrRoad_act!D41=0,0,D28/TrRoad_act!D41*1000
)</f>
        <v>619.54437617166059</v>
      </c>
      <c r="E65" s="101">
        <f>IF(TrRoad_act!E41=0,0,E28/TrRoad_act!E41*1000
)</f>
        <v>619.54437617166036</v>
      </c>
      <c r="F65" s="101">
        <f>IF(TrRoad_act!F41=0,0,F28/TrRoad_act!F41*1000
)</f>
        <v>619.5443761716607</v>
      </c>
      <c r="G65" s="101">
        <f>IF(TrRoad_act!G41=0,0,G28/TrRoad_act!G41*1000
)</f>
        <v>619.54437617166036</v>
      </c>
      <c r="H65" s="101">
        <f>IF(TrRoad_act!H41=0,0,H28/TrRoad_act!H41*1000
)</f>
        <v>619.54437617166059</v>
      </c>
      <c r="I65" s="101">
        <f>IF(TrRoad_act!I41=0,0,I28/TrRoad_act!I41*1000
)</f>
        <v>619.54437617166036</v>
      </c>
      <c r="J65" s="101">
        <f>IF(TrRoad_act!J41=0,0,J28/TrRoad_act!J41*1000
)</f>
        <v>617.19481014598045</v>
      </c>
      <c r="K65" s="101">
        <f>IF(TrRoad_act!K41=0,0,K28/TrRoad_act!K41*1000
)</f>
        <v>619.35191816099086</v>
      </c>
      <c r="L65" s="101">
        <f>IF(TrRoad_act!L41=0,0,L28/TrRoad_act!L41*1000
)</f>
        <v>610.08554900287936</v>
      </c>
      <c r="M65" s="101">
        <f>IF(TrRoad_act!M41=0,0,M28/TrRoad_act!M41*1000
)</f>
        <v>610.79073335806982</v>
      </c>
      <c r="N65" s="101">
        <f>IF(TrRoad_act!N41=0,0,N28/TrRoad_act!N41*1000
)</f>
        <v>610.40192375584354</v>
      </c>
      <c r="O65" s="101">
        <f>IF(TrRoad_act!O41=0,0,O28/TrRoad_act!O41*1000
)</f>
        <v>611.41328371094176</v>
      </c>
      <c r="P65" s="101">
        <f>IF(TrRoad_act!P41=0,0,P28/TrRoad_act!P41*1000
)</f>
        <v>606.69106198813461</v>
      </c>
      <c r="Q65" s="101">
        <f>IF(TrRoad_act!Q41=0,0,Q28/TrRoad_act!Q41*1000
)</f>
        <v>613.02229618358137</v>
      </c>
      <c r="R65" s="101">
        <f>IF(TrRoad_act!R41=0,0,R28/TrRoad_act!R41*1000
)</f>
        <v>614.90150060325311</v>
      </c>
      <c r="S65" s="101">
        <f>IF(TrRoad_act!S41=0,0,S28/TrRoad_act!S41*1000
)</f>
        <v>615.03747740359609</v>
      </c>
      <c r="T65" s="101">
        <f>IF(TrRoad_act!T41=0,0,T28/TrRoad_act!T41*1000
)</f>
        <v>606.33202389580538</v>
      </c>
      <c r="U65" s="101">
        <f>IF(TrRoad_act!U41=0,0,U28/TrRoad_act!U41*1000
)</f>
        <v>584.6235662516433</v>
      </c>
      <c r="V65" s="101">
        <f>IF(TrRoad_act!V41=0,0,V28/TrRoad_act!V41*1000
)</f>
        <v>583.17489578237655</v>
      </c>
      <c r="W65" s="101">
        <f>IF(TrRoad_act!W41=0,0,W28/TrRoad_act!W41*1000
)</f>
        <v>584.91095072616497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1695.7590319331669</v>
      </c>
      <c r="C66" s="101">
        <f>IF(TrRoad_act!C42=0,0,C29/TrRoad_act!C42*1000
)</f>
        <v>2084.3158746101662</v>
      </c>
      <c r="D66" s="101">
        <f>IF(TrRoad_act!D42=0,0,D29/TrRoad_act!D42*1000
)</f>
        <v>2304.1622078403839</v>
      </c>
      <c r="E66" s="101">
        <f>IF(TrRoad_act!E42=0,0,E29/TrRoad_act!E42*1000
)</f>
        <v>1934.3215046108774</v>
      </c>
      <c r="F66" s="101">
        <f>IF(TrRoad_act!F42=0,0,F29/TrRoad_act!F42*1000
)</f>
        <v>1967.077518988737</v>
      </c>
      <c r="G66" s="101">
        <f>IF(TrRoad_act!G42=0,0,G29/TrRoad_act!G42*1000
)</f>
        <v>1972.8209714951913</v>
      </c>
      <c r="H66" s="101">
        <f>IF(TrRoad_act!H42=0,0,H29/TrRoad_act!H42*1000
)</f>
        <v>1932.9761303661733</v>
      </c>
      <c r="I66" s="101">
        <f>IF(TrRoad_act!I42=0,0,I29/TrRoad_act!I42*1000
)</f>
        <v>1954.1802988754669</v>
      </c>
      <c r="J66" s="101">
        <f>IF(TrRoad_act!J42=0,0,J29/TrRoad_act!J42*1000
)</f>
        <v>1877.841711355775</v>
      </c>
      <c r="K66" s="101">
        <f>IF(TrRoad_act!K42=0,0,K29/TrRoad_act!K42*1000
)</f>
        <v>1735.4953250013855</v>
      </c>
      <c r="L66" s="101">
        <f>IF(TrRoad_act!L42=0,0,L29/TrRoad_act!L42*1000
)</f>
        <v>1932.2474724495044</v>
      </c>
      <c r="M66" s="101">
        <f>IF(TrRoad_act!M42=0,0,M29/TrRoad_act!M42*1000
)</f>
        <v>1962.6325168456019</v>
      </c>
      <c r="N66" s="101">
        <f>IF(TrRoad_act!N42=0,0,N29/TrRoad_act!N42*1000
)</f>
        <v>1948.1477937807692</v>
      </c>
      <c r="O66" s="101">
        <f>IF(TrRoad_act!O42=0,0,O29/TrRoad_act!O42*1000
)</f>
        <v>1818.5604773434761</v>
      </c>
      <c r="P66" s="101">
        <f>IF(TrRoad_act!P42=0,0,P29/TrRoad_act!P42*1000
)</f>
        <v>1803.3133809462181</v>
      </c>
      <c r="Q66" s="101">
        <f>IF(TrRoad_act!Q42=0,0,Q29/TrRoad_act!Q42*1000
)</f>
        <v>1728.2663530883865</v>
      </c>
      <c r="R66" s="101">
        <f>IF(TrRoad_act!R42=0,0,R29/TrRoad_act!R42*1000
)</f>
        <v>1628.3964083888156</v>
      </c>
      <c r="S66" s="101">
        <f>IF(TrRoad_act!S42=0,0,S29/TrRoad_act!S42*1000
)</f>
        <v>1621.5670141723172</v>
      </c>
      <c r="T66" s="101">
        <f>IF(TrRoad_act!T42=0,0,T29/TrRoad_act!T42*1000
)</f>
        <v>1573.6002959226805</v>
      </c>
      <c r="U66" s="101">
        <f>IF(TrRoad_act!U42=0,0,U29/TrRoad_act!U42*1000
)</f>
        <v>1552.1535553744677</v>
      </c>
      <c r="V66" s="101">
        <f>IF(TrRoad_act!V42=0,0,V29/TrRoad_act!V42*1000
)</f>
        <v>1486.0436047213238</v>
      </c>
      <c r="W66" s="101">
        <f>IF(TrRoad_act!W42=0,0,W29/TrRoad_act!W42*1000
)</f>
        <v>1544.4778065054245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1239.6646136921852</v>
      </c>
      <c r="U67" s="101">
        <f>IF(TrRoad_act!U43=0,0,U30/TrRoad_act!U43*1000
)</f>
        <v>1239.6646136921854</v>
      </c>
      <c r="V67" s="101">
        <f>IF(TrRoad_act!V43=0,0,V30/TrRoad_act!V43*1000
)</f>
        <v>1239.6646136921854</v>
      </c>
      <c r="W67" s="101">
        <f>IF(TrRoad_act!W43=0,0,W30/TrRoad_act!W43*1000
)</f>
        <v>1239.6646136921852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1191.3681412738156</v>
      </c>
      <c r="M68" s="101">
        <f>IF(TrRoad_act!M44=0,0,M31/TrRoad_act!M44*1000
)</f>
        <v>2156.2693448640762</v>
      </c>
      <c r="N68" s="101">
        <f>IF(TrRoad_act!N44=0,0,N31/TrRoad_act!N44*1000
)</f>
        <v>3896.6358949535297</v>
      </c>
      <c r="O68" s="101">
        <f>IF(TrRoad_act!O44=0,0,O31/TrRoad_act!O44*1000
)</f>
        <v>2591.7976371330287</v>
      </c>
      <c r="P68" s="101">
        <f>IF(TrRoad_act!P44=0,0,P31/TrRoad_act!P44*1000
)</f>
        <v>2316.7177379357877</v>
      </c>
      <c r="Q68" s="101">
        <f>IF(TrRoad_act!Q44=0,0,Q31/TrRoad_act!Q44*1000
)</f>
        <v>2511.3493123664957</v>
      </c>
      <c r="R68" s="101">
        <f>IF(TrRoad_act!R44=0,0,R31/TrRoad_act!R44*1000
)</f>
        <v>2082.1131076412667</v>
      </c>
      <c r="S68" s="101">
        <f>IF(TrRoad_act!S44=0,0,S31/TrRoad_act!S44*1000
)</f>
        <v>1101.4379914637284</v>
      </c>
      <c r="T68" s="101">
        <f>IF(TrRoad_act!T44=0,0,T31/TrRoad_act!T44*1000
)</f>
        <v>1672.0857317698037</v>
      </c>
      <c r="U68" s="101">
        <f>IF(TrRoad_act!U44=0,0,U31/TrRoad_act!U44*1000
)</f>
        <v>1128.2974924548303</v>
      </c>
      <c r="V68" s="101">
        <f>IF(TrRoad_act!V44=0,0,V31/TrRoad_act!V44*1000
)</f>
        <v>1206.1529913078618</v>
      </c>
      <c r="W68" s="101">
        <f>IF(TrRoad_act!W44=0,0,W31/TrRoad_act!W44*1000
)</f>
        <v>845.31081970454738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429.64353642249739</v>
      </c>
      <c r="C70" s="29">
        <f>IF(TrRoad_act!C46=0,0,C33/TrRoad_act!C46*1000
)</f>
        <v>495.37666011086088</v>
      </c>
      <c r="D70" s="29">
        <f>IF(TrRoad_act!D46=0,0,D33/TrRoad_act!D46*1000
)</f>
        <v>565.59329261081962</v>
      </c>
      <c r="E70" s="29">
        <f>IF(TrRoad_act!E46=0,0,E33/TrRoad_act!E46*1000
)</f>
        <v>537.82126024393824</v>
      </c>
      <c r="F70" s="29">
        <f>IF(TrRoad_act!F46=0,0,F33/TrRoad_act!F46*1000
)</f>
        <v>567.79326808466817</v>
      </c>
      <c r="G70" s="29">
        <f>IF(TrRoad_act!G46=0,0,G33/TrRoad_act!G46*1000
)</f>
        <v>592.17771877615041</v>
      </c>
      <c r="H70" s="29">
        <f>IF(TrRoad_act!H46=0,0,H33/TrRoad_act!H46*1000
)</f>
        <v>600.92758307153986</v>
      </c>
      <c r="I70" s="29">
        <f>IF(TrRoad_act!I46=0,0,I33/TrRoad_act!I46*1000
)</f>
        <v>648.75347646243267</v>
      </c>
      <c r="J70" s="29">
        <f>IF(TrRoad_act!J46=0,0,J33/TrRoad_act!J46*1000
)</f>
        <v>637.12363925391833</v>
      </c>
      <c r="K70" s="29">
        <f>IF(TrRoad_act!K46=0,0,K33/TrRoad_act!K46*1000
)</f>
        <v>551.24382633491484</v>
      </c>
      <c r="L70" s="29">
        <f>IF(TrRoad_act!L46=0,0,L33/TrRoad_act!L46*1000
)</f>
        <v>632.45997831759905</v>
      </c>
      <c r="M70" s="29">
        <f>IF(TrRoad_act!M46=0,0,M33/TrRoad_act!M46*1000
)</f>
        <v>657.86999801547017</v>
      </c>
      <c r="N70" s="29">
        <f>IF(TrRoad_act!N46=0,0,N33/TrRoad_act!N46*1000
)</f>
        <v>642.94609311851718</v>
      </c>
      <c r="O70" s="29">
        <f>IF(TrRoad_act!O46=0,0,O33/TrRoad_act!O46*1000
)</f>
        <v>576.28346979084517</v>
      </c>
      <c r="P70" s="29">
        <f>IF(TrRoad_act!P46=0,0,P33/TrRoad_act!P46*1000
)</f>
        <v>545.83690408533278</v>
      </c>
      <c r="Q70" s="29">
        <f>IF(TrRoad_act!Q46=0,0,Q33/TrRoad_act!Q46*1000
)</f>
        <v>506.87403940929266</v>
      </c>
      <c r="R70" s="29">
        <f>IF(TrRoad_act!R46=0,0,R33/TrRoad_act!R46*1000
)</f>
        <v>451.23391921422638</v>
      </c>
      <c r="S70" s="29">
        <f>IF(TrRoad_act!S46=0,0,S33/TrRoad_act!S46*1000
)</f>
        <v>412.42399205319339</v>
      </c>
      <c r="T70" s="29">
        <f>IF(TrRoad_act!T46=0,0,T33/TrRoad_act!T46*1000
)</f>
        <v>387.15791232308567</v>
      </c>
      <c r="U70" s="29">
        <f>IF(TrRoad_act!U46=0,0,U33/TrRoad_act!U46*1000
)</f>
        <v>361.07280080705016</v>
      </c>
      <c r="V70" s="29">
        <f>IF(TrRoad_act!V46=0,0,V33/TrRoad_act!V46*1000
)</f>
        <v>330.81210629497701</v>
      </c>
      <c r="W70" s="29">
        <f>IF(TrRoad_act!W46=0,0,W33/TrRoad_act!W46*1000
)</f>
        <v>359.82828953690932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314.67025737271109</v>
      </c>
      <c r="C71" s="152">
        <f>IF(TrRoad_act!C47=0,0,C34/TrRoad_act!C47*1000
)</f>
        <v>372.79319382564933</v>
      </c>
      <c r="D71" s="152">
        <f>IF(TrRoad_act!D47=0,0,D34/TrRoad_act!D47*1000
)</f>
        <v>406.01621312371884</v>
      </c>
      <c r="E71" s="152">
        <f>IF(TrRoad_act!E47=0,0,E34/TrRoad_act!E47*1000
)</f>
        <v>355.51663916903465</v>
      </c>
      <c r="F71" s="152">
        <f>IF(TrRoad_act!F47=0,0,F34/TrRoad_act!F47*1000
)</f>
        <v>358.20128376206776</v>
      </c>
      <c r="G71" s="152">
        <f>IF(TrRoad_act!G47=0,0,G34/TrRoad_act!G47*1000
)</f>
        <v>358.2365177650193</v>
      </c>
      <c r="H71" s="152">
        <f>IF(TrRoad_act!H47=0,0,H34/TrRoad_act!H47*1000
)</f>
        <v>349.48149004921692</v>
      </c>
      <c r="I71" s="152">
        <f>IF(TrRoad_act!I47=0,0,I34/TrRoad_act!I47*1000
)</f>
        <v>352.01150936382294</v>
      </c>
      <c r="J71" s="152">
        <f>IF(TrRoad_act!J47=0,0,J34/TrRoad_act!J47*1000
)</f>
        <v>337.44790315029735</v>
      </c>
      <c r="K71" s="152">
        <f>IF(TrRoad_act!K47=0,0,K34/TrRoad_act!K47*1000
)</f>
        <v>314.35958296826601</v>
      </c>
      <c r="L71" s="152">
        <f>IF(TrRoad_act!L47=0,0,L34/TrRoad_act!L47*1000
)</f>
        <v>340.81712882846375</v>
      </c>
      <c r="M71" s="152">
        <f>IF(TrRoad_act!M47=0,0,M34/TrRoad_act!M47*1000
)</f>
        <v>343.12110414077324</v>
      </c>
      <c r="N71" s="152">
        <f>IF(TrRoad_act!N47=0,0,N34/TrRoad_act!N47*1000
)</f>
        <v>338.81394872523373</v>
      </c>
      <c r="O71" s="152">
        <f>IF(TrRoad_act!O47=0,0,O34/TrRoad_act!O47*1000
)</f>
        <v>317.95391166683214</v>
      </c>
      <c r="P71" s="152">
        <f>IF(TrRoad_act!P47=0,0,P34/TrRoad_act!P47*1000
)</f>
        <v>311.54093128248007</v>
      </c>
      <c r="Q71" s="152">
        <f>IF(TrRoad_act!Q47=0,0,Q34/TrRoad_act!Q47*1000
)</f>
        <v>295.31580804877541</v>
      </c>
      <c r="R71" s="152">
        <f>IF(TrRoad_act!R47=0,0,R34/TrRoad_act!R47*1000
)</f>
        <v>276.88910572509354</v>
      </c>
      <c r="S71" s="152">
        <f>IF(TrRoad_act!S47=0,0,S34/TrRoad_act!S47*1000
)</f>
        <v>271.57769807003615</v>
      </c>
      <c r="T71" s="152">
        <f>IF(TrRoad_act!T47=0,0,T34/TrRoad_act!T47*1000
)</f>
        <v>260.9001371114818</v>
      </c>
      <c r="U71" s="152">
        <f>IF(TrRoad_act!U47=0,0,U34/TrRoad_act!U47*1000
)</f>
        <v>254.71432474246342</v>
      </c>
      <c r="V71" s="152">
        <f>IF(TrRoad_act!V47=0,0,V34/TrRoad_act!V47*1000
)</f>
        <v>242.1581063709269</v>
      </c>
      <c r="W71" s="152">
        <f>IF(TrRoad_act!W47=0,0,W34/TrRoad_act!W47*1000
)</f>
        <v>249.17482969234447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315.25121644733588</v>
      </c>
      <c r="C72" s="87">
        <f>IF(TrRoad_act!C48=0,0,C35/TrRoad_act!C48*1000
)</f>
        <v>312.89855842737671</v>
      </c>
      <c r="D72" s="87">
        <f>IF(TrRoad_act!D48=0,0,D35/TrRoad_act!D48*1000
)</f>
        <v>311.09452771250523</v>
      </c>
      <c r="E72" s="87">
        <f>IF(TrRoad_act!E48=0,0,E35/TrRoad_act!E48*1000
)</f>
        <v>309.36419536331238</v>
      </c>
      <c r="F72" s="87">
        <f>IF(TrRoad_act!F48=0,0,F35/TrRoad_act!F48*1000
)</f>
        <v>307.1390723136027</v>
      </c>
      <c r="G72" s="87">
        <f>IF(TrRoad_act!G48=0,0,G35/TrRoad_act!G48*1000
)</f>
        <v>304.33415505929406</v>
      </c>
      <c r="H72" s="87">
        <f>IF(TrRoad_act!H48=0,0,H35/TrRoad_act!H48*1000
)</f>
        <v>301.42498501216062</v>
      </c>
      <c r="I72" s="87">
        <f>IF(TrRoad_act!I48=0,0,I35/TrRoad_act!I48*1000
)</f>
        <v>298.52896296386081</v>
      </c>
      <c r="J72" s="87">
        <f>IF(TrRoad_act!J48=0,0,J35/TrRoad_act!J48*1000
)</f>
        <v>292.19181800228841</v>
      </c>
      <c r="K72" s="87">
        <f>IF(TrRoad_act!K48=0,0,K35/TrRoad_act!K48*1000
)</f>
        <v>288.75194207906088</v>
      </c>
      <c r="L72" s="87">
        <f>IF(TrRoad_act!L48=0,0,L35/TrRoad_act!L48*1000
)</f>
        <v>281.58739365196652</v>
      </c>
      <c r="M72" s="87">
        <f>IF(TrRoad_act!M48=0,0,M35/TrRoad_act!M48*1000
)</f>
        <v>279.13413394508461</v>
      </c>
      <c r="N72" s="87">
        <f>IF(TrRoad_act!N48=0,0,N35/TrRoad_act!N48*1000
)</f>
        <v>275.06826763860562</v>
      </c>
      <c r="O72" s="87">
        <f>IF(TrRoad_act!O48=0,0,O35/TrRoad_act!O48*1000
)</f>
        <v>272.18592061540818</v>
      </c>
      <c r="P72" s="87">
        <f>IF(TrRoad_act!P48=0,0,P35/TrRoad_act!P48*1000
)</f>
        <v>268.00180775280637</v>
      </c>
      <c r="Q72" s="87">
        <f>IF(TrRoad_act!Q48=0,0,Q35/TrRoad_act!Q48*1000
)</f>
        <v>265.26879561873659</v>
      </c>
      <c r="R72" s="87">
        <f>IF(TrRoad_act!R48=0,0,R35/TrRoad_act!R48*1000
)</f>
        <v>260.56619662089747</v>
      </c>
      <c r="S72" s="87">
        <f>IF(TrRoad_act!S48=0,0,S35/TrRoad_act!S48*1000
)</f>
        <v>257.18730618422546</v>
      </c>
      <c r="T72" s="87">
        <f>IF(TrRoad_act!T48=0,0,T35/TrRoad_act!T48*1000
)</f>
        <v>250.0670786176828</v>
      </c>
      <c r="U72" s="87">
        <f>IF(TrRoad_act!U48=0,0,U35/TrRoad_act!U48*1000
)</f>
        <v>246.41361562229713</v>
      </c>
      <c r="V72" s="87">
        <f>IF(TrRoad_act!V48=0,0,V35/TrRoad_act!V48*1000
)</f>
        <v>241.66381937022888</v>
      </c>
      <c r="W72" s="87">
        <f>IF(TrRoad_act!W48=0,0,W35/TrRoad_act!W48*1000
)</f>
        <v>239.55836394279618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314.4766965758962</v>
      </c>
      <c r="C73" s="87">
        <f>IF(TrRoad_act!C49=0,0,C36/TrRoad_act!C49*1000
)</f>
        <v>394.99546762061505</v>
      </c>
      <c r="D73" s="87">
        <f>IF(TrRoad_act!D49=0,0,D36/TrRoad_act!D49*1000
)</f>
        <v>440.54373100516227</v>
      </c>
      <c r="E73" s="87">
        <f>IF(TrRoad_act!E49=0,0,E36/TrRoad_act!E49*1000
)</f>
        <v>371.79768588885463</v>
      </c>
      <c r="F73" s="87">
        <f>IF(TrRoad_act!F49=0,0,F36/TrRoad_act!F49*1000
)</f>
        <v>377.92957784482718</v>
      </c>
      <c r="G73" s="87">
        <f>IF(TrRoad_act!G49=0,0,G36/TrRoad_act!G49*1000
)</f>
        <v>377.911799234618</v>
      </c>
      <c r="H73" s="87">
        <f>IF(TrRoad_act!H49=0,0,H36/TrRoad_act!H49*1000
)</f>
        <v>367.64656870840321</v>
      </c>
      <c r="I73" s="87">
        <f>IF(TrRoad_act!I49=0,0,I36/TrRoad_act!I49*1000
)</f>
        <v>369.43808805368508</v>
      </c>
      <c r="J73" s="87">
        <f>IF(TrRoad_act!J49=0,0,J36/TrRoad_act!J49*1000
)</f>
        <v>351.77677272552427</v>
      </c>
      <c r="K73" s="87">
        <f>IF(TrRoad_act!K49=0,0,K36/TrRoad_act!K49*1000
)</f>
        <v>321.81874731306903</v>
      </c>
      <c r="L73" s="87">
        <f>IF(TrRoad_act!L49=0,0,L36/TrRoad_act!L49*1000
)</f>
        <v>356.2808708317595</v>
      </c>
      <c r="M73" s="87">
        <f>IF(TrRoad_act!M49=0,0,M36/TrRoad_act!M49*1000
)</f>
        <v>360.07048816835334</v>
      </c>
      <c r="N73" s="87">
        <f>IF(TrRoad_act!N49=0,0,N36/TrRoad_act!N49*1000
)</f>
        <v>354.10215713035626</v>
      </c>
      <c r="O73" s="87">
        <f>IF(TrRoad_act!O49=0,0,O36/TrRoad_act!O49*1000
)</f>
        <v>327.00388622339852</v>
      </c>
      <c r="P73" s="87">
        <f>IF(TrRoad_act!P49=0,0,P36/TrRoad_act!P49*1000
)</f>
        <v>319.48969202481072</v>
      </c>
      <c r="Q73" s="87">
        <f>IF(TrRoad_act!Q49=0,0,Q36/TrRoad_act!Q49*1000
)</f>
        <v>300.48366961470839</v>
      </c>
      <c r="R73" s="87">
        <f>IF(TrRoad_act!R49=0,0,R36/TrRoad_act!R49*1000
)</f>
        <v>279.36490675132114</v>
      </c>
      <c r="S73" s="87">
        <f>IF(TrRoad_act!S49=0,0,S36/TrRoad_act!S49*1000
)</f>
        <v>273.68564620794842</v>
      </c>
      <c r="T73" s="87">
        <f>IF(TrRoad_act!T49=0,0,T36/TrRoad_act!T49*1000
)</f>
        <v>262.62861656265051</v>
      </c>
      <c r="U73" s="87">
        <f>IF(TrRoad_act!U49=0,0,U36/TrRoad_act!U49*1000
)</f>
        <v>255.98041513581509</v>
      </c>
      <c r="V73" s="87">
        <f>IF(TrRoad_act!V49=0,0,V36/TrRoad_act!V49*1000
)</f>
        <v>242.52203157175043</v>
      </c>
      <c r="W73" s="87">
        <f>IF(TrRoad_act!W49=0,0,W36/TrRoad_act!W49*1000
)</f>
        <v>250.31579137629146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223.0672759691432</v>
      </c>
      <c r="S74" s="87">
        <f>IF(TrRoad_act!S50=0,0,S37/TrRoad_act!S50*1000
)</f>
        <v>201.32780950098538</v>
      </c>
      <c r="T74" s="87">
        <f>IF(TrRoad_act!T50=0,0,T37/TrRoad_act!T50*1000
)</f>
        <v>199.96359061667044</v>
      </c>
      <c r="U74" s="87">
        <f>IF(TrRoad_act!U50=0,0,U37/TrRoad_act!U50*1000
)</f>
        <v>204.73150106790052</v>
      </c>
      <c r="V74" s="87">
        <f>IF(TrRoad_act!V50=0,0,V37/TrRoad_act!V50*1000
)</f>
        <v>204.98232919921793</v>
      </c>
      <c r="W74" s="87">
        <f>IF(TrRoad_act!W50=0,0,W37/TrRoad_act!W50*1000
)</f>
        <v>204.9823291992179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208.08354635455674</v>
      </c>
      <c r="O75" s="87">
        <f>IF(TrRoad_act!O51=0,0,O38/TrRoad_act!O51*1000
)</f>
        <v>209.89783068006039</v>
      </c>
      <c r="P75" s="87">
        <f>IF(TrRoad_act!P51=0,0,P38/TrRoad_act!P51*1000
)</f>
        <v>220.60097619817302</v>
      </c>
      <c r="Q75" s="87">
        <f>IF(TrRoad_act!Q51=0,0,Q38/TrRoad_act!Q51*1000
)</f>
        <v>214.24757072658736</v>
      </c>
      <c r="R75" s="87">
        <f>IF(TrRoad_act!R51=0,0,R38/TrRoad_act!R51*1000
)</f>
        <v>214.29633533451192</v>
      </c>
      <c r="S75" s="87">
        <f>IF(TrRoad_act!S51=0,0,S38/TrRoad_act!S51*1000
)</f>
        <v>189.14756543286359</v>
      </c>
      <c r="T75" s="87">
        <f>IF(TrRoad_act!T51=0,0,T38/TrRoad_act!T51*1000
)</f>
        <v>161.83435070678934</v>
      </c>
      <c r="U75" s="87">
        <f>IF(TrRoad_act!U51=0,0,U38/TrRoad_act!U51*1000
)</f>
        <v>151.49188712165127</v>
      </c>
      <c r="V75" s="87">
        <f>IF(TrRoad_act!V51=0,0,V38/TrRoad_act!V51*1000
)</f>
        <v>159.69302789458919</v>
      </c>
      <c r="W75" s="87">
        <f>IF(TrRoad_act!W51=0,0,W38/TrRoad_act!W51*1000
)</f>
        <v>153.73998115824446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1083.0128763039411</v>
      </c>
      <c r="C77" s="116">
        <f>IF(TrRoad_act!C53=0,0,C40/TrRoad_act!C53*1000
)</f>
        <v>1307.8741629911613</v>
      </c>
      <c r="D77" s="116">
        <f>IF(TrRoad_act!D53=0,0,D40/TrRoad_act!D53*1000
)</f>
        <v>1395.7295238965187</v>
      </c>
      <c r="E77" s="116">
        <f>IF(TrRoad_act!E53=0,0,E40/TrRoad_act!E53*1000
)</f>
        <v>1153.6479741454334</v>
      </c>
      <c r="F77" s="116">
        <f>IF(TrRoad_act!F53=0,0,F40/TrRoad_act!F53*1000
)</f>
        <v>1187.6270662316406</v>
      </c>
      <c r="G77" s="116">
        <f>IF(TrRoad_act!G53=0,0,G40/TrRoad_act!G53*1000
)</f>
        <v>1218.0102802998113</v>
      </c>
      <c r="H77" s="116">
        <f>IF(TrRoad_act!H53=0,0,H40/TrRoad_act!H53*1000
)</f>
        <v>1213.4204973757483</v>
      </c>
      <c r="I77" s="116">
        <f>IF(TrRoad_act!I53=0,0,I40/TrRoad_act!I53*1000
)</f>
        <v>1282.5677794777278</v>
      </c>
      <c r="J77" s="116">
        <f>IF(TrRoad_act!J53=0,0,J40/TrRoad_act!J53*1000
)</f>
        <v>1280.6301988206467</v>
      </c>
      <c r="K77" s="116">
        <f>IF(TrRoad_act!K53=0,0,K40/TrRoad_act!K53*1000
)</f>
        <v>1214.8393975109643</v>
      </c>
      <c r="L77" s="116">
        <f>IF(TrRoad_act!L53=0,0,L40/TrRoad_act!L53*1000
)</f>
        <v>1490.4559839743422</v>
      </c>
      <c r="M77" s="116">
        <f>IF(TrRoad_act!M53=0,0,M40/TrRoad_act!M53*1000
)</f>
        <v>1516.1109965178462</v>
      </c>
      <c r="N77" s="116">
        <f>IF(TrRoad_act!N53=0,0,N40/TrRoad_act!N53*1000
)</f>
        <v>1521.1025487412774</v>
      </c>
      <c r="O77" s="116">
        <f>IF(TrRoad_act!O53=0,0,O40/TrRoad_act!O53*1000
)</f>
        <v>1325.2289379363795</v>
      </c>
      <c r="P77" s="116">
        <f>IF(TrRoad_act!P53=0,0,P40/TrRoad_act!P53*1000
)</f>
        <v>1295.3727501598983</v>
      </c>
      <c r="Q77" s="116">
        <f>IF(TrRoad_act!Q53=0,0,Q40/TrRoad_act!Q53*1000
)</f>
        <v>1174.7912842391077</v>
      </c>
      <c r="R77" s="116">
        <f>IF(TrRoad_act!R53=0,0,R40/TrRoad_act!R53*1000
)</f>
        <v>1003.2992119217239</v>
      </c>
      <c r="S77" s="116">
        <f>IF(TrRoad_act!S53=0,0,S40/TrRoad_act!S53*1000
)</f>
        <v>972.73204237649031</v>
      </c>
      <c r="T77" s="116">
        <f>IF(TrRoad_act!T53=0,0,T40/TrRoad_act!T53*1000
)</f>
        <v>926.07427749217197</v>
      </c>
      <c r="U77" s="116">
        <f>IF(TrRoad_act!U53=0,0,U40/TrRoad_act!U53*1000
)</f>
        <v>886.39869312713279</v>
      </c>
      <c r="V77" s="116">
        <f>IF(TrRoad_act!V53=0,0,V40/TrRoad_act!V53*1000
)</f>
        <v>804.41200285402874</v>
      </c>
      <c r="W77" s="116">
        <f>IF(TrRoad_act!W53=0,0,W40/TrRoad_act!W53*1000
)</f>
        <v>893.07961146785578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1039.9978989004333</v>
      </c>
      <c r="C78" s="101">
        <f>IF(TrRoad_act!C54=0,0,C41/TrRoad_act!C54*1000
)</f>
        <v>1249.2267818896614</v>
      </c>
      <c r="D78" s="101">
        <f>IF(TrRoad_act!D54=0,0,D41/TrRoad_act!D54*1000
)</f>
        <v>1341.9189998574527</v>
      </c>
      <c r="E78" s="101">
        <f>IF(TrRoad_act!E54=0,0,E41/TrRoad_act!E54*1000
)</f>
        <v>1120.9085687573668</v>
      </c>
      <c r="F78" s="101">
        <f>IF(TrRoad_act!F54=0,0,F41/TrRoad_act!F54*1000
)</f>
        <v>1154.1791589427912</v>
      </c>
      <c r="G78" s="101">
        <f>IF(TrRoad_act!G54=0,0,G41/TrRoad_act!G54*1000
)</f>
        <v>1184.8185265027798</v>
      </c>
      <c r="H78" s="101">
        <f>IF(TrRoad_act!H54=0,0,H41/TrRoad_act!H54*1000
)</f>
        <v>1181.7836081967389</v>
      </c>
      <c r="I78" s="101">
        <f>IF(TrRoad_act!I54=0,0,I41/TrRoad_act!I54*1000
)</f>
        <v>1249.4413757801249</v>
      </c>
      <c r="J78" s="101">
        <f>IF(TrRoad_act!J54=0,0,J41/TrRoad_act!J54*1000
)</f>
        <v>1249.5783962291562</v>
      </c>
      <c r="K78" s="101">
        <f>IF(TrRoad_act!K54=0,0,K41/TrRoad_act!K54*1000
)</f>
        <v>1185.3120894036847</v>
      </c>
      <c r="L78" s="101">
        <f>IF(TrRoad_act!L54=0,0,L41/TrRoad_act!L54*1000
)</f>
        <v>1453.7754252038831</v>
      </c>
      <c r="M78" s="101">
        <f>IF(TrRoad_act!M54=0,0,M41/TrRoad_act!M54*1000
)</f>
        <v>1477.5637485700909</v>
      </c>
      <c r="N78" s="101">
        <f>IF(TrRoad_act!N54=0,0,N41/TrRoad_act!N54*1000
)</f>
        <v>1481.043690777637</v>
      </c>
      <c r="O78" s="101">
        <f>IF(TrRoad_act!O54=0,0,O41/TrRoad_act!O54*1000
)</f>
        <v>1287.6733077175936</v>
      </c>
      <c r="P78" s="101">
        <f>IF(TrRoad_act!P54=0,0,P41/TrRoad_act!P54*1000
)</f>
        <v>1256.0110854854752</v>
      </c>
      <c r="Q78" s="101">
        <f>IF(TrRoad_act!Q54=0,0,Q41/TrRoad_act!Q54*1000
)</f>
        <v>1134.6996213879941</v>
      </c>
      <c r="R78" s="101">
        <f>IF(TrRoad_act!R54=0,0,R41/TrRoad_act!R54*1000
)</f>
        <v>969.23861366521987</v>
      </c>
      <c r="S78" s="101">
        <f>IF(TrRoad_act!S54=0,0,S41/TrRoad_act!S54*1000
)</f>
        <v>933.31063730077358</v>
      </c>
      <c r="T78" s="101">
        <f>IF(TrRoad_act!T54=0,0,T41/TrRoad_act!T54*1000
)</f>
        <v>886.00759182332001</v>
      </c>
      <c r="U78" s="101">
        <f>IF(TrRoad_act!U54=0,0,U41/TrRoad_act!U54*1000
)</f>
        <v>841.41235706106613</v>
      </c>
      <c r="V78" s="101">
        <f>IF(TrRoad_act!V54=0,0,V41/TrRoad_act!V54*1000
)</f>
        <v>752.36572204939296</v>
      </c>
      <c r="W78" s="101">
        <f>IF(TrRoad_act!W54=0,0,W41/TrRoad_act!W54*1000
)</f>
        <v>843.56635814041113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1186.7340291595592</v>
      </c>
      <c r="C79" s="88">
        <f>IF(TrRoad_act!C55=0,0,C42/TrRoad_act!C55*1000
)</f>
        <v>1413.3326797620555</v>
      </c>
      <c r="D79" s="88">
        <f>IF(TrRoad_act!D55=0,0,D42/TrRoad_act!D55*1000
)</f>
        <v>1522.0892592975849</v>
      </c>
      <c r="E79" s="88">
        <f>IF(TrRoad_act!E55=0,0,E42/TrRoad_act!E55*1000
)</f>
        <v>1276.2960747273937</v>
      </c>
      <c r="F79" s="88">
        <f>IF(TrRoad_act!F55=0,0,F42/TrRoad_act!F55*1000
)</f>
        <v>1301.8523241990795</v>
      </c>
      <c r="G79" s="88">
        <f>IF(TrRoad_act!G55=0,0,G42/TrRoad_act!G55*1000
)</f>
        <v>1329.7711918545742</v>
      </c>
      <c r="H79" s="88">
        <f>IF(TrRoad_act!H55=0,0,H42/TrRoad_act!H55*1000
)</f>
        <v>1318.5853957237553</v>
      </c>
      <c r="I79" s="88">
        <f>IF(TrRoad_act!I55=0,0,I42/TrRoad_act!I55*1000
)</f>
        <v>1388.4646224353655</v>
      </c>
      <c r="J79" s="88">
        <f>IF(TrRoad_act!J55=0,0,J42/TrRoad_act!J55*1000
)</f>
        <v>1385.4861203246178</v>
      </c>
      <c r="K79" s="88">
        <f>IF(TrRoad_act!K55=0,0,K42/TrRoad_act!K55*1000
)</f>
        <v>1303.4781143614898</v>
      </c>
      <c r="L79" s="88">
        <f>IF(TrRoad_act!L55=0,0,L42/TrRoad_act!L55*1000
)</f>
        <v>1590.1199773404564</v>
      </c>
      <c r="M79" s="88">
        <f>IF(TrRoad_act!M55=0,0,M42/TrRoad_act!M55*1000
)</f>
        <v>1614.3709977127569</v>
      </c>
      <c r="N79" s="88">
        <f>IF(TrRoad_act!N55=0,0,N42/TrRoad_act!N55*1000
)</f>
        <v>1618.410954383362</v>
      </c>
      <c r="O79" s="88">
        <f>IF(TrRoad_act!O55=0,0,O42/TrRoad_act!O55*1000
)</f>
        <v>1405.4592566867718</v>
      </c>
      <c r="P79" s="88">
        <f>IF(TrRoad_act!P55=0,0,P42/TrRoad_act!P55*1000
)</f>
        <v>1373.2045007634604</v>
      </c>
      <c r="Q79" s="88">
        <f>IF(TrRoad_act!Q55=0,0,Q42/TrRoad_act!Q55*1000
)</f>
        <v>1240.266545390376</v>
      </c>
      <c r="R79" s="88">
        <f>IF(TrRoad_act!R55=0,0,R42/TrRoad_act!R55*1000
)</f>
        <v>1067.1431573901316</v>
      </c>
      <c r="S79" s="88">
        <f>IF(TrRoad_act!S55=0,0,S42/TrRoad_act!S55*1000
)</f>
        <v>1037.1265072715069</v>
      </c>
      <c r="T79" s="88">
        <f>IF(TrRoad_act!T55=0,0,T42/TrRoad_act!T55*1000
)</f>
        <v>993.12827564418467</v>
      </c>
      <c r="U79" s="88">
        <f>IF(TrRoad_act!U55=0,0,U42/TrRoad_act!U55*1000
)</f>
        <v>961.44586507737233</v>
      </c>
      <c r="V79" s="88">
        <f>IF(TrRoad_act!V55=0,0,V42/TrRoad_act!V55*1000
)</f>
        <v>864.07114046132904</v>
      </c>
      <c r="W79" s="88">
        <f>IF(TrRoad_act!W55=0,0,W42/TrRoad_act!W55*1000
)</f>
        <v>980.29708965651685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115.2844159132602</v>
      </c>
      <c r="C82" s="29">
        <f>IF(TrRoad_act!C4=0,0,C18/TrRoad_act!C4*1000)</f>
        <v>143.88386853940631</v>
      </c>
      <c r="D82" s="29">
        <f>IF(TrRoad_act!D4=0,0,D18/TrRoad_act!D4*1000)</f>
        <v>140.8474491320172</v>
      </c>
      <c r="E82" s="29">
        <f>IF(TrRoad_act!E4=0,0,E18/TrRoad_act!E4*1000)</f>
        <v>128.76553954748633</v>
      </c>
      <c r="F82" s="29">
        <f>IF(TrRoad_act!F4=0,0,F18/TrRoad_act!F4*1000)</f>
        <v>128.05972561375336</v>
      </c>
      <c r="G82" s="29">
        <f>IF(TrRoad_act!G4=0,0,G18/TrRoad_act!G4*1000)</f>
        <v>111.69755138245173</v>
      </c>
      <c r="H82" s="29">
        <f>IF(TrRoad_act!H4=0,0,H18/TrRoad_act!H4*1000)</f>
        <v>121.61872862741438</v>
      </c>
      <c r="I82" s="29">
        <f>IF(TrRoad_act!I4=0,0,I18/TrRoad_act!I4*1000)</f>
        <v>130.32775295201398</v>
      </c>
      <c r="J82" s="29">
        <f>IF(TrRoad_act!J4=0,0,J18/TrRoad_act!J4*1000)</f>
        <v>123.689201784349</v>
      </c>
      <c r="K82" s="29">
        <f>IF(TrRoad_act!K4=0,0,K18/TrRoad_act!K4*1000)</f>
        <v>120.60069612472101</v>
      </c>
      <c r="L82" s="29">
        <f>IF(TrRoad_act!L4=0,0,L18/TrRoad_act!L4*1000)</f>
        <v>126.18622422782494</v>
      </c>
      <c r="M82" s="29">
        <f>IF(TrRoad_act!M4=0,0,M18/TrRoad_act!M4*1000)</f>
        <v>123.49787158394169</v>
      </c>
      <c r="N82" s="29">
        <f>IF(TrRoad_act!N4=0,0,N18/TrRoad_act!N4*1000)</f>
        <v>124.58467134123177</v>
      </c>
      <c r="O82" s="29">
        <f>IF(TrRoad_act!O4=0,0,O18/TrRoad_act!O4*1000)</f>
        <v>118.69964583837699</v>
      </c>
      <c r="P82" s="29">
        <f>IF(TrRoad_act!P4=0,0,P18/TrRoad_act!P4*1000)</f>
        <v>115.40575642853425</v>
      </c>
      <c r="Q82" s="29">
        <f>IF(TrRoad_act!Q4=0,0,Q18/TrRoad_act!Q4*1000)</f>
        <v>114.01643842278253</v>
      </c>
      <c r="R82" s="29">
        <f>IF(TrRoad_act!R4=0,0,R18/TrRoad_act!R4*1000)</f>
        <v>110.76471845429181</v>
      </c>
      <c r="S82" s="29">
        <f>IF(TrRoad_act!S4=0,0,S18/TrRoad_act!S4*1000)</f>
        <v>115.35391855639554</v>
      </c>
      <c r="T82" s="29">
        <f>IF(TrRoad_act!T4=0,0,T18/TrRoad_act!T4*1000)</f>
        <v>115.35569387250818</v>
      </c>
      <c r="U82" s="29">
        <f>IF(TrRoad_act!U4=0,0,U18/TrRoad_act!U4*1000)</f>
        <v>106.49156983444541</v>
      </c>
      <c r="V82" s="29">
        <f>IF(TrRoad_act!V4=0,0,V18/TrRoad_act!V4*1000)</f>
        <v>125.35852988797011</v>
      </c>
      <c r="W82" s="29">
        <f>IF(TrRoad_act!W4=0,0,W18/TrRoad_act!W4*1000)</f>
        <v>120.93814976044825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134.55315209142728</v>
      </c>
      <c r="C83" s="152">
        <f>IF(TrRoad_act!C5=0,0,C19/TrRoad_act!C5*1000)</f>
        <v>134.0939432167913</v>
      </c>
      <c r="D83" s="152">
        <f>IF(TrRoad_act!D5=0,0,D19/TrRoad_act!D5*1000)</f>
        <v>132.85068336787785</v>
      </c>
      <c r="E83" s="152">
        <f>IF(TrRoad_act!E5=0,0,E19/TrRoad_act!E5*1000)</f>
        <v>131.10613508780779</v>
      </c>
      <c r="F83" s="152">
        <f>IF(TrRoad_act!F5=0,0,F19/TrRoad_act!F5*1000)</f>
        <v>129.51842238870202</v>
      </c>
      <c r="G83" s="152">
        <f>IF(TrRoad_act!G5=0,0,G19/TrRoad_act!G5*1000)</f>
        <v>128.14645295686847</v>
      </c>
      <c r="H83" s="152">
        <f>IF(TrRoad_act!H5=0,0,H19/TrRoad_act!H5*1000)</f>
        <v>125.75752302942919</v>
      </c>
      <c r="I83" s="152">
        <f>IF(TrRoad_act!I5=0,0,I19/TrRoad_act!I5*1000)</f>
        <v>123.90806061339221</v>
      </c>
      <c r="J83" s="152">
        <f>IF(TrRoad_act!J5=0,0,J19/TrRoad_act!J5*1000)</f>
        <v>121.07704090509465</v>
      </c>
      <c r="K83" s="152">
        <f>IF(TrRoad_act!K5=0,0,K19/TrRoad_act!K5*1000)</f>
        <v>120.24173528636454</v>
      </c>
      <c r="L83" s="152">
        <f>IF(TrRoad_act!L5=0,0,L19/TrRoad_act!L5*1000)</f>
        <v>117.30094333365247</v>
      </c>
      <c r="M83" s="152">
        <f>IF(TrRoad_act!M5=0,0,M19/TrRoad_act!M5*1000)</f>
        <v>114.39583492546431</v>
      </c>
      <c r="N83" s="152">
        <f>IF(TrRoad_act!N5=0,0,N19/TrRoad_act!N5*1000)</f>
        <v>109.31587535566867</v>
      </c>
      <c r="O83" s="152">
        <f>IF(TrRoad_act!O5=0,0,O19/TrRoad_act!O5*1000)</f>
        <v>107.99079501690542</v>
      </c>
      <c r="P83" s="152">
        <f>IF(TrRoad_act!P5=0,0,P19/TrRoad_act!P5*1000)</f>
        <v>105.27597341393736</v>
      </c>
      <c r="Q83" s="152">
        <f>IF(TrRoad_act!Q5=0,0,Q19/TrRoad_act!Q5*1000)</f>
        <v>105.01604797978624</v>
      </c>
      <c r="R83" s="152">
        <f>IF(TrRoad_act!R5=0,0,R19/TrRoad_act!R5*1000)</f>
        <v>103.64900329362609</v>
      </c>
      <c r="S83" s="152">
        <f>IF(TrRoad_act!S5=0,0,S19/TrRoad_act!S5*1000)</f>
        <v>102.87255705417587</v>
      </c>
      <c r="T83" s="152">
        <f>IF(TrRoad_act!T5=0,0,T19/TrRoad_act!T5*1000)</f>
        <v>100.73347252266767</v>
      </c>
      <c r="U83" s="152">
        <f>IF(TrRoad_act!U5=0,0,U19/TrRoad_act!U5*1000)</f>
        <v>99.090166535472278</v>
      </c>
      <c r="V83" s="152">
        <f>IF(TrRoad_act!V5=0,0,V19/TrRoad_act!V5*1000)</f>
        <v>98.253831125077454</v>
      </c>
      <c r="W83" s="152">
        <f>IF(TrRoad_act!W5=0,0,W19/TrRoad_act!W5*1000)</f>
        <v>91.906555554769852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121.62260087181822</v>
      </c>
      <c r="C84" s="116">
        <f>IF(TrRoad_act!C6=0,0,C20/TrRoad_act!C6*1000)</f>
        <v>150.34806681027527</v>
      </c>
      <c r="D84" s="116">
        <f>IF(TrRoad_act!D6=0,0,D20/TrRoad_act!D6*1000)</f>
        <v>138.8179239659672</v>
      </c>
      <c r="E84" s="116">
        <f>IF(TrRoad_act!E6=0,0,E20/TrRoad_act!E6*1000)</f>
        <v>127.74414142952392</v>
      </c>
      <c r="F84" s="116">
        <f>IF(TrRoad_act!F6=0,0,F20/TrRoad_act!F6*1000)</f>
        <v>128.32059500927784</v>
      </c>
      <c r="G84" s="116">
        <f>IF(TrRoad_act!G6=0,0,G20/TrRoad_act!G6*1000)</f>
        <v>109.01448054192582</v>
      </c>
      <c r="H84" s="116">
        <f>IF(TrRoad_act!H6=0,0,H20/TrRoad_act!H6*1000)</f>
        <v>123.07795144065918</v>
      </c>
      <c r="I84" s="116">
        <f>IF(TrRoad_act!I6=0,0,I20/TrRoad_act!I6*1000)</f>
        <v>136.35956068373613</v>
      </c>
      <c r="J84" s="116">
        <f>IF(TrRoad_act!J6=0,0,J20/TrRoad_act!J6*1000)</f>
        <v>127.63459673226241</v>
      </c>
      <c r="K84" s="116">
        <f>IF(TrRoad_act!K6=0,0,K20/TrRoad_act!K6*1000)</f>
        <v>123.06919524637486</v>
      </c>
      <c r="L84" s="116">
        <f>IF(TrRoad_act!L6=0,0,L20/TrRoad_act!L6*1000)</f>
        <v>127.8136912621291</v>
      </c>
      <c r="M84" s="116">
        <f>IF(TrRoad_act!M6=0,0,M20/TrRoad_act!M6*1000)</f>
        <v>124.79102443151801</v>
      </c>
      <c r="N84" s="116">
        <f>IF(TrRoad_act!N6=0,0,N20/TrRoad_act!N6*1000)</f>
        <v>123.55020668165589</v>
      </c>
      <c r="O84" s="116">
        <f>IF(TrRoad_act!O6=0,0,O20/TrRoad_act!O6*1000)</f>
        <v>117.28057505398175</v>
      </c>
      <c r="P84" s="116">
        <f>IF(TrRoad_act!P6=0,0,P20/TrRoad_act!P6*1000)</f>
        <v>113.07130426637433</v>
      </c>
      <c r="Q84" s="116">
        <f>IF(TrRoad_act!Q6=0,0,Q20/TrRoad_act!Q6*1000)</f>
        <v>114.71024206934158</v>
      </c>
      <c r="R84" s="116">
        <f>IF(TrRoad_act!R6=0,0,R20/TrRoad_act!R6*1000)</f>
        <v>113.40211318219544</v>
      </c>
      <c r="S84" s="116">
        <f>IF(TrRoad_act!S6=0,0,S20/TrRoad_act!S6*1000)</f>
        <v>115.34428710637188</v>
      </c>
      <c r="T84" s="116">
        <f>IF(TrRoad_act!T6=0,0,T20/TrRoad_act!T6*1000)</f>
        <v>115.78245275382045</v>
      </c>
      <c r="U84" s="116">
        <f>IF(TrRoad_act!U6=0,0,U20/TrRoad_act!U6*1000)</f>
        <v>109.38528519107511</v>
      </c>
      <c r="V84" s="116">
        <f>IF(TrRoad_act!V6=0,0,V20/TrRoad_act!V6*1000)</f>
        <v>116.91196790935436</v>
      </c>
      <c r="W84" s="116">
        <f>IF(TrRoad_act!W6=0,0,W20/TrRoad_act!W6*1000)</f>
        <v>110.22861811699921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122.99344353287677</v>
      </c>
      <c r="C85" s="87">
        <f>IF(TrRoad_act!C7=0,0,C21/TrRoad_act!C7*1000)</f>
        <v>148.60248200860144</v>
      </c>
      <c r="D85" s="87">
        <f>IF(TrRoad_act!D7=0,0,D21/TrRoad_act!D7*1000)</f>
        <v>133.82304781974543</v>
      </c>
      <c r="E85" s="87">
        <f>IF(TrRoad_act!E7=0,0,E21/TrRoad_act!E7*1000)</f>
        <v>124.83263457287646</v>
      </c>
      <c r="F85" s="87">
        <f>IF(TrRoad_act!F7=0,0,F21/TrRoad_act!F7*1000)</f>
        <v>125.1066374497013</v>
      </c>
      <c r="G85" s="87">
        <f>IF(TrRoad_act!G7=0,0,G21/TrRoad_act!G7*1000)</f>
        <v>106.92664622873937</v>
      </c>
      <c r="H85" s="87">
        <f>IF(TrRoad_act!H7=0,0,H21/TrRoad_act!H7*1000)</f>
        <v>121.91987755217487</v>
      </c>
      <c r="I85" s="87">
        <f>IF(TrRoad_act!I7=0,0,I21/TrRoad_act!I7*1000)</f>
        <v>135.79881147479017</v>
      </c>
      <c r="J85" s="87">
        <f>IF(TrRoad_act!J7=0,0,J21/TrRoad_act!J7*1000)</f>
        <v>129.69407676739684</v>
      </c>
      <c r="K85" s="87">
        <f>IF(TrRoad_act!K7=0,0,K21/TrRoad_act!K7*1000)</f>
        <v>127.67467183516537</v>
      </c>
      <c r="L85" s="87">
        <f>IF(TrRoad_act!L7=0,0,L21/TrRoad_act!L7*1000)</f>
        <v>129.25393048307711</v>
      </c>
      <c r="M85" s="87">
        <f>IF(TrRoad_act!M7=0,0,M21/TrRoad_act!M7*1000)</f>
        <v>125.33247753941417</v>
      </c>
      <c r="N85" s="87">
        <f>IF(TrRoad_act!N7=0,0,N21/TrRoad_act!N7*1000)</f>
        <v>123.90832051748167</v>
      </c>
      <c r="O85" s="87">
        <f>IF(TrRoad_act!O7=0,0,O21/TrRoad_act!O7*1000)</f>
        <v>119.66595696786679</v>
      </c>
      <c r="P85" s="87">
        <f>IF(TrRoad_act!P7=0,0,P21/TrRoad_act!P7*1000)</f>
        <v>115.24520921472983</v>
      </c>
      <c r="Q85" s="87">
        <f>IF(TrRoad_act!Q7=0,0,Q21/TrRoad_act!Q7*1000)</f>
        <v>118.63871533852046</v>
      </c>
      <c r="R85" s="87">
        <f>IF(TrRoad_act!R7=0,0,R21/TrRoad_act!R7*1000)</f>
        <v>118.82455491094349</v>
      </c>
      <c r="S85" s="87">
        <f>IF(TrRoad_act!S7=0,0,S21/TrRoad_act!S7*1000)</f>
        <v>120.27605221192104</v>
      </c>
      <c r="T85" s="87">
        <f>IF(TrRoad_act!T7=0,0,T21/TrRoad_act!T7*1000)</f>
        <v>120.39136891548924</v>
      </c>
      <c r="U85" s="87">
        <f>IF(TrRoad_act!U7=0,0,U21/TrRoad_act!U7*1000)</f>
        <v>114.29285655712984</v>
      </c>
      <c r="V85" s="87">
        <f>IF(TrRoad_act!V7=0,0,V21/TrRoad_act!V7*1000)</f>
        <v>125.00366630787229</v>
      </c>
      <c r="W85" s="87">
        <f>IF(TrRoad_act!W7=0,0,W21/TrRoad_act!W7*1000)</f>
        <v>117.65209221640703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105.90714248283162</v>
      </c>
      <c r="C86" s="87">
        <f>IF(TrRoad_act!C8=0,0,C22/TrRoad_act!C8*1000)</f>
        <v>168.33781462243203</v>
      </c>
      <c r="D86" s="87">
        <f>IF(TrRoad_act!D8=0,0,D22/TrRoad_act!D8*1000)</f>
        <v>180.6045485531852</v>
      </c>
      <c r="E86" s="87">
        <f>IF(TrRoad_act!E8=0,0,E22/TrRoad_act!E8*1000)</f>
        <v>144.48205308441683</v>
      </c>
      <c r="F86" s="87">
        <f>IF(TrRoad_act!F8=0,0,F22/TrRoad_act!F8*1000)</f>
        <v>140.96293690896394</v>
      </c>
      <c r="G86" s="87">
        <f>IF(TrRoad_act!G8=0,0,G22/TrRoad_act!G8*1000)</f>
        <v>115.76686874839997</v>
      </c>
      <c r="H86" s="87">
        <f>IF(TrRoad_act!H8=0,0,H22/TrRoad_act!H8*1000)</f>
        <v>126.22874671181303</v>
      </c>
      <c r="I86" s="87">
        <f>IF(TrRoad_act!I8=0,0,I22/TrRoad_act!I8*1000)</f>
        <v>137.82396018499506</v>
      </c>
      <c r="J86" s="87">
        <f>IF(TrRoad_act!J8=0,0,J22/TrRoad_act!J8*1000)</f>
        <v>123.09400111964055</v>
      </c>
      <c r="K86" s="87">
        <f>IF(TrRoad_act!K8=0,0,K22/TrRoad_act!K8*1000)</f>
        <v>115.05129060255267</v>
      </c>
      <c r="L86" s="87">
        <f>IF(TrRoad_act!L8=0,0,L22/TrRoad_act!L8*1000)</f>
        <v>125.53862282067757</v>
      </c>
      <c r="M86" s="87">
        <f>IF(TrRoad_act!M8=0,0,M22/TrRoad_act!M8*1000)</f>
        <v>124.17741000039977</v>
      </c>
      <c r="N86" s="87">
        <f>IF(TrRoad_act!N8=0,0,N22/TrRoad_act!N8*1000)</f>
        <v>123.62581536753991</v>
      </c>
      <c r="O86" s="87">
        <f>IF(TrRoad_act!O8=0,0,O22/TrRoad_act!O8*1000)</f>
        <v>115.35392378714322</v>
      </c>
      <c r="P86" s="87">
        <f>IF(TrRoad_act!P8=0,0,P22/TrRoad_act!P8*1000)</f>
        <v>111.458372204219</v>
      </c>
      <c r="Q86" s="87">
        <f>IF(TrRoad_act!Q8=0,0,Q22/TrRoad_act!Q8*1000)</f>
        <v>111.64893855605887</v>
      </c>
      <c r="R86" s="87">
        <f>IF(TrRoad_act!R8=0,0,R22/TrRoad_act!R8*1000)</f>
        <v>109.06036927354566</v>
      </c>
      <c r="S86" s="87">
        <f>IF(TrRoad_act!S8=0,0,S22/TrRoad_act!S8*1000)</f>
        <v>111.23607682436628</v>
      </c>
      <c r="T86" s="87">
        <f>IF(TrRoad_act!T8=0,0,T22/TrRoad_act!T8*1000)</f>
        <v>112.1144118441244</v>
      </c>
      <c r="U86" s="87">
        <f>IF(TrRoad_act!U8=0,0,U22/TrRoad_act!U8*1000)</f>
        <v>106.39051178746547</v>
      </c>
      <c r="V86" s="87">
        <f>IF(TrRoad_act!V8=0,0,V22/TrRoad_act!V8*1000)</f>
        <v>114.05313041097982</v>
      </c>
      <c r="W86" s="87">
        <f>IF(TrRoad_act!W8=0,0,W22/TrRoad_act!W8*1000)</f>
        <v>109.26284473217318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121.82903327348102</v>
      </c>
      <c r="C87" s="87">
        <f>IF(TrRoad_act!C9=0,0,C23/TrRoad_act!C9*1000)</f>
        <v>124.26356973097401</v>
      </c>
      <c r="D87" s="87">
        <f>IF(TrRoad_act!D9=0,0,D23/TrRoad_act!D9*1000)</f>
        <v>118.02228895678616</v>
      </c>
      <c r="E87" s="87">
        <f>IF(TrRoad_act!E9=0,0,E23/TrRoad_act!E9*1000)</f>
        <v>112.75434952280467</v>
      </c>
      <c r="F87" s="87">
        <f>IF(TrRoad_act!F9=0,0,F23/TrRoad_act!F9*1000)</f>
        <v>128.99626421449238</v>
      </c>
      <c r="G87" s="87">
        <f>IF(TrRoad_act!G9=0,0,G23/TrRoad_act!G9*1000)</f>
        <v>104.52266934553587</v>
      </c>
      <c r="H87" s="87">
        <f>IF(TrRoad_act!H9=0,0,H23/TrRoad_act!H9*1000)</f>
        <v>109.41693266058765</v>
      </c>
      <c r="I87" s="87">
        <f>IF(TrRoad_act!I9=0,0,I23/TrRoad_act!I9*1000)</f>
        <v>115.69822665330277</v>
      </c>
      <c r="J87" s="87">
        <f>IF(TrRoad_act!J9=0,0,J23/TrRoad_act!J9*1000)</f>
        <v>139.40959103851003</v>
      </c>
      <c r="K87" s="87">
        <f>IF(TrRoad_act!K9=0,0,K23/TrRoad_act!K9*1000)</f>
        <v>130.88327919139334</v>
      </c>
      <c r="L87" s="87">
        <f>IF(TrRoad_act!L9=0,0,L23/TrRoad_act!L9*1000)</f>
        <v>127.06331140813046</v>
      </c>
      <c r="M87" s="87">
        <f>IF(TrRoad_act!M9=0,0,M23/TrRoad_act!M9*1000)</f>
        <v>120.39293955357536</v>
      </c>
      <c r="N87" s="87">
        <f>IF(TrRoad_act!N9=0,0,N23/TrRoad_act!N9*1000)</f>
        <v>118.27926950807282</v>
      </c>
      <c r="O87" s="87">
        <f>IF(TrRoad_act!O9=0,0,O23/TrRoad_act!O9*1000)</f>
        <v>118.24639649301692</v>
      </c>
      <c r="P87" s="87">
        <f>IF(TrRoad_act!P9=0,0,P23/TrRoad_act!P9*1000)</f>
        <v>119.68468737490453</v>
      </c>
      <c r="Q87" s="87">
        <f>IF(TrRoad_act!Q9=0,0,Q23/TrRoad_act!Q9*1000)</f>
        <v>134.75428979290496</v>
      </c>
      <c r="R87" s="87">
        <f>IF(TrRoad_act!R9=0,0,R23/TrRoad_act!R9*1000)</f>
        <v>127.04139017165531</v>
      </c>
      <c r="S87" s="87">
        <f>IF(TrRoad_act!S9=0,0,S23/TrRoad_act!S9*1000)</f>
        <v>128.94477009931916</v>
      </c>
      <c r="T87" s="87">
        <f>IF(TrRoad_act!T9=0,0,T23/TrRoad_act!T9*1000)</f>
        <v>131.22191664311066</v>
      </c>
      <c r="U87" s="87">
        <f>IF(TrRoad_act!U9=0,0,U23/TrRoad_act!U9*1000)</f>
        <v>128.67037634940016</v>
      </c>
      <c r="V87" s="87">
        <f>IF(TrRoad_act!V9=0,0,V23/TrRoad_act!V9*1000)</f>
        <v>132.92761226888751</v>
      </c>
      <c r="W87" s="87">
        <f>IF(TrRoad_act!W9=0,0,W23/TrRoad_act!W9*1000)</f>
        <v>127.93602250363791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105.3398866036088</v>
      </c>
      <c r="M88" s="87">
        <f>IF(TrRoad_act!M10=0,0,M24/TrRoad_act!M10*1000)</f>
        <v>106.81168187120561</v>
      </c>
      <c r="N88" s="87">
        <f>IF(TrRoad_act!N10=0,0,N24/TrRoad_act!N10*1000)</f>
        <v>108.66778894932307</v>
      </c>
      <c r="O88" s="87">
        <f>IF(TrRoad_act!O10=0,0,O24/TrRoad_act!O10*1000)</f>
        <v>105.55932009876814</v>
      </c>
      <c r="P88" s="87">
        <f>IF(TrRoad_act!P10=0,0,P24/TrRoad_act!P10*1000)</f>
        <v>102.81816855703703</v>
      </c>
      <c r="Q88" s="87">
        <f>IF(TrRoad_act!Q10=0,0,Q24/TrRoad_act!Q10*1000)</f>
        <v>97.672947647351492</v>
      </c>
      <c r="R88" s="87">
        <f>IF(TrRoad_act!R10=0,0,R24/TrRoad_act!R10*1000)</f>
        <v>84.668288126603059</v>
      </c>
      <c r="S88" s="87">
        <f>IF(TrRoad_act!S10=0,0,S24/TrRoad_act!S10*1000)</f>
        <v>90.130199752803662</v>
      </c>
      <c r="T88" s="87">
        <f>IF(TrRoad_act!T10=0,0,T24/TrRoad_act!T10*1000)</f>
        <v>81.46204324483061</v>
      </c>
      <c r="U88" s="87">
        <f>IF(TrRoad_act!U10=0,0,U24/TrRoad_act!U10*1000)</f>
        <v>64.875299960232823</v>
      </c>
      <c r="V88" s="87">
        <f>IF(TrRoad_act!V10=0,0,V24/TrRoad_act!V10*1000)</f>
        <v>72.580792913756767</v>
      </c>
      <c r="W88" s="87">
        <f>IF(TrRoad_act!W10=0,0,W24/TrRoad_act!W10*1000)</f>
        <v>65.240607228901297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0</v>
      </c>
      <c r="P89" s="87">
        <f>IF(TrRoad_act!P11=0,0,P25/TrRoad_act!P11*1000)</f>
        <v>31.53134976983138</v>
      </c>
      <c r="Q89" s="87">
        <f>IF(TrRoad_act!Q11=0,0,Q25/TrRoad_act!Q11*1000)</f>
        <v>37.455866878332685</v>
      </c>
      <c r="R89" s="87">
        <f>IF(TrRoad_act!R11=0,0,R25/TrRoad_act!R11*1000)</f>
        <v>38.286316825856979</v>
      </c>
      <c r="S89" s="87">
        <f>IF(TrRoad_act!S11=0,0,S25/TrRoad_act!S11*1000)</f>
        <v>36.939215056323988</v>
      </c>
      <c r="T89" s="87">
        <f>IF(TrRoad_act!T11=0,0,T25/TrRoad_act!T11*1000)</f>
        <v>38.740107481767446</v>
      </c>
      <c r="U89" s="87">
        <f>IF(TrRoad_act!U11=0,0,U25/TrRoad_act!U11*1000)</f>
        <v>38.19244542080294</v>
      </c>
      <c r="V89" s="87">
        <f>IF(TrRoad_act!V11=0,0,V25/TrRoad_act!V11*1000)</f>
        <v>42.828881200674147</v>
      </c>
      <c r="W89" s="87">
        <f>IF(TrRoad_act!W11=0,0,W25/TrRoad_act!W11*1000)</f>
        <v>32.020998810186896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99.112437742931135</v>
      </c>
      <c r="C91" s="116">
        <f>IF(TrRoad_act!C13=0,0,C27/TrRoad_act!C13*1000)</f>
        <v>126.03621808379545</v>
      </c>
      <c r="D91" s="116">
        <f>IF(TrRoad_act!D13=0,0,D27/TrRoad_act!D13*1000)</f>
        <v>147.03139153963531</v>
      </c>
      <c r="E91" s="116">
        <f>IF(TrRoad_act!E13=0,0,E27/TrRoad_act!E13*1000)</f>
        <v>132.1617750782253</v>
      </c>
      <c r="F91" s="116">
        <f>IF(TrRoad_act!F13=0,0,F27/TrRoad_act!F13*1000)</f>
        <v>127.22682230907581</v>
      </c>
      <c r="G91" s="116">
        <f>IF(TrRoad_act!G13=0,0,G27/TrRoad_act!G13*1000)</f>
        <v>121.42135078780167</v>
      </c>
      <c r="H91" s="116">
        <f>IF(TrRoad_act!H13=0,0,H27/TrRoad_act!H13*1000)</f>
        <v>116.55633821096043</v>
      </c>
      <c r="I91" s="116">
        <f>IF(TrRoad_act!I13=0,0,I27/TrRoad_act!I13*1000)</f>
        <v>107.84434112326669</v>
      </c>
      <c r="J91" s="116">
        <f>IF(TrRoad_act!J13=0,0,J27/TrRoad_act!J13*1000)</f>
        <v>106.82674692114661</v>
      </c>
      <c r="K91" s="116">
        <f>IF(TrRoad_act!K13=0,0,K27/TrRoad_act!K13*1000)</f>
        <v>108.34423869430995</v>
      </c>
      <c r="L91" s="116">
        <f>IF(TrRoad_act!L13=0,0,L27/TrRoad_act!L13*1000)</f>
        <v>118.32584753470891</v>
      </c>
      <c r="M91" s="116">
        <f>IF(TrRoad_act!M13=0,0,M27/TrRoad_act!M13*1000)</f>
        <v>117.15288275209387</v>
      </c>
      <c r="N91" s="116">
        <f>IF(TrRoad_act!N13=0,0,N27/TrRoad_act!N13*1000)</f>
        <v>130.91271766362834</v>
      </c>
      <c r="O91" s="116">
        <f>IF(TrRoad_act!O13=0,0,O27/TrRoad_act!O13*1000)</f>
        <v>127.25811720990477</v>
      </c>
      <c r="P91" s="116">
        <f>IF(TrRoad_act!P13=0,0,P27/TrRoad_act!P13*1000)</f>
        <v>129.69987461805337</v>
      </c>
      <c r="Q91" s="116">
        <f>IF(TrRoad_act!Q13=0,0,Q27/TrRoad_act!Q13*1000)</f>
        <v>110.62145149935162</v>
      </c>
      <c r="R91" s="116">
        <f>IF(TrRoad_act!R13=0,0,R27/TrRoad_act!R13*1000)</f>
        <v>99.398042877620213</v>
      </c>
      <c r="S91" s="116">
        <f>IF(TrRoad_act!S13=0,0,S27/TrRoad_act!S13*1000)</f>
        <v>115.67265884495453</v>
      </c>
      <c r="T91" s="116">
        <f>IF(TrRoad_act!T13=0,0,T27/TrRoad_act!T13*1000)</f>
        <v>113.66425537304178</v>
      </c>
      <c r="U91" s="116">
        <f>IF(TrRoad_act!U13=0,0,U27/TrRoad_act!U13*1000)</f>
        <v>93.708166920045898</v>
      </c>
      <c r="V91" s="116">
        <f>IF(TrRoad_act!V13=0,0,V27/TrRoad_act!V13*1000)</f>
        <v>201.54541354336592</v>
      </c>
      <c r="W91" s="116">
        <f>IF(TrRoad_act!W13=0,0,W27/TrRoad_act!W13*1000)</f>
        <v>231.26025743530496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94.688361365152744</v>
      </c>
      <c r="C92" s="101">
        <f>IF(TrRoad_act!C14=0,0,C28/TrRoad_act!C14*1000)</f>
        <v>94.950591382732597</v>
      </c>
      <c r="D92" s="101">
        <f>IF(TrRoad_act!D14=0,0,D28/TrRoad_act!D14*1000)</f>
        <v>95.213847889791765</v>
      </c>
      <c r="E92" s="101">
        <f>IF(TrRoad_act!E14=0,0,E28/TrRoad_act!E14*1000)</f>
        <v>95.406731094556434</v>
      </c>
      <c r="F92" s="101">
        <f>IF(TrRoad_act!F14=0,0,F28/TrRoad_act!F14*1000)</f>
        <v>94.887412230243001</v>
      </c>
      <c r="G92" s="101">
        <f>IF(TrRoad_act!G14=0,0,G28/TrRoad_act!G14*1000)</f>
        <v>94.303630275085595</v>
      </c>
      <c r="H92" s="101">
        <f>IF(TrRoad_act!H14=0,0,H28/TrRoad_act!H14*1000)</f>
        <v>94.11048322596119</v>
      </c>
      <c r="I92" s="101">
        <f>IF(TrRoad_act!I14=0,0,I28/TrRoad_act!I14*1000)</f>
        <v>93.072811586867729</v>
      </c>
      <c r="J92" s="101">
        <f>IF(TrRoad_act!J14=0,0,J28/TrRoad_act!J14*1000)</f>
        <v>92.854184034119143</v>
      </c>
      <c r="K92" s="101">
        <f>IF(TrRoad_act!K14=0,0,K28/TrRoad_act!K14*1000)</f>
        <v>93.877305373334906</v>
      </c>
      <c r="L92" s="101">
        <f>IF(TrRoad_act!L14=0,0,L28/TrRoad_act!L14*1000)</f>
        <v>92.611531065395852</v>
      </c>
      <c r="M92" s="101">
        <f>IF(TrRoad_act!M14=0,0,M28/TrRoad_act!M14*1000)</f>
        <v>92.491134620827594</v>
      </c>
      <c r="N92" s="101">
        <f>IF(TrRoad_act!N14=0,0,N28/TrRoad_act!N14*1000)</f>
        <v>93.344785823180473</v>
      </c>
      <c r="O92" s="101">
        <f>IF(TrRoad_act!O14=0,0,O28/TrRoad_act!O14*1000)</f>
        <v>93.765608975944119</v>
      </c>
      <c r="P92" s="101">
        <f>IF(TrRoad_act!P14=0,0,P28/TrRoad_act!P14*1000)</f>
        <v>93.214813204891215</v>
      </c>
      <c r="Q92" s="101">
        <f>IF(TrRoad_act!Q14=0,0,Q28/TrRoad_act!Q14*1000)</f>
        <v>93.220182809304688</v>
      </c>
      <c r="R92" s="101">
        <f>IF(TrRoad_act!R14=0,0,R28/TrRoad_act!R14*1000)</f>
        <v>93.049710606455335</v>
      </c>
      <c r="S92" s="101">
        <f>IF(TrRoad_act!S14=0,0,S28/TrRoad_act!S14*1000)</f>
        <v>94.394776489096415</v>
      </c>
      <c r="T92" s="101">
        <f>IF(TrRoad_act!T14=0,0,T28/TrRoad_act!T14*1000)</f>
        <v>93.049400088232147</v>
      </c>
      <c r="U92" s="101">
        <f>IF(TrRoad_act!U14=0,0,U28/TrRoad_act!U14*1000)</f>
        <v>88.467762272095086</v>
      </c>
      <c r="V92" s="101">
        <f>IF(TrRoad_act!V14=0,0,V28/TrRoad_act!V14*1000)</f>
        <v>109.39837465037012</v>
      </c>
      <c r="W92" s="101">
        <f>IF(TrRoad_act!W14=0,0,W28/TrRoad_act!W14*1000)</f>
        <v>110.31501343131272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99.76009569634364</v>
      </c>
      <c r="C93" s="101">
        <f>IF(TrRoad_act!C15=0,0,C29/TrRoad_act!C15*1000)</f>
        <v>130.2300662153134</v>
      </c>
      <c r="D93" s="101">
        <f>IF(TrRoad_act!D15=0,0,D29/TrRoad_act!D15*1000)</f>
        <v>153.26696446257546</v>
      </c>
      <c r="E93" s="101">
        <f>IF(TrRoad_act!E15=0,0,E29/TrRoad_act!E15*1000)</f>
        <v>135.86348788777127</v>
      </c>
      <c r="F93" s="101">
        <f>IF(TrRoad_act!F15=0,0,F29/TrRoad_act!F15*1000)</f>
        <v>129.89355151765523</v>
      </c>
      <c r="G93" s="101">
        <f>IF(TrRoad_act!G15=0,0,G29/TrRoad_act!G15*1000)</f>
        <v>123.06517865621107</v>
      </c>
      <c r="H93" s="101">
        <f>IF(TrRoad_act!H15=0,0,H29/TrRoad_act!H15*1000)</f>
        <v>117.85732494862158</v>
      </c>
      <c r="I93" s="101">
        <f>IF(TrRoad_act!I15=0,0,I29/TrRoad_act!I15*1000)</f>
        <v>108.34973863359241</v>
      </c>
      <c r="J93" s="101">
        <f>IF(TrRoad_act!J15=0,0,J29/TrRoad_act!J15*1000)</f>
        <v>107.19081811625006</v>
      </c>
      <c r="K93" s="101">
        <f>IF(TrRoad_act!K15=0,0,K29/TrRoad_act!K15*1000)</f>
        <v>108.63899840147187</v>
      </c>
      <c r="L93" s="101">
        <f>IF(TrRoad_act!L15=0,0,L29/TrRoad_act!L15*1000)</f>
        <v>123.80652893335503</v>
      </c>
      <c r="M93" s="101">
        <f>IF(TrRoad_act!M15=0,0,M29/TrRoad_act!M15*1000)</f>
        <v>122.56995252935192</v>
      </c>
      <c r="N93" s="101">
        <f>IF(TrRoad_act!N15=0,0,N29/TrRoad_act!N15*1000)</f>
        <v>136.61126828605168</v>
      </c>
      <c r="O93" s="101">
        <f>IF(TrRoad_act!O15=0,0,O29/TrRoad_act!O15*1000)</f>
        <v>132.36369680430397</v>
      </c>
      <c r="P93" s="101">
        <f>IF(TrRoad_act!P15=0,0,P29/TrRoad_act!P15*1000)</f>
        <v>134.48509269105526</v>
      </c>
      <c r="Q93" s="101">
        <f>IF(TrRoad_act!Q15=0,0,Q29/TrRoad_act!Q15*1000)</f>
        <v>113.69017973507657</v>
      </c>
      <c r="R93" s="101">
        <f>IF(TrRoad_act!R15=0,0,R29/TrRoad_act!R15*1000)</f>
        <v>101.46877694793464</v>
      </c>
      <c r="S93" s="101">
        <f>IF(TrRoad_act!S15=0,0,S29/TrRoad_act!S15*1000)</f>
        <v>119.47253683584189</v>
      </c>
      <c r="T93" s="101">
        <f>IF(TrRoad_act!T15=0,0,T29/TrRoad_act!T15*1000)</f>
        <v>115.83228598279906</v>
      </c>
      <c r="U93" s="101">
        <f>IF(TrRoad_act!U15=0,0,U29/TrRoad_act!U15*1000)</f>
        <v>96.824420929459961</v>
      </c>
      <c r="V93" s="101">
        <f>IF(TrRoad_act!V15=0,0,V29/TrRoad_act!V15*1000)</f>
        <v>209.42008440316687</v>
      </c>
      <c r="W93" s="101">
        <f>IF(TrRoad_act!W15=0,0,W29/TrRoad_act!W15*1000)</f>
        <v>248.98169047820173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91.251372046643823</v>
      </c>
      <c r="U94" s="101">
        <f>IF(TrRoad_act!U16=0,0,U30/TrRoad_act!U16*1000)</f>
        <v>77.331142883302249</v>
      </c>
      <c r="V94" s="101">
        <f>IF(TrRoad_act!V16=0,0,V30/TrRoad_act!V16*1000)</f>
        <v>174.69922632567781</v>
      </c>
      <c r="W94" s="101">
        <f>IF(TrRoad_act!W16=0,0,W30/TrRoad_act!W16*1000)</f>
        <v>199.84346155251998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76.33554001543591</v>
      </c>
      <c r="M95" s="101">
        <f>IF(TrRoad_act!M17=0,0,M31/TrRoad_act!M17*1000)</f>
        <v>134.66292287119904</v>
      </c>
      <c r="N95" s="101">
        <f>IF(TrRoad_act!N17=0,0,N31/TrRoad_act!N17*1000)</f>
        <v>273.24640017453413</v>
      </c>
      <c r="O95" s="101">
        <f>IF(TrRoad_act!O17=0,0,O31/TrRoad_act!O17*1000)</f>
        <v>188.64366673179001</v>
      </c>
      <c r="P95" s="101">
        <f>IF(TrRoad_act!P17=0,0,P31/TrRoad_act!P17*1000)</f>
        <v>172.77307594857714</v>
      </c>
      <c r="Q95" s="101">
        <f>IF(TrRoad_act!Q17=0,0,Q31/TrRoad_act!Q17*1000)</f>
        <v>165.20356031366086</v>
      </c>
      <c r="R95" s="101">
        <f>IF(TrRoad_act!R17=0,0,R31/TrRoad_act!R17*1000)</f>
        <v>129.74081090528762</v>
      </c>
      <c r="S95" s="101">
        <f>IF(TrRoad_act!S17=0,0,S31/TrRoad_act!S17*1000)</f>
        <v>81.150880510919393</v>
      </c>
      <c r="T95" s="101">
        <f>IF(TrRoad_act!T17=0,0,T31/TrRoad_act!T17*1000)</f>
        <v>123.08177189084259</v>
      </c>
      <c r="U95" s="101">
        <f>IF(TrRoad_act!U17=0,0,U31/TrRoad_act!U17*1000)</f>
        <v>70.383984216525647</v>
      </c>
      <c r="V95" s="101">
        <f>IF(TrRoad_act!V17=0,0,V31/TrRoad_act!V17*1000)</f>
        <v>169.97661471057103</v>
      </c>
      <c r="W95" s="101">
        <f>IF(TrRoad_act!W17=0,0,W31/TrRoad_act!W17*1000)</f>
        <v>136.27059967003379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262.11535056678304</v>
      </c>
      <c r="C97" s="29">
        <f>IF(TrRoad_act!C19=0,0,C33/TrRoad_act!C19*1000)</f>
        <v>329.22824933310216</v>
      </c>
      <c r="D97" s="29">
        <f>IF(TrRoad_act!D19=0,0,D33/TrRoad_act!D19*1000)</f>
        <v>328.11273949478863</v>
      </c>
      <c r="E97" s="29">
        <f>IF(TrRoad_act!E19=0,0,E33/TrRoad_act!E19*1000)</f>
        <v>215.94821892809432</v>
      </c>
      <c r="F97" s="29">
        <f>IF(TrRoad_act!F19=0,0,F33/TrRoad_act!F19*1000)</f>
        <v>225.70432367989528</v>
      </c>
      <c r="G97" s="29">
        <f>IF(TrRoad_act!G19=0,0,G33/TrRoad_act!G19*1000)</f>
        <v>194.07248656379457</v>
      </c>
      <c r="H97" s="29">
        <f>IF(TrRoad_act!H19=0,0,H33/TrRoad_act!H19*1000)</f>
        <v>183.59751271325598</v>
      </c>
      <c r="I97" s="29">
        <f>IF(TrRoad_act!I19=0,0,I33/TrRoad_act!I19*1000)</f>
        <v>191.92044857426023</v>
      </c>
      <c r="J97" s="29">
        <f>IF(TrRoad_act!J19=0,0,J33/TrRoad_act!J19*1000)</f>
        <v>199.51598350357651</v>
      </c>
      <c r="K97" s="29">
        <f>IF(TrRoad_act!K19=0,0,K33/TrRoad_act!K19*1000)</f>
        <v>201.81699870445095</v>
      </c>
      <c r="L97" s="29">
        <f>IF(TrRoad_act!L19=0,0,L33/TrRoad_act!L19*1000)</f>
        <v>216.421967204189</v>
      </c>
      <c r="M97" s="29">
        <f>IF(TrRoad_act!M19=0,0,M33/TrRoad_act!M19*1000)</f>
        <v>211.17854867420658</v>
      </c>
      <c r="N97" s="29">
        <f>IF(TrRoad_act!N19=0,0,N33/TrRoad_act!N19*1000)</f>
        <v>206.9751602398178</v>
      </c>
      <c r="O97" s="29">
        <f>IF(TrRoad_act!O19=0,0,O33/TrRoad_act!O19*1000)</f>
        <v>187.5473857485994</v>
      </c>
      <c r="P97" s="29">
        <f>IF(TrRoad_act!P19=0,0,P33/TrRoad_act!P19*1000)</f>
        <v>184.15822653459932</v>
      </c>
      <c r="Q97" s="29">
        <f>IF(TrRoad_act!Q19=0,0,Q33/TrRoad_act!Q19*1000)</f>
        <v>167.99575032412352</v>
      </c>
      <c r="R97" s="29">
        <f>IF(TrRoad_act!R19=0,0,R33/TrRoad_act!R19*1000)</f>
        <v>150.89196773234315</v>
      </c>
      <c r="S97" s="29">
        <f>IF(TrRoad_act!S19=0,0,S33/TrRoad_act!S19*1000)</f>
        <v>152.78114625137917</v>
      </c>
      <c r="T97" s="29">
        <f>IF(TrRoad_act!T19=0,0,T33/TrRoad_act!T19*1000)</f>
        <v>152.02662837965792</v>
      </c>
      <c r="U97" s="29">
        <f>IF(TrRoad_act!U19=0,0,U33/TrRoad_act!U19*1000)</f>
        <v>152.8280474162934</v>
      </c>
      <c r="V97" s="29">
        <f>IF(TrRoad_act!V19=0,0,V33/TrRoad_act!V19*1000)</f>
        <v>151.99951587836969</v>
      </c>
      <c r="W97" s="29">
        <f>IF(TrRoad_act!W19=0,0,W33/TrRoad_act!W19*1000)</f>
        <v>156.89124655830562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1025.0060642734459</v>
      </c>
      <c r="C98" s="152">
        <f>IF(TrRoad_act!C20=0,0,C34/TrRoad_act!C20*1000)</f>
        <v>1233.5550957798109</v>
      </c>
      <c r="D98" s="152">
        <f>IF(TrRoad_act!D20=0,0,D34/TrRoad_act!D20*1000)</f>
        <v>1348.2750208238069</v>
      </c>
      <c r="E98" s="152">
        <f>IF(TrRoad_act!E20=0,0,E34/TrRoad_act!E20*1000)</f>
        <v>1172.249084675972</v>
      </c>
      <c r="F98" s="152">
        <f>IF(TrRoad_act!F20=0,0,F34/TrRoad_act!F20*1000)</f>
        <v>1186.4127857095154</v>
      </c>
      <c r="G98" s="152">
        <f>IF(TrRoad_act!G20=0,0,G34/TrRoad_act!G20*1000)</f>
        <v>1174.0991089778797</v>
      </c>
      <c r="H98" s="152">
        <f>IF(TrRoad_act!H20=0,0,H34/TrRoad_act!H20*1000)</f>
        <v>1145.3965677972803</v>
      </c>
      <c r="I98" s="152">
        <f>IF(TrRoad_act!I20=0,0,I34/TrRoad_act!I20*1000)</f>
        <v>1134.8491904999391</v>
      </c>
      <c r="J98" s="152">
        <f>IF(TrRoad_act!J20=0,0,J34/TrRoad_act!J20*1000)</f>
        <v>1078.3935412265594</v>
      </c>
      <c r="K98" s="152">
        <f>IF(TrRoad_act!K20=0,0,K34/TrRoad_act!K20*1000)</f>
        <v>993.12609143559052</v>
      </c>
      <c r="L98" s="152">
        <f>IF(TrRoad_act!L20=0,0,L34/TrRoad_act!L20*1000)</f>
        <v>1065.167870368439</v>
      </c>
      <c r="M98" s="152">
        <f>IF(TrRoad_act!M20=0,0,M34/TrRoad_act!M20*1000)</f>
        <v>1071.1679019770702</v>
      </c>
      <c r="N98" s="152">
        <f>IF(TrRoad_act!N20=0,0,N34/TrRoad_act!N20*1000)</f>
        <v>1049.0391737018369</v>
      </c>
      <c r="O98" s="152">
        <f>IF(TrRoad_act!O20=0,0,O34/TrRoad_act!O20*1000)</f>
        <v>973.22031845678146</v>
      </c>
      <c r="P98" s="152">
        <f>IF(TrRoad_act!P20=0,0,P34/TrRoad_act!P20*1000)</f>
        <v>947.62690417678778</v>
      </c>
      <c r="Q98" s="152">
        <f>IF(TrRoad_act!Q20=0,0,Q34/TrRoad_act!Q20*1000)</f>
        <v>891.39692629471608</v>
      </c>
      <c r="R98" s="152">
        <f>IF(TrRoad_act!R20=0,0,R34/TrRoad_act!R20*1000)</f>
        <v>836.48134397322303</v>
      </c>
      <c r="S98" s="152">
        <f>IF(TrRoad_act!S20=0,0,S34/TrRoad_act!S20*1000)</f>
        <v>822.51048733480616</v>
      </c>
      <c r="T98" s="152">
        <f>IF(TrRoad_act!T20=0,0,T34/TrRoad_act!T20*1000)</f>
        <v>795.59678681858281</v>
      </c>
      <c r="U98" s="152">
        <f>IF(TrRoad_act!U20=0,0,U34/TrRoad_act!U20*1000)</f>
        <v>776.91548249584253</v>
      </c>
      <c r="V98" s="152">
        <f>IF(TrRoad_act!V20=0,0,V34/TrRoad_act!V20*1000)</f>
        <v>735.00904057536047</v>
      </c>
      <c r="W98" s="152">
        <f>IF(TrRoad_act!W20=0,0,W34/TrRoad_act!W20*1000)</f>
        <v>757.06681695535019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1295.6304747602505</v>
      </c>
      <c r="C99" s="87">
        <f>IF(TrRoad_act!C21=0,0,C35/TrRoad_act!C21*1000)</f>
        <v>1318.5283266017848</v>
      </c>
      <c r="D99" s="87">
        <f>IF(TrRoad_act!D21=0,0,D35/TrRoad_act!D21*1000)</f>
        <v>1310.8376323027587</v>
      </c>
      <c r="E99" s="87">
        <f>IF(TrRoad_act!E21=0,0,E35/TrRoad_act!E21*1000)</f>
        <v>1292.2760932480583</v>
      </c>
      <c r="F99" s="87">
        <f>IF(TrRoad_act!F21=0,0,F35/TrRoad_act!F21*1000)</f>
        <v>1300.2582597171968</v>
      </c>
      <c r="G99" s="87">
        <f>IF(TrRoad_act!G21=0,0,G35/TrRoad_act!G21*1000)</f>
        <v>1266.8005018059016</v>
      </c>
      <c r="H99" s="87">
        <f>IF(TrRoad_act!H21=0,0,H35/TrRoad_act!H21*1000)</f>
        <v>1263.19125719408</v>
      </c>
      <c r="I99" s="87">
        <f>IF(TrRoad_act!I21=0,0,I35/TrRoad_act!I21*1000)</f>
        <v>1222.2480093663787</v>
      </c>
      <c r="J99" s="87">
        <f>IF(TrRoad_act!J21=0,0,J35/TrRoad_act!J21*1000)</f>
        <v>1169.4348435378133</v>
      </c>
      <c r="K99" s="87">
        <f>IF(TrRoad_act!K21=0,0,K35/TrRoad_act!K21*1000)</f>
        <v>1129.2299325594583</v>
      </c>
      <c r="L99" s="87">
        <f>IF(TrRoad_act!L21=0,0,L35/TrRoad_act!L21*1000)</f>
        <v>1082.1841800551113</v>
      </c>
      <c r="M99" s="87">
        <f>IF(TrRoad_act!M21=0,0,M35/TrRoad_act!M21*1000)</f>
        <v>1081.3796249052282</v>
      </c>
      <c r="N99" s="87">
        <f>IF(TrRoad_act!N21=0,0,N35/TrRoad_act!N21*1000)</f>
        <v>1056.5234482290402</v>
      </c>
      <c r="O99" s="87">
        <f>IF(TrRoad_act!O21=0,0,O35/TrRoad_act!O21*1000)</f>
        <v>1032.3043749793565</v>
      </c>
      <c r="P99" s="87">
        <f>IF(TrRoad_act!P21=0,0,P35/TrRoad_act!P21*1000)</f>
        <v>1010.9960692829081</v>
      </c>
      <c r="Q99" s="87">
        <f>IF(TrRoad_act!Q21=0,0,Q35/TrRoad_act!Q21*1000)</f>
        <v>992.79174018871913</v>
      </c>
      <c r="R99" s="87">
        <f>IF(TrRoad_act!R21=0,0,R35/TrRoad_act!R21*1000)</f>
        <v>962.97132749148454</v>
      </c>
      <c r="S99" s="87">
        <f>IF(TrRoad_act!S21=0,0,S35/TrRoad_act!S21*1000)</f>
        <v>948.91163040277524</v>
      </c>
      <c r="T99" s="87">
        <f>IF(TrRoad_act!T21=0,0,T35/TrRoad_act!T21*1000)</f>
        <v>941.40455377574608</v>
      </c>
      <c r="U99" s="87">
        <f>IF(TrRoad_act!U21=0,0,U35/TrRoad_act!U21*1000)</f>
        <v>912.9129570318953</v>
      </c>
      <c r="V99" s="87">
        <f>IF(TrRoad_act!V21=0,0,V35/TrRoad_act!V21*1000)</f>
        <v>875.71959638507553</v>
      </c>
      <c r="W99" s="87">
        <f>IF(TrRoad_act!W21=0,0,W35/TrRoad_act!W21*1000)</f>
        <v>853.9326940754994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958.16170192619518</v>
      </c>
      <c r="C100" s="87">
        <f>IF(TrRoad_act!C22=0,0,C36/TrRoad_act!C22*1000)</f>
        <v>1210.6448160481116</v>
      </c>
      <c r="D100" s="87">
        <f>IF(TrRoad_act!D22=0,0,D36/TrRoad_act!D22*1000)</f>
        <v>1358.2390761579338</v>
      </c>
      <c r="E100" s="87">
        <f>IF(TrRoad_act!E22=0,0,E36/TrRoad_act!E22*1000)</f>
        <v>1141.1381622214342</v>
      </c>
      <c r="F100" s="87">
        <f>IF(TrRoad_act!F22=0,0,F36/TrRoad_act!F22*1000)</f>
        <v>1154.6690686308289</v>
      </c>
      <c r="G100" s="87">
        <f>IF(TrRoad_act!G22=0,0,G36/TrRoad_act!G22*1000)</f>
        <v>1149.3754165438945</v>
      </c>
      <c r="H100" s="87">
        <f>IF(TrRoad_act!H22=0,0,H36/TrRoad_act!H22*1000)</f>
        <v>1113.2249167620962</v>
      </c>
      <c r="I100" s="87">
        <f>IF(TrRoad_act!I22=0,0,I36/TrRoad_act!I22*1000)</f>
        <v>1113.9241241359771</v>
      </c>
      <c r="J100" s="87">
        <f>IF(TrRoad_act!J22=0,0,J36/TrRoad_act!J22*1000)</f>
        <v>1056.8047375722012</v>
      </c>
      <c r="K100" s="87">
        <f>IF(TrRoad_act!K22=0,0,K36/TrRoad_act!K22*1000)</f>
        <v>962.86845078589204</v>
      </c>
      <c r="L100" s="87">
        <f>IF(TrRoad_act!L22=0,0,L36/TrRoad_act!L22*1000)</f>
        <v>1061.755445065422</v>
      </c>
      <c r="M100" s="87">
        <f>IF(TrRoad_act!M22=0,0,M36/TrRoad_act!M22*1000)</f>
        <v>1069.1249122859267</v>
      </c>
      <c r="N100" s="87">
        <f>IF(TrRoad_act!N22=0,0,N36/TrRoad_act!N22*1000)</f>
        <v>1047.7015327307186</v>
      </c>
      <c r="O100" s="87">
        <f>IF(TrRoad_act!O22=0,0,O36/TrRoad_act!O22*1000)</f>
        <v>964.43562390423642</v>
      </c>
      <c r="P100" s="87">
        <f>IF(TrRoad_act!P22=0,0,P36/TrRoad_act!P22*1000)</f>
        <v>938.99710783141018</v>
      </c>
      <c r="Q100" s="87">
        <f>IF(TrRoad_act!Q22=0,0,Q36/TrRoad_act!Q22*1000)</f>
        <v>878.41337068066093</v>
      </c>
      <c r="R100" s="87">
        <f>IF(TrRoad_act!R22=0,0,R36/TrRoad_act!R22*1000)</f>
        <v>822.39800150238568</v>
      </c>
      <c r="S100" s="87">
        <f>IF(TrRoad_act!S22=0,0,S36/TrRoad_act!S22*1000)</f>
        <v>809.68729116805559</v>
      </c>
      <c r="T100" s="87">
        <f>IF(TrRoad_act!T22=0,0,T36/TrRoad_act!T22*1000)</f>
        <v>780.84661592478528</v>
      </c>
      <c r="U100" s="87">
        <f>IF(TrRoad_act!U22=0,0,U36/TrRoad_act!U22*1000)</f>
        <v>764.93902751031032</v>
      </c>
      <c r="V100" s="87">
        <f>IF(TrRoad_act!V22=0,0,V36/TrRoad_act!V22*1000)</f>
        <v>723.95494569343157</v>
      </c>
      <c r="W100" s="87">
        <f>IF(TrRoad_act!W22=0,0,W36/TrRoad_act!W22*1000)</f>
        <v>750.68710877725096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781.91134785655049</v>
      </c>
      <c r="O102" s="87">
        <f>IF(TrRoad_act!O24=0,0,O38/TrRoad_act!O24*1000)</f>
        <v>787.79280370818299</v>
      </c>
      <c r="P102" s="87">
        <f>IF(TrRoad_act!P24=0,0,P38/TrRoad_act!P24*1000)</f>
        <v>826.74489964504573</v>
      </c>
      <c r="Q102" s="87">
        <f>IF(TrRoad_act!Q24=0,0,Q38/TrRoad_act!Q24*1000)</f>
        <v>801.84032983120551</v>
      </c>
      <c r="R102" s="87">
        <f>IF(TrRoad_act!R24=0,0,R38/TrRoad_act!R24*1000)</f>
        <v>804.41772406530356</v>
      </c>
      <c r="S102" s="87">
        <f>IF(TrRoad_act!S24=0,0,S38/TrRoad_act!S24*1000)</f>
        <v>712.1144311539208</v>
      </c>
      <c r="T102" s="87">
        <f>IF(TrRoad_act!T24=0,0,T38/TrRoad_act!T24*1000)</f>
        <v>611.08998264632589</v>
      </c>
      <c r="U102" s="87">
        <f>IF(TrRoad_act!U24=0,0,U38/TrRoad_act!U24*1000)</f>
        <v>573.78245344328718</v>
      </c>
      <c r="V102" s="87">
        <f>IF(TrRoad_act!V24=0,0,V38/TrRoad_act!V24*1000)</f>
        <v>602.99143503669598</v>
      </c>
      <c r="W102" s="87">
        <f>IF(TrRoad_act!W24=0,0,W38/TrRoad_act!W24*1000)</f>
        <v>582.03542490639802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117.59803781581924</v>
      </c>
      <c r="C104" s="116">
        <f>IF(TrRoad_act!C26=0,0,C40/TrRoad_act!C26*1000)</f>
        <v>138.03948727840344</v>
      </c>
      <c r="D104" s="116">
        <f>IF(TrRoad_act!D26=0,0,D40/TrRoad_act!D26*1000)</f>
        <v>152.96513617269696</v>
      </c>
      <c r="E104" s="116">
        <f>IF(TrRoad_act!E26=0,0,E40/TrRoad_act!E26*1000)</f>
        <v>116.77776803356164</v>
      </c>
      <c r="F104" s="116">
        <f>IF(TrRoad_act!F26=0,0,F40/TrRoad_act!F26*1000)</f>
        <v>131.04999977008714</v>
      </c>
      <c r="G104" s="116">
        <f>IF(TrRoad_act!G26=0,0,G40/TrRoad_act!G26*1000)</f>
        <v>117.14011696632056</v>
      </c>
      <c r="H104" s="116">
        <f>IF(TrRoad_act!H26=0,0,H40/TrRoad_act!H26*1000)</f>
        <v>115.53469546709381</v>
      </c>
      <c r="I104" s="116">
        <f>IF(TrRoad_act!I26=0,0,I40/TrRoad_act!I26*1000)</f>
        <v>129.05858779300047</v>
      </c>
      <c r="J104" s="116">
        <f>IF(TrRoad_act!J26=0,0,J40/TrRoad_act!J26*1000)</f>
        <v>136.54789609636569</v>
      </c>
      <c r="K104" s="116">
        <f>IF(TrRoad_act!K26=0,0,K40/TrRoad_act!K26*1000)</f>
        <v>127.92770512037738</v>
      </c>
      <c r="L104" s="116">
        <f>IF(TrRoad_act!L26=0,0,L40/TrRoad_act!L26*1000)</f>
        <v>140.89620460517486</v>
      </c>
      <c r="M104" s="116">
        <f>IF(TrRoad_act!M26=0,0,M40/TrRoad_act!M26*1000)</f>
        <v>141.214353350588</v>
      </c>
      <c r="N104" s="116">
        <f>IF(TrRoad_act!N26=0,0,N40/TrRoad_act!N26*1000)</f>
        <v>136.50403003504206</v>
      </c>
      <c r="O104" s="116">
        <f>IF(TrRoad_act!O26=0,0,O40/TrRoad_act!O26*1000)</f>
        <v>120.10419002963344</v>
      </c>
      <c r="P104" s="116">
        <f>IF(TrRoad_act!P26=0,0,P40/TrRoad_act!P26*1000)</f>
        <v>113.68692401034122</v>
      </c>
      <c r="Q104" s="116">
        <f>IF(TrRoad_act!Q26=0,0,Q40/TrRoad_act!Q26*1000)</f>
        <v>102.18342445958234</v>
      </c>
      <c r="R104" s="116">
        <f>IF(TrRoad_act!R26=0,0,R40/TrRoad_act!R26*1000)</f>
        <v>87.919573762479246</v>
      </c>
      <c r="S104" s="116">
        <f>IF(TrRoad_act!S26=0,0,S40/TrRoad_act!S26*1000)</f>
        <v>80.227130067789574</v>
      </c>
      <c r="T104" s="116">
        <f>IF(TrRoad_act!T26=0,0,T40/TrRoad_act!T26*1000)</f>
        <v>77.063882331203743</v>
      </c>
      <c r="U104" s="116">
        <f>IF(TrRoad_act!U26=0,0,U40/TrRoad_act!U26*1000)</f>
        <v>71.410790444169464</v>
      </c>
      <c r="V104" s="116">
        <f>IF(TrRoad_act!V26=0,0,V40/TrRoad_act!V26*1000)</f>
        <v>66.795168678007769</v>
      </c>
      <c r="W104" s="116">
        <f>IF(TrRoad_act!W26=0,0,W40/TrRoad_act!W26*1000)</f>
        <v>75.942517799413935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146.1499830274754</v>
      </c>
      <c r="C105" s="101">
        <f>IF(TrRoad_act!C27=0,0,C41/TrRoad_act!C27*1000)</f>
        <v>183.12486668453667</v>
      </c>
      <c r="D105" s="101">
        <f>IF(TrRoad_act!D27=0,0,D41/TrRoad_act!D27*1000)</f>
        <v>194.36674945374912</v>
      </c>
      <c r="E105" s="101">
        <f>IF(TrRoad_act!E27=0,0,E41/TrRoad_act!E27*1000)</f>
        <v>128.6757285563304</v>
      </c>
      <c r="F105" s="101">
        <f>IF(TrRoad_act!F27=0,0,F41/TrRoad_act!F27*1000)</f>
        <v>151.49577593701048</v>
      </c>
      <c r="G105" s="101">
        <f>IF(TrRoad_act!G27=0,0,G41/TrRoad_act!G27*1000)</f>
        <v>127.01357241340031</v>
      </c>
      <c r="H105" s="101">
        <f>IF(TrRoad_act!H27=0,0,H41/TrRoad_act!H27*1000)</f>
        <v>125.40402108201879</v>
      </c>
      <c r="I105" s="101">
        <f>IF(TrRoad_act!I27=0,0,I41/TrRoad_act!I27*1000)</f>
        <v>144.76020059244496</v>
      </c>
      <c r="J105" s="101">
        <f>IF(TrRoad_act!J27=0,0,J41/TrRoad_act!J27*1000)</f>
        <v>155.51521525122689</v>
      </c>
      <c r="K105" s="101">
        <f>IF(TrRoad_act!K27=0,0,K41/TrRoad_act!K27*1000)</f>
        <v>146.59968526561408</v>
      </c>
      <c r="L105" s="101">
        <f>IF(TrRoad_act!L27=0,0,L41/TrRoad_act!L27*1000)</f>
        <v>157.10829523096717</v>
      </c>
      <c r="M105" s="101">
        <f>IF(TrRoad_act!M27=0,0,M41/TrRoad_act!M27*1000)</f>
        <v>157.12721477426976</v>
      </c>
      <c r="N105" s="101">
        <f>IF(TrRoad_act!N27=0,0,N41/TrRoad_act!N27*1000)</f>
        <v>149.12322339912419</v>
      </c>
      <c r="O105" s="101">
        <f>IF(TrRoad_act!O27=0,0,O41/TrRoad_act!O27*1000)</f>
        <v>134.18315698752073</v>
      </c>
      <c r="P105" s="101">
        <f>IF(TrRoad_act!P27=0,0,P41/TrRoad_act!P27*1000)</f>
        <v>125.51960231327917</v>
      </c>
      <c r="Q105" s="101">
        <f>IF(TrRoad_act!Q27=0,0,Q41/TrRoad_act!Q27*1000)</f>
        <v>113.91669427320414</v>
      </c>
      <c r="R105" s="101">
        <f>IF(TrRoad_act!R27=0,0,R41/TrRoad_act!R27*1000)</f>
        <v>96.274817652014036</v>
      </c>
      <c r="S105" s="101">
        <f>IF(TrRoad_act!S27=0,0,S41/TrRoad_act!S27*1000)</f>
        <v>85.262590409451434</v>
      </c>
      <c r="T105" s="101">
        <f>IF(TrRoad_act!T27=0,0,T41/TrRoad_act!T27*1000)</f>
        <v>82.504858787818051</v>
      </c>
      <c r="U105" s="101">
        <f>IF(TrRoad_act!U27=0,0,U41/TrRoad_act!U27*1000)</f>
        <v>73.80810149658474</v>
      </c>
      <c r="V105" s="101">
        <f>IF(TrRoad_act!V27=0,0,V41/TrRoad_act!V27*1000)</f>
        <v>72.104177604105232</v>
      </c>
      <c r="W105" s="101">
        <f>IF(TrRoad_act!W27=0,0,W41/TrRoad_act!W27*1000)</f>
        <v>80.607452000083725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83.236228224521426</v>
      </c>
      <c r="C106" s="88">
        <f>IF(TrRoad_act!C28=0,0,C42/TrRoad_act!C28*1000)</f>
        <v>99.21564666748678</v>
      </c>
      <c r="D106" s="88">
        <f>IF(TrRoad_act!D28=0,0,D42/TrRoad_act!D28*1000)</f>
        <v>106.15324143427755</v>
      </c>
      <c r="E106" s="88">
        <f>IF(TrRoad_act!E28=0,0,E42/TrRoad_act!E28*1000)</f>
        <v>89.538545013209301</v>
      </c>
      <c r="F106" s="88">
        <f>IF(TrRoad_act!F28=0,0,F42/TrRoad_act!F28*1000)</f>
        <v>93.035052826809888</v>
      </c>
      <c r="G106" s="88">
        <f>IF(TrRoad_act!G28=0,0,G42/TrRoad_act!G28*1000)</f>
        <v>94.987702261403854</v>
      </c>
      <c r="H106" s="88">
        <f>IF(TrRoad_act!H28=0,0,H42/TrRoad_act!H28*1000)</f>
        <v>93.590710654395949</v>
      </c>
      <c r="I106" s="88">
        <f>IF(TrRoad_act!I28=0,0,I42/TrRoad_act!I28*1000)</f>
        <v>98.366195001082644</v>
      </c>
      <c r="J106" s="88">
        <f>IF(TrRoad_act!J28=0,0,J42/TrRoad_act!J28*1000)</f>
        <v>99.564607551716378</v>
      </c>
      <c r="K106" s="88">
        <f>IF(TrRoad_act!K28=0,0,K42/TrRoad_act!K28*1000)</f>
        <v>94.924042490924265</v>
      </c>
      <c r="L106" s="88">
        <f>IF(TrRoad_act!L28=0,0,L42/TrRoad_act!L28*1000)</f>
        <v>112.14850140338066</v>
      </c>
      <c r="M106" s="88">
        <f>IF(TrRoad_act!M28=0,0,M42/TrRoad_act!M28*1000)</f>
        <v>114.22541097934787</v>
      </c>
      <c r="N106" s="88">
        <f>IF(TrRoad_act!N28=0,0,N42/TrRoad_act!N28*1000)</f>
        <v>114.89152277648635</v>
      </c>
      <c r="O106" s="88">
        <f>IF(TrRoad_act!O28=0,0,O42/TrRoad_act!O28*1000)</f>
        <v>99.641452631264471</v>
      </c>
      <c r="P106" s="88">
        <f>IF(TrRoad_act!P28=0,0,P42/TrRoad_act!P28*1000)</f>
        <v>97.127171552480391</v>
      </c>
      <c r="Q106" s="88">
        <f>IF(TrRoad_act!Q28=0,0,Q42/TrRoad_act!Q28*1000)</f>
        <v>88.555321706106582</v>
      </c>
      <c r="R106" s="88">
        <f>IF(TrRoad_act!R28=0,0,R42/TrRoad_act!R28*1000)</f>
        <v>76.601803106898757</v>
      </c>
      <c r="S106" s="88">
        <f>IF(TrRoad_act!S28=0,0,S42/TrRoad_act!S28*1000)</f>
        <v>73.818614182532173</v>
      </c>
      <c r="T106" s="88">
        <f>IF(TrRoad_act!T28=0,0,T42/TrRoad_act!T28*1000)</f>
        <v>70.156136618965988</v>
      </c>
      <c r="U106" s="88">
        <f>IF(TrRoad_act!U28=0,0,U42/TrRoad_act!U28*1000)</f>
        <v>68.177823646353914</v>
      </c>
      <c r="V106" s="88">
        <f>IF(TrRoad_act!V28=0,0,V42/TrRoad_act!V28*1000)</f>
        <v>62.222524318791216</v>
      </c>
      <c r="W106" s="88">
        <f>IF(TrRoad_act!W28=0,0,W42/TrRoad_act!W28*1000)</f>
        <v>69.817877711007213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187.41203514812003</v>
      </c>
      <c r="C110" s="152">
        <f>IF(C19=0,0,1000000*C19/TrRoad_act!C59)</f>
        <v>186.61800041787902</v>
      </c>
      <c r="D110" s="152">
        <f>IF(D19=0,0,1000000*D19/TrRoad_act!D59)</f>
        <v>184.03979292625763</v>
      </c>
      <c r="E110" s="152">
        <f>IF(E19=0,0,1000000*E19/TrRoad_act!E59)</f>
        <v>180.75878677843565</v>
      </c>
      <c r="F110" s="152">
        <f>IF(F19=0,0,1000000*F19/TrRoad_act!F59)</f>
        <v>178.22178364840767</v>
      </c>
      <c r="G110" s="152">
        <f>IF(G19=0,0,1000000*G19/TrRoad_act!G59)</f>
        <v>175.36884511543457</v>
      </c>
      <c r="H110" s="152">
        <f>IF(H19=0,0,1000000*H19/TrRoad_act!H59)</f>
        <v>172.06304586443147</v>
      </c>
      <c r="I110" s="152">
        <f>IF(I19=0,0,1000000*I19/TrRoad_act!I59)</f>
        <v>169.74629822237029</v>
      </c>
      <c r="J110" s="152">
        <f>IF(J19=0,0,1000000*J19/TrRoad_act!J59)</f>
        <v>165.82825310952836</v>
      </c>
      <c r="K110" s="152">
        <f>IF(K19=0,0,1000000*K19/TrRoad_act!K59)</f>
        <v>163.69977763801253</v>
      </c>
      <c r="L110" s="152">
        <f>IF(L19=0,0,1000000*L19/TrRoad_act!L59)</f>
        <v>158.94374081054588</v>
      </c>
      <c r="M110" s="152">
        <f>IF(M19=0,0,1000000*M19/TrRoad_act!M59)</f>
        <v>154.70999720425866</v>
      </c>
      <c r="N110" s="152">
        <f>IF(N19=0,0,1000000*N19/TrRoad_act!N59)</f>
        <v>146.92001924669421</v>
      </c>
      <c r="O110" s="152">
        <f>IF(O19=0,0,1000000*O19/TrRoad_act!O59)</f>
        <v>144.71484083915777</v>
      </c>
      <c r="P110" s="152">
        <f>IF(P19=0,0,1000000*P19/TrRoad_act!P59)</f>
        <v>140.94634291770083</v>
      </c>
      <c r="Q110" s="152">
        <f>IF(Q19=0,0,1000000*Q19/TrRoad_act!Q59)</f>
        <v>140.31706817635146</v>
      </c>
      <c r="R110" s="152">
        <f>IF(R19=0,0,1000000*R19/TrRoad_act!R59)</f>
        <v>140.61587940125915</v>
      </c>
      <c r="S110" s="152">
        <f>IF(S19=0,0,1000000*S19/TrRoad_act!S59)</f>
        <v>125.6998354387339</v>
      </c>
      <c r="T110" s="152">
        <f>IF(T19=0,0,1000000*T19/TrRoad_act!T59)</f>
        <v>112.41897050563324</v>
      </c>
      <c r="U110" s="152">
        <f>IF(U19=0,0,1000000*U19/TrRoad_act!U59)</f>
        <v>111.6564831092886</v>
      </c>
      <c r="V110" s="152">
        <f>IF(V19=0,0,1000000*V19/TrRoad_act!V59)</f>
        <v>95.264404803244787</v>
      </c>
      <c r="W110" s="152">
        <f>IF(W19=0,0,1000000*W19/TrRoad_act!W59)</f>
        <v>88.970021339761033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1970.6935669314078</v>
      </c>
      <c r="C111" s="116">
        <f>IF(C20=0,0,1000000*C20/TrRoad_act!C60)</f>
        <v>2513.4863495344612</v>
      </c>
      <c r="D111" s="116">
        <f>IF(D20=0,0,1000000*D20/TrRoad_act!D60)</f>
        <v>2445.7312533564541</v>
      </c>
      <c r="E111" s="116">
        <f>IF(E20=0,0,1000000*E20/TrRoad_act!E60)</f>
        <v>2255.6293734435412</v>
      </c>
      <c r="F111" s="116">
        <f>IF(F20=0,0,1000000*F20/TrRoad_act!F60)</f>
        <v>2128.5961970434987</v>
      </c>
      <c r="G111" s="116">
        <f>IF(G20=0,0,1000000*G20/TrRoad_act!G60)</f>
        <v>2192.4342258472384</v>
      </c>
      <c r="H111" s="116">
        <f>IF(H20=0,0,1000000*H20/TrRoad_act!H60)</f>
        <v>2425.5345007168739</v>
      </c>
      <c r="I111" s="116">
        <f>IF(I20=0,0,1000000*I20/TrRoad_act!I60)</f>
        <v>2603.2753089678522</v>
      </c>
      <c r="J111" s="116">
        <f>IF(J20=0,0,1000000*J20/TrRoad_act!J60)</f>
        <v>2428.7119711648338</v>
      </c>
      <c r="K111" s="116">
        <f>IF(K20=0,0,1000000*K20/TrRoad_act!K60)</f>
        <v>2368.4504217135927</v>
      </c>
      <c r="L111" s="116">
        <f>IF(L20=0,0,1000000*L20/TrRoad_act!L60)</f>
        <v>2335.7427114198158</v>
      </c>
      <c r="M111" s="116">
        <f>IF(M20=0,0,1000000*M20/TrRoad_act!M60)</f>
        <v>2256.9092077692944</v>
      </c>
      <c r="N111" s="116">
        <f>IF(N20=0,0,1000000*N20/TrRoad_act!N60)</f>
        <v>2217.910904701208</v>
      </c>
      <c r="O111" s="116">
        <f>IF(O20=0,0,1000000*O20/TrRoad_act!O60)</f>
        <v>2098.355751905036</v>
      </c>
      <c r="P111" s="116">
        <f>IF(P20=0,0,1000000*P20/TrRoad_act!P60)</f>
        <v>2052.4102151059533</v>
      </c>
      <c r="Q111" s="116">
        <f>IF(Q20=0,0,1000000*Q20/TrRoad_act!Q60)</f>
        <v>2090.7613939903113</v>
      </c>
      <c r="R111" s="116">
        <f>IF(R20=0,0,1000000*R20/TrRoad_act!R60)</f>
        <v>2070.9341056763938</v>
      </c>
      <c r="S111" s="116">
        <f>IF(S20=0,0,1000000*S20/TrRoad_act!S60)</f>
        <v>2078.4615074495782</v>
      </c>
      <c r="T111" s="116">
        <f>IF(T20=0,0,1000000*T20/TrRoad_act!T60)</f>
        <v>2069.1675052747637</v>
      </c>
      <c r="U111" s="116">
        <f>IF(U20=0,0,1000000*U20/TrRoad_act!U60)</f>
        <v>1939.6022867673214</v>
      </c>
      <c r="V111" s="116">
        <f>IF(V20=0,0,1000000*V20/TrRoad_act!V60)</f>
        <v>1764.4296679997412</v>
      </c>
      <c r="W111" s="116">
        <f>IF(W20=0,0,1000000*W20/TrRoad_act!W60)</f>
        <v>1748.4807780811313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1986.6520710000539</v>
      </c>
      <c r="C112" s="87">
        <f>IF(C21=0,0,1000000*C21/TrRoad_act!C61)</f>
        <v>2520.3822775122771</v>
      </c>
      <c r="D112" s="87">
        <f>IF(D21=0,0,1000000*D21/TrRoad_act!D61)</f>
        <v>2369.4876090641001</v>
      </c>
      <c r="E112" s="87">
        <f>IF(E21=0,0,1000000*E21/TrRoad_act!E61)</f>
        <v>2132.1725993111459</v>
      </c>
      <c r="F112" s="87">
        <f>IF(F21=0,0,1000000*F21/TrRoad_act!F61)</f>
        <v>1926.7072981308095</v>
      </c>
      <c r="G112" s="87">
        <f>IF(G21=0,0,1000000*G21/TrRoad_act!G61)</f>
        <v>1946.5797771243965</v>
      </c>
      <c r="H112" s="87">
        <f>IF(H21=0,0,1000000*H21/TrRoad_act!H61)</f>
        <v>2108.7541610109452</v>
      </c>
      <c r="I112" s="87">
        <f>IF(I21=0,0,1000000*I21/TrRoad_act!I61)</f>
        <v>2274.4650107586308</v>
      </c>
      <c r="J112" s="87">
        <f>IF(J21=0,0,1000000*J21/TrRoad_act!J61)</f>
        <v>2184.4277906778912</v>
      </c>
      <c r="K112" s="87">
        <f>IF(K21=0,0,1000000*K21/TrRoad_act!K61)</f>
        <v>2028.4838435419606</v>
      </c>
      <c r="L112" s="87">
        <f>IF(L21=0,0,1000000*L21/TrRoad_act!L61)</f>
        <v>1924.5544912884095</v>
      </c>
      <c r="M112" s="87">
        <f>IF(M21=0,0,1000000*M21/TrRoad_act!M61)</f>
        <v>1755.4177914424149</v>
      </c>
      <c r="N112" s="87">
        <f>IF(N21=0,0,1000000*N21/TrRoad_act!N61)</f>
        <v>1661.1881063866192</v>
      </c>
      <c r="O112" s="87">
        <f>IF(O21=0,0,1000000*O21/TrRoad_act!O61)</f>
        <v>1553.6241508276075</v>
      </c>
      <c r="P112" s="87">
        <f>IF(P21=0,0,1000000*P21/TrRoad_act!P61)</f>
        <v>1554.368426159032</v>
      </c>
      <c r="Q112" s="87">
        <f>IF(Q21=0,0,1000000*Q21/TrRoad_act!Q61)</f>
        <v>1530.1314292852885</v>
      </c>
      <c r="R112" s="87">
        <f>IF(R21=0,0,1000000*R21/TrRoad_act!R61)</f>
        <v>1592.7333011172893</v>
      </c>
      <c r="S112" s="87">
        <f>IF(S21=0,0,1000000*S21/TrRoad_act!S61)</f>
        <v>1654.7320937465524</v>
      </c>
      <c r="T112" s="87">
        <f>IF(T21=0,0,1000000*T21/TrRoad_act!T61)</f>
        <v>1674.2290530773269</v>
      </c>
      <c r="U112" s="87">
        <f>IF(U21=0,0,1000000*U21/TrRoad_act!U61)</f>
        <v>1609.8497964979483</v>
      </c>
      <c r="V112" s="87">
        <f>IF(V21=0,0,1000000*V21/TrRoad_act!V61)</f>
        <v>1260.0952907433457</v>
      </c>
      <c r="W112" s="87">
        <f>IF(W21=0,0,1000000*W21/TrRoad_act!W61)</f>
        <v>1173.9437950107238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1757.188086110682</v>
      </c>
      <c r="C113" s="87">
        <f>IF(C22=0,0,1000000*C22/TrRoad_act!C62)</f>
        <v>2438.8486832574195</v>
      </c>
      <c r="D113" s="87">
        <f>IF(D22=0,0,1000000*D22/TrRoad_act!D62)</f>
        <v>3019.8812448238291</v>
      </c>
      <c r="E113" s="87">
        <f>IF(E22=0,0,1000000*E22/TrRoad_act!E62)</f>
        <v>3114.6618366132066</v>
      </c>
      <c r="F113" s="87">
        <f>IF(F22=0,0,1000000*F22/TrRoad_act!F62)</f>
        <v>3324.9486958624966</v>
      </c>
      <c r="G113" s="87">
        <f>IF(G22=0,0,1000000*G22/TrRoad_act!G62)</f>
        <v>3467.8472846980881</v>
      </c>
      <c r="H113" s="87">
        <f>IF(H22=0,0,1000000*H22/TrRoad_act!H62)</f>
        <v>3796.605057136137</v>
      </c>
      <c r="I113" s="87">
        <f>IF(I22=0,0,1000000*I22/TrRoad_act!I62)</f>
        <v>3746.6706958544432</v>
      </c>
      <c r="J113" s="87">
        <f>IF(J22=0,0,1000000*J22/TrRoad_act!J62)</f>
        <v>3215.7273641212623</v>
      </c>
      <c r="K113" s="87">
        <f>IF(K22=0,0,1000000*K22/TrRoad_act!K62)</f>
        <v>3455.0037878988624</v>
      </c>
      <c r="L113" s="87">
        <f>IF(L22=0,0,1000000*L22/TrRoad_act!L62)</f>
        <v>3569.4328030949209</v>
      </c>
      <c r="M113" s="87">
        <f>IF(M22=0,0,1000000*M22/TrRoad_act!M62)</f>
        <v>3614.5121297093483</v>
      </c>
      <c r="N113" s="87">
        <f>IF(N22=0,0,1000000*N22/TrRoad_act!N62)</f>
        <v>3547.0577751407282</v>
      </c>
      <c r="O113" s="87">
        <f>IF(O22=0,0,1000000*O22/TrRoad_act!O62)</f>
        <v>3244.0326465165153</v>
      </c>
      <c r="P113" s="87">
        <f>IF(P22=0,0,1000000*P22/TrRoad_act!P62)</f>
        <v>3004.1576855549083</v>
      </c>
      <c r="Q113" s="87">
        <f>IF(Q22=0,0,1000000*Q22/TrRoad_act!Q62)</f>
        <v>3086.6826265901454</v>
      </c>
      <c r="R113" s="87">
        <f>IF(R22=0,0,1000000*R22/TrRoad_act!R62)</f>
        <v>2876.1517686444577</v>
      </c>
      <c r="S113" s="87">
        <f>IF(S22=0,0,1000000*S22/TrRoad_act!S62)</f>
        <v>2750.9905951063015</v>
      </c>
      <c r="T113" s="87">
        <f>IF(T22=0,0,1000000*T22/TrRoad_act!T62)</f>
        <v>2656.4204687513106</v>
      </c>
      <c r="U113" s="87">
        <f>IF(U22=0,0,1000000*U22/TrRoad_act!U62)</f>
        <v>2406.1120051419002</v>
      </c>
      <c r="V113" s="87">
        <f>IF(V22=0,0,1000000*V22/TrRoad_act!V62)</f>
        <v>2465.353752476683</v>
      </c>
      <c r="W113" s="87">
        <f>IF(W22=0,0,1000000*W22/TrRoad_act!W62)</f>
        <v>2522.5681196645646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3349.4742000000001</v>
      </c>
      <c r="C114" s="87">
        <f>IF(C23=0,0,1000000*C23/TrRoad_act!C63)</f>
        <v>3645.7377142857154</v>
      </c>
      <c r="D114" s="87">
        <f>IF(D23=0,0,1000000*D23/TrRoad_act!D63)</f>
        <v>3734.0245664739891</v>
      </c>
      <c r="E114" s="87">
        <f>IF(E23=0,0,1000000*E23/TrRoad_act!E63)</f>
        <v>3488.5482867557735</v>
      </c>
      <c r="F114" s="87">
        <f>IF(F23=0,0,1000000*F23/TrRoad_act!F63)</f>
        <v>3705.6909090909085</v>
      </c>
      <c r="G114" s="87">
        <f>IF(G23=0,0,1000000*G23/TrRoad_act!G63)</f>
        <v>3548.5020976491869</v>
      </c>
      <c r="H114" s="87">
        <f>IF(H23=0,0,1000000*H23/TrRoad_act!H63)</f>
        <v>3550.1685889570567</v>
      </c>
      <c r="I114" s="87">
        <f>IF(I23=0,0,1000000*I23/TrRoad_act!I63)</f>
        <v>3516.9459826361494</v>
      </c>
      <c r="J114" s="87">
        <f>IF(J23=0,0,1000000*J23/TrRoad_act!J63)</f>
        <v>4008.8593746011493</v>
      </c>
      <c r="K114" s="87">
        <f>IF(K23=0,0,1000000*K23/TrRoad_act!K63)</f>
        <v>3665.2126091825307</v>
      </c>
      <c r="L114" s="87">
        <f>IF(L23=0,0,1000000*L23/TrRoad_act!L63)</f>
        <v>3309.3370884658461</v>
      </c>
      <c r="M114" s="87">
        <f>IF(M23=0,0,1000000*M23/TrRoad_act!M63)</f>
        <v>3037.4718435754203</v>
      </c>
      <c r="N114" s="87">
        <f>IF(N23=0,0,1000000*N23/TrRoad_act!N63)</f>
        <v>2903.0955721056202</v>
      </c>
      <c r="O114" s="87">
        <f>IF(O23=0,0,1000000*O23/TrRoad_act!O63)</f>
        <v>2945.7758199356917</v>
      </c>
      <c r="P114" s="87">
        <f>IF(P23=0,0,1000000*P23/TrRoad_act!P63)</f>
        <v>2964.9828487084878</v>
      </c>
      <c r="Q114" s="87">
        <f>IF(Q23=0,0,1000000*Q23/TrRoad_act!Q63)</f>
        <v>3293.3256082474231</v>
      </c>
      <c r="R114" s="87">
        <f>IF(R23=0,0,1000000*R23/TrRoad_act!R63)</f>
        <v>3176.554284501452</v>
      </c>
      <c r="S114" s="87">
        <f>IF(S23=0,0,1000000*S23/TrRoad_act!S63)</f>
        <v>3248.6054081055399</v>
      </c>
      <c r="T114" s="87">
        <f>IF(T23=0,0,1000000*T23/TrRoad_act!T63)</f>
        <v>3351.7168812103932</v>
      </c>
      <c r="U114" s="87">
        <f>IF(U23=0,0,1000000*U23/TrRoad_act!U63)</f>
        <v>3321.0649923328965</v>
      </c>
      <c r="V114" s="87">
        <f>IF(V23=0,0,1000000*V23/TrRoad_act!V63)</f>
        <v>2971.7995691695842</v>
      </c>
      <c r="W114" s="87">
        <f>IF(W23=0,0,1000000*W23/TrRoad_act!W63)</f>
        <v>3067.6789152261817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3745.7117004796492</v>
      </c>
      <c r="M115" s="87">
        <f>IF(M24=0,0,1000000*M24/TrRoad_act!M64)</f>
        <v>3697.3720031392027</v>
      </c>
      <c r="N115" s="87">
        <f>IF(N24=0,0,1000000*N24/TrRoad_act!N64)</f>
        <v>3630.9144112925155</v>
      </c>
      <c r="O115" s="87">
        <f>IF(O24=0,0,1000000*O24/TrRoad_act!O64)</f>
        <v>3438.2373886682321</v>
      </c>
      <c r="P115" s="87">
        <f>IF(P24=0,0,1000000*P24/TrRoad_act!P64)</f>
        <v>3326.4735420250745</v>
      </c>
      <c r="Q115" s="87">
        <f>IF(Q24=0,0,1000000*Q24/TrRoad_act!Q64)</f>
        <v>3107.1440035435248</v>
      </c>
      <c r="R115" s="87">
        <f>IF(R24=0,0,1000000*R24/TrRoad_act!R64)</f>
        <v>2755.6676539207729</v>
      </c>
      <c r="S115" s="87">
        <f>IF(S24=0,0,1000000*S24/TrRoad_act!S64)</f>
        <v>2955.6879418685221</v>
      </c>
      <c r="T115" s="87">
        <f>IF(T24=0,0,1000000*T24/TrRoad_act!T64)</f>
        <v>2708.3903910901759</v>
      </c>
      <c r="U115" s="87">
        <f>IF(U24=0,0,1000000*U24/TrRoad_act!U64)</f>
        <v>2179.5819256343725</v>
      </c>
      <c r="V115" s="87">
        <f>IF(V24=0,0,1000000*V24/TrRoad_act!V64)</f>
        <v>2112.1318982516877</v>
      </c>
      <c r="W115" s="87">
        <f>IF(W24=0,0,1000000*W24/TrRoad_act!W64)</f>
        <v>2036.2451688557862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0</v>
      </c>
      <c r="P116" s="87">
        <f>IF(P25=0,0,1000000*P25/TrRoad_act!P65)</f>
        <v>493.63831283817683</v>
      </c>
      <c r="Q116" s="87">
        <f>IF(Q25=0,0,1000000*Q25/TrRoad_act!Q65)</f>
        <v>619.06406323980275</v>
      </c>
      <c r="R116" s="87">
        <f>IF(R25=0,0,1000000*R25/TrRoad_act!R65)</f>
        <v>602.97837327171544</v>
      </c>
      <c r="S116" s="87">
        <f>IF(S25=0,0,1000000*S25/TrRoad_act!S65)</f>
        <v>545.94818917674161</v>
      </c>
      <c r="T116" s="87">
        <f>IF(T25=0,0,1000000*T25/TrRoad_act!T65)</f>
        <v>540.64941972107329</v>
      </c>
      <c r="U116" s="87">
        <f>IF(U25=0,0,1000000*U25/TrRoad_act!U65)</f>
        <v>532.97776790744138</v>
      </c>
      <c r="V116" s="87">
        <f>IF(V25=0,0,1000000*V25/TrRoad_act!V65)</f>
        <v>482.16679449509519</v>
      </c>
      <c r="W116" s="87">
        <f>IF(W25=0,0,1000000*W25/TrRoad_act!W65)</f>
        <v>360.10704838987988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43021.242987936763</v>
      </c>
      <c r="C118" s="116">
        <f>IF(C27=0,0,1000000*C27/TrRoad_act!C67)</f>
        <v>53831.158053491949</v>
      </c>
      <c r="D118" s="116">
        <f>IF(D27=0,0,1000000*D27/TrRoad_act!D67)</f>
        <v>61760.076128961657</v>
      </c>
      <c r="E118" s="116">
        <f>IF(E27=0,0,1000000*E27/TrRoad_act!E67)</f>
        <v>55155.450100778253</v>
      </c>
      <c r="F118" s="116">
        <f>IF(F27=0,0,1000000*F27/TrRoad_act!F67)</f>
        <v>58031.225620008903</v>
      </c>
      <c r="G118" s="116">
        <f>IF(G27=0,0,1000000*G27/TrRoad_act!G67)</f>
        <v>60833.866212814857</v>
      </c>
      <c r="H118" s="116">
        <f>IF(H27=0,0,1000000*H27/TrRoad_act!H67)</f>
        <v>61043.230391888203</v>
      </c>
      <c r="I118" s="116">
        <f>IF(I27=0,0,1000000*I27/TrRoad_act!I67)</f>
        <v>61833.219358960137</v>
      </c>
      <c r="J118" s="116">
        <f>IF(J27=0,0,1000000*J27/TrRoad_act!J67)</f>
        <v>59019.371666119958</v>
      </c>
      <c r="K118" s="116">
        <f>IF(K27=0,0,1000000*K27/TrRoad_act!K67)</f>
        <v>54069.811284176401</v>
      </c>
      <c r="L118" s="116">
        <f>IF(L27=0,0,1000000*L27/TrRoad_act!L67)</f>
        <v>56965.562197859159</v>
      </c>
      <c r="M118" s="116">
        <f>IF(M27=0,0,1000000*M27/TrRoad_act!M67)</f>
        <v>56812.132679936563</v>
      </c>
      <c r="N118" s="116">
        <f>IF(N27=0,0,1000000*N27/TrRoad_act!N67)</f>
        <v>55683.042220344563</v>
      </c>
      <c r="O118" s="116">
        <f>IF(O27=0,0,1000000*O27/TrRoad_act!O67)</f>
        <v>53312.475676993534</v>
      </c>
      <c r="P118" s="116">
        <f>IF(P27=0,0,1000000*P27/TrRoad_act!P67)</f>
        <v>54222.286770338338</v>
      </c>
      <c r="Q118" s="116">
        <f>IF(Q27=0,0,1000000*Q27/TrRoad_act!Q67)</f>
        <v>53540.419385919267</v>
      </c>
      <c r="R118" s="116">
        <f>IF(R27=0,0,1000000*R27/TrRoad_act!R67)</f>
        <v>59151.600156866167</v>
      </c>
      <c r="S118" s="116">
        <f>IF(S27=0,0,1000000*S27/TrRoad_act!S67)</f>
        <v>65482.410857571929</v>
      </c>
      <c r="T118" s="116">
        <f>IF(T27=0,0,1000000*T27/TrRoad_act!T67)</f>
        <v>63221.011605843836</v>
      </c>
      <c r="U118" s="116">
        <f>IF(U27=0,0,1000000*U27/TrRoad_act!U67)</f>
        <v>56591.045833921606</v>
      </c>
      <c r="V118" s="116">
        <f>IF(V27=0,0,1000000*V27/TrRoad_act!V67)</f>
        <v>52397.993984595028</v>
      </c>
      <c r="W118" s="116">
        <f>IF(W27=0,0,1000000*W27/TrRoad_act!W67)</f>
        <v>55426.723404665572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12311.675216159263</v>
      </c>
      <c r="C119" s="101">
        <f>IF(C28=0,0,1000000*C28/TrRoad_act!C68)</f>
        <v>12296.56032780155</v>
      </c>
      <c r="D119" s="101">
        <f>IF(D28=0,0,1000000*D28/TrRoad_act!D68)</f>
        <v>12289.353915265438</v>
      </c>
      <c r="E119" s="101">
        <f>IF(E28=0,0,1000000*E28/TrRoad_act!E68)</f>
        <v>12301.669750722001</v>
      </c>
      <c r="F119" s="101">
        <f>IF(F28=0,0,1000000*F28/TrRoad_act!F68)</f>
        <v>12308.25234687291</v>
      </c>
      <c r="G119" s="101">
        <f>IF(G28=0,0,1000000*G28/TrRoad_act!G68)</f>
        <v>12829.703181360004</v>
      </c>
      <c r="H119" s="101">
        <f>IF(H28=0,0,1000000*H28/TrRoad_act!H68)</f>
        <v>13018.550407521441</v>
      </c>
      <c r="I119" s="101">
        <f>IF(I28=0,0,1000000*I28/TrRoad_act!I68)</f>
        <v>12899.338514031693</v>
      </c>
      <c r="J119" s="101">
        <f>IF(J28=0,0,1000000*J28/TrRoad_act!J68)</f>
        <v>12306.662394106475</v>
      </c>
      <c r="K119" s="101">
        <f>IF(K28=0,0,1000000*K28/TrRoad_act!K68)</f>
        <v>11829.128176994998</v>
      </c>
      <c r="L119" s="101">
        <f>IF(L28=0,0,1000000*L28/TrRoad_act!L68)</f>
        <v>11194.806046561167</v>
      </c>
      <c r="M119" s="101">
        <f>IF(M28=0,0,1000000*M28/TrRoad_act!M68)</f>
        <v>10761.214240120053</v>
      </c>
      <c r="N119" s="101">
        <f>IF(N28=0,0,1000000*N28/TrRoad_act!N68)</f>
        <v>10645.727354662238</v>
      </c>
      <c r="O119" s="101">
        <f>IF(O28=0,0,1000000*O28/TrRoad_act!O68)</f>
        <v>10560.988965937289</v>
      </c>
      <c r="P119" s="101">
        <f>IF(P28=0,0,1000000*P28/TrRoad_act!P68)</f>
        <v>10938.911242201824</v>
      </c>
      <c r="Q119" s="101">
        <f>IF(Q28=0,0,1000000*Q28/TrRoad_act!Q68)</f>
        <v>11542.767834810225</v>
      </c>
      <c r="R119" s="101">
        <f>IF(R28=0,0,1000000*R28/TrRoad_act!R68)</f>
        <v>13312.636158351686</v>
      </c>
      <c r="S119" s="101">
        <f>IF(S28=0,0,1000000*S28/TrRoad_act!S68)</f>
        <v>14730.628539299385</v>
      </c>
      <c r="T119" s="101">
        <f>IF(T28=0,0,1000000*T28/TrRoad_act!T68)</f>
        <v>13952.199680750246</v>
      </c>
      <c r="U119" s="101">
        <f>IF(U28=0,0,1000000*U28/TrRoad_act!U68)</f>
        <v>12097.76655513579</v>
      </c>
      <c r="V119" s="101">
        <f>IF(V28=0,0,1000000*V28/TrRoad_act!V68)</f>
        <v>11388.455866539944</v>
      </c>
      <c r="W119" s="101">
        <f>IF(W28=0,0,1000000*W28/TrRoad_act!W68)</f>
        <v>11806.977174908552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65841.384977148889</v>
      </c>
      <c r="C120" s="101">
        <f>IF(C29=0,0,1000000*C29/TrRoad_act!C69)</f>
        <v>80615.815850333092</v>
      </c>
      <c r="D120" s="101">
        <f>IF(D29=0,0,1000000*D29/TrRoad_act!D69)</f>
        <v>88346.475899570578</v>
      </c>
      <c r="E120" s="101">
        <f>IF(E29=0,0,1000000*E29/TrRoad_act!E69)</f>
        <v>73186.338580538621</v>
      </c>
      <c r="F120" s="101">
        <f>IF(F29=0,0,1000000*F29/TrRoad_act!F69)</f>
        <v>74760.549679066986</v>
      </c>
      <c r="G120" s="101">
        <f>IF(G29=0,0,1000000*G29/TrRoad_act!G69)</f>
        <v>73631.237712555507</v>
      </c>
      <c r="H120" s="101">
        <f>IF(H29=0,0,1000000*H29/TrRoad_act!H69)</f>
        <v>73611.156965778689</v>
      </c>
      <c r="I120" s="101">
        <f>IF(I29=0,0,1000000*I29/TrRoad_act!I69)</f>
        <v>69592.214361419014</v>
      </c>
      <c r="J120" s="101">
        <f>IF(J29=0,0,1000000*J29/TrRoad_act!J69)</f>
        <v>64549.591655501921</v>
      </c>
      <c r="K120" s="101">
        <f>IF(K29=0,0,1000000*K29/TrRoad_act!K69)</f>
        <v>57697.247541778503</v>
      </c>
      <c r="L120" s="101">
        <f>IF(L29=0,0,1000000*L29/TrRoad_act!L69)</f>
        <v>61797.915905007983</v>
      </c>
      <c r="M120" s="101">
        <f>IF(M29=0,0,1000000*M29/TrRoad_act!M69)</f>
        <v>61379.200971357037</v>
      </c>
      <c r="N120" s="101">
        <f>IF(N29=0,0,1000000*N29/TrRoad_act!N69)</f>
        <v>59690.289867605265</v>
      </c>
      <c r="O120" s="101">
        <f>IF(O29=0,0,1000000*O29/TrRoad_act!O69)</f>
        <v>56845.624676713109</v>
      </c>
      <c r="P120" s="101">
        <f>IF(P29=0,0,1000000*P29/TrRoad_act!P69)</f>
        <v>57517.555184782323</v>
      </c>
      <c r="Q120" s="101">
        <f>IF(Q29=0,0,1000000*Q29/TrRoad_act!Q69)</f>
        <v>56238.609489468312</v>
      </c>
      <c r="R120" s="101">
        <f>IF(R29=0,0,1000000*R29/TrRoad_act!R69)</f>
        <v>61905.938172505594</v>
      </c>
      <c r="S120" s="101">
        <f>IF(S29=0,0,1000000*S29/TrRoad_act!S69)</f>
        <v>69238.499696672472</v>
      </c>
      <c r="T120" s="101">
        <f>IF(T29=0,0,1000000*T29/TrRoad_act!T69)</f>
        <v>65800.106457699731</v>
      </c>
      <c r="U120" s="101">
        <f>IF(U29=0,0,1000000*U29/TrRoad_act!U69)</f>
        <v>59659.25843230039</v>
      </c>
      <c r="V120" s="101">
        <f>IF(V29=0,0,1000000*V29/TrRoad_act!V69)</f>
        <v>54784.726647349853</v>
      </c>
      <c r="W120" s="101">
        <f>IF(W29=0,0,1000000*W29/TrRoad_act!W69)</f>
        <v>59445.937451067781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30952.187213525431</v>
      </c>
      <c r="U121" s="101">
        <f>IF(U30=0,0,1000000*U30/TrRoad_act!U70)</f>
        <v>28118.824927487261</v>
      </c>
      <c r="V121" s="101">
        <f>IF(V30=0,0,1000000*V30/TrRoad_act!V70)</f>
        <v>26806.70452143022</v>
      </c>
      <c r="W121" s="101">
        <f>IF(W30=0,0,1000000*W30/TrRoad_act!W70)</f>
        <v>27992.100897261003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46744.288299520354</v>
      </c>
      <c r="M122" s="101">
        <f>IF(M31=0,0,1000000*M31/TrRoad_act!M71)</f>
        <v>82856.913711146539</v>
      </c>
      <c r="N122" s="101">
        <f>IF(N31=0,0,1000000*N31/TrRoad_act!N71)</f>
        <v>151184.18042311206</v>
      </c>
      <c r="O122" s="101">
        <f>IF(O31=0,0,1000000*O31/TrRoad_act!O71)</f>
        <v>101584.64273799912</v>
      </c>
      <c r="P122" s="101">
        <f>IF(P31=0,0,1000000*P31/TrRoad_act!P71)</f>
        <v>92888.714024451649</v>
      </c>
      <c r="Q122" s="101">
        <f>IF(Q31=0,0,1000000*Q31/TrRoad_act!Q71)</f>
        <v>103050.52652502825</v>
      </c>
      <c r="R122" s="101">
        <f>IF(R31=0,0,1000000*R31/TrRoad_act!R71)</f>
        <v>100241.17595673418</v>
      </c>
      <c r="S122" s="101">
        <f>IF(S31=0,0,1000000*S31/TrRoad_act!S71)</f>
        <v>59860.039521826176</v>
      </c>
      <c r="T122" s="101">
        <f>IF(T31=0,0,1000000*T31/TrRoad_act!T71)</f>
        <v>89088.55015136514</v>
      </c>
      <c r="U122" s="101">
        <f>IF(U31=0,0,1000000*U31/TrRoad_act!U71)</f>
        <v>55164.235367483503</v>
      </c>
      <c r="V122" s="101">
        <f>IF(V31=0,0,1000000*V31/TrRoad_act!V71)</f>
        <v>56786.806099966205</v>
      </c>
      <c r="W122" s="101">
        <f>IF(W31=0,0,1000000*W31/TrRoad_act!W71)</f>
        <v>41977.67159528465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4742.540186887426</v>
      </c>
      <c r="C125" s="152">
        <f>IF(C34=0,0,1000000*C34/TrRoad_act!C74)</f>
        <v>5932.7773032800787</v>
      </c>
      <c r="D125" s="152">
        <f>IF(D34=0,0,1000000*D34/TrRoad_act!D74)</f>
        <v>6602.1030444276275</v>
      </c>
      <c r="E125" s="152">
        <f>IF(E34=0,0,1000000*E34/TrRoad_act!E74)</f>
        <v>5621.242995853474</v>
      </c>
      <c r="F125" s="152">
        <f>IF(F34=0,0,1000000*F34/TrRoad_act!F74)</f>
        <v>5671.3585364032579</v>
      </c>
      <c r="G125" s="152">
        <f>IF(G34=0,0,1000000*G34/TrRoad_act!G74)</f>
        <v>5451.9464262210167</v>
      </c>
      <c r="H125" s="152">
        <f>IF(H34=0,0,1000000*H34/TrRoad_act!H74)</f>
        <v>5280.9584814388181</v>
      </c>
      <c r="I125" s="152">
        <f>IF(I34=0,0,1000000*I34/TrRoad_act!I74)</f>
        <v>5079.3363643220982</v>
      </c>
      <c r="J125" s="152">
        <f>IF(J34=0,0,1000000*J34/TrRoad_act!J74)</f>
        <v>4667.1506142268854</v>
      </c>
      <c r="K125" s="152">
        <f>IF(K34=0,0,1000000*K34/TrRoad_act!K74)</f>
        <v>4165.0546836167186</v>
      </c>
      <c r="L125" s="152">
        <f>IF(L34=0,0,1000000*L34/TrRoad_act!L74)</f>
        <v>4371.3052965719971</v>
      </c>
      <c r="M125" s="152">
        <f>IF(M34=0,0,1000000*M34/TrRoad_act!M74)</f>
        <v>4382.5306444564721</v>
      </c>
      <c r="N125" s="152">
        <f>IF(N34=0,0,1000000*N34/TrRoad_act!N74)</f>
        <v>4243.4091792899617</v>
      </c>
      <c r="O125" s="152">
        <f>IF(O34=0,0,1000000*O34/TrRoad_act!O74)</f>
        <v>3912.3719448054553</v>
      </c>
      <c r="P125" s="152">
        <f>IF(P34=0,0,1000000*P34/TrRoad_act!P74)</f>
        <v>3774.2562724629711</v>
      </c>
      <c r="Q125" s="152">
        <f>IF(Q34=0,0,1000000*Q34/TrRoad_act!Q74)</f>
        <v>3485.5368625782758</v>
      </c>
      <c r="R125" s="152">
        <f>IF(R34=0,0,1000000*R34/TrRoad_act!R74)</f>
        <v>3350.2665724816698</v>
      </c>
      <c r="S125" s="152">
        <f>IF(S34=0,0,1000000*S34/TrRoad_act!S74)</f>
        <v>3365.2804346517055</v>
      </c>
      <c r="T125" s="152">
        <f>IF(T34=0,0,1000000*T34/TrRoad_act!T74)</f>
        <v>3352.5331773472935</v>
      </c>
      <c r="U125" s="152">
        <f>IF(U34=0,0,1000000*U34/TrRoad_act!U74)</f>
        <v>3325.6749186949114</v>
      </c>
      <c r="V125" s="152">
        <f>IF(V34=0,0,1000000*V34/TrRoad_act!V74)</f>
        <v>3118.950561906629</v>
      </c>
      <c r="W125" s="152">
        <f>IF(W34=0,0,1000000*W34/TrRoad_act!W74)</f>
        <v>3267.6919584571256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4535.5080308801889</v>
      </c>
      <c r="C126" s="87">
        <f>IF(C35=0,0,1000000*C35/TrRoad_act!C75)</f>
        <v>5101.2936555388969</v>
      </c>
      <c r="D126" s="87">
        <f>IF(D35=0,0,1000000*D35/TrRoad_act!D75)</f>
        <v>5070.167054458354</v>
      </c>
      <c r="E126" s="87">
        <f>IF(E35=0,0,1000000*E35/TrRoad_act!E75)</f>
        <v>4827.7370459278736</v>
      </c>
      <c r="F126" s="87">
        <f>IF(F35=0,0,1000000*F35/TrRoad_act!F75)</f>
        <v>5124.5423324529047</v>
      </c>
      <c r="G126" s="87">
        <f>IF(G35=0,0,1000000*G35/TrRoad_act!G75)</f>
        <v>4666.4391113591</v>
      </c>
      <c r="H126" s="87">
        <f>IF(H35=0,0,1000000*H35/TrRoad_act!H75)</f>
        <v>4780.5274408728628</v>
      </c>
      <c r="I126" s="87">
        <f>IF(I35=0,0,1000000*I35/TrRoad_act!I75)</f>
        <v>4214.0341954087426</v>
      </c>
      <c r="J126" s="87">
        <f>IF(J35=0,0,1000000*J35/TrRoad_act!J75)</f>
        <v>3681.7576434414841</v>
      </c>
      <c r="K126" s="87">
        <f>IF(K35=0,0,1000000*K35/TrRoad_act!K75)</f>
        <v>3240.8542758203935</v>
      </c>
      <c r="L126" s="87">
        <f>IF(L35=0,0,1000000*L35/TrRoad_act!L75)</f>
        <v>2896.6786868015183</v>
      </c>
      <c r="M126" s="87">
        <f>IF(M35=0,0,1000000*M35/TrRoad_act!M75)</f>
        <v>2988.7278731122387</v>
      </c>
      <c r="N126" s="87">
        <f>IF(N35=0,0,1000000*N35/TrRoad_act!N75)</f>
        <v>2821.5060313467943</v>
      </c>
      <c r="O126" s="87">
        <f>IF(O35=0,0,1000000*O35/TrRoad_act!O75)</f>
        <v>2620.7371466847212</v>
      </c>
      <c r="P126" s="87">
        <f>IF(P35=0,0,1000000*P35/TrRoad_act!P75)</f>
        <v>2512.1391570668616</v>
      </c>
      <c r="Q126" s="87">
        <f>IF(Q35=0,0,1000000*Q35/TrRoad_act!Q75)</f>
        <v>2389.9750408653949</v>
      </c>
      <c r="R126" s="87">
        <f>IF(R35=0,0,1000000*R35/TrRoad_act!R75)</f>
        <v>2204.1529987425956</v>
      </c>
      <c r="S126" s="87">
        <f>IF(S35=0,0,1000000*S35/TrRoad_act!S75)</f>
        <v>2157.6350142580195</v>
      </c>
      <c r="T126" s="87">
        <f>IF(T35=0,0,1000000*T35/TrRoad_act!T75)</f>
        <v>2320.0783057989784</v>
      </c>
      <c r="U126" s="87">
        <f>IF(U35=0,0,1000000*U35/TrRoad_act!U75)</f>
        <v>2110.2567706435707</v>
      </c>
      <c r="V126" s="87">
        <f>IF(V35=0,0,1000000*V35/TrRoad_act!V75)</f>
        <v>1852.7893798452992</v>
      </c>
      <c r="W126" s="87">
        <f>IF(W35=0,0,1000000*W35/TrRoad_act!W75)</f>
        <v>1691.6873636397772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4815.9637124673072</v>
      </c>
      <c r="C127" s="87">
        <f>IF(C36=0,0,1000000*C36/TrRoad_act!C76)</f>
        <v>6231.0082397490578</v>
      </c>
      <c r="D127" s="87">
        <f>IF(D36=0,0,1000000*D36/TrRoad_act!D76)</f>
        <v>7157.6102002576681</v>
      </c>
      <c r="E127" s="87">
        <f>IF(E36=0,0,1000000*E36/TrRoad_act!E76)</f>
        <v>5906.1906105988501</v>
      </c>
      <c r="F127" s="87">
        <f>IF(F36=0,0,1000000*F36/TrRoad_act!F76)</f>
        <v>5867.9603690906142</v>
      </c>
      <c r="G127" s="87">
        <f>IF(G36=0,0,1000000*G36/TrRoad_act!G76)</f>
        <v>5735.7571360931697</v>
      </c>
      <c r="H127" s="87">
        <f>IF(H36=0,0,1000000*H36/TrRoad_act!H76)</f>
        <v>5458.0255594316723</v>
      </c>
      <c r="I127" s="87">
        <f>IF(I36=0,0,1000000*I36/TrRoad_act!I76)</f>
        <v>5369.7543304551136</v>
      </c>
      <c r="J127" s="87">
        <f>IF(J36=0,0,1000000*J36/TrRoad_act!J76)</f>
        <v>5020.5137141660207</v>
      </c>
      <c r="K127" s="87">
        <f>IF(K36=0,0,1000000*K36/TrRoad_act!K76)</f>
        <v>4500.2067400646856</v>
      </c>
      <c r="L127" s="87">
        <f>IF(L36=0,0,1000000*L36/TrRoad_act!L76)</f>
        <v>4884.2232323322351</v>
      </c>
      <c r="M127" s="87">
        <f>IF(M36=0,0,1000000*M36/TrRoad_act!M76)</f>
        <v>4846.5776839345535</v>
      </c>
      <c r="N127" s="87">
        <f>IF(N36=0,0,1000000*N36/TrRoad_act!N76)</f>
        <v>4682.9190216591642</v>
      </c>
      <c r="O127" s="87">
        <f>IF(O36=0,0,1000000*O36/TrRoad_act!O76)</f>
        <v>4255.9606532000425</v>
      </c>
      <c r="P127" s="87">
        <f>IF(P36=0,0,1000000*P36/TrRoad_act!P76)</f>
        <v>4086.3627013800524</v>
      </c>
      <c r="Q127" s="87">
        <f>IF(Q36=0,0,1000000*Q36/TrRoad_act!Q76)</f>
        <v>3741.5730812143524</v>
      </c>
      <c r="R127" s="87">
        <f>IF(R36=0,0,1000000*R36/TrRoad_act!R76)</f>
        <v>3602.1838317692532</v>
      </c>
      <c r="S127" s="87">
        <f>IF(S36=0,0,1000000*S36/TrRoad_act!S76)</f>
        <v>3617.6085464846055</v>
      </c>
      <c r="T127" s="87">
        <f>IF(T36=0,0,1000000*T36/TrRoad_act!T76)</f>
        <v>3558.7994907039192</v>
      </c>
      <c r="U127" s="87">
        <f>IF(U36=0,0,1000000*U36/TrRoad_act!U76)</f>
        <v>3557.5431953045681</v>
      </c>
      <c r="V127" s="87">
        <f>IF(V36=0,0,1000000*V36/TrRoad_act!V76)</f>
        <v>3352.7096738695714</v>
      </c>
      <c r="W127" s="87">
        <f>IF(W36=0,0,1000000*W36/TrRoad_act!W76)</f>
        <v>3541.4803625382201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1682.7490171288314</v>
      </c>
      <c r="S128" s="87">
        <f>IF(S37=0,0,1000000*S37/TrRoad_act!S77)</f>
        <v>1541.3383074119267</v>
      </c>
      <c r="T128" s="87">
        <f>IF(T37=0,0,1000000*T37/TrRoad_act!T77)</f>
        <v>1553.7181842979335</v>
      </c>
      <c r="U128" s="87">
        <f>IF(U37=0,0,1000000*U37/TrRoad_act!U77)</f>
        <v>1615.1882868494974</v>
      </c>
      <c r="V128" s="87">
        <f>IF(V37=0,0,1000000*V37/TrRoad_act!V77)</f>
        <v>1592.54389366328</v>
      </c>
      <c r="W128" s="87">
        <f>IF(W37=0,0,1000000*W37/TrRoad_act!W77)</f>
        <v>1613.5352050012484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1943.7548570082972</v>
      </c>
      <c r="O129" s="87">
        <f>IF(O38=0,0,1000000*O38/TrRoad_act!O78)</f>
        <v>1949.0955094964613</v>
      </c>
      <c r="P129" s="87">
        <f>IF(P38=0,0,1000000*P38/TrRoad_act!P78)</f>
        <v>2033.4466225345577</v>
      </c>
      <c r="Q129" s="87">
        <f>IF(Q38=0,0,1000000*Q38/TrRoad_act!Q78)</f>
        <v>1961.4657516255008</v>
      </c>
      <c r="R129" s="87">
        <f>IF(R38=0,0,1000000*R38/TrRoad_act!R78)</f>
        <v>1991.37959533768</v>
      </c>
      <c r="S129" s="87">
        <f>IF(S38=0,0,1000000*S38/TrRoad_act!S78)</f>
        <v>1783.8190042934004</v>
      </c>
      <c r="T129" s="87">
        <f>IF(T38=0,0,1000000*T38/TrRoad_act!T78)</f>
        <v>1548.9873059080437</v>
      </c>
      <c r="U129" s="87">
        <f>IF(U38=0,0,1000000*U38/TrRoad_act!U78)</f>
        <v>1472.257204672256</v>
      </c>
      <c r="V129" s="87">
        <f>IF(V38=0,0,1000000*V38/TrRoad_act!V78)</f>
        <v>1528.3287041227225</v>
      </c>
      <c r="W129" s="87">
        <f>IF(W38=0,0,1000000*W38/TrRoad_act!W78)</f>
        <v>1490.7494993710307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21883.238510788397</v>
      </c>
      <c r="C131" s="116">
        <f>IF(C40=0,0,1000000*C40/TrRoad_act!C80)</f>
        <v>30696.857819542041</v>
      </c>
      <c r="D131" s="116">
        <f>IF(D40=0,0,1000000*D40/TrRoad_act!D80)</f>
        <v>30117.581122940268</v>
      </c>
      <c r="E131" s="116">
        <f>IF(E40=0,0,1000000*E40/TrRoad_act!E80)</f>
        <v>23169.354990483251</v>
      </c>
      <c r="F131" s="116">
        <f>IF(F40=0,0,1000000*F40/TrRoad_act!F80)</f>
        <v>25798.217485304031</v>
      </c>
      <c r="G131" s="116">
        <f>IF(G40=0,0,1000000*G40/TrRoad_act!G80)</f>
        <v>26070.151599649544</v>
      </c>
      <c r="H131" s="116">
        <f>IF(H40=0,0,1000000*H40/TrRoad_act!H80)</f>
        <v>25324.747251674715</v>
      </c>
      <c r="I131" s="116">
        <f>IF(I40=0,0,1000000*I40/TrRoad_act!I80)</f>
        <v>27627.06701190897</v>
      </c>
      <c r="J131" s="116">
        <f>IF(J40=0,0,1000000*J40/TrRoad_act!J80)</f>
        <v>26372.89849724168</v>
      </c>
      <c r="K131" s="116">
        <f>IF(K40=0,0,1000000*K40/TrRoad_act!K80)</f>
        <v>21483.647225136177</v>
      </c>
      <c r="L131" s="116">
        <f>IF(L40=0,0,1000000*L40/TrRoad_act!L80)</f>
        <v>26591.115467322743</v>
      </c>
      <c r="M131" s="116">
        <f>IF(M40=0,0,1000000*M40/TrRoad_act!M80)</f>
        <v>28238.046336036612</v>
      </c>
      <c r="N131" s="116">
        <f>IF(N40=0,0,1000000*N40/TrRoad_act!N80)</f>
        <v>26254.118575599539</v>
      </c>
      <c r="O131" s="116">
        <f>IF(O40=0,0,1000000*O40/TrRoad_act!O80)</f>
        <v>26537.706591978156</v>
      </c>
      <c r="P131" s="116">
        <f>IF(P40=0,0,1000000*P40/TrRoad_act!P80)</f>
        <v>23553.178855883096</v>
      </c>
      <c r="Q131" s="116">
        <f>IF(Q40=0,0,1000000*Q40/TrRoad_act!Q80)</f>
        <v>21865.318527889449</v>
      </c>
      <c r="R131" s="116">
        <f>IF(R40=0,0,1000000*R40/TrRoad_act!R80)</f>
        <v>19326.9691295046</v>
      </c>
      <c r="S131" s="116">
        <f>IF(S40=0,0,1000000*S40/TrRoad_act!S80)</f>
        <v>15179.001966882965</v>
      </c>
      <c r="T131" s="116">
        <f>IF(T40=0,0,1000000*T40/TrRoad_act!T80)</f>
        <v>14211.364497445429</v>
      </c>
      <c r="U131" s="116">
        <f>IF(U40=0,0,1000000*U40/TrRoad_act!U80)</f>
        <v>11205.086355589689</v>
      </c>
      <c r="V131" s="116">
        <f>IF(V40=0,0,1000000*V40/TrRoad_act!V80)</f>
        <v>9375.6573821725269</v>
      </c>
      <c r="W131" s="116">
        <f>IF(W40=0,0,1000000*W40/TrRoad_act!W80)</f>
        <v>12305.877865089764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15965.96453241328</v>
      </c>
      <c r="C132" s="101">
        <f>IF(C41=0,0,1000000*C41/TrRoad_act!C81)</f>
        <v>20906.755613151272</v>
      </c>
      <c r="D132" s="101">
        <f>IF(D41=0,0,1000000*D41/TrRoad_act!D81)</f>
        <v>21974.401051002496</v>
      </c>
      <c r="E132" s="101">
        <f>IF(E41=0,0,1000000*E41/TrRoad_act!E81)</f>
        <v>18699.123482513998</v>
      </c>
      <c r="F132" s="101">
        <f>IF(F41=0,0,1000000*F41/TrRoad_act!F81)</f>
        <v>20583.816587139318</v>
      </c>
      <c r="G132" s="101">
        <f>IF(G41=0,0,1000000*G41/TrRoad_act!G81)</f>
        <v>20749.519569038595</v>
      </c>
      <c r="H132" s="101">
        <f>IF(H41=0,0,1000000*H41/TrRoad_act!H81)</f>
        <v>20101.61653339666</v>
      </c>
      <c r="I132" s="101">
        <f>IF(I41=0,0,1000000*I41/TrRoad_act!I81)</f>
        <v>21817.951847150027</v>
      </c>
      <c r="J132" s="101">
        <f>IF(J41=0,0,1000000*J41/TrRoad_act!J81)</f>
        <v>21016.809851006761</v>
      </c>
      <c r="K132" s="101">
        <f>IF(K41=0,0,1000000*K41/TrRoad_act!K81)</f>
        <v>16586.278384147121</v>
      </c>
      <c r="L132" s="101">
        <f>IF(L41=0,0,1000000*L41/TrRoad_act!L81)</f>
        <v>20092.722176410436</v>
      </c>
      <c r="M132" s="101">
        <f>IF(M41=0,0,1000000*M41/TrRoad_act!M81)</f>
        <v>21066.355944570565</v>
      </c>
      <c r="N132" s="101">
        <f>IF(N41=0,0,1000000*N41/TrRoad_act!N81)</f>
        <v>19248.307573070677</v>
      </c>
      <c r="O132" s="101">
        <f>IF(O41=0,0,1000000*O41/TrRoad_act!O81)</f>
        <v>18990.206919076096</v>
      </c>
      <c r="P132" s="101">
        <f>IF(P41=0,0,1000000*P41/TrRoad_act!P81)</f>
        <v>16340.771070774957</v>
      </c>
      <c r="Q132" s="101">
        <f>IF(Q41=0,0,1000000*Q41/TrRoad_act!Q81)</f>
        <v>14286.458366718491</v>
      </c>
      <c r="R132" s="101">
        <f>IF(R41=0,0,1000000*R41/TrRoad_act!R81)</f>
        <v>13217.227704926772</v>
      </c>
      <c r="S132" s="101">
        <f>IF(S41=0,0,1000000*S41/TrRoad_act!S81)</f>
        <v>9710.4451475326623</v>
      </c>
      <c r="T132" s="101">
        <f>IF(T41=0,0,1000000*T41/TrRoad_act!T81)</f>
        <v>9127.5060312507358</v>
      </c>
      <c r="U132" s="101">
        <f>IF(U41=0,0,1000000*U41/TrRoad_act!U81)</f>
        <v>7042.6791785703881</v>
      </c>
      <c r="V132" s="101">
        <f>IF(V41=0,0,1000000*V41/TrRoad_act!V81)</f>
        <v>5002.9224445427562</v>
      </c>
      <c r="W132" s="101">
        <f>IF(W41=0,0,1000000*W41/TrRoad_act!W81)</f>
        <v>7876.9497068485725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100921.1123647989</v>
      </c>
      <c r="C133" s="88">
        <f>IF(C42=0,0,1000000*C42/TrRoad_act!C82)</f>
        <v>120036.19354326013</v>
      </c>
      <c r="D133" s="88">
        <f>IF(D42=0,0,1000000*D42/TrRoad_act!D82)</f>
        <v>129367.18995632288</v>
      </c>
      <c r="E133" s="88">
        <f>IF(E42=0,0,1000000*E42/TrRoad_act!E82)</f>
        <v>108538.90892143588</v>
      </c>
      <c r="F133" s="88">
        <f>IF(F42=0,0,1000000*F42/TrRoad_act!F82)</f>
        <v>110711.76983595635</v>
      </c>
      <c r="G133" s="88">
        <f>IF(G42=0,0,1000000*G42/TrRoad_act!G82)</f>
        <v>112999.43734833068</v>
      </c>
      <c r="H133" s="88">
        <f>IF(H42=0,0,1000000*H42/TrRoad_act!H82)</f>
        <v>112114.4805596974</v>
      </c>
      <c r="I133" s="88">
        <f>IF(I42=0,0,1000000*I42/TrRoad_act!I82)</f>
        <v>118026.1598837918</v>
      </c>
      <c r="J133" s="88">
        <f>IF(J42=0,0,1000000*J42/TrRoad_act!J82)</f>
        <v>117817.65629114676</v>
      </c>
      <c r="K133" s="88">
        <f>IF(K42=0,0,1000000*K42/TrRoad_act!K82)</f>
        <v>110748.28613087762</v>
      </c>
      <c r="L133" s="88">
        <f>IF(L42=0,0,1000000*L42/TrRoad_act!L82)</f>
        <v>135261.47353553725</v>
      </c>
      <c r="M133" s="88">
        <f>IF(M42=0,0,1000000*M42/TrRoad_act!M82)</f>
        <v>137245.86778230191</v>
      </c>
      <c r="N133" s="88">
        <f>IF(N42=0,0,1000000*N42/TrRoad_act!N82)</f>
        <v>137520.76819012206</v>
      </c>
      <c r="O133" s="88">
        <f>IF(O42=0,0,1000000*O42/TrRoad_act!O82)</f>
        <v>119485.90825301272</v>
      </c>
      <c r="P133" s="88">
        <f>IF(P42=0,0,1000000*P42/TrRoad_act!P82)</f>
        <v>116755.43972086675</v>
      </c>
      <c r="Q133" s="88">
        <f>IF(Q42=0,0,1000000*Q42/TrRoad_act!Q82)</f>
        <v>105439.10135778914</v>
      </c>
      <c r="R133" s="88">
        <f>IF(R42=0,0,1000000*R42/TrRoad_act!R82)</f>
        <v>90723.97433542613</v>
      </c>
      <c r="S133" s="88">
        <f>IF(S42=0,0,1000000*S42/TrRoad_act!S82)</f>
        <v>88166.142889451163</v>
      </c>
      <c r="T133" s="88">
        <f>IF(T42=0,0,1000000*T42/TrRoad_act!T82)</f>
        <v>84390.715063393873</v>
      </c>
      <c r="U133" s="88">
        <f>IF(U42=0,0,1000000*U42/TrRoad_act!U82)</f>
        <v>81710.28391642416</v>
      </c>
      <c r="V133" s="88">
        <f>IF(V42=0,0,1000000*V42/TrRoad_act!V82)</f>
        <v>73454.385737358956</v>
      </c>
      <c r="W133" s="88">
        <f>IF(W42=0,0,1000000*W42/TrRoad_act!W82)</f>
        <v>83307.493770052984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0.72474297852638114</v>
      </c>
      <c r="C136" s="46">
        <f t="shared" si="40"/>
        <v>0.7386695366455247</v>
      </c>
      <c r="D136" s="46">
        <f t="shared" si="40"/>
        <v>0.7057322106051237</v>
      </c>
      <c r="E136" s="46">
        <f t="shared" si="40"/>
        <v>0.70511956760370775</v>
      </c>
      <c r="F136" s="46">
        <f t="shared" si="40"/>
        <v>0.70053534560153774</v>
      </c>
      <c r="G136" s="46">
        <f t="shared" si="40"/>
        <v>0.71671000834674137</v>
      </c>
      <c r="H136" s="46">
        <f t="shared" si="40"/>
        <v>0.73471579577665869</v>
      </c>
      <c r="I136" s="46">
        <f t="shared" si="40"/>
        <v>0.73359599417407584</v>
      </c>
      <c r="J136" s="46">
        <f t="shared" si="40"/>
        <v>0.7303618830419607</v>
      </c>
      <c r="K136" s="46">
        <f t="shared" si="40"/>
        <v>0.76890373657323341</v>
      </c>
      <c r="L136" s="46">
        <f t="shared" si="41"/>
        <v>0.75037900377858124</v>
      </c>
      <c r="M136" s="46">
        <f t="shared" si="40"/>
        <v>0.73123034614752569</v>
      </c>
      <c r="N136" s="46">
        <f t="shared" si="40"/>
        <v>0.73639069007916336</v>
      </c>
      <c r="O136" s="46">
        <f t="shared" si="40"/>
        <v>0.74141458201918908</v>
      </c>
      <c r="P136" s="46">
        <f t="shared" si="40"/>
        <v>0.75092568368791368</v>
      </c>
      <c r="Q136" s="46">
        <f t="shared" si="40"/>
        <v>0.76391427701242065</v>
      </c>
      <c r="R136" s="46">
        <f t="shared" si="40"/>
        <v>0.77375216406469427</v>
      </c>
      <c r="S136" s="46">
        <f t="shared" si="40"/>
        <v>0.78927133477996969</v>
      </c>
      <c r="T136" s="46">
        <f t="shared" si="40"/>
        <v>0.78550751146678499</v>
      </c>
      <c r="U136" s="46">
        <f t="shared" si="40"/>
        <v>0.78183182902890058</v>
      </c>
      <c r="V136" s="46">
        <f t="shared" si="40"/>
        <v>0.78104257927614829</v>
      </c>
      <c r="W136" s="46">
        <f t="shared" si="42"/>
        <v>0.75582157900525737</v>
      </c>
      <c r="DA136" s="211"/>
    </row>
    <row r="137" spans="1:105" ht="11.45" customHeight="1" x14ac:dyDescent="0.25">
      <c r="A137" s="153" t="s">
        <v>180</v>
      </c>
      <c r="B137" s="154">
        <f t="shared" si="40"/>
        <v>8.4684186814187835E-4</v>
      </c>
      <c r="C137" s="154">
        <f t="shared" si="40"/>
        <v>7.0205396619426816E-4</v>
      </c>
      <c r="D137" s="154">
        <f t="shared" si="40"/>
        <v>7.1615847632726241E-4</v>
      </c>
      <c r="E137" s="154">
        <f t="shared" si="40"/>
        <v>8.0405909074026467E-4</v>
      </c>
      <c r="F137" s="154">
        <f t="shared" si="40"/>
        <v>8.6181387408034858E-4</v>
      </c>
      <c r="G137" s="154">
        <f t="shared" si="40"/>
        <v>9.0969978197064962E-4</v>
      </c>
      <c r="H137" s="154">
        <f t="shared" si="40"/>
        <v>1.0192062929846937E-3</v>
      </c>
      <c r="I137" s="154">
        <f t="shared" si="40"/>
        <v>1.112205910709351E-3</v>
      </c>
      <c r="J137" s="154">
        <f t="shared" si="40"/>
        <v>1.3296618375061404E-3</v>
      </c>
      <c r="K137" s="154">
        <f t="shared" si="40"/>
        <v>1.5358874679290186E-3</v>
      </c>
      <c r="L137" s="154">
        <f t="shared" si="41"/>
        <v>1.5277660493746513E-3</v>
      </c>
      <c r="M137" s="154">
        <f t="shared" si="40"/>
        <v>1.703703988167077E-3</v>
      </c>
      <c r="N137" s="154">
        <f t="shared" si="40"/>
        <v>2.4048589732604377E-3</v>
      </c>
      <c r="O137" s="154">
        <f t="shared" si="40"/>
        <v>2.6445688831532865E-3</v>
      </c>
      <c r="P137" s="154">
        <f t="shared" si="40"/>
        <v>2.7940685554631566E-3</v>
      </c>
      <c r="Q137" s="154">
        <f t="shared" si="40"/>
        <v>2.8997176322582098E-3</v>
      </c>
      <c r="R137" s="154">
        <f t="shared" si="40"/>
        <v>3.0252474776119105E-3</v>
      </c>
      <c r="S137" s="154">
        <f t="shared" si="40"/>
        <v>2.7767403053863783E-3</v>
      </c>
      <c r="T137" s="154">
        <f t="shared" si="40"/>
        <v>2.5688250011206286E-3</v>
      </c>
      <c r="U137" s="154">
        <f t="shared" si="40"/>
        <v>2.7380337195665491E-3</v>
      </c>
      <c r="V137" s="154">
        <f t="shared" si="40"/>
        <v>2.638313880353251E-3</v>
      </c>
      <c r="W137" s="154">
        <f t="shared" si="42"/>
        <v>2.4460209438637525E-3</v>
      </c>
      <c r="DA137" s="212"/>
    </row>
    <row r="138" spans="1:105" ht="11.45" customHeight="1" x14ac:dyDescent="0.25">
      <c r="A138" s="155" t="s">
        <v>20</v>
      </c>
      <c r="B138" s="156">
        <f t="shared" si="40"/>
        <v>0.54809812910128786</v>
      </c>
      <c r="C138" s="156">
        <f t="shared" si="40"/>
        <v>0.56636837329843459</v>
      </c>
      <c r="D138" s="156">
        <f t="shared" si="40"/>
        <v>0.52239933595457255</v>
      </c>
      <c r="E138" s="156">
        <f t="shared" si="40"/>
        <v>0.53760215482125073</v>
      </c>
      <c r="F138" s="156">
        <f t="shared" si="40"/>
        <v>0.53275249502586175</v>
      </c>
      <c r="G138" s="156">
        <f t="shared" si="40"/>
        <v>0.54864311863313275</v>
      </c>
      <c r="H138" s="156">
        <f t="shared" si="40"/>
        <v>0.57575738206679095</v>
      </c>
      <c r="I138" s="156">
        <f t="shared" si="40"/>
        <v>0.60449963920169458</v>
      </c>
      <c r="J138" s="156">
        <f t="shared" si="40"/>
        <v>0.60979687052504972</v>
      </c>
      <c r="K138" s="156">
        <f t="shared" si="40"/>
        <v>0.65183401972710586</v>
      </c>
      <c r="L138" s="156">
        <f t="shared" si="41"/>
        <v>0.62986278584296973</v>
      </c>
      <c r="M138" s="156">
        <f t="shared" si="40"/>
        <v>0.61446286455552857</v>
      </c>
      <c r="N138" s="156">
        <f t="shared" si="40"/>
        <v>0.61969638378523895</v>
      </c>
      <c r="O138" s="156">
        <f t="shared" si="40"/>
        <v>0.62281657477828878</v>
      </c>
      <c r="P138" s="156">
        <f t="shared" si="40"/>
        <v>0.62803951895374976</v>
      </c>
      <c r="Q138" s="156">
        <f t="shared" si="40"/>
        <v>0.64249197724964735</v>
      </c>
      <c r="R138" s="156">
        <f t="shared" si="40"/>
        <v>0.64198014635714951</v>
      </c>
      <c r="S138" s="156">
        <f t="shared" si="40"/>
        <v>0.64469621138926703</v>
      </c>
      <c r="T138" s="156">
        <f t="shared" si="40"/>
        <v>0.64759417012979781</v>
      </c>
      <c r="U138" s="156">
        <f t="shared" si="40"/>
        <v>0.65380547740347283</v>
      </c>
      <c r="V138" s="156">
        <f t="shared" si="40"/>
        <v>0.65188790535371233</v>
      </c>
      <c r="W138" s="156">
        <f t="shared" si="42"/>
        <v>0.62455619931330342</v>
      </c>
      <c r="DA138" s="213"/>
    </row>
    <row r="139" spans="1:105" ht="11.45" customHeight="1" x14ac:dyDescent="0.25">
      <c r="A139" s="157" t="s">
        <v>110</v>
      </c>
      <c r="B139" s="103">
        <f t="shared" si="40"/>
        <v>0.50853098455180856</v>
      </c>
      <c r="C139" s="103">
        <f t="shared" si="40"/>
        <v>0.50688559308826175</v>
      </c>
      <c r="D139" s="103">
        <f t="shared" si="40"/>
        <v>0.44774350583352029</v>
      </c>
      <c r="E139" s="103">
        <f t="shared" si="40"/>
        <v>0.44468828743122191</v>
      </c>
      <c r="F139" s="103">
        <f t="shared" si="40"/>
        <v>0.4128443483844122</v>
      </c>
      <c r="G139" s="103">
        <f t="shared" si="40"/>
        <v>0.40845325533601157</v>
      </c>
      <c r="H139" s="103">
        <f t="shared" si="40"/>
        <v>0.40640287884609705</v>
      </c>
      <c r="I139" s="103">
        <f t="shared" si="40"/>
        <v>0.4099888449127842</v>
      </c>
      <c r="J139" s="103">
        <f t="shared" si="40"/>
        <v>0.41974271846638389</v>
      </c>
      <c r="K139" s="103">
        <f t="shared" si="40"/>
        <v>0.42549054305368583</v>
      </c>
      <c r="L139" s="103">
        <f t="shared" si="41"/>
        <v>0.38897631091939894</v>
      </c>
      <c r="M139" s="103">
        <f t="shared" si="40"/>
        <v>0.34836087753144629</v>
      </c>
      <c r="N139" s="103">
        <f t="shared" si="40"/>
        <v>0.3254788885449954</v>
      </c>
      <c r="O139" s="103">
        <f t="shared" si="40"/>
        <v>0.31110441055973376</v>
      </c>
      <c r="P139" s="103">
        <f t="shared" si="40"/>
        <v>0.31055801243314896</v>
      </c>
      <c r="Q139" s="103">
        <f t="shared" si="40"/>
        <v>0.29969782983811416</v>
      </c>
      <c r="R139" s="103">
        <f t="shared" si="40"/>
        <v>0.30870103618883776</v>
      </c>
      <c r="S139" s="103">
        <f t="shared" si="40"/>
        <v>0.31479015874172189</v>
      </c>
      <c r="T139" s="103">
        <f t="shared" si="40"/>
        <v>0.31424499441293152</v>
      </c>
      <c r="U139" s="103">
        <f t="shared" si="40"/>
        <v>0.31971103655342969</v>
      </c>
      <c r="V139" s="103">
        <f t="shared" si="40"/>
        <v>0.26831694255173921</v>
      </c>
      <c r="W139" s="103">
        <f t="shared" si="42"/>
        <v>0.23650632141837713</v>
      </c>
      <c r="DA139" s="191"/>
    </row>
    <row r="140" spans="1:105" ht="11.45" customHeight="1" x14ac:dyDescent="0.25">
      <c r="A140" s="157" t="s">
        <v>111</v>
      </c>
      <c r="B140" s="103">
        <f t="shared" si="40"/>
        <v>3.8211774360124622E-2</v>
      </c>
      <c r="C140" s="103">
        <f t="shared" si="40"/>
        <v>5.8212106562699255E-2</v>
      </c>
      <c r="D140" s="103">
        <f t="shared" si="40"/>
        <v>7.3278437329555787E-2</v>
      </c>
      <c r="E140" s="103">
        <f t="shared" si="40"/>
        <v>9.1337170889610131E-2</v>
      </c>
      <c r="F140" s="103">
        <f t="shared" si="40"/>
        <v>0.11815362714144104</v>
      </c>
      <c r="G140" s="103">
        <f t="shared" si="40"/>
        <v>0.13820056262535477</v>
      </c>
      <c r="H140" s="103">
        <f t="shared" si="40"/>
        <v>0.16690493300951345</v>
      </c>
      <c r="I140" s="103">
        <f t="shared" si="40"/>
        <v>0.19253540467757185</v>
      </c>
      <c r="J140" s="103">
        <f t="shared" si="40"/>
        <v>0.18719578959421712</v>
      </c>
      <c r="K140" s="103">
        <f t="shared" si="40"/>
        <v>0.223041462070242</v>
      </c>
      <c r="L140" s="103">
        <f t="shared" si="41"/>
        <v>0.23799898969253047</v>
      </c>
      <c r="M140" s="103">
        <f t="shared" si="40"/>
        <v>0.26299502770499383</v>
      </c>
      <c r="N140" s="103">
        <f t="shared" si="40"/>
        <v>0.29021431865591324</v>
      </c>
      <c r="O140" s="103">
        <f t="shared" si="40"/>
        <v>0.30676356004779726</v>
      </c>
      <c r="P140" s="103">
        <f t="shared" si="40"/>
        <v>0.31146385848876662</v>
      </c>
      <c r="Q140" s="103">
        <f t="shared" si="40"/>
        <v>0.33571274928941935</v>
      </c>
      <c r="R140" s="103">
        <f t="shared" si="40"/>
        <v>0.32509055696003403</v>
      </c>
      <c r="S140" s="103">
        <f t="shared" si="40"/>
        <v>0.32003252921603015</v>
      </c>
      <c r="T140" s="103">
        <f t="shared" si="40"/>
        <v>0.32089920215198969</v>
      </c>
      <c r="U140" s="103">
        <f t="shared" si="40"/>
        <v>0.31524816186373006</v>
      </c>
      <c r="V140" s="103">
        <f t="shared" si="40"/>
        <v>0.35845954713718142</v>
      </c>
      <c r="W140" s="103">
        <f t="shared" si="42"/>
        <v>0.36066781588753516</v>
      </c>
      <c r="DA140" s="191"/>
    </row>
    <row r="141" spans="1:105" ht="11.45" customHeight="1" x14ac:dyDescent="0.25">
      <c r="A141" s="157" t="s">
        <v>112</v>
      </c>
      <c r="B141" s="103">
        <f t="shared" si="40"/>
        <v>1.3553701893547249E-3</v>
      </c>
      <c r="C141" s="103">
        <f t="shared" si="40"/>
        <v>1.2706736474736528E-3</v>
      </c>
      <c r="D141" s="103">
        <f t="shared" si="40"/>
        <v>1.3773927914964678E-3</v>
      </c>
      <c r="E141" s="103">
        <f t="shared" si="40"/>
        <v>1.5766965004187163E-3</v>
      </c>
      <c r="F141" s="103">
        <f t="shared" si="40"/>
        <v>1.7545195000085055E-3</v>
      </c>
      <c r="G141" s="103">
        <f t="shared" si="40"/>
        <v>1.9893006717662956E-3</v>
      </c>
      <c r="H141" s="103">
        <f t="shared" si="40"/>
        <v>2.4495702111803357E-3</v>
      </c>
      <c r="I141" s="103">
        <f t="shared" si="40"/>
        <v>1.9753896113385242E-3</v>
      </c>
      <c r="J141" s="103">
        <f t="shared" si="40"/>
        <v>2.8583624644486329E-3</v>
      </c>
      <c r="K141" s="103">
        <f t="shared" si="40"/>
        <v>3.3020146031780776E-3</v>
      </c>
      <c r="L141" s="103">
        <f t="shared" si="41"/>
        <v>2.8838300277016921E-3</v>
      </c>
      <c r="M141" s="103">
        <f t="shared" si="40"/>
        <v>3.094683206897745E-3</v>
      </c>
      <c r="N141" s="103">
        <f t="shared" si="40"/>
        <v>3.9795875432955532E-3</v>
      </c>
      <c r="O141" s="103">
        <f t="shared" si="40"/>
        <v>4.7586483667730285E-3</v>
      </c>
      <c r="P141" s="103">
        <f t="shared" si="40"/>
        <v>5.6484022057180323E-3</v>
      </c>
      <c r="Q141" s="103">
        <f t="shared" si="40"/>
        <v>6.5290911260646785E-3</v>
      </c>
      <c r="R141" s="103">
        <f t="shared" si="40"/>
        <v>7.1128100771078277E-3</v>
      </c>
      <c r="S141" s="103">
        <f t="shared" si="40"/>
        <v>8.2547687901092116E-3</v>
      </c>
      <c r="T141" s="103">
        <f t="shared" si="40"/>
        <v>9.7498971736409319E-3</v>
      </c>
      <c r="U141" s="103">
        <f t="shared" si="40"/>
        <v>1.1746396630645832E-2</v>
      </c>
      <c r="V141" s="103">
        <f t="shared" si="40"/>
        <v>1.2171857112650038E-2</v>
      </c>
      <c r="W141" s="103">
        <f t="shared" si="42"/>
        <v>1.1893904864964052E-2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3.6552033385645117E-6</v>
      </c>
      <c r="M142" s="103">
        <f t="shared" si="40"/>
        <v>1.2276112190671637E-5</v>
      </c>
      <c r="N142" s="103">
        <f t="shared" si="40"/>
        <v>2.3589041034671142E-5</v>
      </c>
      <c r="O142" s="103">
        <f t="shared" si="40"/>
        <v>1.8995580398477129E-4</v>
      </c>
      <c r="P142" s="103">
        <f t="shared" si="40"/>
        <v>3.6323097217500812E-4</v>
      </c>
      <c r="Q142" s="103">
        <f t="shared" si="40"/>
        <v>5.4049784452382275E-4</v>
      </c>
      <c r="R142" s="103">
        <f t="shared" si="40"/>
        <v>1.0605906654652523E-3</v>
      </c>
      <c r="S142" s="103">
        <f t="shared" si="40"/>
        <v>1.6000929317237394E-3</v>
      </c>
      <c r="T142" s="103">
        <f t="shared" si="40"/>
        <v>2.6708346072401357E-3</v>
      </c>
      <c r="U142" s="103">
        <f t="shared" si="40"/>
        <v>7.0648515635937589E-3</v>
      </c>
      <c r="V142" s="103">
        <f t="shared" si="40"/>
        <v>1.2878319405465934E-2</v>
      </c>
      <c r="W142" s="103">
        <f t="shared" si="42"/>
        <v>1.535733683266381E-2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0</v>
      </c>
      <c r="P143" s="103">
        <f t="shared" si="40"/>
        <v>6.0148539410988796E-6</v>
      </c>
      <c r="Q143" s="103">
        <f t="shared" si="40"/>
        <v>1.180915152543234E-5</v>
      </c>
      <c r="R143" s="103">
        <f t="shared" si="40"/>
        <v>1.5152465704599314E-5</v>
      </c>
      <c r="S143" s="103">
        <f t="shared" si="40"/>
        <v>1.8661709682043718E-5</v>
      </c>
      <c r="T143" s="103">
        <f t="shared" si="40"/>
        <v>2.9241783995504814E-5</v>
      </c>
      <c r="U143" s="103">
        <f t="shared" si="40"/>
        <v>3.5030792073468814E-5</v>
      </c>
      <c r="V143" s="103">
        <f t="shared" si="40"/>
        <v>6.1239146675612588E-5</v>
      </c>
      <c r="W143" s="103">
        <f t="shared" si="42"/>
        <v>1.3082030976336648E-4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0.17579800755695138</v>
      </c>
      <c r="C145" s="156">
        <f t="shared" si="40"/>
        <v>0.17159910938089587</v>
      </c>
      <c r="D145" s="156">
        <f t="shared" si="40"/>
        <v>0.18261671617422393</v>
      </c>
      <c r="E145" s="156">
        <f t="shared" si="40"/>
        <v>0.16671335369171675</v>
      </c>
      <c r="F145" s="156">
        <f t="shared" si="40"/>
        <v>0.16692103670159569</v>
      </c>
      <c r="G145" s="156">
        <f t="shared" si="40"/>
        <v>0.16715718993163797</v>
      </c>
      <c r="H145" s="156">
        <f t="shared" si="40"/>
        <v>0.15793920741688311</v>
      </c>
      <c r="I145" s="156">
        <f t="shared" si="40"/>
        <v>0.12798414906167185</v>
      </c>
      <c r="J145" s="156">
        <f t="shared" si="40"/>
        <v>0.11923535067940479</v>
      </c>
      <c r="K145" s="156">
        <f t="shared" si="40"/>
        <v>0.11553382937819846</v>
      </c>
      <c r="L145" s="156">
        <f t="shared" si="41"/>
        <v>0.11898845188623691</v>
      </c>
      <c r="M145" s="156">
        <f t="shared" si="40"/>
        <v>0.11506377760382995</v>
      </c>
      <c r="N145" s="156">
        <f t="shared" si="40"/>
        <v>0.11428944732066404</v>
      </c>
      <c r="O145" s="156">
        <f t="shared" si="40"/>
        <v>0.11595343835774709</v>
      </c>
      <c r="P145" s="156">
        <f t="shared" si="40"/>
        <v>0.1200920961787008</v>
      </c>
      <c r="Q145" s="156">
        <f t="shared" si="40"/>
        <v>0.11852258213051507</v>
      </c>
      <c r="R145" s="156">
        <f t="shared" si="40"/>
        <v>0.12874677022993286</v>
      </c>
      <c r="S145" s="156">
        <f t="shared" si="40"/>
        <v>0.14179838308531631</v>
      </c>
      <c r="T145" s="156">
        <f t="shared" si="40"/>
        <v>0.13534451633586661</v>
      </c>
      <c r="U145" s="156">
        <f t="shared" si="40"/>
        <v>0.12528831790586129</v>
      </c>
      <c r="V145" s="156">
        <f t="shared" si="40"/>
        <v>0.12651636004208275</v>
      </c>
      <c r="W145" s="156">
        <f t="shared" si="42"/>
        <v>0.12881935874809011</v>
      </c>
      <c r="DA145" s="213"/>
    </row>
    <row r="146" spans="1:105" ht="11.45" customHeight="1" x14ac:dyDescent="0.25">
      <c r="A146" s="157" t="s">
        <v>110</v>
      </c>
      <c r="B146" s="103">
        <f t="shared" si="40"/>
        <v>2.1447249223338846E-2</v>
      </c>
      <c r="C146" s="103">
        <f t="shared" si="40"/>
        <v>1.5367666547675629E-2</v>
      </c>
      <c r="D146" s="103">
        <f t="shared" si="40"/>
        <v>1.2702271787082869E-2</v>
      </c>
      <c r="E146" s="103">
        <f t="shared" si="40"/>
        <v>1.1011720968270531E-2</v>
      </c>
      <c r="F146" s="103">
        <f t="shared" si="40"/>
        <v>9.4836539197302987E-3</v>
      </c>
      <c r="G146" s="103">
        <f t="shared" si="40"/>
        <v>7.4199758097794983E-3</v>
      </c>
      <c r="H146" s="103">
        <f t="shared" si="40"/>
        <v>6.9864905255317168E-3</v>
      </c>
      <c r="I146" s="103">
        <f t="shared" si="40"/>
        <v>3.6540858853229938E-3</v>
      </c>
      <c r="J146" s="103">
        <f t="shared" si="40"/>
        <v>2.6318772280468903E-3</v>
      </c>
      <c r="K146" s="103">
        <f t="shared" si="40"/>
        <v>1.9989222761297482E-3</v>
      </c>
      <c r="L146" s="103">
        <f t="shared" si="41"/>
        <v>1.4693188565296019E-3</v>
      </c>
      <c r="M146" s="103">
        <f t="shared" si="40"/>
        <v>1.2760595634587054E-3</v>
      </c>
      <c r="N146" s="103">
        <f t="shared" si="40"/>
        <v>1.1856399367074757E-3</v>
      </c>
      <c r="O146" s="103">
        <f t="shared" si="40"/>
        <v>1.15198656992339E-3</v>
      </c>
      <c r="P146" s="103">
        <f t="shared" si="40"/>
        <v>1.1534519169817718E-3</v>
      </c>
      <c r="Q146" s="103">
        <f t="shared" si="40"/>
        <v>1.1376364679164946E-3</v>
      </c>
      <c r="R146" s="103">
        <f t="shared" si="40"/>
        <v>1.2383780231663983E-3</v>
      </c>
      <c r="S146" s="103">
        <f t="shared" si="40"/>
        <v>1.3343419843002966E-3</v>
      </c>
      <c r="T146" s="103">
        <f t="shared" si="40"/>
        <v>1.2401578233848707E-3</v>
      </c>
      <c r="U146" s="103">
        <f t="shared" si="40"/>
        <v>1.1234622395630634E-3</v>
      </c>
      <c r="V146" s="103">
        <f t="shared" si="40"/>
        <v>1.1134370092950579E-3</v>
      </c>
      <c r="W146" s="103">
        <f t="shared" si="42"/>
        <v>1.0876335413819479E-3</v>
      </c>
      <c r="DA146" s="191"/>
    </row>
    <row r="147" spans="1:105" ht="11.45" customHeight="1" x14ac:dyDescent="0.25">
      <c r="A147" s="157" t="s">
        <v>111</v>
      </c>
      <c r="B147" s="103">
        <f t="shared" si="40"/>
        <v>0.15435075833361256</v>
      </c>
      <c r="C147" s="103">
        <f t="shared" si="40"/>
        <v>0.15623144283322024</v>
      </c>
      <c r="D147" s="103">
        <f t="shared" si="40"/>
        <v>0.16991444438714107</v>
      </c>
      <c r="E147" s="103">
        <f t="shared" si="40"/>
        <v>0.1557016327234462</v>
      </c>
      <c r="F147" s="103">
        <f t="shared" si="40"/>
        <v>0.15743738278186536</v>
      </c>
      <c r="G147" s="103">
        <f t="shared" si="40"/>
        <v>0.15973721412185846</v>
      </c>
      <c r="H147" s="103">
        <f t="shared" si="40"/>
        <v>0.1509527168913514</v>
      </c>
      <c r="I147" s="103">
        <f t="shared" si="40"/>
        <v>0.12433006317634886</v>
      </c>
      <c r="J147" s="103">
        <f t="shared" si="40"/>
        <v>0.11660347345135791</v>
      </c>
      <c r="K147" s="103">
        <f t="shared" si="40"/>
        <v>0.11353490710206872</v>
      </c>
      <c r="L147" s="103">
        <f t="shared" si="41"/>
        <v>0.11747351823275716</v>
      </c>
      <c r="M147" s="103">
        <f t="shared" si="40"/>
        <v>0.11351261432680734</v>
      </c>
      <c r="N147" s="103">
        <f t="shared" si="40"/>
        <v>0.11254254934387996</v>
      </c>
      <c r="O147" s="103">
        <f t="shared" si="40"/>
        <v>0.1140819197038956</v>
      </c>
      <c r="P147" s="103">
        <f t="shared" si="40"/>
        <v>0.11763269265605253</v>
      </c>
      <c r="Q147" s="103">
        <f t="shared" si="40"/>
        <v>0.11504473997612874</v>
      </c>
      <c r="R147" s="103">
        <f t="shared" ref="R147:V147" si="43">IF(R29=0,0,R29/R$17)</f>
        <v>0.12437069363655343</v>
      </c>
      <c r="S147" s="103">
        <f t="shared" si="43"/>
        <v>0.13762501104652469</v>
      </c>
      <c r="T147" s="103">
        <f t="shared" si="43"/>
        <v>0.12845114536911009</v>
      </c>
      <c r="U147" s="103">
        <f t="shared" si="43"/>
        <v>0.11968506613621563</v>
      </c>
      <c r="V147" s="103">
        <f t="shared" si="43"/>
        <v>0.11773723930133971</v>
      </c>
      <c r="W147" s="103">
        <f t="shared" ref="W147" si="44">IF(W29=0,0,W29/W$17)</f>
        <v>0.11980428788014225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1.2977461727836535E-5</v>
      </c>
      <c r="U148" s="103">
        <f t="shared" si="47"/>
        <v>1.1923570752333236E-5</v>
      </c>
      <c r="V148" s="103">
        <f t="shared" si="47"/>
        <v>1.2247021027166695E-5</v>
      </c>
      <c r="W148" s="103">
        <f t="shared" ref="W148" si="48">IF(W30=0,0,W30/W$17)</f>
        <v>1.2105974646918765E-5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4.5614796950162967E-5</v>
      </c>
      <c r="M149" s="103">
        <f t="shared" ref="M149:V149" si="50">IF(M31=0,0,M31/M$17)</f>
        <v>2.7510371356391175E-4</v>
      </c>
      <c r="N149" s="103">
        <f t="shared" si="50"/>
        <v>5.6125804007660905E-4</v>
      </c>
      <c r="O149" s="103">
        <f t="shared" si="50"/>
        <v>7.1953208392811039E-4</v>
      </c>
      <c r="P149" s="103">
        <f t="shared" si="50"/>
        <v>1.3059516056664921E-3</v>
      </c>
      <c r="Q149" s="103">
        <f t="shared" si="50"/>
        <v>2.340205686469836E-3</v>
      </c>
      <c r="R149" s="103">
        <f t="shared" si="50"/>
        <v>3.137698570213066E-3</v>
      </c>
      <c r="S149" s="103">
        <f t="shared" si="50"/>
        <v>2.8390300544913097E-3</v>
      </c>
      <c r="T149" s="103">
        <f t="shared" si="50"/>
        <v>5.6402356816438234E-3</v>
      </c>
      <c r="U149" s="103">
        <f t="shared" si="50"/>
        <v>4.4678659593302642E-3</v>
      </c>
      <c r="V149" s="103">
        <f t="shared" si="50"/>
        <v>7.653436710420812E-3</v>
      </c>
      <c r="W149" s="103">
        <f t="shared" ref="W149" si="51">IF(W31=0,0,W31/W$17)</f>
        <v>7.9153313519190107E-3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0.27525702147361897</v>
      </c>
      <c r="C151" s="46">
        <f t="shared" si="55"/>
        <v>0.2613304633544753</v>
      </c>
      <c r="D151" s="46">
        <f t="shared" si="55"/>
        <v>0.2942677893948763</v>
      </c>
      <c r="E151" s="46">
        <f t="shared" si="55"/>
        <v>0.29488043239629225</v>
      </c>
      <c r="F151" s="46">
        <f t="shared" si="55"/>
        <v>0.29946465439846226</v>
      </c>
      <c r="G151" s="46">
        <f t="shared" si="55"/>
        <v>0.28328999165325863</v>
      </c>
      <c r="H151" s="46">
        <f t="shared" si="55"/>
        <v>0.26528420422334126</v>
      </c>
      <c r="I151" s="46">
        <f t="shared" si="55"/>
        <v>0.26640400582592411</v>
      </c>
      <c r="J151" s="46">
        <f t="shared" si="55"/>
        <v>0.26963811695803919</v>
      </c>
      <c r="K151" s="46">
        <f t="shared" si="55"/>
        <v>0.23109626342676665</v>
      </c>
      <c r="L151" s="46">
        <f t="shared" ref="L151" si="56">IF(L33=0,0,L33/L$17)</f>
        <v>0.24962099622141878</v>
      </c>
      <c r="M151" s="46">
        <f t="shared" ref="M151:V151" si="57">IF(M33=0,0,M33/M$17)</f>
        <v>0.26876965385247437</v>
      </c>
      <c r="N151" s="46">
        <f t="shared" si="57"/>
        <v>0.26360930992083653</v>
      </c>
      <c r="O151" s="46">
        <f t="shared" si="57"/>
        <v>0.25858541798081092</v>
      </c>
      <c r="P151" s="46">
        <f t="shared" si="57"/>
        <v>0.24907431631208629</v>
      </c>
      <c r="Q151" s="46">
        <f t="shared" si="57"/>
        <v>0.23608572298757924</v>
      </c>
      <c r="R151" s="46">
        <f t="shared" si="57"/>
        <v>0.2262478359353057</v>
      </c>
      <c r="S151" s="46">
        <f t="shared" si="57"/>
        <v>0.21072866522003034</v>
      </c>
      <c r="T151" s="46">
        <f t="shared" si="57"/>
        <v>0.21449248853321504</v>
      </c>
      <c r="U151" s="46">
        <f t="shared" si="57"/>
        <v>0.21816817097109942</v>
      </c>
      <c r="V151" s="46">
        <f t="shared" si="57"/>
        <v>0.2189574207238518</v>
      </c>
      <c r="W151" s="46">
        <f t="shared" ref="W151" si="58">IF(W33=0,0,W33/W$17)</f>
        <v>0.24417842099474268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0.17143111352077506</v>
      </c>
      <c r="C152" s="154">
        <f t="shared" si="59"/>
        <v>0.1708815950091982</v>
      </c>
      <c r="D152" s="154">
        <f t="shared" si="59"/>
        <v>0.17718290193821676</v>
      </c>
      <c r="E152" s="154">
        <f t="shared" si="59"/>
        <v>0.15040147065187509</v>
      </c>
      <c r="F152" s="154">
        <f t="shared" si="59"/>
        <v>0.1411822801538675</v>
      </c>
      <c r="G152" s="154">
        <f t="shared" si="59"/>
        <v>0.12474495517269418</v>
      </c>
      <c r="H152" s="154">
        <f t="shared" si="59"/>
        <v>0.10937836247344382</v>
      </c>
      <c r="I152" s="154">
        <f t="shared" si="59"/>
        <v>9.845489467557049E-2</v>
      </c>
      <c r="J152" s="154">
        <f t="shared" si="59"/>
        <v>9.7436491729118738E-2</v>
      </c>
      <c r="K152" s="154">
        <f t="shared" si="59"/>
        <v>9.7119264717714662E-2</v>
      </c>
      <c r="L152" s="154">
        <f t="shared" ref="L152" si="60">IF(L34=0,0,L34/L$17)</f>
        <v>0.10039065995494879</v>
      </c>
      <c r="M152" s="154">
        <f t="shared" ref="M152:V152" si="61">IF(M34=0,0,M34/M$17)</f>
        <v>0.10256579934959929</v>
      </c>
      <c r="N152" s="154">
        <f t="shared" si="61"/>
        <v>0.10318008005399754</v>
      </c>
      <c r="O152" s="154">
        <f t="shared" si="61"/>
        <v>0.1060801612912481</v>
      </c>
      <c r="P152" s="154">
        <f t="shared" si="61"/>
        <v>0.10830604795686365</v>
      </c>
      <c r="Q152" s="154">
        <f t="shared" si="61"/>
        <v>0.10446126812059697</v>
      </c>
      <c r="R152" s="154">
        <f t="shared" si="61"/>
        <v>0.10551085236443872</v>
      </c>
      <c r="S152" s="154">
        <f t="shared" si="61"/>
        <v>0.11088863322604937</v>
      </c>
      <c r="T152" s="154">
        <f t="shared" si="61"/>
        <v>0.11710738162524076</v>
      </c>
      <c r="U152" s="154">
        <f t="shared" si="61"/>
        <v>0.12799077315697327</v>
      </c>
      <c r="V152" s="154">
        <f t="shared" si="61"/>
        <v>0.13500703856679916</v>
      </c>
      <c r="W152" s="154">
        <f t="shared" ref="W152" si="62">IF(W34=0,0,W34/W$17)</f>
        <v>0.14003172449021214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4.2921565946575375E-2</v>
      </c>
      <c r="C153" s="103">
        <f t="shared" si="63"/>
        <v>3.8788369461333141E-2</v>
      </c>
      <c r="D153" s="103">
        <f t="shared" si="63"/>
        <v>3.6210688532577952E-2</v>
      </c>
      <c r="E153" s="103">
        <f t="shared" si="63"/>
        <v>3.4129262701929015E-2</v>
      </c>
      <c r="F153" s="103">
        <f t="shared" si="63"/>
        <v>3.37367032668155E-2</v>
      </c>
      <c r="G153" s="103">
        <f t="shared" si="63"/>
        <v>2.8338633700113514E-2</v>
      </c>
      <c r="H153" s="103">
        <f t="shared" si="63"/>
        <v>2.5877612572488901E-2</v>
      </c>
      <c r="I153" s="103">
        <f t="shared" si="63"/>
        <v>2.0508397878558109E-2</v>
      </c>
      <c r="J153" s="103">
        <f t="shared" si="63"/>
        <v>2.0275693242367627E-2</v>
      </c>
      <c r="K153" s="103">
        <f t="shared" si="63"/>
        <v>2.0099553026041449E-2</v>
      </c>
      <c r="L153" s="103">
        <f t="shared" ref="L153" si="64">IF(L35=0,0,L35/L$17)</f>
        <v>1.7160808733443427E-2</v>
      </c>
      <c r="M153" s="103">
        <f t="shared" ref="M153:V153" si="65">IF(M35=0,0,M35/M$17)</f>
        <v>1.7463508079599673E-2</v>
      </c>
      <c r="N153" s="103">
        <f t="shared" si="65"/>
        <v>1.6187176071380805E-2</v>
      </c>
      <c r="O153" s="103">
        <f t="shared" si="65"/>
        <v>1.4824323260206418E-2</v>
      </c>
      <c r="P153" s="103">
        <f t="shared" si="65"/>
        <v>1.4155836539175081E-2</v>
      </c>
      <c r="Q153" s="103">
        <f t="shared" si="65"/>
        <v>1.3396073715714527E-2</v>
      </c>
      <c r="R153" s="103">
        <f t="shared" si="65"/>
        <v>1.2338136627138944E-2</v>
      </c>
      <c r="S153" s="103">
        <f t="shared" si="65"/>
        <v>1.2005097300040821E-2</v>
      </c>
      <c r="T153" s="103">
        <f t="shared" si="65"/>
        <v>1.303581725452058E-2</v>
      </c>
      <c r="U153" s="103">
        <f t="shared" si="65"/>
        <v>1.2569790809689983E-2</v>
      </c>
      <c r="V153" s="103">
        <f t="shared" si="65"/>
        <v>1.2056314353221369E-2</v>
      </c>
      <c r="W153" s="103">
        <f t="shared" ref="W153" si="66">IF(W35=0,0,W35/W$17)</f>
        <v>1.0384585618426589E-2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0.12850954757419966</v>
      </c>
      <c r="C154" s="103">
        <f t="shared" si="67"/>
        <v>0.13209322554786504</v>
      </c>
      <c r="D154" s="103">
        <f t="shared" si="67"/>
        <v>0.14097221340563881</v>
      </c>
      <c r="E154" s="103">
        <f t="shared" si="67"/>
        <v>0.11627220794994608</v>
      </c>
      <c r="F154" s="103">
        <f t="shared" si="67"/>
        <v>0.10744557688705199</v>
      </c>
      <c r="G154" s="103">
        <f t="shared" si="67"/>
        <v>9.6406321472580658E-2</v>
      </c>
      <c r="H154" s="103">
        <f t="shared" si="67"/>
        <v>8.3500749900954921E-2</v>
      </c>
      <c r="I154" s="103">
        <f t="shared" si="67"/>
        <v>7.7946496797012377E-2</v>
      </c>
      <c r="J154" s="103">
        <f t="shared" si="67"/>
        <v>7.7160798486751114E-2</v>
      </c>
      <c r="K154" s="103">
        <f t="shared" si="67"/>
        <v>7.7019711691673223E-2</v>
      </c>
      <c r="L154" s="103">
        <f t="shared" ref="L154" si="68">IF(L36=0,0,L36/L$17)</f>
        <v>8.3229851221505377E-2</v>
      </c>
      <c r="M154" s="103">
        <f t="shared" ref="M154:V154" si="69">IF(M36=0,0,M36/M$17)</f>
        <v>8.5102291269999616E-2</v>
      </c>
      <c r="N154" s="103">
        <f t="shared" si="69"/>
        <v>8.6992001980140038E-2</v>
      </c>
      <c r="O154" s="103">
        <f t="shared" si="69"/>
        <v>9.1211660117028762E-2</v>
      </c>
      <c r="P154" s="103">
        <f t="shared" si="69"/>
        <v>9.4092080726037031E-2</v>
      </c>
      <c r="Q154" s="103">
        <f t="shared" si="69"/>
        <v>9.0987688678115491E-2</v>
      </c>
      <c r="R154" s="103">
        <f t="shared" si="69"/>
        <v>9.3096471737051364E-2</v>
      </c>
      <c r="S154" s="103">
        <f t="shared" si="69"/>
        <v>9.8745402827278214E-2</v>
      </c>
      <c r="T154" s="103">
        <f t="shared" si="69"/>
        <v>0.10391826223975675</v>
      </c>
      <c r="U154" s="103">
        <f t="shared" si="69"/>
        <v>0.11523803846336532</v>
      </c>
      <c r="V154" s="103">
        <f t="shared" si="69"/>
        <v>0.12269178920770889</v>
      </c>
      <c r="W154" s="103">
        <f t="shared" ref="W154" si="70">IF(W36=0,0,W36/W$17)</f>
        <v>0.1294075316402386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7.4186701837040851E-7</v>
      </c>
      <c r="S155" s="103">
        <f t="shared" si="73"/>
        <v>8.5615290883968872E-6</v>
      </c>
      <c r="T155" s="103">
        <f t="shared" si="73"/>
        <v>1.0422949762340116E-5</v>
      </c>
      <c r="U155" s="103">
        <f t="shared" si="73"/>
        <v>1.4383070743224283E-5</v>
      </c>
      <c r="V155" s="103">
        <f t="shared" si="73"/>
        <v>1.455152276311174E-5</v>
      </c>
      <c r="W155" s="103">
        <f t="shared" ref="W155" si="74">IF(W37=0,0,W37/W$17)</f>
        <v>1.3956377447587228E-5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9.0200247669819135E-7</v>
      </c>
      <c r="O156" s="103">
        <f t="shared" si="77"/>
        <v>4.4177914012927797E-5</v>
      </c>
      <c r="P156" s="103">
        <f t="shared" si="77"/>
        <v>5.8130691651539421E-5</v>
      </c>
      <c r="Q156" s="103">
        <f t="shared" si="77"/>
        <v>7.7505726766953175E-5</v>
      </c>
      <c r="R156" s="103">
        <f t="shared" si="77"/>
        <v>7.5502133230032824E-5</v>
      </c>
      <c r="S156" s="103">
        <f t="shared" si="77"/>
        <v>1.2957156964193219E-4</v>
      </c>
      <c r="T156" s="103">
        <f t="shared" si="77"/>
        <v>1.4287918120110346E-4</v>
      </c>
      <c r="U156" s="103">
        <f t="shared" si="77"/>
        <v>1.6856081317477331E-4</v>
      </c>
      <c r="V156" s="103">
        <f t="shared" si="77"/>
        <v>2.4438348310578431E-4</v>
      </c>
      <c r="W156" s="103">
        <f t="shared" ref="W156" si="78">IF(W38=0,0,W38/W$17)</f>
        <v>2.2565085409935936E-4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0.10382590795284391</v>
      </c>
      <c r="C158" s="156">
        <f t="shared" si="83"/>
        <v>9.04488683452771E-2</v>
      </c>
      <c r="D158" s="156">
        <f t="shared" si="83"/>
        <v>0.11708488745665956</v>
      </c>
      <c r="E158" s="156">
        <f t="shared" si="83"/>
        <v>0.14447896174441716</v>
      </c>
      <c r="F158" s="156">
        <f t="shared" si="83"/>
        <v>0.15828237424459476</v>
      </c>
      <c r="G158" s="156">
        <f t="shared" si="83"/>
        <v>0.15854503648056442</v>
      </c>
      <c r="H158" s="156">
        <f t="shared" si="83"/>
        <v>0.15590584174989741</v>
      </c>
      <c r="I158" s="156">
        <f t="shared" si="83"/>
        <v>0.1679491111503536</v>
      </c>
      <c r="J158" s="156">
        <f t="shared" si="83"/>
        <v>0.17220162522892046</v>
      </c>
      <c r="K158" s="156">
        <f t="shared" si="83"/>
        <v>0.13397699870905197</v>
      </c>
      <c r="L158" s="156">
        <f t="shared" ref="L158" si="84">IF(L40=0,0,L40/L$17)</f>
        <v>0.14923033626647</v>
      </c>
      <c r="M158" s="156">
        <f t="shared" ref="M158:V158" si="85">IF(M40=0,0,M40/M$17)</f>
        <v>0.16620385450287506</v>
      </c>
      <c r="N158" s="156">
        <f t="shared" si="85"/>
        <v>0.16042922986683897</v>
      </c>
      <c r="O158" s="156">
        <f t="shared" si="85"/>
        <v>0.1525052566895628</v>
      </c>
      <c r="P158" s="156">
        <f t="shared" si="85"/>
        <v>0.14076826835522263</v>
      </c>
      <c r="Q158" s="156">
        <f t="shared" si="85"/>
        <v>0.13162445486698229</v>
      </c>
      <c r="R158" s="156">
        <f t="shared" si="85"/>
        <v>0.12073698357086698</v>
      </c>
      <c r="S158" s="156">
        <f t="shared" si="85"/>
        <v>9.9840031993980963E-2</v>
      </c>
      <c r="T158" s="156">
        <f t="shared" si="85"/>
        <v>9.7385106907974264E-2</v>
      </c>
      <c r="U158" s="156">
        <f t="shared" si="85"/>
        <v>9.0177397814126176E-2</v>
      </c>
      <c r="V158" s="156">
        <f t="shared" si="85"/>
        <v>8.3950382157052639E-2</v>
      </c>
      <c r="W158" s="156">
        <f t="shared" ref="W158" si="86">IF(W40=0,0,W40/W$17)</f>
        <v>0.10414669650453057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7.0474962444179792E-2</v>
      </c>
      <c r="C159" s="103">
        <f t="shared" si="87"/>
        <v>5.551827104100257E-2</v>
      </c>
      <c r="D159" s="103">
        <f t="shared" si="87"/>
        <v>7.8949881680297318E-2</v>
      </c>
      <c r="E159" s="103">
        <f t="shared" si="87"/>
        <v>0.11080164906330926</v>
      </c>
      <c r="F159" s="103">
        <f t="shared" si="87"/>
        <v>0.11898336884109921</v>
      </c>
      <c r="G159" s="103">
        <f t="shared" si="87"/>
        <v>0.11890969433554541</v>
      </c>
      <c r="H159" s="103">
        <f t="shared" si="87"/>
        <v>0.11672612211612594</v>
      </c>
      <c r="I159" s="103">
        <f t="shared" si="87"/>
        <v>0.12462605690573245</v>
      </c>
      <c r="J159" s="103">
        <f t="shared" si="87"/>
        <v>0.12963606406855027</v>
      </c>
      <c r="K159" s="103">
        <f t="shared" si="87"/>
        <v>9.8056169783608052E-2</v>
      </c>
      <c r="L159" s="103">
        <f t="shared" ref="L159" si="88">IF(L41=0,0,L41/L$17)</f>
        <v>0.10639856746812273</v>
      </c>
      <c r="M159" s="103">
        <f t="shared" ref="M159:V159" si="89">IF(M41=0,0,M41/M$17)</f>
        <v>0.11633863816678226</v>
      </c>
      <c r="N159" s="103">
        <f t="shared" si="89"/>
        <v>0.11065218263015096</v>
      </c>
      <c r="O159" s="103">
        <f t="shared" si="89"/>
        <v>0.10093566033145727</v>
      </c>
      <c r="P159" s="103">
        <f t="shared" si="89"/>
        <v>9.0647758988425836E-2</v>
      </c>
      <c r="Q159" s="103">
        <f t="shared" si="89"/>
        <v>7.8850808662612751E-2</v>
      </c>
      <c r="R159" s="103">
        <f t="shared" si="89"/>
        <v>7.6060193914856272E-2</v>
      </c>
      <c r="S159" s="103">
        <f t="shared" si="89"/>
        <v>5.9418611114623696E-2</v>
      </c>
      <c r="T159" s="103">
        <f t="shared" si="89"/>
        <v>5.8322416340398232E-2</v>
      </c>
      <c r="U159" s="103">
        <f t="shared" si="89"/>
        <v>5.3519162681107249E-2</v>
      </c>
      <c r="V159" s="103">
        <f t="shared" si="89"/>
        <v>4.1934924709019959E-2</v>
      </c>
      <c r="W159" s="103">
        <f t="shared" ref="W159" si="90">IF(W41=0,0,W41/W$17)</f>
        <v>6.2749744755678349E-2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3.3350945508664118E-2</v>
      </c>
      <c r="C160" s="105">
        <f t="shared" si="91"/>
        <v>3.4930597304274537E-2</v>
      </c>
      <c r="D160" s="105">
        <f t="shared" si="91"/>
        <v>3.8135005776362245E-2</v>
      </c>
      <c r="E160" s="105">
        <f t="shared" si="91"/>
        <v>3.36773126811079E-2</v>
      </c>
      <c r="F160" s="105">
        <f t="shared" si="91"/>
        <v>3.9299005403495561E-2</v>
      </c>
      <c r="G160" s="105">
        <f t="shared" si="91"/>
        <v>3.9635342145019022E-2</v>
      </c>
      <c r="H160" s="105">
        <f t="shared" si="91"/>
        <v>3.9179719633771488E-2</v>
      </c>
      <c r="I160" s="105">
        <f t="shared" si="91"/>
        <v>4.332305424462117E-2</v>
      </c>
      <c r="J160" s="105">
        <f t="shared" si="91"/>
        <v>4.2565561160370198E-2</v>
      </c>
      <c r="K160" s="105">
        <f t="shared" si="91"/>
        <v>3.5920828925443932E-2</v>
      </c>
      <c r="L160" s="105">
        <f t="shared" ref="L160" si="92">IF(L42=0,0,L42/L$17)</f>
        <v>4.2831768798347263E-2</v>
      </c>
      <c r="M160" s="105">
        <f t="shared" ref="M160:V160" si="93">IF(M42=0,0,M42/M$17)</f>
        <v>4.9865216336092803E-2</v>
      </c>
      <c r="N160" s="105">
        <f t="shared" si="93"/>
        <v>4.9777047236688028E-2</v>
      </c>
      <c r="O160" s="105">
        <f t="shared" si="93"/>
        <v>5.1569596358105541E-2</v>
      </c>
      <c r="P160" s="105">
        <f t="shared" si="93"/>
        <v>5.0120509366796795E-2</v>
      </c>
      <c r="Q160" s="105">
        <f t="shared" si="93"/>
        <v>5.2773646204369515E-2</v>
      </c>
      <c r="R160" s="105">
        <f t="shared" si="93"/>
        <v>4.4676789656010713E-2</v>
      </c>
      <c r="S160" s="105">
        <f t="shared" si="93"/>
        <v>4.0421420879357267E-2</v>
      </c>
      <c r="T160" s="105">
        <f t="shared" si="93"/>
        <v>3.9062690567576025E-2</v>
      </c>
      <c r="U160" s="105">
        <f t="shared" si="93"/>
        <v>3.665823513301892E-2</v>
      </c>
      <c r="V160" s="105">
        <f t="shared" si="93"/>
        <v>4.2015457448032686E-2</v>
      </c>
      <c r="W160" s="105">
        <f t="shared" ref="W160" si="94">IF(W42=0,0,W42/W$17)</f>
        <v>4.1396951748852218E-2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485783</v>
      </c>
      <c r="C3" s="54">
        <f>TrRoad_act!C57</f>
        <v>477251</v>
      </c>
      <c r="D3" s="54">
        <f>TrRoad_act!D57</f>
        <v>471186</v>
      </c>
      <c r="E3" s="54">
        <f>TrRoad_act!E57</f>
        <v>507680</v>
      </c>
      <c r="F3" s="54">
        <f>TrRoad_act!F57</f>
        <v>543906</v>
      </c>
      <c r="G3" s="54">
        <f>TrRoad_act!G57</f>
        <v>566494</v>
      </c>
      <c r="H3" s="54">
        <f>TrRoad_act!H57</f>
        <v>579906</v>
      </c>
      <c r="I3" s="54">
        <f>TrRoad_act!I57</f>
        <v>600686</v>
      </c>
      <c r="J3" s="54">
        <f>TrRoad_act!J57</f>
        <v>634094</v>
      </c>
      <c r="K3" s="54">
        <f>TrRoad_act!K57</f>
        <v>627025</v>
      </c>
      <c r="L3" s="54">
        <f>TrRoad_act!L57</f>
        <v>635232</v>
      </c>
      <c r="M3" s="54">
        <f>TrRoad_act!M57</f>
        <v>663237</v>
      </c>
      <c r="N3" s="54">
        <f>TrRoad_act!N57</f>
        <v>707362</v>
      </c>
      <c r="O3" s="54">
        <f>TrRoad_act!O57</f>
        <v>741461</v>
      </c>
      <c r="P3" s="54">
        <f>TrRoad_act!P57</f>
        <v>773961</v>
      </c>
      <c r="Q3" s="54">
        <f>TrRoad_act!Q57</f>
        <v>806210</v>
      </c>
      <c r="R3" s="54">
        <f>TrRoad_act!R57</f>
        <v>842493</v>
      </c>
      <c r="S3" s="54">
        <f>TrRoad_act!S57</f>
        <v>875224</v>
      </c>
      <c r="T3" s="54">
        <f>TrRoad_act!T57</f>
        <v>905727</v>
      </c>
      <c r="U3" s="54">
        <f>TrRoad_act!U57</f>
        <v>967714</v>
      </c>
      <c r="V3" s="54">
        <f>TrRoad_act!V57</f>
        <v>988938</v>
      </c>
      <c r="W3" s="54">
        <f>TrRoad_act!W57</f>
        <v>1013537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425150</v>
      </c>
      <c r="C4" s="28">
        <f>TrRoad_act!C58</f>
        <v>419862</v>
      </c>
      <c r="D4" s="28">
        <f>TrRoad_act!D58</f>
        <v>413547</v>
      </c>
      <c r="E4" s="28">
        <f>TrRoad_act!E58</f>
        <v>447604</v>
      </c>
      <c r="F4" s="28">
        <f>TrRoad_act!F58</f>
        <v>485513</v>
      </c>
      <c r="G4" s="28">
        <f>TrRoad_act!G58</f>
        <v>509355</v>
      </c>
      <c r="H4" s="28">
        <f>TrRoad_act!H58</f>
        <v>522781</v>
      </c>
      <c r="I4" s="28">
        <f>TrRoad_act!I58</f>
        <v>543249</v>
      </c>
      <c r="J4" s="28">
        <f>TrRoad_act!J58</f>
        <v>573862</v>
      </c>
      <c r="K4" s="28">
        <f>TrRoad_act!K58</f>
        <v>568436</v>
      </c>
      <c r="L4" s="28">
        <f>TrRoad_act!L58</f>
        <v>576661</v>
      </c>
      <c r="M4" s="28">
        <f>TrRoad_act!M58</f>
        <v>601487</v>
      </c>
      <c r="N4" s="28">
        <f>TrRoad_act!N58</f>
        <v>641796</v>
      </c>
      <c r="O4" s="28">
        <f>TrRoad_act!O58</f>
        <v>671871</v>
      </c>
      <c r="P4" s="28">
        <f>TrRoad_act!P58</f>
        <v>699976</v>
      </c>
      <c r="Q4" s="28">
        <f>TrRoad_act!Q58</f>
        <v>726970</v>
      </c>
      <c r="R4" s="28">
        <f>TrRoad_act!R58</f>
        <v>756888</v>
      </c>
      <c r="S4" s="28">
        <f>TrRoad_act!S58</f>
        <v>782712</v>
      </c>
      <c r="T4" s="28">
        <f>TrRoad_act!T58</f>
        <v>806070</v>
      </c>
      <c r="U4" s="28">
        <f>TrRoad_act!U58</f>
        <v>857976</v>
      </c>
      <c r="V4" s="28">
        <f>TrRoad_act!V58</f>
        <v>874593</v>
      </c>
      <c r="W4" s="28">
        <f>TrRoad_act!W58</f>
        <v>894880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6700</v>
      </c>
      <c r="C5" s="137">
        <f>TrRoad_act!C59</f>
        <v>6800</v>
      </c>
      <c r="D5" s="137">
        <f>TrRoad_act!D59</f>
        <v>7300</v>
      </c>
      <c r="E5" s="137">
        <f>TrRoad_act!E59</f>
        <v>8100</v>
      </c>
      <c r="F5" s="137">
        <f>TrRoad_act!F59</f>
        <v>9100</v>
      </c>
      <c r="G5" s="137">
        <f>TrRoad_act!G59</f>
        <v>10234</v>
      </c>
      <c r="H5" s="137">
        <f>TrRoad_act!H59</f>
        <v>12594</v>
      </c>
      <c r="I5" s="137">
        <f>TrRoad_act!I59</f>
        <v>14780</v>
      </c>
      <c r="J5" s="137">
        <f>TrRoad_act!J59</f>
        <v>17622</v>
      </c>
      <c r="K5" s="137">
        <f>TrRoad_act!K59</f>
        <v>18600</v>
      </c>
      <c r="L5" s="137">
        <f>TrRoad_act!L59</f>
        <v>19700</v>
      </c>
      <c r="M5" s="137">
        <f>TrRoad_act!M59</f>
        <v>23217</v>
      </c>
      <c r="N5" s="137">
        <f>TrRoad_act!N59</f>
        <v>35273</v>
      </c>
      <c r="O5" s="137">
        <f>TrRoad_act!O59</f>
        <v>38700</v>
      </c>
      <c r="P5" s="137">
        <f>TrRoad_act!P59</f>
        <v>42300</v>
      </c>
      <c r="Q5" s="137">
        <f>TrRoad_act!Q59</f>
        <v>45500</v>
      </c>
      <c r="R5" s="137">
        <f>TrRoad_act!R59</f>
        <v>48800</v>
      </c>
      <c r="S5" s="137">
        <f>TrRoad_act!S59</f>
        <v>51700</v>
      </c>
      <c r="T5" s="137">
        <f>TrRoad_act!T59</f>
        <v>54500</v>
      </c>
      <c r="U5" s="137">
        <f>TrRoad_act!U59</f>
        <v>57829</v>
      </c>
      <c r="V5" s="137">
        <f>TrRoad_act!V59</f>
        <v>60619</v>
      </c>
      <c r="W5" s="137">
        <f>TrRoad_act!W59</f>
        <v>63570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412391</v>
      </c>
      <c r="C6" s="110">
        <f>TrRoad_act!C60</f>
        <v>407300</v>
      </c>
      <c r="D6" s="110">
        <f>TrRoad_act!D60</f>
        <v>400700</v>
      </c>
      <c r="E6" s="110">
        <f>TrRoad_act!E60</f>
        <v>434000</v>
      </c>
      <c r="F6" s="110">
        <f>TrRoad_act!F60</f>
        <v>471000</v>
      </c>
      <c r="G6" s="110">
        <f>TrRoad_act!G60</f>
        <v>493700</v>
      </c>
      <c r="H6" s="110">
        <f>TrRoad_act!H60</f>
        <v>504686</v>
      </c>
      <c r="I6" s="110">
        <f>TrRoad_act!I60</f>
        <v>523800</v>
      </c>
      <c r="J6" s="110">
        <f>TrRoad_act!J60</f>
        <v>551800</v>
      </c>
      <c r="K6" s="110">
        <f>TrRoad_act!K60</f>
        <v>545600</v>
      </c>
      <c r="L6" s="110">
        <f>TrRoad_act!L60</f>
        <v>552680</v>
      </c>
      <c r="M6" s="110">
        <f>TrRoad_act!M60</f>
        <v>574000</v>
      </c>
      <c r="N6" s="110">
        <f>TrRoad_act!N60</f>
        <v>602100</v>
      </c>
      <c r="O6" s="110">
        <f>TrRoad_act!O60</f>
        <v>628565</v>
      </c>
      <c r="P6" s="110">
        <f>TrRoad_act!P60</f>
        <v>652950</v>
      </c>
      <c r="Q6" s="110">
        <f>TrRoad_act!Q60</f>
        <v>676596</v>
      </c>
      <c r="R6" s="110">
        <f>TrRoad_act!R60</f>
        <v>703151</v>
      </c>
      <c r="S6" s="110">
        <f>TrRoad_act!S60</f>
        <v>725944</v>
      </c>
      <c r="T6" s="110">
        <f>TrRoad_act!T60</f>
        <v>746464</v>
      </c>
      <c r="U6" s="110">
        <f>TrRoad_act!U60</f>
        <v>794926</v>
      </c>
      <c r="V6" s="110">
        <f>TrRoad_act!V60</f>
        <v>808689</v>
      </c>
      <c r="W6" s="110">
        <f>TrRoad_act!W60</f>
        <v>825936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379547</v>
      </c>
      <c r="C7" s="84">
        <f>TrRoad_act!C61</f>
        <v>363526</v>
      </c>
      <c r="D7" s="84">
        <f>TrRoad_act!D61</f>
        <v>354487</v>
      </c>
      <c r="E7" s="84">
        <f>TrRoad_act!E61</f>
        <v>379778</v>
      </c>
      <c r="F7" s="84">
        <f>TrRoad_act!F61</f>
        <v>403236</v>
      </c>
      <c r="G7" s="84">
        <f>TrRoad_act!G61</f>
        <v>413971</v>
      </c>
      <c r="H7" s="84">
        <f>TrRoad_act!H61</f>
        <v>409751</v>
      </c>
      <c r="I7" s="84">
        <f>TrRoad_act!I61</f>
        <v>406614</v>
      </c>
      <c r="J7" s="84">
        <f>TrRoad_act!J61</f>
        <v>422297</v>
      </c>
      <c r="K7" s="84">
        <f>TrRoad_act!K61</f>
        <v>415834</v>
      </c>
      <c r="L7" s="84">
        <f>TrRoad_act!L61</f>
        <v>414234</v>
      </c>
      <c r="M7" s="84">
        <f>TrRoad_act!M61</f>
        <v>418388</v>
      </c>
      <c r="N7" s="84">
        <f>TrRoad_act!N61</f>
        <v>422219</v>
      </c>
      <c r="O7" s="84">
        <f>TrRoad_act!O61</f>
        <v>424062</v>
      </c>
      <c r="P7" s="84">
        <f>TrRoad_act!P61</f>
        <v>426330</v>
      </c>
      <c r="Q7" s="84">
        <f>TrRoad_act!Q61</f>
        <v>431242</v>
      </c>
      <c r="R7" s="84">
        <f>TrRoad_act!R61</f>
        <v>439631</v>
      </c>
      <c r="S7" s="84">
        <f>TrRoad_act!S61</f>
        <v>445229</v>
      </c>
      <c r="T7" s="84">
        <f>TrRoad_act!T61</f>
        <v>447667</v>
      </c>
      <c r="U7" s="84">
        <f>TrRoad_act!U61</f>
        <v>468342</v>
      </c>
      <c r="V7" s="84">
        <f>TrRoad_act!V61</f>
        <v>466077</v>
      </c>
      <c r="W7" s="84">
        <f>TrRoad_act!W61</f>
        <v>465834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32244</v>
      </c>
      <c r="C8" s="84">
        <f>TrRoad_act!C62</f>
        <v>43144</v>
      </c>
      <c r="D8" s="84">
        <f>TrRoad_act!D62</f>
        <v>45521</v>
      </c>
      <c r="E8" s="84">
        <f>TrRoad_act!E62</f>
        <v>53399</v>
      </c>
      <c r="F8" s="84">
        <f>TrRoad_act!F62</f>
        <v>66873</v>
      </c>
      <c r="G8" s="84">
        <f>TrRoad_act!G62</f>
        <v>78623</v>
      </c>
      <c r="H8" s="84">
        <f>TrRoad_act!H62</f>
        <v>93468</v>
      </c>
      <c r="I8" s="84">
        <f>TrRoad_act!I62</f>
        <v>115919</v>
      </c>
      <c r="J8" s="84">
        <f>TrRoad_act!J62</f>
        <v>127935</v>
      </c>
      <c r="K8" s="84">
        <f>TrRoad_act!K62</f>
        <v>127979</v>
      </c>
      <c r="L8" s="84">
        <f>TrRoad_act!L62</f>
        <v>136656</v>
      </c>
      <c r="M8" s="84">
        <f>TrRoad_act!M62</f>
        <v>153401</v>
      </c>
      <c r="N8" s="84">
        <f>TrRoad_act!N62</f>
        <v>176313</v>
      </c>
      <c r="O8" s="84">
        <f>TrRoad_act!O62</f>
        <v>200257</v>
      </c>
      <c r="P8" s="84">
        <f>TrRoad_act!P62</f>
        <v>221229</v>
      </c>
      <c r="Q8" s="84">
        <f>TrRoad_act!Q62</f>
        <v>239465</v>
      </c>
      <c r="R8" s="84">
        <f>TrRoad_act!R62</f>
        <v>256381</v>
      </c>
      <c r="S8" s="84">
        <f>TrRoad_act!S62</f>
        <v>272267</v>
      </c>
      <c r="T8" s="84">
        <f>TrRoad_act!T62</f>
        <v>288120</v>
      </c>
      <c r="U8" s="84">
        <f>TrRoad_act!U62</f>
        <v>308978</v>
      </c>
      <c r="V8" s="84">
        <f>TrRoad_act!V62</f>
        <v>318254</v>
      </c>
      <c r="W8" s="84">
        <f>TrRoad_act!W62</f>
        <v>330598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600</v>
      </c>
      <c r="C9" s="84">
        <f>TrRoad_act!C63</f>
        <v>630</v>
      </c>
      <c r="D9" s="84">
        <f>TrRoad_act!D63</f>
        <v>692</v>
      </c>
      <c r="E9" s="84">
        <f>TrRoad_act!E63</f>
        <v>823</v>
      </c>
      <c r="F9" s="84">
        <f>TrRoad_act!F63</f>
        <v>891</v>
      </c>
      <c r="G9" s="84">
        <f>TrRoad_act!G63</f>
        <v>1106</v>
      </c>
      <c r="H9" s="84">
        <f>TrRoad_act!H63</f>
        <v>1467</v>
      </c>
      <c r="I9" s="84">
        <f>TrRoad_act!I63</f>
        <v>1267</v>
      </c>
      <c r="J9" s="84">
        <f>TrRoad_act!J63</f>
        <v>1567</v>
      </c>
      <c r="K9" s="84">
        <f>TrRoad_act!K63</f>
        <v>1786</v>
      </c>
      <c r="L9" s="84">
        <f>TrRoad_act!L63</f>
        <v>1786</v>
      </c>
      <c r="M9" s="84">
        <f>TrRoad_act!M63</f>
        <v>2148</v>
      </c>
      <c r="N9" s="84">
        <f>TrRoad_act!N63</f>
        <v>2954</v>
      </c>
      <c r="O9" s="84">
        <f>TrRoad_act!O63</f>
        <v>3421</v>
      </c>
      <c r="P9" s="84">
        <f>TrRoad_act!P63</f>
        <v>4065</v>
      </c>
      <c r="Q9" s="84">
        <f>TrRoad_act!Q63</f>
        <v>4365</v>
      </c>
      <c r="R9" s="84">
        <f>TrRoad_act!R63</f>
        <v>5079</v>
      </c>
      <c r="S9" s="84">
        <f>TrRoad_act!S63</f>
        <v>5947</v>
      </c>
      <c r="T9" s="84">
        <f>TrRoad_act!T63</f>
        <v>6938</v>
      </c>
      <c r="U9" s="84">
        <f>TrRoad_act!U63</f>
        <v>8341</v>
      </c>
      <c r="V9" s="84">
        <f>TrRoad_act!V63</f>
        <v>8965</v>
      </c>
      <c r="W9" s="84">
        <f>TrRoad_act!W63</f>
        <v>8965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2</v>
      </c>
      <c r="M10" s="84">
        <f>TrRoad_act!M64</f>
        <v>7</v>
      </c>
      <c r="N10" s="84">
        <f>TrRoad_act!N64</f>
        <v>14</v>
      </c>
      <c r="O10" s="84">
        <f>TrRoad_act!O64</f>
        <v>117</v>
      </c>
      <c r="P10" s="84">
        <f>TrRoad_act!P64</f>
        <v>233</v>
      </c>
      <c r="Q10" s="84">
        <f>TrRoad_act!Q64</f>
        <v>383</v>
      </c>
      <c r="R10" s="84">
        <f>TrRoad_act!R64</f>
        <v>873</v>
      </c>
      <c r="S10" s="84">
        <f>TrRoad_act!S64</f>
        <v>1267</v>
      </c>
      <c r="T10" s="84">
        <f>TrRoad_act!T64</f>
        <v>2352</v>
      </c>
      <c r="U10" s="84">
        <f>TrRoad_act!U64</f>
        <v>7644</v>
      </c>
      <c r="V10" s="84">
        <f>TrRoad_act!V64</f>
        <v>13346</v>
      </c>
      <c r="W10" s="84">
        <f>TrRoad_act!W64</f>
        <v>17439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0</v>
      </c>
      <c r="P11" s="84">
        <f>TrRoad_act!P65</f>
        <v>26</v>
      </c>
      <c r="Q11" s="84">
        <f>TrRoad_act!Q65</f>
        <v>42</v>
      </c>
      <c r="R11" s="84">
        <f>TrRoad_act!R65</f>
        <v>57</v>
      </c>
      <c r="S11" s="84">
        <f>TrRoad_act!S65</f>
        <v>80</v>
      </c>
      <c r="T11" s="84">
        <f>TrRoad_act!T65</f>
        <v>129</v>
      </c>
      <c r="U11" s="84">
        <f>TrRoad_act!U65</f>
        <v>155</v>
      </c>
      <c r="V11" s="84">
        <f>TrRoad_act!V65</f>
        <v>278</v>
      </c>
      <c r="W11" s="84">
        <f>TrRoad_act!W65</f>
        <v>840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1</v>
      </c>
      <c r="K12" s="84">
        <f>TrRoad_act!K66</f>
        <v>1</v>
      </c>
      <c r="L12" s="84">
        <f>TrRoad_act!L66</f>
        <v>2</v>
      </c>
      <c r="M12" s="84">
        <f>TrRoad_act!M66</f>
        <v>56</v>
      </c>
      <c r="N12" s="84">
        <f>TrRoad_act!N66</f>
        <v>600</v>
      </c>
      <c r="O12" s="84">
        <f>TrRoad_act!O66</f>
        <v>708</v>
      </c>
      <c r="P12" s="84">
        <f>TrRoad_act!P66</f>
        <v>1067</v>
      </c>
      <c r="Q12" s="84">
        <f>TrRoad_act!Q66</f>
        <v>1099</v>
      </c>
      <c r="R12" s="84">
        <f>TrRoad_act!R66</f>
        <v>1130</v>
      </c>
      <c r="S12" s="84">
        <f>TrRoad_act!S66</f>
        <v>1154</v>
      </c>
      <c r="T12" s="84">
        <f>TrRoad_act!T66</f>
        <v>1258</v>
      </c>
      <c r="U12" s="84">
        <f>TrRoad_act!U66</f>
        <v>1466</v>
      </c>
      <c r="V12" s="84">
        <f>TrRoad_act!V66</f>
        <v>1769</v>
      </c>
      <c r="W12" s="84">
        <f>TrRoad_act!W66</f>
        <v>2260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6059</v>
      </c>
      <c r="C13" s="110">
        <f>TrRoad_act!C67</f>
        <v>5762</v>
      </c>
      <c r="D13" s="110">
        <f>TrRoad_act!D67</f>
        <v>5547</v>
      </c>
      <c r="E13" s="110">
        <f>TrRoad_act!E67</f>
        <v>5504</v>
      </c>
      <c r="F13" s="110">
        <f>TrRoad_act!F67</f>
        <v>5413</v>
      </c>
      <c r="G13" s="110">
        <f>TrRoad_act!G67</f>
        <v>5421</v>
      </c>
      <c r="H13" s="110">
        <f>TrRoad_act!H67</f>
        <v>5501</v>
      </c>
      <c r="I13" s="110">
        <f>TrRoad_act!I67</f>
        <v>4669</v>
      </c>
      <c r="J13" s="110">
        <f>TrRoad_act!J67</f>
        <v>4440</v>
      </c>
      <c r="K13" s="110">
        <f>TrRoad_act!K67</f>
        <v>4236</v>
      </c>
      <c r="L13" s="110">
        <f>TrRoad_act!L67</f>
        <v>4281</v>
      </c>
      <c r="M13" s="110">
        <f>TrRoad_act!M67</f>
        <v>4270</v>
      </c>
      <c r="N13" s="110">
        <f>TrRoad_act!N67</f>
        <v>4423</v>
      </c>
      <c r="O13" s="110">
        <f>TrRoad_act!O67</f>
        <v>4606</v>
      </c>
      <c r="P13" s="110">
        <f>TrRoad_act!P67</f>
        <v>4726</v>
      </c>
      <c r="Q13" s="110">
        <f>TrRoad_act!Q67</f>
        <v>4874</v>
      </c>
      <c r="R13" s="110">
        <f>TrRoad_act!R67</f>
        <v>4937</v>
      </c>
      <c r="S13" s="110">
        <f>TrRoad_act!S67</f>
        <v>5068</v>
      </c>
      <c r="T13" s="110">
        <f>TrRoad_act!T67</f>
        <v>5106</v>
      </c>
      <c r="U13" s="110">
        <f>TrRoad_act!U67</f>
        <v>5221</v>
      </c>
      <c r="V13" s="110">
        <f>TrRoad_act!V67</f>
        <v>5285</v>
      </c>
      <c r="W13" s="110">
        <f>TrRoad_act!W67</f>
        <v>5374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2583</v>
      </c>
      <c r="C14" s="102">
        <f>TrRoad_act!C68</f>
        <v>2259</v>
      </c>
      <c r="D14" s="102">
        <f>TrRoad_act!D68</f>
        <v>1939</v>
      </c>
      <c r="E14" s="102">
        <f>TrRoad_act!E68</f>
        <v>1630</v>
      </c>
      <c r="F14" s="102">
        <f>TrRoad_act!F68</f>
        <v>1450</v>
      </c>
      <c r="G14" s="102">
        <f>TrRoad_act!G68</f>
        <v>1141</v>
      </c>
      <c r="H14" s="102">
        <f>TrRoad_act!H68</f>
        <v>1141</v>
      </c>
      <c r="I14" s="102">
        <f>TrRoad_act!I68</f>
        <v>639</v>
      </c>
      <c r="J14" s="102">
        <f>TrRoad_act!J68</f>
        <v>470</v>
      </c>
      <c r="K14" s="102">
        <f>TrRoad_act!K68</f>
        <v>335</v>
      </c>
      <c r="L14" s="102">
        <f>TrRoad_act!L68</f>
        <v>269</v>
      </c>
      <c r="M14" s="102">
        <f>TrRoad_act!M68</f>
        <v>250</v>
      </c>
      <c r="N14" s="102">
        <f>TrRoad_act!N68</f>
        <v>240</v>
      </c>
      <c r="O14" s="102">
        <f>TrRoad_act!O68</f>
        <v>231</v>
      </c>
      <c r="P14" s="102">
        <f>TrRoad_act!P68</f>
        <v>225</v>
      </c>
      <c r="Q14" s="102">
        <f>TrRoad_act!Q68</f>
        <v>217</v>
      </c>
      <c r="R14" s="102">
        <f>TrRoad_act!R68</f>
        <v>211</v>
      </c>
      <c r="S14" s="102">
        <f>TrRoad_act!S68</f>
        <v>212</v>
      </c>
      <c r="T14" s="102">
        <f>TrRoad_act!T68</f>
        <v>212</v>
      </c>
      <c r="U14" s="102">
        <f>TrRoad_act!U68</f>
        <v>219</v>
      </c>
      <c r="V14" s="102">
        <f>TrRoad_act!V68</f>
        <v>214</v>
      </c>
      <c r="W14" s="102">
        <f>TrRoad_act!W68</f>
        <v>213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3476</v>
      </c>
      <c r="C15" s="102">
        <f>TrRoad_act!C69</f>
        <v>3503</v>
      </c>
      <c r="D15" s="102">
        <f>TrRoad_act!D69</f>
        <v>3608</v>
      </c>
      <c r="E15" s="102">
        <f>TrRoad_act!E69</f>
        <v>3874</v>
      </c>
      <c r="F15" s="102">
        <f>TrRoad_act!F69</f>
        <v>3963</v>
      </c>
      <c r="G15" s="102">
        <f>TrRoad_act!G69</f>
        <v>4280</v>
      </c>
      <c r="H15" s="102">
        <f>TrRoad_act!H69</f>
        <v>4360</v>
      </c>
      <c r="I15" s="102">
        <f>TrRoad_act!I69</f>
        <v>4030</v>
      </c>
      <c r="J15" s="102">
        <f>TrRoad_act!J69</f>
        <v>3970</v>
      </c>
      <c r="K15" s="102">
        <f>TrRoad_act!K69</f>
        <v>3901</v>
      </c>
      <c r="L15" s="102">
        <f>TrRoad_act!L69</f>
        <v>3896</v>
      </c>
      <c r="M15" s="102">
        <f>TrRoad_act!M69</f>
        <v>3899</v>
      </c>
      <c r="N15" s="102">
        <f>TrRoad_act!N69</f>
        <v>4063</v>
      </c>
      <c r="O15" s="102">
        <f>TrRoad_act!O69</f>
        <v>4250</v>
      </c>
      <c r="P15" s="102">
        <f>TrRoad_act!P69</f>
        <v>4364</v>
      </c>
      <c r="Q15" s="102">
        <f>TrRoad_act!Q69</f>
        <v>4504</v>
      </c>
      <c r="R15" s="102">
        <f>TrRoad_act!R69</f>
        <v>4557</v>
      </c>
      <c r="S15" s="102">
        <f>TrRoad_act!S69</f>
        <v>4652</v>
      </c>
      <c r="T15" s="102">
        <f>TrRoad_act!T69</f>
        <v>4656</v>
      </c>
      <c r="U15" s="102">
        <f>TrRoad_act!U69</f>
        <v>4731</v>
      </c>
      <c r="V15" s="102">
        <f>TrRoad_act!V69</f>
        <v>4704</v>
      </c>
      <c r="W15" s="102">
        <f>TrRoad_act!W69</f>
        <v>4660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1</v>
      </c>
      <c r="U16" s="102">
        <f>TrRoad_act!U70</f>
        <v>1</v>
      </c>
      <c r="V16" s="102">
        <f>TrRoad_act!V70</f>
        <v>1</v>
      </c>
      <c r="W16" s="102">
        <f>TrRoad_act!W70</f>
        <v>1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2</v>
      </c>
      <c r="M17" s="102">
        <f>TrRoad_act!M71</f>
        <v>7</v>
      </c>
      <c r="N17" s="102">
        <f>TrRoad_act!N71</f>
        <v>8</v>
      </c>
      <c r="O17" s="102">
        <f>TrRoad_act!O71</f>
        <v>15</v>
      </c>
      <c r="P17" s="102">
        <f>TrRoad_act!P71</f>
        <v>30</v>
      </c>
      <c r="Q17" s="102">
        <f>TrRoad_act!Q71</f>
        <v>50</v>
      </c>
      <c r="R17" s="102">
        <f>TrRoad_act!R71</f>
        <v>71</v>
      </c>
      <c r="S17" s="102">
        <f>TrRoad_act!S71</f>
        <v>111</v>
      </c>
      <c r="T17" s="102">
        <f>TrRoad_act!T71</f>
        <v>151</v>
      </c>
      <c r="U17" s="102">
        <f>TrRoad_act!U71</f>
        <v>191</v>
      </c>
      <c r="V17" s="102">
        <f>TrRoad_act!V71</f>
        <v>295</v>
      </c>
      <c r="W17" s="102">
        <f>TrRoad_act!W71</f>
        <v>436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114</v>
      </c>
      <c r="M18" s="102">
        <f>TrRoad_act!M72</f>
        <v>114</v>
      </c>
      <c r="N18" s="102">
        <f>TrRoad_act!N72</f>
        <v>112</v>
      </c>
      <c r="O18" s="102">
        <f>TrRoad_act!O72</f>
        <v>110</v>
      </c>
      <c r="P18" s="102">
        <f>TrRoad_act!P72</f>
        <v>107</v>
      </c>
      <c r="Q18" s="102">
        <f>TrRoad_act!Q72</f>
        <v>103</v>
      </c>
      <c r="R18" s="102">
        <f>TrRoad_act!R72</f>
        <v>98</v>
      </c>
      <c r="S18" s="102">
        <f>TrRoad_act!S72</f>
        <v>93</v>
      </c>
      <c r="T18" s="102">
        <f>TrRoad_act!T72</f>
        <v>86</v>
      </c>
      <c r="U18" s="102">
        <f>TrRoad_act!U72</f>
        <v>79</v>
      </c>
      <c r="V18" s="102">
        <f>TrRoad_act!V72</f>
        <v>71</v>
      </c>
      <c r="W18" s="102">
        <f>TrRoad_act!W72</f>
        <v>64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60633</v>
      </c>
      <c r="C19" s="28">
        <f>TrRoad_act!C73</f>
        <v>57389</v>
      </c>
      <c r="D19" s="28">
        <f>TrRoad_act!D73</f>
        <v>57639</v>
      </c>
      <c r="E19" s="28">
        <f>TrRoad_act!E73</f>
        <v>60076</v>
      </c>
      <c r="F19" s="28">
        <f>TrRoad_act!F73</f>
        <v>58393</v>
      </c>
      <c r="G19" s="28">
        <f>TrRoad_act!G73</f>
        <v>57139</v>
      </c>
      <c r="H19" s="28">
        <f>TrRoad_act!H73</f>
        <v>57125</v>
      </c>
      <c r="I19" s="28">
        <f>TrRoad_act!I73</f>
        <v>57437</v>
      </c>
      <c r="J19" s="28">
        <f>TrRoad_act!J73</f>
        <v>60232</v>
      </c>
      <c r="K19" s="28">
        <f>TrRoad_act!K73</f>
        <v>58589</v>
      </c>
      <c r="L19" s="28">
        <f>TrRoad_act!L73</f>
        <v>58571</v>
      </c>
      <c r="M19" s="28">
        <f>TrRoad_act!M73</f>
        <v>61750</v>
      </c>
      <c r="N19" s="28">
        <f>TrRoad_act!N73</f>
        <v>65566</v>
      </c>
      <c r="O19" s="28">
        <f>TrRoad_act!O73</f>
        <v>69590</v>
      </c>
      <c r="P19" s="28">
        <f>TrRoad_act!P73</f>
        <v>73985</v>
      </c>
      <c r="Q19" s="28">
        <f>TrRoad_act!Q73</f>
        <v>79240</v>
      </c>
      <c r="R19" s="28">
        <f>TrRoad_act!R73</f>
        <v>85605</v>
      </c>
      <c r="S19" s="28">
        <f>TrRoad_act!S73</f>
        <v>92512</v>
      </c>
      <c r="T19" s="28">
        <f>TrRoad_act!T73</f>
        <v>99657</v>
      </c>
      <c r="U19" s="28">
        <f>TrRoad_act!U73</f>
        <v>109738</v>
      </c>
      <c r="V19" s="28">
        <f>TrRoad_act!V73</f>
        <v>114345</v>
      </c>
      <c r="W19" s="28">
        <f>TrRoad_act!W73</f>
        <v>118657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53598</v>
      </c>
      <c r="C20" s="137">
        <f>TrRoad_act!C74</f>
        <v>52063</v>
      </c>
      <c r="D20" s="137">
        <f>TrRoad_act!D74</f>
        <v>50346</v>
      </c>
      <c r="E20" s="137">
        <f>TrRoad_act!E74</f>
        <v>48721</v>
      </c>
      <c r="F20" s="137">
        <f>TrRoad_act!F74</f>
        <v>46847</v>
      </c>
      <c r="G20" s="137">
        <f>TrRoad_act!G74</f>
        <v>45141</v>
      </c>
      <c r="H20" s="137">
        <f>TrRoad_act!H74</f>
        <v>44036</v>
      </c>
      <c r="I20" s="137">
        <f>TrRoad_act!I74</f>
        <v>43724</v>
      </c>
      <c r="J20" s="137">
        <f>TrRoad_act!J74</f>
        <v>45882</v>
      </c>
      <c r="K20" s="137">
        <f>TrRoad_act!K74</f>
        <v>46226</v>
      </c>
      <c r="L20" s="137">
        <f>TrRoad_act!L74</f>
        <v>47069</v>
      </c>
      <c r="M20" s="137">
        <f>TrRoad_act!M74</f>
        <v>49341</v>
      </c>
      <c r="N20" s="137">
        <f>TrRoad_act!N74</f>
        <v>52398</v>
      </c>
      <c r="O20" s="137">
        <f>TrRoad_act!O74</f>
        <v>57420</v>
      </c>
      <c r="P20" s="137">
        <f>TrRoad_act!P74</f>
        <v>61232</v>
      </c>
      <c r="Q20" s="137">
        <f>TrRoad_act!Q74</f>
        <v>65986</v>
      </c>
      <c r="R20" s="137">
        <f>TrRoad_act!R74</f>
        <v>71435</v>
      </c>
      <c r="S20" s="137">
        <f>TrRoad_act!S74</f>
        <v>77118</v>
      </c>
      <c r="T20" s="137">
        <f>TrRoad_act!T74</f>
        <v>83313</v>
      </c>
      <c r="U20" s="137">
        <f>TrRoad_act!U74</f>
        <v>90759</v>
      </c>
      <c r="V20" s="137">
        <f>TrRoad_act!V74</f>
        <v>94746</v>
      </c>
      <c r="W20" s="137">
        <f>TrRoad_act!W74</f>
        <v>99088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14032</v>
      </c>
      <c r="C21" s="84">
        <f>TrRoad_act!C75</f>
        <v>13744</v>
      </c>
      <c r="D21" s="84">
        <f>TrRoad_act!D75</f>
        <v>13398</v>
      </c>
      <c r="E21" s="84">
        <f>TrRoad_act!E75</f>
        <v>12873</v>
      </c>
      <c r="F21" s="84">
        <f>TrRoad_act!F75</f>
        <v>12389</v>
      </c>
      <c r="G21" s="84">
        <f>TrRoad_act!G75</f>
        <v>11981</v>
      </c>
      <c r="H21" s="84">
        <f>TrRoad_act!H75</f>
        <v>11509</v>
      </c>
      <c r="I21" s="84">
        <f>TrRoad_act!I75</f>
        <v>10978</v>
      </c>
      <c r="J21" s="84">
        <f>TrRoad_act!J75</f>
        <v>12103</v>
      </c>
      <c r="K21" s="84">
        <f>TrRoad_act!K75</f>
        <v>12295</v>
      </c>
      <c r="L21" s="84">
        <f>TrRoad_act!L75</f>
        <v>12142</v>
      </c>
      <c r="M21" s="84">
        <f>TrRoad_act!M75</f>
        <v>12319</v>
      </c>
      <c r="N21" s="84">
        <f>TrRoad_act!N75</f>
        <v>12363</v>
      </c>
      <c r="O21" s="84">
        <f>TrRoad_act!O75</f>
        <v>11979</v>
      </c>
      <c r="P21" s="84">
        <f>TrRoad_act!P75</f>
        <v>12024</v>
      </c>
      <c r="Q21" s="84">
        <f>TrRoad_act!Q75</f>
        <v>12341</v>
      </c>
      <c r="R21" s="84">
        <f>TrRoad_act!R75</f>
        <v>12697</v>
      </c>
      <c r="S21" s="84">
        <f>TrRoad_act!S75</f>
        <v>13022</v>
      </c>
      <c r="T21" s="84">
        <f>TrRoad_act!T75</f>
        <v>13401</v>
      </c>
      <c r="U21" s="84">
        <f>TrRoad_act!U75</f>
        <v>14047</v>
      </c>
      <c r="V21" s="84">
        <f>TrRoad_act!V75</f>
        <v>14243</v>
      </c>
      <c r="W21" s="84">
        <f>TrRoad_act!W75</f>
        <v>14194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39566</v>
      </c>
      <c r="C22" s="84">
        <f>TrRoad_act!C76</f>
        <v>38319</v>
      </c>
      <c r="D22" s="84">
        <f>TrRoad_act!D76</f>
        <v>36948</v>
      </c>
      <c r="E22" s="84">
        <f>TrRoad_act!E76</f>
        <v>35848</v>
      </c>
      <c r="F22" s="84">
        <f>TrRoad_act!F76</f>
        <v>34458</v>
      </c>
      <c r="G22" s="84">
        <f>TrRoad_act!G76</f>
        <v>33160</v>
      </c>
      <c r="H22" s="84">
        <f>TrRoad_act!H76</f>
        <v>32527</v>
      </c>
      <c r="I22" s="84">
        <f>TrRoad_act!I76</f>
        <v>32744</v>
      </c>
      <c r="J22" s="84">
        <f>TrRoad_act!J76</f>
        <v>33777</v>
      </c>
      <c r="K22" s="84">
        <f>TrRoad_act!K76</f>
        <v>33929</v>
      </c>
      <c r="L22" s="84">
        <f>TrRoad_act!L76</f>
        <v>34925</v>
      </c>
      <c r="M22" s="84">
        <f>TrRoad_act!M76</f>
        <v>37020</v>
      </c>
      <c r="N22" s="84">
        <f>TrRoad_act!N76</f>
        <v>40031</v>
      </c>
      <c r="O22" s="84">
        <f>TrRoad_act!O76</f>
        <v>45386</v>
      </c>
      <c r="P22" s="84">
        <f>TrRoad_act!P76</f>
        <v>49133</v>
      </c>
      <c r="Q22" s="84">
        <f>TrRoad_act!Q76</f>
        <v>53542</v>
      </c>
      <c r="R22" s="84">
        <f>TrRoad_act!R76</f>
        <v>58622</v>
      </c>
      <c r="S22" s="84">
        <f>TrRoad_act!S76</f>
        <v>63883</v>
      </c>
      <c r="T22" s="84">
        <f>TrRoad_act!T76</f>
        <v>69645</v>
      </c>
      <c r="U22" s="84">
        <f>TrRoad_act!U76</f>
        <v>76390</v>
      </c>
      <c r="V22" s="84">
        <f>TrRoad_act!V76</f>
        <v>80100</v>
      </c>
      <c r="W22" s="84">
        <f>TrRoad_act!W76</f>
        <v>84491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1</v>
      </c>
      <c r="S23" s="84">
        <f>TrRoad_act!S77</f>
        <v>13</v>
      </c>
      <c r="T23" s="84">
        <f>TrRoad_act!T77</f>
        <v>16</v>
      </c>
      <c r="U23" s="84">
        <f>TrRoad_act!U77</f>
        <v>21</v>
      </c>
      <c r="V23" s="84">
        <f>TrRoad_act!V77</f>
        <v>20</v>
      </c>
      <c r="W23" s="84">
        <f>TrRoad_act!W77</f>
        <v>20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1</v>
      </c>
      <c r="O24" s="84">
        <f>TrRoad_act!O78</f>
        <v>48</v>
      </c>
      <c r="P24" s="84">
        <f>TrRoad_act!P78</f>
        <v>61</v>
      </c>
      <c r="Q24" s="84">
        <f>TrRoad_act!Q78</f>
        <v>87</v>
      </c>
      <c r="R24" s="84">
        <f>TrRoad_act!R78</f>
        <v>86</v>
      </c>
      <c r="S24" s="84">
        <f>TrRoad_act!S78</f>
        <v>170</v>
      </c>
      <c r="T24" s="84">
        <f>TrRoad_act!T78</f>
        <v>220</v>
      </c>
      <c r="U24" s="84">
        <f>TrRoad_act!U78</f>
        <v>270</v>
      </c>
      <c r="V24" s="84">
        <f>TrRoad_act!V78</f>
        <v>350</v>
      </c>
      <c r="W24" s="84">
        <f>TrRoad_act!W78</f>
        <v>350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2</v>
      </c>
      <c r="J25" s="84">
        <f>TrRoad_act!J79</f>
        <v>2</v>
      </c>
      <c r="K25" s="84">
        <f>TrRoad_act!K79</f>
        <v>2</v>
      </c>
      <c r="L25" s="84">
        <f>TrRoad_act!L79</f>
        <v>2</v>
      </c>
      <c r="M25" s="84">
        <f>TrRoad_act!M79</f>
        <v>2</v>
      </c>
      <c r="N25" s="84">
        <f>TrRoad_act!N79</f>
        <v>3</v>
      </c>
      <c r="O25" s="84">
        <f>TrRoad_act!O79</f>
        <v>7</v>
      </c>
      <c r="P25" s="84">
        <f>TrRoad_act!P79</f>
        <v>14</v>
      </c>
      <c r="Q25" s="84">
        <f>TrRoad_act!Q79</f>
        <v>16</v>
      </c>
      <c r="R25" s="84">
        <f>TrRoad_act!R79</f>
        <v>29</v>
      </c>
      <c r="S25" s="84">
        <f>TrRoad_act!S79</f>
        <v>30</v>
      </c>
      <c r="T25" s="84">
        <f>TrRoad_act!T79</f>
        <v>31</v>
      </c>
      <c r="U25" s="84">
        <f>TrRoad_act!U79</f>
        <v>31</v>
      </c>
      <c r="V25" s="84">
        <f>TrRoad_act!V79</f>
        <v>33</v>
      </c>
      <c r="W25" s="84">
        <f>TrRoad_act!W79</f>
        <v>33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7035</v>
      </c>
      <c r="C26" s="110">
        <f>TrRoad_act!C80</f>
        <v>5326</v>
      </c>
      <c r="D26" s="110">
        <f>TrRoad_act!D80</f>
        <v>7293</v>
      </c>
      <c r="E26" s="110">
        <f>TrRoad_act!E80</f>
        <v>11355</v>
      </c>
      <c r="F26" s="110">
        <f>TrRoad_act!F80</f>
        <v>11546</v>
      </c>
      <c r="G26" s="110">
        <f>TrRoad_act!G80</f>
        <v>11998</v>
      </c>
      <c r="H26" s="110">
        <f>TrRoad_act!H80</f>
        <v>13089</v>
      </c>
      <c r="I26" s="110">
        <f>TrRoad_act!I80</f>
        <v>13713</v>
      </c>
      <c r="J26" s="110">
        <f>TrRoad_act!J80</f>
        <v>14350</v>
      </c>
      <c r="K26" s="110">
        <f>TrRoad_act!K80</f>
        <v>12363</v>
      </c>
      <c r="L26" s="110">
        <f>TrRoad_act!L80</f>
        <v>11502</v>
      </c>
      <c r="M26" s="110">
        <f>TrRoad_act!M80</f>
        <v>12409</v>
      </c>
      <c r="N26" s="110">
        <f>TrRoad_act!N80</f>
        <v>13168</v>
      </c>
      <c r="O26" s="110">
        <f>TrRoad_act!O80</f>
        <v>12170</v>
      </c>
      <c r="P26" s="110">
        <f>TrRoad_act!P80</f>
        <v>12753</v>
      </c>
      <c r="Q26" s="110">
        <f>TrRoad_act!Q80</f>
        <v>13254</v>
      </c>
      <c r="R26" s="110">
        <f>TrRoad_act!R80</f>
        <v>14170</v>
      </c>
      <c r="S26" s="110">
        <f>TrRoad_act!S80</f>
        <v>15394</v>
      </c>
      <c r="T26" s="110">
        <f>TrRoad_act!T80</f>
        <v>16344</v>
      </c>
      <c r="U26" s="110">
        <f>TrRoad_act!U80</f>
        <v>18979</v>
      </c>
      <c r="V26" s="110">
        <f>TrRoad_act!V80</f>
        <v>19599</v>
      </c>
      <c r="W26" s="110">
        <f>TrRoad_act!W80</f>
        <v>19569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6545</v>
      </c>
      <c r="C27" s="102">
        <f>TrRoad_act!C81</f>
        <v>4800</v>
      </c>
      <c r="D27" s="102">
        <f>TrRoad_act!D81</f>
        <v>6740</v>
      </c>
      <c r="E27" s="102">
        <f>TrRoad_act!E81</f>
        <v>10790</v>
      </c>
      <c r="F27" s="102">
        <f>TrRoad_act!F81</f>
        <v>10878</v>
      </c>
      <c r="G27" s="102">
        <f>TrRoad_act!G81</f>
        <v>11306</v>
      </c>
      <c r="H27" s="102">
        <f>TrRoad_act!H81</f>
        <v>12346</v>
      </c>
      <c r="I27" s="102">
        <f>TrRoad_act!I81</f>
        <v>12885</v>
      </c>
      <c r="J27" s="102">
        <f>TrRoad_act!J81</f>
        <v>13556</v>
      </c>
      <c r="K27" s="102">
        <f>TrRoad_act!K81</f>
        <v>11720</v>
      </c>
      <c r="L27" s="102">
        <f>TrRoad_act!L81</f>
        <v>10853</v>
      </c>
      <c r="M27" s="102">
        <f>TrRoad_act!M81</f>
        <v>11643</v>
      </c>
      <c r="N27" s="102">
        <f>TrRoad_act!N81</f>
        <v>12388</v>
      </c>
      <c r="O27" s="102">
        <f>TrRoad_act!O81</f>
        <v>11256</v>
      </c>
      <c r="P27" s="102">
        <f>TrRoad_act!P81</f>
        <v>11837</v>
      </c>
      <c r="Q27" s="102">
        <f>TrRoad_act!Q81</f>
        <v>12152</v>
      </c>
      <c r="R27" s="102">
        <f>TrRoad_act!R81</f>
        <v>13053</v>
      </c>
      <c r="S27" s="102">
        <f>TrRoad_act!S81</f>
        <v>14321</v>
      </c>
      <c r="T27" s="102">
        <f>TrRoad_act!T81</f>
        <v>15240</v>
      </c>
      <c r="U27" s="102">
        <f>TrRoad_act!U81</f>
        <v>17921</v>
      </c>
      <c r="V27" s="102">
        <f>TrRoad_act!V81</f>
        <v>18347</v>
      </c>
      <c r="W27" s="102">
        <f>TrRoad_act!W81</f>
        <v>18420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490</v>
      </c>
      <c r="C28" s="86">
        <f>TrRoad_act!C82</f>
        <v>526</v>
      </c>
      <c r="D28" s="86">
        <f>TrRoad_act!D82</f>
        <v>553</v>
      </c>
      <c r="E28" s="86">
        <f>TrRoad_act!E82</f>
        <v>565</v>
      </c>
      <c r="F28" s="86">
        <f>TrRoad_act!F82</f>
        <v>668</v>
      </c>
      <c r="G28" s="86">
        <f>TrRoad_act!G82</f>
        <v>692</v>
      </c>
      <c r="H28" s="86">
        <f>TrRoad_act!H82</f>
        <v>743</v>
      </c>
      <c r="I28" s="86">
        <f>TrRoad_act!I82</f>
        <v>828</v>
      </c>
      <c r="J28" s="86">
        <f>TrRoad_act!J82</f>
        <v>794</v>
      </c>
      <c r="K28" s="86">
        <f>TrRoad_act!K82</f>
        <v>643</v>
      </c>
      <c r="L28" s="86">
        <f>TrRoad_act!L82</f>
        <v>649</v>
      </c>
      <c r="M28" s="86">
        <f>TrRoad_act!M82</f>
        <v>766</v>
      </c>
      <c r="N28" s="86">
        <f>TrRoad_act!N82</f>
        <v>780</v>
      </c>
      <c r="O28" s="86">
        <f>TrRoad_act!O82</f>
        <v>914</v>
      </c>
      <c r="P28" s="86">
        <f>TrRoad_act!P82</f>
        <v>916</v>
      </c>
      <c r="Q28" s="86">
        <f>TrRoad_act!Q82</f>
        <v>1102</v>
      </c>
      <c r="R28" s="86">
        <f>TrRoad_act!R82</f>
        <v>1117</v>
      </c>
      <c r="S28" s="86">
        <f>TrRoad_act!S82</f>
        <v>1073</v>
      </c>
      <c r="T28" s="86">
        <f>TrRoad_act!T82</f>
        <v>1104</v>
      </c>
      <c r="U28" s="86">
        <f>TrRoad_act!U82</f>
        <v>1058</v>
      </c>
      <c r="V28" s="86">
        <f>TrRoad_act!V82</f>
        <v>1252</v>
      </c>
      <c r="W28" s="86">
        <f>TrRoad_act!W82</f>
        <v>1149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27741</v>
      </c>
      <c r="C30" s="54">
        <f>TrRoad_act!C111</f>
        <v>37946</v>
      </c>
      <c r="D30" s="54">
        <f>TrRoad_act!D111</f>
        <v>33696</v>
      </c>
      <c r="E30" s="54">
        <f>TrRoad_act!E111</f>
        <v>55675</v>
      </c>
      <c r="F30" s="54">
        <f>TrRoad_act!F111</f>
        <v>58183</v>
      </c>
      <c r="G30" s="54">
        <f>TrRoad_act!G111</f>
        <v>55264</v>
      </c>
      <c r="H30" s="54">
        <f>TrRoad_act!H111</f>
        <v>60695</v>
      </c>
      <c r="I30" s="54">
        <f>TrRoad_act!I111</f>
        <v>71053</v>
      </c>
      <c r="J30" s="54">
        <f>TrRoad_act!J111</f>
        <v>59159</v>
      </c>
      <c r="K30" s="54">
        <f>TrRoad_act!K111</f>
        <v>34905</v>
      </c>
      <c r="L30" s="54">
        <f>TrRoad_act!L111</f>
        <v>41151</v>
      </c>
      <c r="M30" s="54">
        <f>TrRoad_act!M111</f>
        <v>59102</v>
      </c>
      <c r="N30" s="54">
        <f>TrRoad_act!N111</f>
        <v>77534</v>
      </c>
      <c r="O30" s="54">
        <f>TrRoad_act!O111</f>
        <v>72576</v>
      </c>
      <c r="P30" s="54">
        <f>TrRoad_act!P111</f>
        <v>71215</v>
      </c>
      <c r="Q30" s="54">
        <f>TrRoad_act!Q111</f>
        <v>69944</v>
      </c>
      <c r="R30" s="54">
        <f>TrRoad_act!R111</f>
        <v>74334</v>
      </c>
      <c r="S30" s="54">
        <f>TrRoad_act!S111</f>
        <v>77025</v>
      </c>
      <c r="T30" s="54">
        <f>TrRoad_act!T111</f>
        <v>79637</v>
      </c>
      <c r="U30" s="54">
        <f>TrRoad_act!U111</f>
        <v>95978</v>
      </c>
      <c r="V30" s="54">
        <f>TrRoad_act!V111</f>
        <v>73144</v>
      </c>
      <c r="W30" s="54">
        <f>TrRoad_act!W111</f>
        <v>83960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26124</v>
      </c>
      <c r="C31" s="28">
        <f>TrRoad_act!C112</f>
        <v>36108</v>
      </c>
      <c r="D31" s="28">
        <f>TrRoad_act!D112</f>
        <v>29949</v>
      </c>
      <c r="E31" s="28">
        <f>TrRoad_act!E112</f>
        <v>49373</v>
      </c>
      <c r="F31" s="28">
        <f>TrRoad_act!F112</f>
        <v>54342</v>
      </c>
      <c r="G31" s="28">
        <f>TrRoad_act!G112</f>
        <v>51661</v>
      </c>
      <c r="H31" s="28">
        <f>TrRoad_act!H112</f>
        <v>55718</v>
      </c>
      <c r="I31" s="28">
        <f>TrRoad_act!I112</f>
        <v>65039</v>
      </c>
      <c r="J31" s="28">
        <f>TrRoad_act!J112</f>
        <v>52567</v>
      </c>
      <c r="K31" s="28">
        <f>TrRoad_act!K112</f>
        <v>29771</v>
      </c>
      <c r="L31" s="28">
        <f>TrRoad_act!L112</f>
        <v>35851</v>
      </c>
      <c r="M31" s="28">
        <f>TrRoad_act!M112</f>
        <v>52000</v>
      </c>
      <c r="N31" s="28">
        <f>TrRoad_act!N112</f>
        <v>69871</v>
      </c>
      <c r="O31" s="28">
        <f>TrRoad_act!O112</f>
        <v>63765</v>
      </c>
      <c r="P31" s="28">
        <f>TrRoad_act!P112</f>
        <v>62080</v>
      </c>
      <c r="Q31" s="28">
        <f>TrRoad_act!Q112</f>
        <v>60181</v>
      </c>
      <c r="R31" s="28">
        <f>TrRoad_act!R112</f>
        <v>63551</v>
      </c>
      <c r="S31" s="28">
        <f>TrRoad_act!S112</f>
        <v>65867</v>
      </c>
      <c r="T31" s="28">
        <f>TrRoad_act!T112</f>
        <v>67911</v>
      </c>
      <c r="U31" s="28">
        <f>TrRoad_act!U112</f>
        <v>81610</v>
      </c>
      <c r="V31" s="28">
        <f>TrRoad_act!V112</f>
        <v>62586</v>
      </c>
      <c r="W31" s="28">
        <f>TrRoad_act!W112</f>
        <v>73326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56</v>
      </c>
      <c r="C32" s="137">
        <f>TrRoad_act!C113</f>
        <v>211</v>
      </c>
      <c r="D32" s="137">
        <f>TrRoad_act!D113</f>
        <v>632</v>
      </c>
      <c r="E32" s="137">
        <f>TrRoad_act!E113</f>
        <v>956</v>
      </c>
      <c r="F32" s="137">
        <f>TrRoad_act!F113</f>
        <v>1178</v>
      </c>
      <c r="G32" s="137">
        <f>TrRoad_act!G113</f>
        <v>1335</v>
      </c>
      <c r="H32" s="137">
        <f>TrRoad_act!H113</f>
        <v>2640</v>
      </c>
      <c r="I32" s="137">
        <f>TrRoad_act!I113</f>
        <v>2494</v>
      </c>
      <c r="J32" s="137">
        <f>TrRoad_act!J113</f>
        <v>3217</v>
      </c>
      <c r="K32" s="137">
        <f>TrRoad_act!K113</f>
        <v>1304</v>
      </c>
      <c r="L32" s="137">
        <f>TrRoad_act!L113</f>
        <v>1448</v>
      </c>
      <c r="M32" s="137">
        <f>TrRoad_act!M113</f>
        <v>4004</v>
      </c>
      <c r="N32" s="137">
        <f>TrRoad_act!N113</f>
        <v>13024</v>
      </c>
      <c r="O32" s="137">
        <f>TrRoad_act!O113</f>
        <v>4154</v>
      </c>
      <c r="P32" s="137">
        <f>TrRoad_act!P113</f>
        <v>4389</v>
      </c>
      <c r="Q32" s="137">
        <f>TrRoad_act!Q113</f>
        <v>4027</v>
      </c>
      <c r="R32" s="137">
        <f>TrRoad_act!R113</f>
        <v>4181</v>
      </c>
      <c r="S32" s="137">
        <f>TrRoad_act!S113</f>
        <v>3814</v>
      </c>
      <c r="T32" s="137">
        <f>TrRoad_act!T113</f>
        <v>3755</v>
      </c>
      <c r="U32" s="137">
        <f>TrRoad_act!U113</f>
        <v>3984</v>
      </c>
      <c r="V32" s="137">
        <f>TrRoad_act!V113</f>
        <v>4176</v>
      </c>
      <c r="W32" s="137">
        <f>TrRoad_act!W113</f>
        <v>4379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25707</v>
      </c>
      <c r="C33" s="110">
        <f>TrRoad_act!C114</f>
        <v>35478</v>
      </c>
      <c r="D33" s="110">
        <f>TrRoad_act!D114</f>
        <v>28820</v>
      </c>
      <c r="E33" s="110">
        <f>TrRoad_act!E114</f>
        <v>47766</v>
      </c>
      <c r="F33" s="110">
        <f>TrRoad_act!F114</f>
        <v>52700</v>
      </c>
      <c r="G33" s="110">
        <f>TrRoad_act!G114</f>
        <v>49648</v>
      </c>
      <c r="H33" s="110">
        <f>TrRoad_act!H114</f>
        <v>52651</v>
      </c>
      <c r="I33" s="110">
        <f>TrRoad_act!I114</f>
        <v>62305</v>
      </c>
      <c r="J33" s="110">
        <f>TrRoad_act!J114</f>
        <v>49206</v>
      </c>
      <c r="K33" s="110">
        <f>TrRoad_act!K114</f>
        <v>28350</v>
      </c>
      <c r="L33" s="110">
        <f>TrRoad_act!L114</f>
        <v>33993</v>
      </c>
      <c r="M33" s="110">
        <f>TrRoad_act!M114</f>
        <v>47694</v>
      </c>
      <c r="N33" s="110">
        <f>TrRoad_act!N114</f>
        <v>56390</v>
      </c>
      <c r="O33" s="110">
        <f>TrRoad_act!O114</f>
        <v>59122</v>
      </c>
      <c r="P33" s="110">
        <f>TrRoad_act!P114</f>
        <v>57260</v>
      </c>
      <c r="Q33" s="110">
        <f>TrRoad_act!Q114</f>
        <v>55682</v>
      </c>
      <c r="R33" s="110">
        <f>TrRoad_act!R114</f>
        <v>58983</v>
      </c>
      <c r="S33" s="110">
        <f>TrRoad_act!S114</f>
        <v>61590</v>
      </c>
      <c r="T33" s="110">
        <f>TrRoad_act!T114</f>
        <v>63769</v>
      </c>
      <c r="U33" s="110">
        <f>TrRoad_act!U114</f>
        <v>77119</v>
      </c>
      <c r="V33" s="110">
        <f>TrRoad_act!V114</f>
        <v>57960</v>
      </c>
      <c r="W33" s="110">
        <f>TrRoad_act!W114</f>
        <v>68486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22342</v>
      </c>
      <c r="C34" s="84">
        <f>TrRoad_act!C115</f>
        <v>23108</v>
      </c>
      <c r="D34" s="84">
        <f>TrRoad_act!D115</f>
        <v>24056</v>
      </c>
      <c r="E34" s="84">
        <f>TrRoad_act!E115</f>
        <v>37974</v>
      </c>
      <c r="F34" s="84">
        <f>TrRoad_act!F115</f>
        <v>36925</v>
      </c>
      <c r="G34" s="84">
        <f>TrRoad_act!G115</f>
        <v>32043</v>
      </c>
      <c r="H34" s="84">
        <f>TrRoad_act!H115</f>
        <v>34015</v>
      </c>
      <c r="I34" s="84">
        <f>TrRoad_act!I115</f>
        <v>35981</v>
      </c>
      <c r="J34" s="84">
        <f>TrRoad_act!J115</f>
        <v>32612</v>
      </c>
      <c r="K34" s="84">
        <f>TrRoad_act!K115</f>
        <v>20372</v>
      </c>
      <c r="L34" s="84">
        <f>TrRoad_act!L115</f>
        <v>20743</v>
      </c>
      <c r="M34" s="84">
        <f>TrRoad_act!M115</f>
        <v>25393</v>
      </c>
      <c r="N34" s="84">
        <f>TrRoad_act!N115</f>
        <v>26214</v>
      </c>
      <c r="O34" s="84">
        <f>TrRoad_act!O115</f>
        <v>27766</v>
      </c>
      <c r="P34" s="84">
        <f>TrRoad_act!P115</f>
        <v>27721</v>
      </c>
      <c r="Q34" s="84">
        <f>TrRoad_act!Q115</f>
        <v>28904</v>
      </c>
      <c r="R34" s="84">
        <f>TrRoad_act!R115</f>
        <v>32174</v>
      </c>
      <c r="S34" s="84">
        <f>TrRoad_act!S115</f>
        <v>35220</v>
      </c>
      <c r="T34" s="84">
        <f>TrRoad_act!T115</f>
        <v>35941</v>
      </c>
      <c r="U34" s="84">
        <f>TrRoad_act!U115</f>
        <v>38730</v>
      </c>
      <c r="V34" s="84">
        <f>TrRoad_act!V115</f>
        <v>30900</v>
      </c>
      <c r="W34" s="84">
        <f>TrRoad_act!W115</f>
        <v>36707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3365</v>
      </c>
      <c r="C35" s="84">
        <f>TrRoad_act!C116</f>
        <v>12340</v>
      </c>
      <c r="D35" s="84">
        <f>TrRoad_act!D116</f>
        <v>4702</v>
      </c>
      <c r="E35" s="84">
        <f>TrRoad_act!E116</f>
        <v>9661</v>
      </c>
      <c r="F35" s="84">
        <f>TrRoad_act!F116</f>
        <v>15707</v>
      </c>
      <c r="G35" s="84">
        <f>TrRoad_act!G116</f>
        <v>17390</v>
      </c>
      <c r="H35" s="84">
        <f>TrRoad_act!H116</f>
        <v>18275</v>
      </c>
      <c r="I35" s="84">
        <f>TrRoad_act!I116</f>
        <v>26324</v>
      </c>
      <c r="J35" s="84">
        <f>TrRoad_act!J116</f>
        <v>16293</v>
      </c>
      <c r="K35" s="84">
        <f>TrRoad_act!K116</f>
        <v>7759</v>
      </c>
      <c r="L35" s="84">
        <f>TrRoad_act!L116</f>
        <v>13247</v>
      </c>
      <c r="M35" s="84">
        <f>TrRoad_act!M116</f>
        <v>21878</v>
      </c>
      <c r="N35" s="84">
        <f>TrRoad_act!N116</f>
        <v>28819</v>
      </c>
      <c r="O35" s="84">
        <f>TrRoad_act!O116</f>
        <v>30656</v>
      </c>
      <c r="P35" s="84">
        <f>TrRoad_act!P116</f>
        <v>28393</v>
      </c>
      <c r="Q35" s="84">
        <f>TrRoad_act!Q116</f>
        <v>26271</v>
      </c>
      <c r="R35" s="84">
        <f>TrRoad_act!R116</f>
        <v>25530</v>
      </c>
      <c r="S35" s="84">
        <f>TrRoad_act!S116</f>
        <v>25046</v>
      </c>
      <c r="T35" s="84">
        <f>TrRoad_act!T116</f>
        <v>25568</v>
      </c>
      <c r="U35" s="84">
        <f>TrRoad_act!U116</f>
        <v>31342</v>
      </c>
      <c r="V35" s="84">
        <f>TrRoad_act!V116</f>
        <v>20134</v>
      </c>
      <c r="W35" s="84">
        <f>TrRoad_act!W116</f>
        <v>26306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30</v>
      </c>
      <c r="D36" s="84">
        <f>TrRoad_act!D117</f>
        <v>62</v>
      </c>
      <c r="E36" s="84">
        <f>TrRoad_act!E117</f>
        <v>131</v>
      </c>
      <c r="F36" s="84">
        <f>TrRoad_act!F117</f>
        <v>68</v>
      </c>
      <c r="G36" s="84">
        <f>TrRoad_act!G117</f>
        <v>215</v>
      </c>
      <c r="H36" s="84">
        <f>TrRoad_act!H117</f>
        <v>361</v>
      </c>
      <c r="I36" s="84">
        <f>TrRoad_act!I117</f>
        <v>0</v>
      </c>
      <c r="J36" s="84">
        <f>TrRoad_act!J117</f>
        <v>300</v>
      </c>
      <c r="K36" s="84">
        <f>TrRoad_act!K117</f>
        <v>219</v>
      </c>
      <c r="L36" s="84">
        <f>TrRoad_act!L117</f>
        <v>0</v>
      </c>
      <c r="M36" s="84">
        <f>TrRoad_act!M117</f>
        <v>362</v>
      </c>
      <c r="N36" s="84">
        <f>TrRoad_act!N117</f>
        <v>806</v>
      </c>
      <c r="O36" s="84">
        <f>TrRoad_act!O117</f>
        <v>467</v>
      </c>
      <c r="P36" s="84">
        <f>TrRoad_act!P117</f>
        <v>644</v>
      </c>
      <c r="Q36" s="84">
        <f>TrRoad_act!Q117</f>
        <v>300</v>
      </c>
      <c r="R36" s="84">
        <f>TrRoad_act!R117</f>
        <v>714</v>
      </c>
      <c r="S36" s="84">
        <f>TrRoad_act!S117</f>
        <v>868</v>
      </c>
      <c r="T36" s="84">
        <f>TrRoad_act!T117</f>
        <v>991</v>
      </c>
      <c r="U36" s="84">
        <f>TrRoad_act!U117</f>
        <v>1403</v>
      </c>
      <c r="V36" s="84">
        <f>TrRoad_act!V117</f>
        <v>624</v>
      </c>
      <c r="W36" s="84">
        <f>TrRoad_act!W117</f>
        <v>233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2</v>
      </c>
      <c r="M37" s="84">
        <f>TrRoad_act!M118</f>
        <v>5</v>
      </c>
      <c r="N37" s="84">
        <f>TrRoad_act!N118</f>
        <v>7</v>
      </c>
      <c r="O37" s="84">
        <f>TrRoad_act!O118</f>
        <v>103</v>
      </c>
      <c r="P37" s="84">
        <f>TrRoad_act!P118</f>
        <v>116</v>
      </c>
      <c r="Q37" s="84">
        <f>TrRoad_act!Q118</f>
        <v>153</v>
      </c>
      <c r="R37" s="84">
        <f>TrRoad_act!R118</f>
        <v>500</v>
      </c>
      <c r="S37" s="84">
        <f>TrRoad_act!S118</f>
        <v>402</v>
      </c>
      <c r="T37" s="84">
        <f>TrRoad_act!T118</f>
        <v>1107</v>
      </c>
      <c r="U37" s="84">
        <f>TrRoad_act!U118</f>
        <v>5398</v>
      </c>
      <c r="V37" s="84">
        <f>TrRoad_act!V118</f>
        <v>5816</v>
      </c>
      <c r="W37" s="84">
        <f>TrRoad_act!W118</f>
        <v>4175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0</v>
      </c>
      <c r="P38" s="84">
        <f>TrRoad_act!P119</f>
        <v>26</v>
      </c>
      <c r="Q38" s="84">
        <f>TrRoad_act!Q119</f>
        <v>17</v>
      </c>
      <c r="R38" s="84">
        <f>TrRoad_act!R119</f>
        <v>16</v>
      </c>
      <c r="S38" s="84">
        <f>TrRoad_act!S119</f>
        <v>25</v>
      </c>
      <c r="T38" s="84">
        <f>TrRoad_act!T119</f>
        <v>51</v>
      </c>
      <c r="U38" s="84">
        <f>TrRoad_act!U119</f>
        <v>30</v>
      </c>
      <c r="V38" s="84">
        <f>TrRoad_act!V119</f>
        <v>126</v>
      </c>
      <c r="W38" s="84">
        <f>TrRoad_act!W119</f>
        <v>562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1</v>
      </c>
      <c r="K39" s="84">
        <f>TrRoad_act!K120</f>
        <v>0</v>
      </c>
      <c r="L39" s="84">
        <f>TrRoad_act!L120</f>
        <v>1</v>
      </c>
      <c r="M39" s="84">
        <f>TrRoad_act!M120</f>
        <v>56</v>
      </c>
      <c r="N39" s="84">
        <f>TrRoad_act!N120</f>
        <v>544</v>
      </c>
      <c r="O39" s="84">
        <f>TrRoad_act!O120</f>
        <v>130</v>
      </c>
      <c r="P39" s="84">
        <f>TrRoad_act!P120</f>
        <v>360</v>
      </c>
      <c r="Q39" s="84">
        <f>TrRoad_act!Q120</f>
        <v>37</v>
      </c>
      <c r="R39" s="84">
        <f>TrRoad_act!R120</f>
        <v>49</v>
      </c>
      <c r="S39" s="84">
        <f>TrRoad_act!S120</f>
        <v>29</v>
      </c>
      <c r="T39" s="84">
        <f>TrRoad_act!T120</f>
        <v>111</v>
      </c>
      <c r="U39" s="84">
        <f>TrRoad_act!U120</f>
        <v>216</v>
      </c>
      <c r="V39" s="84">
        <f>TrRoad_act!V120</f>
        <v>360</v>
      </c>
      <c r="W39" s="84">
        <f>TrRoad_act!W120</f>
        <v>503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361</v>
      </c>
      <c r="C40" s="110">
        <f>TrRoad_act!C121</f>
        <v>419</v>
      </c>
      <c r="D40" s="110">
        <f>TrRoad_act!D121</f>
        <v>497</v>
      </c>
      <c r="E40" s="110">
        <f>TrRoad_act!E121</f>
        <v>651</v>
      </c>
      <c r="F40" s="110">
        <f>TrRoad_act!F121</f>
        <v>464</v>
      </c>
      <c r="G40" s="110">
        <f>TrRoad_act!G121</f>
        <v>678</v>
      </c>
      <c r="H40" s="110">
        <f>TrRoad_act!H121</f>
        <v>427</v>
      </c>
      <c r="I40" s="110">
        <f>TrRoad_act!I121</f>
        <v>240</v>
      </c>
      <c r="J40" s="110">
        <f>TrRoad_act!J121</f>
        <v>144</v>
      </c>
      <c r="K40" s="110">
        <f>TrRoad_act!K121</f>
        <v>117</v>
      </c>
      <c r="L40" s="110">
        <f>TrRoad_act!L121</f>
        <v>410</v>
      </c>
      <c r="M40" s="110">
        <f>TrRoad_act!M121</f>
        <v>302</v>
      </c>
      <c r="N40" s="110">
        <f>TrRoad_act!N121</f>
        <v>457</v>
      </c>
      <c r="O40" s="110">
        <f>TrRoad_act!O121</f>
        <v>489</v>
      </c>
      <c r="P40" s="110">
        <f>TrRoad_act!P121</f>
        <v>431</v>
      </c>
      <c r="Q40" s="110">
        <f>TrRoad_act!Q121</f>
        <v>472</v>
      </c>
      <c r="R40" s="110">
        <f>TrRoad_act!R121</f>
        <v>387</v>
      </c>
      <c r="S40" s="110">
        <f>TrRoad_act!S121</f>
        <v>463</v>
      </c>
      <c r="T40" s="110">
        <f>TrRoad_act!T121</f>
        <v>387</v>
      </c>
      <c r="U40" s="110">
        <f>TrRoad_act!U121</f>
        <v>507</v>
      </c>
      <c r="V40" s="110">
        <f>TrRoad_act!V121</f>
        <v>450</v>
      </c>
      <c r="W40" s="110">
        <f>TrRoad_act!W121</f>
        <v>461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1</v>
      </c>
      <c r="T41" s="102">
        <f>TrRoad_act!T122</f>
        <v>0</v>
      </c>
      <c r="U41" s="102">
        <f>TrRoad_act!U122</f>
        <v>7</v>
      </c>
      <c r="V41" s="102">
        <f>TrRoad_act!V122</f>
        <v>0</v>
      </c>
      <c r="W41" s="102">
        <f>TrRoad_act!W122</f>
        <v>1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361</v>
      </c>
      <c r="C42" s="102">
        <f>TrRoad_act!C123</f>
        <v>419</v>
      </c>
      <c r="D42" s="102">
        <f>TrRoad_act!D123</f>
        <v>497</v>
      </c>
      <c r="E42" s="102">
        <f>TrRoad_act!E123</f>
        <v>651</v>
      </c>
      <c r="F42" s="102">
        <f>TrRoad_act!F123</f>
        <v>464</v>
      </c>
      <c r="G42" s="102">
        <f>TrRoad_act!G123</f>
        <v>678</v>
      </c>
      <c r="H42" s="102">
        <f>TrRoad_act!H123</f>
        <v>427</v>
      </c>
      <c r="I42" s="102">
        <f>TrRoad_act!I123</f>
        <v>240</v>
      </c>
      <c r="J42" s="102">
        <f>TrRoad_act!J123</f>
        <v>144</v>
      </c>
      <c r="K42" s="102">
        <f>TrRoad_act!K123</f>
        <v>117</v>
      </c>
      <c r="L42" s="102">
        <f>TrRoad_act!L123</f>
        <v>294</v>
      </c>
      <c r="M42" s="102">
        <f>TrRoad_act!M123</f>
        <v>297</v>
      </c>
      <c r="N42" s="102">
        <f>TrRoad_act!N123</f>
        <v>456</v>
      </c>
      <c r="O42" s="102">
        <f>TrRoad_act!O123</f>
        <v>482</v>
      </c>
      <c r="P42" s="102">
        <f>TrRoad_act!P123</f>
        <v>416</v>
      </c>
      <c r="Q42" s="102">
        <f>TrRoad_act!Q123</f>
        <v>452</v>
      </c>
      <c r="R42" s="102">
        <f>TrRoad_act!R123</f>
        <v>365</v>
      </c>
      <c r="S42" s="102">
        <f>TrRoad_act!S123</f>
        <v>422</v>
      </c>
      <c r="T42" s="102">
        <f>TrRoad_act!T123</f>
        <v>345</v>
      </c>
      <c r="U42" s="102">
        <f>TrRoad_act!U123</f>
        <v>424</v>
      </c>
      <c r="V42" s="102">
        <f>TrRoad_act!V123</f>
        <v>329</v>
      </c>
      <c r="W42" s="102">
        <f>TrRoad_act!W123</f>
        <v>317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1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2</v>
      </c>
      <c r="M44" s="102">
        <f>TrRoad_act!M125</f>
        <v>5</v>
      </c>
      <c r="N44" s="102">
        <f>TrRoad_act!N125</f>
        <v>1</v>
      </c>
      <c r="O44" s="102">
        <f>TrRoad_act!O125</f>
        <v>7</v>
      </c>
      <c r="P44" s="102">
        <f>TrRoad_act!P125</f>
        <v>15</v>
      </c>
      <c r="Q44" s="102">
        <f>TrRoad_act!Q125</f>
        <v>20</v>
      </c>
      <c r="R44" s="102">
        <f>TrRoad_act!R125</f>
        <v>22</v>
      </c>
      <c r="S44" s="102">
        <f>TrRoad_act!S125</f>
        <v>40</v>
      </c>
      <c r="T44" s="102">
        <f>TrRoad_act!T125</f>
        <v>41</v>
      </c>
      <c r="U44" s="102">
        <f>TrRoad_act!U125</f>
        <v>76</v>
      </c>
      <c r="V44" s="102">
        <f>TrRoad_act!V125</f>
        <v>121</v>
      </c>
      <c r="W44" s="102">
        <f>TrRoad_act!W125</f>
        <v>143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114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0</v>
      </c>
      <c r="U45" s="102">
        <f>TrRoad_act!U126</f>
        <v>0</v>
      </c>
      <c r="V45" s="102">
        <f>TrRoad_act!V126</f>
        <v>0</v>
      </c>
      <c r="W45" s="102">
        <f>TrRoad_act!W126</f>
        <v>0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1617</v>
      </c>
      <c r="C46" s="28">
        <f>TrRoad_act!C127</f>
        <v>1838</v>
      </c>
      <c r="D46" s="28">
        <f>TrRoad_act!D127</f>
        <v>3747</v>
      </c>
      <c r="E46" s="28">
        <f>TrRoad_act!E127</f>
        <v>6302</v>
      </c>
      <c r="F46" s="28">
        <f>TrRoad_act!F127</f>
        <v>3841</v>
      </c>
      <c r="G46" s="28">
        <f>TrRoad_act!G127</f>
        <v>3603</v>
      </c>
      <c r="H46" s="28">
        <f>TrRoad_act!H127</f>
        <v>4977</v>
      </c>
      <c r="I46" s="28">
        <f>TrRoad_act!I127</f>
        <v>6014</v>
      </c>
      <c r="J46" s="28">
        <f>TrRoad_act!J127</f>
        <v>6592</v>
      </c>
      <c r="K46" s="28">
        <f>TrRoad_act!K127</f>
        <v>5134</v>
      </c>
      <c r="L46" s="28">
        <f>TrRoad_act!L127</f>
        <v>5300</v>
      </c>
      <c r="M46" s="28">
        <f>TrRoad_act!M127</f>
        <v>7102</v>
      </c>
      <c r="N46" s="28">
        <f>TrRoad_act!N127</f>
        <v>7663</v>
      </c>
      <c r="O46" s="28">
        <f>TrRoad_act!O127</f>
        <v>8811</v>
      </c>
      <c r="P46" s="28">
        <f>TrRoad_act!P127</f>
        <v>9135</v>
      </c>
      <c r="Q46" s="28">
        <f>TrRoad_act!Q127</f>
        <v>9763</v>
      </c>
      <c r="R46" s="28">
        <f>TrRoad_act!R127</f>
        <v>10783</v>
      </c>
      <c r="S46" s="28">
        <f>TrRoad_act!S127</f>
        <v>11158</v>
      </c>
      <c r="T46" s="28">
        <f>TrRoad_act!T127</f>
        <v>11726</v>
      </c>
      <c r="U46" s="28">
        <f>TrRoad_act!U127</f>
        <v>14368</v>
      </c>
      <c r="V46" s="28">
        <f>TrRoad_act!V127</f>
        <v>10558</v>
      </c>
      <c r="W46" s="28">
        <f>TrRoad_act!W127</f>
        <v>10634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1302</v>
      </c>
      <c r="C47" s="137">
        <f>TrRoad_act!C128</f>
        <v>1513</v>
      </c>
      <c r="D47" s="137">
        <f>TrRoad_act!D128</f>
        <v>1742</v>
      </c>
      <c r="E47" s="137">
        <f>TrRoad_act!E128</f>
        <v>2195</v>
      </c>
      <c r="F47" s="137">
        <f>TrRoad_act!F128</f>
        <v>2242</v>
      </c>
      <c r="G47" s="137">
        <f>TrRoad_act!G128</f>
        <v>2630</v>
      </c>
      <c r="H47" s="137">
        <f>TrRoad_act!H128</f>
        <v>3369</v>
      </c>
      <c r="I47" s="137">
        <f>TrRoad_act!I128</f>
        <v>4215</v>
      </c>
      <c r="J47" s="137">
        <f>TrRoad_act!J128</f>
        <v>5333</v>
      </c>
      <c r="K47" s="137">
        <f>TrRoad_act!K128</f>
        <v>4878</v>
      </c>
      <c r="L47" s="137">
        <f>TrRoad_act!L128</f>
        <v>5084</v>
      </c>
      <c r="M47" s="137">
        <f>TrRoad_act!M128</f>
        <v>6136</v>
      </c>
      <c r="N47" s="137">
        <f>TrRoad_act!N128</f>
        <v>6840</v>
      </c>
      <c r="O47" s="137">
        <f>TrRoad_act!O128</f>
        <v>8445</v>
      </c>
      <c r="P47" s="137">
        <f>TrRoad_act!P128</f>
        <v>7701</v>
      </c>
      <c r="Q47" s="137">
        <f>TrRoad_act!Q128</f>
        <v>8288</v>
      </c>
      <c r="R47" s="137">
        <f>TrRoad_act!R128</f>
        <v>8991</v>
      </c>
      <c r="S47" s="137">
        <f>TrRoad_act!S128</f>
        <v>9441</v>
      </c>
      <c r="T47" s="137">
        <f>TrRoad_act!T128</f>
        <v>10085</v>
      </c>
      <c r="U47" s="137">
        <f>TrRoad_act!U128</f>
        <v>11457</v>
      </c>
      <c r="V47" s="137">
        <f>TrRoad_act!V128</f>
        <v>9111</v>
      </c>
      <c r="W47" s="137">
        <f>TrRoad_act!W128</f>
        <v>9301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286</v>
      </c>
      <c r="C48" s="84">
        <f>TrRoad_act!C129</f>
        <v>513</v>
      </c>
      <c r="D48" s="84">
        <f>TrRoad_act!D129</f>
        <v>563</v>
      </c>
      <c r="E48" s="84">
        <f>TrRoad_act!E129</f>
        <v>480</v>
      </c>
      <c r="F48" s="84">
        <f>TrRoad_act!F129</f>
        <v>599</v>
      </c>
      <c r="G48" s="84">
        <f>TrRoad_act!G129</f>
        <v>734</v>
      </c>
      <c r="H48" s="84">
        <f>TrRoad_act!H129</f>
        <v>707</v>
      </c>
      <c r="I48" s="84">
        <f>TrRoad_act!I129</f>
        <v>662</v>
      </c>
      <c r="J48" s="84">
        <f>TrRoad_act!J129</f>
        <v>1849</v>
      </c>
      <c r="K48" s="84">
        <f>TrRoad_act!K129</f>
        <v>1452</v>
      </c>
      <c r="L48" s="84">
        <f>TrRoad_act!L129</f>
        <v>1070</v>
      </c>
      <c r="M48" s="84">
        <f>TrRoad_act!M129</f>
        <v>1222</v>
      </c>
      <c r="N48" s="84">
        <f>TrRoad_act!N129</f>
        <v>1108</v>
      </c>
      <c r="O48" s="84">
        <f>TrRoad_act!O129</f>
        <v>707</v>
      </c>
      <c r="P48" s="84">
        <f>TrRoad_act!P129</f>
        <v>936</v>
      </c>
      <c r="Q48" s="84">
        <f>TrRoad_act!Q129</f>
        <v>1174</v>
      </c>
      <c r="R48" s="84">
        <f>TrRoad_act!R129</f>
        <v>1233</v>
      </c>
      <c r="S48" s="84">
        <f>TrRoad_act!S129</f>
        <v>1214</v>
      </c>
      <c r="T48" s="84">
        <f>TrRoad_act!T129</f>
        <v>1258</v>
      </c>
      <c r="U48" s="84">
        <f>TrRoad_act!U129</f>
        <v>1492</v>
      </c>
      <c r="V48" s="84">
        <f>TrRoad_act!V129</f>
        <v>1159</v>
      </c>
      <c r="W48" s="84">
        <f>TrRoad_act!W129</f>
        <v>941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1016</v>
      </c>
      <c r="C49" s="84">
        <f>TrRoad_act!C130</f>
        <v>1000</v>
      </c>
      <c r="D49" s="84">
        <f>TrRoad_act!D130</f>
        <v>1179</v>
      </c>
      <c r="E49" s="84">
        <f>TrRoad_act!E130</f>
        <v>1715</v>
      </c>
      <c r="F49" s="84">
        <f>TrRoad_act!F130</f>
        <v>1643</v>
      </c>
      <c r="G49" s="84">
        <f>TrRoad_act!G130</f>
        <v>1896</v>
      </c>
      <c r="H49" s="84">
        <f>TrRoad_act!H130</f>
        <v>2662</v>
      </c>
      <c r="I49" s="84">
        <f>TrRoad_act!I130</f>
        <v>3551</v>
      </c>
      <c r="J49" s="84">
        <f>TrRoad_act!J130</f>
        <v>3484</v>
      </c>
      <c r="K49" s="84">
        <f>TrRoad_act!K130</f>
        <v>3426</v>
      </c>
      <c r="L49" s="84">
        <f>TrRoad_act!L130</f>
        <v>4014</v>
      </c>
      <c r="M49" s="84">
        <f>TrRoad_act!M130</f>
        <v>4914</v>
      </c>
      <c r="N49" s="84">
        <f>TrRoad_act!N130</f>
        <v>5730</v>
      </c>
      <c r="O49" s="84">
        <f>TrRoad_act!O130</f>
        <v>7687</v>
      </c>
      <c r="P49" s="84">
        <f>TrRoad_act!P130</f>
        <v>6745</v>
      </c>
      <c r="Q49" s="84">
        <f>TrRoad_act!Q130</f>
        <v>7086</v>
      </c>
      <c r="R49" s="84">
        <f>TrRoad_act!R130</f>
        <v>7744</v>
      </c>
      <c r="S49" s="84">
        <f>TrRoad_act!S130</f>
        <v>8129</v>
      </c>
      <c r="T49" s="84">
        <f>TrRoad_act!T130</f>
        <v>8771</v>
      </c>
      <c r="U49" s="84">
        <f>TrRoad_act!U130</f>
        <v>9906</v>
      </c>
      <c r="V49" s="84">
        <f>TrRoad_act!V130</f>
        <v>7854</v>
      </c>
      <c r="W49" s="84">
        <f>TrRoad_act!W130</f>
        <v>8344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1</v>
      </c>
      <c r="S50" s="84">
        <f>TrRoad_act!S131</f>
        <v>12</v>
      </c>
      <c r="T50" s="84">
        <f>TrRoad_act!T131</f>
        <v>4</v>
      </c>
      <c r="U50" s="84">
        <f>TrRoad_act!U131</f>
        <v>5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1</v>
      </c>
      <c r="O51" s="84">
        <f>TrRoad_act!O132</f>
        <v>47</v>
      </c>
      <c r="P51" s="84">
        <f>TrRoad_act!P132</f>
        <v>13</v>
      </c>
      <c r="Q51" s="84">
        <f>TrRoad_act!Q132</f>
        <v>26</v>
      </c>
      <c r="R51" s="84">
        <f>TrRoad_act!R132</f>
        <v>0</v>
      </c>
      <c r="S51" s="84">
        <f>TrRoad_act!S132</f>
        <v>85</v>
      </c>
      <c r="T51" s="84">
        <f>TrRoad_act!T132</f>
        <v>51</v>
      </c>
      <c r="U51" s="84">
        <f>TrRoad_act!U132</f>
        <v>51</v>
      </c>
      <c r="V51" s="84">
        <f>TrRoad_act!V132</f>
        <v>82</v>
      </c>
      <c r="W51" s="84">
        <f>TrRoad_act!W132</f>
        <v>2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2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1</v>
      </c>
      <c r="O52" s="84">
        <f>TrRoad_act!O133</f>
        <v>4</v>
      </c>
      <c r="P52" s="84">
        <f>TrRoad_act!P133</f>
        <v>7</v>
      </c>
      <c r="Q52" s="84">
        <f>TrRoad_act!Q133</f>
        <v>2</v>
      </c>
      <c r="R52" s="84">
        <f>TrRoad_act!R133</f>
        <v>13</v>
      </c>
      <c r="S52" s="84">
        <f>TrRoad_act!S133</f>
        <v>1</v>
      </c>
      <c r="T52" s="84">
        <f>TrRoad_act!T133</f>
        <v>1</v>
      </c>
      <c r="U52" s="84">
        <f>TrRoad_act!U133</f>
        <v>3</v>
      </c>
      <c r="V52" s="84">
        <f>TrRoad_act!V133</f>
        <v>16</v>
      </c>
      <c r="W52" s="84">
        <f>TrRoad_act!W133</f>
        <v>14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315</v>
      </c>
      <c r="C53" s="110">
        <f>TrRoad_act!C134</f>
        <v>325</v>
      </c>
      <c r="D53" s="110">
        <f>TrRoad_act!D134</f>
        <v>2005</v>
      </c>
      <c r="E53" s="110">
        <f>TrRoad_act!E134</f>
        <v>4107</v>
      </c>
      <c r="F53" s="110">
        <f>TrRoad_act!F134</f>
        <v>1599</v>
      </c>
      <c r="G53" s="110">
        <f>TrRoad_act!G134</f>
        <v>973</v>
      </c>
      <c r="H53" s="110">
        <f>TrRoad_act!H134</f>
        <v>1608</v>
      </c>
      <c r="I53" s="110">
        <f>TrRoad_act!I134</f>
        <v>1799</v>
      </c>
      <c r="J53" s="110">
        <f>TrRoad_act!J134</f>
        <v>1259</v>
      </c>
      <c r="K53" s="110">
        <f>TrRoad_act!K134</f>
        <v>256</v>
      </c>
      <c r="L53" s="110">
        <f>TrRoad_act!L134</f>
        <v>216</v>
      </c>
      <c r="M53" s="110">
        <f>TrRoad_act!M134</f>
        <v>966</v>
      </c>
      <c r="N53" s="110">
        <f>TrRoad_act!N134</f>
        <v>823</v>
      </c>
      <c r="O53" s="110">
        <f>TrRoad_act!O134</f>
        <v>366</v>
      </c>
      <c r="P53" s="110">
        <f>TrRoad_act!P134</f>
        <v>1434</v>
      </c>
      <c r="Q53" s="110">
        <f>TrRoad_act!Q134</f>
        <v>1475</v>
      </c>
      <c r="R53" s="110">
        <f>TrRoad_act!R134</f>
        <v>1792</v>
      </c>
      <c r="S53" s="110">
        <f>TrRoad_act!S134</f>
        <v>1717</v>
      </c>
      <c r="T53" s="110">
        <f>TrRoad_act!T134</f>
        <v>1641</v>
      </c>
      <c r="U53" s="110">
        <f>TrRoad_act!U134</f>
        <v>2911</v>
      </c>
      <c r="V53" s="110">
        <f>TrRoad_act!V134</f>
        <v>1447</v>
      </c>
      <c r="W53" s="110">
        <f>TrRoad_act!W134</f>
        <v>1333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266</v>
      </c>
      <c r="C54" s="102">
        <f>TrRoad_act!C135</f>
        <v>257</v>
      </c>
      <c r="D54" s="102">
        <f>TrRoad_act!D135</f>
        <v>1940</v>
      </c>
      <c r="E54" s="102">
        <f>TrRoad_act!E135</f>
        <v>4050</v>
      </c>
      <c r="F54" s="102">
        <f>TrRoad_act!F135</f>
        <v>1445</v>
      </c>
      <c r="G54" s="102">
        <f>TrRoad_act!G135</f>
        <v>894</v>
      </c>
      <c r="H54" s="102">
        <f>TrRoad_act!H135</f>
        <v>1496</v>
      </c>
      <c r="I54" s="102">
        <f>TrRoad_act!I135</f>
        <v>1647</v>
      </c>
      <c r="J54" s="102">
        <f>TrRoad_act!J135</f>
        <v>1222</v>
      </c>
      <c r="K54" s="102">
        <f>TrRoad_act!K135</f>
        <v>256</v>
      </c>
      <c r="L54" s="102">
        <f>TrRoad_act!L135</f>
        <v>152</v>
      </c>
      <c r="M54" s="102">
        <f>TrRoad_act!M135</f>
        <v>790</v>
      </c>
      <c r="N54" s="102">
        <f>TrRoad_act!N135</f>
        <v>745</v>
      </c>
      <c r="O54" s="102">
        <f>TrRoad_act!O135</f>
        <v>166</v>
      </c>
      <c r="P54" s="102">
        <f>TrRoad_act!P135</f>
        <v>1358</v>
      </c>
      <c r="Q54" s="102">
        <f>TrRoad_act!Q135</f>
        <v>1212</v>
      </c>
      <c r="R54" s="102">
        <f>TrRoad_act!R135</f>
        <v>1691</v>
      </c>
      <c r="S54" s="102">
        <f>TrRoad_act!S135</f>
        <v>1670</v>
      </c>
      <c r="T54" s="102">
        <f>TrRoad_act!T135</f>
        <v>1515</v>
      </c>
      <c r="U54" s="102">
        <f>TrRoad_act!U135</f>
        <v>2857</v>
      </c>
      <c r="V54" s="102">
        <f>TrRoad_act!V135</f>
        <v>1152</v>
      </c>
      <c r="W54" s="102">
        <f>TrRoad_act!W135</f>
        <v>1332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49</v>
      </c>
      <c r="C55" s="86">
        <f>TrRoad_act!C136</f>
        <v>68</v>
      </c>
      <c r="D55" s="86">
        <f>TrRoad_act!D136</f>
        <v>65</v>
      </c>
      <c r="E55" s="86">
        <f>TrRoad_act!E136</f>
        <v>57</v>
      </c>
      <c r="F55" s="86">
        <f>TrRoad_act!F136</f>
        <v>154</v>
      </c>
      <c r="G55" s="86">
        <f>TrRoad_act!G136</f>
        <v>79</v>
      </c>
      <c r="H55" s="86">
        <f>TrRoad_act!H136</f>
        <v>112</v>
      </c>
      <c r="I55" s="86">
        <f>TrRoad_act!I136</f>
        <v>152</v>
      </c>
      <c r="J55" s="86">
        <f>TrRoad_act!J136</f>
        <v>37</v>
      </c>
      <c r="K55" s="86">
        <f>TrRoad_act!K136</f>
        <v>0</v>
      </c>
      <c r="L55" s="86">
        <f>TrRoad_act!L136</f>
        <v>64</v>
      </c>
      <c r="M55" s="86">
        <f>TrRoad_act!M136</f>
        <v>176</v>
      </c>
      <c r="N55" s="86">
        <f>TrRoad_act!N136</f>
        <v>78</v>
      </c>
      <c r="O55" s="86">
        <f>TrRoad_act!O136</f>
        <v>200</v>
      </c>
      <c r="P55" s="86">
        <f>TrRoad_act!P136</f>
        <v>76</v>
      </c>
      <c r="Q55" s="86">
        <f>TrRoad_act!Q136</f>
        <v>263</v>
      </c>
      <c r="R55" s="86">
        <f>TrRoad_act!R136</f>
        <v>101</v>
      </c>
      <c r="S55" s="86">
        <f>TrRoad_act!S136</f>
        <v>47</v>
      </c>
      <c r="T55" s="86">
        <f>TrRoad_act!T136</f>
        <v>126</v>
      </c>
      <c r="U55" s="86">
        <f>TrRoad_act!U136</f>
        <v>54</v>
      </c>
      <c r="V55" s="86">
        <f>TrRoad_act!V136</f>
        <v>295</v>
      </c>
      <c r="W55" s="86">
        <f>TrRoad_act!W136</f>
        <v>1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570</v>
      </c>
      <c r="C59" s="54">
        <f t="shared" si="0"/>
        <v>100</v>
      </c>
      <c r="D59" s="54">
        <f t="shared" si="0"/>
        <v>350</v>
      </c>
      <c r="E59" s="54">
        <f t="shared" si="0"/>
        <v>10943</v>
      </c>
      <c r="F59" s="54">
        <f t="shared" si="0"/>
        <v>15121</v>
      </c>
      <c r="G59" s="54">
        <f t="shared" si="0"/>
        <v>17333</v>
      </c>
      <c r="H59" s="54">
        <f t="shared" si="0"/>
        <v>31626</v>
      </c>
      <c r="I59" s="54">
        <f t="shared" si="0"/>
        <v>43356</v>
      </c>
      <c r="J59" s="54">
        <f t="shared" si="0"/>
        <v>39936</v>
      </c>
      <c r="K59" s="54">
        <f t="shared" si="0"/>
        <v>25262</v>
      </c>
      <c r="L59" s="54">
        <f t="shared" ref="L59" si="1">L60+L75</f>
        <v>32019</v>
      </c>
      <c r="M59" s="54">
        <f t="shared" ref="M59:V59" si="2">M60+M75</f>
        <v>49336</v>
      </c>
      <c r="N59" s="54">
        <f t="shared" si="2"/>
        <v>68396</v>
      </c>
      <c r="O59" s="54">
        <f t="shared" si="2"/>
        <v>65610</v>
      </c>
      <c r="P59" s="54">
        <f t="shared" si="2"/>
        <v>66578</v>
      </c>
      <c r="Q59" s="54">
        <f t="shared" si="2"/>
        <v>66888</v>
      </c>
      <c r="R59" s="54">
        <f t="shared" si="2"/>
        <v>72388</v>
      </c>
      <c r="S59" s="54">
        <f t="shared" si="2"/>
        <v>75972</v>
      </c>
      <c r="T59" s="54">
        <f t="shared" si="2"/>
        <v>79144</v>
      </c>
      <c r="U59" s="54">
        <f t="shared" si="2"/>
        <v>95785</v>
      </c>
      <c r="V59" s="54">
        <f t="shared" si="2"/>
        <v>72864</v>
      </c>
      <c r="W59" s="54">
        <f t="shared" ref="W59" si="3">W60+W75</f>
        <v>83960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570</v>
      </c>
      <c r="C60" s="28">
        <f t="shared" si="4"/>
        <v>100</v>
      </c>
      <c r="D60" s="28">
        <f t="shared" si="4"/>
        <v>350</v>
      </c>
      <c r="E60" s="28">
        <f t="shared" si="4"/>
        <v>10943</v>
      </c>
      <c r="F60" s="28">
        <f t="shared" si="4"/>
        <v>15121</v>
      </c>
      <c r="G60" s="28">
        <f t="shared" si="4"/>
        <v>16936</v>
      </c>
      <c r="H60" s="28">
        <f t="shared" si="4"/>
        <v>29648</v>
      </c>
      <c r="I60" s="28">
        <f t="shared" si="4"/>
        <v>40419</v>
      </c>
      <c r="J60" s="28">
        <f t="shared" si="4"/>
        <v>36270</v>
      </c>
      <c r="K60" s="28">
        <f t="shared" si="4"/>
        <v>22208</v>
      </c>
      <c r="L60" s="28">
        <f t="shared" ref="L60" si="5">L61+L62+L69</f>
        <v>28565</v>
      </c>
      <c r="M60" s="28">
        <f t="shared" ref="M60:V60" si="6">M61+M62+M69</f>
        <v>44072</v>
      </c>
      <c r="N60" s="28">
        <f t="shared" si="6"/>
        <v>62340</v>
      </c>
      <c r="O60" s="28">
        <f t="shared" si="6"/>
        <v>58394</v>
      </c>
      <c r="P60" s="28">
        <f t="shared" si="6"/>
        <v>58520</v>
      </c>
      <c r="Q60" s="28">
        <f t="shared" si="6"/>
        <v>57975</v>
      </c>
      <c r="R60" s="28">
        <f t="shared" si="6"/>
        <v>62220</v>
      </c>
      <c r="S60" s="28">
        <f t="shared" si="6"/>
        <v>65201</v>
      </c>
      <c r="T60" s="28">
        <f t="shared" si="6"/>
        <v>67657</v>
      </c>
      <c r="U60" s="28">
        <f t="shared" si="6"/>
        <v>81529</v>
      </c>
      <c r="V60" s="28">
        <f t="shared" si="6"/>
        <v>62516</v>
      </c>
      <c r="W60" s="28">
        <f t="shared" ref="W60" si="7">W61+W62+W69</f>
        <v>73326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75</v>
      </c>
      <c r="D61" s="137">
        <v>297</v>
      </c>
      <c r="E61" s="137">
        <v>515</v>
      </c>
      <c r="F61" s="137">
        <v>709</v>
      </c>
      <c r="G61" s="137">
        <v>884</v>
      </c>
      <c r="H61" s="137">
        <v>1893</v>
      </c>
      <c r="I61" s="137">
        <v>1912</v>
      </c>
      <c r="J61" s="137">
        <v>2609</v>
      </c>
      <c r="K61" s="137">
        <v>1109</v>
      </c>
      <c r="L61" s="137">
        <v>1280</v>
      </c>
      <c r="M61" s="137">
        <v>3656</v>
      </c>
      <c r="N61" s="137">
        <v>12203</v>
      </c>
      <c r="O61" s="137">
        <v>3972</v>
      </c>
      <c r="P61" s="137">
        <v>4263</v>
      </c>
      <c r="Q61" s="137">
        <v>3959</v>
      </c>
      <c r="R61" s="137">
        <v>4144</v>
      </c>
      <c r="S61" s="137">
        <v>3799</v>
      </c>
      <c r="T61" s="137">
        <v>3752</v>
      </c>
      <c r="U61" s="137">
        <v>3984</v>
      </c>
      <c r="V61" s="137">
        <v>4176</v>
      </c>
      <c r="W61" s="137">
        <v>4379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366</v>
      </c>
      <c r="C62" s="110">
        <f t="shared" si="8"/>
        <v>25</v>
      </c>
      <c r="D62" s="110">
        <f t="shared" si="8"/>
        <v>53</v>
      </c>
      <c r="E62" s="110">
        <f t="shared" si="8"/>
        <v>10346</v>
      </c>
      <c r="F62" s="110">
        <f t="shared" si="8"/>
        <v>14320</v>
      </c>
      <c r="G62" s="110">
        <f t="shared" si="8"/>
        <v>15870</v>
      </c>
      <c r="H62" s="110">
        <f t="shared" si="8"/>
        <v>27615</v>
      </c>
      <c r="I62" s="110">
        <f t="shared" si="8"/>
        <v>38413</v>
      </c>
      <c r="J62" s="110">
        <f t="shared" si="8"/>
        <v>33595</v>
      </c>
      <c r="K62" s="110">
        <f t="shared" si="8"/>
        <v>21037</v>
      </c>
      <c r="L62" s="110">
        <f t="shared" ref="L62" si="9">SUM(L63:L68)</f>
        <v>27047</v>
      </c>
      <c r="M62" s="110">
        <f t="shared" ref="M62:V62" si="10">SUM(M63:M68)</f>
        <v>40220</v>
      </c>
      <c r="N62" s="110">
        <f t="shared" si="10"/>
        <v>49808</v>
      </c>
      <c r="O62" s="110">
        <f t="shared" si="10"/>
        <v>54046</v>
      </c>
      <c r="P62" s="110">
        <f t="shared" si="10"/>
        <v>53911</v>
      </c>
      <c r="Q62" s="110">
        <f t="shared" si="10"/>
        <v>53619</v>
      </c>
      <c r="R62" s="110">
        <f t="shared" si="10"/>
        <v>57724</v>
      </c>
      <c r="S62" s="110">
        <f t="shared" si="10"/>
        <v>60963</v>
      </c>
      <c r="T62" s="110">
        <f t="shared" si="10"/>
        <v>63528</v>
      </c>
      <c r="U62" s="110">
        <f t="shared" si="10"/>
        <v>77043</v>
      </c>
      <c r="V62" s="110">
        <f t="shared" si="10"/>
        <v>57901</v>
      </c>
      <c r="W62" s="110">
        <f t="shared" ref="W62" si="11">SUM(W63:W68)</f>
        <v>68486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10232</v>
      </c>
      <c r="F63" s="84">
        <v>14259</v>
      </c>
      <c r="G63" s="84">
        <v>14748</v>
      </c>
      <c r="H63" s="84">
        <v>18167</v>
      </c>
      <c r="I63" s="84">
        <v>21795</v>
      </c>
      <c r="J63" s="84">
        <v>21969</v>
      </c>
      <c r="K63" s="84">
        <v>15002</v>
      </c>
      <c r="L63" s="84">
        <v>16451</v>
      </c>
      <c r="M63" s="84">
        <v>21399</v>
      </c>
      <c r="N63" s="84">
        <v>23201</v>
      </c>
      <c r="O63" s="84">
        <v>25544</v>
      </c>
      <c r="P63" s="84">
        <v>26271</v>
      </c>
      <c r="Q63" s="84">
        <v>27995</v>
      </c>
      <c r="R63" s="84">
        <v>31634</v>
      </c>
      <c r="S63" s="84">
        <v>34963</v>
      </c>
      <c r="T63" s="84">
        <v>35871</v>
      </c>
      <c r="U63" s="84">
        <v>38726</v>
      </c>
      <c r="V63" s="84">
        <v>30900</v>
      </c>
      <c r="W63" s="84">
        <v>36707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926</v>
      </c>
      <c r="H64" s="84">
        <v>9116</v>
      </c>
      <c r="I64" s="84">
        <v>16618</v>
      </c>
      <c r="J64" s="84">
        <v>11344</v>
      </c>
      <c r="K64" s="84">
        <v>5828</v>
      </c>
      <c r="L64" s="84">
        <v>10596</v>
      </c>
      <c r="M64" s="84">
        <v>18437</v>
      </c>
      <c r="N64" s="84">
        <v>25350</v>
      </c>
      <c r="O64" s="84">
        <v>27925</v>
      </c>
      <c r="P64" s="84">
        <v>26598</v>
      </c>
      <c r="Q64" s="84">
        <v>25159</v>
      </c>
      <c r="R64" s="84">
        <v>24863</v>
      </c>
      <c r="S64" s="84">
        <v>24691</v>
      </c>
      <c r="T64" s="84">
        <v>25412</v>
      </c>
      <c r="U64" s="84">
        <v>31295</v>
      </c>
      <c r="V64" s="84">
        <v>20134</v>
      </c>
      <c r="W64" s="84">
        <v>26306</v>
      </c>
      <c r="DA64" s="171" t="s">
        <v>841</v>
      </c>
    </row>
    <row r="65" spans="1:105" ht="11.45" customHeight="1" x14ac:dyDescent="0.25">
      <c r="A65" s="111" t="s">
        <v>112</v>
      </c>
      <c r="B65" s="84">
        <v>366</v>
      </c>
      <c r="C65" s="84">
        <v>25</v>
      </c>
      <c r="D65" s="84">
        <v>53</v>
      </c>
      <c r="E65" s="84">
        <v>114</v>
      </c>
      <c r="F65" s="84">
        <v>61</v>
      </c>
      <c r="G65" s="84">
        <v>196</v>
      </c>
      <c r="H65" s="84">
        <v>332</v>
      </c>
      <c r="I65" s="84">
        <v>0</v>
      </c>
      <c r="J65" s="84">
        <v>282</v>
      </c>
      <c r="K65" s="84">
        <v>207</v>
      </c>
      <c r="L65" s="84">
        <v>0</v>
      </c>
      <c r="M65" s="84">
        <v>349</v>
      </c>
      <c r="N65" s="84">
        <v>782</v>
      </c>
      <c r="O65" s="84">
        <v>456</v>
      </c>
      <c r="P65" s="84">
        <v>632</v>
      </c>
      <c r="Q65" s="84">
        <v>296</v>
      </c>
      <c r="R65" s="84">
        <v>707</v>
      </c>
      <c r="S65" s="84">
        <v>863</v>
      </c>
      <c r="T65" s="84">
        <v>988</v>
      </c>
      <c r="U65" s="84">
        <v>1401</v>
      </c>
      <c r="V65" s="84">
        <v>622</v>
      </c>
      <c r="W65" s="84">
        <v>233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4</v>
      </c>
      <c r="P66" s="84">
        <v>61</v>
      </c>
      <c r="Q66" s="84">
        <v>119</v>
      </c>
      <c r="R66" s="84">
        <v>456</v>
      </c>
      <c r="S66" s="84">
        <v>392</v>
      </c>
      <c r="T66" s="84">
        <v>1096</v>
      </c>
      <c r="U66" s="84">
        <v>5375</v>
      </c>
      <c r="V66" s="84">
        <v>5761</v>
      </c>
      <c r="W66" s="84">
        <v>4175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15</v>
      </c>
      <c r="Q67" s="84">
        <v>15</v>
      </c>
      <c r="R67" s="84">
        <v>16</v>
      </c>
      <c r="S67" s="84">
        <v>25</v>
      </c>
      <c r="T67" s="84">
        <v>51</v>
      </c>
      <c r="U67" s="84">
        <v>30</v>
      </c>
      <c r="V67" s="84">
        <v>126</v>
      </c>
      <c r="W67" s="84">
        <v>562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35</v>
      </c>
      <c r="N68" s="84">
        <v>475</v>
      </c>
      <c r="O68" s="84">
        <v>117</v>
      </c>
      <c r="P68" s="84">
        <v>334</v>
      </c>
      <c r="Q68" s="84">
        <v>35</v>
      </c>
      <c r="R68" s="84">
        <v>48</v>
      </c>
      <c r="S68" s="84">
        <v>29</v>
      </c>
      <c r="T68" s="84">
        <v>110</v>
      </c>
      <c r="U68" s="84">
        <v>216</v>
      </c>
      <c r="V68" s="84">
        <v>358</v>
      </c>
      <c r="W68" s="84">
        <v>503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204</v>
      </c>
      <c r="C69" s="110">
        <f t="shared" si="12"/>
        <v>0</v>
      </c>
      <c r="D69" s="110">
        <f t="shared" si="12"/>
        <v>0</v>
      </c>
      <c r="E69" s="110">
        <f t="shared" si="12"/>
        <v>82</v>
      </c>
      <c r="F69" s="110">
        <f t="shared" si="12"/>
        <v>92</v>
      </c>
      <c r="G69" s="110">
        <f t="shared" si="12"/>
        <v>182</v>
      </c>
      <c r="H69" s="110">
        <f t="shared" si="12"/>
        <v>140</v>
      </c>
      <c r="I69" s="110">
        <f t="shared" si="12"/>
        <v>94</v>
      </c>
      <c r="J69" s="110">
        <f t="shared" si="12"/>
        <v>66</v>
      </c>
      <c r="K69" s="110">
        <f t="shared" si="12"/>
        <v>62</v>
      </c>
      <c r="L69" s="110">
        <f t="shared" ref="L69" si="13">SUM(L70:L74)</f>
        <v>238</v>
      </c>
      <c r="M69" s="110">
        <f t="shared" ref="M69:V69" si="14">SUM(M70:M74)</f>
        <v>196</v>
      </c>
      <c r="N69" s="110">
        <f t="shared" si="14"/>
        <v>329</v>
      </c>
      <c r="O69" s="110">
        <f t="shared" si="14"/>
        <v>376</v>
      </c>
      <c r="P69" s="110">
        <f t="shared" si="14"/>
        <v>346</v>
      </c>
      <c r="Q69" s="110">
        <f t="shared" si="14"/>
        <v>397</v>
      </c>
      <c r="R69" s="110">
        <f t="shared" si="14"/>
        <v>352</v>
      </c>
      <c r="S69" s="110">
        <f t="shared" si="14"/>
        <v>439</v>
      </c>
      <c r="T69" s="110">
        <f t="shared" si="14"/>
        <v>377</v>
      </c>
      <c r="U69" s="110">
        <f t="shared" si="14"/>
        <v>502</v>
      </c>
      <c r="V69" s="110">
        <f t="shared" si="14"/>
        <v>439</v>
      </c>
      <c r="W69" s="110">
        <f t="shared" ref="W69" si="15">SUM(W70:W74)</f>
        <v>461</v>
      </c>
      <c r="DA69" s="176" t="s">
        <v>846</v>
      </c>
    </row>
    <row r="70" spans="1:105" ht="11.45" customHeight="1" x14ac:dyDescent="0.25">
      <c r="A70" s="111" t="s">
        <v>110</v>
      </c>
      <c r="B70" s="102">
        <v>204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1</v>
      </c>
      <c r="T70" s="102">
        <v>0</v>
      </c>
      <c r="U70" s="102">
        <v>7</v>
      </c>
      <c r="V70" s="102">
        <v>0</v>
      </c>
      <c r="W70" s="102">
        <v>1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82</v>
      </c>
      <c r="F71" s="102">
        <v>92</v>
      </c>
      <c r="G71" s="102">
        <v>182</v>
      </c>
      <c r="H71" s="102">
        <v>140</v>
      </c>
      <c r="I71" s="102">
        <v>94</v>
      </c>
      <c r="J71" s="102">
        <v>66</v>
      </c>
      <c r="K71" s="102">
        <v>62</v>
      </c>
      <c r="L71" s="102">
        <v>174</v>
      </c>
      <c r="M71" s="102">
        <v>196</v>
      </c>
      <c r="N71" s="102">
        <v>329</v>
      </c>
      <c r="O71" s="102">
        <v>376</v>
      </c>
      <c r="P71" s="102">
        <v>346</v>
      </c>
      <c r="Q71" s="102">
        <v>397</v>
      </c>
      <c r="R71" s="102">
        <v>334</v>
      </c>
      <c r="S71" s="102">
        <v>400</v>
      </c>
      <c r="T71" s="102">
        <v>335</v>
      </c>
      <c r="U71" s="102">
        <v>419</v>
      </c>
      <c r="V71" s="102">
        <v>319</v>
      </c>
      <c r="W71" s="102">
        <v>317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1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18</v>
      </c>
      <c r="S73" s="102">
        <v>38</v>
      </c>
      <c r="T73" s="102">
        <v>41</v>
      </c>
      <c r="U73" s="102">
        <v>76</v>
      </c>
      <c r="V73" s="102">
        <v>120</v>
      </c>
      <c r="W73" s="102">
        <v>143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64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0</v>
      </c>
      <c r="W74" s="102">
        <v>0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397</v>
      </c>
      <c r="H75" s="28">
        <f t="shared" si="16"/>
        <v>1978</v>
      </c>
      <c r="I75" s="28">
        <f t="shared" si="16"/>
        <v>2937</v>
      </c>
      <c r="J75" s="28">
        <f t="shared" si="16"/>
        <v>3666</v>
      </c>
      <c r="K75" s="28">
        <f t="shared" si="16"/>
        <v>3054</v>
      </c>
      <c r="L75" s="28">
        <f t="shared" ref="L75" si="17">L76+L82</f>
        <v>3454</v>
      </c>
      <c r="M75" s="28">
        <f t="shared" ref="M75:V75" si="18">M76+M82</f>
        <v>5264</v>
      </c>
      <c r="N75" s="28">
        <f t="shared" si="18"/>
        <v>6056</v>
      </c>
      <c r="O75" s="28">
        <f t="shared" si="18"/>
        <v>7216</v>
      </c>
      <c r="P75" s="28">
        <f t="shared" si="18"/>
        <v>8058</v>
      </c>
      <c r="Q75" s="28">
        <f t="shared" si="18"/>
        <v>8913</v>
      </c>
      <c r="R75" s="28">
        <f t="shared" si="18"/>
        <v>10168</v>
      </c>
      <c r="S75" s="28">
        <f t="shared" si="18"/>
        <v>10771</v>
      </c>
      <c r="T75" s="28">
        <f t="shared" si="18"/>
        <v>11487</v>
      </c>
      <c r="U75" s="28">
        <f t="shared" si="18"/>
        <v>14256</v>
      </c>
      <c r="V75" s="28">
        <f t="shared" si="18"/>
        <v>10348</v>
      </c>
      <c r="W75" s="28">
        <f t="shared" ref="W75" si="19">W76+W82</f>
        <v>10634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227</v>
      </c>
      <c r="H76" s="137">
        <f t="shared" si="20"/>
        <v>856</v>
      </c>
      <c r="I76" s="137">
        <f t="shared" si="20"/>
        <v>1599</v>
      </c>
      <c r="J76" s="137">
        <f t="shared" si="20"/>
        <v>2615</v>
      </c>
      <c r="K76" s="137">
        <f t="shared" si="20"/>
        <v>2824</v>
      </c>
      <c r="L76" s="137">
        <f t="shared" ref="L76" si="21">SUM(L77:L81)</f>
        <v>3312</v>
      </c>
      <c r="M76" s="137">
        <f t="shared" ref="M76:V76" si="22">SUM(M77:M81)</f>
        <v>4395</v>
      </c>
      <c r="N76" s="137">
        <f t="shared" si="22"/>
        <v>5283</v>
      </c>
      <c r="O76" s="137">
        <f t="shared" si="22"/>
        <v>6909</v>
      </c>
      <c r="P76" s="137">
        <f t="shared" si="22"/>
        <v>6665</v>
      </c>
      <c r="Q76" s="137">
        <f t="shared" si="22"/>
        <v>7507</v>
      </c>
      <c r="R76" s="137">
        <f t="shared" si="22"/>
        <v>8404</v>
      </c>
      <c r="S76" s="137">
        <f t="shared" si="22"/>
        <v>9065</v>
      </c>
      <c r="T76" s="137">
        <f t="shared" si="22"/>
        <v>9863</v>
      </c>
      <c r="U76" s="137">
        <f t="shared" si="22"/>
        <v>11349</v>
      </c>
      <c r="V76" s="137">
        <f t="shared" si="22"/>
        <v>8914</v>
      </c>
      <c r="W76" s="137">
        <f t="shared" ref="W76" si="23">SUM(W77:W81)</f>
        <v>9301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111</v>
      </c>
      <c r="J77" s="84">
        <v>815</v>
      </c>
      <c r="K77" s="84">
        <v>807</v>
      </c>
      <c r="L77" s="84">
        <v>706</v>
      </c>
      <c r="M77" s="84">
        <v>919</v>
      </c>
      <c r="N77" s="84">
        <v>918</v>
      </c>
      <c r="O77" s="84">
        <v>630</v>
      </c>
      <c r="P77" s="84">
        <v>876</v>
      </c>
      <c r="Q77" s="84">
        <v>1137</v>
      </c>
      <c r="R77" s="84">
        <v>1217</v>
      </c>
      <c r="S77" s="84">
        <v>1209</v>
      </c>
      <c r="T77" s="84">
        <v>1257</v>
      </c>
      <c r="U77" s="84">
        <v>1492</v>
      </c>
      <c r="V77" s="84">
        <v>1159</v>
      </c>
      <c r="W77" s="84">
        <v>941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227</v>
      </c>
      <c r="H78" s="84">
        <v>856</v>
      </c>
      <c r="I78" s="84">
        <v>1488</v>
      </c>
      <c r="J78" s="84">
        <v>1800</v>
      </c>
      <c r="K78" s="84">
        <v>2017</v>
      </c>
      <c r="L78" s="84">
        <v>2606</v>
      </c>
      <c r="M78" s="84">
        <v>3476</v>
      </c>
      <c r="N78" s="84">
        <v>4365</v>
      </c>
      <c r="O78" s="84">
        <v>6239</v>
      </c>
      <c r="P78" s="84">
        <v>5776</v>
      </c>
      <c r="Q78" s="84">
        <v>6344</v>
      </c>
      <c r="R78" s="84">
        <v>7187</v>
      </c>
      <c r="S78" s="84">
        <v>7760</v>
      </c>
      <c r="T78" s="84">
        <v>8551</v>
      </c>
      <c r="U78" s="84">
        <v>9798</v>
      </c>
      <c r="V78" s="84">
        <v>7657</v>
      </c>
      <c r="W78" s="84">
        <v>8344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11</v>
      </c>
      <c r="T79" s="84">
        <v>4</v>
      </c>
      <c r="U79" s="84">
        <v>5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40</v>
      </c>
      <c r="P80" s="84">
        <v>13</v>
      </c>
      <c r="Q80" s="84">
        <v>26</v>
      </c>
      <c r="R80" s="84">
        <v>0</v>
      </c>
      <c r="S80" s="84">
        <v>85</v>
      </c>
      <c r="T80" s="84">
        <v>51</v>
      </c>
      <c r="U80" s="84">
        <v>51</v>
      </c>
      <c r="V80" s="84">
        <v>82</v>
      </c>
      <c r="W80" s="84">
        <v>2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3</v>
      </c>
      <c r="V81" s="84">
        <v>16</v>
      </c>
      <c r="W81" s="84">
        <v>14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170</v>
      </c>
      <c r="H82" s="110">
        <f t="shared" si="24"/>
        <v>1122</v>
      </c>
      <c r="I82" s="110">
        <f t="shared" si="24"/>
        <v>1338</v>
      </c>
      <c r="J82" s="110">
        <f t="shared" si="24"/>
        <v>1051</v>
      </c>
      <c r="K82" s="110">
        <f t="shared" si="24"/>
        <v>230</v>
      </c>
      <c r="L82" s="110">
        <f t="shared" ref="L82" si="25">SUM(L83:L84)</f>
        <v>142</v>
      </c>
      <c r="M82" s="110">
        <f t="shared" ref="M82:V82" si="26">SUM(M83:M84)</f>
        <v>869</v>
      </c>
      <c r="N82" s="110">
        <f t="shared" si="26"/>
        <v>773</v>
      </c>
      <c r="O82" s="110">
        <f t="shared" si="26"/>
        <v>307</v>
      </c>
      <c r="P82" s="110">
        <f t="shared" si="26"/>
        <v>1393</v>
      </c>
      <c r="Q82" s="110">
        <f t="shared" si="26"/>
        <v>1406</v>
      </c>
      <c r="R82" s="110">
        <f t="shared" si="26"/>
        <v>1764</v>
      </c>
      <c r="S82" s="110">
        <f t="shared" si="26"/>
        <v>1706</v>
      </c>
      <c r="T82" s="110">
        <f t="shared" si="26"/>
        <v>1624</v>
      </c>
      <c r="U82" s="110">
        <f t="shared" si="26"/>
        <v>2907</v>
      </c>
      <c r="V82" s="110">
        <f t="shared" si="26"/>
        <v>1434</v>
      </c>
      <c r="W82" s="110">
        <f t="shared" ref="W82" si="27">SUM(W83:W84)</f>
        <v>1333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170</v>
      </c>
      <c r="H83" s="102">
        <v>1122</v>
      </c>
      <c r="I83" s="102">
        <v>1338</v>
      </c>
      <c r="J83" s="102">
        <v>1051</v>
      </c>
      <c r="K83" s="102">
        <v>230</v>
      </c>
      <c r="L83" s="102">
        <v>141</v>
      </c>
      <c r="M83" s="102">
        <v>748</v>
      </c>
      <c r="N83" s="102">
        <v>718</v>
      </c>
      <c r="O83" s="102">
        <v>162</v>
      </c>
      <c r="P83" s="102">
        <v>1336</v>
      </c>
      <c r="Q83" s="102">
        <v>1200</v>
      </c>
      <c r="R83" s="102">
        <v>1682</v>
      </c>
      <c r="S83" s="102">
        <v>1667</v>
      </c>
      <c r="T83" s="102">
        <v>1514</v>
      </c>
      <c r="U83" s="102">
        <v>2857</v>
      </c>
      <c r="V83" s="102">
        <v>1152</v>
      </c>
      <c r="W83" s="102">
        <v>1332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1</v>
      </c>
      <c r="M84" s="86">
        <v>121</v>
      </c>
      <c r="N84" s="86">
        <v>55</v>
      </c>
      <c r="O84" s="86">
        <v>145</v>
      </c>
      <c r="P84" s="86">
        <v>57</v>
      </c>
      <c r="Q84" s="86">
        <v>206</v>
      </c>
      <c r="R84" s="86">
        <v>82</v>
      </c>
      <c r="S84" s="86">
        <v>39</v>
      </c>
      <c r="T84" s="86">
        <v>110</v>
      </c>
      <c r="U84" s="86">
        <v>50</v>
      </c>
      <c r="V84" s="86">
        <v>282</v>
      </c>
      <c r="W84" s="86">
        <v>1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4.7503327452855793</v>
      </c>
      <c r="C90" s="141">
        <v>4.7335545543318469</v>
      </c>
      <c r="D90" s="141">
        <v>4.6858050363380865</v>
      </c>
      <c r="E90" s="141">
        <v>4.6194223761410687</v>
      </c>
      <c r="F90" s="141">
        <v>4.553451353371897</v>
      </c>
      <c r="G90" s="141">
        <v>4.4871316829999337</v>
      </c>
      <c r="H90" s="141">
        <v>4.3770892483931654</v>
      </c>
      <c r="I90" s="141">
        <v>4.2941576484677304</v>
      </c>
      <c r="J90" s="141">
        <v>4.1834943497766632</v>
      </c>
      <c r="K90" s="141">
        <v>4.1281591451066486</v>
      </c>
      <c r="L90" s="141">
        <v>4.0643098045344006</v>
      </c>
      <c r="M90" s="141">
        <v>3.9134324964804144</v>
      </c>
      <c r="N90" s="141">
        <v>3.626338932493526</v>
      </c>
      <c r="O90" s="141">
        <v>3.5475669431783037</v>
      </c>
      <c r="P90" s="141">
        <v>3.4639056010783311</v>
      </c>
      <c r="Q90" s="141">
        <v>3.4019346040722596</v>
      </c>
      <c r="R90" s="141">
        <v>3.3252707395911627</v>
      </c>
      <c r="S90" s="141">
        <v>3.2575887220233675</v>
      </c>
      <c r="T90" s="141">
        <v>3.2115756466543774</v>
      </c>
      <c r="U90" s="141">
        <v>3.1677736310819311</v>
      </c>
      <c r="V90" s="141">
        <v>3.1139536719329257</v>
      </c>
      <c r="W90" s="141">
        <v>2.8849607785361133</v>
      </c>
      <c r="DA90" s="174" t="s">
        <v>862</v>
      </c>
    </row>
    <row r="91" spans="1:105" ht="11.45" customHeight="1" x14ac:dyDescent="0.25">
      <c r="A91" s="109" t="s">
        <v>20</v>
      </c>
      <c r="B91" s="130">
        <v>9.1845251889031925</v>
      </c>
      <c r="C91" s="130">
        <v>9.0073210449060834</v>
      </c>
      <c r="D91" s="130">
        <v>8.9242114793039988</v>
      </c>
      <c r="E91" s="130">
        <v>8.8161120961046269</v>
      </c>
      <c r="F91" s="130">
        <v>8.6989927973767962</v>
      </c>
      <c r="G91" s="130">
        <v>8.5905632647138379</v>
      </c>
      <c r="H91" s="130">
        <v>8.4486536875660541</v>
      </c>
      <c r="I91" s="130">
        <v>8.2848488299103415</v>
      </c>
      <c r="J91" s="130">
        <v>8.1873919074446686</v>
      </c>
      <c r="K91" s="130">
        <v>8.1017306398566333</v>
      </c>
      <c r="L91" s="130">
        <v>8.0400017356083922</v>
      </c>
      <c r="M91" s="130">
        <v>7.9210332406291766</v>
      </c>
      <c r="N91" s="130">
        <v>7.7841737930806785</v>
      </c>
      <c r="O91" s="130">
        <v>7.6256245617095866</v>
      </c>
      <c r="P91" s="130">
        <v>7.4918894282642041</v>
      </c>
      <c r="Q91" s="130">
        <v>7.3246168636057023</v>
      </c>
      <c r="R91" s="130">
        <v>7.18169209063546</v>
      </c>
      <c r="S91" s="130">
        <v>6.9993819392922063</v>
      </c>
      <c r="T91" s="130">
        <v>6.8150859259101715</v>
      </c>
      <c r="U91" s="130">
        <v>6.6735323539860687</v>
      </c>
      <c r="V91" s="130">
        <v>6.5104233787433259</v>
      </c>
      <c r="W91" s="130">
        <v>6.319247404303769</v>
      </c>
      <c r="DA91" s="176" t="s">
        <v>863</v>
      </c>
    </row>
    <row r="92" spans="1:105" ht="11.45" customHeight="1" x14ac:dyDescent="0.25">
      <c r="A92" s="111" t="s">
        <v>110</v>
      </c>
      <c r="B92" s="96">
        <v>9.2955781998408398</v>
      </c>
      <c r="C92" s="96">
        <v>9.1454153057785597</v>
      </c>
      <c r="D92" s="96">
        <v>9.06117602872059</v>
      </c>
      <c r="E92" s="96">
        <v>8.9486482658456374</v>
      </c>
      <c r="F92" s="96">
        <v>8.8536373998042048</v>
      </c>
      <c r="G92" s="96">
        <v>8.7670849785121963</v>
      </c>
      <c r="H92" s="96">
        <v>8.6583851602806483</v>
      </c>
      <c r="I92" s="96">
        <v>8.5406141786086707</v>
      </c>
      <c r="J92" s="96">
        <v>8.4417734182122004</v>
      </c>
      <c r="K92" s="96">
        <v>8.3496254062761182</v>
      </c>
      <c r="L92" s="96">
        <v>8.2896830829643022</v>
      </c>
      <c r="M92" s="96">
        <v>8.1698966202871102</v>
      </c>
      <c r="N92" s="96">
        <v>8.0422952468078641</v>
      </c>
      <c r="O92" s="96">
        <v>7.8891787196445602</v>
      </c>
      <c r="P92" s="96">
        <v>7.7456643179860132</v>
      </c>
      <c r="Q92" s="96">
        <v>7.5585963209235052</v>
      </c>
      <c r="R92" s="96">
        <v>7.3745272513903695</v>
      </c>
      <c r="S92" s="96">
        <v>7.1417775956150411</v>
      </c>
      <c r="T92" s="96">
        <v>6.9155721958911434</v>
      </c>
      <c r="U92" s="96">
        <v>6.7498674969645904</v>
      </c>
      <c r="V92" s="96">
        <v>6.5625744516869675</v>
      </c>
      <c r="W92" s="96">
        <v>6.3485136603928112</v>
      </c>
      <c r="DA92" s="171" t="s">
        <v>864</v>
      </c>
    </row>
    <row r="93" spans="1:105" ht="11.45" customHeight="1" x14ac:dyDescent="0.25">
      <c r="A93" s="111" t="s">
        <v>111</v>
      </c>
      <c r="B93" s="96">
        <v>7.8928488628401983</v>
      </c>
      <c r="C93" s="96">
        <v>7.5014659537047779</v>
      </c>
      <c r="D93" s="96">
        <v>7.4252982519095481</v>
      </c>
      <c r="E93" s="96">
        <v>7.3248225078644005</v>
      </c>
      <c r="F93" s="96">
        <v>7.2229171931509901</v>
      </c>
      <c r="G93" s="96">
        <v>7.1371742693512186</v>
      </c>
      <c r="H93" s="96">
        <v>7.0902247720981757</v>
      </c>
      <c r="I93" s="96">
        <v>7.0478740100322419</v>
      </c>
      <c r="J93" s="96">
        <v>7.0135735482072397</v>
      </c>
      <c r="K93" s="96">
        <v>6.9748233471766268</v>
      </c>
      <c r="L93" s="96">
        <v>6.9510997612863417</v>
      </c>
      <c r="M93" s="96">
        <v>6.9242151172445414</v>
      </c>
      <c r="N93" s="96">
        <v>6.8900022488651267</v>
      </c>
      <c r="O93" s="96">
        <v>6.8068246941938</v>
      </c>
      <c r="P93" s="96">
        <v>6.7115614771878267</v>
      </c>
      <c r="Q93" s="96">
        <v>6.6053825744065318</v>
      </c>
      <c r="R93" s="96">
        <v>6.5132486782874182</v>
      </c>
      <c r="S93" s="96">
        <v>6.4321347912387346</v>
      </c>
      <c r="T93" s="96">
        <v>6.3361836731259578</v>
      </c>
      <c r="U93" s="96">
        <v>6.2377818018927549</v>
      </c>
      <c r="V93" s="96">
        <v>6.1582817021166818</v>
      </c>
      <c r="W93" s="96">
        <v>6.0412899937945408</v>
      </c>
      <c r="DA93" s="171" t="s">
        <v>865</v>
      </c>
    </row>
    <row r="94" spans="1:105" ht="11.45" customHeight="1" x14ac:dyDescent="0.25">
      <c r="A94" s="111" t="s">
        <v>112</v>
      </c>
      <c r="B94" s="96">
        <v>8.3494823809422645</v>
      </c>
      <c r="C94" s="96">
        <v>8.2833154549981352</v>
      </c>
      <c r="D94" s="96">
        <v>8.1829915694989293</v>
      </c>
      <c r="E94" s="96">
        <v>8.0620157082367623</v>
      </c>
      <c r="F94" s="96">
        <v>8.0324596078457198</v>
      </c>
      <c r="G94" s="96">
        <v>8.0131865252271517</v>
      </c>
      <c r="H94" s="96">
        <v>8.0612528854183747</v>
      </c>
      <c r="I94" s="96">
        <v>8.0373092906886097</v>
      </c>
      <c r="J94" s="96">
        <v>8.1689603606806784</v>
      </c>
      <c r="K94" s="96">
        <v>8.2102846269978613</v>
      </c>
      <c r="L94" s="96">
        <v>8.2102846269978631</v>
      </c>
      <c r="M94" s="96">
        <v>8.2128986354386448</v>
      </c>
      <c r="N94" s="96">
        <v>8.1733859190136524</v>
      </c>
      <c r="O94" s="96">
        <v>8.0906599492079057</v>
      </c>
      <c r="P94" s="96">
        <v>7.9229490267753739</v>
      </c>
      <c r="Q94" s="96">
        <v>7.7940040038208389</v>
      </c>
      <c r="R94" s="96">
        <v>7.5646698156528513</v>
      </c>
      <c r="S94" s="96">
        <v>7.3439275926900089</v>
      </c>
      <c r="T94" s="96">
        <v>7.107494657922274</v>
      </c>
      <c r="U94" s="96">
        <v>6.8373860344793984</v>
      </c>
      <c r="V94" s="96">
        <v>6.6744973905529985</v>
      </c>
      <c r="W94" s="96">
        <v>6.5825898027910075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7.6824141716557461</v>
      </c>
      <c r="M95" s="96">
        <v>7.9325487125630101</v>
      </c>
      <c r="N95" s="96">
        <v>8.0325834483928702</v>
      </c>
      <c r="O95" s="96">
        <v>7.9196655367456961</v>
      </c>
      <c r="P95" s="96">
        <v>7.8317993734453957</v>
      </c>
      <c r="Q95" s="96">
        <v>7.1376969772324337</v>
      </c>
      <c r="R95" s="96">
        <v>6.0318313794945757</v>
      </c>
      <c r="S95" s="96">
        <v>6.1790093904682308</v>
      </c>
      <c r="T95" s="96">
        <v>6.0195153098171001</v>
      </c>
      <c r="U95" s="96">
        <v>5.1925838154458335</v>
      </c>
      <c r="V95" s="96">
        <v>4.9383219813800716</v>
      </c>
      <c r="W95" s="96">
        <v>4.8067226319332628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0</v>
      </c>
      <c r="P96" s="96">
        <v>3.0196164684340627</v>
      </c>
      <c r="Q96" s="96">
        <v>3.3183037704749525</v>
      </c>
      <c r="R96" s="96">
        <v>3.3790665987365318</v>
      </c>
      <c r="S96" s="96">
        <v>3.1936808500541618</v>
      </c>
      <c r="T96" s="96">
        <v>3.3099036883481148</v>
      </c>
      <c r="U96" s="96">
        <v>3.3639404359706626</v>
      </c>
      <c r="V96" s="96">
        <v>3.5147308336587355</v>
      </c>
      <c r="W96" s="96">
        <v>3.1918540049961006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1.3660444793588575</v>
      </c>
      <c r="K97" s="96">
        <v>1.3660444793588575</v>
      </c>
      <c r="L97" s="96">
        <v>1.3545430146769482</v>
      </c>
      <c r="M97" s="96">
        <v>1.3438572636687782</v>
      </c>
      <c r="N97" s="96">
        <v>1.249282993742971</v>
      </c>
      <c r="O97" s="96">
        <v>1.2555210662883629</v>
      </c>
      <c r="P97" s="96">
        <v>1.2948811267723848</v>
      </c>
      <c r="Q97" s="96">
        <v>1.2955049214026282</v>
      </c>
      <c r="R97" s="96">
        <v>1.3026849215934087</v>
      </c>
      <c r="S97" s="96">
        <v>1.3054809114243526</v>
      </c>
      <c r="T97" s="96">
        <v>1.3462981248631669</v>
      </c>
      <c r="U97" s="96">
        <v>1.4066407479783882</v>
      </c>
      <c r="V97" s="96">
        <v>1.4423523991933598</v>
      </c>
      <c r="W97" s="96">
        <v>1.4740091624960694</v>
      </c>
      <c r="DA97" s="171" t="s">
        <v>869</v>
      </c>
    </row>
    <row r="98" spans="1:105" ht="11.45" customHeight="1" x14ac:dyDescent="0.25">
      <c r="A98" s="109" t="s">
        <v>21</v>
      </c>
      <c r="B98" s="130">
        <v>38.142164714755204</v>
      </c>
      <c r="C98" s="130">
        <v>38.616047340651697</v>
      </c>
      <c r="D98" s="130">
        <v>39.545566049387851</v>
      </c>
      <c r="E98" s="130">
        <v>40.694978290362691</v>
      </c>
      <c r="F98" s="130">
        <v>41.173986441913769</v>
      </c>
      <c r="G98" s="130">
        <v>42.428129391746893</v>
      </c>
      <c r="H98" s="130">
        <v>42.189659089027288</v>
      </c>
      <c r="I98" s="130">
        <v>43.672382241760701</v>
      </c>
      <c r="J98" s="130">
        <v>44.479365928730623</v>
      </c>
      <c r="K98" s="130">
        <v>45.112059087500192</v>
      </c>
      <c r="L98" s="130">
        <v>44.588584885092978</v>
      </c>
      <c r="M98" s="130">
        <v>44.506390756294927</v>
      </c>
      <c r="N98" s="130">
        <v>44.252113849315947</v>
      </c>
      <c r="O98" s="130">
        <v>44.031861894083853</v>
      </c>
      <c r="P98" s="130">
        <v>43.779418417538523</v>
      </c>
      <c r="Q98" s="130">
        <v>43.500314716579595</v>
      </c>
      <c r="R98" s="130">
        <v>43.28610231766141</v>
      </c>
      <c r="S98" s="130">
        <v>42.917761248321789</v>
      </c>
      <c r="T98" s="130">
        <v>42.658998338569781</v>
      </c>
      <c r="U98" s="130">
        <v>42.250908027308384</v>
      </c>
      <c r="V98" s="130">
        <v>41.84504222133873</v>
      </c>
      <c r="W98" s="130">
        <v>41.553886596429358</v>
      </c>
      <c r="DA98" s="176" t="s">
        <v>870</v>
      </c>
    </row>
    <row r="99" spans="1:105" ht="11.45" customHeight="1" x14ac:dyDescent="0.25">
      <c r="A99" s="111" t="s">
        <v>110</v>
      </c>
      <c r="B99" s="97">
        <v>19.411731867550504</v>
      </c>
      <c r="C99" s="97">
        <v>19.411731867550504</v>
      </c>
      <c r="D99" s="97">
        <v>19.411731867550504</v>
      </c>
      <c r="E99" s="97">
        <v>19.411731867550504</v>
      </c>
      <c r="F99" s="97">
        <v>19.411731867550508</v>
      </c>
      <c r="G99" s="97">
        <v>19.411731867550504</v>
      </c>
      <c r="H99" s="97">
        <v>19.411731867550504</v>
      </c>
      <c r="I99" s="97">
        <v>19.411731867550504</v>
      </c>
      <c r="J99" s="97">
        <v>19.411731867550504</v>
      </c>
      <c r="K99" s="97">
        <v>19.4117318675505</v>
      </c>
      <c r="L99" s="97">
        <v>19.411731867550504</v>
      </c>
      <c r="M99" s="97">
        <v>19.411731867550504</v>
      </c>
      <c r="N99" s="97">
        <v>19.411731867550504</v>
      </c>
      <c r="O99" s="97">
        <v>19.411731867550504</v>
      </c>
      <c r="P99" s="97">
        <v>19.411731867550504</v>
      </c>
      <c r="Q99" s="97">
        <v>19.411731867550508</v>
      </c>
      <c r="R99" s="97">
        <v>19.4117318675505</v>
      </c>
      <c r="S99" s="97">
        <v>19.317469496050283</v>
      </c>
      <c r="T99" s="97">
        <v>19.317469496050283</v>
      </c>
      <c r="U99" s="97">
        <v>18.631021478287504</v>
      </c>
      <c r="V99" s="97">
        <v>18.614679913127606</v>
      </c>
      <c r="W99" s="97">
        <v>18.504596300264286</v>
      </c>
      <c r="DA99" s="175" t="s">
        <v>871</v>
      </c>
    </row>
    <row r="100" spans="1:105" ht="11.45" customHeight="1" x14ac:dyDescent="0.25">
      <c r="A100" s="111" t="s">
        <v>111</v>
      </c>
      <c r="B100" s="97">
        <v>52.060665302882285</v>
      </c>
      <c r="C100" s="97">
        <v>50.518312779427959</v>
      </c>
      <c r="D100" s="97">
        <v>49.749702525131923</v>
      </c>
      <c r="E100" s="97">
        <v>48.993407105454743</v>
      </c>
      <c r="F100" s="97">
        <v>48.522112873865773</v>
      </c>
      <c r="G100" s="97">
        <v>48.037073940713412</v>
      </c>
      <c r="H100" s="97">
        <v>47.715073364542626</v>
      </c>
      <c r="I100" s="97">
        <v>47.301783691019665</v>
      </c>
      <c r="J100" s="97">
        <v>47.224932730826339</v>
      </c>
      <c r="K100" s="97">
        <v>47.108395464141616</v>
      </c>
      <c r="L100" s="97">
        <v>46.735829832841169</v>
      </c>
      <c r="M100" s="97">
        <v>46.488818981751109</v>
      </c>
      <c r="N100" s="97">
        <v>46.051554878825016</v>
      </c>
      <c r="O100" s="97">
        <v>45.645818124861421</v>
      </c>
      <c r="P100" s="97">
        <v>45.275883791662878</v>
      </c>
      <c r="Q100" s="97">
        <v>44.872832340841377</v>
      </c>
      <c r="R100" s="97">
        <v>44.579347744481687</v>
      </c>
      <c r="S100" s="97">
        <v>44.201575424733157</v>
      </c>
      <c r="T100" s="97">
        <v>43.946432476023489</v>
      </c>
      <c r="U100" s="97">
        <v>43.59410567977865</v>
      </c>
      <c r="V100" s="97">
        <v>43.303591890464652</v>
      </c>
      <c r="W100" s="97">
        <v>43.163951766063704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35.01065225464454</v>
      </c>
      <c r="U101" s="97">
        <v>35.01065225464454</v>
      </c>
      <c r="V101" s="97">
        <v>35.01065225464454</v>
      </c>
      <c r="W101" s="97">
        <v>35.01065225464454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37.699597660645793</v>
      </c>
      <c r="M102" s="97">
        <v>37.41990859763299</v>
      </c>
      <c r="N102" s="97">
        <v>37.37767139561538</v>
      </c>
      <c r="O102" s="97">
        <v>37.075140600194189</v>
      </c>
      <c r="P102" s="97">
        <v>36.692588470431247</v>
      </c>
      <c r="Q102" s="97">
        <v>36.40302854503755</v>
      </c>
      <c r="R102" s="97">
        <v>36.157125144298618</v>
      </c>
      <c r="S102" s="97">
        <v>35.879151945636472</v>
      </c>
      <c r="T102" s="97">
        <v>35.668881796168975</v>
      </c>
      <c r="U102" s="97">
        <v>35.253185505304614</v>
      </c>
      <c r="V102" s="97">
        <v>35.016266602521974</v>
      </c>
      <c r="W102" s="97">
        <v>34.873296767716127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26.728871449195552</v>
      </c>
      <c r="M103" s="97">
        <v>26.728871449195552</v>
      </c>
      <c r="N103" s="97">
        <v>26.728871449195552</v>
      </c>
      <c r="O103" s="97">
        <v>26.728871449195555</v>
      </c>
      <c r="P103" s="97">
        <v>26.728871449195552</v>
      </c>
      <c r="Q103" s="97">
        <v>26.728871449195548</v>
      </c>
      <c r="R103" s="97">
        <v>26.728871449195552</v>
      </c>
      <c r="S103" s="97">
        <v>26.728871449195552</v>
      </c>
      <c r="T103" s="97">
        <v>26.728871449195552</v>
      </c>
      <c r="U103" s="97">
        <v>26.728871449195552</v>
      </c>
      <c r="V103" s="97">
        <v>26.728871449195548</v>
      </c>
      <c r="W103" s="97">
        <v>26.728871449195552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9.7129609498963418</v>
      </c>
      <c r="C105" s="141">
        <v>9.6569670842929387</v>
      </c>
      <c r="D105" s="141">
        <v>9.6190861796221832</v>
      </c>
      <c r="E105" s="141">
        <v>9.5676214422598544</v>
      </c>
      <c r="F105" s="141">
        <v>9.5106793751426757</v>
      </c>
      <c r="G105" s="141">
        <v>9.4411350736850945</v>
      </c>
      <c r="H105" s="141">
        <v>9.3486209725410188</v>
      </c>
      <c r="I105" s="141">
        <v>9.2343458907811922</v>
      </c>
      <c r="J105" s="141">
        <v>9.1216370373229942</v>
      </c>
      <c r="K105" s="141">
        <v>8.9789738503766028</v>
      </c>
      <c r="L105" s="141">
        <v>8.8686230570592599</v>
      </c>
      <c r="M105" s="141">
        <v>8.7674546091708319</v>
      </c>
      <c r="N105" s="141">
        <v>8.6066404894894344</v>
      </c>
      <c r="O105" s="141">
        <v>8.4644783028177386</v>
      </c>
      <c r="P105" s="141">
        <v>8.2928403963813029</v>
      </c>
      <c r="Q105" s="141">
        <v>8.0819979554996575</v>
      </c>
      <c r="R105" s="141">
        <v>7.9145448195191159</v>
      </c>
      <c r="S105" s="141">
        <v>7.7316567621153789</v>
      </c>
      <c r="T105" s="141">
        <v>7.5884971182040486</v>
      </c>
      <c r="U105" s="141">
        <v>7.4470903227183287</v>
      </c>
      <c r="V105" s="141">
        <v>7.3079813385477648</v>
      </c>
      <c r="W105" s="141">
        <v>7.2115345133308075</v>
      </c>
      <c r="DA105" s="174" t="s">
        <v>876</v>
      </c>
    </row>
    <row r="106" spans="1:105" ht="11.45" customHeight="1" x14ac:dyDescent="0.25">
      <c r="A106" s="111" t="s">
        <v>110</v>
      </c>
      <c r="B106" s="96">
        <v>9.8775363314721289</v>
      </c>
      <c r="C106" s="96">
        <v>9.8034325430424438</v>
      </c>
      <c r="D106" s="96">
        <v>9.7458791062683776</v>
      </c>
      <c r="E106" s="96">
        <v>9.6900834077317786</v>
      </c>
      <c r="F106" s="96">
        <v>9.6173091164299578</v>
      </c>
      <c r="G106" s="96">
        <v>9.5242158068099236</v>
      </c>
      <c r="H106" s="96">
        <v>9.4243700209686647</v>
      </c>
      <c r="I106" s="96">
        <v>9.3209358852745776</v>
      </c>
      <c r="J106" s="96">
        <v>9.1195522393138955</v>
      </c>
      <c r="K106" s="96">
        <v>8.9436527977873581</v>
      </c>
      <c r="L106" s="96">
        <v>8.8290063225880733</v>
      </c>
      <c r="M106" s="96">
        <v>8.7085839309930932</v>
      </c>
      <c r="N106" s="96">
        <v>8.532592771547284</v>
      </c>
      <c r="O106" s="96">
        <v>8.3770819817024513</v>
      </c>
      <c r="P106" s="96">
        <v>8.2555379428623503</v>
      </c>
      <c r="Q106" s="96">
        <v>8.0097654975630164</v>
      </c>
      <c r="R106" s="96">
        <v>7.7603035966266152</v>
      </c>
      <c r="S106" s="96">
        <v>7.5544571722568268</v>
      </c>
      <c r="T106" s="96">
        <v>7.3619866367983198</v>
      </c>
      <c r="U106" s="96">
        <v>7.2230749244864088</v>
      </c>
      <c r="V106" s="96">
        <v>7.0184657429092816</v>
      </c>
      <c r="W106" s="96">
        <v>6.8353352616823013</v>
      </c>
      <c r="DA106" s="171" t="s">
        <v>877</v>
      </c>
    </row>
    <row r="107" spans="1:105" ht="11.45" customHeight="1" x14ac:dyDescent="0.25">
      <c r="A107" s="111" t="s">
        <v>111</v>
      </c>
      <c r="B107" s="96">
        <v>9.654594631484791</v>
      </c>
      <c r="C107" s="96">
        <v>9.5790779304425762</v>
      </c>
      <c r="D107" s="96">
        <v>9.5305960276142816</v>
      </c>
      <c r="E107" s="96">
        <v>9.4596655535069516</v>
      </c>
      <c r="F107" s="96">
        <v>9.3868614369930157</v>
      </c>
      <c r="G107" s="96">
        <v>9.3029358986506185</v>
      </c>
      <c r="H107" s="96">
        <v>9.1959552869384282</v>
      </c>
      <c r="I107" s="96">
        <v>9.07080430784508</v>
      </c>
      <c r="J107" s="96">
        <v>8.9647703256083346</v>
      </c>
      <c r="K107" s="96">
        <v>8.8372469308264243</v>
      </c>
      <c r="L107" s="96">
        <v>8.7490575039412697</v>
      </c>
      <c r="M107" s="96">
        <v>8.6829620684346551</v>
      </c>
      <c r="N107" s="96">
        <v>8.5414043432592788</v>
      </c>
      <c r="O107" s="96">
        <v>8.3973791525925492</v>
      </c>
      <c r="P107" s="96">
        <v>8.219993735593528</v>
      </c>
      <c r="Q107" s="96">
        <v>8.0160514318614098</v>
      </c>
      <c r="R107" s="96">
        <v>7.8519933317018573</v>
      </c>
      <c r="S107" s="96">
        <v>7.6725126307199831</v>
      </c>
      <c r="T107" s="96">
        <v>7.529800957871867</v>
      </c>
      <c r="U107" s="96">
        <v>7.3898577804824743</v>
      </c>
      <c r="V107" s="96">
        <v>7.2669047610048443</v>
      </c>
      <c r="W107" s="96">
        <v>7.1762671836746668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6.4099052044589628</v>
      </c>
      <c r="S108" s="96">
        <v>5.7329494538350492</v>
      </c>
      <c r="T108" s="96">
        <v>5.6785737381784092</v>
      </c>
      <c r="U108" s="96">
        <v>5.7968508909918093</v>
      </c>
      <c r="V108" s="96">
        <v>5.8026116426622965</v>
      </c>
      <c r="W108" s="96">
        <v>5.8026116426622965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7.1676071396739962</v>
      </c>
      <c r="O109" s="96">
        <v>7.1172662777738385</v>
      </c>
      <c r="P109" s="96">
        <v>7.4474308005490117</v>
      </c>
      <c r="Q109" s="96">
        <v>7.1696591251046495</v>
      </c>
      <c r="R109" s="96">
        <v>7.1702632391490315</v>
      </c>
      <c r="S109" s="96">
        <v>6.1995973801865292</v>
      </c>
      <c r="T109" s="96">
        <v>6.0038354872550306</v>
      </c>
      <c r="U109" s="96">
        <v>5.9387099381792474</v>
      </c>
      <c r="V109" s="96">
        <v>5.9386053720360001</v>
      </c>
      <c r="W109" s="96">
        <v>5.9430001351448372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1.1248227778002144</v>
      </c>
      <c r="J110" s="96">
        <v>1.1248227778002144</v>
      </c>
      <c r="K110" s="96">
        <v>1.1248227778002144</v>
      </c>
      <c r="L110" s="96">
        <v>1.1248227778002144</v>
      </c>
      <c r="M110" s="96">
        <v>1.1248227778002144</v>
      </c>
      <c r="N110" s="96">
        <v>1.1061978170102058</v>
      </c>
      <c r="O110" s="96">
        <v>1.0870795748438908</v>
      </c>
      <c r="P110" s="96">
        <v>1.309615113928071</v>
      </c>
      <c r="Q110" s="96">
        <v>1.3185229572346324</v>
      </c>
      <c r="R110" s="96">
        <v>1.3389411930509543</v>
      </c>
      <c r="S110" s="96">
        <v>1.365453516198853</v>
      </c>
      <c r="T110" s="96">
        <v>1.3969660889806568</v>
      </c>
      <c r="U110" s="96">
        <v>1.4212987891914728</v>
      </c>
      <c r="V110" s="96">
        <v>1.9828347987763775</v>
      </c>
      <c r="W110" s="96">
        <v>2.371808323361396</v>
      </c>
      <c r="DA110" s="171" t="s">
        <v>881</v>
      </c>
    </row>
    <row r="111" spans="1:105" ht="11.45" customHeight="1" x14ac:dyDescent="0.25">
      <c r="A111" s="109" t="s">
        <v>158</v>
      </c>
      <c r="B111" s="130">
        <v>32.515628846243843</v>
      </c>
      <c r="C111" s="130">
        <v>32.504571703410917</v>
      </c>
      <c r="D111" s="130">
        <v>31.945884422278635</v>
      </c>
      <c r="E111" s="130">
        <v>31.33487119009494</v>
      </c>
      <c r="F111" s="130">
        <v>31.060317031026223</v>
      </c>
      <c r="G111" s="130">
        <v>30.904123175692796</v>
      </c>
      <c r="H111" s="130">
        <v>30.679438831683491</v>
      </c>
      <c r="I111" s="130">
        <v>30.354358142363218</v>
      </c>
      <c r="J111" s="130">
        <v>30.123885625756774</v>
      </c>
      <c r="K111" s="130">
        <v>29.905608758582748</v>
      </c>
      <c r="L111" s="130">
        <v>29.822790708702616</v>
      </c>
      <c r="M111" s="130">
        <v>29.656490255322108</v>
      </c>
      <c r="N111" s="130">
        <v>29.485432239788313</v>
      </c>
      <c r="O111" s="130">
        <v>29.345896099796168</v>
      </c>
      <c r="P111" s="130">
        <v>28.900735712337859</v>
      </c>
      <c r="Q111" s="130">
        <v>28.445482584489206</v>
      </c>
      <c r="R111" s="130">
        <v>27.773257389889338</v>
      </c>
      <c r="S111" s="130">
        <v>27.151863288444087</v>
      </c>
      <c r="T111" s="130">
        <v>26.518154271716352</v>
      </c>
      <c r="U111" s="130">
        <v>25.576068192592906</v>
      </c>
      <c r="V111" s="130">
        <v>25.049432006990518</v>
      </c>
      <c r="W111" s="130">
        <v>24.344578148005496</v>
      </c>
      <c r="DA111" s="176" t="s">
        <v>882</v>
      </c>
    </row>
    <row r="112" spans="1:105" ht="11.45" customHeight="1" x14ac:dyDescent="0.25">
      <c r="A112" s="128" t="s">
        <v>27</v>
      </c>
      <c r="B112" s="97">
        <v>32.199195965340735</v>
      </c>
      <c r="C112" s="97">
        <v>32.089138054767716</v>
      </c>
      <c r="D112" s="97">
        <v>31.620813294906373</v>
      </c>
      <c r="E112" s="97">
        <v>31.112744838943453</v>
      </c>
      <c r="F112" s="97">
        <v>30.826513990259343</v>
      </c>
      <c r="G112" s="97">
        <v>30.683736781725454</v>
      </c>
      <c r="H112" s="97">
        <v>30.47739698297454</v>
      </c>
      <c r="I112" s="97">
        <v>30.152540359737213</v>
      </c>
      <c r="J112" s="97">
        <v>29.941403712327908</v>
      </c>
      <c r="K112" s="97">
        <v>29.74630117606354</v>
      </c>
      <c r="L112" s="97">
        <v>29.669149028196141</v>
      </c>
      <c r="M112" s="97">
        <v>29.515513551555305</v>
      </c>
      <c r="N112" s="97">
        <v>29.358048310866263</v>
      </c>
      <c r="O112" s="97">
        <v>29.219693352639201</v>
      </c>
      <c r="P112" s="97">
        <v>28.76869348947525</v>
      </c>
      <c r="Q112" s="97">
        <v>28.316690951363572</v>
      </c>
      <c r="R112" s="97">
        <v>27.625637619905259</v>
      </c>
      <c r="S112" s="97">
        <v>26.995512321787263</v>
      </c>
      <c r="T112" s="97">
        <v>26.358148138764083</v>
      </c>
      <c r="U112" s="97">
        <v>25.409647386698772</v>
      </c>
      <c r="V112" s="97">
        <v>24.889072956764796</v>
      </c>
      <c r="W112" s="97">
        <v>24.163454705843623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36.295601196732903</v>
      </c>
      <c r="D113" s="98">
        <v>35.907872484645779</v>
      </c>
      <c r="E113" s="98">
        <v>35.576894781111818</v>
      </c>
      <c r="F113" s="98">
        <v>34.86766654818512</v>
      </c>
      <c r="G113" s="98">
        <v>34.504829201985771</v>
      </c>
      <c r="H113" s="98">
        <v>34.036651031092248</v>
      </c>
      <c r="I113" s="98">
        <v>33.494964578517887</v>
      </c>
      <c r="J113" s="98">
        <v>33.239408067119136</v>
      </c>
      <c r="K113" s="98">
        <v>32.809317727673118</v>
      </c>
      <c r="L113" s="98">
        <v>32.392086792734609</v>
      </c>
      <c r="M113" s="98">
        <v>31.79929934403863</v>
      </c>
      <c r="N113" s="98">
        <v>31.508550331437473</v>
      </c>
      <c r="O113" s="98">
        <v>30.90009535800057</v>
      </c>
      <c r="P113" s="98">
        <v>30.607049895770945</v>
      </c>
      <c r="Q113" s="98">
        <v>29.86569667318491</v>
      </c>
      <c r="R113" s="98">
        <v>29.498307396695253</v>
      </c>
      <c r="S113" s="98">
        <v>29.238631409126654</v>
      </c>
      <c r="T113" s="98">
        <v>28.726934585296551</v>
      </c>
      <c r="U113" s="98">
        <v>28.394997552166451</v>
      </c>
      <c r="V113" s="98">
        <v>27.399358120801498</v>
      </c>
      <c r="W113" s="98">
        <v>27.248228108511768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1.1276132004067394</v>
      </c>
      <c r="D117" s="150">
        <f>IF(TrRoad_act!D59=0,0,TrRoad_ene!D62/TrRoad_tech!D90)</f>
        <v>1.128346491930406</v>
      </c>
      <c r="E117" s="150">
        <f>IF(TrRoad_act!E59=0,0,TrRoad_ene!E62/TrRoad_tech!E90)</f>
        <v>1.1300056071038913</v>
      </c>
      <c r="F117" s="150">
        <f>IF(TrRoad_act!F59=0,0,TrRoad_ene!F62/TrRoad_tech!F90)</f>
        <v>1.1326461626635489</v>
      </c>
      <c r="G117" s="150">
        <f>IF(TrRoad_act!G59=0,0,TrRoad_ene!G62/TrRoad_tech!G90)</f>
        <v>1.1361815813779987</v>
      </c>
      <c r="H117" s="150">
        <f>IF(TrRoad_act!H59=0,0,TrRoad_ene!H62/TrRoad_tech!H90)</f>
        <v>1.1433512478544285</v>
      </c>
      <c r="I117" s="150">
        <f>IF(TrRoad_act!I59=0,0,TrRoad_ene!I62/TrRoad_tech!I90)</f>
        <v>1.150135969448663</v>
      </c>
      <c r="J117" s="150">
        <f>IF(TrRoad_act!J59=0,0,TrRoad_ene!J62/TrRoad_tech!J90)</f>
        <v>1.1585875955228417</v>
      </c>
      <c r="K117" s="150">
        <f>IF(TrRoad_act!K59=0,0,TrRoad_ene!K62/TrRoad_tech!K90)</f>
        <v>1.1625140462292478</v>
      </c>
      <c r="L117" s="150">
        <f>IF(TrRoad_act!L59=0,0,TrRoad_ene!L62/TrRoad_tech!L90)</f>
        <v>1.1673849717792242</v>
      </c>
      <c r="M117" s="150">
        <f>IF(TrRoad_act!M59=0,0,TrRoad_ene!M62/TrRoad_tech!M90)</f>
        <v>1.1799658887406392</v>
      </c>
      <c r="N117" s="150">
        <f>IF(TrRoad_act!N59=0,0,TrRoad_ene!N62/TrRoad_tech!N90)</f>
        <v>1.2100959127957422</v>
      </c>
      <c r="O117" s="150">
        <f>IF(TrRoad_act!O59=0,0,TrRoad_ene!O62/TrRoad_tech!O90)</f>
        <v>1.2193226394118204</v>
      </c>
      <c r="P117" s="150">
        <f>IF(TrRoad_act!P59=0,0,TrRoad_ene!P62/TrRoad_tech!P90)</f>
        <v>1.2295181414828196</v>
      </c>
      <c r="Q117" s="150">
        <f>IF(TrRoad_act!Q59=0,0,TrRoad_ene!Q62/TrRoad_tech!Q90)</f>
        <v>1.2380629112788746</v>
      </c>
      <c r="R117" s="150">
        <f>IF(TrRoad_act!R59=0,0,TrRoad_ene!R62/TrRoad_tech!R90)</f>
        <v>1.2483275394227666</v>
      </c>
      <c r="S117" s="150">
        <f>IF(TrRoad_act!S59=0,0,TrRoad_ene!S62/TrRoad_tech!S90)</f>
        <v>1.2582484094942252</v>
      </c>
      <c r="T117" s="150">
        <f>IF(TrRoad_act!T59=0,0,TrRoad_ene!T62/TrRoad_tech!T90)</f>
        <v>1.2663908386841989</v>
      </c>
      <c r="U117" s="150">
        <f>IF(TrRoad_act!U59=0,0,TrRoad_ene!U62/TrRoad_tech!U90)</f>
        <v>1.2753338291110756</v>
      </c>
      <c r="V117" s="150">
        <f>IF(TrRoad_act!V59=0,0,TrRoad_ene!V62/TrRoad_tech!V90)</f>
        <v>1.2873238984011406</v>
      </c>
      <c r="W117" s="150">
        <f>IF(TrRoad_act!W59=0,0,TrRoad_ene!W62/TrRoad_tech!W90)</f>
        <v>1.2901210581282805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1.0261233278615012</v>
      </c>
      <c r="C118" s="151">
        <f>IF(TrRoad_act!C60=0,0,TrRoad_ene!C63/TrRoad_tech!C91)</f>
        <v>1.0518659967204773</v>
      </c>
      <c r="D118" s="151">
        <f>IF(TrRoad_act!D60=0,0,TrRoad_ene!D63/TrRoad_tech!D91)</f>
        <v>1.0763057189580043</v>
      </c>
      <c r="E118" s="151">
        <f>IF(TrRoad_act!E60=0,0,TrRoad_ene!E63/TrRoad_tech!E91)</f>
        <v>1.0608846042875748</v>
      </c>
      <c r="F118" s="151">
        <f>IF(TrRoad_act!F60=0,0,TrRoad_ene!F63/TrRoad_tech!F91)</f>
        <v>1.0641072317352882</v>
      </c>
      <c r="G118" s="151">
        <f>IF(TrRoad_act!G60=0,0,TrRoad_ene!G63/TrRoad_tech!G91)</f>
        <v>1.0602570401766638</v>
      </c>
      <c r="H118" s="151">
        <f>IF(TrRoad_act!H60=0,0,TrRoad_ene!H63/TrRoad_tech!H91)</f>
        <v>1.0547637043684592</v>
      </c>
      <c r="I118" s="151">
        <f>IF(TrRoad_act!I60=0,0,TrRoad_ene!I63/TrRoad_tech!I91)</f>
        <v>1.0549380794411725</v>
      </c>
      <c r="J118" s="151">
        <f>IF(TrRoad_act!J60=0,0,TrRoad_ene!J63/TrRoad_tech!J91)</f>
        <v>1.0356575467170606</v>
      </c>
      <c r="K118" s="151">
        <f>IF(TrRoad_act!K60=0,0,TrRoad_ene!K63/TrRoad_tech!K91)</f>
        <v>0.98764598592125075</v>
      </c>
      <c r="L118" s="151">
        <f>IF(TrRoad_act!L60=0,0,TrRoad_ene!L63/TrRoad_tech!L91)</f>
        <v>1.0095970111159849</v>
      </c>
      <c r="M118" s="151">
        <f>IF(TrRoad_act!M60=0,0,TrRoad_ene!M63/TrRoad_tech!M91)</f>
        <v>1.015050818289837</v>
      </c>
      <c r="N118" s="151">
        <f>IF(TrRoad_act!N60=0,0,TrRoad_ene!N63/TrRoad_tech!N91)</f>
        <v>1.017821999106729</v>
      </c>
      <c r="O118" s="151">
        <f>IF(TrRoad_act!O60=0,0,TrRoad_ene!O63/TrRoad_tech!O91)</f>
        <v>1.005632953090055</v>
      </c>
      <c r="P118" s="151">
        <f>IF(TrRoad_act!P60=0,0,TrRoad_ene!P63/TrRoad_tech!P91)</f>
        <v>1.0092810448723917</v>
      </c>
      <c r="Q118" s="151">
        <f>IF(TrRoad_act!Q60=0,0,TrRoad_ene!Q63/TrRoad_tech!Q91)</f>
        <v>1.000813032251489</v>
      </c>
      <c r="R118" s="151">
        <f>IF(TrRoad_act!R60=0,0,TrRoad_ene!R63/TrRoad_tech!R91)</f>
        <v>0.98913066802550698</v>
      </c>
      <c r="S118" s="151">
        <f>IF(TrRoad_act!S60=0,0,TrRoad_ene!S63/TrRoad_tech!S91)</f>
        <v>0.9968209575624859</v>
      </c>
      <c r="T118" s="151">
        <f>IF(TrRoad_act!T60=0,0,TrRoad_ene!T63/TrRoad_tech!T91)</f>
        <v>0.99378144821273007</v>
      </c>
      <c r="U118" s="151">
        <f>IF(TrRoad_act!U60=0,0,TrRoad_ene!U63/TrRoad_tech!U91)</f>
        <v>0.9969573082682136</v>
      </c>
      <c r="V118" s="151">
        <f>IF(TrRoad_act!V60=0,0,TrRoad_ene!V63/TrRoad_tech!V91)</f>
        <v>0.98639815085655658</v>
      </c>
      <c r="W118" s="151">
        <f>IF(TrRoad_act!W60=0,0,TrRoad_ene!W63/TrRoad_tech!W91)</f>
        <v>1.0035273539035756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1.0272490308220852</v>
      </c>
      <c r="C119" s="91">
        <f>IF(TrRoad_act!C61=0,0,TrRoad_ene!C64/TrRoad_tech!C92)</f>
        <v>1.0277845667488088</v>
      </c>
      <c r="D119" s="91">
        <f>IF(TrRoad_act!D61=0,0,TrRoad_ene!D64/TrRoad_tech!D92)</f>
        <v>1.0276988198421604</v>
      </c>
      <c r="E119" s="91">
        <f>IF(TrRoad_act!E61=0,0,TrRoad_ene!E64/TrRoad_tech!E92)</f>
        <v>1.0278086442433831</v>
      </c>
      <c r="F119" s="91">
        <f>IF(TrRoad_act!F61=0,0,TrRoad_ene!F64/TrRoad_tech!F92)</f>
        <v>1.0276454846979313</v>
      </c>
      <c r="G119" s="91">
        <f>IF(TrRoad_act!G61=0,0,TrRoad_ene!G64/TrRoad_tech!G92)</f>
        <v>1.0281229340660445</v>
      </c>
      <c r="H119" s="91">
        <f>IF(TrRoad_act!H61=0,0,TrRoad_ene!H64/TrRoad_tech!H92)</f>
        <v>1.0290228038016189</v>
      </c>
      <c r="I119" s="91">
        <f>IF(TrRoad_act!I61=0,0,TrRoad_ene!I64/TrRoad_tech!I92)</f>
        <v>1.0301100784556505</v>
      </c>
      <c r="J119" s="91">
        <f>IF(TrRoad_act!J61=0,0,TrRoad_ene!J64/TrRoad_tech!J92)</f>
        <v>1.0299670846300588</v>
      </c>
      <c r="K119" s="91">
        <f>IF(TrRoad_act!K61=0,0,TrRoad_ene!K64/TrRoad_tech!K92)</f>
        <v>1.0036613892743786</v>
      </c>
      <c r="L119" s="91">
        <f>IF(TrRoad_act!L61=0,0,TrRoad_ene!L64/TrRoad_tech!L92)</f>
        <v>1.0055964797514161</v>
      </c>
      <c r="M119" s="91">
        <f>IF(TrRoad_act!M61=0,0,TrRoad_ene!M64/TrRoad_tech!M92)</f>
        <v>1.008323759323978</v>
      </c>
      <c r="N119" s="91">
        <f>IF(TrRoad_act!N61=0,0,TrRoad_ene!N64/TrRoad_tech!N92)</f>
        <v>1.0106264227448101</v>
      </c>
      <c r="O119" s="91">
        <f>IF(TrRoad_act!O61=0,0,TrRoad_ene!O64/TrRoad_tech!O92)</f>
        <v>1.0144773771083322</v>
      </c>
      <c r="P119" s="91">
        <f>IF(TrRoad_act!P61=0,0,TrRoad_ene!P64/TrRoad_tech!P92)</f>
        <v>1.0214135392856079</v>
      </c>
      <c r="Q119" s="91">
        <f>IF(TrRoad_act!Q61=0,0,TrRoad_ene!Q64/TrRoad_tech!Q92)</f>
        <v>1.0254038402149024</v>
      </c>
      <c r="R119" s="91">
        <f>IF(TrRoad_act!R61=0,0,TrRoad_ene!R64/TrRoad_tech!R92)</f>
        <v>1.0289993220767166</v>
      </c>
      <c r="S119" s="91">
        <f>IF(TrRoad_act!S61=0,0,TrRoad_ene!S64/TrRoad_tech!S92)</f>
        <v>1.0342855907774244</v>
      </c>
      <c r="T119" s="91">
        <f>IF(TrRoad_act!T61=0,0,TrRoad_ene!T64/TrRoad_tech!T92)</f>
        <v>1.0291366259909307</v>
      </c>
      <c r="U119" s="91">
        <f>IF(TrRoad_act!U61=0,0,TrRoad_ene!U64/TrRoad_tech!U92)</f>
        <v>1.0337396075866372</v>
      </c>
      <c r="V119" s="91">
        <f>IF(TrRoad_act!V61=0,0,TrRoad_ene!V64/TrRoad_tech!V92)</f>
        <v>1.0356168390254399</v>
      </c>
      <c r="W119" s="91">
        <f>IF(TrRoad_act!W61=0,0,TrRoad_ene!W64/TrRoad_tech!W92)</f>
        <v>1.0413744078431406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1.0041149519783872</v>
      </c>
      <c r="C120" s="91">
        <f>IF(TrRoad_act!C62=0,0,TrRoad_ene!C65/TrRoad_tech!C93)</f>
        <v>1.3681596743696076</v>
      </c>
      <c r="D120" s="91">
        <f>IF(TrRoad_act!D62=0,0,TrRoad_ene!D65/TrRoad_tech!D93)</f>
        <v>1.6313835251380273</v>
      </c>
      <c r="E120" s="91">
        <f>IF(TrRoad_act!E62=0,0,TrRoad_ene!E65/TrRoad_tech!E93)</f>
        <v>1.4008129532193228</v>
      </c>
      <c r="F120" s="91">
        <f>IF(TrRoad_act!F62=0,0,TrRoad_ene!F65/TrRoad_tech!F93)</f>
        <v>1.3680399638377665</v>
      </c>
      <c r="G120" s="91">
        <f>IF(TrRoad_act!G62=0,0,TrRoad_ene!G65/TrRoad_tech!G93)</f>
        <v>1.3185173821292144</v>
      </c>
      <c r="H120" s="91">
        <f>IF(TrRoad_act!H62=0,0,TrRoad_ene!H65/TrRoad_tech!H93)</f>
        <v>1.2577094844677936</v>
      </c>
      <c r="I120" s="91">
        <f>IF(TrRoad_act!I62=0,0,TrRoad_ene!I65/TrRoad_tech!I93)</f>
        <v>1.2226795485245656</v>
      </c>
      <c r="J120" s="91">
        <f>IF(TrRoad_act!J62=0,0,TrRoad_ene!J65/TrRoad_tech!J93)</f>
        <v>1.1381039201812875</v>
      </c>
      <c r="K120" s="91">
        <f>IF(TrRoad_act!K62=0,0,TrRoad_ene!K65/TrRoad_tech!K93)</f>
        <v>1.0482305693040475</v>
      </c>
      <c r="L120" s="91">
        <f>IF(TrRoad_act!L62=0,0,TrRoad_ene!L65/TrRoad_tech!L93)</f>
        <v>1.1148321407237864</v>
      </c>
      <c r="M120" s="91">
        <f>IF(TrRoad_act!M62=0,0,TrRoad_ene!M65/TrRoad_tech!M93)</f>
        <v>1.1218480022968043</v>
      </c>
      <c r="N120" s="91">
        <f>IF(TrRoad_act!N62=0,0,TrRoad_ene!N65/TrRoad_tech!N93)</f>
        <v>1.1177000060895119</v>
      </c>
      <c r="O120" s="91">
        <f>IF(TrRoad_act!O62=0,0,TrRoad_ene!O65/TrRoad_tech!O93)</f>
        <v>1.0781410511172878</v>
      </c>
      <c r="P120" s="91">
        <f>IF(TrRoad_act!P62=0,0,TrRoad_ene!P65/TrRoad_tech!P93)</f>
        <v>1.0760773368833281</v>
      </c>
      <c r="Q120" s="91">
        <f>IF(TrRoad_act!Q62=0,0,TrRoad_ene!Q65/TrRoad_tech!Q93)</f>
        <v>1.0531540738280194</v>
      </c>
      <c r="R120" s="91">
        <f>IF(TrRoad_act!R62=0,0,TrRoad_ene!R65/TrRoad_tech!R93)</f>
        <v>1.0229803635484678</v>
      </c>
      <c r="S120" s="91">
        <f>IF(TrRoad_act!S62=0,0,TrRoad_ene!S65/TrRoad_tech!S93)</f>
        <v>1.0231615794044355</v>
      </c>
      <c r="T120" s="91">
        <f>IF(TrRoad_act!T62=0,0,TrRoad_ene!T65/TrRoad_tech!T93)</f>
        <v>1.0152966469849749</v>
      </c>
      <c r="U120" s="91">
        <f>IF(TrRoad_act!U62=0,0,TrRoad_ene!U65/TrRoad_tech!U93)</f>
        <v>1.0174641948686767</v>
      </c>
      <c r="V120" s="91">
        <f>IF(TrRoad_act!V62=0,0,TrRoad_ene!V65/TrRoad_tech!V93)</f>
        <v>1.0074334579036077</v>
      </c>
      <c r="W120" s="91">
        <f>IF(TrRoad_act!W62=0,0,TrRoad_ene!W65/TrRoad_tech!W93)</f>
        <v>1.0340196779982647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1.2402592216270611</v>
      </c>
      <c r="C121" s="91">
        <f>IF(TrRoad_act!C63=0,0,TrRoad_ene!C66/TrRoad_tech!C94)</f>
        <v>1.0392549374555167</v>
      </c>
      <c r="D121" s="91">
        <f>IF(TrRoad_act!D63=0,0,TrRoad_ene!D66/TrRoad_tech!D94)</f>
        <v>1.0997198959726888</v>
      </c>
      <c r="E121" s="91">
        <f>IF(TrRoad_act!E63=0,0,TrRoad_ene!E66/TrRoad_tech!E94)</f>
        <v>1.1305583730677538</v>
      </c>
      <c r="F121" s="91">
        <f>IF(TrRoad_act!F63=0,0,TrRoad_ene!F66/TrRoad_tech!F94)</f>
        <v>1.2833583733967844</v>
      </c>
      <c r="G121" s="91">
        <f>IF(TrRoad_act!G63=0,0,TrRoad_ene!G66/TrRoad_tech!G94)</f>
        <v>1.2095254888405031</v>
      </c>
      <c r="H121" s="91">
        <f>IF(TrRoad_act!H63=0,0,TrRoad_ene!H66/TrRoad_tech!H94)</f>
        <v>1.0925964033247235</v>
      </c>
      <c r="I121" s="91">
        <f>IF(TrRoad_act!I63=0,0,TrRoad_ene!I66/TrRoad_tech!I94)</f>
        <v>1.028268589471047</v>
      </c>
      <c r="J121" s="91">
        <f>IF(TrRoad_act!J63=0,0,TrRoad_ene!J66/TrRoad_tech!J94)</f>
        <v>1.2568076307101179</v>
      </c>
      <c r="K121" s="91">
        <f>IF(TrRoad_act!K63=0,0,TrRoad_ene!K66/TrRoad_tech!K94)</f>
        <v>1.1551089196167224</v>
      </c>
      <c r="L121" s="91">
        <f>IF(TrRoad_act!L63=0,0,TrRoad_ene!L66/TrRoad_tech!L94)</f>
        <v>1.0859886510757484</v>
      </c>
      <c r="M121" s="91">
        <f>IF(TrRoad_act!M63=0,0,TrRoad_ene!M66/TrRoad_tech!M94)</f>
        <v>1.0509976218627741</v>
      </c>
      <c r="N121" s="91">
        <f>IF(TrRoad_act!N63=0,0,TrRoad_ene!N66/TrRoad_tech!N94)</f>
        <v>1.0359498593281147</v>
      </c>
      <c r="O121" s="91">
        <f>IF(TrRoad_act!O63=0,0,TrRoad_ene!O66/TrRoad_tech!O94)</f>
        <v>1.0695985891010871</v>
      </c>
      <c r="P121" s="91">
        <f>IF(TrRoad_act!P63=0,0,TrRoad_ene!P66/TrRoad_tech!P94)</f>
        <v>1.1260617021246937</v>
      </c>
      <c r="Q121" s="91">
        <f>IF(TrRoad_act!Q63=0,0,TrRoad_ene!Q66/TrRoad_tech!Q94)</f>
        <v>1.2405669193130351</v>
      </c>
      <c r="R121" s="91">
        <f>IF(TrRoad_act!R63=0,0,TrRoad_ene!R66/TrRoad_tech!R94)</f>
        <v>1.1811837615402763</v>
      </c>
      <c r="S121" s="91">
        <f>IF(TrRoad_act!S63=0,0,TrRoad_ene!S66/TrRoad_tech!S94)</f>
        <v>1.1918271932421525</v>
      </c>
      <c r="T121" s="91">
        <f>IF(TrRoad_act!T63=0,0,TrRoad_ene!T66/TrRoad_tech!T94)</f>
        <v>1.1891153504462553</v>
      </c>
      <c r="U121" s="91">
        <f>IF(TrRoad_act!U63=0,0,TrRoad_ene!U66/TrRoad_tech!U94)</f>
        <v>1.2399022998405449</v>
      </c>
      <c r="V121" s="91">
        <f>IF(TrRoad_act!V63=0,0,TrRoad_ene!V66/TrRoad_tech!V94)</f>
        <v>1.1687252717756242</v>
      </c>
      <c r="W121" s="91">
        <f>IF(TrRoad_act!W63=0,0,TrRoad_ene!W66/TrRoad_tech!W94)</f>
        <v>1.1882391877216545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1.0555555555604399</v>
      </c>
      <c r="M122" s="91">
        <f>IF(TrRoad_act!M64=0,0,TrRoad_ene!M67/TrRoad_tech!M95)</f>
        <v>1.059072812195712</v>
      </c>
      <c r="N122" s="91">
        <f>IF(TrRoad_act!N64=0,0,TrRoad_ene!N67/TrRoad_tech!N95)</f>
        <v>1.0624300057095155</v>
      </c>
      <c r="O122" s="91">
        <f>IF(TrRoad_act!O64=0,0,TrRoad_ene!O67/TrRoad_tech!O95)</f>
        <v>1.0701119997357542</v>
      </c>
      <c r="P122" s="91">
        <f>IF(TrRoad_act!P64=0,0,TrRoad_ene!P67/TrRoad_tech!P95)</f>
        <v>1.0735972890408403</v>
      </c>
      <c r="Q122" s="91">
        <f>IF(TrRoad_act!Q64=0,0,TrRoad_ene!Q67/TrRoad_tech!Q95)</f>
        <v>1.0771521307486305</v>
      </c>
      <c r="R122" s="91">
        <f>IF(TrRoad_act!R64=0,0,TrRoad_ene!R67/TrRoad_tech!R95)</f>
        <v>1.0830697582029858</v>
      </c>
      <c r="S122" s="91">
        <f>IF(TrRoad_act!S64=0,0,TrRoad_ene!S67/TrRoad_tech!S95)</f>
        <v>1.0862056525402823</v>
      </c>
      <c r="T122" s="91">
        <f>IF(TrRoad_act!T64=0,0,TrRoad_ene!T67/TrRoad_tech!T95)</f>
        <v>1.0902897937183531</v>
      </c>
      <c r="U122" s="91">
        <f>IF(TrRoad_act!U64=0,0,TrRoad_ene!U67/TrRoad_tech!U95)</f>
        <v>1.0946801045768002</v>
      </c>
      <c r="V122" s="91">
        <f>IF(TrRoad_act!V64=0,0,TrRoad_ene!V67/TrRoad_tech!V95)</f>
        <v>1.0961940173785203</v>
      </c>
      <c r="W122" s="91">
        <f>IF(TrRoad_act!W64=0,0,TrRoad_ene!W67/TrRoad_tech!W95)</f>
        <v>1.0968408175067379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0</v>
      </c>
      <c r="P123" s="91">
        <f>IF(TrRoad_act!P65=0,0,TrRoad_ene!P68/TrRoad_tech!P96)</f>
        <v>1.0647515143025577</v>
      </c>
      <c r="Q123" s="91">
        <f>IF(TrRoad_act!Q65=0,0,TrRoad_ene!Q68/TrRoad_tech!Q96)</f>
        <v>1.0684210660829159</v>
      </c>
      <c r="R123" s="91">
        <f>IF(TrRoad_act!R65=0,0,TrRoad_ene!R68/TrRoad_tech!R96)</f>
        <v>1.0717919251493682</v>
      </c>
      <c r="S123" s="91">
        <f>IF(TrRoad_act!S65=0,0,TrRoad_ene!S68/TrRoad_tech!S96)</f>
        <v>1.0759006174595385</v>
      </c>
      <c r="T123" s="91">
        <f>IF(TrRoad_act!T65=0,0,TrRoad_ene!T68/TrRoad_tech!T96)</f>
        <v>1.0740509446578612</v>
      </c>
      <c r="U123" s="91">
        <f>IF(TrRoad_act!U65=0,0,TrRoad_ene!U68/TrRoad_tech!U96)</f>
        <v>1.0766570977004357</v>
      </c>
      <c r="V123" s="91">
        <f>IF(TrRoad_act!V65=0,0,TrRoad_ene!V68/TrRoad_tech!V96)</f>
        <v>1.0795212664591127</v>
      </c>
      <c r="W123" s="91">
        <f>IF(TrRoad_act!W65=0,0,TrRoad_ene!W68/TrRoad_tech!W96)</f>
        <v>1.0853021669006102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1.0470370370414099</v>
      </c>
      <c r="L124" s="91">
        <f>IF(TrRoad_act!L66=0,0,TrRoad_ene!L69/TrRoad_tech!L97)</f>
        <v>1.0514180522294552</v>
      </c>
      <c r="M124" s="91">
        <f>IF(TrRoad_act!M66=0,0,TrRoad_ene!M69/TrRoad_tech!M97)</f>
        <v>1.0603703703752698</v>
      </c>
      <c r="N124" s="91">
        <f>IF(TrRoad_act!N66=0,0,TrRoad_ene!N69/TrRoad_tech!N97)</f>
        <v>1.065052071633362</v>
      </c>
      <c r="O124" s="91">
        <f>IF(TrRoad_act!O66=0,0,TrRoad_ene!O69/TrRoad_tech!O97)</f>
        <v>1.0663228623731773</v>
      </c>
      <c r="P124" s="91">
        <f>IF(TrRoad_act!P66=0,0,TrRoad_ene!P69/TrRoad_tech!P97)</f>
        <v>1.0703157126651854</v>
      </c>
      <c r="Q124" s="91">
        <f>IF(TrRoad_act!Q66=0,0,TrRoad_ene!Q69/TrRoad_tech!Q97)</f>
        <v>1.0708192668299499</v>
      </c>
      <c r="R124" s="91">
        <f>IF(TrRoad_act!R66=0,0,TrRoad_ene!R69/TrRoad_tech!R97)</f>
        <v>1.0718312207759764</v>
      </c>
      <c r="S124" s="91">
        <f>IF(TrRoad_act!S66=0,0,TrRoad_ene!S69/TrRoad_tech!S97)</f>
        <v>1.072442140126888</v>
      </c>
      <c r="T124" s="91">
        <f>IF(TrRoad_act!T66=0,0,TrRoad_ene!T69/TrRoad_tech!T97)</f>
        <v>1.0753419320967581</v>
      </c>
      <c r="U124" s="91">
        <f>IF(TrRoad_act!U66=0,0,TrRoad_ene!U69/TrRoad_tech!U97)</f>
        <v>1.0797864494932514</v>
      </c>
      <c r="V124" s="91">
        <f>IF(TrRoad_act!V66=0,0,TrRoad_ene!V69/TrRoad_tech!V97)</f>
        <v>1.084618433525379</v>
      </c>
      <c r="W124" s="91">
        <f>IF(TrRoad_act!W66=0,0,TrRoad_ene!W69/TrRoad_tech!W97)</f>
        <v>1.088590505268151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1.1924405594682304</v>
      </c>
      <c r="C125" s="151">
        <f>IF(TrRoad_act!C67=0,0,TrRoad_ene!C70/TrRoad_tech!C98)</f>
        <v>1.4446866021050688</v>
      </c>
      <c r="D125" s="151">
        <f>IF(TrRoad_act!D67=0,0,TrRoad_ene!D70/TrRoad_tech!D98)</f>
        <v>1.5869794936570998</v>
      </c>
      <c r="E125" s="151">
        <f>IF(TrRoad_act!E67=0,0,TrRoad_ene!E70/TrRoad_tech!E98)</f>
        <v>1.3498919790698083</v>
      </c>
      <c r="F125" s="151">
        <f>IF(TrRoad_act!F67=0,0,TrRoad_ene!F70/TrRoad_tech!F98)</f>
        <v>1.3759468457907023</v>
      </c>
      <c r="G125" s="151">
        <f>IF(TrRoad_act!G67=0,0,TrRoad_ene!G70/TrRoad_tech!G98)</f>
        <v>1.3710667276827633</v>
      </c>
      <c r="H125" s="151">
        <f>IF(TrRoad_act!H67=0,0,TrRoad_ene!H70/TrRoad_tech!H98)</f>
        <v>1.3581012910279757</v>
      </c>
      <c r="I125" s="151">
        <f>IF(TrRoad_act!I67=0,0,TrRoad_ene!I70/TrRoad_tech!I98)</f>
        <v>1.3630882113193157</v>
      </c>
      <c r="J125" s="151">
        <f>IF(TrRoad_act!J67=0,0,TrRoad_ene!J70/TrRoad_tech!J98)</f>
        <v>1.3135657241520069</v>
      </c>
      <c r="K125" s="151">
        <f>IF(TrRoad_act!K67=0,0,TrRoad_ene!K70/TrRoad_tech!K98)</f>
        <v>1.2096032177369396</v>
      </c>
      <c r="L125" s="151">
        <f>IF(TrRoad_act!L67=0,0,TrRoad_ene!L70/TrRoad_tech!L98)</f>
        <v>1.3473308788422516</v>
      </c>
      <c r="M125" s="151">
        <f>IF(TrRoad_act!M67=0,0,TrRoad_ene!M70/TrRoad_tech!M98)</f>
        <v>1.3651505286504617</v>
      </c>
      <c r="N125" s="151">
        <f>IF(TrRoad_act!N67=0,0,TrRoad_ene!N70/TrRoad_tech!N98)</f>
        <v>1.3682646332142414</v>
      </c>
      <c r="O125" s="151">
        <f>IF(TrRoad_act!O67=0,0,TrRoad_ene!O70/TrRoad_tech!O98)</f>
        <v>1.290775644522707</v>
      </c>
      <c r="P125" s="151">
        <f>IF(TrRoad_act!P67=0,0,TrRoad_ene!P70/TrRoad_tech!P98)</f>
        <v>1.2925120430128703</v>
      </c>
      <c r="Q125" s="151">
        <f>IF(TrRoad_act!Q67=0,0,TrRoad_ene!Q70/TrRoad_tech!Q98)</f>
        <v>1.2589043720206305</v>
      </c>
      <c r="R125" s="151">
        <f>IF(TrRoad_act!R67=0,0,TrRoad_ene!R70/TrRoad_tech!R98)</f>
        <v>1.1987584667162703</v>
      </c>
      <c r="S125" s="151">
        <f>IF(TrRoad_act!S67=0,0,TrRoad_ene!S70/TrRoad_tech!S98)</f>
        <v>1.1912461957775702</v>
      </c>
      <c r="T125" s="151">
        <f>IF(TrRoad_act!T67=0,0,TrRoad_ene!T70/TrRoad_tech!T98)</f>
        <v>1.2195586342911182</v>
      </c>
      <c r="U125" s="151">
        <f>IF(TrRoad_act!U67=0,0,TrRoad_ene!U70/TrRoad_tech!U98)</f>
        <v>1.2141516877601066</v>
      </c>
      <c r="V125" s="151">
        <f>IF(TrRoad_act!V67=0,0,TrRoad_ene!V70/TrRoad_tech!V98)</f>
        <v>1.2136428467257929</v>
      </c>
      <c r="W125" s="151">
        <f>IF(TrRoad_act!W67=0,0,TrRoad_ene!W70/TrRoad_tech!W98)</f>
        <v>1.2418265406268003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</v>
      </c>
      <c r="C126" s="93">
        <f>IF(TrRoad_act!C68=0,0,TrRoad_ene!C71/TrRoad_tech!C99)</f>
        <v>1.1000000000067303</v>
      </c>
      <c r="D126" s="93">
        <f>IF(TrRoad_act!D68=0,0,TrRoad_ene!D71/TrRoad_tech!D99)</f>
        <v>1.1000000000067305</v>
      </c>
      <c r="E126" s="93">
        <f>IF(TrRoad_act!E68=0,0,TrRoad_ene!E71/TrRoad_tech!E99)</f>
        <v>1.10000000000673</v>
      </c>
      <c r="F126" s="93">
        <f>IF(TrRoad_act!F68=0,0,TrRoad_ene!F71/TrRoad_tech!F99)</f>
        <v>1.1000000000067305</v>
      </c>
      <c r="G126" s="93">
        <f>IF(TrRoad_act!G68=0,0,TrRoad_ene!G71/TrRoad_tech!G99)</f>
        <v>1.10000000000673</v>
      </c>
      <c r="H126" s="93">
        <f>IF(TrRoad_act!H68=0,0,TrRoad_ene!H71/TrRoad_tech!H99)</f>
        <v>1.1000000000067305</v>
      </c>
      <c r="I126" s="93">
        <f>IF(TrRoad_act!I68=0,0,TrRoad_ene!I71/TrRoad_tech!I99)</f>
        <v>1.10000000000673</v>
      </c>
      <c r="J126" s="93">
        <f>IF(TrRoad_act!J68=0,0,TrRoad_ene!J71/TrRoad_tech!J99)</f>
        <v>1.1000000000067303</v>
      </c>
      <c r="K126" s="93">
        <f>IF(TrRoad_act!K68=0,0,TrRoad_ene!K71/TrRoad_tech!K99)</f>
        <v>1.1000000000067303</v>
      </c>
      <c r="L126" s="93">
        <f>IF(TrRoad_act!L68=0,0,TrRoad_ene!L71/TrRoad_tech!L99)</f>
        <v>1.1000000000067303</v>
      </c>
      <c r="M126" s="93">
        <f>IF(TrRoad_act!M68=0,0,TrRoad_ene!M71/TrRoad_tech!M99)</f>
        <v>1.10000000000673</v>
      </c>
      <c r="N126" s="93">
        <f>IF(TrRoad_act!N68=0,0,TrRoad_ene!N71/TrRoad_tech!N99)</f>
        <v>1.1000000000067303</v>
      </c>
      <c r="O126" s="93">
        <f>IF(TrRoad_act!O68=0,0,TrRoad_ene!O71/TrRoad_tech!O99)</f>
        <v>1.1000000000067303</v>
      </c>
      <c r="P126" s="93">
        <f>IF(TrRoad_act!P68=0,0,TrRoad_ene!P71/TrRoad_tech!P99)</f>
        <v>1.1000000000067303</v>
      </c>
      <c r="Q126" s="93">
        <f>IF(TrRoad_act!Q68=0,0,TrRoad_ene!Q71/TrRoad_tech!Q99)</f>
        <v>1.1000000000067303</v>
      </c>
      <c r="R126" s="93">
        <f>IF(TrRoad_act!R68=0,0,TrRoad_ene!R71/TrRoad_tech!R99)</f>
        <v>1.1000000000067303</v>
      </c>
      <c r="S126" s="93">
        <f>IF(TrRoad_act!S68=0,0,TrRoad_ene!S71/TrRoad_tech!S99)</f>
        <v>1.1012737651841029</v>
      </c>
      <c r="T126" s="93">
        <f>IF(TrRoad_act!T68=0,0,TrRoad_ene!T71/TrRoad_tech!T99)</f>
        <v>1.1012737651841029</v>
      </c>
      <c r="U126" s="93">
        <f>IF(TrRoad_act!U68=0,0,TrRoad_ene!U71/TrRoad_tech!U99)</f>
        <v>1.1106935371175817</v>
      </c>
      <c r="V126" s="93">
        <f>IF(TrRoad_act!V68=0,0,TrRoad_ene!V71/TrRoad_tech!V99)</f>
        <v>1.1109269548164238</v>
      </c>
      <c r="W126" s="93">
        <f>IF(TrRoad_act!W68=0,0,TrRoad_ene!W71/TrRoad_tech!W99)</f>
        <v>1.112449232409858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1.0499146642223587</v>
      </c>
      <c r="C127" s="93">
        <f>IF(TrRoad_act!C69=0,0,TrRoad_ene!C72/TrRoad_tech!C100)</f>
        <v>1.3298855748007861</v>
      </c>
      <c r="D127" s="93">
        <f>IF(TrRoad_act!D69=0,0,TrRoad_ene!D72/TrRoad_tech!D100)</f>
        <v>1.4928705042744586</v>
      </c>
      <c r="E127" s="93">
        <f>IF(TrRoad_act!E69=0,0,TrRoad_ene!E72/TrRoad_tech!E100)</f>
        <v>1.2725961186384029</v>
      </c>
      <c r="F127" s="93">
        <f>IF(TrRoad_act!F69=0,0,TrRoad_ene!F72/TrRoad_tech!F100)</f>
        <v>1.3067164180938202</v>
      </c>
      <c r="G127" s="93">
        <f>IF(TrRoad_act!G69=0,0,TrRoad_ene!G72/TrRoad_tech!G100)</f>
        <v>1.3243490995213101</v>
      </c>
      <c r="H127" s="93">
        <f>IF(TrRoad_act!H69=0,0,TrRoad_ene!H72/TrRoad_tech!H100)</f>
        <v>1.3096142013240528</v>
      </c>
      <c r="I127" s="93">
        <f>IF(TrRoad_act!I69=0,0,TrRoad_ene!I72/TrRoad_tech!I100)</f>
        <v>1.3333193801521224</v>
      </c>
      <c r="J127" s="93">
        <f>IF(TrRoad_act!J69=0,0,TrRoad_ene!J72/TrRoad_tech!J100)</f>
        <v>1.2911094873236324</v>
      </c>
      <c r="K127" s="93">
        <f>IF(TrRoad_act!K69=0,0,TrRoad_ene!K72/TrRoad_tech!K100)</f>
        <v>1.1931277365570141</v>
      </c>
      <c r="L127" s="93">
        <f>IF(TrRoad_act!L69=0,0,TrRoad_ene!L72/TrRoad_tech!L100)</f>
        <v>1.3438165748608624</v>
      </c>
      <c r="M127" s="93">
        <f>IF(TrRoad_act!M69=0,0,TrRoad_ene!M72/TrRoad_tech!M100)</f>
        <v>1.3628789585714547</v>
      </c>
      <c r="N127" s="93">
        <f>IF(TrRoad_act!N69=0,0,TrRoad_ene!N72/TrRoad_tech!N100)</f>
        <v>1.3635691885650607</v>
      </c>
      <c r="O127" s="93">
        <f>IF(TrRoad_act!O69=0,0,TrRoad_ene!O72/TrRoad_tech!O100)</f>
        <v>1.2841812641792258</v>
      </c>
      <c r="P127" s="93">
        <f>IF(TrRoad_act!P69=0,0,TrRoad_ene!P72/TrRoad_tech!P100)</f>
        <v>1.2838191372834411</v>
      </c>
      <c r="Q127" s="93">
        <f>IF(TrRoad_act!Q69=0,0,TrRoad_ene!Q72/TrRoad_tech!Q100)</f>
        <v>1.2414429562135494</v>
      </c>
      <c r="R127" s="93">
        <f>IF(TrRoad_act!R69=0,0,TrRoad_ene!R72/TrRoad_tech!R100)</f>
        <v>1.1774053434935183</v>
      </c>
      <c r="S127" s="93">
        <f>IF(TrRoad_act!S69=0,0,TrRoad_ene!S72/TrRoad_tech!S100)</f>
        <v>1.1860975567805574</v>
      </c>
      <c r="T127" s="93">
        <f>IF(TrRoad_act!T69=0,0,TrRoad_ene!T72/TrRoad_tech!T100)</f>
        <v>1.1831846731261799</v>
      </c>
      <c r="U127" s="93">
        <f>IF(TrRoad_act!U69=0,0,TrRoad_ene!U72/TrRoad_tech!U100)</f>
        <v>1.1948512668423845</v>
      </c>
      <c r="V127" s="93">
        <f>IF(TrRoad_act!V69=0,0,TrRoad_ene!V72/TrRoad_tech!V100)</f>
        <v>1.1813028405634012</v>
      </c>
      <c r="W127" s="93">
        <f>IF(TrRoad_act!W69=0,0,TrRoad_ene!W72/TrRoad_tech!W100)</f>
        <v>1.2431698250359595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1.3402704049142133</v>
      </c>
      <c r="U128" s="93">
        <f>IF(TrRoad_act!U70=0,0,TrRoad_ene!U73/TrRoad_tech!U101)</f>
        <v>1.3402704049142133</v>
      </c>
      <c r="V128" s="93">
        <f>IF(TrRoad_act!V70=0,0,TrRoad_ene!V73/TrRoad_tech!V101)</f>
        <v>1.3402704049142133</v>
      </c>
      <c r="W128" s="93">
        <f>IF(TrRoad_act!W70=0,0,TrRoad_ene!W73/TrRoad_tech!W101)</f>
        <v>1.3402704049142133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1.3454395511027541</v>
      </c>
      <c r="M129" s="93">
        <f>IF(TrRoad_act!M71=0,0,TrRoad_ene!M74/TrRoad_tech!M102)</f>
        <v>2.4533257069845997</v>
      </c>
      <c r="N129" s="93">
        <f>IF(TrRoad_act!N71=0,0,TrRoad_ene!N74/TrRoad_tech!N102)</f>
        <v>4.4384620250242195</v>
      </c>
      <c r="O129" s="93">
        <f>IF(TrRoad_act!O71=0,0,TrRoad_ene!O74/TrRoad_tech!O102)</f>
        <v>2.9762760263592725</v>
      </c>
      <c r="P129" s="93">
        <f>IF(TrRoad_act!P71=0,0,TrRoad_ene!P74/TrRoad_tech!P102)</f>
        <v>2.6881264679298562</v>
      </c>
      <c r="Q129" s="93">
        <f>IF(TrRoad_act!Q71=0,0,TrRoad_ene!Q74/TrRoad_tech!Q102)</f>
        <v>2.9371392130294374</v>
      </c>
      <c r="R129" s="93">
        <f>IF(TrRoad_act!R71=0,0,TrRoad_ene!R74/TrRoad_tech!R102)</f>
        <v>2.4516888337732401</v>
      </c>
      <c r="S129" s="93">
        <f>IF(TrRoad_act!S71=0,0,TrRoad_ene!S74/TrRoad_tech!S102)</f>
        <v>1.306991629726779</v>
      </c>
      <c r="T129" s="93">
        <f>IF(TrRoad_act!T71=0,0,TrRoad_ene!T74/TrRoad_tech!T102)</f>
        <v>2.2757018065350816</v>
      </c>
      <c r="U129" s="93">
        <f>IF(TrRoad_act!U71=0,0,TrRoad_ene!U74/TrRoad_tech!U102)</f>
        <v>1.6517712805240057</v>
      </c>
      <c r="V129" s="93">
        <f>IF(TrRoad_act!V71=0,0,TrRoad_ene!V74/TrRoad_tech!V102)</f>
        <v>1.6990030891879049</v>
      </c>
      <c r="W129" s="93">
        <f>IF(TrRoad_act!W71=0,0,TrRoad_ene!W74/TrRoad_tech!W102)</f>
        <v>1.2434334944184029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1.2000000000070941</v>
      </c>
      <c r="M130" s="93">
        <f>IF(TrRoad_act!M72=0,0,TrRoad_ene!M75/TrRoad_tech!M103)</f>
        <v>1.2000000000070941</v>
      </c>
      <c r="N130" s="93">
        <f>IF(TrRoad_act!N72=0,0,TrRoad_ene!N75/TrRoad_tech!N103)</f>
        <v>1.2000000000070941</v>
      </c>
      <c r="O130" s="93">
        <f>IF(TrRoad_act!O72=0,0,TrRoad_ene!O75/TrRoad_tech!O103)</f>
        <v>1.2000000000070943</v>
      </c>
      <c r="P130" s="93">
        <f>IF(TrRoad_act!P72=0,0,TrRoad_ene!P75/TrRoad_tech!P103)</f>
        <v>1.2000000000070941</v>
      </c>
      <c r="Q130" s="93">
        <f>IF(TrRoad_act!Q72=0,0,TrRoad_ene!Q75/TrRoad_tech!Q103)</f>
        <v>1.2000000000070941</v>
      </c>
      <c r="R130" s="93">
        <f>IF(TrRoad_act!R72=0,0,TrRoad_ene!R75/TrRoad_tech!R103)</f>
        <v>1.2000000000070941</v>
      </c>
      <c r="S130" s="93">
        <f>IF(TrRoad_act!S72=0,0,TrRoad_ene!S75/TrRoad_tech!S103)</f>
        <v>1.2000000000070945</v>
      </c>
      <c r="T130" s="93">
        <f>IF(TrRoad_act!T72=0,0,TrRoad_ene!T75/TrRoad_tech!T103)</f>
        <v>1.2000000000070941</v>
      </c>
      <c r="U130" s="93">
        <f>IF(TrRoad_act!U72=0,0,TrRoad_ene!U75/TrRoad_tech!U103)</f>
        <v>1.2000000000070941</v>
      </c>
      <c r="V130" s="93">
        <f>IF(TrRoad_act!V72=0,0,TrRoad_ene!V75/TrRoad_tech!V103)</f>
        <v>1.2000000000070943</v>
      </c>
      <c r="W130" s="93">
        <f>IF(TrRoad_act!W72=0,0,TrRoad_ene!W75/TrRoad_tech!W103)</f>
        <v>1.2000000000070941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1.0623570729868901</v>
      </c>
      <c r="C132" s="150">
        <f>IF(TrRoad_act!C74=0,0,TrRoad_ene!C77/TrRoad_tech!C105)</f>
        <v>1.2638681193501942</v>
      </c>
      <c r="D132" s="150">
        <f>IF(TrRoad_act!D74=0,0,TrRoad_ene!D77/TrRoad_tech!D105)</f>
        <v>1.3797921065194638</v>
      </c>
      <c r="E132" s="150">
        <f>IF(TrRoad_act!E74=0,0,TrRoad_ene!E77/TrRoad_tech!E105)</f>
        <v>1.2165457613785717</v>
      </c>
      <c r="F132" s="150">
        <f>IF(TrRoad_act!F74=0,0,TrRoad_ene!F77/TrRoad_tech!F105)</f>
        <v>1.2340832184766186</v>
      </c>
      <c r="G132" s="150">
        <f>IF(TrRoad_act!G74=0,0,TrRoad_ene!G77/TrRoad_tech!G105)</f>
        <v>1.2427149232416108</v>
      </c>
      <c r="H132" s="150">
        <f>IF(TrRoad_act!H74=0,0,TrRoad_ene!H77/TrRoad_tech!H105)</f>
        <v>1.2274159360534502</v>
      </c>
      <c r="I132" s="150">
        <f>IF(TrRoad_act!I74=0,0,TrRoad_ene!I77/TrRoad_tech!I105)</f>
        <v>1.2476711492060288</v>
      </c>
      <c r="J132" s="150">
        <f>IF(TrRoad_act!J74=0,0,TrRoad_ene!J77/TrRoad_tech!J105)</f>
        <v>1.2175630305051002</v>
      </c>
      <c r="K132" s="150">
        <f>IF(TrRoad_act!K74=0,0,TrRoad_ene!K77/TrRoad_tech!K105)</f>
        <v>1.1490127715524887</v>
      </c>
      <c r="L132" s="150">
        <f>IF(TrRoad_act!L74=0,0,TrRoad_ene!L77/TrRoad_tech!L105)</f>
        <v>1.2654907004081792</v>
      </c>
      <c r="M132" s="150">
        <f>IF(TrRoad_act!M74=0,0,TrRoad_ene!M77/TrRoad_tech!M105)</f>
        <v>1.2812415215160422</v>
      </c>
      <c r="N132" s="150">
        <f>IF(TrRoad_act!N74=0,0,TrRoad_ene!N77/TrRoad_tech!N105)</f>
        <v>1.2858852525777014</v>
      </c>
      <c r="O132" s="150">
        <f>IF(TrRoad_act!O74=0,0,TrRoad_ene!O77/TrRoad_tech!O105)</f>
        <v>1.2250759055735314</v>
      </c>
      <c r="P132" s="150">
        <f>IF(TrRoad_act!P74=0,0,TrRoad_ene!P77/TrRoad_tech!P105)</f>
        <v>1.2256964878330148</v>
      </c>
      <c r="Q132" s="150">
        <f>IF(TrRoad_act!Q74=0,0,TrRoad_ene!Q77/TrRoad_tech!Q105)</f>
        <v>1.1902851520944484</v>
      </c>
      <c r="R132" s="150">
        <f>IF(TrRoad_act!R74=0,0,TrRoad_ene!R77/TrRoad_tech!R105)</f>
        <v>1.1381837559790862</v>
      </c>
      <c r="S132" s="150">
        <f>IF(TrRoad_act!S74=0,0,TrRoad_ene!S77/TrRoad_tech!S105)</f>
        <v>1.1447338882185041</v>
      </c>
      <c r="T132" s="150">
        <f>IF(TrRoad_act!T74=0,0,TrRoad_ene!T77/TrRoad_tech!T105)</f>
        <v>1.1445990319114066</v>
      </c>
      <c r="U132" s="150">
        <f>IF(TrRoad_act!U74=0,0,TrRoad_ene!U77/TrRoad_tech!U105)</f>
        <v>1.1548754341845378</v>
      </c>
      <c r="V132" s="150">
        <f>IF(TrRoad_act!V74=0,0,TrRoad_ene!V77/TrRoad_tech!V105)</f>
        <v>1.1447142976379536</v>
      </c>
      <c r="W132" s="150">
        <f>IF(TrRoad_act!W74=0,0,TrRoad_ene!W77/TrRoad_tech!W105)</f>
        <v>1.2026396058932129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1.1000437233170737</v>
      </c>
      <c r="D133" s="91">
        <f>IF(TrRoad_act!D75=0,0,TrRoad_ene!D78/TrRoad_tech!D106)</f>
        <v>1.1001601295484282</v>
      </c>
      <c r="E133" s="91">
        <f>IF(TrRoad_act!E75=0,0,TrRoad_ene!E78/TrRoad_tech!E106)</f>
        <v>1.100340462148574</v>
      </c>
      <c r="F133" s="91">
        <f>IF(TrRoad_act!F75=0,0,TrRoad_ene!F78/TrRoad_tech!F106)</f>
        <v>1.100692590245109</v>
      </c>
      <c r="G133" s="91">
        <f>IF(TrRoad_act!G75=0,0,TrRoad_ene!G78/TrRoad_tech!G106)</f>
        <v>1.1013009603225612</v>
      </c>
      <c r="H133" s="91">
        <f>IF(TrRoad_act!H75=0,0,TrRoad_ene!H78/TrRoad_tech!H106)</f>
        <v>1.1023295985511912</v>
      </c>
      <c r="I133" s="91">
        <f>IF(TrRoad_act!I75=0,0,TrRoad_ene!I78/TrRoad_tech!I106)</f>
        <v>1.1038536589270083</v>
      </c>
      <c r="J133" s="91">
        <f>IF(TrRoad_act!J75=0,0,TrRoad_ene!J78/TrRoad_tech!J106)</f>
        <v>1.1084835144771663</v>
      </c>
      <c r="K133" s="91">
        <f>IF(TrRoad_act!K75=0,0,TrRoad_ene!K78/TrRoad_tech!K106)</f>
        <v>1.1130879079160045</v>
      </c>
      <c r="L133" s="91">
        <f>IF(TrRoad_act!L75=0,0,TrRoad_ene!L78/TrRoad_tech!L106)</f>
        <v>1.1162657795529956</v>
      </c>
      <c r="M133" s="91">
        <f>IF(TrRoad_act!M75=0,0,TrRoad_ene!M78/TrRoad_tech!M106)</f>
        <v>1.1205466334055867</v>
      </c>
      <c r="N133" s="91">
        <f>IF(TrRoad_act!N75=0,0,TrRoad_ene!N78/TrRoad_tech!N106)</f>
        <v>1.1277180941355709</v>
      </c>
      <c r="O133" s="91">
        <f>IF(TrRoad_act!O75=0,0,TrRoad_ene!O78/TrRoad_tech!O106)</f>
        <v>1.1347364092691652</v>
      </c>
      <c r="P133" s="91">
        <f>IF(TrRoad_act!P75=0,0,TrRoad_ene!P78/TrRoad_tech!P106)</f>
        <v>1.1425671089674174</v>
      </c>
      <c r="Q133" s="91">
        <f>IF(TrRoad_act!Q75=0,0,TrRoad_ene!Q78/TrRoad_tech!Q106)</f>
        <v>1.1535782594973309</v>
      </c>
      <c r="R133" s="91">
        <f>IF(TrRoad_act!R75=0,0,TrRoad_ene!R78/TrRoad_tech!R106)</f>
        <v>1.1659791324808946</v>
      </c>
      <c r="S133" s="91">
        <f>IF(TrRoad_act!S75=0,0,TrRoad_ene!S78/TrRoad_tech!S106)</f>
        <v>1.17757943977574</v>
      </c>
      <c r="T133" s="91">
        <f>IF(TrRoad_act!T75=0,0,TrRoad_ene!T78/TrRoad_tech!T106)</f>
        <v>1.1917811660555397</v>
      </c>
      <c r="U133" s="91">
        <f>IF(TrRoad_act!U75=0,0,TrRoad_ene!U78/TrRoad_tech!U106)</f>
        <v>1.2075279025182946</v>
      </c>
      <c r="V133" s="91">
        <f>IF(TrRoad_act!V75=0,0,TrRoad_ene!V78/TrRoad_tech!V106)</f>
        <v>1.2209888758412608</v>
      </c>
      <c r="W133" s="91">
        <f>IF(TrRoad_act!W75=0,0,TrRoad_ene!W78/TrRoad_tech!W106)</f>
        <v>1.2334500895518785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1.0499146642223587</v>
      </c>
      <c r="C134" s="91">
        <f>IF(TrRoad_act!C76=0,0,TrRoad_ene!C79/TrRoad_tech!C107)</f>
        <v>1.3291315967864397</v>
      </c>
      <c r="D134" s="91">
        <f>IF(TrRoad_act!D76=0,0,TrRoad_ene!D79/TrRoad_tech!D107)</f>
        <v>1.4899391795336465</v>
      </c>
      <c r="E134" s="91">
        <f>IF(TrRoad_act!E76=0,0,TrRoad_ene!E79/TrRoad_tech!E107)</f>
        <v>1.2668654046936394</v>
      </c>
      <c r="F134" s="91">
        <f>IF(TrRoad_act!F76=0,0,TrRoad_ene!F79/TrRoad_tech!F107)</f>
        <v>1.297747054302262</v>
      </c>
      <c r="G134" s="91">
        <f>IF(TrRoad_act!G76=0,0,TrRoad_ene!G79/TrRoad_tech!G107)</f>
        <v>1.3099712778045489</v>
      </c>
      <c r="H134" s="91">
        <f>IF(TrRoad_act!H76=0,0,TrRoad_ene!H79/TrRoad_tech!H107)</f>
        <v>1.2924273704130744</v>
      </c>
      <c r="I134" s="91">
        <f>IF(TrRoad_act!I76=0,0,TrRoad_ene!I79/TrRoad_tech!I107)</f>
        <v>1.3144466055258262</v>
      </c>
      <c r="J134" s="91">
        <f>IF(TrRoad_act!J76=0,0,TrRoad_ene!J79/TrRoad_tech!J107)</f>
        <v>1.2740997530932769</v>
      </c>
      <c r="K134" s="91">
        <f>IF(TrRoad_act!K76=0,0,TrRoad_ene!K79/TrRoad_tech!K107)</f>
        <v>1.1793865092565947</v>
      </c>
      <c r="L134" s="91">
        <f>IF(TrRoad_act!L76=0,0,TrRoad_ene!L79/TrRoad_tech!L107)</f>
        <v>1.3236051189742217</v>
      </c>
      <c r="M134" s="91">
        <f>IF(TrRoad_act!M76=0,0,TrRoad_ene!M79/TrRoad_tech!M107)</f>
        <v>1.3387097722293679</v>
      </c>
      <c r="N134" s="91">
        <f>IF(TrRoad_act!N76=0,0,TrRoad_ene!N79/TrRoad_tech!N107)</f>
        <v>1.3362843046737161</v>
      </c>
      <c r="O134" s="91">
        <f>IF(TrRoad_act!O76=0,0,TrRoad_ene!O79/TrRoad_tech!O107)</f>
        <v>1.2551878535347492</v>
      </c>
      <c r="P134" s="91">
        <f>IF(TrRoad_act!P76=0,0,TrRoad_ene!P79/TrRoad_tech!P107)</f>
        <v>1.2528092192994811</v>
      </c>
      <c r="Q134" s="91">
        <f>IF(TrRoad_act!Q76=0,0,TrRoad_ene!Q79/TrRoad_tech!Q107)</f>
        <v>1.20825876942864</v>
      </c>
      <c r="R134" s="91">
        <f>IF(TrRoad_act!R76=0,0,TrRoad_ene!R79/TrRoad_tech!R107)</f>
        <v>1.1468100875914002</v>
      </c>
      <c r="S134" s="91">
        <f>IF(TrRoad_act!S76=0,0,TrRoad_ene!S79/TrRoad_tech!S107)</f>
        <v>1.1532877191198343</v>
      </c>
      <c r="T134" s="91">
        <f>IF(TrRoad_act!T76=0,0,TrRoad_ene!T79/TrRoad_tech!T107)</f>
        <v>1.1524982686230076</v>
      </c>
      <c r="U134" s="91">
        <f>IF(TrRoad_act!U76=0,0,TrRoad_ene!U79/TrRoad_tech!U107)</f>
        <v>1.1624588700185012</v>
      </c>
      <c r="V134" s="91">
        <f>IF(TrRoad_act!V76=0,0,TrRoad_ene!V79/TrRoad_tech!V107)</f>
        <v>1.1488288824761297</v>
      </c>
      <c r="W134" s="91">
        <f>IF(TrRoad_act!W76=0,0,TrRoad_ene!W79/TrRoad_tech!W107)</f>
        <v>1.2118800471047577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1.317263573193203</v>
      </c>
      <c r="S135" s="91">
        <f>IF(TrRoad_act!S77=0,0,TrRoad_ene!S80/TrRoad_tech!S108)</f>
        <v>1.3292726858383068</v>
      </c>
      <c r="T135" s="91">
        <f>IF(TrRoad_act!T77=0,0,TrRoad_ene!T80/TrRoad_tech!T108)</f>
        <v>1.3329077163285228</v>
      </c>
      <c r="U135" s="91">
        <f>IF(TrRoad_act!U77=0,0,TrRoad_ene!U80/TrRoad_tech!U108)</f>
        <v>1.3368447242653976</v>
      </c>
      <c r="V135" s="91">
        <f>IF(TrRoad_act!V77=0,0,TrRoad_ene!V80/TrRoad_tech!V108)</f>
        <v>1.3371537415113033</v>
      </c>
      <c r="W135" s="91">
        <f>IF(TrRoad_act!W77=0,0,TrRoad_ene!W80/TrRoad_tech!W108)</f>
        <v>1.3371537415113031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1.2360000000066977</v>
      </c>
      <c r="O136" s="91">
        <f>IF(TrRoad_act!O78=0,0,TrRoad_ene!O81/TrRoad_tech!O109)</f>
        <v>1.2555952353742965</v>
      </c>
      <c r="P136" s="91">
        <f>IF(TrRoad_act!P78=0,0,TrRoad_ene!P81/TrRoad_tech!P109)</f>
        <v>1.2611184419129247</v>
      </c>
      <c r="Q136" s="91">
        <f>IF(TrRoad_act!Q78=0,0,TrRoad_ene!Q81/TrRoad_tech!Q109)</f>
        <v>1.272249595729428</v>
      </c>
      <c r="R136" s="91">
        <f>IF(TrRoad_act!R78=0,0,TrRoad_ene!R81/TrRoad_tech!R109)</f>
        <v>1.2724319559252237</v>
      </c>
      <c r="S136" s="91">
        <f>IF(TrRoad_act!S78=0,0,TrRoad_ene!S81/TrRoad_tech!S109)</f>
        <v>1.2989492781828971</v>
      </c>
      <c r="T136" s="91">
        <f>IF(TrRoad_act!T78=0,0,TrRoad_ene!T81/TrRoad_tech!T109)</f>
        <v>1.3085437097878996</v>
      </c>
      <c r="U136" s="91">
        <f>IF(TrRoad_act!U78=0,0,TrRoad_ene!U81/TrRoad_tech!U109)</f>
        <v>1.316503190413373</v>
      </c>
      <c r="V136" s="91">
        <f>IF(TrRoad_act!V78=0,0,TrRoad_ene!V81/TrRoad_tech!V109)</f>
        <v>1.3263651402949939</v>
      </c>
      <c r="W136" s="91">
        <f>IF(TrRoad_act!W78=0,0,TrRoad_ene!W81/TrRoad_tech!W109)</f>
        <v>1.3270284169491837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1.1560000000067705</v>
      </c>
      <c r="J137" s="91">
        <f>IF(TrRoad_act!J79=0,0,TrRoad_ene!J82/TrRoad_tech!J110)</f>
        <v>1.1560000000067703</v>
      </c>
      <c r="K137" s="91">
        <f>IF(TrRoad_act!K79=0,0,TrRoad_ene!K82/TrRoad_tech!K110)</f>
        <v>1.1560000000067703</v>
      </c>
      <c r="L137" s="91">
        <f>IF(TrRoad_act!L79=0,0,TrRoad_ene!L82/TrRoad_tech!L110)</f>
        <v>1.1560000000067703</v>
      </c>
      <c r="M137" s="91">
        <f>IF(TrRoad_act!M79=0,0,TrRoad_ene!M82/TrRoad_tech!M110)</f>
        <v>1.1560000000067705</v>
      </c>
      <c r="N137" s="91">
        <f>IF(TrRoad_act!N79=0,0,TrRoad_ene!N82/TrRoad_tech!N110)</f>
        <v>1.1851884076662718</v>
      </c>
      <c r="O137" s="91">
        <f>IF(TrRoad_act!O79=0,0,TrRoad_ene!O82/TrRoad_tech!O110)</f>
        <v>1.2278279197370048</v>
      </c>
      <c r="P137" s="91">
        <f>IF(TrRoad_act!P79=0,0,TrRoad_ene!P82/TrRoad_tech!P110)</f>
        <v>1.2578184183606995</v>
      </c>
      <c r="Q137" s="91">
        <f>IF(TrRoad_act!Q79=0,0,TrRoad_ene!Q82/TrRoad_tech!Q110)</f>
        <v>1.2637463319451419</v>
      </c>
      <c r="R137" s="91">
        <f>IF(TrRoad_act!R79=0,0,TrRoad_ene!R82/TrRoad_tech!R110)</f>
        <v>1.2896463107820229</v>
      </c>
      <c r="S137" s="91">
        <f>IF(TrRoad_act!S79=0,0,TrRoad_ene!S82/TrRoad_tech!S110)</f>
        <v>1.2918978767339309</v>
      </c>
      <c r="T137" s="91">
        <f>IF(TrRoad_act!T79=0,0,TrRoad_ene!T82/TrRoad_tech!T110)</f>
        <v>1.2947184575818635</v>
      </c>
      <c r="U137" s="91">
        <f>IF(TrRoad_act!U79=0,0,TrRoad_ene!U82/TrRoad_tech!U110)</f>
        <v>1.3069691682536735</v>
      </c>
      <c r="V137" s="91">
        <f>IF(TrRoad_act!V79=0,0,TrRoad_ene!V82/TrRoad_tech!V110)</f>
        <v>1.3433008053168454</v>
      </c>
      <c r="W137" s="91">
        <f>IF(TrRoad_act!W79=0,0,TrRoad_ene!W82/TrRoad_tech!W110)</f>
        <v>1.3550070513106247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1.0735963814831591</v>
      </c>
      <c r="C138" s="151">
        <f>IF(TrRoad_act!C80=0,0,TrRoad_ene!C83/TrRoad_tech!C111)</f>
        <v>1.2969435957908702</v>
      </c>
      <c r="D138" s="151">
        <f>IF(TrRoad_act!D80=0,0,TrRoad_ene!D83/TrRoad_tech!D111)</f>
        <v>1.4082699933604703</v>
      </c>
      <c r="E138" s="151">
        <f>IF(TrRoad_act!E80=0,0,TrRoad_ene!E83/TrRoad_tech!E111)</f>
        <v>1.1867110069338607</v>
      </c>
      <c r="F138" s="151">
        <f>IF(TrRoad_act!F80=0,0,TrRoad_ene!F83/TrRoad_tech!F111)</f>
        <v>1.2324626846126818</v>
      </c>
      <c r="G138" s="151">
        <f>IF(TrRoad_act!G80=0,0,TrRoad_ene!G83/TrRoad_tech!G111)</f>
        <v>1.2709424277945798</v>
      </c>
      <c r="H138" s="151">
        <f>IF(TrRoad_act!H80=0,0,TrRoad_ene!H83/TrRoad_tech!H111)</f>
        <v>1.278604992978476</v>
      </c>
      <c r="I138" s="151">
        <f>IF(TrRoad_act!I80=0,0,TrRoad_ene!I83/TrRoad_tech!I111)</f>
        <v>1.3636607810655157</v>
      </c>
      <c r="J138" s="151">
        <f>IF(TrRoad_act!J80=0,0,TrRoad_ene!J83/TrRoad_tech!J111)</f>
        <v>1.3803467200632091</v>
      </c>
      <c r="K138" s="151">
        <f>IF(TrRoad_act!K80=0,0,TrRoad_ene!K83/TrRoad_tech!K111)</f>
        <v>1.3156126064235436</v>
      </c>
      <c r="L138" s="151">
        <f>IF(TrRoad_act!L80=0,0,TrRoad_ene!L83/TrRoad_tech!L111)</f>
        <v>1.6244190659737554</v>
      </c>
      <c r="M138" s="151">
        <f>IF(TrRoad_act!M80=0,0,TrRoad_ene!M83/TrRoad_tech!M111)</f>
        <v>1.6503575914316213</v>
      </c>
      <c r="N138" s="151">
        <f>IF(TrRoad_act!N80=0,0,TrRoad_ene!N83/TrRoad_tech!N111)</f>
        <v>1.6628404168554216</v>
      </c>
      <c r="O138" s="151">
        <f>IF(TrRoad_act!O80=0,0,TrRoad_ene!O83/TrRoad_tech!O111)</f>
        <v>1.4556035684445838</v>
      </c>
      <c r="P138" s="151">
        <f>IF(TrRoad_act!P80=0,0,TrRoad_ene!P83/TrRoad_tech!P111)</f>
        <v>1.4447258211358232</v>
      </c>
      <c r="Q138" s="151">
        <f>IF(TrRoad_act!Q80=0,0,TrRoad_ene!Q83/TrRoad_tech!Q111)</f>
        <v>1.3312112718314593</v>
      </c>
      <c r="R138" s="151">
        <f>IF(TrRoad_act!R80=0,0,TrRoad_ene!R83/TrRoad_tech!R111)</f>
        <v>1.1644027665358681</v>
      </c>
      <c r="S138" s="151">
        <f>IF(TrRoad_act!S80=0,0,TrRoad_ene!S83/TrRoad_tech!S111)</f>
        <v>1.1582887610055603</v>
      </c>
      <c r="T138" s="151">
        <f>IF(TrRoad_act!T80=0,0,TrRoad_ene!T83/TrRoad_tech!T111)</f>
        <v>1.1539427437236436</v>
      </c>
      <c r="U138" s="151">
        <f>IF(TrRoad_act!U80=0,0,TrRoad_ene!U83/TrRoad_tech!U111)</f>
        <v>1.1630603833993922</v>
      </c>
      <c r="V138" s="151">
        <f>IF(TrRoad_act!V80=0,0,TrRoad_ene!V83/TrRoad_tech!V111)</f>
        <v>1.1054377104437054</v>
      </c>
      <c r="W138" s="151">
        <f>IF(TrRoad_act!W80=0,0,TrRoad_ene!W83/TrRoad_tech!W111)</f>
        <v>1.2745530250503474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1.0410869705297618</v>
      </c>
      <c r="C139" s="93">
        <f>IF(TrRoad_act!C81=0,0,TrRoad_ene!C84/TrRoad_tech!C112)</f>
        <v>1.2548239847951703</v>
      </c>
      <c r="D139" s="93">
        <f>IF(TrRoad_act!D81=0,0,TrRoad_ene!D84/TrRoad_tech!D112)</f>
        <v>1.3678952536096711</v>
      </c>
      <c r="E139" s="93">
        <f>IF(TrRoad_act!E81=0,0,TrRoad_ene!E84/TrRoad_tech!E112)</f>
        <v>1.1612652716341503</v>
      </c>
      <c r="F139" s="93">
        <f>IF(TrRoad_act!F81=0,0,TrRoad_ene!F84/TrRoad_tech!F112)</f>
        <v>1.2068363678120004</v>
      </c>
      <c r="G139" s="93">
        <f>IF(TrRoad_act!G81=0,0,TrRoad_ene!G84/TrRoad_tech!G112)</f>
        <v>1.2451880328459306</v>
      </c>
      <c r="H139" s="93">
        <f>IF(TrRoad_act!H81=0,0,TrRoad_ene!H84/TrRoad_tech!H112)</f>
        <v>1.2535237609004903</v>
      </c>
      <c r="I139" s="93">
        <f>IF(TrRoad_act!I81=0,0,TrRoad_ene!I84/TrRoad_tech!I112)</f>
        <v>1.3373314410612929</v>
      </c>
      <c r="J139" s="93">
        <f>IF(TrRoad_act!J81=0,0,TrRoad_ene!J84/TrRoad_tech!J112)</f>
        <v>1.3550857862578389</v>
      </c>
      <c r="K139" s="93">
        <f>IF(TrRoad_act!K81=0,0,TrRoad_ene!K84/TrRoad_tech!K112)</f>
        <v>1.2905105196711553</v>
      </c>
      <c r="L139" s="93">
        <f>IF(TrRoad_act!L81=0,0,TrRoad_ene!L84/TrRoad_tech!L112)</f>
        <v>1.5926466670783945</v>
      </c>
      <c r="M139" s="93">
        <f>IF(TrRoad_act!M81=0,0,TrRoad_ene!M84/TrRoad_tech!M112)</f>
        <v>1.6160793955042769</v>
      </c>
      <c r="N139" s="93">
        <f>IF(TrRoad_act!N81=0,0,TrRoad_ene!N84/TrRoad_tech!N112)</f>
        <v>1.6260738515920454</v>
      </c>
      <c r="O139" s="93">
        <f>IF(TrRoad_act!O81=0,0,TrRoad_ene!O84/TrRoad_tech!O112)</f>
        <v>1.4204619864553694</v>
      </c>
      <c r="P139" s="93">
        <f>IF(TrRoad_act!P81=0,0,TrRoad_ene!P84/TrRoad_tech!P112)</f>
        <v>1.4072553546878996</v>
      </c>
      <c r="Q139" s="93">
        <f>IF(TrRoad_act!Q81=0,0,TrRoad_ene!Q84/TrRoad_tech!Q112)</f>
        <v>1.2916295894229872</v>
      </c>
      <c r="R139" s="93">
        <f>IF(TrRoad_act!R81=0,0,TrRoad_ene!R84/TrRoad_tech!R112)</f>
        <v>1.1308837760808736</v>
      </c>
      <c r="S139" s="93">
        <f>IF(TrRoad_act!S81=0,0,TrRoad_ene!S84/TrRoad_tech!S112)</f>
        <v>1.1177840296581973</v>
      </c>
      <c r="T139" s="93">
        <f>IF(TrRoad_act!T81=0,0,TrRoad_ene!T84/TrRoad_tech!T112)</f>
        <v>1.1107192036374725</v>
      </c>
      <c r="U139" s="93">
        <f>IF(TrRoad_act!U81=0,0,TrRoad_ene!U84/TrRoad_tech!U112)</f>
        <v>1.1112638442479088</v>
      </c>
      <c r="V139" s="93">
        <f>IF(TrRoad_act!V81=0,0,TrRoad_ene!V84/TrRoad_tech!V112)</f>
        <v>1.04057621891043</v>
      </c>
      <c r="W139" s="93">
        <f>IF(TrRoad_act!W81=0,0,TrRoad_ene!W84/TrRoad_tech!W112)</f>
        <v>1.212914566292663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1.0410869705297616</v>
      </c>
      <c r="C140" s="94">
        <f>IF(TrRoad_act!C82=0,0,TrRoad_ene!C85/TrRoad_tech!C113)</f>
        <v>1.25513367900171</v>
      </c>
      <c r="D140" s="94">
        <f>IF(TrRoad_act!D82=0,0,TrRoad_ene!D85/TrRoad_tech!D113)</f>
        <v>1.366312443455751</v>
      </c>
      <c r="E140" s="94">
        <f>IF(TrRoad_act!E82=0,0,TrRoad_ene!E85/TrRoad_tech!E113)</f>
        <v>1.1563331352529329</v>
      </c>
      <c r="F140" s="94">
        <f>IF(TrRoad_act!F82=0,0,TrRoad_ene!F85/TrRoad_tech!F113)</f>
        <v>1.2034787195067351</v>
      </c>
      <c r="G140" s="94">
        <f>IF(TrRoad_act!G82=0,0,TrRoad_ene!G85/TrRoad_tech!G113)</f>
        <v>1.2427632106001143</v>
      </c>
      <c r="H140" s="94">
        <f>IF(TrRoad_act!H82=0,0,TrRoad_ene!H85/TrRoad_tech!H113)</f>
        <v>1.2523736458331431</v>
      </c>
      <c r="I140" s="94">
        <f>IF(TrRoad_act!I82=0,0,TrRoad_ene!I85/TrRoad_tech!I113)</f>
        <v>1.337834448432764</v>
      </c>
      <c r="J140" s="94">
        <f>IF(TrRoad_act!J82=0,0,TrRoad_ene!J85/TrRoad_tech!J113)</f>
        <v>1.3533942812889179</v>
      </c>
      <c r="K140" s="94">
        <f>IF(TrRoad_act!K82=0,0,TrRoad_ene!K85/TrRoad_tech!K113)</f>
        <v>1.2866734818279937</v>
      </c>
      <c r="L140" s="94">
        <f>IF(TrRoad_act!L82=0,0,TrRoad_ene!L85/TrRoad_tech!L113)</f>
        <v>1.5955784803645876</v>
      </c>
      <c r="M140" s="94">
        <f>IF(TrRoad_act!M82=0,0,TrRoad_ene!M85/TrRoad_tech!M113)</f>
        <v>1.6389005681597142</v>
      </c>
      <c r="N140" s="94">
        <f>IF(TrRoad_act!N82=0,0,TrRoad_ene!N85/TrRoad_tech!N113)</f>
        <v>1.6556173295701468</v>
      </c>
      <c r="O140" s="94">
        <f>IF(TrRoad_act!O82=0,0,TrRoad_ene!O85/TrRoad_tech!O113)</f>
        <v>1.4660811743062439</v>
      </c>
      <c r="P140" s="94">
        <f>IF(TrRoad_act!P82=0,0,TrRoad_ene!P85/TrRoad_tech!P113)</f>
        <v>1.446149937634446</v>
      </c>
      <c r="Q140" s="94">
        <f>IF(TrRoad_act!Q82=0,0,TrRoad_ene!Q85/TrRoad_tech!Q113)</f>
        <v>1.3385726769674855</v>
      </c>
      <c r="R140" s="94">
        <f>IF(TrRoad_act!R82=0,0,TrRoad_ene!R85/TrRoad_tech!R113)</f>
        <v>1.1660714533591061</v>
      </c>
      <c r="S140" s="94">
        <f>IF(TrRoad_act!S82=0,0,TrRoad_ene!S85/TrRoad_tech!S113)</f>
        <v>1.1468271143857629</v>
      </c>
      <c r="T140" s="94">
        <f>IF(TrRoad_act!T82=0,0,TrRoad_ene!T85/TrRoad_tech!T113)</f>
        <v>1.142346337028332</v>
      </c>
      <c r="U140" s="94">
        <f>IF(TrRoad_act!U82=0,0,TrRoad_ene!U85/TrRoad_tech!U113)</f>
        <v>1.1362919695337679</v>
      </c>
      <c r="V140" s="94">
        <f>IF(TrRoad_act!V82=0,0,TrRoad_ene!V85/TrRoad_tech!V113)</f>
        <v>1.0855822350626791</v>
      </c>
      <c r="W140" s="94">
        <f>IF(TrRoad_act!W82=0,0,TrRoad_ene!W85/TrRoad_tech!W113)</f>
        <v>1.2499407690917466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4.2349544738946534</v>
      </c>
      <c r="C144" s="141">
        <v>4.2118989994108267</v>
      </c>
      <c r="D144" s="141">
        <v>4.1864289860440715</v>
      </c>
      <c r="E144" s="141">
        <v>4.1340285227643001</v>
      </c>
      <c r="F144" s="141">
        <v>4.1283036115029645</v>
      </c>
      <c r="G144" s="141">
        <v>4.0726901878214239</v>
      </c>
      <c r="H144" s="141">
        <v>3.9905552364598198</v>
      </c>
      <c r="I144" s="141">
        <v>3.9320209396857613</v>
      </c>
      <c r="J144" s="141">
        <v>3.7411126743587904</v>
      </c>
      <c r="K144" s="141">
        <v>3.5351911213362777</v>
      </c>
      <c r="L144" s="141">
        <v>3.406614287803639</v>
      </c>
      <c r="M144" s="141">
        <v>3.2707344441575397</v>
      </c>
      <c r="N144" s="141">
        <v>3.1961395052837673</v>
      </c>
      <c r="O144" s="141">
        <v>3.0819937618339144</v>
      </c>
      <c r="P144" s="141">
        <v>2.9468222454768167</v>
      </c>
      <c r="Q144" s="141">
        <v>2.8399781350758744</v>
      </c>
      <c r="R144" s="141">
        <v>2.7675342610223184</v>
      </c>
      <c r="S144" s="141">
        <v>2.7095791617794736</v>
      </c>
      <c r="T144" s="141">
        <v>2.6632150823851974</v>
      </c>
      <c r="U144" s="141">
        <v>2.6261238188697766</v>
      </c>
      <c r="V144" s="141">
        <v>2.59645080805744</v>
      </c>
      <c r="W144" s="141">
        <v>2.5727123994075707</v>
      </c>
      <c r="DA144" s="174" t="s">
        <v>885</v>
      </c>
    </row>
    <row r="145" spans="1:105" ht="11.45" customHeight="1" x14ac:dyDescent="0.25">
      <c r="A145" s="109" t="s">
        <v>20</v>
      </c>
      <c r="B145" s="130">
        <v>7.8397092179869929</v>
      </c>
      <c r="C145" s="130">
        <v>7.809298937024904</v>
      </c>
      <c r="D145" s="130">
        <v>7.9971928616578678</v>
      </c>
      <c r="E145" s="130">
        <v>7.8727427527866958</v>
      </c>
      <c r="F145" s="130">
        <v>7.746759146538408</v>
      </c>
      <c r="G145" s="130">
        <v>7.6254972546243538</v>
      </c>
      <c r="H145" s="130">
        <v>7.541199699094677</v>
      </c>
      <c r="I145" s="130">
        <v>7.3861188966088989</v>
      </c>
      <c r="J145" s="130">
        <v>7.1012083686252003</v>
      </c>
      <c r="K145" s="130">
        <v>6.775441794876782</v>
      </c>
      <c r="L145" s="130">
        <v>6.4625323939006307</v>
      </c>
      <c r="M145" s="130">
        <v>6.2672688496211588</v>
      </c>
      <c r="N145" s="130">
        <v>6.1178079257581919</v>
      </c>
      <c r="O145" s="130">
        <v>5.8830515695503482</v>
      </c>
      <c r="P145" s="130">
        <v>5.7149468034221993</v>
      </c>
      <c r="Q145" s="130">
        <v>5.4799381670018326</v>
      </c>
      <c r="R145" s="130">
        <v>5.3450813149236494</v>
      </c>
      <c r="S145" s="130">
        <v>5.3358093229647778</v>
      </c>
      <c r="T145" s="130">
        <v>5.343126313129817</v>
      </c>
      <c r="U145" s="130">
        <v>5.3774479820941776</v>
      </c>
      <c r="V145" s="130">
        <v>5.0541285893801549</v>
      </c>
      <c r="W145" s="130">
        <v>4.935713004821956</v>
      </c>
      <c r="DA145" s="176" t="s">
        <v>886</v>
      </c>
    </row>
    <row r="146" spans="1:105" ht="11.45" customHeight="1" x14ac:dyDescent="0.25">
      <c r="A146" s="111" t="s">
        <v>110</v>
      </c>
      <c r="B146" s="96">
        <v>8.2870722106619663</v>
      </c>
      <c r="C146" s="96">
        <v>8.2419566413975733</v>
      </c>
      <c r="D146" s="96">
        <v>8.1921162378518133</v>
      </c>
      <c r="E146" s="96">
        <v>8.0895776094560627</v>
      </c>
      <c r="F146" s="96">
        <v>8.078374949943484</v>
      </c>
      <c r="G146" s="96">
        <v>7.969549114678431</v>
      </c>
      <c r="H146" s="96">
        <v>7.8088252445285677</v>
      </c>
      <c r="I146" s="96">
        <v>7.6942837666550528</v>
      </c>
      <c r="J146" s="96">
        <v>7.3207093657661861</v>
      </c>
      <c r="K146" s="96">
        <v>6.9177565618698429</v>
      </c>
      <c r="L146" s="96">
        <v>6.6661539742454856</v>
      </c>
      <c r="M146" s="96">
        <v>6.3998198514176696</v>
      </c>
      <c r="N146" s="96">
        <v>6.2537011177698201</v>
      </c>
      <c r="O146" s="96">
        <v>6.0302633452018224</v>
      </c>
      <c r="P146" s="96">
        <v>5.7722908267720214</v>
      </c>
      <c r="Q146" s="96">
        <v>5.5609788272511906</v>
      </c>
      <c r="R146" s="96">
        <v>5.4326155474749438</v>
      </c>
      <c r="S146" s="96">
        <v>5.3419346663404745</v>
      </c>
      <c r="T146" s="96">
        <v>5.3256011983441045</v>
      </c>
      <c r="U146" s="96">
        <v>5.3461757379659511</v>
      </c>
      <c r="V146" s="96">
        <v>5.180170820558855</v>
      </c>
      <c r="W146" s="96">
        <v>5.0296497396187156</v>
      </c>
      <c r="DA146" s="171" t="s">
        <v>887</v>
      </c>
    </row>
    <row r="147" spans="1:105" ht="11.45" customHeight="1" x14ac:dyDescent="0.25">
      <c r="A147" s="111" t="s">
        <v>111</v>
      </c>
      <c r="B147" s="96">
        <v>7.001700352699376</v>
      </c>
      <c r="C147" s="96">
        <v>6.998221811069981</v>
      </c>
      <c r="D147" s="96">
        <v>6.9943587916645171</v>
      </c>
      <c r="E147" s="96">
        <v>7.010293746712061</v>
      </c>
      <c r="F147" s="96">
        <v>6.9640582332028949</v>
      </c>
      <c r="G147" s="96">
        <v>6.9848219625072732</v>
      </c>
      <c r="H147" s="96">
        <v>7.0296088437393873</v>
      </c>
      <c r="I147" s="96">
        <v>6.9649032686978414</v>
      </c>
      <c r="J147" s="96">
        <v>6.6506707839345083</v>
      </c>
      <c r="K147" s="96">
        <v>6.3893133772834849</v>
      </c>
      <c r="L147" s="96">
        <v>6.1438909256800072</v>
      </c>
      <c r="M147" s="96">
        <v>6.1224246550005752</v>
      </c>
      <c r="N147" s="96">
        <v>6.0799591219247802</v>
      </c>
      <c r="O147" s="96">
        <v>5.7604776497919872</v>
      </c>
      <c r="P147" s="96">
        <v>5.7072346732342236</v>
      </c>
      <c r="Q147" s="96">
        <v>5.3995574069382544</v>
      </c>
      <c r="R147" s="96">
        <v>5.2581948433463976</v>
      </c>
      <c r="S147" s="96">
        <v>5.3346509650166283</v>
      </c>
      <c r="T147" s="96">
        <v>5.3868159115426746</v>
      </c>
      <c r="U147" s="96">
        <v>5.4827188996304237</v>
      </c>
      <c r="V147" s="96">
        <v>5.0581070525403398</v>
      </c>
      <c r="W147" s="96">
        <v>4.9958570258924295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8.1705489916932272</v>
      </c>
      <c r="D148" s="96">
        <v>8.4205647872577991</v>
      </c>
      <c r="E148" s="96">
        <v>8.6210862682407932</v>
      </c>
      <c r="F148" s="96">
        <v>8.4669018675452659</v>
      </c>
      <c r="G148" s="96">
        <v>8.1691697113834856</v>
      </c>
      <c r="H148" s="96">
        <v>8.2227508173331643</v>
      </c>
      <c r="I148" s="96">
        <v>0</v>
      </c>
      <c r="J148" s="96">
        <v>7.7278000769347708</v>
      </c>
      <c r="K148" s="96">
        <v>7.2171493698711915</v>
      </c>
      <c r="L148" s="96">
        <v>0</v>
      </c>
      <c r="M148" s="96">
        <v>6.4604626289482967</v>
      </c>
      <c r="N148" s="96">
        <v>6.3262093932375638</v>
      </c>
      <c r="O148" s="96">
        <v>6.0089964685980481</v>
      </c>
      <c r="P148" s="96">
        <v>5.7599188947701494</v>
      </c>
      <c r="Q148" s="96">
        <v>4.9804765692808415</v>
      </c>
      <c r="R148" s="96">
        <v>4.8655129401893698</v>
      </c>
      <c r="S148" s="96">
        <v>4.7842981005358247</v>
      </c>
      <c r="T148" s="96">
        <v>4.7617771467098216</v>
      </c>
      <c r="U148" s="96">
        <v>6.3671371991975718</v>
      </c>
      <c r="V148" s="96">
        <v>4.7298848531317512</v>
      </c>
      <c r="W148" s="96">
        <v>4.5454848477022871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7.6824141716557461</v>
      </c>
      <c r="M149" s="96">
        <v>8.0289892470687878</v>
      </c>
      <c r="N149" s="96">
        <v>8.1280106971868147</v>
      </c>
      <c r="O149" s="96">
        <v>7.90521243442128</v>
      </c>
      <c r="P149" s="96">
        <v>7.746972273938594</v>
      </c>
      <c r="Q149" s="96">
        <v>6.1534064860099829</v>
      </c>
      <c r="R149" s="96">
        <v>5.2756428146207375</v>
      </c>
      <c r="S149" s="96">
        <v>6.504058915251405</v>
      </c>
      <c r="T149" s="96">
        <v>5.8753536068795782</v>
      </c>
      <c r="U149" s="96">
        <v>4.8909718606991115</v>
      </c>
      <c r="V149" s="96">
        <v>4.6526480310326637</v>
      </c>
      <c r="W149" s="96">
        <v>4.4132760462200347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0</v>
      </c>
      <c r="P150" s="96">
        <v>3.0196164684340623</v>
      </c>
      <c r="Q150" s="96">
        <v>3.7416871423976326</v>
      </c>
      <c r="R150" s="96">
        <v>3.5086316855129018</v>
      </c>
      <c r="S150" s="96">
        <v>2.7903498237423601</v>
      </c>
      <c r="T150" s="96">
        <v>3.4668375286791879</v>
      </c>
      <c r="U150" s="96">
        <v>3.5587559756853731</v>
      </c>
      <c r="V150" s="96">
        <v>3.6768066632629637</v>
      </c>
      <c r="W150" s="96">
        <v>3.0462088732122394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1.3660444793588575</v>
      </c>
      <c r="K151" s="96">
        <v>0</v>
      </c>
      <c r="L151" s="96">
        <v>1.3438572636687782</v>
      </c>
      <c r="M151" s="96">
        <v>1.3438572636687782</v>
      </c>
      <c r="N151" s="96">
        <v>1.2398989921073802</v>
      </c>
      <c r="O151" s="96">
        <v>1.2910906806005691</v>
      </c>
      <c r="P151" s="96">
        <v>1.3669980491124893</v>
      </c>
      <c r="Q151" s="96">
        <v>1.3078245915735167</v>
      </c>
      <c r="R151" s="96">
        <v>1.434866723989682</v>
      </c>
      <c r="S151" s="96">
        <v>1.4044138721696757</v>
      </c>
      <c r="T151" s="96">
        <v>1.6985014126028746</v>
      </c>
      <c r="U151" s="96">
        <v>1.6913267300197652</v>
      </c>
      <c r="V151" s="96">
        <v>1.5432237581850654</v>
      </c>
      <c r="W151" s="96">
        <v>1.5633759119234822</v>
      </c>
      <c r="DA151" s="171" t="s">
        <v>892</v>
      </c>
    </row>
    <row r="152" spans="1:105" ht="11.45" customHeight="1" x14ac:dyDescent="0.25">
      <c r="A152" s="109" t="s">
        <v>21</v>
      </c>
      <c r="B152" s="130">
        <v>47.327877548074795</v>
      </c>
      <c r="C152" s="130">
        <v>47.263184452697367</v>
      </c>
      <c r="D152" s="130">
        <v>47.191406944367714</v>
      </c>
      <c r="E152" s="130">
        <v>47.042336840555286</v>
      </c>
      <c r="F152" s="130">
        <v>47.026033541771191</v>
      </c>
      <c r="G152" s="130">
        <v>46.866042176136979</v>
      </c>
      <c r="H152" s="130">
        <v>46.62612353313807</v>
      </c>
      <c r="I152" s="130">
        <v>46.453241200600814</v>
      </c>
      <c r="J152" s="130">
        <v>45.868081342743785</v>
      </c>
      <c r="K152" s="130">
        <v>45.209725362902788</v>
      </c>
      <c r="L152" s="130">
        <v>39.731474182094303</v>
      </c>
      <c r="M152" s="130">
        <v>44.210606021086377</v>
      </c>
      <c r="N152" s="130">
        <v>44.054346628404836</v>
      </c>
      <c r="O152" s="130">
        <v>43.566390155839684</v>
      </c>
      <c r="P152" s="130">
        <v>42.932487967415909</v>
      </c>
      <c r="Q152" s="130">
        <v>42.481220338892903</v>
      </c>
      <c r="R152" s="130">
        <v>42.102623885775579</v>
      </c>
      <c r="S152" s="130">
        <v>41.631961802532686</v>
      </c>
      <c r="T152" s="130">
        <v>41.401588869498021</v>
      </c>
      <c r="U152" s="130">
        <v>40.555883083172645</v>
      </c>
      <c r="V152" s="130">
        <v>40.056797422231497</v>
      </c>
      <c r="W152" s="130">
        <v>39.602721694264893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10.311743676746715</v>
      </c>
      <c r="T153" s="97">
        <v>0</v>
      </c>
      <c r="U153" s="97">
        <v>9.8354516183046368</v>
      </c>
      <c r="V153" s="97">
        <v>0</v>
      </c>
      <c r="W153" s="97">
        <v>9.4658296876134109</v>
      </c>
      <c r="DA153" s="175" t="s">
        <v>894</v>
      </c>
    </row>
    <row r="154" spans="1:105" ht="11.45" customHeight="1" x14ac:dyDescent="0.25">
      <c r="A154" s="111" t="s">
        <v>111</v>
      </c>
      <c r="B154" s="97">
        <v>47.327877548074802</v>
      </c>
      <c r="C154" s="97">
        <v>47.263184452697367</v>
      </c>
      <c r="D154" s="97">
        <v>47.191406944367714</v>
      </c>
      <c r="E154" s="97">
        <v>47.042336840555286</v>
      </c>
      <c r="F154" s="97">
        <v>47.026033541771191</v>
      </c>
      <c r="G154" s="97">
        <v>46.866042176136979</v>
      </c>
      <c r="H154" s="97">
        <v>46.62612353313807</v>
      </c>
      <c r="I154" s="97">
        <v>46.453241200600814</v>
      </c>
      <c r="J154" s="97">
        <v>45.868081342743785</v>
      </c>
      <c r="K154" s="97">
        <v>45.209725362902788</v>
      </c>
      <c r="L154" s="97">
        <v>44.787122020847207</v>
      </c>
      <c r="M154" s="97">
        <v>44.326742937606298</v>
      </c>
      <c r="N154" s="97">
        <v>44.069606974593242</v>
      </c>
      <c r="O154" s="97">
        <v>43.665306282111359</v>
      </c>
      <c r="P154" s="97">
        <v>43.170248599747119</v>
      </c>
      <c r="Q154" s="97">
        <v>42.767999999909243</v>
      </c>
      <c r="R154" s="97">
        <v>42.488658149694714</v>
      </c>
      <c r="S154" s="97">
        <v>42.294205165621875</v>
      </c>
      <c r="T154" s="97">
        <v>42.158617828256993</v>
      </c>
      <c r="U154" s="97">
        <v>42.063965402397152</v>
      </c>
      <c r="V154" s="97">
        <v>41.997835175502928</v>
      </c>
      <c r="W154" s="97">
        <v>41.951605885960426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35.01065225464454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37.699597660645793</v>
      </c>
      <c r="M156" s="97">
        <v>37.312073179803285</v>
      </c>
      <c r="N156" s="97">
        <v>37.095628766492631</v>
      </c>
      <c r="O156" s="97">
        <v>36.75530831827556</v>
      </c>
      <c r="P156" s="97">
        <v>36.338593097430234</v>
      </c>
      <c r="Q156" s="97">
        <v>35.99999999992361</v>
      </c>
      <c r="R156" s="97">
        <v>35.697964507117177</v>
      </c>
      <c r="S156" s="97">
        <v>35.428299775086479</v>
      </c>
      <c r="T156" s="97">
        <v>35.187343646156705</v>
      </c>
      <c r="U156" s="97">
        <v>34.971884621368538</v>
      </c>
      <c r="V156" s="97">
        <v>34.779099729452156</v>
      </c>
      <c r="W156" s="97">
        <v>34.606502136496829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26.728871449195552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</v>
      </c>
      <c r="U157" s="97">
        <v>0</v>
      </c>
      <c r="V157" s="97">
        <v>0</v>
      </c>
      <c r="W157" s="97">
        <v>0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8.6558697446808672</v>
      </c>
      <c r="C159" s="141">
        <v>8.6861757052799753</v>
      </c>
      <c r="D159" s="141">
        <v>8.6665742747057237</v>
      </c>
      <c r="E159" s="141">
        <v>8.626292094552781</v>
      </c>
      <c r="F159" s="141">
        <v>8.6151789543310713</v>
      </c>
      <c r="G159" s="141">
        <v>8.6045320391128133</v>
      </c>
      <c r="H159" s="141">
        <v>8.5874579702428591</v>
      </c>
      <c r="I159" s="141">
        <v>8.546159183540583</v>
      </c>
      <c r="J159" s="141">
        <v>8.4267994835927738</v>
      </c>
      <c r="K159" s="141">
        <v>8.2998602030532496</v>
      </c>
      <c r="L159" s="141">
        <v>8.528020211648446</v>
      </c>
      <c r="M159" s="141">
        <v>8.5387339651094258</v>
      </c>
      <c r="N159" s="141">
        <v>8.0004639479437767</v>
      </c>
      <c r="O159" s="141">
        <v>7.7983317498569127</v>
      </c>
      <c r="P159" s="141">
        <v>7.4953354946015995</v>
      </c>
      <c r="Q159" s="141">
        <v>7.0227056637042393</v>
      </c>
      <c r="R159" s="141">
        <v>6.943330666848639</v>
      </c>
      <c r="S159" s="141">
        <v>6.7481544976553351</v>
      </c>
      <c r="T159" s="141">
        <v>6.7620597033856358</v>
      </c>
      <c r="U159" s="141">
        <v>6.778924884608502</v>
      </c>
      <c r="V159" s="141">
        <v>6.5388324290445397</v>
      </c>
      <c r="W159" s="141">
        <v>6.4731292520296133</v>
      </c>
      <c r="DA159" s="174" t="s">
        <v>899</v>
      </c>
    </row>
    <row r="160" spans="1:105" ht="11.45" customHeight="1" x14ac:dyDescent="0.25">
      <c r="A160" s="111" t="s">
        <v>110</v>
      </c>
      <c r="B160" s="96">
        <v>8.8058919071594648</v>
      </c>
      <c r="C160" s="96">
        <v>8.7579518366287541</v>
      </c>
      <c r="D160" s="96">
        <v>8.7049911292671727</v>
      </c>
      <c r="E160" s="96">
        <v>8.5960329767365771</v>
      </c>
      <c r="F160" s="96">
        <v>8.58412896453145</v>
      </c>
      <c r="G160" s="96">
        <v>8.4684899888245067</v>
      </c>
      <c r="H160" s="96">
        <v>8.29770385453463</v>
      </c>
      <c r="I160" s="96">
        <v>8.1759914032128265</v>
      </c>
      <c r="J160" s="96">
        <v>7.7790290370255484</v>
      </c>
      <c r="K160" s="96">
        <v>7.3508490061778886</v>
      </c>
      <c r="L160" s="96">
        <v>7.0834946096117308</v>
      </c>
      <c r="M160" s="96">
        <v>6.8009548036031724</v>
      </c>
      <c r="N160" s="96">
        <v>6.6458468862470923</v>
      </c>
      <c r="O160" s="96">
        <v>6.8523885189396809</v>
      </c>
      <c r="P160" s="96">
        <v>7.0650476255322134</v>
      </c>
      <c r="Q160" s="96">
        <v>5.8450537459321525</v>
      </c>
      <c r="R160" s="96">
        <v>5.6354988399766732</v>
      </c>
      <c r="S160" s="96">
        <v>5.5923874509613327</v>
      </c>
      <c r="T160" s="96">
        <v>5.556374175173036</v>
      </c>
      <c r="U160" s="96">
        <v>5.5150540007710172</v>
      </c>
      <c r="V160" s="96">
        <v>5.6139093772781035</v>
      </c>
      <c r="W160" s="96">
        <v>5.5697296097331979</v>
      </c>
      <c r="DA160" s="171" t="s">
        <v>900</v>
      </c>
    </row>
    <row r="161" spans="1:105" ht="11.45" customHeight="1" x14ac:dyDescent="0.25">
      <c r="A161" s="111" t="s">
        <v>111</v>
      </c>
      <c r="B161" s="96">
        <v>8.5645347847331816</v>
      </c>
      <c r="C161" s="96">
        <v>8.5602798053304152</v>
      </c>
      <c r="D161" s="96">
        <v>8.5555545296965558</v>
      </c>
      <c r="E161" s="96">
        <v>8.5750462916862347</v>
      </c>
      <c r="F161" s="96">
        <v>8.5184906489434553</v>
      </c>
      <c r="G161" s="96">
        <v>8.5438890054754566</v>
      </c>
      <c r="H161" s="96">
        <v>8.5986726698555387</v>
      </c>
      <c r="I161" s="96">
        <v>8.5195243029883638</v>
      </c>
      <c r="J161" s="96">
        <v>8.1351526631464601</v>
      </c>
      <c r="K161" s="96">
        <v>7.8154582335430307</v>
      </c>
      <c r="L161" s="96">
        <v>7.5152555659292801</v>
      </c>
      <c r="M161" s="96">
        <v>7.4889978552773799</v>
      </c>
      <c r="N161" s="96">
        <v>7.4370536821681457</v>
      </c>
      <c r="O161" s="96">
        <v>7.2678836969947254</v>
      </c>
      <c r="P161" s="96">
        <v>7.115632064003762</v>
      </c>
      <c r="Q161" s="96">
        <v>6.6146344051904808</v>
      </c>
      <c r="R161" s="96">
        <v>6.5222674792820907</v>
      </c>
      <c r="S161" s="96">
        <v>6.2112168857737915</v>
      </c>
      <c r="T161" s="96">
        <v>6.3583322509922207</v>
      </c>
      <c r="U161" s="96">
        <v>6.2637722629795212</v>
      </c>
      <c r="V161" s="96">
        <v>6.760675593074045</v>
      </c>
      <c r="W161" s="96">
        <v>6.6443599128299082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6.4099052044589619</v>
      </c>
      <c r="S162" s="96">
        <v>5.6785737381784092</v>
      </c>
      <c r="T162" s="96">
        <v>5.6785737381784092</v>
      </c>
      <c r="U162" s="96">
        <v>6.1517882163599431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7.1676071396739971</v>
      </c>
      <c r="O163" s="96">
        <v>7.1162338760070192</v>
      </c>
      <c r="P163" s="96">
        <v>8.6215910420854254</v>
      </c>
      <c r="Q163" s="96">
        <v>6.5597078933962143</v>
      </c>
      <c r="R163" s="96">
        <v>0</v>
      </c>
      <c r="S163" s="96">
        <v>5.3371754070052626</v>
      </c>
      <c r="T163" s="96">
        <v>5.4284091746463794</v>
      </c>
      <c r="U163" s="96">
        <v>5.7050535023323441</v>
      </c>
      <c r="V163" s="96">
        <v>5.9605036591531952</v>
      </c>
      <c r="W163" s="96">
        <v>7.493204600078303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1.1248227778002144</v>
      </c>
      <c r="J164" s="96">
        <v>0</v>
      </c>
      <c r="K164" s="96">
        <v>0</v>
      </c>
      <c r="L164" s="96">
        <v>0</v>
      </c>
      <c r="M164" s="96">
        <v>0</v>
      </c>
      <c r="N164" s="96">
        <v>1.0752054238138422</v>
      </c>
      <c r="O164" s="96">
        <v>1.0748065348237317</v>
      </c>
      <c r="P164" s="96">
        <v>1.5108709003807885</v>
      </c>
      <c r="Q164" s="96">
        <v>1.3757523645743766</v>
      </c>
      <c r="R164" s="96">
        <v>1.3614216107767265</v>
      </c>
      <c r="S164" s="96">
        <v>2.0634328000182762</v>
      </c>
      <c r="T164" s="96">
        <v>2.2269991401547724</v>
      </c>
      <c r="U164" s="96">
        <v>1.418744625967326</v>
      </c>
      <c r="V164" s="96">
        <v>2.466432965143198</v>
      </c>
      <c r="W164" s="96">
        <v>2.457314826188429</v>
      </c>
      <c r="DA164" s="171" t="s">
        <v>904</v>
      </c>
    </row>
    <row r="165" spans="1:105" ht="11.45" customHeight="1" x14ac:dyDescent="0.25">
      <c r="A165" s="109" t="s">
        <v>158</v>
      </c>
      <c r="B165" s="130">
        <v>31.193468641868211</v>
      </c>
      <c r="C165" s="130">
        <v>31.200951625631767</v>
      </c>
      <c r="D165" s="130">
        <v>30.552216441349906</v>
      </c>
      <c r="E165" s="130">
        <v>30.305760251972544</v>
      </c>
      <c r="F165" s="130">
        <v>30.301535829756503</v>
      </c>
      <c r="G165" s="130">
        <v>29.989201912264747</v>
      </c>
      <c r="H165" s="130">
        <v>29.650245423397358</v>
      </c>
      <c r="I165" s="130">
        <v>29.348228991550044</v>
      </c>
      <c r="J165" s="130">
        <v>28.818689031681078</v>
      </c>
      <c r="K165" s="130">
        <v>28.326325505017131</v>
      </c>
      <c r="L165" s="130">
        <v>28.691428571355363</v>
      </c>
      <c r="M165" s="130">
        <v>27.901221344148709</v>
      </c>
      <c r="N165" s="130">
        <v>27.154458715274242</v>
      </c>
      <c r="O165" s="130">
        <v>27.837772076605678</v>
      </c>
      <c r="P165" s="130">
        <v>25.936302679786113</v>
      </c>
      <c r="Q165" s="130">
        <v>25.6785060091905</v>
      </c>
      <c r="R165" s="130">
        <v>23.972170593944025</v>
      </c>
      <c r="S165" s="130">
        <v>22.897752299518139</v>
      </c>
      <c r="T165" s="130">
        <v>22.079535924806923</v>
      </c>
      <c r="U165" s="130">
        <v>20.572872592973972</v>
      </c>
      <c r="V165" s="130">
        <v>20.934431087752035</v>
      </c>
      <c r="W165" s="130">
        <v>19.653908247787729</v>
      </c>
      <c r="DA165" s="176" t="s">
        <v>905</v>
      </c>
    </row>
    <row r="166" spans="1:105" ht="11.45" customHeight="1" x14ac:dyDescent="0.25">
      <c r="A166" s="128" t="s">
        <v>27</v>
      </c>
      <c r="B166" s="97">
        <v>30.760080465221883</v>
      </c>
      <c r="C166" s="97">
        <v>30.618556700969961</v>
      </c>
      <c r="D166" s="97">
        <v>30.462071621022645</v>
      </c>
      <c r="E166" s="97">
        <v>30.267218569019974</v>
      </c>
      <c r="F166" s="97">
        <v>30.034492670237089</v>
      </c>
      <c r="G166" s="97">
        <v>29.764481111522272</v>
      </c>
      <c r="H166" s="97">
        <v>29.457859479616104</v>
      </c>
      <c r="I166" s="97">
        <v>29.115387599837305</v>
      </c>
      <c r="J166" s="97">
        <v>28.737904922116556</v>
      </c>
      <c r="K166" s="97">
        <v>28.326325505017131</v>
      </c>
      <c r="L166" s="97">
        <v>27.881632652989762</v>
      </c>
      <c r="M166" s="97">
        <v>27.404873262969264</v>
      </c>
      <c r="N166" s="97">
        <v>26.897151938594412</v>
      </c>
      <c r="O166" s="97">
        <v>26.359624931014157</v>
      </c>
      <c r="P166" s="97">
        <v>25.793493963856609</v>
      </c>
      <c r="Q166" s="97">
        <v>25.19999999994652</v>
      </c>
      <c r="R166" s="97">
        <v>23.785157780216021</v>
      </c>
      <c r="S166" s="97">
        <v>22.79476822640467</v>
      </c>
      <c r="T166" s="97">
        <v>21.754859194902753</v>
      </c>
      <c r="U166" s="97">
        <v>20.483859267511519</v>
      </c>
      <c r="V166" s="97">
        <v>19.92422781422497</v>
      </c>
      <c r="W166" s="97">
        <v>19.650172017585987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137.82864344607432</v>
      </c>
      <c r="C171" s="152">
        <v>137.34183222197069</v>
      </c>
      <c r="D171" s="152">
        <v>135.95640268615227</v>
      </c>
      <c r="E171" s="152">
        <v>134.03034139868208</v>
      </c>
      <c r="F171" s="152">
        <v>132.11622357524141</v>
      </c>
      <c r="G171" s="152">
        <v>130.19198990756198</v>
      </c>
      <c r="H171" s="152">
        <v>126.99916104764546</v>
      </c>
      <c r="I171" s="152">
        <v>124.59294015125053</v>
      </c>
      <c r="J171" s="152">
        <v>121.38209721545941</v>
      </c>
      <c r="K171" s="152">
        <v>119.77657259151634</v>
      </c>
      <c r="L171" s="152">
        <v>117.92401436709866</v>
      </c>
      <c r="M171" s="152">
        <v>113.54638109151091</v>
      </c>
      <c r="N171" s="152">
        <v>105.2164979889678</v>
      </c>
      <c r="O171" s="152">
        <v>102.93096621445353</v>
      </c>
      <c r="P171" s="152">
        <v>100.50357219622167</v>
      </c>
      <c r="Q171" s="152">
        <v>98.705513216285084</v>
      </c>
      <c r="R171" s="152">
        <v>96.481147680365552</v>
      </c>
      <c r="S171" s="152">
        <v>94.51738615727632</v>
      </c>
      <c r="T171" s="152">
        <v>93.182338677668966</v>
      </c>
      <c r="U171" s="152">
        <v>91.911444045593839</v>
      </c>
      <c r="V171" s="152">
        <v>90.349883549186004</v>
      </c>
      <c r="W171" s="152">
        <v>83.705763747894764</v>
      </c>
      <c r="DA171" s="174" t="s">
        <v>908</v>
      </c>
    </row>
    <row r="172" spans="1:105" ht="11.45" customHeight="1" x14ac:dyDescent="0.25">
      <c r="A172" s="109" t="s">
        <v>20</v>
      </c>
      <c r="B172" s="116">
        <v>272.19794122401123</v>
      </c>
      <c r="C172" s="116">
        <v>266.96467684475442</v>
      </c>
      <c r="D172" s="116">
        <v>261.43840369965511</v>
      </c>
      <c r="E172" s="116">
        <v>258.9174724361016</v>
      </c>
      <c r="F172" s="116">
        <v>257.04929543790053</v>
      </c>
      <c r="G172" s="116">
        <v>254.68663500020048</v>
      </c>
      <c r="H172" s="116">
        <v>250.46324679417407</v>
      </c>
      <c r="I172" s="116">
        <v>247.0143395827005</v>
      </c>
      <c r="J172" s="116">
        <v>242.51386741234708</v>
      </c>
      <c r="K172" s="116">
        <v>239.09694834938162</v>
      </c>
      <c r="L172" s="116">
        <v>239.25844963985588</v>
      </c>
      <c r="M172" s="116">
        <v>236.73375567706915</v>
      </c>
      <c r="N172" s="116">
        <v>233.05219697123459</v>
      </c>
      <c r="O172" s="116">
        <v>228.6694807361207</v>
      </c>
      <c r="P172" s="116">
        <v>224.15087889854948</v>
      </c>
      <c r="Q172" s="116">
        <v>219.09876060064303</v>
      </c>
      <c r="R172" s="116">
        <v>213.92111760914889</v>
      </c>
      <c r="S172" s="116">
        <v>208.22378242793408</v>
      </c>
      <c r="T172" s="116">
        <v>202.16030797421035</v>
      </c>
      <c r="U172" s="116">
        <v>196.27691172496952</v>
      </c>
      <c r="V172" s="116">
        <v>189.46721871224571</v>
      </c>
      <c r="W172" s="116">
        <v>185.4155283458046</v>
      </c>
      <c r="DA172" s="176" t="s">
        <v>909</v>
      </c>
    </row>
    <row r="173" spans="1:105" ht="11.45" customHeight="1" x14ac:dyDescent="0.25">
      <c r="A173" s="111" t="s">
        <v>110</v>
      </c>
      <c r="B173" s="87">
        <v>269.70677677315888</v>
      </c>
      <c r="C173" s="87">
        <v>265.34987187947939</v>
      </c>
      <c r="D173" s="87">
        <v>262.90570935353827</v>
      </c>
      <c r="E173" s="87">
        <v>259.64076987693664</v>
      </c>
      <c r="F173" s="87">
        <v>256.88407482391676</v>
      </c>
      <c r="G173" s="87">
        <v>254.37279751908159</v>
      </c>
      <c r="H173" s="87">
        <v>251.21892403420674</v>
      </c>
      <c r="I173" s="87">
        <v>247.80185505998156</v>
      </c>
      <c r="J173" s="87">
        <v>244.93403744527993</v>
      </c>
      <c r="K173" s="87">
        <v>242.26040674140816</v>
      </c>
      <c r="L173" s="87">
        <v>240.52120876306176</v>
      </c>
      <c r="M173" s="87">
        <v>237.04566156683921</v>
      </c>
      <c r="N173" s="87">
        <v>233.34336845359275</v>
      </c>
      <c r="O173" s="87">
        <v>228.90076530141639</v>
      </c>
      <c r="P173" s="87">
        <v>224.73676325014881</v>
      </c>
      <c r="Q173" s="87">
        <v>219.30907435974675</v>
      </c>
      <c r="R173" s="87">
        <v>213.96839792411993</v>
      </c>
      <c r="S173" s="87">
        <v>207.21527745063491</v>
      </c>
      <c r="T173" s="87">
        <v>200.65203545141628</v>
      </c>
      <c r="U173" s="87">
        <v>195.84419248749904</v>
      </c>
      <c r="V173" s="87">
        <v>190.40997393025836</v>
      </c>
      <c r="W173" s="87">
        <v>184.1991019637951</v>
      </c>
      <c r="DA173" s="171" t="s">
        <v>910</v>
      </c>
    </row>
    <row r="174" spans="1:105" ht="11.45" customHeight="1" x14ac:dyDescent="0.25">
      <c r="A174" s="111" t="s">
        <v>111</v>
      </c>
      <c r="B174" s="87">
        <v>244.86922697634054</v>
      </c>
      <c r="C174" s="87">
        <v>232.72689002333641</v>
      </c>
      <c r="D174" s="87">
        <v>230.36384892331316</v>
      </c>
      <c r="E174" s="87">
        <v>227.24667055061664</v>
      </c>
      <c r="F174" s="87">
        <v>224.08514090874866</v>
      </c>
      <c r="G174" s="87">
        <v>221.42503632111485</v>
      </c>
      <c r="H174" s="87">
        <v>219.96846629183096</v>
      </c>
      <c r="I174" s="87">
        <v>218.65456828755418</v>
      </c>
      <c r="J174" s="87">
        <v>217.59042431140847</v>
      </c>
      <c r="K174" s="87">
        <v>216.38823078959695</v>
      </c>
      <c r="L174" s="87">
        <v>215.65222580090258</v>
      </c>
      <c r="M174" s="87">
        <v>214.8181515498367</v>
      </c>
      <c r="N174" s="87">
        <v>213.75672508921451</v>
      </c>
      <c r="O174" s="87">
        <v>211.17620899571094</v>
      </c>
      <c r="P174" s="87">
        <v>208.22074504183286</v>
      </c>
      <c r="Q174" s="87">
        <v>204.92663080031221</v>
      </c>
      <c r="R174" s="87">
        <v>202.06825148594041</v>
      </c>
      <c r="S174" s="87">
        <v>199.55175900473125</v>
      </c>
      <c r="T174" s="87">
        <v>196.57495347759024</v>
      </c>
      <c r="U174" s="87">
        <v>193.52211532489957</v>
      </c>
      <c r="V174" s="87">
        <v>191.05568928342797</v>
      </c>
      <c r="W174" s="87">
        <v>187.42611653000066</v>
      </c>
      <c r="DA174" s="171" t="s">
        <v>911</v>
      </c>
    </row>
    <row r="175" spans="1:105" ht="11.45" customHeight="1" x14ac:dyDescent="0.25">
      <c r="A175" s="111" t="s">
        <v>112</v>
      </c>
      <c r="B175" s="87">
        <v>220.5825369732585</v>
      </c>
      <c r="C175" s="87">
        <v>218.83449227748287</v>
      </c>
      <c r="D175" s="87">
        <v>216.18406484105392</v>
      </c>
      <c r="E175" s="87">
        <v>212.98803888732027</v>
      </c>
      <c r="F175" s="87">
        <v>212.20720490147062</v>
      </c>
      <c r="G175" s="87">
        <v>211.69803495951078</v>
      </c>
      <c r="H175" s="87">
        <v>212.96788609402554</v>
      </c>
      <c r="I175" s="87">
        <v>212.33532725638952</v>
      </c>
      <c r="J175" s="87">
        <v>215.81337843239757</v>
      </c>
      <c r="K175" s="87">
        <v>216.90511215754546</v>
      </c>
      <c r="L175" s="87">
        <v>216.90511215754549</v>
      </c>
      <c r="M175" s="87">
        <v>216.97417088325204</v>
      </c>
      <c r="N175" s="87">
        <v>215.93029596573334</v>
      </c>
      <c r="O175" s="87">
        <v>213.74478272541853</v>
      </c>
      <c r="P175" s="87">
        <v>209.3140768372628</v>
      </c>
      <c r="Q175" s="87">
        <v>205.90751592777369</v>
      </c>
      <c r="R175" s="87">
        <v>199.84880297614654</v>
      </c>
      <c r="S175" s="87">
        <v>194.01707864442031</v>
      </c>
      <c r="T175" s="87">
        <v>187.7708259792085</v>
      </c>
      <c r="U175" s="87">
        <v>180.63490512818916</v>
      </c>
      <c r="V175" s="87">
        <v>176.33159760778162</v>
      </c>
      <c r="W175" s="87">
        <v>173.90351788371322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180.44414457831326</v>
      </c>
      <c r="M176" s="87">
        <v>186.31929166814692</v>
      </c>
      <c r="N176" s="87">
        <v>188.66890234151245</v>
      </c>
      <c r="O176" s="87">
        <v>186.01669230447504</v>
      </c>
      <c r="P176" s="87">
        <v>183.95289642991807</v>
      </c>
      <c r="Q176" s="87">
        <v>167.64985544099258</v>
      </c>
      <c r="R176" s="87">
        <v>141.67534178633687</v>
      </c>
      <c r="S176" s="87">
        <v>145.13225125482953</v>
      </c>
      <c r="T176" s="87">
        <v>141.38606258218795</v>
      </c>
      <c r="U176" s="87">
        <v>121.96313864283337</v>
      </c>
      <c r="V176" s="87">
        <v>115.99104990591211</v>
      </c>
      <c r="W176" s="87">
        <v>112.90005122927165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0</v>
      </c>
      <c r="P177" s="87">
        <v>58.423574494175362</v>
      </c>
      <c r="Q177" s="87">
        <v>65.834949981871233</v>
      </c>
      <c r="R177" s="87">
        <v>65.554142712440523</v>
      </c>
      <c r="S177" s="87">
        <v>60.549657458226164</v>
      </c>
      <c r="T177" s="87">
        <v>61.43386764744038</v>
      </c>
      <c r="U177" s="87">
        <v>62.326348302725556</v>
      </c>
      <c r="V177" s="87">
        <v>62.279833187463055</v>
      </c>
      <c r="W177" s="87">
        <v>47.964641852457611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1183.3296888375321</v>
      </c>
      <c r="C179" s="116">
        <v>1198.0315125132784</v>
      </c>
      <c r="D179" s="116">
        <v>1226.8690756826259</v>
      </c>
      <c r="E179" s="116">
        <v>1262.528657136131</v>
      </c>
      <c r="F179" s="116">
        <v>1277.3894960833841</v>
      </c>
      <c r="G179" s="116">
        <v>1316.2982627378813</v>
      </c>
      <c r="H179" s="116">
        <v>1308.8999152338913</v>
      </c>
      <c r="I179" s="116">
        <v>1354.9001970762454</v>
      </c>
      <c r="J179" s="116">
        <v>1379.9362106937335</v>
      </c>
      <c r="K179" s="116">
        <v>1399.5650021977144</v>
      </c>
      <c r="L179" s="116">
        <v>1123.012925394843</v>
      </c>
      <c r="M179" s="116">
        <v>1376.08797809476</v>
      </c>
      <c r="N179" s="116">
        <v>1372.2714212107749</v>
      </c>
      <c r="O179" s="116">
        <v>1362.0452068177467</v>
      </c>
      <c r="P179" s="116">
        <v>1348.5019261495786</v>
      </c>
      <c r="Q179" s="116">
        <v>1337.7902025851558</v>
      </c>
      <c r="R179" s="116">
        <v>1327.1926766677811</v>
      </c>
      <c r="S179" s="116">
        <v>1307.6635183692295</v>
      </c>
      <c r="T179" s="116">
        <v>1294.0842088769271</v>
      </c>
      <c r="U179" s="116">
        <v>1269.3571122118772</v>
      </c>
      <c r="V179" s="116">
        <v>1224.585424668797</v>
      </c>
      <c r="W179" s="116">
        <v>1204.2466662150446</v>
      </c>
      <c r="DA179" s="176" t="s">
        <v>916</v>
      </c>
    </row>
    <row r="180" spans="1:105" ht="11.45" customHeight="1" x14ac:dyDescent="0.25">
      <c r="A180" s="111" t="s">
        <v>110</v>
      </c>
      <c r="B180" s="101">
        <v>563.22216015260892</v>
      </c>
      <c r="C180" s="101">
        <v>563.22216015260892</v>
      </c>
      <c r="D180" s="101">
        <v>563.22216015260892</v>
      </c>
      <c r="E180" s="101">
        <v>563.22216015260892</v>
      </c>
      <c r="F180" s="101">
        <v>563.22216015260915</v>
      </c>
      <c r="G180" s="101">
        <v>563.22216015260904</v>
      </c>
      <c r="H180" s="101">
        <v>563.22216015260892</v>
      </c>
      <c r="I180" s="101">
        <v>563.22216015260904</v>
      </c>
      <c r="J180" s="101">
        <v>563.22216015260892</v>
      </c>
      <c r="K180" s="101">
        <v>563.22216015260881</v>
      </c>
      <c r="L180" s="101">
        <v>563.22216015260892</v>
      </c>
      <c r="M180" s="101">
        <v>563.22216015260892</v>
      </c>
      <c r="N180" s="101">
        <v>563.22216015260892</v>
      </c>
      <c r="O180" s="101">
        <v>563.22216015260904</v>
      </c>
      <c r="P180" s="101">
        <v>563.22216015260904</v>
      </c>
      <c r="Q180" s="101">
        <v>563.22216015260904</v>
      </c>
      <c r="R180" s="101">
        <v>563.22216015260881</v>
      </c>
      <c r="S180" s="101">
        <v>560.48718231241889</v>
      </c>
      <c r="T180" s="101">
        <v>560.48718231241889</v>
      </c>
      <c r="U180" s="101">
        <v>540.57021982628839</v>
      </c>
      <c r="V180" s="101">
        <v>540.09607709175896</v>
      </c>
      <c r="W180" s="101">
        <v>536.90205346432936</v>
      </c>
      <c r="DA180" s="175" t="s">
        <v>917</v>
      </c>
    </row>
    <row r="181" spans="1:105" ht="11.45" customHeight="1" x14ac:dyDescent="0.25">
      <c r="A181" s="111" t="s">
        <v>111</v>
      </c>
      <c r="B181" s="101">
        <v>1615.1398677616971</v>
      </c>
      <c r="C181" s="101">
        <v>1567.2896331117754</v>
      </c>
      <c r="D181" s="101">
        <v>1543.4441240837675</v>
      </c>
      <c r="E181" s="101">
        <v>1519.980672800164</v>
      </c>
      <c r="F181" s="101">
        <v>1505.3591519560323</v>
      </c>
      <c r="G181" s="101">
        <v>1490.3112129065937</v>
      </c>
      <c r="H181" s="101">
        <v>1480.3214064953629</v>
      </c>
      <c r="I181" s="101">
        <v>1467.499429965528</v>
      </c>
      <c r="J181" s="101">
        <v>1465.1151913285098</v>
      </c>
      <c r="K181" s="101">
        <v>1461.4997172578767</v>
      </c>
      <c r="L181" s="101">
        <v>1449.9411710700729</v>
      </c>
      <c r="M181" s="101">
        <v>1442.277859987815</v>
      </c>
      <c r="N181" s="101">
        <v>1428.7120962529843</v>
      </c>
      <c r="O181" s="101">
        <v>1416.1244429195085</v>
      </c>
      <c r="P181" s="101">
        <v>1404.6475306187019</v>
      </c>
      <c r="Q181" s="101">
        <v>1392.143186634743</v>
      </c>
      <c r="R181" s="101">
        <v>1383.038065342176</v>
      </c>
      <c r="S181" s="101">
        <v>1371.3179858731012</v>
      </c>
      <c r="T181" s="101">
        <v>1363.4023830654585</v>
      </c>
      <c r="U181" s="101">
        <v>1352.4717303013208</v>
      </c>
      <c r="V181" s="101">
        <v>1343.458775885051</v>
      </c>
      <c r="W181" s="101">
        <v>1339.1265544132925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924.93619880499591</v>
      </c>
      <c r="U182" s="101">
        <v>924.9361988049958</v>
      </c>
      <c r="V182" s="101">
        <v>924.93619880499591</v>
      </c>
      <c r="W182" s="101">
        <v>924.9361988049958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885.48618947417015</v>
      </c>
      <c r="M183" s="101">
        <v>878.91686730595666</v>
      </c>
      <c r="N183" s="101">
        <v>877.92480210130157</v>
      </c>
      <c r="O183" s="101">
        <v>870.81897451005</v>
      </c>
      <c r="P183" s="101">
        <v>861.8336099788886</v>
      </c>
      <c r="Q183" s="101">
        <v>855.03244150835769</v>
      </c>
      <c r="R183" s="101">
        <v>849.25667521877858</v>
      </c>
      <c r="S183" s="101">
        <v>842.7276551832083</v>
      </c>
      <c r="T183" s="101">
        <v>837.78884084656363</v>
      </c>
      <c r="U183" s="101">
        <v>828.02498798294857</v>
      </c>
      <c r="V183" s="101">
        <v>822.46024911417294</v>
      </c>
      <c r="W183" s="101">
        <v>819.10218106868456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294.27288389270564</v>
      </c>
      <c r="C186" s="152">
        <v>290.93431628138131</v>
      </c>
      <c r="D186" s="152">
        <v>289.98917906323595</v>
      </c>
      <c r="E186" s="152">
        <v>291.03231143421283</v>
      </c>
      <c r="F186" s="152">
        <v>287.26211484052914</v>
      </c>
      <c r="G186" s="152">
        <v>284.91136203283025</v>
      </c>
      <c r="H186" s="152">
        <v>284.46935221330756</v>
      </c>
      <c r="I186" s="152">
        <v>280.86258423043506</v>
      </c>
      <c r="J186" s="152">
        <v>263.18364558160607</v>
      </c>
      <c r="K186" s="152">
        <v>252.90884744862456</v>
      </c>
      <c r="L186" s="152">
        <v>236.41924640832426</v>
      </c>
      <c r="M186" s="152">
        <v>231.40376479671042</v>
      </c>
      <c r="N186" s="152">
        <v>241.55926735911905</v>
      </c>
      <c r="O186" s="152">
        <v>241.85006589613135</v>
      </c>
      <c r="P186" s="152">
        <v>241.86879174936996</v>
      </c>
      <c r="Q186" s="152">
        <v>230.11908169053481</v>
      </c>
      <c r="R186" s="152">
        <v>224.24332465723421</v>
      </c>
      <c r="S186" s="152">
        <v>215.51801796586773</v>
      </c>
      <c r="T186" s="152">
        <v>215.88599504524586</v>
      </c>
      <c r="U186" s="152">
        <v>208.20758050335047</v>
      </c>
      <c r="V186" s="152">
        <v>226.64093261784245</v>
      </c>
      <c r="W186" s="152">
        <v>224.27796799099073</v>
      </c>
      <c r="DA186" s="174" t="s">
        <v>922</v>
      </c>
    </row>
    <row r="187" spans="1:105" ht="11.45" customHeight="1" x14ac:dyDescent="0.25">
      <c r="A187" s="111" t="s">
        <v>110</v>
      </c>
      <c r="B187" s="87">
        <v>286.59201495037001</v>
      </c>
      <c r="C187" s="87">
        <v>284.44192880248607</v>
      </c>
      <c r="D187" s="87">
        <v>282.77204322992242</v>
      </c>
      <c r="E187" s="87">
        <v>281.15315759563549</v>
      </c>
      <c r="F187" s="87">
        <v>279.04164617407588</v>
      </c>
      <c r="G187" s="87">
        <v>276.34058810786593</v>
      </c>
      <c r="H187" s="87">
        <v>273.44361015827587</v>
      </c>
      <c r="I187" s="87">
        <v>270.44251794576047</v>
      </c>
      <c r="J187" s="87">
        <v>264.5994673168268</v>
      </c>
      <c r="K187" s="87">
        <v>259.49582874906844</v>
      </c>
      <c r="L187" s="87">
        <v>256.16941584288338</v>
      </c>
      <c r="M187" s="87">
        <v>252.67541747181346</v>
      </c>
      <c r="N187" s="87">
        <v>247.56911775228522</v>
      </c>
      <c r="O187" s="87">
        <v>243.05704620807333</v>
      </c>
      <c r="P187" s="87">
        <v>239.53050377609031</v>
      </c>
      <c r="Q187" s="87">
        <v>232.3995332634141</v>
      </c>
      <c r="R187" s="87">
        <v>225.16151495160929</v>
      </c>
      <c r="S187" s="87">
        <v>219.18897893141781</v>
      </c>
      <c r="T187" s="87">
        <v>213.60453796106412</v>
      </c>
      <c r="U187" s="87">
        <v>209.57408075030909</v>
      </c>
      <c r="V187" s="87">
        <v>203.63744274081921</v>
      </c>
      <c r="W187" s="87">
        <v>198.32399899812742</v>
      </c>
      <c r="DA187" s="171" t="s">
        <v>923</v>
      </c>
    </row>
    <row r="188" spans="1:105" ht="11.45" customHeight="1" x14ac:dyDescent="0.25">
      <c r="A188" s="111" t="s">
        <v>111</v>
      </c>
      <c r="B188" s="87">
        <v>299.52595891097491</v>
      </c>
      <c r="C188" s="87">
        <v>297.18311458070144</v>
      </c>
      <c r="D188" s="87">
        <v>295.67900291275862</v>
      </c>
      <c r="E188" s="87">
        <v>293.47844254912371</v>
      </c>
      <c r="F188" s="87">
        <v>291.21975395122149</v>
      </c>
      <c r="G188" s="87">
        <v>288.61603227168581</v>
      </c>
      <c r="H188" s="87">
        <v>285.29704566157181</v>
      </c>
      <c r="I188" s="87">
        <v>281.41433815779567</v>
      </c>
      <c r="J188" s="87">
        <v>278.12471995849415</v>
      </c>
      <c r="K188" s="87">
        <v>274.16841018438203</v>
      </c>
      <c r="L188" s="87">
        <v>271.43240482508469</v>
      </c>
      <c r="M188" s="87">
        <v>269.38184760798561</v>
      </c>
      <c r="N188" s="87">
        <v>264.99013412929241</v>
      </c>
      <c r="O188" s="87">
        <v>260.521869537312</v>
      </c>
      <c r="P188" s="87">
        <v>255.01863101187593</v>
      </c>
      <c r="Q188" s="87">
        <v>248.69148663973758</v>
      </c>
      <c r="R188" s="87">
        <v>243.60171729746483</v>
      </c>
      <c r="S188" s="87">
        <v>238.03347428783133</v>
      </c>
      <c r="T188" s="87">
        <v>233.60596051959689</v>
      </c>
      <c r="U188" s="87">
        <v>229.26433707495102</v>
      </c>
      <c r="V188" s="87">
        <v>225.44981948350937</v>
      </c>
      <c r="W188" s="87">
        <v>222.63786224455342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169.34141390428167</v>
      </c>
      <c r="S189" s="87">
        <v>151.45711759962765</v>
      </c>
      <c r="T189" s="87">
        <v>150.02058144540385</v>
      </c>
      <c r="U189" s="87">
        <v>153.14531100865247</v>
      </c>
      <c r="V189" s="87">
        <v>153.29750262489557</v>
      </c>
      <c r="W189" s="87">
        <v>153.29750262489557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168.35238378109159</v>
      </c>
      <c r="O190" s="87">
        <v>167.16998023450549</v>
      </c>
      <c r="P190" s="87">
        <v>174.92486737689359</v>
      </c>
      <c r="Q190" s="87">
        <v>168.4005807081835</v>
      </c>
      <c r="R190" s="87">
        <v>168.41477010744404</v>
      </c>
      <c r="S190" s="87">
        <v>145.61582088675746</v>
      </c>
      <c r="T190" s="87">
        <v>141.01777572520083</v>
      </c>
      <c r="U190" s="87">
        <v>139.48811021503741</v>
      </c>
      <c r="V190" s="87">
        <v>139.48565417090225</v>
      </c>
      <c r="W190" s="87">
        <v>139.58887813827494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1008.770982264092</v>
      </c>
      <c r="C192" s="116">
        <v>1008.4279433861007</v>
      </c>
      <c r="D192" s="116">
        <v>991.09512414304379</v>
      </c>
      <c r="E192" s="116">
        <v>972.13893475728923</v>
      </c>
      <c r="F192" s="116">
        <v>963.62111491015935</v>
      </c>
      <c r="G192" s="116">
        <v>958.77532737785032</v>
      </c>
      <c r="H192" s="116">
        <v>951.80467804864907</v>
      </c>
      <c r="I192" s="116">
        <v>941.71931362800717</v>
      </c>
      <c r="J192" s="116">
        <v>934.56909094397577</v>
      </c>
      <c r="K192" s="116">
        <v>927.7972283807178</v>
      </c>
      <c r="L192" s="116">
        <v>925.22786563144314</v>
      </c>
      <c r="M192" s="116">
        <v>920.06852910128111</v>
      </c>
      <c r="N192" s="116">
        <v>914.76159306845375</v>
      </c>
      <c r="O192" s="116">
        <v>910.43259762854302</v>
      </c>
      <c r="P192" s="116">
        <v>896.62185807788376</v>
      </c>
      <c r="Q192" s="116">
        <v>882.4979994519191</v>
      </c>
      <c r="R192" s="116">
        <v>861.64275863631622</v>
      </c>
      <c r="S192" s="116">
        <v>842.36451121098742</v>
      </c>
      <c r="T192" s="116">
        <v>822.70420353873124</v>
      </c>
      <c r="U192" s="116">
        <v>793.47674790782253</v>
      </c>
      <c r="V192" s="116">
        <v>777.13828787809121</v>
      </c>
      <c r="W192" s="116">
        <v>755.2707692444144</v>
      </c>
      <c r="DA192" s="176" t="s">
        <v>928</v>
      </c>
    </row>
    <row r="193" spans="1:105" ht="11.45" customHeight="1" x14ac:dyDescent="0.25">
      <c r="A193" s="128" t="s">
        <v>27</v>
      </c>
      <c r="B193" s="101">
        <v>934.24434411708205</v>
      </c>
      <c r="C193" s="101">
        <v>931.05106622937114</v>
      </c>
      <c r="D193" s="101">
        <v>917.46284624458008</v>
      </c>
      <c r="E193" s="101">
        <v>902.72148183540082</v>
      </c>
      <c r="F193" s="101">
        <v>894.41663000671554</v>
      </c>
      <c r="G193" s="101">
        <v>890.27401726305595</v>
      </c>
      <c r="H193" s="101">
        <v>884.28716622004242</v>
      </c>
      <c r="I193" s="101">
        <v>874.86160592856402</v>
      </c>
      <c r="J193" s="101">
        <v>868.73557660502718</v>
      </c>
      <c r="K193" s="101">
        <v>863.0747693841239</v>
      </c>
      <c r="L193" s="101">
        <v>860.83623653817381</v>
      </c>
      <c r="M193" s="101">
        <v>856.37857631392671</v>
      </c>
      <c r="N193" s="101">
        <v>851.80979730878857</v>
      </c>
      <c r="O193" s="101">
        <v>847.79549405279056</v>
      </c>
      <c r="P193" s="101">
        <v>834.70994769902359</v>
      </c>
      <c r="Q193" s="101">
        <v>821.59530920892109</v>
      </c>
      <c r="R193" s="101">
        <v>801.54472573804401</v>
      </c>
      <c r="S193" s="101">
        <v>783.26194015279236</v>
      </c>
      <c r="T193" s="101">
        <v>764.76912176772589</v>
      </c>
      <c r="U193" s="101">
        <v>737.24882393290886</v>
      </c>
      <c r="V193" s="101">
        <v>722.1446046418032</v>
      </c>
      <c r="W193" s="101">
        <v>701.09113648561276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1053.0995920170358</v>
      </c>
      <c r="D194" s="88">
        <v>1041.8498279946946</v>
      </c>
      <c r="E194" s="88">
        <v>1032.2466674720436</v>
      </c>
      <c r="F194" s="88">
        <v>1011.6687478863143</v>
      </c>
      <c r="G194" s="88">
        <v>1001.1411949969171</v>
      </c>
      <c r="H194" s="88">
        <v>987.55722822125085</v>
      </c>
      <c r="I194" s="88">
        <v>971.84045364255712</v>
      </c>
      <c r="J194" s="88">
        <v>964.42560310922181</v>
      </c>
      <c r="K194" s="88">
        <v>951.94673663319736</v>
      </c>
      <c r="L194" s="88">
        <v>939.84097965788146</v>
      </c>
      <c r="M194" s="88">
        <v>922.64153400079306</v>
      </c>
      <c r="N194" s="88">
        <v>914.20558979670068</v>
      </c>
      <c r="O194" s="88">
        <v>896.55155836699612</v>
      </c>
      <c r="P194" s="88">
        <v>888.04898377004361</v>
      </c>
      <c r="Q194" s="88">
        <v>866.53897290084365</v>
      </c>
      <c r="R194" s="88">
        <v>855.87934792079204</v>
      </c>
      <c r="S194" s="88">
        <v>848.34497274725913</v>
      </c>
      <c r="T194" s="88">
        <v>833.49833297151702</v>
      </c>
      <c r="U194" s="88">
        <v>823.86733795727491</v>
      </c>
      <c r="V194" s="88">
        <v>794.97933378058997</v>
      </c>
      <c r="W194" s="88">
        <v>790.59436841188938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1.1276132004067392</v>
      </c>
      <c r="D198" s="150">
        <f>IF(TrRoad_act!D59=0,0,TrRoad_emi!D56/TrRoad_tech!D171)</f>
        <v>1.1283464919304063</v>
      </c>
      <c r="E198" s="150">
        <f>IF(TrRoad_act!E59=0,0,TrRoad_emi!E56/TrRoad_tech!E171)</f>
        <v>1.1300056071038915</v>
      </c>
      <c r="F198" s="150">
        <f>IF(TrRoad_act!F59=0,0,TrRoad_emi!F56/TrRoad_tech!F171)</f>
        <v>1.1326461626635489</v>
      </c>
      <c r="G198" s="150">
        <f>IF(TrRoad_act!G59=0,0,TrRoad_emi!G56/TrRoad_tech!G171)</f>
        <v>1.1361815813779987</v>
      </c>
      <c r="H198" s="150">
        <f>IF(TrRoad_act!H59=0,0,TrRoad_emi!H56/TrRoad_tech!H171)</f>
        <v>1.1433512478544285</v>
      </c>
      <c r="I198" s="150">
        <f>IF(TrRoad_act!I59=0,0,TrRoad_emi!I56/TrRoad_tech!I171)</f>
        <v>1.1501359694486628</v>
      </c>
      <c r="J198" s="150">
        <f>IF(TrRoad_act!J59=0,0,TrRoad_emi!J56/TrRoad_tech!J171)</f>
        <v>1.1541937568295817</v>
      </c>
      <c r="K198" s="150">
        <f>IF(TrRoad_act!K59=0,0,TrRoad_emi!K56/TrRoad_tech!K171)</f>
        <v>1.1621529177139747</v>
      </c>
      <c r="L198" s="150">
        <f>IF(TrRoad_act!L59=0,0,TrRoad_emi!L56/TrRoad_tech!L171)</f>
        <v>1.149562047204032</v>
      </c>
      <c r="M198" s="150">
        <f>IF(TrRoad_act!M59=0,0,TrRoad_emi!M56/TrRoad_tech!M171)</f>
        <v>1.1632939596270506</v>
      </c>
      <c r="N198" s="150">
        <f>IF(TrRoad_act!N59=0,0,TrRoad_emi!N56/TrRoad_tech!N171)</f>
        <v>1.1922388476252497</v>
      </c>
      <c r="O198" s="150">
        <f>IF(TrRoad_act!O59=0,0,TrRoad_emi!O56/TrRoad_tech!O171)</f>
        <v>1.2033198710842807</v>
      </c>
      <c r="P198" s="150">
        <f>IF(TrRoad_act!P59=0,0,TrRoad_emi!P56/TrRoad_tech!P171)</f>
        <v>1.2040100688174251</v>
      </c>
      <c r="Q198" s="150">
        <f>IF(TrRoad_act!Q59=0,0,TrRoad_emi!Q56/TrRoad_tech!Q171)</f>
        <v>1.2250295505573536</v>
      </c>
      <c r="R198" s="150">
        <f>IF(TrRoad_act!R59=0,0,TrRoad_emi!R56/TrRoad_tech!R171)</f>
        <v>1.2389725526662567</v>
      </c>
      <c r="S198" s="150">
        <f>IF(TrRoad_act!S59=0,0,TrRoad_emi!S56/TrRoad_tech!S171)</f>
        <v>1.2537385846191615</v>
      </c>
      <c r="T198" s="150">
        <f>IF(TrRoad_act!T59=0,0,TrRoad_emi!T56/TrRoad_tech!T171)</f>
        <v>1.2439911417340139</v>
      </c>
      <c r="U198" s="150">
        <f>IF(TrRoad_act!U59=0,0,TrRoad_emi!U56/TrRoad_tech!U171)</f>
        <v>1.2418062354335155</v>
      </c>
      <c r="V198" s="150">
        <f>IF(TrRoad_act!V59=0,0,TrRoad_emi!V56/TrRoad_tech!V171)</f>
        <v>1.2512097644649651</v>
      </c>
      <c r="W198" s="150">
        <f>IF(TrRoad_act!W59=0,0,TrRoad_emi!W56/TrRoad_tech!W171)</f>
        <v>1.2634118638176588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1.0088965757234292</v>
      </c>
      <c r="C199" s="151">
        <f>IF(TrRoad_act!C60=0,0,TrRoad_emi!C57/TrRoad_tech!C172)</f>
        <v>1.0363882883320896</v>
      </c>
      <c r="D199" s="151">
        <f>IF(TrRoad_act!D60=0,0,TrRoad_emi!D57/TrRoad_tech!D172)</f>
        <v>1.075479887787244</v>
      </c>
      <c r="E199" s="151">
        <f>IF(TrRoad_act!E60=0,0,TrRoad_emi!E57/TrRoad_tech!E172)</f>
        <v>1.059446274611459</v>
      </c>
      <c r="F199" s="151">
        <f>IF(TrRoad_act!F60=0,0,TrRoad_emi!F57/TrRoad_tech!F172)</f>
        <v>1.0597301510886143</v>
      </c>
      <c r="G199" s="151">
        <f>IF(TrRoad_act!G60=0,0,TrRoad_emi!G57/TrRoad_tech!G172)</f>
        <v>1.0543475594077034</v>
      </c>
      <c r="H199" s="151">
        <f>IF(TrRoad_act!H60=0,0,TrRoad_emi!H57/TrRoad_tech!H172)</f>
        <v>1.0507756673523372</v>
      </c>
      <c r="I199" s="151">
        <f>IF(TrRoad_act!I60=0,0,TrRoad_emi!I57/TrRoad_tech!I172)</f>
        <v>1.0474901660416294</v>
      </c>
      <c r="J199" s="151">
        <f>IF(TrRoad_act!J60=0,0,TrRoad_emi!J57/TrRoad_tech!J172)</f>
        <v>1.0296052673681422</v>
      </c>
      <c r="K199" s="151">
        <f>IF(TrRoad_act!K60=0,0,TrRoad_emi!K57/TrRoad_tech!K172)</f>
        <v>0.99075959969712735</v>
      </c>
      <c r="L199" s="151">
        <f>IF(TrRoad_act!L60=0,0,TrRoad_emi!L57/TrRoad_tech!L172)</f>
        <v>0.99579376352009819</v>
      </c>
      <c r="M199" s="151">
        <f>IF(TrRoad_act!M60=0,0,TrRoad_emi!M57/TrRoad_tech!M172)</f>
        <v>1.0039597870311088</v>
      </c>
      <c r="N199" s="151">
        <f>IF(TrRoad_act!N60=0,0,TrRoad_emi!N57/TrRoad_tech!N172)</f>
        <v>1.0081342290893958</v>
      </c>
      <c r="O199" s="151">
        <f>IF(TrRoad_act!O60=0,0,TrRoad_emi!O57/TrRoad_tech!O172)</f>
        <v>0.99708162839870651</v>
      </c>
      <c r="P199" s="151">
        <f>IF(TrRoad_act!P60=0,0,TrRoad_emi!P57/TrRoad_tech!P172)</f>
        <v>0.99889167637506393</v>
      </c>
      <c r="Q199" s="151">
        <f>IF(TrRoad_act!Q60=0,0,TrRoad_emi!Q57/TrRoad_tech!Q172)</f>
        <v>0.99792171921720896</v>
      </c>
      <c r="R199" s="151">
        <f>IF(TrRoad_act!R60=0,0,TrRoad_emi!R57/TrRoad_tech!R172)</f>
        <v>0.99043430394689269</v>
      </c>
      <c r="S199" s="151">
        <f>IF(TrRoad_act!S60=0,0,TrRoad_emi!S57/TrRoad_tech!S172)</f>
        <v>0.99884863526101342</v>
      </c>
      <c r="T199" s="151">
        <f>IF(TrRoad_act!T60=0,0,TrRoad_emi!T57/TrRoad_tech!T172)</f>
        <v>0.97988922891094965</v>
      </c>
      <c r="U199" s="151">
        <f>IF(TrRoad_act!U60=0,0,TrRoad_emi!U57/TrRoad_tech!U172)</f>
        <v>0.97540428819604608</v>
      </c>
      <c r="V199" s="151">
        <f>IF(TrRoad_act!V60=0,0,TrRoad_emi!V57/TrRoad_tech!V172)</f>
        <v>0.96191493557521524</v>
      </c>
      <c r="W199" s="151">
        <f>IF(TrRoad_act!W60=0,0,TrRoad_emi!W57/TrRoad_tech!W172)</f>
        <v>0.96549950952890784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1.0272490308220852</v>
      </c>
      <c r="C200" s="91">
        <f>IF(TrRoad_act!C61=0,0,TrRoad_emi!C58/TrRoad_tech!C173)</f>
        <v>1.0277845667488088</v>
      </c>
      <c r="D200" s="91">
        <f>IF(TrRoad_act!D61=0,0,TrRoad_emi!D58/TrRoad_tech!D173)</f>
        <v>1.0276988198421602</v>
      </c>
      <c r="E200" s="91">
        <f>IF(TrRoad_act!E61=0,0,TrRoad_emi!E58/TrRoad_tech!E173)</f>
        <v>1.0278086442433831</v>
      </c>
      <c r="F200" s="91">
        <f>IF(TrRoad_act!F61=0,0,TrRoad_emi!F58/TrRoad_tech!F173)</f>
        <v>1.0276454846979313</v>
      </c>
      <c r="G200" s="91">
        <f>IF(TrRoad_act!G61=0,0,TrRoad_emi!G58/TrRoad_tech!G173)</f>
        <v>1.0281229340660445</v>
      </c>
      <c r="H200" s="91">
        <f>IF(TrRoad_act!H61=0,0,TrRoad_emi!H58/TrRoad_tech!H173)</f>
        <v>1.0290228038016189</v>
      </c>
      <c r="I200" s="91">
        <f>IF(TrRoad_act!I61=0,0,TrRoad_emi!I58/TrRoad_tech!I173)</f>
        <v>1.0301100784556507</v>
      </c>
      <c r="J200" s="91">
        <f>IF(TrRoad_act!J61=0,0,TrRoad_emi!J58/TrRoad_tech!J173)</f>
        <v>1.02606102759413</v>
      </c>
      <c r="K200" s="91">
        <f>IF(TrRoad_act!K61=0,0,TrRoad_emi!K58/TrRoad_tech!K173)</f>
        <v>1.0033496074524548</v>
      </c>
      <c r="L200" s="91">
        <f>IF(TrRoad_act!L61=0,0,TrRoad_emi!L58/TrRoad_tech!L173)</f>
        <v>0.99024364358771899</v>
      </c>
      <c r="M200" s="91">
        <f>IF(TrRoad_act!M61=0,0,TrRoad_emi!M58/TrRoad_tech!M173)</f>
        <v>0.99407698965088309</v>
      </c>
      <c r="N200" s="91">
        <f>IF(TrRoad_act!N61=0,0,TrRoad_emi!N58/TrRoad_tech!N173)</f>
        <v>0.99571287605553838</v>
      </c>
      <c r="O200" s="91">
        <f>IF(TrRoad_act!O61=0,0,TrRoad_emi!O58/TrRoad_tech!O173)</f>
        <v>1.0011630615082989</v>
      </c>
      <c r="P200" s="91">
        <f>IF(TrRoad_act!P61=0,0,TrRoad_emi!P58/TrRoad_tech!P173)</f>
        <v>1.0002228875152375</v>
      </c>
      <c r="Q200" s="91">
        <f>IF(TrRoad_act!Q61=0,0,TrRoad_emi!Q58/TrRoad_tech!Q173)</f>
        <v>1.0146091883333201</v>
      </c>
      <c r="R200" s="91">
        <f>IF(TrRoad_act!R61=0,0,TrRoad_emi!R58/TrRoad_tech!R173)</f>
        <v>1.0212879845258875</v>
      </c>
      <c r="S200" s="91">
        <f>IF(TrRoad_act!S61=0,0,TrRoad_emi!S58/TrRoad_tech!S173)</f>
        <v>1.0305784953819428</v>
      </c>
      <c r="T200" s="91">
        <f>IF(TrRoad_act!T61=0,0,TrRoad_emi!T58/TrRoad_tech!T173)</f>
        <v>1.0109334395508864</v>
      </c>
      <c r="U200" s="91">
        <f>IF(TrRoad_act!U61=0,0,TrRoad_emi!U58/TrRoad_tech!U173)</f>
        <v>1.0065633493078752</v>
      </c>
      <c r="V200" s="91">
        <f>IF(TrRoad_act!V61=0,0,TrRoad_emi!V58/TrRoad_tech!V173)</f>
        <v>1.0065640068069324</v>
      </c>
      <c r="W200" s="91">
        <f>IF(TrRoad_act!W61=0,0,TrRoad_emi!W58/TrRoad_tech!W173)</f>
        <v>1.0198149803506968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1.0041149519783874</v>
      </c>
      <c r="C201" s="91">
        <f>IF(TrRoad_act!C62=0,0,TrRoad_emi!C59/TrRoad_tech!C174)</f>
        <v>1.3681596743696072</v>
      </c>
      <c r="D201" s="91">
        <f>IF(TrRoad_act!D62=0,0,TrRoad_emi!D59/TrRoad_tech!D174)</f>
        <v>1.6313835251380278</v>
      </c>
      <c r="E201" s="91">
        <f>IF(TrRoad_act!E62=0,0,TrRoad_emi!E59/TrRoad_tech!E174)</f>
        <v>1.4008129532193228</v>
      </c>
      <c r="F201" s="91">
        <f>IF(TrRoad_act!F62=0,0,TrRoad_emi!F59/TrRoad_tech!F174)</f>
        <v>1.3680399638377667</v>
      </c>
      <c r="G201" s="91">
        <f>IF(TrRoad_act!G62=0,0,TrRoad_emi!G59/TrRoad_tech!G174)</f>
        <v>1.3179352859867608</v>
      </c>
      <c r="H201" s="91">
        <f>IF(TrRoad_act!H62=0,0,TrRoad_emi!H59/TrRoad_tech!H174)</f>
        <v>1.2540285725011837</v>
      </c>
      <c r="I201" s="91">
        <f>IF(TrRoad_act!I62=0,0,TrRoad_emi!I59/TrRoad_tech!I174)</f>
        <v>1.2211391233798006</v>
      </c>
      <c r="J201" s="91">
        <f>IF(TrRoad_act!J62=0,0,TrRoad_emi!J59/TrRoad_tech!J174)</f>
        <v>1.1298116716588424</v>
      </c>
      <c r="K201" s="91">
        <f>IF(TrRoad_act!K62=0,0,TrRoad_emi!K59/TrRoad_tech!K174)</f>
        <v>1.0432648887951206</v>
      </c>
      <c r="L201" s="91">
        <f>IF(TrRoad_act!L62=0,0,TrRoad_emi!L59/TrRoad_tech!L174)</f>
        <v>1.1055588197607977</v>
      </c>
      <c r="M201" s="91">
        <f>IF(TrRoad_act!M62=0,0,TrRoad_emi!M59/TrRoad_tech!M174)</f>
        <v>1.1201257613113413</v>
      </c>
      <c r="N201" s="91">
        <f>IF(TrRoad_act!N62=0,0,TrRoad_emi!N59/TrRoad_tech!N174)</f>
        <v>1.1177000060895117</v>
      </c>
      <c r="O201" s="91">
        <f>IF(TrRoad_act!O62=0,0,TrRoad_emi!O59/TrRoad_tech!O174)</f>
        <v>1.078141051117288</v>
      </c>
      <c r="P201" s="91">
        <f>IF(TrRoad_act!P62=0,0,TrRoad_emi!P59/TrRoad_tech!P174)</f>
        <v>1.0760773368833281</v>
      </c>
      <c r="Q201" s="91">
        <f>IF(TrRoad_act!Q62=0,0,TrRoad_emi!Q59/TrRoad_tech!Q174)</f>
        <v>1.0531540738280198</v>
      </c>
      <c r="R201" s="91">
        <f>IF(TrRoad_act!R62=0,0,TrRoad_emi!R59/TrRoad_tech!R174)</f>
        <v>1.0229803635484676</v>
      </c>
      <c r="S201" s="91">
        <f>IF(TrRoad_act!S62=0,0,TrRoad_emi!S59/TrRoad_tech!S174)</f>
        <v>1.0200478423953003</v>
      </c>
      <c r="T201" s="91">
        <f>IF(TrRoad_act!T62=0,0,TrRoad_emi!T59/TrRoad_tech!T174)</f>
        <v>0.9904003759748532</v>
      </c>
      <c r="U201" s="91">
        <f>IF(TrRoad_act!U62=0,0,TrRoad_emi!U59/TrRoad_tech!U174)</f>
        <v>0.97726371622817576</v>
      </c>
      <c r="V201" s="91">
        <f>IF(TrRoad_act!V62=0,0,TrRoad_emi!V59/TrRoad_tech!V174)</f>
        <v>0.94332714170807164</v>
      </c>
      <c r="W201" s="91">
        <f>IF(TrRoad_act!W62=0,0,TrRoad_emi!W59/TrRoad_tech!W174)</f>
        <v>0.95930872316325966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1.2402592216270609</v>
      </c>
      <c r="C202" s="91">
        <f>IF(TrRoad_act!C63=0,0,TrRoad_emi!C60/TrRoad_tech!C175)</f>
        <v>1.0392549374555167</v>
      </c>
      <c r="D202" s="91">
        <f>IF(TrRoad_act!D63=0,0,TrRoad_emi!D60/TrRoad_tech!D175)</f>
        <v>1.099719895972689</v>
      </c>
      <c r="E202" s="91">
        <f>IF(TrRoad_act!E63=0,0,TrRoad_emi!E60/TrRoad_tech!E175)</f>
        <v>1.1305583730677538</v>
      </c>
      <c r="F202" s="91">
        <f>IF(TrRoad_act!F63=0,0,TrRoad_emi!F60/TrRoad_tech!F175)</f>
        <v>1.2833583733967844</v>
      </c>
      <c r="G202" s="91">
        <f>IF(TrRoad_act!G63=0,0,TrRoad_emi!G60/TrRoad_tech!G175)</f>
        <v>1.2095254888405034</v>
      </c>
      <c r="H202" s="91">
        <f>IF(TrRoad_act!H63=0,0,TrRoad_emi!H60/TrRoad_tech!H175)</f>
        <v>1.0925964033247237</v>
      </c>
      <c r="I202" s="91">
        <f>IF(TrRoad_act!I63=0,0,TrRoad_emi!I60/TrRoad_tech!I175)</f>
        <v>1.028268589471047</v>
      </c>
      <c r="J202" s="91">
        <f>IF(TrRoad_act!J63=0,0,TrRoad_emi!J60/TrRoad_tech!J175)</f>
        <v>1.2568076307101179</v>
      </c>
      <c r="K202" s="91">
        <f>IF(TrRoad_act!K63=0,0,TrRoad_emi!K60/TrRoad_tech!K175)</f>
        <v>1.1551089196167224</v>
      </c>
      <c r="L202" s="91">
        <f>IF(TrRoad_act!L63=0,0,TrRoad_emi!L60/TrRoad_tech!L175)</f>
        <v>1.0859886510757486</v>
      </c>
      <c r="M202" s="91">
        <f>IF(TrRoad_act!M63=0,0,TrRoad_emi!M60/TrRoad_tech!M175)</f>
        <v>1.0509976218627741</v>
      </c>
      <c r="N202" s="91">
        <f>IF(TrRoad_act!N63=0,0,TrRoad_emi!N60/TrRoad_tech!N175)</f>
        <v>1.0359498593281145</v>
      </c>
      <c r="O202" s="91">
        <f>IF(TrRoad_act!O63=0,0,TrRoad_emi!O60/TrRoad_tech!O175)</f>
        <v>1.0695985891010871</v>
      </c>
      <c r="P202" s="91">
        <f>IF(TrRoad_act!P63=0,0,TrRoad_emi!P60/TrRoad_tech!P175)</f>
        <v>1.1260617021246939</v>
      </c>
      <c r="Q202" s="91">
        <f>IF(TrRoad_act!Q63=0,0,TrRoad_emi!Q60/TrRoad_tech!Q175)</f>
        <v>1.2405669193130349</v>
      </c>
      <c r="R202" s="91">
        <f>IF(TrRoad_act!R63=0,0,TrRoad_emi!R60/TrRoad_tech!R175)</f>
        <v>1.1811837615402763</v>
      </c>
      <c r="S202" s="91">
        <f>IF(TrRoad_act!S63=0,0,TrRoad_emi!S60/TrRoad_tech!S175)</f>
        <v>1.1918271932421527</v>
      </c>
      <c r="T202" s="91">
        <f>IF(TrRoad_act!T63=0,0,TrRoad_emi!T60/TrRoad_tech!T175)</f>
        <v>1.189115350446255</v>
      </c>
      <c r="U202" s="91">
        <f>IF(TrRoad_act!U63=0,0,TrRoad_emi!U60/TrRoad_tech!U175)</f>
        <v>1.2399022998405449</v>
      </c>
      <c r="V202" s="91">
        <f>IF(TrRoad_act!V63=0,0,TrRoad_emi!V60/TrRoad_tech!V175)</f>
        <v>1.1687252717756245</v>
      </c>
      <c r="W202" s="91">
        <f>IF(TrRoad_act!W63=0,0,TrRoad_emi!W60/TrRoad_tech!W175)</f>
        <v>1.1882391877216547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1.0555555555604401</v>
      </c>
      <c r="M203" s="91">
        <f>IF(TrRoad_act!M64=0,0,TrRoad_emi!M61/TrRoad_tech!M176)</f>
        <v>1.0590728121957118</v>
      </c>
      <c r="N203" s="91">
        <f>IF(TrRoad_act!N64=0,0,TrRoad_emi!N61/TrRoad_tech!N176)</f>
        <v>1.0624300057095155</v>
      </c>
      <c r="O203" s="91">
        <f>IF(TrRoad_act!O64=0,0,TrRoad_emi!O61/TrRoad_tech!O176)</f>
        <v>1.0701119997357542</v>
      </c>
      <c r="P203" s="91">
        <f>IF(TrRoad_act!P64=0,0,TrRoad_emi!P61/TrRoad_tech!P176)</f>
        <v>1.0735972890408403</v>
      </c>
      <c r="Q203" s="91">
        <f>IF(TrRoad_act!Q64=0,0,TrRoad_emi!Q61/TrRoad_tech!Q176)</f>
        <v>1.0771521307486307</v>
      </c>
      <c r="R203" s="91">
        <f>IF(TrRoad_act!R64=0,0,TrRoad_emi!R61/TrRoad_tech!R176)</f>
        <v>1.083069758202986</v>
      </c>
      <c r="S203" s="91">
        <f>IF(TrRoad_act!S64=0,0,TrRoad_emi!S61/TrRoad_tech!S176)</f>
        <v>1.0862056525402821</v>
      </c>
      <c r="T203" s="91">
        <f>IF(TrRoad_act!T64=0,0,TrRoad_emi!T61/TrRoad_tech!T176)</f>
        <v>0.95620401294166213</v>
      </c>
      <c r="U203" s="91">
        <f>IF(TrRoad_act!U64=0,0,TrRoad_emi!U61/TrRoad_tech!U176)</f>
        <v>0.90306184662279165</v>
      </c>
      <c r="V203" s="91">
        <f>IF(TrRoad_act!V64=0,0,TrRoad_emi!V61/TrRoad_tech!V176)</f>
        <v>0.94619519942015951</v>
      </c>
      <c r="W203" s="91">
        <f>IF(TrRoad_act!W64=0,0,TrRoad_emi!W61/TrRoad_tech!W176)</f>
        <v>0.91033111575704051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0</v>
      </c>
      <c r="P204" s="91">
        <f>IF(TrRoad_act!P65=0,0,TrRoad_emi!P62/TrRoad_tech!P177)</f>
        <v>1.0366510938835221</v>
      </c>
      <c r="Q204" s="91">
        <f>IF(TrRoad_act!Q65=0,0,TrRoad_emi!Q62/TrRoad_tech!Q177)</f>
        <v>1.0518874574265422</v>
      </c>
      <c r="R204" s="91">
        <f>IF(TrRoad_act!R65=0,0,TrRoad_emi!R62/TrRoad_tech!R177)</f>
        <v>1.0584573575385174</v>
      </c>
      <c r="S204" s="91">
        <f>IF(TrRoad_act!S65=0,0,TrRoad_emi!S62/TrRoad_tech!S177)</f>
        <v>1.0670422821389762</v>
      </c>
      <c r="T204" s="91">
        <f>IF(TrRoad_act!T65=0,0,TrRoad_emi!T62/TrRoad_tech!T177)</f>
        <v>1.0465375769595628</v>
      </c>
      <c r="U204" s="91">
        <f>IF(TrRoad_act!U65=0,0,TrRoad_emi!U62/TrRoad_tech!U177)</f>
        <v>1.0403332801869887</v>
      </c>
      <c r="V204" s="91">
        <f>IF(TrRoad_act!V65=0,0,TrRoad_emi!V62/TrRoad_tech!V177)</f>
        <v>1.0398550384073317</v>
      </c>
      <c r="W204" s="91">
        <f>IF(TrRoad_act!W65=0,0,TrRoad_emi!W62/TrRoad_tech!W177)</f>
        <v>1.0516935256218303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1.1824486625036965</v>
      </c>
      <c r="C206" s="151">
        <f>IF(TrRoad_act!C67=0,0,TrRoad_emi!C64/TrRoad_tech!C179)</f>
        <v>1.4357804738592859</v>
      </c>
      <c r="D206" s="151">
        <f>IF(TrRoad_act!D67=0,0,TrRoad_emi!D64/TrRoad_tech!D179)</f>
        <v>1.5793704010562106</v>
      </c>
      <c r="E206" s="151">
        <f>IF(TrRoad_act!E67=0,0,TrRoad_emi!E64/TrRoad_tech!E179)</f>
        <v>1.3437443245180818</v>
      </c>
      <c r="F206" s="151">
        <f>IF(TrRoad_act!F67=0,0,TrRoad_emi!F64/TrRoad_tech!F179)</f>
        <v>1.3705533719201735</v>
      </c>
      <c r="G206" s="151">
        <f>IF(TrRoad_act!G67=0,0,TrRoad_emi!G64/TrRoad_tech!G179)</f>
        <v>1.3662892994800826</v>
      </c>
      <c r="H206" s="151">
        <f>IF(TrRoad_act!H67=0,0,TrRoad_emi!H64/TrRoad_tech!H179)</f>
        <v>1.3501766386132457</v>
      </c>
      <c r="I206" s="151">
        <f>IF(TrRoad_act!I67=0,0,TrRoad_emi!I64/TrRoad_tech!I179)</f>
        <v>1.3587361609105184</v>
      </c>
      <c r="J206" s="151">
        <f>IF(TrRoad_act!J67=0,0,TrRoad_emi!J64/TrRoad_tech!J179)</f>
        <v>1.302112081372911</v>
      </c>
      <c r="K206" s="151">
        <f>IF(TrRoad_act!K67=0,0,TrRoad_emi!K64/TrRoad_tech!K179)</f>
        <v>1.2025305005907438</v>
      </c>
      <c r="L206" s="151">
        <f>IF(TrRoad_act!L67=0,0,TrRoad_emi!L64/TrRoad_tech!L179)</f>
        <v>1.6096544757960187</v>
      </c>
      <c r="M206" s="151">
        <f>IF(TrRoad_act!M67=0,0,TrRoad_emi!M64/TrRoad_tech!M179)</f>
        <v>1.3364599842702927</v>
      </c>
      <c r="N206" s="151">
        <f>IF(TrRoad_act!N67=0,0,TrRoad_emi!N64/TrRoad_tech!N179)</f>
        <v>1.337456674379361</v>
      </c>
      <c r="O206" s="151">
        <f>IF(TrRoad_act!O67=0,0,TrRoad_emi!O64/TrRoad_tech!O179)</f>
        <v>1.2647894170756901</v>
      </c>
      <c r="P206" s="151">
        <f>IF(TrRoad_act!P67=0,0,TrRoad_emi!P64/TrRoad_tech!P179)</f>
        <v>1.2716709191272024</v>
      </c>
      <c r="Q206" s="151">
        <f>IF(TrRoad_act!Q67=0,0,TrRoad_emi!Q64/TrRoad_tech!Q179)</f>
        <v>1.2385077382169309</v>
      </c>
      <c r="R206" s="151">
        <f>IF(TrRoad_act!R67=0,0,TrRoad_emi!R64/TrRoad_tech!R179)</f>
        <v>1.1845228578684628</v>
      </c>
      <c r="S206" s="151">
        <f>IF(TrRoad_act!S67=0,0,TrRoad_emi!S64/TrRoad_tech!S179)</f>
        <v>1.1857985066452996</v>
      </c>
      <c r="T206" s="151">
        <f>IF(TrRoad_act!T67=0,0,TrRoad_emi!T64/TrRoad_tech!T179)</f>
        <v>1.1789206500989262</v>
      </c>
      <c r="U206" s="151">
        <f>IF(TrRoad_act!U67=0,0,TrRoad_emi!U64/TrRoad_tech!U179)</f>
        <v>1.1676195353227516</v>
      </c>
      <c r="V206" s="151">
        <f>IF(TrRoad_act!V67=0,0,TrRoad_emi!V64/TrRoad_tech!V179)</f>
        <v>1.1616399445274181</v>
      </c>
      <c r="W206" s="151">
        <f>IF(TrRoad_act!W67=0,0,TrRoad_emi!W64/TrRoad_tech!W179)</f>
        <v>1.1876693559458977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1.1000000000067305</v>
      </c>
      <c r="E207" s="93">
        <f>IF(TrRoad_act!E68=0,0,TrRoad_emi!E65/TrRoad_tech!E180)</f>
        <v>1.10000000000673</v>
      </c>
      <c r="F207" s="93">
        <f>IF(TrRoad_act!F68=0,0,TrRoad_emi!F65/TrRoad_tech!F180)</f>
        <v>1.1000000000067303</v>
      </c>
      <c r="G207" s="93">
        <f>IF(TrRoad_act!G68=0,0,TrRoad_emi!G65/TrRoad_tech!G180)</f>
        <v>1.1000000000067298</v>
      </c>
      <c r="H207" s="93">
        <f>IF(TrRoad_act!H68=0,0,TrRoad_emi!H65/TrRoad_tech!H180)</f>
        <v>1.1000000000067305</v>
      </c>
      <c r="I207" s="93">
        <f>IF(TrRoad_act!I68=0,0,TrRoad_emi!I65/TrRoad_tech!I180)</f>
        <v>1.1000000000067298</v>
      </c>
      <c r="J207" s="93">
        <f>IF(TrRoad_act!J68=0,0,TrRoad_emi!J65/TrRoad_tech!J180)</f>
        <v>1.0958283494718093</v>
      </c>
      <c r="K207" s="93">
        <f>IF(TrRoad_act!K68=0,0,TrRoad_emi!K65/TrRoad_tech!K180)</f>
        <v>1.0996582911318213</v>
      </c>
      <c r="L207" s="93">
        <f>IF(TrRoad_act!L68=0,0,TrRoad_emi!L65/TrRoad_tech!L180)</f>
        <v>1.0832058682449079</v>
      </c>
      <c r="M207" s="93">
        <f>IF(TrRoad_act!M68=0,0,TrRoad_emi!M65/TrRoad_tech!M180)</f>
        <v>1.0844579218839185</v>
      </c>
      <c r="N207" s="93">
        <f>IF(TrRoad_act!N68=0,0,TrRoad_emi!N65/TrRoad_tech!N180)</f>
        <v>1.0837675910877707</v>
      </c>
      <c r="O207" s="93">
        <f>IF(TrRoad_act!O68=0,0,TrRoad_emi!O65/TrRoad_tech!O180)</f>
        <v>1.0855632589905109</v>
      </c>
      <c r="P207" s="93">
        <f>IF(TrRoad_act!P68=0,0,TrRoad_emi!P65/TrRoad_tech!P180)</f>
        <v>1.0771789622477699</v>
      </c>
      <c r="Q207" s="93">
        <f>IF(TrRoad_act!Q68=0,0,TrRoad_emi!Q65/TrRoad_tech!Q180)</f>
        <v>1.088420057935005</v>
      </c>
      <c r="R207" s="93">
        <f>IF(TrRoad_act!R68=0,0,TrRoad_emi!R65/TrRoad_tech!R180)</f>
        <v>1.0917565822279462</v>
      </c>
      <c r="S207" s="93">
        <f>IF(TrRoad_act!S68=0,0,TrRoad_emi!S65/TrRoad_tech!S180)</f>
        <v>1.0973265701922341</v>
      </c>
      <c r="T207" s="93">
        <f>IF(TrRoad_act!T68=0,0,TrRoad_emi!T65/TrRoad_tech!T180)</f>
        <v>1.0817946297973184</v>
      </c>
      <c r="U207" s="93">
        <f>IF(TrRoad_act!U68=0,0,TrRoad_emi!U65/TrRoad_tech!U180)</f>
        <v>1.0814942163101611</v>
      </c>
      <c r="V207" s="93">
        <f>IF(TrRoad_act!V68=0,0,TrRoad_emi!V65/TrRoad_tech!V180)</f>
        <v>1.0797613989766097</v>
      </c>
      <c r="W207" s="93">
        <f>IF(TrRoad_act!W68=0,0,TrRoad_emi!W65/TrRoad_tech!W180)</f>
        <v>1.0894183528486452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1.0499146642223585</v>
      </c>
      <c r="C208" s="93">
        <f>IF(TrRoad_act!C69=0,0,TrRoad_emi!C66/TrRoad_tech!C181)</f>
        <v>1.3298855748007858</v>
      </c>
      <c r="D208" s="93">
        <f>IF(TrRoad_act!D69=0,0,TrRoad_emi!D66/TrRoad_tech!D181)</f>
        <v>1.4928705042744586</v>
      </c>
      <c r="E208" s="93">
        <f>IF(TrRoad_act!E69=0,0,TrRoad_emi!E66/TrRoad_tech!E181)</f>
        <v>1.2725961186384032</v>
      </c>
      <c r="F208" s="93">
        <f>IF(TrRoad_act!F69=0,0,TrRoad_emi!F66/TrRoad_tech!F181)</f>
        <v>1.30671641809382</v>
      </c>
      <c r="G208" s="93">
        <f>IF(TrRoad_act!G69=0,0,TrRoad_emi!G66/TrRoad_tech!G181)</f>
        <v>1.3237644288051393</v>
      </c>
      <c r="H208" s="93">
        <f>IF(TrRoad_act!H69=0,0,TrRoad_emi!H66/TrRoad_tech!H181)</f>
        <v>1.3057813809113679</v>
      </c>
      <c r="I208" s="93">
        <f>IF(TrRoad_act!I69=0,0,TrRoad_emi!I66/TrRoad_tech!I181)</f>
        <v>1.3316395624912585</v>
      </c>
      <c r="J208" s="93">
        <f>IF(TrRoad_act!J69=0,0,TrRoad_emi!J66/TrRoad_tech!J181)</f>
        <v>1.2817024370984924</v>
      </c>
      <c r="K208" s="93">
        <f>IF(TrRoad_act!K69=0,0,TrRoad_emi!K66/TrRoad_tech!K181)</f>
        <v>1.1874756488202338</v>
      </c>
      <c r="L208" s="93">
        <f>IF(TrRoad_act!L69=0,0,TrRoad_emi!L66/TrRoad_tech!L181)</f>
        <v>1.3326385311367386</v>
      </c>
      <c r="M208" s="93">
        <f>IF(TrRoad_act!M69=0,0,TrRoad_emi!M66/TrRoad_tech!M181)</f>
        <v>1.3607866911734907</v>
      </c>
      <c r="N208" s="93">
        <f>IF(TrRoad_act!N69=0,0,TrRoad_emi!N66/TrRoad_tech!N181)</f>
        <v>1.3635691885650609</v>
      </c>
      <c r="O208" s="93">
        <f>IF(TrRoad_act!O69=0,0,TrRoad_emi!O66/TrRoad_tech!O181)</f>
        <v>1.2841812641792256</v>
      </c>
      <c r="P208" s="93">
        <f>IF(TrRoad_act!P69=0,0,TrRoad_emi!P66/TrRoad_tech!P181)</f>
        <v>1.2838191372834413</v>
      </c>
      <c r="Q208" s="93">
        <f>IF(TrRoad_act!Q69=0,0,TrRoad_emi!Q66/TrRoad_tech!Q181)</f>
        <v>1.2414429562135496</v>
      </c>
      <c r="R208" s="93">
        <f>IF(TrRoad_act!R69=0,0,TrRoad_emi!R66/TrRoad_tech!R181)</f>
        <v>1.1774053434935183</v>
      </c>
      <c r="S208" s="93">
        <f>IF(TrRoad_act!S69=0,0,TrRoad_emi!S66/TrRoad_tech!S181)</f>
        <v>1.1824879647734552</v>
      </c>
      <c r="T208" s="93">
        <f>IF(TrRoad_act!T69=0,0,TrRoad_emi!T66/TrRoad_tech!T181)</f>
        <v>1.1541715897434588</v>
      </c>
      <c r="U208" s="93">
        <f>IF(TrRoad_act!U69=0,0,TrRoad_emi!U66/TrRoad_tech!U181)</f>
        <v>1.1476421433434763</v>
      </c>
      <c r="V208" s="93">
        <f>IF(TrRoad_act!V69=0,0,TrRoad_emi!V66/TrRoad_tech!V181)</f>
        <v>1.1061326416527668</v>
      </c>
      <c r="W208" s="93">
        <f>IF(TrRoad_act!W69=0,0,TrRoad_emi!W66/TrRoad_tech!W181)</f>
        <v>1.1533471585753909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1.3402704049142133</v>
      </c>
      <c r="U209" s="93">
        <f>IF(TrRoad_act!U70=0,0,TrRoad_emi!U67/TrRoad_tech!U182)</f>
        <v>1.3402704049142138</v>
      </c>
      <c r="V209" s="93">
        <f>IF(TrRoad_act!V70=0,0,TrRoad_emi!V67/TrRoad_tech!V182)</f>
        <v>1.3402704049142136</v>
      </c>
      <c r="W209" s="93">
        <f>IF(TrRoad_act!W70=0,0,TrRoad_emi!W67/TrRoad_tech!W182)</f>
        <v>1.3402704049142136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1.3454395511027539</v>
      </c>
      <c r="M210" s="93">
        <f>IF(TrRoad_act!M71=0,0,TrRoad_emi!M68/TrRoad_tech!M183)</f>
        <v>2.4533257069846002</v>
      </c>
      <c r="N210" s="93">
        <f>IF(TrRoad_act!N71=0,0,TrRoad_emi!N68/TrRoad_tech!N183)</f>
        <v>4.4384620250242195</v>
      </c>
      <c r="O210" s="93">
        <f>IF(TrRoad_act!O71=0,0,TrRoad_emi!O68/TrRoad_tech!O183)</f>
        <v>2.9762760263592729</v>
      </c>
      <c r="P210" s="93">
        <f>IF(TrRoad_act!P71=0,0,TrRoad_emi!P68/TrRoad_tech!P183)</f>
        <v>2.6881264679298571</v>
      </c>
      <c r="Q210" s="93">
        <f>IF(TrRoad_act!Q71=0,0,TrRoad_emi!Q68/TrRoad_tech!Q183)</f>
        <v>2.9371392130294369</v>
      </c>
      <c r="R210" s="93">
        <f>IF(TrRoad_act!R71=0,0,TrRoad_emi!R68/TrRoad_tech!R183)</f>
        <v>2.4516888337732401</v>
      </c>
      <c r="S210" s="93">
        <f>IF(TrRoad_act!S71=0,0,TrRoad_emi!S68/TrRoad_tech!S183)</f>
        <v>1.306991629726779</v>
      </c>
      <c r="T210" s="93">
        <f>IF(TrRoad_act!T71=0,0,TrRoad_emi!T68/TrRoad_tech!T183)</f>
        <v>1.9958319450521744</v>
      </c>
      <c r="U210" s="93">
        <f>IF(TrRoad_act!U71=0,0,TrRoad_emi!U68/TrRoad_tech!U183)</f>
        <v>1.3626370083387691</v>
      </c>
      <c r="V210" s="93">
        <f>IF(TrRoad_act!V71=0,0,TrRoad_emi!V68/TrRoad_tech!V183)</f>
        <v>1.4665182817126341</v>
      </c>
      <c r="W210" s="93">
        <f>IF(TrRoad_act!W71=0,0,TrRoad_emi!W68/TrRoad_tech!W183)</f>
        <v>1.0319967877532303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1.0693144852838106</v>
      </c>
      <c r="C213" s="150">
        <f>IF(TrRoad_act!C74=0,0,TrRoad_emi!C71/TrRoad_tech!C186)</f>
        <v>1.2813654937326027</v>
      </c>
      <c r="D213" s="150">
        <f>IF(TrRoad_act!D74=0,0,TrRoad_emi!D71/TrRoad_tech!D186)</f>
        <v>1.4001081503637129</v>
      </c>
      <c r="E213" s="150">
        <f>IF(TrRoad_act!E74=0,0,TrRoad_emi!E71/TrRoad_tech!E186)</f>
        <v>1.2215710256261301</v>
      </c>
      <c r="F213" s="150">
        <f>IF(TrRoad_act!F74=0,0,TrRoad_emi!F71/TrRoad_tech!F186)</f>
        <v>1.2469492677825611</v>
      </c>
      <c r="G213" s="150">
        <f>IF(TrRoad_act!G74=0,0,TrRoad_emi!G71/TrRoad_tech!G186)</f>
        <v>1.2573612902237987</v>
      </c>
      <c r="H213" s="150">
        <f>IF(TrRoad_act!H74=0,0,TrRoad_emi!H71/TrRoad_tech!H186)</f>
        <v>1.22853828481024</v>
      </c>
      <c r="I213" s="150">
        <f>IF(TrRoad_act!I74=0,0,TrRoad_emi!I71/TrRoad_tech!I186)</f>
        <v>1.2533229028292832</v>
      </c>
      <c r="J213" s="150">
        <f>IF(TrRoad_act!J74=0,0,TrRoad_emi!J71/TrRoad_tech!J186)</f>
        <v>1.282176566878142</v>
      </c>
      <c r="K213" s="150">
        <f>IF(TrRoad_act!K74=0,0,TrRoad_emi!K71/TrRoad_tech!K186)</f>
        <v>1.2429758236596467</v>
      </c>
      <c r="L213" s="150">
        <f>IF(TrRoad_act!L74=0,0,TrRoad_emi!L71/TrRoad_tech!L186)</f>
        <v>1.4415794568595819</v>
      </c>
      <c r="M213" s="150">
        <f>IF(TrRoad_act!M74=0,0,TrRoad_emi!M71/TrRoad_tech!M186)</f>
        <v>1.4827809929635638</v>
      </c>
      <c r="N213" s="150">
        <f>IF(TrRoad_act!N74=0,0,TrRoad_emi!N71/TrRoad_tech!N186)</f>
        <v>1.4026120894858032</v>
      </c>
      <c r="O213" s="150">
        <f>IF(TrRoad_act!O74=0,0,TrRoad_emi!O71/TrRoad_tech!O186)</f>
        <v>1.3146736615047503</v>
      </c>
      <c r="P213" s="150">
        <f>IF(TrRoad_act!P74=0,0,TrRoad_emi!P71/TrRoad_tech!P186)</f>
        <v>1.2880575829117549</v>
      </c>
      <c r="Q213" s="150">
        <f>IF(TrRoad_act!Q74=0,0,TrRoad_emi!Q71/TrRoad_tech!Q186)</f>
        <v>1.2833173410882868</v>
      </c>
      <c r="R213" s="150">
        <f>IF(TrRoad_act!R74=0,0,TrRoad_emi!R71/TrRoad_tech!R186)</f>
        <v>1.2347707836936985</v>
      </c>
      <c r="S213" s="150">
        <f>IF(TrRoad_act!S74=0,0,TrRoad_emi!S71/TrRoad_tech!S186)</f>
        <v>1.2601159783914067</v>
      </c>
      <c r="T213" s="150">
        <f>IF(TrRoad_act!T74=0,0,TrRoad_emi!T71/TrRoad_tech!T186)</f>
        <v>1.2085088569863078</v>
      </c>
      <c r="U213" s="150">
        <f>IF(TrRoad_act!U74=0,0,TrRoad_emi!U71/TrRoad_tech!U186)</f>
        <v>1.2233671998237574</v>
      </c>
      <c r="V213" s="150">
        <f>IF(TrRoad_act!V74=0,0,TrRoad_emi!V71/TrRoad_tech!V186)</f>
        <v>1.0684658926075337</v>
      </c>
      <c r="W213" s="150">
        <f>IF(TrRoad_act!W74=0,0,TrRoad_emi!W71/TrRoad_tech!W186)</f>
        <v>1.1110089498508113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1.1000437233170735</v>
      </c>
      <c r="D214" s="91">
        <f>IF(TrRoad_act!D75=0,0,TrRoad_emi!D72/TrRoad_tech!D187)</f>
        <v>1.1001601295484282</v>
      </c>
      <c r="E214" s="91">
        <f>IF(TrRoad_act!E75=0,0,TrRoad_emi!E72/TrRoad_tech!E187)</f>
        <v>1.100340462148574</v>
      </c>
      <c r="F214" s="91">
        <f>IF(TrRoad_act!F75=0,0,TrRoad_emi!F72/TrRoad_tech!F187)</f>
        <v>1.1006925902451086</v>
      </c>
      <c r="G214" s="91">
        <f>IF(TrRoad_act!G75=0,0,TrRoad_emi!G72/TrRoad_tech!G187)</f>
        <v>1.1013009603225612</v>
      </c>
      <c r="H214" s="91">
        <f>IF(TrRoad_act!H75=0,0,TrRoad_emi!H72/TrRoad_tech!H187)</f>
        <v>1.1023295985511909</v>
      </c>
      <c r="I214" s="91">
        <f>IF(TrRoad_act!I75=0,0,TrRoad_emi!I72/TrRoad_tech!I187)</f>
        <v>1.1038536589270083</v>
      </c>
      <c r="J214" s="91">
        <f>IF(TrRoad_act!J75=0,0,TrRoad_emi!J72/TrRoad_tech!J187)</f>
        <v>1.1042796909807191</v>
      </c>
      <c r="K214" s="91">
        <f>IF(TrRoad_act!K75=0,0,TrRoad_emi!K72/TrRoad_tech!K187)</f>
        <v>1.1127421333553804</v>
      </c>
      <c r="L214" s="91">
        <f>IF(TrRoad_act!L75=0,0,TrRoad_emi!L72/TrRoad_tech!L187)</f>
        <v>1.0992233117503487</v>
      </c>
      <c r="M214" s="91">
        <f>IF(TrRoad_act!M75=0,0,TrRoad_emi!M72/TrRoad_tech!M187)</f>
        <v>1.1047142485723713</v>
      </c>
      <c r="N214" s="91">
        <f>IF(TrRoad_act!N75=0,0,TrRoad_emi!N72/TrRoad_tech!N187)</f>
        <v>1.1110766566362922</v>
      </c>
      <c r="O214" s="91">
        <f>IF(TrRoad_act!O75=0,0,TrRoad_emi!O72/TrRoad_tech!O187)</f>
        <v>1.1198437768489895</v>
      </c>
      <c r="P214" s="91">
        <f>IF(TrRoad_act!P75=0,0,TrRoad_emi!P72/TrRoad_tech!P187)</f>
        <v>1.1188629570258435</v>
      </c>
      <c r="Q214" s="91">
        <f>IF(TrRoad_act!Q75=0,0,TrRoad_emi!Q72/TrRoad_tech!Q187)</f>
        <v>1.1414342872972412</v>
      </c>
      <c r="R214" s="91">
        <f>IF(TrRoad_act!R75=0,0,TrRoad_emi!R72/TrRoad_tech!R187)</f>
        <v>1.157241266016962</v>
      </c>
      <c r="S214" s="91">
        <f>IF(TrRoad_act!S75=0,0,TrRoad_emi!S72/TrRoad_tech!S187)</f>
        <v>1.1733587493224145</v>
      </c>
      <c r="T214" s="91">
        <f>IF(TrRoad_act!T75=0,0,TrRoad_emi!T72/TrRoad_tech!T187)</f>
        <v>1.1707011517857597</v>
      </c>
      <c r="U214" s="91">
        <f>IF(TrRoad_act!U75=0,0,TrRoad_emi!U72/TrRoad_tech!U187)</f>
        <v>1.1757828770623568</v>
      </c>
      <c r="V214" s="91">
        <f>IF(TrRoad_act!V75=0,0,TrRoad_emi!V72/TrRoad_tech!V187)</f>
        <v>1.1867356814031886</v>
      </c>
      <c r="W214" s="91">
        <f>IF(TrRoad_act!W75=0,0,TrRoad_emi!W72/TrRoad_tech!W187)</f>
        <v>1.2079141463109468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1.0499146642223587</v>
      </c>
      <c r="C215" s="91">
        <f>IF(TrRoad_act!C76=0,0,TrRoad_emi!C73/TrRoad_tech!C188)</f>
        <v>1.3291315967864392</v>
      </c>
      <c r="D215" s="91">
        <f>IF(TrRoad_act!D76=0,0,TrRoad_emi!D73/TrRoad_tech!D188)</f>
        <v>1.4899391795336465</v>
      </c>
      <c r="E215" s="91">
        <f>IF(TrRoad_act!E76=0,0,TrRoad_emi!E73/TrRoad_tech!E188)</f>
        <v>1.2668654046936394</v>
      </c>
      <c r="F215" s="91">
        <f>IF(TrRoad_act!F76=0,0,TrRoad_emi!F73/TrRoad_tech!F188)</f>
        <v>1.2977470543022618</v>
      </c>
      <c r="G215" s="91">
        <f>IF(TrRoad_act!G76=0,0,TrRoad_emi!G73/TrRoad_tech!G188)</f>
        <v>1.3093929545773622</v>
      </c>
      <c r="H215" s="91">
        <f>IF(TrRoad_act!H76=0,0,TrRoad_emi!H73/TrRoad_tech!H188)</f>
        <v>1.2886448503379069</v>
      </c>
      <c r="I215" s="91">
        <f>IF(TrRoad_act!I76=0,0,TrRoad_emi!I73/TrRoad_tech!I188)</f>
        <v>1.3127905652288847</v>
      </c>
      <c r="J215" s="91">
        <f>IF(TrRoad_act!J76=0,0,TrRoad_emi!J73/TrRoad_tech!J188)</f>
        <v>1.2648166361408708</v>
      </c>
      <c r="K215" s="91">
        <f>IF(TrRoad_act!K76=0,0,TrRoad_emi!K73/TrRoad_tech!K188)</f>
        <v>1.1737995164965995</v>
      </c>
      <c r="L215" s="91">
        <f>IF(TrRoad_act!L76=0,0,TrRoad_emi!L73/TrRoad_tech!L188)</f>
        <v>1.3125951968091374</v>
      </c>
      <c r="M215" s="91">
        <f>IF(TrRoad_act!M76=0,0,TrRoad_emi!M73/TrRoad_tech!M188)</f>
        <v>1.3366546089339366</v>
      </c>
      <c r="N215" s="91">
        <f>IF(TrRoad_act!N76=0,0,TrRoad_emi!N73/TrRoad_tech!N188)</f>
        <v>1.3362843046737161</v>
      </c>
      <c r="O215" s="91">
        <f>IF(TrRoad_act!O76=0,0,TrRoad_emi!O73/TrRoad_tech!O188)</f>
        <v>1.2551878535347489</v>
      </c>
      <c r="P215" s="91">
        <f>IF(TrRoad_act!P76=0,0,TrRoad_emi!P73/TrRoad_tech!P188)</f>
        <v>1.2528092192994811</v>
      </c>
      <c r="Q215" s="91">
        <f>IF(TrRoad_act!Q76=0,0,TrRoad_emi!Q73/TrRoad_tech!Q188)</f>
        <v>1.20825876942864</v>
      </c>
      <c r="R215" s="91">
        <f>IF(TrRoad_act!R76=0,0,TrRoad_emi!R73/TrRoad_tech!R188)</f>
        <v>1.1468100875914002</v>
      </c>
      <c r="S215" s="91">
        <f>IF(TrRoad_act!S76=0,0,TrRoad_emi!S73/TrRoad_tech!S188)</f>
        <v>1.1497779756682722</v>
      </c>
      <c r="T215" s="91">
        <f>IF(TrRoad_act!T76=0,0,TrRoad_emi!T73/TrRoad_tech!T188)</f>
        <v>1.1242376520637578</v>
      </c>
      <c r="U215" s="91">
        <f>IF(TrRoad_act!U76=0,0,TrRoad_emi!U73/TrRoad_tech!U188)</f>
        <v>1.11652958502713</v>
      </c>
      <c r="V215" s="91">
        <f>IF(TrRoad_act!V76=0,0,TrRoad_emi!V73/TrRoad_tech!V188)</f>
        <v>1.0757251087064623</v>
      </c>
      <c r="W215" s="91">
        <f>IF(TrRoad_act!W76=0,0,TrRoad_emi!W73/TrRoad_tech!W188)</f>
        <v>1.1243181588823181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1.317263573193203</v>
      </c>
      <c r="S216" s="91">
        <f>IF(TrRoad_act!S77=0,0,TrRoad_emi!S74/TrRoad_tech!S189)</f>
        <v>1.329272685838307</v>
      </c>
      <c r="T216" s="91">
        <f>IF(TrRoad_act!T77=0,0,TrRoad_emi!T74/TrRoad_tech!T189)</f>
        <v>1.332907716328523</v>
      </c>
      <c r="U216" s="91">
        <f>IF(TrRoad_act!U77=0,0,TrRoad_emi!U74/TrRoad_tech!U189)</f>
        <v>1.3368447242653974</v>
      </c>
      <c r="V216" s="91">
        <f>IF(TrRoad_act!V77=0,0,TrRoad_emi!V74/TrRoad_tech!V189)</f>
        <v>1.3371537415113031</v>
      </c>
      <c r="W216" s="91">
        <f>IF(TrRoad_act!W77=0,0,TrRoad_emi!W74/TrRoad_tech!W189)</f>
        <v>1.3371537415113031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1.2360000000066975</v>
      </c>
      <c r="O217" s="91">
        <f>IF(TrRoad_act!O78=0,0,TrRoad_emi!O75/TrRoad_tech!O190)</f>
        <v>1.2555952353742963</v>
      </c>
      <c r="P217" s="91">
        <f>IF(TrRoad_act!P78=0,0,TrRoad_emi!P75/TrRoad_tech!P190)</f>
        <v>1.2611184419129247</v>
      </c>
      <c r="Q217" s="91">
        <f>IF(TrRoad_act!Q78=0,0,TrRoad_emi!Q75/TrRoad_tech!Q190)</f>
        <v>1.272249595729428</v>
      </c>
      <c r="R217" s="91">
        <f>IF(TrRoad_act!R78=0,0,TrRoad_emi!R75/TrRoad_tech!R190)</f>
        <v>1.2724319559252237</v>
      </c>
      <c r="S217" s="91">
        <f>IF(TrRoad_act!S78=0,0,TrRoad_emi!S75/TrRoad_tech!S190)</f>
        <v>1.2989492781828968</v>
      </c>
      <c r="T217" s="91">
        <f>IF(TrRoad_act!T78=0,0,TrRoad_emi!T75/TrRoad_tech!T190)</f>
        <v>1.1476166736749092</v>
      </c>
      <c r="U217" s="91">
        <f>IF(TrRoad_act!U78=0,0,TrRoad_emi!U75/TrRoad_tech!U190)</f>
        <v>1.0860559146446864</v>
      </c>
      <c r="V217" s="91">
        <f>IF(TrRoad_act!V78=0,0,TrRoad_emi!V75/TrRoad_tech!V190)</f>
        <v>1.1448706237483621</v>
      </c>
      <c r="W217" s="91">
        <f>IF(TrRoad_act!W78=0,0,TrRoad_emi!W75/TrRoad_tech!W190)</f>
        <v>1.1013770094631152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1.0735963814831588</v>
      </c>
      <c r="C219" s="151">
        <f>IF(TrRoad_act!C80=0,0,TrRoad_emi!C77/TrRoad_tech!C192)</f>
        <v>1.2969435957908699</v>
      </c>
      <c r="D219" s="151">
        <f>IF(TrRoad_act!D80=0,0,TrRoad_emi!D77/TrRoad_tech!D192)</f>
        <v>1.4082699933604703</v>
      </c>
      <c r="E219" s="151">
        <f>IF(TrRoad_act!E80=0,0,TrRoad_emi!E77/TrRoad_tech!E192)</f>
        <v>1.1867110069338607</v>
      </c>
      <c r="F219" s="151">
        <f>IF(TrRoad_act!F80=0,0,TrRoad_emi!F77/TrRoad_tech!F192)</f>
        <v>1.2324626846126818</v>
      </c>
      <c r="G219" s="151">
        <f>IF(TrRoad_act!G80=0,0,TrRoad_emi!G77/TrRoad_tech!G192)</f>
        <v>1.2703813349379163</v>
      </c>
      <c r="H219" s="151">
        <f>IF(TrRoad_act!H80=0,0,TrRoad_emi!H77/TrRoad_tech!H192)</f>
        <v>1.2748629265654097</v>
      </c>
      <c r="I219" s="151">
        <f>IF(TrRoad_act!I80=0,0,TrRoad_emi!I77/TrRoad_tech!I192)</f>
        <v>1.3619427369887847</v>
      </c>
      <c r="J219" s="151">
        <f>IF(TrRoad_act!J80=0,0,TrRoad_emi!J77/TrRoad_tech!J192)</f>
        <v>1.3702894855287013</v>
      </c>
      <c r="K219" s="151">
        <f>IF(TrRoad_act!K80=0,0,TrRoad_emi!K77/TrRoad_tech!K192)</f>
        <v>1.3093802830508778</v>
      </c>
      <c r="L219" s="151">
        <f>IF(TrRoad_act!L80=0,0,TrRoad_emi!L77/TrRoad_tech!L192)</f>
        <v>1.610906933674275</v>
      </c>
      <c r="M219" s="151">
        <f>IF(TrRoad_act!M80=0,0,TrRoad_emi!M77/TrRoad_tech!M192)</f>
        <v>1.6478239919789199</v>
      </c>
      <c r="N219" s="151">
        <f>IF(TrRoad_act!N80=0,0,TrRoad_emi!N77/TrRoad_tech!N192)</f>
        <v>1.6628404168554218</v>
      </c>
      <c r="O219" s="151">
        <f>IF(TrRoad_act!O80=0,0,TrRoad_emi!O77/TrRoad_tech!O192)</f>
        <v>1.4556035684445841</v>
      </c>
      <c r="P219" s="151">
        <f>IF(TrRoad_act!P80=0,0,TrRoad_emi!P77/TrRoad_tech!P192)</f>
        <v>1.4447258211358234</v>
      </c>
      <c r="Q219" s="151">
        <f>IF(TrRoad_act!Q80=0,0,TrRoad_emi!Q77/TrRoad_tech!Q192)</f>
        <v>1.3312112718314593</v>
      </c>
      <c r="R219" s="151">
        <f>IF(TrRoad_act!R80=0,0,TrRoad_emi!R77/TrRoad_tech!R192)</f>
        <v>1.1644027665358681</v>
      </c>
      <c r="S219" s="151">
        <f>IF(TrRoad_act!S80=0,0,TrRoad_emi!S77/TrRoad_tech!S192)</f>
        <v>1.1547637981306762</v>
      </c>
      <c r="T219" s="151">
        <f>IF(TrRoad_act!T80=0,0,TrRoad_emi!T77/TrRoad_tech!T192)</f>
        <v>1.1256467069316174</v>
      </c>
      <c r="U219" s="151">
        <f>IF(TrRoad_act!U80=0,0,TrRoad_emi!U77/TrRoad_tech!U192)</f>
        <v>1.1171073323374876</v>
      </c>
      <c r="V219" s="151">
        <f>IF(TrRoad_act!V80=0,0,TrRoad_emi!V77/TrRoad_tech!V192)</f>
        <v>1.0350950601731463</v>
      </c>
      <c r="W219" s="151">
        <f>IF(TrRoad_act!W80=0,0,TrRoad_emi!W77/TrRoad_tech!W192)</f>
        <v>1.1824628303321041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1.1131968905664553</v>
      </c>
      <c r="C220" s="93">
        <f>IF(TrRoad_act!C81=0,0,TrRoad_emi!C78/TrRoad_tech!C193)</f>
        <v>1.3417382001922389</v>
      </c>
      <c r="D220" s="93">
        <f>IF(TrRoad_act!D81=0,0,TrRoad_emi!D78/TrRoad_tech!D193)</f>
        <v>1.4626412452016828</v>
      </c>
      <c r="E220" s="93">
        <f>IF(TrRoad_act!E81=0,0,TrRoad_emi!E78/TrRoad_tech!E193)</f>
        <v>1.2416992298425766</v>
      </c>
      <c r="F220" s="93">
        <f>IF(TrRoad_act!F81=0,0,TrRoad_emi!F78/TrRoad_tech!F193)</f>
        <v>1.2904267655825288</v>
      </c>
      <c r="G220" s="93">
        <f>IF(TrRoad_act!G81=0,0,TrRoad_emi!G78/TrRoad_tech!G193)</f>
        <v>1.3308470240940353</v>
      </c>
      <c r="H220" s="93">
        <f>IF(TrRoad_act!H81=0,0,TrRoad_emi!H78/TrRoad_tech!H193)</f>
        <v>1.3364251493645094</v>
      </c>
      <c r="I220" s="93">
        <f>IF(TrRoad_act!I81=0,0,TrRoad_emi!I78/TrRoad_tech!I193)</f>
        <v>1.4281588851461688</v>
      </c>
      <c r="J220" s="93">
        <f>IF(TrRoad_act!J81=0,0,TrRoad_emi!J78/TrRoad_tech!J193)</f>
        <v>1.4383875023427066</v>
      </c>
      <c r="K220" s="93">
        <f>IF(TrRoad_act!K81=0,0,TrRoad_emi!K78/TrRoad_tech!K193)</f>
        <v>1.3733596803548134</v>
      </c>
      <c r="L220" s="93">
        <f>IF(TrRoad_act!L81=0,0,TrRoad_emi!L78/TrRoad_tech!L193)</f>
        <v>1.6887944111765041</v>
      </c>
      <c r="M220" s="93">
        <f>IF(TrRoad_act!M81=0,0,TrRoad_emi!M78/TrRoad_tech!M193)</f>
        <v>1.7253628120052986</v>
      </c>
      <c r="N220" s="93">
        <f>IF(TrRoad_act!N81=0,0,TrRoad_emi!N78/TrRoad_tech!N193)</f>
        <v>1.7387023434772089</v>
      </c>
      <c r="O220" s="93">
        <f>IF(TrRoad_act!O81=0,0,TrRoad_emi!O78/TrRoad_tech!O193)</f>
        <v>1.5188489638721914</v>
      </c>
      <c r="P220" s="93">
        <f>IF(TrRoad_act!P81=0,0,TrRoad_emi!P78/TrRoad_tech!P193)</f>
        <v>1.5047275870472345</v>
      </c>
      <c r="Q220" s="93">
        <f>IF(TrRoad_act!Q81=0,0,TrRoad_emi!Q78/TrRoad_tech!Q193)</f>
        <v>1.3810931107683022</v>
      </c>
      <c r="R220" s="93">
        <f>IF(TrRoad_act!R81=0,0,TrRoad_emi!R78/TrRoad_tech!R193)</f>
        <v>1.2092133882769514</v>
      </c>
      <c r="S220" s="93">
        <f>IF(TrRoad_act!S81=0,0,TrRoad_emi!S78/TrRoad_tech!S193)</f>
        <v>1.1915689879157296</v>
      </c>
      <c r="T220" s="93">
        <f>IF(TrRoad_act!T81=0,0,TrRoad_emi!T78/TrRoad_tech!T193)</f>
        <v>1.1585295046632602</v>
      </c>
      <c r="U220" s="93">
        <f>IF(TrRoad_act!U81=0,0,TrRoad_emi!U78/TrRoad_tech!U193)</f>
        <v>1.1412868081260397</v>
      </c>
      <c r="V220" s="93">
        <f>IF(TrRoad_act!V81=0,0,TrRoad_emi!V78/TrRoad_tech!V193)</f>
        <v>1.0418491216486758</v>
      </c>
      <c r="W220" s="93">
        <f>IF(TrRoad_act!W81=0,0,TrRoad_emi!W78/TrRoad_tech!W193)</f>
        <v>1.2032192595801303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1.1131968905664551</v>
      </c>
      <c r="C221" s="94">
        <f>IF(TrRoad_act!C82=0,0,TrRoad_emi!C79/TrRoad_tech!C194)</f>
        <v>1.3420693450797503</v>
      </c>
      <c r="D221" s="94">
        <f>IF(TrRoad_act!D82=0,0,TrRoad_emi!D79/TrRoad_tech!D194)</f>
        <v>1.4609488031756299</v>
      </c>
      <c r="E221" s="94">
        <f>IF(TrRoad_act!E82=0,0,TrRoad_emi!E79/TrRoad_tech!E194)</f>
        <v>1.2364254736254305</v>
      </c>
      <c r="F221" s="94">
        <f>IF(TrRoad_act!F82=0,0,TrRoad_emi!F79/TrRoad_tech!F194)</f>
        <v>1.2868365528924832</v>
      </c>
      <c r="G221" s="94">
        <f>IF(TrRoad_act!G82=0,0,TrRoad_emi!G79/TrRoad_tech!G194)</f>
        <v>1.3282553934449468</v>
      </c>
      <c r="H221" s="94">
        <f>IF(TrRoad_act!H82=0,0,TrRoad_emi!H79/TrRoad_tech!H194)</f>
        <v>1.3351989718091977</v>
      </c>
      <c r="I221" s="94">
        <f>IF(TrRoad_act!I82=0,0,TrRoad_emi!I79/TrRoad_tech!I194)</f>
        <v>1.4286960552334065</v>
      </c>
      <c r="J221" s="94">
        <f>IF(TrRoad_act!J82=0,0,TrRoad_emi!J79/TrRoad_tech!J194)</f>
        <v>1.4365920148303142</v>
      </c>
      <c r="K221" s="94">
        <f>IF(TrRoad_act!K82=0,0,TrRoad_emi!K79/TrRoad_tech!K194)</f>
        <v>1.3692763094830001</v>
      </c>
      <c r="L221" s="94">
        <f>IF(TrRoad_act!L82=0,0,TrRoad_emi!L79/TrRoad_tech!L194)</f>
        <v>1.6919032174137458</v>
      </c>
      <c r="M221" s="94">
        <f>IF(TrRoad_act!M82=0,0,TrRoad_emi!M79/TrRoad_tech!M194)</f>
        <v>1.7497272106453525</v>
      </c>
      <c r="N221" s="94">
        <f>IF(TrRoad_act!N82=0,0,TrRoad_emi!N79/TrRoad_tech!N194)</f>
        <v>1.7702921229602864</v>
      </c>
      <c r="O221" s="94">
        <f>IF(TrRoad_act!O82=0,0,TrRoad_emi!O79/TrRoad_tech!O194)</f>
        <v>1.5676279223101395</v>
      </c>
      <c r="P221" s="94">
        <f>IF(TrRoad_act!P82=0,0,TrRoad_emi!P79/TrRoad_tech!P194)</f>
        <v>1.546316167080988</v>
      </c>
      <c r="Q221" s="94">
        <f>IF(TrRoad_act!Q82=0,0,TrRoad_emi!Q79/TrRoad_tech!Q194)</f>
        <v>1.4312876675799524</v>
      </c>
      <c r="R221" s="94">
        <f>IF(TrRoad_act!R82=0,0,TrRoad_emi!R79/TrRoad_tech!R194)</f>
        <v>1.2468383072714253</v>
      </c>
      <c r="S221" s="94">
        <f>IF(TrRoad_act!S82=0,0,TrRoad_emi!S79/TrRoad_tech!S194)</f>
        <v>1.2225292075615211</v>
      </c>
      <c r="T221" s="94">
        <f>IF(TrRoad_act!T82=0,0,TrRoad_emi!T79/TrRoad_tech!T194)</f>
        <v>1.1915180107242309</v>
      </c>
      <c r="U221" s="94">
        <f>IF(TrRoad_act!U82=0,0,TrRoad_emi!U79/TrRoad_tech!U194)</f>
        <v>1.1669911171150618</v>
      </c>
      <c r="V221" s="94">
        <f>IF(TrRoad_act!V82=0,0,TrRoad_emi!V79/TrRoad_tech!V194)</f>
        <v>1.0869101921834461</v>
      </c>
      <c r="W221" s="94">
        <f>IF(TrRoad_act!W82=0,0,TrRoad_emi!W79/TrRoad_tech!W194)</f>
        <v>1.2399494972696223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122.8751882217238</v>
      </c>
      <c r="C225" s="152">
        <v>122.20624460398142</v>
      </c>
      <c r="D225" s="152">
        <v>121.46724428987137</v>
      </c>
      <c r="E225" s="152">
        <v>119.94686979042933</v>
      </c>
      <c r="F225" s="152">
        <v>119.78076421523944</v>
      </c>
      <c r="G225" s="152">
        <v>118.16716719910922</v>
      </c>
      <c r="H225" s="152">
        <v>115.78406068158912</v>
      </c>
      <c r="I225" s="152">
        <v>114.08571592301507</v>
      </c>
      <c r="J225" s="152">
        <v>108.54660347688733</v>
      </c>
      <c r="K225" s="152">
        <v>102.57188763459834</v>
      </c>
      <c r="L225" s="152">
        <v>98.841292012221587</v>
      </c>
      <c r="M225" s="152">
        <v>94.898803027635594</v>
      </c>
      <c r="N225" s="152">
        <v>92.734466383403998</v>
      </c>
      <c r="O225" s="152">
        <v>89.422581970580396</v>
      </c>
      <c r="P225" s="152">
        <v>85.500644765120995</v>
      </c>
      <c r="Q225" s="152">
        <v>82.400613759634211</v>
      </c>
      <c r="R225" s="152">
        <v>80.298689237254322</v>
      </c>
      <c r="S225" s="152">
        <v>78.617149619350414</v>
      </c>
      <c r="T225" s="152">
        <v>77.271917925027296</v>
      </c>
      <c r="U225" s="152">
        <v>76.19573256956879</v>
      </c>
      <c r="V225" s="152">
        <v>75.334784285201991</v>
      </c>
      <c r="W225" s="152">
        <v>74.646025657708563</v>
      </c>
      <c r="DA225" s="174" t="s">
        <v>931</v>
      </c>
    </row>
    <row r="226" spans="1:105" ht="11.45" customHeight="1" x14ac:dyDescent="0.25">
      <c r="A226" s="109" t="s">
        <v>20</v>
      </c>
      <c r="B226" s="116">
        <v>232.34219135347561</v>
      </c>
      <c r="C226" s="116">
        <v>231.45694005055591</v>
      </c>
      <c r="D226" s="116">
        <v>234.28101638769877</v>
      </c>
      <c r="E226" s="116">
        <v>231.2119710446768</v>
      </c>
      <c r="F226" s="116">
        <v>228.91144146541777</v>
      </c>
      <c r="G226" s="116">
        <v>226.07507518870915</v>
      </c>
      <c r="H226" s="116">
        <v>223.56146093883009</v>
      </c>
      <c r="I226" s="116">
        <v>220.218536123235</v>
      </c>
      <c r="J226" s="116">
        <v>210.34067066098359</v>
      </c>
      <c r="K226" s="116">
        <v>199.95572907649301</v>
      </c>
      <c r="L226" s="116">
        <v>192.31531685670814</v>
      </c>
      <c r="M226" s="116">
        <v>187.30815128997892</v>
      </c>
      <c r="N226" s="116">
        <v>183.16248013544333</v>
      </c>
      <c r="O226" s="116">
        <v>176.4149725266964</v>
      </c>
      <c r="P226" s="116">
        <v>170.98628605125305</v>
      </c>
      <c r="Q226" s="116">
        <v>163.919517282057</v>
      </c>
      <c r="R226" s="116">
        <v>159.21397828949139</v>
      </c>
      <c r="S226" s="116">
        <v>158.73435814452944</v>
      </c>
      <c r="T226" s="116">
        <v>158.49661658714476</v>
      </c>
      <c r="U226" s="116">
        <v>158.15745348963324</v>
      </c>
      <c r="V226" s="116">
        <v>147.08593145730913</v>
      </c>
      <c r="W226" s="116">
        <v>144.82070031457337</v>
      </c>
      <c r="DA226" s="176" t="s">
        <v>932</v>
      </c>
    </row>
    <row r="227" spans="1:105" ht="11.45" customHeight="1" x14ac:dyDescent="0.25">
      <c r="A227" s="111" t="s">
        <v>110</v>
      </c>
      <c r="B227" s="87">
        <v>240.44545554598471</v>
      </c>
      <c r="C227" s="87">
        <v>239.13644877878932</v>
      </c>
      <c r="D227" s="87">
        <v>237.69035319394118</v>
      </c>
      <c r="E227" s="87">
        <v>234.71524369942557</v>
      </c>
      <c r="F227" s="87">
        <v>234.39020386613404</v>
      </c>
      <c r="G227" s="87">
        <v>231.23267405701608</v>
      </c>
      <c r="H227" s="87">
        <v>226.56934746918</v>
      </c>
      <c r="I227" s="87">
        <v>223.24598101042344</v>
      </c>
      <c r="J227" s="87">
        <v>212.40689759004781</v>
      </c>
      <c r="K227" s="87">
        <v>200.71541379053002</v>
      </c>
      <c r="L227" s="87">
        <v>193.41528447344103</v>
      </c>
      <c r="M227" s="87">
        <v>185.6877266746344</v>
      </c>
      <c r="N227" s="87">
        <v>181.4481611703593</v>
      </c>
      <c r="O227" s="87">
        <v>174.96522055567857</v>
      </c>
      <c r="P227" s="87">
        <v>167.48027072835666</v>
      </c>
      <c r="Q227" s="87">
        <v>161.34915364677153</v>
      </c>
      <c r="R227" s="87">
        <v>157.62475418498491</v>
      </c>
      <c r="S227" s="87">
        <v>154.9936915829677</v>
      </c>
      <c r="T227" s="87">
        <v>154.51978378378379</v>
      </c>
      <c r="U227" s="87">
        <v>155.11674425743081</v>
      </c>
      <c r="V227" s="87">
        <v>150.30019059720459</v>
      </c>
      <c r="W227" s="87">
        <v>145.93289308176099</v>
      </c>
      <c r="DA227" s="171" t="s">
        <v>933</v>
      </c>
    </row>
    <row r="228" spans="1:105" ht="11.45" customHeight="1" x14ac:dyDescent="0.25">
      <c r="A228" s="111" t="s">
        <v>111</v>
      </c>
      <c r="B228" s="87">
        <v>217.22206806181177</v>
      </c>
      <c r="C228" s="87">
        <v>217.11414913233563</v>
      </c>
      <c r="D228" s="87">
        <v>216.99430209205281</v>
      </c>
      <c r="E228" s="87">
        <v>217.48867113321938</v>
      </c>
      <c r="F228" s="87">
        <v>216.05425186983447</v>
      </c>
      <c r="G228" s="87">
        <v>216.69842971135461</v>
      </c>
      <c r="H228" s="87">
        <v>218.0879063346334</v>
      </c>
      <c r="I228" s="87">
        <v>216.08046840989635</v>
      </c>
      <c r="J228" s="87">
        <v>206.33166072689158</v>
      </c>
      <c r="K228" s="87">
        <v>198.22325940775778</v>
      </c>
      <c r="L228" s="87">
        <v>190.60922712979055</v>
      </c>
      <c r="M228" s="87">
        <v>189.94325351257299</v>
      </c>
      <c r="N228" s="87">
        <v>188.62579483090934</v>
      </c>
      <c r="O228" s="87">
        <v>178.71414157694477</v>
      </c>
      <c r="P228" s="87">
        <v>177.06232146253714</v>
      </c>
      <c r="Q228" s="87">
        <v>167.51688410964491</v>
      </c>
      <c r="R228" s="87">
        <v>163.13122536060919</v>
      </c>
      <c r="S228" s="87">
        <v>165.5032144530573</v>
      </c>
      <c r="T228" s="87">
        <v>167.1215895610913</v>
      </c>
      <c r="U228" s="87">
        <v>170.0969018932874</v>
      </c>
      <c r="V228" s="87">
        <v>156.92366412213741</v>
      </c>
      <c r="W228" s="87">
        <v>154.9924075924076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215.85534801123779</v>
      </c>
      <c r="D229" s="87">
        <v>222.46044230964594</v>
      </c>
      <c r="E229" s="87">
        <v>227.75796076346325</v>
      </c>
      <c r="F229" s="87">
        <v>223.68460810333309</v>
      </c>
      <c r="G229" s="87">
        <v>215.81890920748461</v>
      </c>
      <c r="H229" s="87">
        <v>217.23445279988624</v>
      </c>
      <c r="I229" s="87">
        <v>0</v>
      </c>
      <c r="J229" s="87">
        <v>204.15849371491728</v>
      </c>
      <c r="K229" s="87">
        <v>190.66776179501105</v>
      </c>
      <c r="L229" s="87">
        <v>0</v>
      </c>
      <c r="M229" s="87">
        <v>170.6770757390974</v>
      </c>
      <c r="N229" s="87">
        <v>167.1302787068004</v>
      </c>
      <c r="O229" s="87">
        <v>158.74992307692304</v>
      </c>
      <c r="P229" s="87">
        <v>152.16961538461533</v>
      </c>
      <c r="Q229" s="87">
        <v>131.57775618467235</v>
      </c>
      <c r="R229" s="87">
        <v>128.54056563708446</v>
      </c>
      <c r="S229" s="87">
        <v>126.39497450301062</v>
      </c>
      <c r="T229" s="87">
        <v>125.79999999999998</v>
      </c>
      <c r="U229" s="87">
        <v>168.21153846153851</v>
      </c>
      <c r="V229" s="87">
        <v>124.95744680851061</v>
      </c>
      <c r="W229" s="87">
        <v>120.0858369098712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180.44414457831326</v>
      </c>
      <c r="M230" s="87">
        <v>188.58448192771084</v>
      </c>
      <c r="N230" s="87">
        <v>190.91029259896769</v>
      </c>
      <c r="O230" s="87">
        <v>185.67721858864047</v>
      </c>
      <c r="P230" s="87">
        <v>181.96048192771147</v>
      </c>
      <c r="Q230" s="87">
        <v>144.53089156626521</v>
      </c>
      <c r="R230" s="87">
        <v>123.91402409638553</v>
      </c>
      <c r="S230" s="87">
        <v>152.76699759036143</v>
      </c>
      <c r="T230" s="87">
        <v>138</v>
      </c>
      <c r="U230" s="87">
        <v>114.878892733564</v>
      </c>
      <c r="V230" s="87">
        <v>109.2811550151976</v>
      </c>
      <c r="W230" s="87">
        <v>103.6587982832618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0</v>
      </c>
      <c r="P231" s="87">
        <v>58.423574494175348</v>
      </c>
      <c r="Q231" s="87">
        <v>76.94168139358753</v>
      </c>
      <c r="R231" s="87">
        <v>64.005058246474547</v>
      </c>
      <c r="S231" s="87">
        <v>50.184819129368485</v>
      </c>
      <c r="T231" s="87">
        <v>62.286123032904158</v>
      </c>
      <c r="U231" s="87">
        <v>65.966666666666669</v>
      </c>
      <c r="V231" s="87">
        <v>61.67460317460317</v>
      </c>
      <c r="W231" s="87">
        <v>41.718894009216591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1468.3089706924518</v>
      </c>
      <c r="C233" s="116">
        <v>1466.3019199391601</v>
      </c>
      <c r="D233" s="116">
        <v>1464.0750810265695</v>
      </c>
      <c r="E233" s="116">
        <v>1459.4503021007135</v>
      </c>
      <c r="F233" s="116">
        <v>1458.9445054942155</v>
      </c>
      <c r="G233" s="116">
        <v>1453.9809032884027</v>
      </c>
      <c r="H233" s="116">
        <v>1446.5376222032996</v>
      </c>
      <c r="I233" s="116">
        <v>1441.1740882167853</v>
      </c>
      <c r="J233" s="116">
        <v>1423.0199787765757</v>
      </c>
      <c r="K233" s="116">
        <v>1402.5950190870642</v>
      </c>
      <c r="L233" s="116">
        <v>1000.6812094725298</v>
      </c>
      <c r="M233" s="116">
        <v>1366.9426438785304</v>
      </c>
      <c r="N233" s="116">
        <v>1366.1385999351016</v>
      </c>
      <c r="O233" s="116">
        <v>1347.6466889556216</v>
      </c>
      <c r="P233" s="116">
        <v>1322.4146142439563</v>
      </c>
      <c r="Q233" s="116">
        <v>1306.4494069412281</v>
      </c>
      <c r="R233" s="116">
        <v>1290.9061129973841</v>
      </c>
      <c r="S233" s="116">
        <v>1268.4864276195685</v>
      </c>
      <c r="T233" s="116">
        <v>1255.9400001192903</v>
      </c>
      <c r="U233" s="116">
        <v>1218.4329529766583</v>
      </c>
      <c r="V233" s="116">
        <v>1172.2528566875467</v>
      </c>
      <c r="W233" s="116">
        <v>1147.7012014914328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299.19033439081585</v>
      </c>
      <c r="T234" s="101">
        <v>0</v>
      </c>
      <c r="U234" s="101">
        <v>285.37094703013878</v>
      </c>
      <c r="V234" s="101">
        <v>0</v>
      </c>
      <c r="W234" s="101">
        <v>274.64654265117184</v>
      </c>
      <c r="DA234" s="175" t="s">
        <v>940</v>
      </c>
    </row>
    <row r="235" spans="1:105" ht="11.45" customHeight="1" x14ac:dyDescent="0.25">
      <c r="A235" s="111" t="s">
        <v>111</v>
      </c>
      <c r="B235" s="101">
        <v>1468.3089706924518</v>
      </c>
      <c r="C235" s="101">
        <v>1466.3019199391601</v>
      </c>
      <c r="D235" s="101">
        <v>1464.0750810265695</v>
      </c>
      <c r="E235" s="101">
        <v>1459.4503021007135</v>
      </c>
      <c r="F235" s="101">
        <v>1458.9445054942155</v>
      </c>
      <c r="G235" s="101">
        <v>1453.9809032884027</v>
      </c>
      <c r="H235" s="101">
        <v>1446.5376222032996</v>
      </c>
      <c r="I235" s="101">
        <v>1441.1740882167853</v>
      </c>
      <c r="J235" s="101">
        <v>1423.0199787765757</v>
      </c>
      <c r="K235" s="101">
        <v>1402.5950190870642</v>
      </c>
      <c r="L235" s="101">
        <v>1389.4840935537036</v>
      </c>
      <c r="M235" s="101">
        <v>1375.2012063239699</v>
      </c>
      <c r="N235" s="101">
        <v>1367.2237718658919</v>
      </c>
      <c r="O235" s="101">
        <v>1354.6806711738041</v>
      </c>
      <c r="P235" s="101">
        <v>1339.3219085652913</v>
      </c>
      <c r="Q235" s="101">
        <v>1326.8424723811845</v>
      </c>
      <c r="R235" s="101">
        <v>1318.1761183038611</v>
      </c>
      <c r="S235" s="101">
        <v>1312.143372368824</v>
      </c>
      <c r="T235" s="101">
        <v>1307.9368853239969</v>
      </c>
      <c r="U235" s="101">
        <v>1305.0003706694652</v>
      </c>
      <c r="V235" s="101">
        <v>1302.948734077816</v>
      </c>
      <c r="W235" s="101">
        <v>1301.514507907943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924.93619880499591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885.48618947417015</v>
      </c>
      <c r="M237" s="101">
        <v>876.38403461941436</v>
      </c>
      <c r="N237" s="101">
        <v>871.30019949468317</v>
      </c>
      <c r="O237" s="101">
        <v>863.30677050362397</v>
      </c>
      <c r="P237" s="101">
        <v>853.5189850656003</v>
      </c>
      <c r="Q237" s="101">
        <v>845.56612799820584</v>
      </c>
      <c r="R237" s="101">
        <v>838.47193404901395</v>
      </c>
      <c r="S237" s="101">
        <v>832.13806284564293</v>
      </c>
      <c r="T237" s="101">
        <v>826.47849781905916</v>
      </c>
      <c r="U237" s="101">
        <v>821.41780744870402</v>
      </c>
      <c r="V237" s="101">
        <v>816.88968593218647</v>
      </c>
      <c r="W237" s="101">
        <v>812.83572264392649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262.24626717911809</v>
      </c>
      <c r="C240" s="152">
        <v>261.68739810927957</v>
      </c>
      <c r="D240" s="152">
        <v>261.27354639327973</v>
      </c>
      <c r="E240" s="152">
        <v>262.39852219648338</v>
      </c>
      <c r="F240" s="152">
        <v>260.21427371623867</v>
      </c>
      <c r="G240" s="152">
        <v>259.66464029858105</v>
      </c>
      <c r="H240" s="152">
        <v>261.30790981142997</v>
      </c>
      <c r="I240" s="152">
        <v>259.93138896065511</v>
      </c>
      <c r="J240" s="152">
        <v>243.13572219576253</v>
      </c>
      <c r="K240" s="152">
        <v>233.78039772895229</v>
      </c>
      <c r="L240" s="152">
        <v>227.33947522868672</v>
      </c>
      <c r="M240" s="152">
        <v>225.36702774110299</v>
      </c>
      <c r="N240" s="152">
        <v>224.54594358373035</v>
      </c>
      <c r="O240" s="152">
        <v>222.81669113085781</v>
      </c>
      <c r="P240" s="152">
        <v>218.6087821763137</v>
      </c>
      <c r="Q240" s="152">
        <v>199.95780588076465</v>
      </c>
      <c r="R240" s="152">
        <v>196.72584948773746</v>
      </c>
      <c r="S240" s="152">
        <v>188.10313584901357</v>
      </c>
      <c r="T240" s="152">
        <v>192.37458549187187</v>
      </c>
      <c r="U240" s="152">
        <v>189.52684706032869</v>
      </c>
      <c r="V240" s="152">
        <v>202.78747458391044</v>
      </c>
      <c r="W240" s="152">
        <v>201.31364170892755</v>
      </c>
      <c r="DA240" s="174" t="s">
        <v>945</v>
      </c>
    </row>
    <row r="241" spans="1:105" ht="11.45" customHeight="1" x14ac:dyDescent="0.25">
      <c r="A241" s="111" t="s">
        <v>110</v>
      </c>
      <c r="B241" s="87">
        <v>255.49876208168405</v>
      </c>
      <c r="C241" s="87">
        <v>254.1078037547091</v>
      </c>
      <c r="D241" s="87">
        <v>252.57117403990949</v>
      </c>
      <c r="E241" s="87">
        <v>249.40980510831486</v>
      </c>
      <c r="F241" s="87">
        <v>249.06441586049294</v>
      </c>
      <c r="G241" s="87">
        <v>245.7092060245084</v>
      </c>
      <c r="H241" s="87">
        <v>240.75392763228757</v>
      </c>
      <c r="I241" s="87">
        <v>237.22249879231225</v>
      </c>
      <c r="J241" s="87">
        <v>225.70482469147467</v>
      </c>
      <c r="K241" s="87">
        <v>213.2813849101245</v>
      </c>
      <c r="L241" s="87">
        <v>205.52422435445018</v>
      </c>
      <c r="M241" s="87">
        <v>197.32646637205954</v>
      </c>
      <c r="N241" s="87">
        <v>192.82608398134155</v>
      </c>
      <c r="O241" s="87">
        <v>198.81879114009982</v>
      </c>
      <c r="P241" s="87">
        <v>204.98899389214742</v>
      </c>
      <c r="Q241" s="87">
        <v>169.59145219263834</v>
      </c>
      <c r="R241" s="87">
        <v>163.51131634447538</v>
      </c>
      <c r="S241" s="87">
        <v>162.26045991321641</v>
      </c>
      <c r="T241" s="87">
        <v>161.21555185853825</v>
      </c>
      <c r="U241" s="87">
        <v>160.01666666666671</v>
      </c>
      <c r="V241" s="87">
        <v>162.88490836086061</v>
      </c>
      <c r="W241" s="87">
        <v>161.6030534351145</v>
      </c>
      <c r="DA241" s="171" t="s">
        <v>946</v>
      </c>
    </row>
    <row r="242" spans="1:105" ht="11.45" customHeight="1" x14ac:dyDescent="0.25">
      <c r="A242" s="111" t="s">
        <v>111</v>
      </c>
      <c r="B242" s="87">
        <v>265.70773729410178</v>
      </c>
      <c r="C242" s="87">
        <v>265.57573001317422</v>
      </c>
      <c r="D242" s="87">
        <v>265.42913217355749</v>
      </c>
      <c r="E242" s="87">
        <v>266.03384826197657</v>
      </c>
      <c r="F242" s="87">
        <v>264.27925536906378</v>
      </c>
      <c r="G242" s="87">
        <v>265.06721875700367</v>
      </c>
      <c r="H242" s="87">
        <v>266.76683746006023</v>
      </c>
      <c r="I242" s="87">
        <v>264.31132364647999</v>
      </c>
      <c r="J242" s="87">
        <v>252.38650563015642</v>
      </c>
      <c r="K242" s="87">
        <v>242.4682455435869</v>
      </c>
      <c r="L242" s="87">
        <v>233.15470154543638</v>
      </c>
      <c r="M242" s="87">
        <v>232.34007739372225</v>
      </c>
      <c r="N242" s="87">
        <v>230.7285516016768</v>
      </c>
      <c r="O242" s="87">
        <v>225.48019017769943</v>
      </c>
      <c r="P242" s="87">
        <v>220.75670689248076</v>
      </c>
      <c r="Q242" s="87">
        <v>205.21366133789766</v>
      </c>
      <c r="R242" s="87">
        <v>202.34805246353372</v>
      </c>
      <c r="S242" s="87">
        <v>192.69796037302063</v>
      </c>
      <c r="T242" s="87">
        <v>197.26209512124586</v>
      </c>
      <c r="U242" s="87">
        <v>194.32844827586209</v>
      </c>
      <c r="V242" s="87">
        <v>209.74447060654069</v>
      </c>
      <c r="W242" s="87">
        <v>206.1358710752987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169.34141390428164</v>
      </c>
      <c r="S243" s="87">
        <v>150.02058144540385</v>
      </c>
      <c r="T243" s="87">
        <v>150.02058144540385</v>
      </c>
      <c r="U243" s="87">
        <v>162.52229656585419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168.35238378109159</v>
      </c>
      <c r="O244" s="87">
        <v>167.14573123549133</v>
      </c>
      <c r="P244" s="87">
        <v>202.50348207376831</v>
      </c>
      <c r="Q244" s="87">
        <v>154.07407789527983</v>
      </c>
      <c r="R244" s="87">
        <v>0</v>
      </c>
      <c r="S244" s="87">
        <v>125.35929842661848</v>
      </c>
      <c r="T244" s="87">
        <v>127.5021924168171</v>
      </c>
      <c r="U244" s="87">
        <v>134</v>
      </c>
      <c r="V244" s="87">
        <v>140</v>
      </c>
      <c r="W244" s="87">
        <v>176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967.75203551742402</v>
      </c>
      <c r="C246" s="116">
        <v>967.98418901250557</v>
      </c>
      <c r="D246" s="116">
        <v>947.85770669313047</v>
      </c>
      <c r="E246" s="116">
        <v>940.21160354012363</v>
      </c>
      <c r="F246" s="116">
        <v>940.08054427110176</v>
      </c>
      <c r="G246" s="116">
        <v>930.39063809606102</v>
      </c>
      <c r="H246" s="116">
        <v>919.8747882616193</v>
      </c>
      <c r="I246" s="116">
        <v>910.50497370089897</v>
      </c>
      <c r="J246" s="116">
        <v>894.07642643241172</v>
      </c>
      <c r="K246" s="116">
        <v>878.8012478168464</v>
      </c>
      <c r="L246" s="116">
        <v>890.1282739863002</v>
      </c>
      <c r="M246" s="116">
        <v>865.61273641048228</v>
      </c>
      <c r="N246" s="116">
        <v>842.44503222090657</v>
      </c>
      <c r="O246" s="116">
        <v>863.64427440576492</v>
      </c>
      <c r="P246" s="116">
        <v>804.65273036258827</v>
      </c>
      <c r="Q246" s="116">
        <v>796.65479798825584</v>
      </c>
      <c r="R246" s="116">
        <v>743.71712727459112</v>
      </c>
      <c r="S246" s="116">
        <v>710.38417211768297</v>
      </c>
      <c r="T246" s="116">
        <v>684.99967348396387</v>
      </c>
      <c r="U246" s="116">
        <v>638.25666702447199</v>
      </c>
      <c r="V246" s="116">
        <v>649.4737257394637</v>
      </c>
      <c r="W246" s="116">
        <v>609.74654441411712</v>
      </c>
      <c r="DA246" s="176" t="s">
        <v>951</v>
      </c>
    </row>
    <row r="247" spans="1:105" ht="11.45" customHeight="1" x14ac:dyDescent="0.25">
      <c r="A247" s="128" t="s">
        <v>27</v>
      </c>
      <c r="B247" s="101">
        <v>892.48909290011159</v>
      </c>
      <c r="C247" s="101">
        <v>888.38284824565369</v>
      </c>
      <c r="D247" s="101">
        <v>883.84250813788049</v>
      </c>
      <c r="E247" s="101">
        <v>878.18893958407568</v>
      </c>
      <c r="F247" s="101">
        <v>871.43650840841815</v>
      </c>
      <c r="G247" s="101">
        <v>863.60225155780972</v>
      </c>
      <c r="H247" s="101">
        <v>854.70577085994898</v>
      </c>
      <c r="I247" s="101">
        <v>844.76911228478195</v>
      </c>
      <c r="J247" s="101">
        <v>833.81663207246902</v>
      </c>
      <c r="K247" s="101">
        <v>821.87485119713176</v>
      </c>
      <c r="L247" s="101">
        <v>808.97229976935523</v>
      </c>
      <c r="M247" s="101">
        <v>795.13935300538003</v>
      </c>
      <c r="N247" s="101">
        <v>780.40806045399404</v>
      </c>
      <c r="O247" s="101">
        <v>764.81197019190859</v>
      </c>
      <c r="P247" s="101">
        <v>748.38594965817288</v>
      </c>
      <c r="Q247" s="101">
        <v>731.16600479844828</v>
      </c>
      <c r="R247" s="101">
        <v>690.11503125786442</v>
      </c>
      <c r="S247" s="101">
        <v>661.37934977945577</v>
      </c>
      <c r="T247" s="101">
        <v>631.20688422712669</v>
      </c>
      <c r="U247" s="101">
        <v>594.32942632983543</v>
      </c>
      <c r="V247" s="101">
        <v>578.09198609729799</v>
      </c>
      <c r="W247" s="101">
        <v>570.14038760837707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365.7</v>
      </c>
      <c r="C4" s="28">
        <f t="shared" ref="C4:V4" si="1">SUM(C5,C6,C9)</f>
        <v>270.24900000000002</v>
      </c>
      <c r="D4" s="28">
        <f t="shared" si="1"/>
        <v>269.35000000000002</v>
      </c>
      <c r="E4" s="28">
        <f t="shared" si="1"/>
        <v>275.11399999999998</v>
      </c>
      <c r="F4" s="28">
        <f t="shared" si="1"/>
        <v>276.39999999999998</v>
      </c>
      <c r="G4" s="28">
        <f t="shared" si="1"/>
        <v>323.3</v>
      </c>
      <c r="H4" s="28">
        <f t="shared" si="1"/>
        <v>335.6</v>
      </c>
      <c r="I4" s="28">
        <f t="shared" si="1"/>
        <v>353.2</v>
      </c>
      <c r="J4" s="28">
        <f t="shared" si="1"/>
        <v>345.84699999999998</v>
      </c>
      <c r="K4" s="28">
        <f t="shared" si="1"/>
        <v>320.84699999999998</v>
      </c>
      <c r="L4" s="28">
        <f t="shared" si="1"/>
        <v>318.84699999999998</v>
      </c>
      <c r="M4" s="28">
        <f t="shared" si="1"/>
        <v>307.84800000000001</v>
      </c>
      <c r="N4" s="28">
        <f t="shared" si="1"/>
        <v>327.40100000000001</v>
      </c>
      <c r="O4" s="28">
        <f t="shared" si="1"/>
        <v>298.76400000000001</v>
      </c>
      <c r="P4" s="28">
        <f t="shared" si="1"/>
        <v>338.51800000000003</v>
      </c>
      <c r="Q4" s="28">
        <f t="shared" si="1"/>
        <v>341.14600000000002</v>
      </c>
      <c r="R4" s="28">
        <f t="shared" si="1"/>
        <v>373.03399999999999</v>
      </c>
      <c r="S4" s="28">
        <f t="shared" si="1"/>
        <v>425.60500000000002</v>
      </c>
      <c r="T4" s="28">
        <f t="shared" si="1"/>
        <v>500.892</v>
      </c>
      <c r="U4" s="28">
        <f t="shared" si="1"/>
        <v>479.34800000000001</v>
      </c>
      <c r="V4" s="28">
        <f t="shared" si="1"/>
        <v>313.43399999999997</v>
      </c>
      <c r="W4" s="28">
        <f t="shared" ref="W4" si="2">SUM(W5,W6,W9)</f>
        <v>346.89963879999999</v>
      </c>
      <c r="DA4" s="173" t="s">
        <v>375</v>
      </c>
    </row>
    <row r="5" spans="1:105" ht="11.45" customHeight="1" x14ac:dyDescent="0.25">
      <c r="A5" s="107" t="s">
        <v>23</v>
      </c>
      <c r="B5" s="108">
        <v>104.7</v>
      </c>
      <c r="C5" s="108">
        <v>87.6</v>
      </c>
      <c r="D5" s="108">
        <v>92.4</v>
      </c>
      <c r="E5" s="108">
        <v>93.3</v>
      </c>
      <c r="F5" s="108">
        <v>83.4</v>
      </c>
      <c r="G5" s="108">
        <v>75.300000000000011</v>
      </c>
      <c r="H5" s="108">
        <v>78.600000000000009</v>
      </c>
      <c r="I5" s="108">
        <v>79.199999999999989</v>
      </c>
      <c r="J5" s="108">
        <v>71.846999999999994</v>
      </c>
      <c r="K5" s="108">
        <v>71.846999999999994</v>
      </c>
      <c r="L5" s="108">
        <v>71.846999999999994</v>
      </c>
      <c r="M5" s="108">
        <v>64.847999999999999</v>
      </c>
      <c r="N5" s="108">
        <v>92.400999999999996</v>
      </c>
      <c r="O5" s="108">
        <v>75.763999999999996</v>
      </c>
      <c r="P5" s="108">
        <v>58.518000000000001</v>
      </c>
      <c r="Q5" s="108">
        <v>55.146000000000001</v>
      </c>
      <c r="R5" s="108">
        <v>57.033999999999999</v>
      </c>
      <c r="S5" s="108">
        <v>59.604999999999997</v>
      </c>
      <c r="T5" s="108">
        <v>83.891999999999996</v>
      </c>
      <c r="U5" s="108">
        <v>87.347999999999999</v>
      </c>
      <c r="V5" s="108">
        <v>50.433999999999997</v>
      </c>
      <c r="W5" s="108">
        <v>56.899638799999998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261</v>
      </c>
      <c r="C6" s="110">
        <f t="shared" ref="C6:V6" si="4">SUM(C7:C8)</f>
        <v>182.649</v>
      </c>
      <c r="D6" s="110">
        <f t="shared" si="4"/>
        <v>176.95</v>
      </c>
      <c r="E6" s="110">
        <f t="shared" si="4"/>
        <v>181.81399999999999</v>
      </c>
      <c r="F6" s="110">
        <f t="shared" si="4"/>
        <v>193</v>
      </c>
      <c r="G6" s="110">
        <f t="shared" si="4"/>
        <v>248</v>
      </c>
      <c r="H6" s="110">
        <f t="shared" si="4"/>
        <v>257</v>
      </c>
      <c r="I6" s="110">
        <f t="shared" si="4"/>
        <v>274</v>
      </c>
      <c r="J6" s="110">
        <f t="shared" si="4"/>
        <v>274</v>
      </c>
      <c r="K6" s="110">
        <f t="shared" si="4"/>
        <v>249</v>
      </c>
      <c r="L6" s="110">
        <f t="shared" si="4"/>
        <v>247</v>
      </c>
      <c r="M6" s="110">
        <f t="shared" si="4"/>
        <v>243</v>
      </c>
      <c r="N6" s="110">
        <f t="shared" si="4"/>
        <v>235</v>
      </c>
      <c r="O6" s="110">
        <f t="shared" si="4"/>
        <v>223</v>
      </c>
      <c r="P6" s="110">
        <f t="shared" si="4"/>
        <v>280</v>
      </c>
      <c r="Q6" s="110">
        <f t="shared" si="4"/>
        <v>286</v>
      </c>
      <c r="R6" s="110">
        <f t="shared" si="4"/>
        <v>316</v>
      </c>
      <c r="S6" s="110">
        <f t="shared" si="4"/>
        <v>366</v>
      </c>
      <c r="T6" s="110">
        <f t="shared" si="4"/>
        <v>417</v>
      </c>
      <c r="U6" s="110">
        <f t="shared" si="4"/>
        <v>392</v>
      </c>
      <c r="V6" s="110">
        <f t="shared" si="4"/>
        <v>263</v>
      </c>
      <c r="W6" s="110">
        <f t="shared" ref="W6" si="5">SUM(W7:W8)</f>
        <v>290</v>
      </c>
      <c r="DA6" s="176" t="s">
        <v>377</v>
      </c>
    </row>
    <row r="7" spans="1:105" ht="11.45" customHeight="1" x14ac:dyDescent="0.25">
      <c r="A7" s="111" t="s">
        <v>90</v>
      </c>
      <c r="B7" s="84">
        <v>179.63799670439508</v>
      </c>
      <c r="C7" s="84">
        <v>99.363967764623141</v>
      </c>
      <c r="D7" s="84">
        <v>97.913604074433565</v>
      </c>
      <c r="E7" s="84">
        <v>95.815049995244593</v>
      </c>
      <c r="F7" s="84">
        <v>104.9348148148148</v>
      </c>
      <c r="G7" s="84">
        <v>124.63169510430127</v>
      </c>
      <c r="H7" s="84">
        <v>143.96935639432627</v>
      </c>
      <c r="I7" s="84">
        <v>181.71075130197568</v>
      </c>
      <c r="J7" s="84">
        <v>126.83989280424883</v>
      </c>
      <c r="K7" s="84">
        <v>123.78897573576117</v>
      </c>
      <c r="L7" s="84">
        <v>146.74269036979655</v>
      </c>
      <c r="M7" s="84">
        <v>149.19601258978804</v>
      </c>
      <c r="N7" s="84">
        <v>118.44362793142164</v>
      </c>
      <c r="O7" s="84">
        <v>159.45927398767012</v>
      </c>
      <c r="P7" s="84">
        <v>189.01374041990579</v>
      </c>
      <c r="Q7" s="84">
        <v>195.95118591857965</v>
      </c>
      <c r="R7" s="84">
        <v>203.53578631547109</v>
      </c>
      <c r="S7" s="84">
        <v>249.55443119082904</v>
      </c>
      <c r="T7" s="84">
        <v>325.99041610297314</v>
      </c>
      <c r="U7" s="84">
        <v>310.08643590311431</v>
      </c>
      <c r="V7" s="84">
        <v>204.30296728222726</v>
      </c>
      <c r="W7" s="84">
        <v>220.91635087041561</v>
      </c>
      <c r="DA7" s="171" t="s">
        <v>1029</v>
      </c>
    </row>
    <row r="8" spans="1:105" ht="11.45" customHeight="1" x14ac:dyDescent="0.25">
      <c r="A8" s="111" t="s">
        <v>93</v>
      </c>
      <c r="B8" s="84">
        <v>81.362003295604922</v>
      </c>
      <c r="C8" s="84">
        <v>83.28503223537686</v>
      </c>
      <c r="D8" s="84">
        <v>79.036395925566424</v>
      </c>
      <c r="E8" s="84">
        <v>85.9989500047554</v>
      </c>
      <c r="F8" s="84">
        <v>88.0651851851852</v>
      </c>
      <c r="G8" s="84">
        <v>123.36830489569873</v>
      </c>
      <c r="H8" s="84">
        <v>113.03064360567373</v>
      </c>
      <c r="I8" s="84">
        <v>92.289248698024323</v>
      </c>
      <c r="J8" s="84">
        <v>147.16010719575115</v>
      </c>
      <c r="K8" s="84">
        <v>125.21102426423883</v>
      </c>
      <c r="L8" s="84">
        <v>100.25730963020345</v>
      </c>
      <c r="M8" s="84">
        <v>93.80398741021196</v>
      </c>
      <c r="N8" s="84">
        <v>116.55637206857836</v>
      </c>
      <c r="O8" s="84">
        <v>63.540726012329884</v>
      </c>
      <c r="P8" s="84">
        <v>90.986259580094213</v>
      </c>
      <c r="Q8" s="84">
        <v>90.048814081420346</v>
      </c>
      <c r="R8" s="84">
        <v>112.46421368452891</v>
      </c>
      <c r="S8" s="84">
        <v>116.44556880917096</v>
      </c>
      <c r="T8" s="84">
        <v>91.009583897026857</v>
      </c>
      <c r="U8" s="84">
        <v>81.913564096885693</v>
      </c>
      <c r="V8" s="84">
        <v>58.697032717772743</v>
      </c>
      <c r="W8" s="84">
        <v>69.083649129584387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8102.0000000000009</v>
      </c>
      <c r="C10" s="28">
        <f t="shared" ref="C10:V10" si="7">SUM(C11:C12)</f>
        <v>8557</v>
      </c>
      <c r="D10" s="28">
        <f t="shared" si="7"/>
        <v>9697</v>
      </c>
      <c r="E10" s="28">
        <f t="shared" si="7"/>
        <v>9670</v>
      </c>
      <c r="F10" s="28">
        <f t="shared" si="7"/>
        <v>10488</v>
      </c>
      <c r="G10" s="28">
        <f t="shared" si="7"/>
        <v>10639</v>
      </c>
      <c r="H10" s="28">
        <f t="shared" si="7"/>
        <v>10418</v>
      </c>
      <c r="I10" s="28">
        <f t="shared" si="7"/>
        <v>8430</v>
      </c>
      <c r="J10" s="28">
        <f t="shared" si="7"/>
        <v>5943</v>
      </c>
      <c r="K10" s="28">
        <f t="shared" si="7"/>
        <v>5947</v>
      </c>
      <c r="L10" s="28">
        <f t="shared" si="7"/>
        <v>6638.0000000000009</v>
      </c>
      <c r="M10" s="28">
        <f t="shared" si="7"/>
        <v>6271</v>
      </c>
      <c r="N10" s="28">
        <f t="shared" si="7"/>
        <v>5129</v>
      </c>
      <c r="O10" s="28">
        <f t="shared" si="7"/>
        <v>4722</v>
      </c>
      <c r="P10" s="28">
        <f t="shared" si="7"/>
        <v>3255.9999999999995</v>
      </c>
      <c r="Q10" s="28">
        <f t="shared" si="7"/>
        <v>3117</v>
      </c>
      <c r="R10" s="28">
        <f t="shared" si="7"/>
        <v>2340</v>
      </c>
      <c r="S10" s="28">
        <f t="shared" si="7"/>
        <v>2324.9999999999995</v>
      </c>
      <c r="T10" s="28">
        <f t="shared" si="7"/>
        <v>2588</v>
      </c>
      <c r="U10" s="28">
        <f t="shared" si="7"/>
        <v>2155</v>
      </c>
      <c r="V10" s="28">
        <f t="shared" si="7"/>
        <v>1729</v>
      </c>
      <c r="W10" s="28">
        <f t="shared" ref="W10" si="8">SUM(W11:W12)</f>
        <v>2124</v>
      </c>
      <c r="DA10" s="173" t="s">
        <v>383</v>
      </c>
    </row>
    <row r="11" spans="1:105" ht="11.45" customHeight="1" x14ac:dyDescent="0.25">
      <c r="A11" s="83" t="s">
        <v>90</v>
      </c>
      <c r="B11" s="84">
        <v>8102.0000000000009</v>
      </c>
      <c r="C11" s="84">
        <v>8557</v>
      </c>
      <c r="D11" s="84">
        <v>9697</v>
      </c>
      <c r="E11" s="84">
        <v>9670</v>
      </c>
      <c r="F11" s="84">
        <v>10488</v>
      </c>
      <c r="G11" s="84">
        <v>10639</v>
      </c>
      <c r="H11" s="84">
        <v>10418</v>
      </c>
      <c r="I11" s="84">
        <v>8430</v>
      </c>
      <c r="J11" s="84">
        <v>5943</v>
      </c>
      <c r="K11" s="84">
        <v>5947</v>
      </c>
      <c r="L11" s="84">
        <v>6638.0000000000009</v>
      </c>
      <c r="M11" s="84">
        <v>6271</v>
      </c>
      <c r="N11" s="84">
        <v>5129</v>
      </c>
      <c r="O11" s="84">
        <v>4722</v>
      </c>
      <c r="P11" s="84">
        <v>3255.9999999999995</v>
      </c>
      <c r="Q11" s="84">
        <v>3117</v>
      </c>
      <c r="R11" s="84">
        <v>2340</v>
      </c>
      <c r="S11" s="84">
        <v>2324.9999999999995</v>
      </c>
      <c r="T11" s="84">
        <v>2588</v>
      </c>
      <c r="U11" s="84">
        <v>2155</v>
      </c>
      <c r="V11" s="84">
        <v>1729</v>
      </c>
      <c r="W11" s="84">
        <v>2124</v>
      </c>
      <c r="DA11" s="171" t="s">
        <v>1031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11.628583499582129</v>
      </c>
      <c r="C14" s="62">
        <f t="shared" ref="C14:V14" si="10">C15+C21</f>
        <v>10.685263696747466</v>
      </c>
      <c r="D14" s="62">
        <f t="shared" si="10"/>
        <v>13.152540651146605</v>
      </c>
      <c r="E14" s="62">
        <f t="shared" si="10"/>
        <v>12.070458409849939</v>
      </c>
      <c r="F14" s="62">
        <f t="shared" si="10"/>
        <v>10.412502225973586</v>
      </c>
      <c r="G14" s="62">
        <f t="shared" si="10"/>
        <v>11.05555028153789</v>
      </c>
      <c r="H14" s="62">
        <f t="shared" si="10"/>
        <v>11.698342855255824</v>
      </c>
      <c r="I14" s="62">
        <f t="shared" si="10"/>
        <v>10.449977402239707</v>
      </c>
      <c r="J14" s="62">
        <f t="shared" si="10"/>
        <v>7.7927445292793447</v>
      </c>
      <c r="K14" s="62">
        <f t="shared" si="10"/>
        <v>10.01482987773667</v>
      </c>
      <c r="L14" s="62">
        <f t="shared" si="10"/>
        <v>14.079722533523713</v>
      </c>
      <c r="M14" s="62">
        <f t="shared" si="10"/>
        <v>10.209650927981446</v>
      </c>
      <c r="N14" s="62">
        <f t="shared" si="10"/>
        <v>9.4307986244523256</v>
      </c>
      <c r="O14" s="62">
        <f t="shared" si="10"/>
        <v>8.5385557319324192</v>
      </c>
      <c r="P14" s="62">
        <f t="shared" si="10"/>
        <v>7.2833417996051644</v>
      </c>
      <c r="Q14" s="62">
        <f t="shared" si="10"/>
        <v>7.1426474012649832</v>
      </c>
      <c r="R14" s="62">
        <f t="shared" si="10"/>
        <v>6.1564707579555282</v>
      </c>
      <c r="S14" s="62">
        <f t="shared" si="10"/>
        <v>6.6581355783216427</v>
      </c>
      <c r="T14" s="62">
        <f t="shared" si="10"/>
        <v>6.7753741207249298</v>
      </c>
      <c r="U14" s="62">
        <f t="shared" si="10"/>
        <v>7.8210896016969267</v>
      </c>
      <c r="V14" s="62">
        <f t="shared" si="10"/>
        <v>7.3561098877164044</v>
      </c>
      <c r="W14" s="62">
        <f t="shared" ref="W14" si="11">W15+W21</f>
        <v>6.8321038194534438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3.1400764858461354</v>
      </c>
      <c r="C15" s="29">
        <f t="shared" ref="C15:V15" si="13">SUM(C16,C17,C20)</f>
        <v>2.5200695458988323</v>
      </c>
      <c r="D15" s="29">
        <f t="shared" si="13"/>
        <v>2.5969664429847055</v>
      </c>
      <c r="E15" s="29">
        <f t="shared" si="13"/>
        <v>2.7010265371698932</v>
      </c>
      <c r="F15" s="29">
        <f t="shared" si="13"/>
        <v>2.3494413023715151</v>
      </c>
      <c r="G15" s="29">
        <f t="shared" si="13"/>
        <v>2.3747946829347821</v>
      </c>
      <c r="H15" s="29">
        <f t="shared" si="13"/>
        <v>2.5559784990689334</v>
      </c>
      <c r="I15" s="29">
        <f t="shared" si="13"/>
        <v>2.7885669773276285</v>
      </c>
      <c r="J15" s="29">
        <f t="shared" si="13"/>
        <v>2.2992867424179697</v>
      </c>
      <c r="K15" s="29">
        <f t="shared" si="13"/>
        <v>2.2760514020230458</v>
      </c>
      <c r="L15" s="29">
        <f t="shared" si="13"/>
        <v>2.6319853987469561</v>
      </c>
      <c r="M15" s="29">
        <f t="shared" si="13"/>
        <v>2.461428057645517</v>
      </c>
      <c r="N15" s="29">
        <f t="shared" si="13"/>
        <v>2.4844299255900366</v>
      </c>
      <c r="O15" s="29">
        <f t="shared" si="13"/>
        <v>2.6199303315531912</v>
      </c>
      <c r="P15" s="29">
        <f t="shared" si="13"/>
        <v>2.8500204841614312</v>
      </c>
      <c r="Q15" s="29">
        <f t="shared" si="13"/>
        <v>2.8912781979837003</v>
      </c>
      <c r="R15" s="29">
        <f t="shared" si="13"/>
        <v>2.8879613318676722</v>
      </c>
      <c r="S15" s="29">
        <f t="shared" si="13"/>
        <v>3.3137110860838153</v>
      </c>
      <c r="T15" s="29">
        <f t="shared" si="13"/>
        <v>3.8395677346938539</v>
      </c>
      <c r="U15" s="29">
        <f t="shared" si="13"/>
        <v>4.717889043512832</v>
      </c>
      <c r="V15" s="29">
        <f t="shared" si="13"/>
        <v>4.6481346472735225</v>
      </c>
      <c r="W15" s="29">
        <f t="shared" ref="W15" si="14">SUM(W16,W17,W20)</f>
        <v>3.7794284985741222</v>
      </c>
      <c r="DA15" s="173" t="s">
        <v>1034</v>
      </c>
    </row>
    <row r="16" spans="1:105" ht="11.45" customHeight="1" x14ac:dyDescent="0.25">
      <c r="A16" s="107" t="s">
        <v>23</v>
      </c>
      <c r="B16" s="115">
        <v>1.3239274187780692</v>
      </c>
      <c r="C16" s="115">
        <v>1.1787888139298324</v>
      </c>
      <c r="D16" s="115">
        <v>1.2950354893311145</v>
      </c>
      <c r="E16" s="115">
        <v>1.3237704484936759</v>
      </c>
      <c r="F16" s="115">
        <v>1.0571698606443556</v>
      </c>
      <c r="G16" s="115">
        <v>0.88341266765442827</v>
      </c>
      <c r="H16" s="115">
        <v>0.91387137778955041</v>
      </c>
      <c r="I16" s="115">
        <v>0.93388058873096158</v>
      </c>
      <c r="J16" s="115">
        <v>0.71109077999978976</v>
      </c>
      <c r="K16" s="115">
        <v>0.79656684687515278</v>
      </c>
      <c r="L16" s="115">
        <v>0.86489454365646445</v>
      </c>
      <c r="M16" s="115">
        <v>0.77521822897492854</v>
      </c>
      <c r="N16" s="115">
        <v>1.0805204330147127</v>
      </c>
      <c r="O16" s="115">
        <v>0.9354095359928104</v>
      </c>
      <c r="P16" s="115">
        <v>0.73176002292790254</v>
      </c>
      <c r="Q16" s="115">
        <v>0.69579678726090188</v>
      </c>
      <c r="R16" s="115">
        <v>0.70780998636817916</v>
      </c>
      <c r="S16" s="115">
        <v>0.71577348440477084</v>
      </c>
      <c r="T16" s="115">
        <v>1.0744189907146171</v>
      </c>
      <c r="U16" s="115">
        <v>1.1426949628942484</v>
      </c>
      <c r="V16" s="115">
        <v>1.1329398379604259</v>
      </c>
      <c r="W16" s="115">
        <v>1.1441365893152211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1.8161490670680662</v>
      </c>
      <c r="C17" s="116">
        <f t="shared" ref="C17:V17" si="16">SUM(C18:C19)</f>
        <v>1.3412807319689997</v>
      </c>
      <c r="D17" s="116">
        <f t="shared" si="16"/>
        <v>1.301930953653591</v>
      </c>
      <c r="E17" s="116">
        <f t="shared" si="16"/>
        <v>1.3772560886762173</v>
      </c>
      <c r="F17" s="116">
        <f t="shared" si="16"/>
        <v>1.2922714417271595</v>
      </c>
      <c r="G17" s="116">
        <f t="shared" si="16"/>
        <v>1.4913820152803541</v>
      </c>
      <c r="H17" s="116">
        <f t="shared" si="16"/>
        <v>1.6421071212793827</v>
      </c>
      <c r="I17" s="116">
        <f t="shared" si="16"/>
        <v>1.8546863885966669</v>
      </c>
      <c r="J17" s="116">
        <f t="shared" si="16"/>
        <v>1.5881959624181801</v>
      </c>
      <c r="K17" s="116">
        <f t="shared" si="16"/>
        <v>1.4794845551478932</v>
      </c>
      <c r="L17" s="116">
        <f t="shared" si="16"/>
        <v>1.7670908550904918</v>
      </c>
      <c r="M17" s="116">
        <f t="shared" si="16"/>
        <v>1.6862098286705884</v>
      </c>
      <c r="N17" s="116">
        <f t="shared" si="16"/>
        <v>1.4039094925753239</v>
      </c>
      <c r="O17" s="116">
        <f t="shared" si="16"/>
        <v>1.6845207955603807</v>
      </c>
      <c r="P17" s="116">
        <f t="shared" si="16"/>
        <v>2.1182604612335285</v>
      </c>
      <c r="Q17" s="116">
        <f t="shared" si="16"/>
        <v>2.1954814107227985</v>
      </c>
      <c r="R17" s="116">
        <f t="shared" si="16"/>
        <v>2.180151345499493</v>
      </c>
      <c r="S17" s="116">
        <f t="shared" si="16"/>
        <v>2.5979376016790443</v>
      </c>
      <c r="T17" s="116">
        <f t="shared" si="16"/>
        <v>2.7651487439792368</v>
      </c>
      <c r="U17" s="116">
        <f t="shared" si="16"/>
        <v>3.5751940806185836</v>
      </c>
      <c r="V17" s="116">
        <f t="shared" si="16"/>
        <v>3.5151948093130962</v>
      </c>
      <c r="W17" s="116">
        <f t="shared" ref="W17" si="17">SUM(W18:W19)</f>
        <v>2.6352919092589011</v>
      </c>
      <c r="DA17" s="176" t="s">
        <v>1036</v>
      </c>
    </row>
    <row r="18" spans="1:105" ht="11.45" customHeight="1" x14ac:dyDescent="0.25">
      <c r="A18" s="111" t="s">
        <v>92</v>
      </c>
      <c r="B18" s="87">
        <v>1.292693177738877</v>
      </c>
      <c r="C18" s="87">
        <v>0.71290283604074012</v>
      </c>
      <c r="D18" s="87">
        <v>0.70171923218652166</v>
      </c>
      <c r="E18" s="87">
        <v>0.68407350818639201</v>
      </c>
      <c r="F18" s="87">
        <v>0.74897823187468116</v>
      </c>
      <c r="G18" s="87">
        <v>0.88249249013169584</v>
      </c>
      <c r="H18" s="87">
        <v>1.0165623086662647</v>
      </c>
      <c r="I18" s="87">
        <v>1.2771095421094951</v>
      </c>
      <c r="J18" s="87">
        <v>0.92216007999392957</v>
      </c>
      <c r="K18" s="87">
        <v>0.89472479648704284</v>
      </c>
      <c r="L18" s="87">
        <v>1.0574889404818217</v>
      </c>
      <c r="M18" s="87">
        <v>1.0782709772534762</v>
      </c>
      <c r="N18" s="87">
        <v>0.86267608649477756</v>
      </c>
      <c r="O18" s="87">
        <v>1.1531218296410972</v>
      </c>
      <c r="P18" s="87">
        <v>1.3582023710846369</v>
      </c>
      <c r="Q18" s="87">
        <v>1.4024751301830043</v>
      </c>
      <c r="R18" s="87">
        <v>1.4406613951118581</v>
      </c>
      <c r="S18" s="87">
        <v>1.7669671746977456</v>
      </c>
      <c r="T18" s="87">
        <v>2.2726685489751461</v>
      </c>
      <c r="U18" s="87">
        <v>2.9268935940554233</v>
      </c>
      <c r="V18" s="87">
        <v>2.8957867176969398</v>
      </c>
      <c r="W18" s="87">
        <v>1.8765785446016718</v>
      </c>
      <c r="DA18" s="171" t="s">
        <v>1037</v>
      </c>
    </row>
    <row r="19" spans="1:105" ht="11.45" customHeight="1" x14ac:dyDescent="0.25">
      <c r="A19" s="111" t="s">
        <v>93</v>
      </c>
      <c r="B19" s="87">
        <v>0.52345588932918918</v>
      </c>
      <c r="C19" s="87">
        <v>0.62837789592825954</v>
      </c>
      <c r="D19" s="87">
        <v>0.60021172146706936</v>
      </c>
      <c r="E19" s="87">
        <v>0.69318258048982528</v>
      </c>
      <c r="F19" s="87">
        <v>0.54329320985247831</v>
      </c>
      <c r="G19" s="87">
        <v>0.60888952514865824</v>
      </c>
      <c r="H19" s="87">
        <v>0.62554481261311801</v>
      </c>
      <c r="I19" s="87">
        <v>0.57757684648717178</v>
      </c>
      <c r="J19" s="87">
        <v>0.66603588242425049</v>
      </c>
      <c r="K19" s="87">
        <v>0.58475975866085039</v>
      </c>
      <c r="L19" s="87">
        <v>0.70960191460867006</v>
      </c>
      <c r="M19" s="87">
        <v>0.60793885141711224</v>
      </c>
      <c r="N19" s="87">
        <v>0.54123340608054638</v>
      </c>
      <c r="O19" s="87">
        <v>0.53139896591928348</v>
      </c>
      <c r="P19" s="87">
        <v>0.76005809014889159</v>
      </c>
      <c r="Q19" s="87">
        <v>0.79300628053979416</v>
      </c>
      <c r="R19" s="87">
        <v>0.73948995038763488</v>
      </c>
      <c r="S19" s="87">
        <v>0.83097042698129875</v>
      </c>
      <c r="T19" s="87">
        <v>0.49248019500409068</v>
      </c>
      <c r="U19" s="87">
        <v>0.64830048656316031</v>
      </c>
      <c r="V19" s="87">
        <v>0.6194080916161564</v>
      </c>
      <c r="W19" s="87">
        <v>0.75871336465722927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8.4885070137359939</v>
      </c>
      <c r="C21" s="29">
        <f t="shared" ref="C21:V21" si="19">SUM(C22:C23)</f>
        <v>8.1651941508486328</v>
      </c>
      <c r="D21" s="29">
        <f t="shared" si="19"/>
        <v>10.5555742081619</v>
      </c>
      <c r="E21" s="29">
        <f t="shared" si="19"/>
        <v>9.3694318726800461</v>
      </c>
      <c r="F21" s="29">
        <f t="shared" si="19"/>
        <v>8.0630609236020714</v>
      </c>
      <c r="G21" s="29">
        <f t="shared" si="19"/>
        <v>8.680755598603108</v>
      </c>
      <c r="H21" s="29">
        <f t="shared" si="19"/>
        <v>9.1423643561868904</v>
      </c>
      <c r="I21" s="29">
        <f t="shared" si="19"/>
        <v>7.661410424912078</v>
      </c>
      <c r="J21" s="29">
        <f t="shared" si="19"/>
        <v>5.4934577868613745</v>
      </c>
      <c r="K21" s="29">
        <f t="shared" si="19"/>
        <v>7.7387784757136231</v>
      </c>
      <c r="L21" s="29">
        <f t="shared" si="19"/>
        <v>11.447737134776757</v>
      </c>
      <c r="M21" s="29">
        <f t="shared" si="19"/>
        <v>7.7482228703359297</v>
      </c>
      <c r="N21" s="29">
        <f t="shared" si="19"/>
        <v>6.9463686988622895</v>
      </c>
      <c r="O21" s="29">
        <f t="shared" si="19"/>
        <v>5.9186254003792289</v>
      </c>
      <c r="P21" s="29">
        <f t="shared" si="19"/>
        <v>4.4333213154437328</v>
      </c>
      <c r="Q21" s="29">
        <f t="shared" si="19"/>
        <v>4.2513692032812829</v>
      </c>
      <c r="R21" s="29">
        <f t="shared" si="19"/>
        <v>3.268509426087856</v>
      </c>
      <c r="S21" s="29">
        <f t="shared" si="19"/>
        <v>3.3444244922378279</v>
      </c>
      <c r="T21" s="29">
        <f t="shared" si="19"/>
        <v>2.9358063860310755</v>
      </c>
      <c r="U21" s="29">
        <f t="shared" si="19"/>
        <v>3.1032005581840947</v>
      </c>
      <c r="V21" s="29">
        <f t="shared" si="19"/>
        <v>2.7079752404428818</v>
      </c>
      <c r="W21" s="29">
        <f t="shared" ref="W21" si="20">SUM(W22:W23)</f>
        <v>3.0526753208793216</v>
      </c>
      <c r="DA21" s="173" t="s">
        <v>1040</v>
      </c>
    </row>
    <row r="22" spans="1:105" ht="11.45" customHeight="1" x14ac:dyDescent="0.25">
      <c r="A22" s="83" t="s">
        <v>92</v>
      </c>
      <c r="B22" s="87">
        <v>8.4885070137359939</v>
      </c>
      <c r="C22" s="87">
        <v>8.1651941508486328</v>
      </c>
      <c r="D22" s="87">
        <v>10.5555742081619</v>
      </c>
      <c r="E22" s="87">
        <v>9.3694318726800461</v>
      </c>
      <c r="F22" s="87">
        <v>8.0630609236020714</v>
      </c>
      <c r="G22" s="87">
        <v>8.680755598603108</v>
      </c>
      <c r="H22" s="87">
        <v>9.1423643561868904</v>
      </c>
      <c r="I22" s="87">
        <v>7.661410424912078</v>
      </c>
      <c r="J22" s="87">
        <v>5.4934577868613745</v>
      </c>
      <c r="K22" s="87">
        <v>7.7387784757136231</v>
      </c>
      <c r="L22" s="87">
        <v>11.447737134776757</v>
      </c>
      <c r="M22" s="87">
        <v>7.7482228703359297</v>
      </c>
      <c r="N22" s="87">
        <v>6.9463686988622895</v>
      </c>
      <c r="O22" s="87">
        <v>5.9186254003792289</v>
      </c>
      <c r="P22" s="87">
        <v>4.4333213154437328</v>
      </c>
      <c r="Q22" s="87">
        <v>4.2513692032812829</v>
      </c>
      <c r="R22" s="87">
        <v>3.268509426087856</v>
      </c>
      <c r="S22" s="87">
        <v>3.3444244922378279</v>
      </c>
      <c r="T22" s="87">
        <v>2.9358063860310755</v>
      </c>
      <c r="U22" s="87">
        <v>3.1032005581840947</v>
      </c>
      <c r="V22" s="87">
        <v>2.7079752404428818</v>
      </c>
      <c r="W22" s="87">
        <v>3.0526753208793216</v>
      </c>
      <c r="DA22" s="171" t="s">
        <v>1041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66.585900999999993</v>
      </c>
      <c r="C25" s="62">
        <f t="shared" ref="C25:V25" si="22">C26+C32</f>
        <v>63.603450999999993</v>
      </c>
      <c r="D25" s="62">
        <f t="shared" si="22"/>
        <v>75.446698999999995</v>
      </c>
      <c r="E25" s="62">
        <f t="shared" si="22"/>
        <v>71.221683999999996</v>
      </c>
      <c r="F25" s="62">
        <f t="shared" si="22"/>
        <v>64.563096000000002</v>
      </c>
      <c r="G25" s="62">
        <f t="shared" si="22"/>
        <v>62.973462999999995</v>
      </c>
      <c r="H25" s="62">
        <f t="shared" si="22"/>
        <v>65.082770999999994</v>
      </c>
      <c r="I25" s="62">
        <f t="shared" si="22"/>
        <v>62.321969999999993</v>
      </c>
      <c r="J25" s="62">
        <f t="shared" si="22"/>
        <v>56.602078999999996</v>
      </c>
      <c r="K25" s="62">
        <f t="shared" si="22"/>
        <v>56.817153999999995</v>
      </c>
      <c r="L25" s="62">
        <f t="shared" si="22"/>
        <v>76.881970999999993</v>
      </c>
      <c r="M25" s="62">
        <f t="shared" si="22"/>
        <v>71.612055999999995</v>
      </c>
      <c r="N25" s="62">
        <f t="shared" si="22"/>
        <v>68.932513</v>
      </c>
      <c r="O25" s="62">
        <f t="shared" si="22"/>
        <v>64.496520000000004</v>
      </c>
      <c r="P25" s="62">
        <f t="shared" si="22"/>
        <v>61.799184999999994</v>
      </c>
      <c r="Q25" s="62">
        <f t="shared" si="22"/>
        <v>56.979391</v>
      </c>
      <c r="R25" s="62">
        <f t="shared" si="22"/>
        <v>52.749954000000002</v>
      </c>
      <c r="S25" s="62">
        <f t="shared" si="22"/>
        <v>51.355531999999997</v>
      </c>
      <c r="T25" s="62">
        <f t="shared" si="22"/>
        <v>53.394064999999998</v>
      </c>
      <c r="U25" s="62">
        <f t="shared" si="22"/>
        <v>53.783033000000003</v>
      </c>
      <c r="V25" s="62">
        <f t="shared" si="22"/>
        <v>48.893748000000002</v>
      </c>
      <c r="W25" s="62">
        <f t="shared" ref="W25" si="23">W26+W32</f>
        <v>49.166159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24.143364999999996</v>
      </c>
      <c r="C26" s="29">
        <f t="shared" ref="C26:V26" si="25">SUM(C27,C28,C31)</f>
        <v>22.777480000000001</v>
      </c>
      <c r="D26" s="29">
        <f t="shared" si="25"/>
        <v>22.668827</v>
      </c>
      <c r="E26" s="29">
        <f t="shared" si="25"/>
        <v>22.688064999999998</v>
      </c>
      <c r="F26" s="29">
        <f t="shared" si="25"/>
        <v>20.27373</v>
      </c>
      <c r="G26" s="29">
        <f t="shared" si="25"/>
        <v>19.569685</v>
      </c>
      <c r="H26" s="29">
        <f t="shared" si="25"/>
        <v>19.370949</v>
      </c>
      <c r="I26" s="29">
        <f t="shared" si="25"/>
        <v>20.854400999999999</v>
      </c>
      <c r="J26" s="29">
        <f t="shared" si="25"/>
        <v>19.378762999999999</v>
      </c>
      <c r="K26" s="29">
        <f t="shared" si="25"/>
        <v>18.123260999999999</v>
      </c>
      <c r="L26" s="29">
        <f t="shared" si="25"/>
        <v>19.643284999999999</v>
      </c>
      <c r="M26" s="29">
        <f t="shared" si="25"/>
        <v>18.617623000000002</v>
      </c>
      <c r="N26" s="29">
        <f t="shared" si="25"/>
        <v>20.182333</v>
      </c>
      <c r="O26" s="29">
        <f t="shared" si="25"/>
        <v>19.990592999999997</v>
      </c>
      <c r="P26" s="29">
        <f t="shared" si="25"/>
        <v>21.537510999999999</v>
      </c>
      <c r="Q26" s="29">
        <f t="shared" si="25"/>
        <v>20.961970000000001</v>
      </c>
      <c r="R26" s="29">
        <f t="shared" si="25"/>
        <v>20.976786000000001</v>
      </c>
      <c r="S26" s="29">
        <f t="shared" si="25"/>
        <v>23.826616999999999</v>
      </c>
      <c r="T26" s="29">
        <f t="shared" si="25"/>
        <v>30.109403</v>
      </c>
      <c r="U26" s="29">
        <f t="shared" si="25"/>
        <v>34.742623999999999</v>
      </c>
      <c r="V26" s="29">
        <f t="shared" si="25"/>
        <v>34.097591999999999</v>
      </c>
      <c r="W26" s="29">
        <f t="shared" ref="W26" si="26">SUM(W27,W28,W31)</f>
        <v>33.902782000000002</v>
      </c>
      <c r="DA26" s="173" t="s">
        <v>1044</v>
      </c>
    </row>
    <row r="27" spans="1:105" ht="11.45" customHeight="1" x14ac:dyDescent="0.25">
      <c r="A27" s="107" t="s">
        <v>23</v>
      </c>
      <c r="B27" s="115">
        <v>12.035703999999999</v>
      </c>
      <c r="C27" s="115">
        <v>10.832134</v>
      </c>
      <c r="D27" s="115">
        <v>11.77305</v>
      </c>
      <c r="E27" s="115">
        <v>12.034276999999999</v>
      </c>
      <c r="F27" s="115">
        <v>10.830706999999999</v>
      </c>
      <c r="G27" s="115">
        <v>9.6271369999999994</v>
      </c>
      <c r="H27" s="115">
        <v>8.4235669999999985</v>
      </c>
      <c r="I27" s="115">
        <v>8.4898239999999987</v>
      </c>
      <c r="J27" s="115">
        <v>7.2862540000000005</v>
      </c>
      <c r="K27" s="115">
        <v>7.241517</v>
      </c>
      <c r="L27" s="115">
        <v>7.8626779999999998</v>
      </c>
      <c r="M27" s="115">
        <v>7.0474389999999998</v>
      </c>
      <c r="N27" s="115">
        <v>9.822913999999999</v>
      </c>
      <c r="O27" s="115">
        <v>8.6193439999999999</v>
      </c>
      <c r="P27" s="115">
        <v>7.4157739999999999</v>
      </c>
      <c r="Q27" s="115">
        <v>6.3254260000000002</v>
      </c>
      <c r="R27" s="115">
        <v>6.4346370000000004</v>
      </c>
      <c r="S27" s="115">
        <v>6.5070319999999997</v>
      </c>
      <c r="T27" s="115">
        <v>9.7674459999999996</v>
      </c>
      <c r="U27" s="115">
        <v>10.388136999999999</v>
      </c>
      <c r="V27" s="115">
        <v>10.299453999999999</v>
      </c>
      <c r="W27" s="115">
        <v>10.401242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12.107660999999998</v>
      </c>
      <c r="C28" s="116">
        <f t="shared" ref="C28:V28" si="28">SUM(C29:C30)</f>
        <v>11.945346000000001</v>
      </c>
      <c r="D28" s="116">
        <f t="shared" si="28"/>
        <v>10.895777000000001</v>
      </c>
      <c r="E28" s="116">
        <f t="shared" si="28"/>
        <v>10.653787999999999</v>
      </c>
      <c r="F28" s="116">
        <f t="shared" si="28"/>
        <v>9.4430230000000002</v>
      </c>
      <c r="G28" s="116">
        <f t="shared" si="28"/>
        <v>9.9425479999999986</v>
      </c>
      <c r="H28" s="116">
        <f t="shared" si="28"/>
        <v>10.947382000000001</v>
      </c>
      <c r="I28" s="116">
        <f t="shared" si="28"/>
        <v>12.364577000000001</v>
      </c>
      <c r="J28" s="116">
        <f t="shared" si="28"/>
        <v>12.092509</v>
      </c>
      <c r="K28" s="116">
        <f t="shared" si="28"/>
        <v>10.881744000000001</v>
      </c>
      <c r="L28" s="116">
        <f t="shared" si="28"/>
        <v>11.780607</v>
      </c>
      <c r="M28" s="116">
        <f t="shared" si="28"/>
        <v>11.570184000000001</v>
      </c>
      <c r="N28" s="116">
        <f t="shared" si="28"/>
        <v>10.359419000000001</v>
      </c>
      <c r="O28" s="116">
        <f t="shared" si="28"/>
        <v>11.371248999999999</v>
      </c>
      <c r="P28" s="116">
        <f t="shared" si="28"/>
        <v>14.121737</v>
      </c>
      <c r="Q28" s="116">
        <f t="shared" si="28"/>
        <v>14.636543999999999</v>
      </c>
      <c r="R28" s="116">
        <f t="shared" si="28"/>
        <v>14.542149</v>
      </c>
      <c r="S28" s="116">
        <f t="shared" si="28"/>
        <v>17.319585</v>
      </c>
      <c r="T28" s="116">
        <f t="shared" si="28"/>
        <v>20.341957000000001</v>
      </c>
      <c r="U28" s="116">
        <f t="shared" si="28"/>
        <v>24.354487000000002</v>
      </c>
      <c r="V28" s="116">
        <f t="shared" si="28"/>
        <v>23.798138000000002</v>
      </c>
      <c r="W28" s="116">
        <f t="shared" ref="W28" si="29">SUM(W29:W30)</f>
        <v>23.501540000000002</v>
      </c>
      <c r="DA28" s="176" t="s">
        <v>1046</v>
      </c>
    </row>
    <row r="29" spans="1:105" ht="11.45" customHeight="1" x14ac:dyDescent="0.25">
      <c r="A29" s="111" t="s">
        <v>92</v>
      </c>
      <c r="B29" s="87">
        <v>8.6179549999999985</v>
      </c>
      <c r="C29" s="87">
        <v>7.7561600000000004</v>
      </c>
      <c r="D29" s="87">
        <v>6.8943650000000005</v>
      </c>
      <c r="E29" s="87">
        <v>6.0325699999999998</v>
      </c>
      <c r="F29" s="87">
        <v>5.1707749999999999</v>
      </c>
      <c r="G29" s="87">
        <v>5.8832839999999997</v>
      </c>
      <c r="H29" s="87">
        <v>6.7770830000000002</v>
      </c>
      <c r="I29" s="87">
        <v>8.5140639999999994</v>
      </c>
      <c r="J29" s="87">
        <v>7.6522690000000004</v>
      </c>
      <c r="K29" s="87">
        <v>6.7904740000000006</v>
      </c>
      <c r="L29" s="87">
        <v>7.0499270000000003</v>
      </c>
      <c r="M29" s="87">
        <v>7.1884740000000003</v>
      </c>
      <c r="N29" s="87">
        <v>6.3266790000000004</v>
      </c>
      <c r="O29" s="87">
        <v>7.6874789999999997</v>
      </c>
      <c r="P29" s="87">
        <v>9.0546829999999989</v>
      </c>
      <c r="Q29" s="87">
        <v>9.3498349999999988</v>
      </c>
      <c r="R29" s="87">
        <v>9.6044099999999997</v>
      </c>
      <c r="S29" s="87">
        <v>11.779781999999999</v>
      </c>
      <c r="T29" s="87">
        <v>15.151123999999999</v>
      </c>
      <c r="U29" s="87">
        <v>19.512624000000002</v>
      </c>
      <c r="V29" s="87">
        <v>19.305244999999999</v>
      </c>
      <c r="W29" s="87">
        <v>18.443450000000002</v>
      </c>
      <c r="DA29" s="171" t="s">
        <v>1047</v>
      </c>
    </row>
    <row r="30" spans="1:105" ht="11.45" customHeight="1" x14ac:dyDescent="0.25">
      <c r="A30" s="111" t="s">
        <v>93</v>
      </c>
      <c r="B30" s="87">
        <v>3.489706</v>
      </c>
      <c r="C30" s="87">
        <v>4.1891860000000003</v>
      </c>
      <c r="D30" s="87">
        <v>4.0014120000000002</v>
      </c>
      <c r="E30" s="87">
        <v>4.6212179999999998</v>
      </c>
      <c r="F30" s="87">
        <v>4.2722480000000003</v>
      </c>
      <c r="G30" s="87">
        <v>4.0592639999999998</v>
      </c>
      <c r="H30" s="87">
        <v>4.170299</v>
      </c>
      <c r="I30" s="87">
        <v>3.8505130000000003</v>
      </c>
      <c r="J30" s="87">
        <v>4.4402400000000002</v>
      </c>
      <c r="K30" s="87">
        <v>4.0912699999999997</v>
      </c>
      <c r="L30" s="87">
        <v>4.7306800000000004</v>
      </c>
      <c r="M30" s="87">
        <v>4.38171</v>
      </c>
      <c r="N30" s="87">
        <v>4.0327400000000004</v>
      </c>
      <c r="O30" s="87">
        <v>3.68377</v>
      </c>
      <c r="P30" s="87">
        <v>5.0670539999999997</v>
      </c>
      <c r="Q30" s="87">
        <v>5.2867090000000001</v>
      </c>
      <c r="R30" s="87">
        <v>4.9377390000000005</v>
      </c>
      <c r="S30" s="87">
        <v>5.539803</v>
      </c>
      <c r="T30" s="87">
        <v>5.1908330000000005</v>
      </c>
      <c r="U30" s="87">
        <v>4.841863</v>
      </c>
      <c r="V30" s="87">
        <v>4.4928930000000005</v>
      </c>
      <c r="W30" s="87">
        <v>5.05809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42.442535999999997</v>
      </c>
      <c r="C32" s="29">
        <f t="shared" ref="C32:V32" si="31">SUM(C33:C34)</f>
        <v>40.825970999999996</v>
      </c>
      <c r="D32" s="29">
        <f t="shared" si="31"/>
        <v>52.777871999999995</v>
      </c>
      <c r="E32" s="29">
        <f t="shared" si="31"/>
        <v>48.533618999999995</v>
      </c>
      <c r="F32" s="29">
        <f t="shared" si="31"/>
        <v>44.289365999999994</v>
      </c>
      <c r="G32" s="29">
        <f t="shared" si="31"/>
        <v>43.403777999999996</v>
      </c>
      <c r="H32" s="29">
        <f t="shared" si="31"/>
        <v>45.711821999999998</v>
      </c>
      <c r="I32" s="29">
        <f t="shared" si="31"/>
        <v>41.467568999999997</v>
      </c>
      <c r="J32" s="29">
        <f t="shared" si="31"/>
        <v>37.223315999999997</v>
      </c>
      <c r="K32" s="29">
        <f t="shared" si="31"/>
        <v>38.693892999999996</v>
      </c>
      <c r="L32" s="29">
        <f t="shared" si="31"/>
        <v>57.238685999999994</v>
      </c>
      <c r="M32" s="29">
        <f t="shared" si="31"/>
        <v>52.994433000000001</v>
      </c>
      <c r="N32" s="29">
        <f t="shared" si="31"/>
        <v>48.75018</v>
      </c>
      <c r="O32" s="29">
        <f t="shared" si="31"/>
        <v>44.505927</v>
      </c>
      <c r="P32" s="29">
        <f t="shared" si="31"/>
        <v>40.261673999999999</v>
      </c>
      <c r="Q32" s="29">
        <f t="shared" si="31"/>
        <v>36.017420999999999</v>
      </c>
      <c r="R32" s="29">
        <f t="shared" si="31"/>
        <v>31.773168000000002</v>
      </c>
      <c r="S32" s="29">
        <f t="shared" si="31"/>
        <v>27.528915000000001</v>
      </c>
      <c r="T32" s="29">
        <f t="shared" si="31"/>
        <v>23.284662000000001</v>
      </c>
      <c r="U32" s="29">
        <f t="shared" si="31"/>
        <v>19.040409</v>
      </c>
      <c r="V32" s="29">
        <f t="shared" si="31"/>
        <v>14.796156</v>
      </c>
      <c r="W32" s="29">
        <f t="shared" ref="W32" si="32">SUM(W33:W34)</f>
        <v>15.263376999999998</v>
      </c>
      <c r="DA32" s="173" t="s">
        <v>1050</v>
      </c>
    </row>
    <row r="33" spans="1:105" ht="11.45" customHeight="1" x14ac:dyDescent="0.25">
      <c r="A33" s="83" t="s">
        <v>92</v>
      </c>
      <c r="B33" s="87">
        <v>42.442535999999997</v>
      </c>
      <c r="C33" s="87">
        <v>40.825970999999996</v>
      </c>
      <c r="D33" s="87">
        <v>52.777871999999995</v>
      </c>
      <c r="E33" s="87">
        <v>48.533618999999995</v>
      </c>
      <c r="F33" s="87">
        <v>44.289365999999994</v>
      </c>
      <c r="G33" s="87">
        <v>43.403777999999996</v>
      </c>
      <c r="H33" s="87">
        <v>45.711821999999998</v>
      </c>
      <c r="I33" s="87">
        <v>41.467568999999997</v>
      </c>
      <c r="J33" s="87">
        <v>37.223315999999997</v>
      </c>
      <c r="K33" s="87">
        <v>38.693892999999996</v>
      </c>
      <c r="L33" s="87">
        <v>57.238685999999994</v>
      </c>
      <c r="M33" s="87">
        <v>52.994433000000001</v>
      </c>
      <c r="N33" s="87">
        <v>48.75018</v>
      </c>
      <c r="O33" s="87">
        <v>44.505927</v>
      </c>
      <c r="P33" s="87">
        <v>40.261673999999999</v>
      </c>
      <c r="Q33" s="87">
        <v>36.017420999999999</v>
      </c>
      <c r="R33" s="87">
        <v>31.773168000000002</v>
      </c>
      <c r="S33" s="87">
        <v>27.528915000000001</v>
      </c>
      <c r="T33" s="87">
        <v>23.284662000000001</v>
      </c>
      <c r="U33" s="87">
        <v>19.040409</v>
      </c>
      <c r="V33" s="87">
        <v>14.796156</v>
      </c>
      <c r="W33" s="87">
        <v>15.263376999999998</v>
      </c>
      <c r="DA33" s="171" t="s">
        <v>1051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0.83564599999999523</v>
      </c>
      <c r="D36" s="54">
        <f t="shared" ref="D36:V36" si="34">D37+D43</f>
        <v>14.886927999999996</v>
      </c>
      <c r="E36" s="54">
        <f t="shared" si="34"/>
        <v>1.3617969999999993</v>
      </c>
      <c r="F36" s="54">
        <f t="shared" si="34"/>
        <v>0</v>
      </c>
      <c r="G36" s="54">
        <f t="shared" si="34"/>
        <v>1.7184989999999978</v>
      </c>
      <c r="H36" s="54">
        <f t="shared" si="34"/>
        <v>5.3241479999999992</v>
      </c>
      <c r="I36" s="54">
        <f t="shared" si="34"/>
        <v>2.4228490000000003</v>
      </c>
      <c r="J36" s="54">
        <f t="shared" si="34"/>
        <v>0.70941899999999958</v>
      </c>
      <c r="K36" s="54">
        <f t="shared" si="34"/>
        <v>3.4199509999999949</v>
      </c>
      <c r="L36" s="54">
        <f t="shared" si="34"/>
        <v>22.437158999999994</v>
      </c>
      <c r="M36" s="54">
        <f t="shared" si="34"/>
        <v>0.39708599999999983</v>
      </c>
      <c r="N36" s="54">
        <f t="shared" si="34"/>
        <v>3.1365469999999993</v>
      </c>
      <c r="O36" s="54">
        <f t="shared" si="34"/>
        <v>1.6193389999999992</v>
      </c>
      <c r="P36" s="54">
        <f t="shared" si="34"/>
        <v>3.1287189999999994</v>
      </c>
      <c r="Q36" s="54">
        <f t="shared" si="34"/>
        <v>0.89303800000000066</v>
      </c>
      <c r="R36" s="54">
        <f t="shared" si="34"/>
        <v>0.98339700000000185</v>
      </c>
      <c r="S36" s="54">
        <f t="shared" si="34"/>
        <v>3.5891339999999987</v>
      </c>
      <c r="T36" s="54">
        <f t="shared" si="34"/>
        <v>7.251367000000001</v>
      </c>
      <c r="U36" s="54">
        <f t="shared" si="34"/>
        <v>5.6018020000000011</v>
      </c>
      <c r="V36" s="54">
        <f t="shared" si="34"/>
        <v>0.32354899999999631</v>
      </c>
      <c r="W36" s="54">
        <f t="shared" ref="W36" si="35">W37+W43</f>
        <v>3.2480089999999988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0.81917200000000001</v>
      </c>
      <c r="D37" s="28">
        <f t="shared" ref="D37:V37" si="37">SUM(D38,D39,D42)</f>
        <v>1.3019879999999997</v>
      </c>
      <c r="E37" s="28">
        <f t="shared" si="37"/>
        <v>1.3617969999999993</v>
      </c>
      <c r="F37" s="28">
        <f t="shared" si="37"/>
        <v>0</v>
      </c>
      <c r="G37" s="28">
        <f t="shared" si="37"/>
        <v>0.97104799999999969</v>
      </c>
      <c r="H37" s="28">
        <f t="shared" si="37"/>
        <v>1.3830650000000002</v>
      </c>
      <c r="I37" s="28">
        <f t="shared" si="37"/>
        <v>2.4228490000000003</v>
      </c>
      <c r="J37" s="28">
        <f t="shared" si="37"/>
        <v>0.70941899999999958</v>
      </c>
      <c r="K37" s="28">
        <f t="shared" si="37"/>
        <v>0.31633499999999959</v>
      </c>
      <c r="L37" s="28">
        <f t="shared" si="37"/>
        <v>2.259326999999999</v>
      </c>
      <c r="M37" s="28">
        <f t="shared" si="37"/>
        <v>0.39708599999999983</v>
      </c>
      <c r="N37" s="28">
        <f t="shared" si="37"/>
        <v>3.1365469999999993</v>
      </c>
      <c r="O37" s="28">
        <f t="shared" si="37"/>
        <v>1.6193389999999992</v>
      </c>
      <c r="P37" s="28">
        <f t="shared" si="37"/>
        <v>3.1287189999999994</v>
      </c>
      <c r="Q37" s="28">
        <f t="shared" si="37"/>
        <v>0.89303800000000066</v>
      </c>
      <c r="R37" s="28">
        <f t="shared" si="37"/>
        <v>0.98339700000000185</v>
      </c>
      <c r="S37" s="28">
        <f t="shared" si="37"/>
        <v>3.5891339999999987</v>
      </c>
      <c r="T37" s="28">
        <f t="shared" si="37"/>
        <v>7.251367000000001</v>
      </c>
      <c r="U37" s="28">
        <f t="shared" si="37"/>
        <v>5.6018020000000011</v>
      </c>
      <c r="V37" s="28">
        <f t="shared" si="37"/>
        <v>0.32354899999999631</v>
      </c>
      <c r="W37" s="28">
        <f t="shared" ref="W37" si="38">SUM(W38,W39,W42)</f>
        <v>1.1477490000000001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1.3019879999999997</v>
      </c>
      <c r="E38" s="108">
        <v>0.62229899999999994</v>
      </c>
      <c r="F38" s="108">
        <v>0</v>
      </c>
      <c r="G38" s="108">
        <v>0</v>
      </c>
      <c r="H38" s="108">
        <v>0</v>
      </c>
      <c r="I38" s="108">
        <v>0.42732900000000029</v>
      </c>
      <c r="J38" s="108">
        <v>0</v>
      </c>
      <c r="K38" s="108">
        <v>0.31633499999999959</v>
      </c>
      <c r="L38" s="108">
        <v>0.98223299999999902</v>
      </c>
      <c r="M38" s="108">
        <v>0</v>
      </c>
      <c r="N38" s="108">
        <v>3.1365469999999993</v>
      </c>
      <c r="O38" s="108">
        <v>0</v>
      </c>
      <c r="P38" s="108">
        <v>0</v>
      </c>
      <c r="Q38" s="108">
        <v>0</v>
      </c>
      <c r="R38" s="108">
        <v>0.47028300000000023</v>
      </c>
      <c r="S38" s="108">
        <v>0.43346699999999938</v>
      </c>
      <c r="T38" s="108">
        <v>3.621486</v>
      </c>
      <c r="U38" s="108">
        <v>0.98176299999999905</v>
      </c>
      <c r="V38" s="108">
        <v>0.27238900000000044</v>
      </c>
      <c r="W38" s="108">
        <v>0.46286000000000094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0.81917200000000001</v>
      </c>
      <c r="D39" s="110">
        <f t="shared" ref="D39:V39" si="40">SUM(D40:D41)</f>
        <v>0</v>
      </c>
      <c r="E39" s="110">
        <f t="shared" si="40"/>
        <v>0.73949799999999932</v>
      </c>
      <c r="F39" s="110">
        <f t="shared" si="40"/>
        <v>0</v>
      </c>
      <c r="G39" s="110">
        <f t="shared" si="40"/>
        <v>0.97104799999999969</v>
      </c>
      <c r="H39" s="110">
        <f t="shared" si="40"/>
        <v>1.3830650000000002</v>
      </c>
      <c r="I39" s="110">
        <f t="shared" si="40"/>
        <v>1.99552</v>
      </c>
      <c r="J39" s="110">
        <f t="shared" si="40"/>
        <v>0.70941899999999958</v>
      </c>
      <c r="K39" s="110">
        <f t="shared" si="40"/>
        <v>0</v>
      </c>
      <c r="L39" s="110">
        <f t="shared" si="40"/>
        <v>1.277094</v>
      </c>
      <c r="M39" s="110">
        <f t="shared" si="40"/>
        <v>0.39708599999999983</v>
      </c>
      <c r="N39" s="110">
        <f t="shared" si="40"/>
        <v>0</v>
      </c>
      <c r="O39" s="110">
        <f t="shared" si="40"/>
        <v>1.6193389999999992</v>
      </c>
      <c r="P39" s="110">
        <f t="shared" si="40"/>
        <v>3.1287189999999994</v>
      </c>
      <c r="Q39" s="110">
        <f t="shared" si="40"/>
        <v>0.89303800000000066</v>
      </c>
      <c r="R39" s="110">
        <f t="shared" si="40"/>
        <v>0.51311400000000162</v>
      </c>
      <c r="S39" s="110">
        <f t="shared" si="40"/>
        <v>3.1556669999999993</v>
      </c>
      <c r="T39" s="110">
        <f t="shared" si="40"/>
        <v>3.629881000000001</v>
      </c>
      <c r="U39" s="110">
        <f t="shared" si="40"/>
        <v>4.620039000000002</v>
      </c>
      <c r="V39" s="110">
        <f t="shared" si="40"/>
        <v>5.1159999999995875E-2</v>
      </c>
      <c r="W39" s="110">
        <f t="shared" ref="W39" si="41">SUM(W40:W41)</f>
        <v>0.68488899999999919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0.97104799999999969</v>
      </c>
      <c r="H40" s="84">
        <v>1.1523380000000003</v>
      </c>
      <c r="I40" s="84">
        <v>1.99552</v>
      </c>
      <c r="J40" s="84">
        <v>0</v>
      </c>
      <c r="K40" s="84">
        <v>0</v>
      </c>
      <c r="L40" s="84">
        <v>0.51799199999999956</v>
      </c>
      <c r="M40" s="84">
        <v>0.39708599999999983</v>
      </c>
      <c r="N40" s="84">
        <v>0</v>
      </c>
      <c r="O40" s="84">
        <v>1.6193389999999992</v>
      </c>
      <c r="P40" s="84">
        <v>1.6257429999999999</v>
      </c>
      <c r="Q40" s="84">
        <v>0.5536910000000006</v>
      </c>
      <c r="R40" s="84">
        <v>0.51311400000000162</v>
      </c>
      <c r="S40" s="84">
        <v>2.4339110000000002</v>
      </c>
      <c r="T40" s="84">
        <v>3.629881000000001</v>
      </c>
      <c r="U40" s="84">
        <v>4.620039000000002</v>
      </c>
      <c r="V40" s="84">
        <v>5.1159999999995875E-2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0.81917200000000001</v>
      </c>
      <c r="D41" s="84">
        <v>0</v>
      </c>
      <c r="E41" s="84">
        <v>0.73949799999999932</v>
      </c>
      <c r="F41" s="84">
        <v>0</v>
      </c>
      <c r="G41" s="84">
        <v>0</v>
      </c>
      <c r="H41" s="84">
        <v>0.2307269999999999</v>
      </c>
      <c r="I41" s="84">
        <v>0</v>
      </c>
      <c r="J41" s="84">
        <v>0.70941899999999958</v>
      </c>
      <c r="K41" s="84">
        <v>0</v>
      </c>
      <c r="L41" s="84">
        <v>0.75910200000000039</v>
      </c>
      <c r="M41" s="84">
        <v>0</v>
      </c>
      <c r="N41" s="84">
        <v>0</v>
      </c>
      <c r="O41" s="84">
        <v>0</v>
      </c>
      <c r="P41" s="84">
        <v>1.5029759999999994</v>
      </c>
      <c r="Q41" s="84">
        <v>0.33934700000000007</v>
      </c>
      <c r="R41" s="84">
        <v>0</v>
      </c>
      <c r="S41" s="84">
        <v>0.72175599999999918</v>
      </c>
      <c r="T41" s="84">
        <v>0</v>
      </c>
      <c r="U41" s="84">
        <v>0</v>
      </c>
      <c r="V41" s="84">
        <v>0</v>
      </c>
      <c r="W41" s="84">
        <v>0.68488899999999919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1.6473999999995215E-2</v>
      </c>
      <c r="D43" s="28">
        <f t="shared" ref="D43:V43" si="43">SUM(D44:D45)</f>
        <v>13.584939999999996</v>
      </c>
      <c r="E43" s="28">
        <f t="shared" si="43"/>
        <v>0</v>
      </c>
      <c r="F43" s="28">
        <f t="shared" si="43"/>
        <v>0</v>
      </c>
      <c r="G43" s="28">
        <f t="shared" si="43"/>
        <v>0.74745099999999809</v>
      </c>
      <c r="H43" s="28">
        <f t="shared" si="43"/>
        <v>3.941082999999999</v>
      </c>
      <c r="I43" s="28">
        <f t="shared" si="43"/>
        <v>0</v>
      </c>
      <c r="J43" s="28">
        <f t="shared" si="43"/>
        <v>0</v>
      </c>
      <c r="K43" s="28">
        <f t="shared" si="43"/>
        <v>3.1036159999999953</v>
      </c>
      <c r="L43" s="28">
        <f t="shared" si="43"/>
        <v>20.177831999999995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0</v>
      </c>
      <c r="Q43" s="28">
        <f t="shared" si="43"/>
        <v>0</v>
      </c>
      <c r="R43" s="28">
        <f t="shared" si="43"/>
        <v>0</v>
      </c>
      <c r="S43" s="28">
        <f t="shared" si="43"/>
        <v>0</v>
      </c>
      <c r="T43" s="28">
        <f t="shared" si="43"/>
        <v>0</v>
      </c>
      <c r="U43" s="28">
        <f t="shared" si="43"/>
        <v>0</v>
      </c>
      <c r="V43" s="28">
        <f t="shared" si="43"/>
        <v>0</v>
      </c>
      <c r="W43" s="28">
        <f t="shared" ref="W43" si="44">SUM(W44:W45)</f>
        <v>2.1002599999999987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1.6473999999995215E-2</v>
      </c>
      <c r="D44" s="84">
        <v>13.584939999999996</v>
      </c>
      <c r="E44" s="84">
        <v>0</v>
      </c>
      <c r="F44" s="84">
        <v>0</v>
      </c>
      <c r="G44" s="84">
        <v>0.74745099999999809</v>
      </c>
      <c r="H44" s="84">
        <v>3.941082999999999</v>
      </c>
      <c r="I44" s="84">
        <v>0</v>
      </c>
      <c r="J44" s="84">
        <v>0</v>
      </c>
      <c r="K44" s="84">
        <v>3.1036159999999953</v>
      </c>
      <c r="L44" s="84">
        <v>20.177831999999995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2.1002599999999987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116.46213130424982</v>
      </c>
      <c r="C50" s="29">
        <f t="shared" si="45"/>
        <v>107.23870713798512</v>
      </c>
      <c r="D50" s="29">
        <f t="shared" si="45"/>
        <v>103.71716612958419</v>
      </c>
      <c r="E50" s="29">
        <f t="shared" si="45"/>
        <v>101.85534877723249</v>
      </c>
      <c r="F50" s="29">
        <f t="shared" si="45"/>
        <v>117.6449906286244</v>
      </c>
      <c r="G50" s="29">
        <f t="shared" si="45"/>
        <v>136.13808483033338</v>
      </c>
      <c r="H50" s="29">
        <f t="shared" si="45"/>
        <v>131.30000902677745</v>
      </c>
      <c r="I50" s="29">
        <f t="shared" si="45"/>
        <v>126.66003824605377</v>
      </c>
      <c r="J50" s="29">
        <f t="shared" si="45"/>
        <v>150.41490633582364</v>
      </c>
      <c r="K50" s="29">
        <f t="shared" ref="K50:V50" si="46">IF(K4=0,0,K4/K15)</f>
        <v>140.96650001613244</v>
      </c>
      <c r="L50" s="29">
        <f t="shared" si="46"/>
        <v>121.14314925599422</v>
      </c>
      <c r="M50" s="29">
        <f t="shared" si="46"/>
        <v>125.0688595361477</v>
      </c>
      <c r="N50" s="29">
        <f t="shared" si="46"/>
        <v>131.78113684258747</v>
      </c>
      <c r="O50" s="29">
        <f t="shared" si="46"/>
        <v>114.03509337703713</v>
      </c>
      <c r="P50" s="29">
        <f t="shared" si="46"/>
        <v>118.77739191043149</v>
      </c>
      <c r="Q50" s="29">
        <f t="shared" si="46"/>
        <v>117.99141301515228</v>
      </c>
      <c r="R50" s="29">
        <f t="shared" si="46"/>
        <v>129.16862697699463</v>
      </c>
      <c r="S50" s="29">
        <f t="shared" si="46"/>
        <v>128.43757012714866</v>
      </c>
      <c r="T50" s="29">
        <f t="shared" si="46"/>
        <v>130.45531023557743</v>
      </c>
      <c r="U50" s="29">
        <f t="shared" si="46"/>
        <v>101.60221988669078</v>
      </c>
      <c r="V50" s="29">
        <f t="shared" si="46"/>
        <v>67.432211797877315</v>
      </c>
      <c r="W50" s="29">
        <f t="shared" ref="W50" si="47">IF(W4=0,0,W4/W15)</f>
        <v>91.786268461190886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79.082885145345671</v>
      </c>
      <c r="C51" s="115">
        <f t="shared" si="48"/>
        <v>74.313565725110792</v>
      </c>
      <c r="D51" s="115">
        <f t="shared" si="48"/>
        <v>71.349396029080708</v>
      </c>
      <c r="E51" s="115">
        <f t="shared" si="48"/>
        <v>70.480497661937136</v>
      </c>
      <c r="F51" s="115">
        <f t="shared" si="48"/>
        <v>78.889876740495495</v>
      </c>
      <c r="G51" s="115">
        <f t="shared" si="48"/>
        <v>85.237627619638943</v>
      </c>
      <c r="H51" s="115">
        <f t="shared" si="48"/>
        <v>86.007727028409349</v>
      </c>
      <c r="I51" s="115">
        <f t="shared" si="48"/>
        <v>84.807416446704238</v>
      </c>
      <c r="J51" s="115">
        <f t="shared" si="48"/>
        <v>101.0377324819501</v>
      </c>
      <c r="K51" s="115">
        <f t="shared" ref="K51:V51" si="49">IF(K5=0,0,K5/K16)</f>
        <v>90.195820076931582</v>
      </c>
      <c r="L51" s="115">
        <f t="shared" si="49"/>
        <v>83.070243102999129</v>
      </c>
      <c r="M51" s="115">
        <f t="shared" si="49"/>
        <v>83.65128369820269</v>
      </c>
      <c r="N51" s="115">
        <f t="shared" si="49"/>
        <v>85.515273174609035</v>
      </c>
      <c r="O51" s="115">
        <f t="shared" si="49"/>
        <v>80.995539477354995</v>
      </c>
      <c r="P51" s="115">
        <f t="shared" si="49"/>
        <v>79.968839737731273</v>
      </c>
      <c r="Q51" s="115">
        <f t="shared" si="49"/>
        <v>79.255899149936695</v>
      </c>
      <c r="R51" s="115">
        <f t="shared" si="49"/>
        <v>80.578122799093734</v>
      </c>
      <c r="S51" s="115">
        <f t="shared" si="49"/>
        <v>83.273551338056123</v>
      </c>
      <c r="T51" s="115">
        <f t="shared" si="49"/>
        <v>78.081270644892257</v>
      </c>
      <c r="U51" s="115">
        <f t="shared" si="49"/>
        <v>76.440347456124812</v>
      </c>
      <c r="V51" s="115">
        <f t="shared" si="49"/>
        <v>44.51604428598236</v>
      </c>
      <c r="W51" s="115">
        <f t="shared" ref="W51" si="50">IF(W5=0,0,W5/W16)</f>
        <v>49.731508747618221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143.71067041393809</v>
      </c>
      <c r="C52" s="116">
        <f t="shared" si="51"/>
        <v>136.17507181503407</v>
      </c>
      <c r="D52" s="116">
        <f t="shared" si="51"/>
        <v>135.91350563056176</v>
      </c>
      <c r="E52" s="116">
        <f t="shared" si="51"/>
        <v>132.0117598280178</v>
      </c>
      <c r="F52" s="116">
        <f t="shared" si="51"/>
        <v>149.34942750266904</v>
      </c>
      <c r="G52" s="116">
        <f t="shared" si="51"/>
        <v>166.28871574086958</v>
      </c>
      <c r="H52" s="116">
        <f t="shared" si="51"/>
        <v>156.50623316204161</v>
      </c>
      <c r="I52" s="116">
        <f t="shared" si="51"/>
        <v>147.73387117340081</v>
      </c>
      <c r="J52" s="116">
        <f t="shared" si="51"/>
        <v>172.5227909425036</v>
      </c>
      <c r="K52" s="116">
        <f t="shared" ref="K52:V52" si="52">IF(K6=0,0,K6/K17)</f>
        <v>168.30185832869969</v>
      </c>
      <c r="L52" s="116">
        <f t="shared" si="52"/>
        <v>139.77775918451644</v>
      </c>
      <c r="M52" s="116">
        <f t="shared" si="52"/>
        <v>144.11017885691115</v>
      </c>
      <c r="N52" s="116">
        <f t="shared" si="52"/>
        <v>167.38970798531841</v>
      </c>
      <c r="O52" s="116">
        <f t="shared" si="52"/>
        <v>132.38186230037948</v>
      </c>
      <c r="P52" s="116">
        <f t="shared" si="52"/>
        <v>132.18393352673323</v>
      </c>
      <c r="Q52" s="116">
        <f t="shared" si="52"/>
        <v>130.26755708482307</v>
      </c>
      <c r="R52" s="116">
        <f t="shared" si="52"/>
        <v>144.94406576512304</v>
      </c>
      <c r="S52" s="116">
        <f t="shared" si="52"/>
        <v>140.88098180782117</v>
      </c>
      <c r="T52" s="116">
        <f t="shared" si="52"/>
        <v>150.80563058604531</v>
      </c>
      <c r="U52" s="116">
        <f t="shared" si="52"/>
        <v>109.64439724407235</v>
      </c>
      <c r="V52" s="116">
        <f t="shared" si="52"/>
        <v>74.818044025102779</v>
      </c>
      <c r="W52" s="116">
        <f t="shared" ref="W52" si="53">IF(W6=0,0,W6/W17)</f>
        <v>110.04473507511888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138.96414075504759</v>
      </c>
      <c r="C53" s="87">
        <f t="shared" si="54"/>
        <v>139.37939750171623</v>
      </c>
      <c r="D53" s="87">
        <f t="shared" si="54"/>
        <v>139.53387563476025</v>
      </c>
      <c r="E53" s="87">
        <f t="shared" si="54"/>
        <v>140.06542988233585</v>
      </c>
      <c r="F53" s="87">
        <f t="shared" si="54"/>
        <v>140.103958097907</v>
      </c>
      <c r="G53" s="87">
        <f t="shared" si="54"/>
        <v>141.22691864006941</v>
      </c>
      <c r="H53" s="87">
        <f t="shared" si="54"/>
        <v>141.62374029312068</v>
      </c>
      <c r="I53" s="87">
        <f t="shared" si="54"/>
        <v>142.28282329002943</v>
      </c>
      <c r="J53" s="87">
        <f t="shared" si="54"/>
        <v>137.54650147627709</v>
      </c>
      <c r="K53" s="87">
        <f t="shared" ref="K53:V53" si="55">IF(K7=0,0,K7/K18)</f>
        <v>138.35424727446218</v>
      </c>
      <c r="L53" s="87">
        <f t="shared" si="55"/>
        <v>138.76522463009064</v>
      </c>
      <c r="M53" s="87">
        <f t="shared" si="55"/>
        <v>138.36597268880729</v>
      </c>
      <c r="N53" s="87">
        <f t="shared" si="55"/>
        <v>137.29791492503446</v>
      </c>
      <c r="O53" s="87">
        <f t="shared" si="55"/>
        <v>138.28484544196075</v>
      </c>
      <c r="P53" s="87">
        <f t="shared" si="55"/>
        <v>139.16463735000158</v>
      </c>
      <c r="Q53" s="87">
        <f t="shared" si="55"/>
        <v>139.71811813376729</v>
      </c>
      <c r="R53" s="87">
        <f t="shared" si="55"/>
        <v>141.27940611587488</v>
      </c>
      <c r="S53" s="87">
        <f t="shared" si="55"/>
        <v>141.23320159216732</v>
      </c>
      <c r="T53" s="87">
        <f t="shared" si="55"/>
        <v>143.43948933951572</v>
      </c>
      <c r="U53" s="87">
        <f t="shared" si="55"/>
        <v>105.94387050246917</v>
      </c>
      <c r="V53" s="87">
        <f t="shared" si="55"/>
        <v>70.551800667389031</v>
      </c>
      <c r="W53" s="87">
        <f t="shared" ref="W53" si="56">IF(W7=0,0,W7/W18)</f>
        <v>117.72294397477937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155.43239641428173</v>
      </c>
      <c r="C54" s="87">
        <f t="shared" si="57"/>
        <v>132.53972295181643</v>
      </c>
      <c r="D54" s="87">
        <f t="shared" si="57"/>
        <v>131.68086043435051</v>
      </c>
      <c r="E54" s="87">
        <f t="shared" si="57"/>
        <v>124.06392258730125</v>
      </c>
      <c r="F54" s="87">
        <f t="shared" si="57"/>
        <v>162.09513314016522</v>
      </c>
      <c r="G54" s="87">
        <f t="shared" si="57"/>
        <v>202.61196785341116</v>
      </c>
      <c r="H54" s="87">
        <f t="shared" si="57"/>
        <v>180.69152093757356</v>
      </c>
      <c r="I54" s="87">
        <f t="shared" si="57"/>
        <v>159.78696040073018</v>
      </c>
      <c r="J54" s="87">
        <f t="shared" si="57"/>
        <v>220.94921772099559</v>
      </c>
      <c r="K54" s="87">
        <f t="shared" ref="K54:V54" si="58">IF(K8=0,0,K8/K19)</f>
        <v>214.12387294054352</v>
      </c>
      <c r="L54" s="87">
        <f t="shared" si="58"/>
        <v>141.28669549249057</v>
      </c>
      <c r="M54" s="87">
        <f t="shared" si="58"/>
        <v>154.29839233263974</v>
      </c>
      <c r="N54" s="87">
        <f t="shared" si="58"/>
        <v>215.35324826426628</v>
      </c>
      <c r="O54" s="87">
        <f t="shared" si="58"/>
        <v>119.5725435829722</v>
      </c>
      <c r="P54" s="87">
        <f t="shared" si="58"/>
        <v>119.70961267219781</v>
      </c>
      <c r="Q54" s="87">
        <f t="shared" si="58"/>
        <v>113.55372118884696</v>
      </c>
      <c r="R54" s="87">
        <f t="shared" si="58"/>
        <v>152.08349163579038</v>
      </c>
      <c r="S54" s="87">
        <f t="shared" si="58"/>
        <v>140.13202519395026</v>
      </c>
      <c r="T54" s="87">
        <f t="shared" si="58"/>
        <v>184.79846462916322</v>
      </c>
      <c r="U54" s="87">
        <f t="shared" si="58"/>
        <v>126.3512303239731</v>
      </c>
      <c r="V54" s="87">
        <f t="shared" si="58"/>
        <v>94.763102891698992</v>
      </c>
      <c r="W54" s="87">
        <f t="shared" ref="W54" si="59">IF(W8=0,0,W8/W19)</f>
        <v>91.053686870001201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954.46702074810651</v>
      </c>
      <c r="C56" s="29">
        <f t="shared" si="63"/>
        <v>1047.9848784870162</v>
      </c>
      <c r="D56" s="29">
        <f t="shared" si="63"/>
        <v>918.66153453802417</v>
      </c>
      <c r="E56" s="29">
        <f t="shared" si="63"/>
        <v>1032.0796534308947</v>
      </c>
      <c r="F56" s="29">
        <f t="shared" si="63"/>
        <v>1300.7467138564814</v>
      </c>
      <c r="G56" s="29">
        <f t="shared" si="63"/>
        <v>1225.5845564540498</v>
      </c>
      <c r="H56" s="29">
        <f t="shared" si="63"/>
        <v>1139.5301690147419</v>
      </c>
      <c r="I56" s="29">
        <f t="shared" si="63"/>
        <v>1100.3195929288363</v>
      </c>
      <c r="J56" s="29">
        <f t="shared" si="63"/>
        <v>1081.8322868000896</v>
      </c>
      <c r="K56" s="29">
        <f t="shared" ref="K56:V56" si="64">IF(K10=0,0,K10/K21)</f>
        <v>768.46753252639189</v>
      </c>
      <c r="L56" s="29">
        <f t="shared" si="64"/>
        <v>579.85258762053581</v>
      </c>
      <c r="M56" s="29">
        <f t="shared" si="64"/>
        <v>809.34687927066773</v>
      </c>
      <c r="N56" s="29">
        <f t="shared" si="64"/>
        <v>738.37140272154761</v>
      </c>
      <c r="O56" s="29">
        <f t="shared" si="64"/>
        <v>797.82038574319017</v>
      </c>
      <c r="P56" s="29">
        <f t="shared" si="64"/>
        <v>734.4380811419046</v>
      </c>
      <c r="Q56" s="29">
        <f t="shared" si="64"/>
        <v>733.17556085090041</v>
      </c>
      <c r="R56" s="29">
        <f t="shared" si="64"/>
        <v>715.92267145479605</v>
      </c>
      <c r="S56" s="29">
        <f t="shared" si="64"/>
        <v>695.18687158169053</v>
      </c>
      <c r="T56" s="29">
        <f t="shared" si="64"/>
        <v>881.5295219446416</v>
      </c>
      <c r="U56" s="29">
        <f t="shared" si="64"/>
        <v>694.44431953216883</v>
      </c>
      <c r="V56" s="29">
        <f t="shared" si="64"/>
        <v>638.48441971619604</v>
      </c>
      <c r="W56" s="29">
        <f t="shared" ref="W56" si="65">IF(W10=0,0,W10/W21)</f>
        <v>695.78313339532713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954.46702074810651</v>
      </c>
      <c r="C57" s="87">
        <f t="shared" si="66"/>
        <v>1047.9848784870162</v>
      </c>
      <c r="D57" s="87">
        <f t="shared" si="66"/>
        <v>918.66153453802417</v>
      </c>
      <c r="E57" s="87">
        <f t="shared" si="66"/>
        <v>1032.0796534308947</v>
      </c>
      <c r="F57" s="87">
        <f t="shared" si="66"/>
        <v>1300.7467138564814</v>
      </c>
      <c r="G57" s="87">
        <f t="shared" si="66"/>
        <v>1225.5845564540498</v>
      </c>
      <c r="H57" s="87">
        <f t="shared" si="66"/>
        <v>1139.5301690147419</v>
      </c>
      <c r="I57" s="87">
        <f t="shared" si="66"/>
        <v>1100.3195929288363</v>
      </c>
      <c r="J57" s="87">
        <f t="shared" si="66"/>
        <v>1081.8322868000896</v>
      </c>
      <c r="K57" s="87">
        <f t="shared" ref="K57:V57" si="67">IF(K11=0,0,K11/K22)</f>
        <v>768.46753252639189</v>
      </c>
      <c r="L57" s="87">
        <f t="shared" si="67"/>
        <v>579.85258762053581</v>
      </c>
      <c r="M57" s="87">
        <f t="shared" si="67"/>
        <v>809.34687927066773</v>
      </c>
      <c r="N57" s="87">
        <f t="shared" si="67"/>
        <v>738.37140272154761</v>
      </c>
      <c r="O57" s="87">
        <f t="shared" si="67"/>
        <v>797.82038574319017</v>
      </c>
      <c r="P57" s="87">
        <f t="shared" si="67"/>
        <v>734.4380811419046</v>
      </c>
      <c r="Q57" s="87">
        <f t="shared" si="67"/>
        <v>733.17556085090041</v>
      </c>
      <c r="R57" s="87">
        <f t="shared" si="67"/>
        <v>715.92267145479605</v>
      </c>
      <c r="S57" s="87">
        <f t="shared" si="67"/>
        <v>695.18687158169053</v>
      </c>
      <c r="T57" s="87">
        <f t="shared" si="67"/>
        <v>881.5295219446416</v>
      </c>
      <c r="U57" s="87">
        <f t="shared" si="67"/>
        <v>694.44431953216883</v>
      </c>
      <c r="V57" s="87">
        <f t="shared" si="67"/>
        <v>638.48441971619604</v>
      </c>
      <c r="W57" s="87">
        <f t="shared" ref="W57" si="68">IF(W11=0,0,W11/W22)</f>
        <v>695.78313339532713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" si="71">IF(W12=0,0,W12/W23)</f>
        <v>0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359.88078380954772</v>
      </c>
      <c r="C61" s="29">
        <f t="shared" ref="C61" si="73">IF(C26=0,0,(C62*C27+C64*C29+C65*C30+C66*C31)/(C27+C29+C30+C31))</f>
        <v>358.04506556475957</v>
      </c>
      <c r="D61" s="29">
        <f t="shared" ref="D61" si="74">IF(D26=0,0,(D62*D27+D64*D29+D65*D30+D66*D31)/(D27+D29+D30+D31))</f>
        <v>361.54798128725412</v>
      </c>
      <c r="E61" s="29">
        <f t="shared" ref="E61" si="75">IF(E26=0,0,(E62*E27+E64*E29+E65*E30+E66*E31)/(E27+E29+E30+E31))</f>
        <v>362.43385938818494</v>
      </c>
      <c r="F61" s="29">
        <f t="shared" ref="F61" si="76">IF(F26=0,0,(F62*F27+F64*F29+F65*F30+F66*F31)/(F27+F29+F30+F31))</f>
        <v>362.73789578927995</v>
      </c>
      <c r="G61" s="29">
        <f t="shared" ref="G61" si="77">IF(G26=0,0,(G62*G27+G64*G29+G65*G30+G66*G31)/(G27+G29+G30+G31))</f>
        <v>359.35530694541069</v>
      </c>
      <c r="H61" s="29">
        <f t="shared" ref="H61" si="78">IF(H26=0,0,(H62*H27+H64*H29+H65*H30+H66*H31)/(H27+H29+H30+H31))</f>
        <v>354.78845357550625</v>
      </c>
      <c r="I61" s="29">
        <f t="shared" ref="I61" si="79">IF(I26=0,0,(I62*I27+I64*I29+I65*I30+I66*I31)/(I27+I29+I30+I31))</f>
        <v>352.56798984540484</v>
      </c>
      <c r="J61" s="29">
        <f t="shared" ref="J61" si="80">IF(J26=0,0,(J62*J27+J64*J29+J65*J30+J66*J31)/(J27+J29+J30+J31))</f>
        <v>350.07933581725524</v>
      </c>
      <c r="K61" s="29">
        <f t="shared" ref="K61" si="81">IF(K26=0,0,(K62*K27+K64*K29+K65*K30+K66*K31)/(K27+K29+K30+K31))</f>
        <v>351.96562472945681</v>
      </c>
      <c r="L61" s="29">
        <f t="shared" ref="L61" si="82">IF(L26=0,0,(L62*L27+L64*L29+L65*L30+L66*L31)/(L27+L29+L30+L31))</f>
        <v>352.02184563325329</v>
      </c>
      <c r="M61" s="29">
        <f t="shared" ref="M61" si="83">IF(M26=0,0,(M62*M27+M64*M29+M65*M30+M66*M31)/(M27+M29+M30+M31))</f>
        <v>350.28287338292324</v>
      </c>
      <c r="N61" s="29">
        <f t="shared" ref="N61" si="84">IF(N26=0,0,(N62*N27+N64*N29+N65*N30+N66*N31)/(N27+N29+N30+N31))</f>
        <v>358.93668388089725</v>
      </c>
      <c r="O61" s="29">
        <f t="shared" ref="O61" si="85">IF(O26=0,0,(O62*O27+O64*O29+O65*O30+O66*O31)/(O27+O29+O30+O31))</f>
        <v>354.49360006479037</v>
      </c>
      <c r="P61" s="29">
        <f t="shared" ref="P61" si="86">IF(P26=0,0,(P62*P27+P64*P29+P65*P30+P66*P31)/(P27+P29+P30+P31))</f>
        <v>347.54551907135414</v>
      </c>
      <c r="Q61" s="29">
        <f t="shared" ref="Q61" si="87">IF(Q26=0,0,(Q62*Q27+Q64*Q29+Q65*Q30+Q66*Q31)/(Q27+Q29+Q30+Q31))</f>
        <v>344.14057839029442</v>
      </c>
      <c r="R61" s="29">
        <f t="shared" ref="R61" si="88">IF(R26=0,0,(R62*R27+R64*R29+R65*R30+R66*R31)/(R27+R29+R30+R31))</f>
        <v>344.54003010756742</v>
      </c>
      <c r="S61" s="29">
        <f t="shared" ref="S61" si="89">IF(S26=0,0,(S62*S27+S64*S29+S65*S30+S66*S31)/(S27+S29+S30+S31))</f>
        <v>341.8479425761534</v>
      </c>
      <c r="T61" s="29">
        <f t="shared" ref="T61" si="90">IF(T26=0,0,(T62*T27+T64*T29+T65*T30+T66*T31)/(T27+T29+T30+T31))</f>
        <v>345.95188220769438</v>
      </c>
      <c r="U61" s="29">
        <f t="shared" ref="U61" si="91">IF(U26=0,0,(U62*U27+U64*U29+U65*U30+U66*U31)/(U27+U29+U30+U31))</f>
        <v>343.92021281984916</v>
      </c>
      <c r="V61" s="29">
        <f t="shared" ref="V61" si="92">IF(V26=0,0,(V62*V27+V64*V29+V65*V30+V66*V31)/(V27+V29+V30+V31))</f>
        <v>344.16464834232283</v>
      </c>
      <c r="W61" s="29">
        <f t="shared" ref="W61" si="93">IF(W26=0,0,(W62*W27+W64*W29+W65*W30+W66*W31)/(W27+W29+W30+W31))</f>
        <v>344.54368965945031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320.00000000000006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319.99999999999994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319.99999999999994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319.99999999999994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0.3236130867323071</v>
      </c>
      <c r="C72" s="30">
        <f t="shared" ref="C72:J72" si="138">IF(C50=0,0,C50/C61)</f>
        <v>0.29951175830012622</v>
      </c>
      <c r="D72" s="30">
        <f t="shared" si="138"/>
        <v>0.28686971438841941</v>
      </c>
      <c r="E72" s="30">
        <f t="shared" si="138"/>
        <v>0.28103154862289031</v>
      </c>
      <c r="F72" s="30">
        <f t="shared" si="138"/>
        <v>0.3243250622398885</v>
      </c>
      <c r="G72" s="30">
        <f t="shared" si="138"/>
        <v>0.37883977834509619</v>
      </c>
      <c r="H72" s="30">
        <f t="shared" si="138"/>
        <v>0.37007971286425789</v>
      </c>
      <c r="I72" s="30">
        <f t="shared" si="138"/>
        <v>0.35924996566362161</v>
      </c>
      <c r="J72" s="30">
        <f t="shared" si="138"/>
        <v>0.4296594827132032</v>
      </c>
      <c r="K72" s="30">
        <f t="shared" ref="K72:V72" si="139">IF(K50=0,0,K50/K61)</f>
        <v>0.400512124229428</v>
      </c>
      <c r="L72" s="30">
        <f t="shared" si="139"/>
        <v>0.34413531648318413</v>
      </c>
      <c r="M72" s="30">
        <f t="shared" si="139"/>
        <v>0.35705102658394766</v>
      </c>
      <c r="N72" s="30">
        <f t="shared" si="139"/>
        <v>0.36714312791254078</v>
      </c>
      <c r="O72" s="30">
        <f t="shared" si="139"/>
        <v>0.32168449121844533</v>
      </c>
      <c r="P72" s="30">
        <f t="shared" si="139"/>
        <v>0.3417606770698875</v>
      </c>
      <c r="Q72" s="30">
        <f t="shared" si="139"/>
        <v>0.34285818187164385</v>
      </c>
      <c r="R72" s="30">
        <f t="shared" si="139"/>
        <v>0.37490165347889309</v>
      </c>
      <c r="S72" s="30">
        <f t="shared" si="139"/>
        <v>0.37571549841502017</v>
      </c>
      <c r="T72" s="30">
        <f t="shared" si="139"/>
        <v>0.377090910455743</v>
      </c>
      <c r="U72" s="30">
        <f t="shared" si="139"/>
        <v>0.29542381081251429</v>
      </c>
      <c r="V72" s="30">
        <f t="shared" si="139"/>
        <v>0.19593009369982117</v>
      </c>
      <c r="W72" s="30">
        <f t="shared" ref="W72" si="140">IF(W50=0,0,W50/W61)</f>
        <v>0.26639950524681832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0.19770721286336418</v>
      </c>
      <c r="C73" s="118">
        <f t="shared" si="141"/>
        <v>0.18578391431277697</v>
      </c>
      <c r="D73" s="118">
        <f t="shared" si="141"/>
        <v>0.17837349007270176</v>
      </c>
      <c r="E73" s="118">
        <f t="shared" si="141"/>
        <v>0.17620124415484284</v>
      </c>
      <c r="F73" s="118">
        <f t="shared" si="141"/>
        <v>0.19722469185123873</v>
      </c>
      <c r="G73" s="118">
        <f t="shared" si="141"/>
        <v>0.21309406904909736</v>
      </c>
      <c r="H73" s="118">
        <f t="shared" si="141"/>
        <v>0.21501931757102338</v>
      </c>
      <c r="I73" s="118">
        <f t="shared" si="141"/>
        <v>0.21201854111676061</v>
      </c>
      <c r="J73" s="118">
        <f t="shared" si="141"/>
        <v>0.25259433120487523</v>
      </c>
      <c r="K73" s="118">
        <f t="shared" ref="K73:V73" si="142">IF(K51=0,0,K51/K62)</f>
        <v>0.22548955019232897</v>
      </c>
      <c r="L73" s="118">
        <f t="shared" si="142"/>
        <v>0.20767560775749783</v>
      </c>
      <c r="M73" s="118">
        <f t="shared" si="142"/>
        <v>0.20912820924550674</v>
      </c>
      <c r="N73" s="118">
        <f t="shared" si="142"/>
        <v>0.21378818293652257</v>
      </c>
      <c r="O73" s="118">
        <f t="shared" si="142"/>
        <v>0.20248884869338749</v>
      </c>
      <c r="P73" s="118">
        <f t="shared" si="142"/>
        <v>0.19992209934432817</v>
      </c>
      <c r="Q73" s="118">
        <f t="shared" si="142"/>
        <v>0.19813974787484173</v>
      </c>
      <c r="R73" s="118">
        <f t="shared" si="142"/>
        <v>0.20144530699773433</v>
      </c>
      <c r="S73" s="118">
        <f t="shared" si="142"/>
        <v>0.20818387834514029</v>
      </c>
      <c r="T73" s="118">
        <f t="shared" si="142"/>
        <v>0.19520317661223063</v>
      </c>
      <c r="U73" s="118">
        <f t="shared" si="142"/>
        <v>0.19110086864031203</v>
      </c>
      <c r="V73" s="118">
        <f t="shared" si="142"/>
        <v>0.1112901107149559</v>
      </c>
      <c r="W73" s="118">
        <f t="shared" ref="W73" si="143">IF(W51=0,0,W51/W62)</f>
        <v>0.12432877186904555</v>
      </c>
      <c r="DA73" s="203"/>
    </row>
    <row r="74" spans="1:105" ht="11.45" customHeight="1" x14ac:dyDescent="0.25">
      <c r="A74" s="109" t="s">
        <v>24</v>
      </c>
      <c r="B74" s="119">
        <f t="shared" si="141"/>
        <v>0.44909584504355654</v>
      </c>
      <c r="C74" s="119">
        <f t="shared" si="141"/>
        <v>0.42554709942198149</v>
      </c>
      <c r="D74" s="119">
        <f t="shared" si="141"/>
        <v>0.42472970509550551</v>
      </c>
      <c r="E74" s="119">
        <f t="shared" si="141"/>
        <v>0.41253674946255553</v>
      </c>
      <c r="F74" s="119">
        <f t="shared" si="141"/>
        <v>0.46671696094584075</v>
      </c>
      <c r="G74" s="119">
        <f t="shared" si="141"/>
        <v>0.51965223669021743</v>
      </c>
      <c r="H74" s="119">
        <f t="shared" si="141"/>
        <v>0.48908197863138003</v>
      </c>
      <c r="I74" s="119">
        <f t="shared" si="141"/>
        <v>0.46166834741687757</v>
      </c>
      <c r="J74" s="119">
        <f t="shared" si="141"/>
        <v>0.5391337216953237</v>
      </c>
      <c r="K74" s="119">
        <f t="shared" ref="K74:V74" si="144">IF(K52=0,0,K52/K63)</f>
        <v>0.52594330727718652</v>
      </c>
      <c r="L74" s="119">
        <f t="shared" si="144"/>
        <v>0.4368054974516139</v>
      </c>
      <c r="M74" s="119">
        <f t="shared" si="144"/>
        <v>0.45034430892784733</v>
      </c>
      <c r="N74" s="119">
        <f t="shared" si="144"/>
        <v>0.52309283745412016</v>
      </c>
      <c r="O74" s="119">
        <f t="shared" si="144"/>
        <v>0.41369331968868589</v>
      </c>
      <c r="P74" s="119">
        <f t="shared" si="144"/>
        <v>0.41307479227104132</v>
      </c>
      <c r="Q74" s="119">
        <f t="shared" si="144"/>
        <v>0.4070861158900721</v>
      </c>
      <c r="R74" s="119">
        <f t="shared" si="144"/>
        <v>0.45295020551600951</v>
      </c>
      <c r="S74" s="119">
        <f t="shared" si="144"/>
        <v>0.44025306814944126</v>
      </c>
      <c r="T74" s="119">
        <f t="shared" si="144"/>
        <v>0.47126759558139159</v>
      </c>
      <c r="U74" s="119">
        <f t="shared" si="144"/>
        <v>0.3426387413877261</v>
      </c>
      <c r="V74" s="119">
        <f t="shared" si="144"/>
        <v>0.23380638757844618</v>
      </c>
      <c r="W74" s="119">
        <f t="shared" ref="W74" si="145">IF(W52=0,0,W52/W63)</f>
        <v>0.34388979710974654</v>
      </c>
      <c r="DA74" s="176"/>
    </row>
    <row r="75" spans="1:105" ht="11.45" customHeight="1" x14ac:dyDescent="0.25">
      <c r="A75" s="111" t="s">
        <v>92</v>
      </c>
      <c r="B75" s="120">
        <f t="shared" si="141"/>
        <v>0.43426293985952374</v>
      </c>
      <c r="C75" s="120">
        <f t="shared" si="141"/>
        <v>0.43556061719286321</v>
      </c>
      <c r="D75" s="120">
        <f t="shared" si="141"/>
        <v>0.43604336135862576</v>
      </c>
      <c r="E75" s="120">
        <f t="shared" si="141"/>
        <v>0.43770446838229954</v>
      </c>
      <c r="F75" s="120">
        <f t="shared" si="141"/>
        <v>0.43782486905595935</v>
      </c>
      <c r="G75" s="120">
        <f t="shared" si="141"/>
        <v>0.44133412075021694</v>
      </c>
      <c r="H75" s="120">
        <f t="shared" si="141"/>
        <v>0.4425741884160021</v>
      </c>
      <c r="I75" s="120">
        <f t="shared" si="141"/>
        <v>0.44463382278134195</v>
      </c>
      <c r="J75" s="120">
        <f t="shared" si="141"/>
        <v>0.42983281711336591</v>
      </c>
      <c r="K75" s="120">
        <f t="shared" ref="K75:V75" si="146">IF(K53=0,0,K53/K64)</f>
        <v>0.43235702273269433</v>
      </c>
      <c r="L75" s="120">
        <f t="shared" si="146"/>
        <v>0.43364132696903324</v>
      </c>
      <c r="M75" s="120">
        <f t="shared" si="146"/>
        <v>0.43239366465252277</v>
      </c>
      <c r="N75" s="120">
        <f t="shared" si="146"/>
        <v>0.4290559841407327</v>
      </c>
      <c r="O75" s="120">
        <f t="shared" si="146"/>
        <v>0.43214014200612738</v>
      </c>
      <c r="P75" s="120">
        <f t="shared" si="146"/>
        <v>0.43488949171875496</v>
      </c>
      <c r="Q75" s="120">
        <f t="shared" si="146"/>
        <v>0.43661911916802276</v>
      </c>
      <c r="R75" s="120">
        <f t="shared" si="146"/>
        <v>0.44149814411210897</v>
      </c>
      <c r="S75" s="120">
        <f t="shared" si="146"/>
        <v>0.44135375497552287</v>
      </c>
      <c r="T75" s="120">
        <f t="shared" si="146"/>
        <v>0.4482484041859866</v>
      </c>
      <c r="U75" s="120">
        <f t="shared" si="146"/>
        <v>0.33107459532021616</v>
      </c>
      <c r="V75" s="120">
        <f t="shared" si="146"/>
        <v>0.22047437708559073</v>
      </c>
      <c r="W75" s="120">
        <f t="shared" ref="W75" si="147">IF(W53=0,0,W53/W64)</f>
        <v>0.36788419992118554</v>
      </c>
      <c r="DA75" s="171"/>
    </row>
    <row r="76" spans="1:105" ht="11.45" customHeight="1" x14ac:dyDescent="0.25">
      <c r="A76" s="111" t="s">
        <v>93</v>
      </c>
      <c r="B76" s="120">
        <f t="shared" si="141"/>
        <v>0.48572623879463039</v>
      </c>
      <c r="C76" s="120">
        <f t="shared" si="141"/>
        <v>0.41418663422442636</v>
      </c>
      <c r="D76" s="120">
        <f t="shared" si="141"/>
        <v>0.41150268885734531</v>
      </c>
      <c r="E76" s="120">
        <f t="shared" si="141"/>
        <v>0.38769975808531643</v>
      </c>
      <c r="F76" s="120">
        <f t="shared" si="141"/>
        <v>0.50654729106301633</v>
      </c>
      <c r="G76" s="120">
        <f t="shared" si="141"/>
        <v>0.63316239954190989</v>
      </c>
      <c r="H76" s="120">
        <f t="shared" si="141"/>
        <v>0.56466100292991739</v>
      </c>
      <c r="I76" s="120">
        <f t="shared" si="141"/>
        <v>0.49933425125228181</v>
      </c>
      <c r="J76" s="120">
        <f t="shared" si="141"/>
        <v>0.69046630537811127</v>
      </c>
      <c r="K76" s="120">
        <f t="shared" ref="K76:V76" si="148">IF(K54=0,0,K54/K65)</f>
        <v>0.66913710293919848</v>
      </c>
      <c r="L76" s="120">
        <f t="shared" si="148"/>
        <v>0.44152092341403304</v>
      </c>
      <c r="M76" s="120">
        <f t="shared" si="148"/>
        <v>0.48218247603949915</v>
      </c>
      <c r="N76" s="120">
        <f t="shared" si="148"/>
        <v>0.67297890082583212</v>
      </c>
      <c r="O76" s="120">
        <f t="shared" si="148"/>
        <v>0.37366419869678813</v>
      </c>
      <c r="P76" s="120">
        <f t="shared" si="148"/>
        <v>0.37409253960061817</v>
      </c>
      <c r="Q76" s="120">
        <f t="shared" si="148"/>
        <v>0.35485537871514677</v>
      </c>
      <c r="R76" s="120">
        <f t="shared" si="148"/>
        <v>0.47526091136184495</v>
      </c>
      <c r="S76" s="120">
        <f t="shared" si="148"/>
        <v>0.43791257873109457</v>
      </c>
      <c r="T76" s="120">
        <f t="shared" si="148"/>
        <v>0.57749520196613502</v>
      </c>
      <c r="U76" s="120">
        <f t="shared" si="148"/>
        <v>0.39484759476241593</v>
      </c>
      <c r="V76" s="120">
        <f t="shared" si="148"/>
        <v>0.29613469653655933</v>
      </c>
      <c r="W76" s="120">
        <f t="shared" ref="W76" si="149">IF(W54=0,0,W54/W65)</f>
        <v>0.28454277146875373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0.45450810511814593</v>
      </c>
      <c r="C78" s="30">
        <f t="shared" si="141"/>
        <v>0.49904041832715057</v>
      </c>
      <c r="D78" s="30">
        <f t="shared" si="141"/>
        <v>0.43745787358953531</v>
      </c>
      <c r="E78" s="30">
        <f t="shared" si="141"/>
        <v>0.49146650163375938</v>
      </c>
      <c r="F78" s="30">
        <f t="shared" si="141"/>
        <v>0.61940319707451497</v>
      </c>
      <c r="G78" s="30">
        <f t="shared" si="141"/>
        <v>0.58361169354954756</v>
      </c>
      <c r="H78" s="30">
        <f t="shared" si="141"/>
        <v>0.54263341381654373</v>
      </c>
      <c r="I78" s="30">
        <f t="shared" si="141"/>
        <v>0.52396171091849353</v>
      </c>
      <c r="J78" s="30">
        <f t="shared" si="141"/>
        <v>0.51515823180956644</v>
      </c>
      <c r="K78" s="30">
        <f t="shared" ref="K78:V78" si="152">IF(K56=0,0,K56/K67)</f>
        <v>0.36593692025066282</v>
      </c>
      <c r="L78" s="30">
        <f t="shared" si="152"/>
        <v>0.27612027981930276</v>
      </c>
      <c r="M78" s="30">
        <f t="shared" si="152"/>
        <v>0.38540327584317513</v>
      </c>
      <c r="N78" s="30">
        <f t="shared" si="152"/>
        <v>0.35160542986740362</v>
      </c>
      <c r="O78" s="30">
        <f t="shared" si="152"/>
        <v>0.37991446940151913</v>
      </c>
      <c r="P78" s="30">
        <f t="shared" si="152"/>
        <v>0.34973241959138313</v>
      </c>
      <c r="Q78" s="30">
        <f t="shared" si="152"/>
        <v>0.34913121945280973</v>
      </c>
      <c r="R78" s="30">
        <f t="shared" si="152"/>
        <v>0.34091555783561717</v>
      </c>
      <c r="S78" s="30">
        <f t="shared" si="152"/>
        <v>0.33104136741985263</v>
      </c>
      <c r="T78" s="30">
        <f t="shared" si="152"/>
        <v>0.41977596283078172</v>
      </c>
      <c r="U78" s="30">
        <f t="shared" si="152"/>
        <v>0.33068777120579468</v>
      </c>
      <c r="V78" s="30">
        <f t="shared" si="152"/>
        <v>0.30404019986485525</v>
      </c>
      <c r="W78" s="30">
        <f t="shared" ref="W78" si="153">IF(W56=0,0,W56/W67)</f>
        <v>0.33132530161682244</v>
      </c>
      <c r="DA78" s="173"/>
    </row>
    <row r="79" spans="1:105" ht="11.45" customHeight="1" x14ac:dyDescent="0.25">
      <c r="A79" s="83" t="s">
        <v>92</v>
      </c>
      <c r="B79" s="120">
        <f t="shared" si="141"/>
        <v>0.45450810511814593</v>
      </c>
      <c r="C79" s="120">
        <f t="shared" si="141"/>
        <v>0.49904041832715057</v>
      </c>
      <c r="D79" s="120">
        <f t="shared" si="141"/>
        <v>0.43745787358953531</v>
      </c>
      <c r="E79" s="120">
        <f t="shared" si="141"/>
        <v>0.49146650163375938</v>
      </c>
      <c r="F79" s="120">
        <f t="shared" si="141"/>
        <v>0.61940319707451497</v>
      </c>
      <c r="G79" s="120">
        <f t="shared" si="141"/>
        <v>0.58361169354954756</v>
      </c>
      <c r="H79" s="120">
        <f t="shared" si="141"/>
        <v>0.54263341381654373</v>
      </c>
      <c r="I79" s="120">
        <f t="shared" si="141"/>
        <v>0.52396171091849353</v>
      </c>
      <c r="J79" s="120">
        <f t="shared" si="141"/>
        <v>0.51515823180956644</v>
      </c>
      <c r="K79" s="120">
        <f t="shared" ref="K79:V79" si="154">IF(K57=0,0,K57/K68)</f>
        <v>0.36593692025066282</v>
      </c>
      <c r="L79" s="120">
        <f t="shared" si="154"/>
        <v>0.27612027981930276</v>
      </c>
      <c r="M79" s="120">
        <f t="shared" si="154"/>
        <v>0.38540327584317513</v>
      </c>
      <c r="N79" s="120">
        <f t="shared" si="154"/>
        <v>0.35160542986740362</v>
      </c>
      <c r="O79" s="120">
        <f t="shared" si="154"/>
        <v>0.37991446940151913</v>
      </c>
      <c r="P79" s="120">
        <f t="shared" si="154"/>
        <v>0.34973241959138313</v>
      </c>
      <c r="Q79" s="120">
        <f t="shared" si="154"/>
        <v>0.34913121945280973</v>
      </c>
      <c r="R79" s="120">
        <f t="shared" si="154"/>
        <v>0.34091555783561717</v>
      </c>
      <c r="S79" s="120">
        <f t="shared" si="154"/>
        <v>0.33104136741985263</v>
      </c>
      <c r="T79" s="120">
        <f t="shared" si="154"/>
        <v>0.41977596283078172</v>
      </c>
      <c r="U79" s="120">
        <f t="shared" si="154"/>
        <v>0.33068777120579468</v>
      </c>
      <c r="V79" s="120">
        <f t="shared" si="154"/>
        <v>0.30404019986485525</v>
      </c>
      <c r="W79" s="120">
        <f t="shared" ref="W79" si="155">IF(W57=0,0,W57/W68)</f>
        <v>0.33132530161682244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" si="157">IF(W58=0,0,W58/W69)</f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174640.32662983911</v>
      </c>
      <c r="C82" s="54">
        <f t="shared" si="158"/>
        <v>167998.17507932812</v>
      </c>
      <c r="D82" s="54">
        <f t="shared" si="158"/>
        <v>174328.90803011283</v>
      </c>
      <c r="E82" s="54">
        <f t="shared" si="158"/>
        <v>169477.29584503983</v>
      </c>
      <c r="F82" s="54">
        <f t="shared" si="158"/>
        <v>161276.37723527983</v>
      </c>
      <c r="G82" s="54">
        <f t="shared" si="158"/>
        <v>175558.87440298291</v>
      </c>
      <c r="H82" s="54">
        <f t="shared" si="158"/>
        <v>179745.6173962818</v>
      </c>
      <c r="I82" s="54">
        <f t="shared" si="158"/>
        <v>167677.26376813359</v>
      </c>
      <c r="J82" s="54">
        <f t="shared" si="158"/>
        <v>137675.94171371945</v>
      </c>
      <c r="K82" s="54">
        <f t="shared" ref="K82:V82" si="159">IF(K14=0,0,K14/K25*1000000)</f>
        <v>176264.19439693636</v>
      </c>
      <c r="L82" s="54">
        <f t="shared" si="159"/>
        <v>183134.25566995042</v>
      </c>
      <c r="M82" s="54">
        <f t="shared" si="159"/>
        <v>142568.88432279401</v>
      </c>
      <c r="N82" s="54">
        <f t="shared" si="159"/>
        <v>136812.05303587765</v>
      </c>
      <c r="O82" s="54">
        <f t="shared" si="159"/>
        <v>132387.85180863121</v>
      </c>
      <c r="P82" s="54">
        <f t="shared" si="159"/>
        <v>117854.98141448249</v>
      </c>
      <c r="Q82" s="54">
        <f t="shared" si="159"/>
        <v>125354.92703431989</v>
      </c>
      <c r="R82" s="54">
        <f t="shared" si="159"/>
        <v>116710.44789831528</v>
      </c>
      <c r="S82" s="54">
        <f t="shared" si="159"/>
        <v>129647.87470844705</v>
      </c>
      <c r="T82" s="54">
        <f t="shared" si="159"/>
        <v>126893.76845020003</v>
      </c>
      <c r="U82" s="54">
        <f t="shared" si="159"/>
        <v>145419.27380140361</v>
      </c>
      <c r="V82" s="54">
        <f t="shared" si="159"/>
        <v>150450.93061215934</v>
      </c>
      <c r="W82" s="54">
        <f t="shared" ref="W82" si="160">IF(W14=0,0,W14/W25*1000000)</f>
        <v>138959.47860099145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130059.60378125153</v>
      </c>
      <c r="C83" s="28">
        <f t="shared" si="161"/>
        <v>110638.64597395463</v>
      </c>
      <c r="D83" s="28">
        <f t="shared" si="161"/>
        <v>114561.13026865949</v>
      </c>
      <c r="E83" s="28">
        <f t="shared" si="161"/>
        <v>119050.54649525613</v>
      </c>
      <c r="F83" s="28">
        <f t="shared" si="161"/>
        <v>115885.99149596621</v>
      </c>
      <c r="G83" s="28">
        <f t="shared" si="161"/>
        <v>121350.68515077182</v>
      </c>
      <c r="H83" s="28">
        <f t="shared" si="161"/>
        <v>131949.0593397842</v>
      </c>
      <c r="I83" s="28">
        <f t="shared" si="161"/>
        <v>133715.99487933645</v>
      </c>
      <c r="J83" s="28">
        <f t="shared" si="161"/>
        <v>118649.82003329984</v>
      </c>
      <c r="K83" s="28">
        <f t="shared" ref="K83:V83" si="162">IF(K15=0,0,K15/K26*1000000)</f>
        <v>125587.29921855927</v>
      </c>
      <c r="L83" s="28">
        <f t="shared" si="162"/>
        <v>133989.06541074757</v>
      </c>
      <c r="M83" s="28">
        <f t="shared" si="162"/>
        <v>132209.57678891212</v>
      </c>
      <c r="N83" s="28">
        <f t="shared" si="162"/>
        <v>123099.24356069423</v>
      </c>
      <c r="O83" s="28">
        <f t="shared" si="162"/>
        <v>131058.15978311359</v>
      </c>
      <c r="P83" s="28">
        <f t="shared" si="162"/>
        <v>132328.21954966994</v>
      </c>
      <c r="Q83" s="28">
        <f t="shared" si="162"/>
        <v>137929.69830524994</v>
      </c>
      <c r="R83" s="28">
        <f t="shared" si="162"/>
        <v>137674.15713101483</v>
      </c>
      <c r="S83" s="28">
        <f t="shared" si="162"/>
        <v>139076.02099298508</v>
      </c>
      <c r="T83" s="28">
        <f t="shared" si="162"/>
        <v>127520.55345281518</v>
      </c>
      <c r="U83" s="28">
        <f t="shared" si="162"/>
        <v>135795.41497823631</v>
      </c>
      <c r="V83" s="28">
        <f t="shared" si="162"/>
        <v>136318.56018669947</v>
      </c>
      <c r="W83" s="28">
        <f t="shared" ref="W83" si="163">IF(W15=0,0,W15/W26*1000000)</f>
        <v>111478.41786476762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109999.99823675203</v>
      </c>
      <c r="C84" s="108">
        <f t="shared" si="161"/>
        <v>108823.3227109111</v>
      </c>
      <c r="D84" s="108">
        <f t="shared" si="161"/>
        <v>109999.99909378747</v>
      </c>
      <c r="E84" s="108">
        <f t="shared" si="161"/>
        <v>109999.998212911</v>
      </c>
      <c r="F84" s="108">
        <f t="shared" si="161"/>
        <v>97608.573534890718</v>
      </c>
      <c r="G84" s="108">
        <f t="shared" si="161"/>
        <v>91762.760585460477</v>
      </c>
      <c r="H84" s="108">
        <f t="shared" si="161"/>
        <v>108489.83308253506</v>
      </c>
      <c r="I84" s="108">
        <f t="shared" si="161"/>
        <v>109999.99396111883</v>
      </c>
      <c r="J84" s="108">
        <f t="shared" si="161"/>
        <v>97593.4657232358</v>
      </c>
      <c r="K84" s="108">
        <f t="shared" ref="K84:V84" si="164">IF(K16=0,0,K16/K27*1000000)</f>
        <v>109999.99680662944</v>
      </c>
      <c r="L84" s="108">
        <f t="shared" si="164"/>
        <v>109999.99537771539</v>
      </c>
      <c r="M84" s="108">
        <f t="shared" si="164"/>
        <v>109999.99134081593</v>
      </c>
      <c r="N84" s="108">
        <f t="shared" si="164"/>
        <v>109999.98910859982</v>
      </c>
      <c r="O84" s="108">
        <f t="shared" si="164"/>
        <v>108524.44640715238</v>
      </c>
      <c r="P84" s="108">
        <f t="shared" si="164"/>
        <v>98676.14937131344</v>
      </c>
      <c r="Q84" s="108">
        <f t="shared" si="164"/>
        <v>109999.98850052184</v>
      </c>
      <c r="R84" s="108">
        <f t="shared" si="164"/>
        <v>109999.98700286886</v>
      </c>
      <c r="S84" s="108">
        <f t="shared" si="164"/>
        <v>109999.99452972889</v>
      </c>
      <c r="T84" s="108">
        <f t="shared" si="164"/>
        <v>109999.99290649952</v>
      </c>
      <c r="U84" s="108">
        <f t="shared" si="164"/>
        <v>109999.98968960927</v>
      </c>
      <c r="V84" s="108">
        <f t="shared" si="164"/>
        <v>109999.99009272007</v>
      </c>
      <c r="W84" s="108">
        <f t="shared" ref="W84" si="165">IF(W16=0,0,W16/W27*1000000)</f>
        <v>109999.9970498928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149999.99315045791</v>
      </c>
      <c r="C85" s="110">
        <f t="shared" si="161"/>
        <v>112284.79543154294</v>
      </c>
      <c r="D85" s="110">
        <f t="shared" si="161"/>
        <v>119489.50071698337</v>
      </c>
      <c r="E85" s="110">
        <f t="shared" si="161"/>
        <v>129273.84031634734</v>
      </c>
      <c r="F85" s="110">
        <f t="shared" si="161"/>
        <v>136849.33751905078</v>
      </c>
      <c r="G85" s="110">
        <f t="shared" si="161"/>
        <v>149999.98142129707</v>
      </c>
      <c r="H85" s="110">
        <f t="shared" si="161"/>
        <v>149999.98367457924</v>
      </c>
      <c r="I85" s="110">
        <f t="shared" si="161"/>
        <v>149999.98694631178</v>
      </c>
      <c r="J85" s="110">
        <f t="shared" si="161"/>
        <v>131337.17431330259</v>
      </c>
      <c r="K85" s="110">
        <f t="shared" ref="K85:V85" si="166">IF(K17=0,0,K17/K28*1000000)</f>
        <v>135960.24269160285</v>
      </c>
      <c r="L85" s="110">
        <f t="shared" si="166"/>
        <v>149999.98345505385</v>
      </c>
      <c r="M85" s="110">
        <f t="shared" si="166"/>
        <v>145737.51192466676</v>
      </c>
      <c r="N85" s="110">
        <f t="shared" si="166"/>
        <v>135520.09939701483</v>
      </c>
      <c r="O85" s="110">
        <f t="shared" si="166"/>
        <v>148138.59019008209</v>
      </c>
      <c r="P85" s="110">
        <f t="shared" si="166"/>
        <v>149999.99371419597</v>
      </c>
      <c r="Q85" s="110">
        <f t="shared" si="166"/>
        <v>149999.98706817665</v>
      </c>
      <c r="R85" s="110">
        <f t="shared" si="166"/>
        <v>149919.4751408126</v>
      </c>
      <c r="S85" s="110">
        <f t="shared" si="166"/>
        <v>149999.99143622923</v>
      </c>
      <c r="T85" s="110">
        <f t="shared" si="166"/>
        <v>135933.27052944005</v>
      </c>
      <c r="U85" s="110">
        <f t="shared" si="166"/>
        <v>146798.16826437705</v>
      </c>
      <c r="V85" s="110">
        <f t="shared" si="166"/>
        <v>147708.81693824517</v>
      </c>
      <c r="W85" s="110">
        <f t="shared" ref="W85" si="167">IF(W17=0,0,W17/W28*1000000)</f>
        <v>112132.73297234568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149999.99161504989</v>
      </c>
      <c r="C86" s="84">
        <f t="shared" si="161"/>
        <v>91914.405587396352</v>
      </c>
      <c r="D86" s="84">
        <f t="shared" si="161"/>
        <v>101781.5610555173</v>
      </c>
      <c r="E86" s="84">
        <f t="shared" si="161"/>
        <v>113396.69629799439</v>
      </c>
      <c r="F86" s="84">
        <f t="shared" si="161"/>
        <v>144848.35094829716</v>
      </c>
      <c r="G86" s="84">
        <f t="shared" si="161"/>
        <v>149999.98132534412</v>
      </c>
      <c r="H86" s="84">
        <f t="shared" si="161"/>
        <v>149999.97914534391</v>
      </c>
      <c r="I86" s="84">
        <f t="shared" si="161"/>
        <v>149999.99320060259</v>
      </c>
      <c r="J86" s="84">
        <f t="shared" si="161"/>
        <v>120508.05845873027</v>
      </c>
      <c r="K86" s="84">
        <f t="shared" ref="K86:V86" si="168">IF(K18=0,0,K18/K29*1000000)</f>
        <v>131761.75867649927</v>
      </c>
      <c r="L86" s="84">
        <f t="shared" si="168"/>
        <v>149999.98446534577</v>
      </c>
      <c r="M86" s="84">
        <f t="shared" si="168"/>
        <v>149999.98292453671</v>
      </c>
      <c r="N86" s="84">
        <f t="shared" si="168"/>
        <v>136355.27999678464</v>
      </c>
      <c r="O86" s="84">
        <f t="shared" si="168"/>
        <v>149999.99735168021</v>
      </c>
      <c r="P86" s="84">
        <f t="shared" si="168"/>
        <v>149999.99128458026</v>
      </c>
      <c r="Q86" s="84">
        <f t="shared" si="168"/>
        <v>149999.98718512192</v>
      </c>
      <c r="R86" s="84">
        <f t="shared" si="168"/>
        <v>149999.98907916865</v>
      </c>
      <c r="S86" s="84">
        <f t="shared" si="168"/>
        <v>149999.98936293946</v>
      </c>
      <c r="T86" s="84">
        <f t="shared" si="168"/>
        <v>149999.9966322727</v>
      </c>
      <c r="U86" s="84">
        <f t="shared" si="168"/>
        <v>149999.9996953471</v>
      </c>
      <c r="V86" s="84">
        <f t="shared" si="168"/>
        <v>149999.99832672105</v>
      </c>
      <c r="W86" s="84">
        <f t="shared" ref="W86" si="169">IF(W18=0,0,W18/W29*1000000)</f>
        <v>101747.69604394359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149999.99694220349</v>
      </c>
      <c r="C87" s="84">
        <f t="shared" si="161"/>
        <v>149999.99902803541</v>
      </c>
      <c r="D87" s="84">
        <f t="shared" si="161"/>
        <v>149999.98037369541</v>
      </c>
      <c r="E87" s="84">
        <f t="shared" si="161"/>
        <v>149999.97413881478</v>
      </c>
      <c r="F87" s="84">
        <f t="shared" si="161"/>
        <v>127167.99442646548</v>
      </c>
      <c r="G87" s="84">
        <f t="shared" si="161"/>
        <v>149999.98156036617</v>
      </c>
      <c r="H87" s="84">
        <f t="shared" si="161"/>
        <v>149999.99103496366</v>
      </c>
      <c r="I87" s="84">
        <f t="shared" si="161"/>
        <v>149999.97311713314</v>
      </c>
      <c r="J87" s="84">
        <f t="shared" si="161"/>
        <v>149999.97352040667</v>
      </c>
      <c r="K87" s="84">
        <f t="shared" ref="K87:V87" si="170">IF(K19=0,0,K19/K30*1000000)</f>
        <v>142928.66485488621</v>
      </c>
      <c r="L87" s="84">
        <f t="shared" si="170"/>
        <v>149999.98194945967</v>
      </c>
      <c r="M87" s="84">
        <f t="shared" si="170"/>
        <v>138744.65708983756</v>
      </c>
      <c r="N87" s="84">
        <f t="shared" si="170"/>
        <v>134209.84394742688</v>
      </c>
      <c r="O87" s="84">
        <f t="shared" si="170"/>
        <v>144254.11084820266</v>
      </c>
      <c r="P87" s="84">
        <f t="shared" si="170"/>
        <v>149999.99805585094</v>
      </c>
      <c r="Q87" s="84">
        <f t="shared" si="170"/>
        <v>149999.98686135252</v>
      </c>
      <c r="R87" s="84">
        <f t="shared" si="170"/>
        <v>149762.86725313647</v>
      </c>
      <c r="S87" s="84">
        <f t="shared" si="170"/>
        <v>149999.995844852</v>
      </c>
      <c r="T87" s="84">
        <f t="shared" si="170"/>
        <v>94874.983457200535</v>
      </c>
      <c r="U87" s="84">
        <f t="shared" si="170"/>
        <v>133894.84307242074</v>
      </c>
      <c r="V87" s="84">
        <f t="shared" si="170"/>
        <v>137863.9757537418</v>
      </c>
      <c r="W87" s="84">
        <f t="shared" ref="W87" si="171">IF(W19=0,0,W19/W30*1000000)</f>
        <v>149999.97324231663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199999.9956113837</v>
      </c>
      <c r="C89" s="28">
        <f t="shared" si="161"/>
        <v>199999.99879607599</v>
      </c>
      <c r="D89" s="28">
        <f t="shared" si="161"/>
        <v>199999.99636517934</v>
      </c>
      <c r="E89" s="28">
        <f t="shared" si="161"/>
        <v>193050.34460092595</v>
      </c>
      <c r="F89" s="28">
        <f t="shared" si="161"/>
        <v>182054.1058005227</v>
      </c>
      <c r="G89" s="28">
        <f t="shared" si="161"/>
        <v>199999.99996781637</v>
      </c>
      <c r="H89" s="28">
        <f t="shared" si="161"/>
        <v>199999.99904153659</v>
      </c>
      <c r="I89" s="28">
        <f t="shared" si="161"/>
        <v>184756.68117685121</v>
      </c>
      <c r="J89" s="28">
        <f t="shared" si="161"/>
        <v>147581.09639832666</v>
      </c>
      <c r="K89" s="28">
        <f t="shared" ref="K89:V89" si="174">IF(K21=0,0,K21/K32*1000000)</f>
        <v>199999.99678795884</v>
      </c>
      <c r="L89" s="28">
        <f t="shared" si="174"/>
        <v>199999.99886050422</v>
      </c>
      <c r="M89" s="28">
        <f t="shared" si="174"/>
        <v>146208.24172863457</v>
      </c>
      <c r="N89" s="28">
        <f t="shared" si="174"/>
        <v>142489.0882220802</v>
      </c>
      <c r="O89" s="28">
        <f t="shared" si="174"/>
        <v>132985.10556536051</v>
      </c>
      <c r="P89" s="28">
        <f t="shared" si="174"/>
        <v>110112.69217081566</v>
      </c>
      <c r="Q89" s="28">
        <f t="shared" si="174"/>
        <v>118036.46916533205</v>
      </c>
      <c r="R89" s="28">
        <f t="shared" si="174"/>
        <v>102870.11437096407</v>
      </c>
      <c r="S89" s="28">
        <f t="shared" si="174"/>
        <v>121487.69728984333</v>
      </c>
      <c r="T89" s="28">
        <f t="shared" si="174"/>
        <v>126083.27258652393</v>
      </c>
      <c r="U89" s="28">
        <f t="shared" si="174"/>
        <v>162979.72161123715</v>
      </c>
      <c r="V89" s="28">
        <f t="shared" si="174"/>
        <v>183018.83546259458</v>
      </c>
      <c r="W89" s="28">
        <f t="shared" ref="W89" si="175">IF(W21=0,0,W21/W32*1000000)</f>
        <v>199999.99481630584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199999.9956113837</v>
      </c>
      <c r="C90" s="84">
        <f t="shared" si="161"/>
        <v>199999.99879607599</v>
      </c>
      <c r="D90" s="84">
        <f t="shared" si="161"/>
        <v>199999.99636517934</v>
      </c>
      <c r="E90" s="84">
        <f t="shared" si="161"/>
        <v>193050.34460092595</v>
      </c>
      <c r="F90" s="84">
        <f t="shared" si="161"/>
        <v>182054.1058005227</v>
      </c>
      <c r="G90" s="84">
        <f t="shared" si="161"/>
        <v>199999.99996781637</v>
      </c>
      <c r="H90" s="84">
        <f t="shared" si="161"/>
        <v>199999.99904153659</v>
      </c>
      <c r="I90" s="84">
        <f t="shared" si="161"/>
        <v>184756.68117685121</v>
      </c>
      <c r="J90" s="84">
        <f t="shared" si="161"/>
        <v>147581.09639832666</v>
      </c>
      <c r="K90" s="84">
        <f t="shared" ref="K90:V90" si="176">IF(K22=0,0,K22/K33*1000000)</f>
        <v>199999.99678795884</v>
      </c>
      <c r="L90" s="84">
        <f t="shared" si="176"/>
        <v>199999.99886050422</v>
      </c>
      <c r="M90" s="84">
        <f t="shared" si="176"/>
        <v>146208.24172863457</v>
      </c>
      <c r="N90" s="84">
        <f t="shared" si="176"/>
        <v>142489.0882220802</v>
      </c>
      <c r="O90" s="84">
        <f t="shared" si="176"/>
        <v>132985.10556536051</v>
      </c>
      <c r="P90" s="84">
        <f t="shared" si="176"/>
        <v>110112.69217081566</v>
      </c>
      <c r="Q90" s="84">
        <f t="shared" si="176"/>
        <v>118036.46916533205</v>
      </c>
      <c r="R90" s="84">
        <f t="shared" si="176"/>
        <v>102870.11437096407</v>
      </c>
      <c r="S90" s="84">
        <f t="shared" si="176"/>
        <v>121487.69728984333</v>
      </c>
      <c r="T90" s="84">
        <f t="shared" si="176"/>
        <v>126083.27258652393</v>
      </c>
      <c r="U90" s="84">
        <f t="shared" si="176"/>
        <v>162979.72161123715</v>
      </c>
      <c r="V90" s="84">
        <f t="shared" si="176"/>
        <v>183018.83546259458</v>
      </c>
      <c r="W90" s="84">
        <f t="shared" ref="W90" si="177">IF(W22=0,0,W22/W33*1000000)</f>
        <v>199999.99481630584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" si="179">IF(W23=0,0,W23/W34*1000000)</f>
        <v>0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15147018.652950823</v>
      </c>
      <c r="C94" s="28">
        <f t="shared" si="180"/>
        <v>11864745.353744138</v>
      </c>
      <c r="D94" s="28">
        <f t="shared" si="180"/>
        <v>11881955.78006749</v>
      </c>
      <c r="E94" s="28">
        <f t="shared" si="180"/>
        <v>12125934.935394445</v>
      </c>
      <c r="F94" s="28">
        <f t="shared" si="180"/>
        <v>13633406.38353179</v>
      </c>
      <c r="G94" s="28">
        <f t="shared" si="180"/>
        <v>16520449.869274853</v>
      </c>
      <c r="H94" s="28">
        <f t="shared" si="180"/>
        <v>17324912.682388458</v>
      </c>
      <c r="I94" s="28">
        <f t="shared" si="180"/>
        <v>16936473.025525883</v>
      </c>
      <c r="J94" s="28">
        <f t="shared" si="180"/>
        <v>17846701.567071129</v>
      </c>
      <c r="K94" s="28">
        <f t="shared" ref="K94:V94" si="181">IF(K4=0,0,K4/K26*1000000)</f>
        <v>17703602.017319068</v>
      </c>
      <c r="L94" s="28">
        <f t="shared" si="181"/>
        <v>16231857.349725364</v>
      </c>
      <c r="M94" s="28">
        <f t="shared" si="181"/>
        <v>16535300.988745984</v>
      </c>
      <c r="N94" s="28">
        <f t="shared" si="181"/>
        <v>16222158.260890851</v>
      </c>
      <c r="O94" s="28">
        <f t="shared" si="181"/>
        <v>14945229.488690009</v>
      </c>
      <c r="P94" s="28">
        <f t="shared" si="181"/>
        <v>15717600.794260768</v>
      </c>
      <c r="Q94" s="28">
        <f t="shared" si="181"/>
        <v>16274519.999790097</v>
      </c>
      <c r="R94" s="28">
        <f t="shared" si="181"/>
        <v>17783181.846828204</v>
      </c>
      <c r="S94" s="28">
        <f t="shared" si="181"/>
        <v>17862586.199291326</v>
      </c>
      <c r="T94" s="28">
        <f t="shared" si="181"/>
        <v>16635733.362099539</v>
      </c>
      <c r="U94" s="28">
        <f t="shared" si="181"/>
        <v>13797115.612223187</v>
      </c>
      <c r="V94" s="28">
        <f t="shared" si="181"/>
        <v>9192262.0224912073</v>
      </c>
      <c r="W94" s="28">
        <f t="shared" ref="W94" si="182">IF(W4=0,0,W4/W26*1000000)</f>
        <v>10232187.989764379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8699117.2265452873</v>
      </c>
      <c r="C95" s="108">
        <f t="shared" si="180"/>
        <v>8087049.1447022343</v>
      </c>
      <c r="D95" s="108">
        <f t="shared" si="180"/>
        <v>7848433.4985411605</v>
      </c>
      <c r="E95" s="108">
        <f t="shared" si="180"/>
        <v>7752854.6168581629</v>
      </c>
      <c r="F95" s="108">
        <f t="shared" si="180"/>
        <v>7700328.3349831197</v>
      </c>
      <c r="G95" s="108">
        <f t="shared" si="180"/>
        <v>7821640.0161335627</v>
      </c>
      <c r="H95" s="108">
        <f t="shared" si="180"/>
        <v>9330963.9491203688</v>
      </c>
      <c r="I95" s="108">
        <f t="shared" si="180"/>
        <v>9328815.296995556</v>
      </c>
      <c r="J95" s="108">
        <f t="shared" si="180"/>
        <v>9860622.481730666</v>
      </c>
      <c r="K95" s="108">
        <f t="shared" ref="K95:V95" si="183">IF(K5=0,0,K5/K27*1000000)</f>
        <v>9921539.9204337969</v>
      </c>
      <c r="L95" s="108">
        <f t="shared" si="183"/>
        <v>9137726.3573555984</v>
      </c>
      <c r="M95" s="108">
        <f t="shared" si="183"/>
        <v>9201640.4824504331</v>
      </c>
      <c r="N95" s="108">
        <f t="shared" si="183"/>
        <v>9406679.1178259328</v>
      </c>
      <c r="O95" s="108">
        <f t="shared" si="183"/>
        <v>8789996.0832286067</v>
      </c>
      <c r="P95" s="108">
        <f t="shared" si="183"/>
        <v>7891017.1750109978</v>
      </c>
      <c r="Q95" s="108">
        <f t="shared" si="183"/>
        <v>8718147.9950915556</v>
      </c>
      <c r="R95" s="108">
        <f t="shared" si="183"/>
        <v>8863592.4606158827</v>
      </c>
      <c r="S95" s="108">
        <f t="shared" si="183"/>
        <v>9160090.1916572712</v>
      </c>
      <c r="T95" s="108">
        <f t="shared" si="183"/>
        <v>8588939.2170686163</v>
      </c>
      <c r="U95" s="108">
        <f t="shared" si="183"/>
        <v>8408437.4320438784</v>
      </c>
      <c r="V95" s="108">
        <f t="shared" si="183"/>
        <v>4896764.4304251475</v>
      </c>
      <c r="W95" s="108">
        <f t="shared" ref="W95" si="184">IF(W5=0,0,W5/W27*1000000)</f>
        <v>5470465.8155247234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21556599.577738427</v>
      </c>
      <c r="C96" s="110">
        <f t="shared" si="180"/>
        <v>15290390.081626767</v>
      </c>
      <c r="D96" s="110">
        <f t="shared" si="180"/>
        <v>16240236.928490734</v>
      </c>
      <c r="E96" s="110">
        <f t="shared" si="180"/>
        <v>17065667.159887169</v>
      </c>
      <c r="F96" s="110">
        <f t="shared" si="180"/>
        <v>20438370.212589759</v>
      </c>
      <c r="G96" s="110">
        <f t="shared" si="180"/>
        <v>24943304.271701783</v>
      </c>
      <c r="H96" s="110">
        <f t="shared" si="180"/>
        <v>23475932.419276129</v>
      </c>
      <c r="I96" s="110">
        <f t="shared" si="180"/>
        <v>22160078.747538228</v>
      </c>
      <c r="J96" s="110">
        <f t="shared" si="180"/>
        <v>22658655.867033053</v>
      </c>
      <c r="K96" s="110">
        <f t="shared" ref="K96:V96" si="185">IF(K6=0,0,K6/K28*1000000)</f>
        <v>22882361.503817771</v>
      </c>
      <c r="L96" s="110">
        <f t="shared" si="185"/>
        <v>20966661.565061968</v>
      </c>
      <c r="M96" s="110">
        <f t="shared" si="185"/>
        <v>21002258.909624945</v>
      </c>
      <c r="N96" s="110">
        <f t="shared" si="185"/>
        <v>22684669.864207637</v>
      </c>
      <c r="O96" s="110">
        <f t="shared" si="185"/>
        <v>19610862.447915792</v>
      </c>
      <c r="P96" s="110">
        <f t="shared" si="185"/>
        <v>19827589.198127683</v>
      </c>
      <c r="Q96" s="110">
        <f t="shared" si="185"/>
        <v>19540131.878126424</v>
      </c>
      <c r="R96" s="110">
        <f t="shared" si="185"/>
        <v>21729938.264282674</v>
      </c>
      <c r="S96" s="110">
        <f t="shared" si="185"/>
        <v>21132146.064700741</v>
      </c>
      <c r="T96" s="110">
        <f t="shared" si="185"/>
        <v>20499502.579815697</v>
      </c>
      <c r="U96" s="110">
        <f t="shared" si="185"/>
        <v>16095596.675881531</v>
      </c>
      <c r="V96" s="110">
        <f t="shared" si="185"/>
        <v>11051284.768581474</v>
      </c>
      <c r="W96" s="110">
        <f t="shared" ref="W96" si="186">IF(W6=0,0,W6/W28*1000000)</f>
        <v>12339616.893190827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20844619.948049754</v>
      </c>
      <c r="C97" s="84">
        <f t="shared" si="180"/>
        <v>12810974.472499682</v>
      </c>
      <c r="D97" s="84">
        <f t="shared" si="180"/>
        <v>14201975.682232309</v>
      </c>
      <c r="E97" s="84">
        <f t="shared" si="180"/>
        <v>15882957.014215268</v>
      </c>
      <c r="F97" s="84">
        <f t="shared" si="180"/>
        <v>20293827.291811153</v>
      </c>
      <c r="G97" s="84">
        <f t="shared" si="180"/>
        <v>21184035.158646308</v>
      </c>
      <c r="H97" s="84">
        <f t="shared" si="180"/>
        <v>21243558.090453703</v>
      </c>
      <c r="I97" s="84">
        <f t="shared" si="180"/>
        <v>21342422.526066951</v>
      </c>
      <c r="J97" s="84">
        <f t="shared" si="180"/>
        <v>16575461.840697031</v>
      </c>
      <c r="K97" s="84">
        <f t="shared" ref="K97:V97" si="187">IF(K7=0,0,K7/K29*1000000)</f>
        <v>18229798.941246394</v>
      </c>
      <c r="L97" s="84">
        <f t="shared" si="187"/>
        <v>20814781.538843814</v>
      </c>
      <c r="M97" s="84">
        <f t="shared" si="187"/>
        <v>20754893.540658008</v>
      </c>
      <c r="N97" s="84">
        <f t="shared" si="187"/>
        <v>18721295.632577792</v>
      </c>
      <c r="O97" s="84">
        <f t="shared" si="187"/>
        <v>20742726.450071618</v>
      </c>
      <c r="P97" s="84">
        <f t="shared" si="187"/>
        <v>20874694.38962201</v>
      </c>
      <c r="Q97" s="84">
        <f t="shared" si="187"/>
        <v>20957715.929594446</v>
      </c>
      <c r="R97" s="84">
        <f t="shared" si="187"/>
        <v>21191909.374492664</v>
      </c>
      <c r="S97" s="84">
        <f t="shared" si="187"/>
        <v>21184978.736518983</v>
      </c>
      <c r="T97" s="84">
        <f t="shared" si="187"/>
        <v>21515922.917862277</v>
      </c>
      <c r="U97" s="84">
        <f t="shared" si="187"/>
        <v>15891580.54309427</v>
      </c>
      <c r="V97" s="84">
        <f t="shared" si="187"/>
        <v>10582769.982055511</v>
      </c>
      <c r="W97" s="84">
        <f t="shared" ref="W97" si="188">IF(W7=0,0,W7/W29*1000000)</f>
        <v>11978038.320944054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23314858.986861624</v>
      </c>
      <c r="C98" s="84">
        <f t="shared" si="180"/>
        <v>19880958.313948546</v>
      </c>
      <c r="D98" s="84">
        <f t="shared" si="180"/>
        <v>19752126.480743904</v>
      </c>
      <c r="E98" s="84">
        <f t="shared" si="180"/>
        <v>18609585.179655105</v>
      </c>
      <c r="F98" s="84">
        <f t="shared" si="180"/>
        <v>20613312.987725709</v>
      </c>
      <c r="G98" s="84">
        <f t="shared" si="180"/>
        <v>30391791.441921178</v>
      </c>
      <c r="H98" s="84">
        <f t="shared" si="180"/>
        <v>27103726.520729985</v>
      </c>
      <c r="I98" s="84">
        <f t="shared" si="180"/>
        <v>23968039.764577944</v>
      </c>
      <c r="J98" s="84">
        <f t="shared" si="180"/>
        <v>33142376.807503909</v>
      </c>
      <c r="K98" s="84">
        <f t="shared" ref="K98:V98" si="189">IF(K8=0,0,K8/K30*1000000)</f>
        <v>30604439.272949189</v>
      </c>
      <c r="L98" s="84">
        <f t="shared" si="189"/>
        <v>21193001.773572389</v>
      </c>
      <c r="M98" s="84">
        <f t="shared" si="189"/>
        <v>21408077.533705324</v>
      </c>
      <c r="N98" s="84">
        <f t="shared" si="189"/>
        <v>28902525.84311866</v>
      </c>
      <c r="O98" s="84">
        <f t="shared" si="189"/>
        <v>17248830.956419613</v>
      </c>
      <c r="P98" s="84">
        <f t="shared" si="189"/>
        <v>17956441.668096337</v>
      </c>
      <c r="Q98" s="84">
        <f t="shared" si="189"/>
        <v>17033056.686384734</v>
      </c>
      <c r="R98" s="84">
        <f t="shared" si="189"/>
        <v>22776459.769244365</v>
      </c>
      <c r="S98" s="84">
        <f t="shared" si="189"/>
        <v>21019803.196823236</v>
      </c>
      <c r="T98" s="84">
        <f t="shared" si="189"/>
        <v>17532751.274607919</v>
      </c>
      <c r="U98" s="84">
        <f t="shared" si="189"/>
        <v>16917778.156235665</v>
      </c>
      <c r="V98" s="84">
        <f t="shared" si="189"/>
        <v>13064418.119410532</v>
      </c>
      <c r="W98" s="84">
        <f t="shared" ref="W98" si="190">IF(W8=0,0,W8/W30*1000000)</f>
        <v>13658050.594114456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190893399.96083176</v>
      </c>
      <c r="C100" s="28">
        <f t="shared" si="180"/>
        <v>209596974.43570909</v>
      </c>
      <c r="D100" s="28">
        <f t="shared" si="180"/>
        <v>183732303.56843489</v>
      </c>
      <c r="E100" s="28">
        <f t="shared" si="180"/>
        <v>199243332.75043845</v>
      </c>
      <c r="F100" s="28">
        <f t="shared" si="180"/>
        <v>236806279.86411008</v>
      </c>
      <c r="G100" s="28">
        <f t="shared" si="180"/>
        <v>245116911.25136623</v>
      </c>
      <c r="H100" s="28">
        <f t="shared" si="180"/>
        <v>227906032.71075043</v>
      </c>
      <c r="I100" s="28">
        <f t="shared" si="180"/>
        <v>203291396.22339571</v>
      </c>
      <c r="J100" s="28">
        <f t="shared" si="180"/>
        <v>159657995.00506619</v>
      </c>
      <c r="K100" s="28">
        <f t="shared" ref="K100:V100" si="193">IF(K10=0,0,K10/K32*1000000)</f>
        <v>153693504.03692907</v>
      </c>
      <c r="L100" s="28">
        <f t="shared" si="193"/>
        <v>115970516.86336757</v>
      </c>
      <c r="M100" s="28">
        <f t="shared" si="193"/>
        <v>118333184.16672181</v>
      </c>
      <c r="N100" s="28">
        <f t="shared" si="193"/>
        <v>105209867.9430517</v>
      </c>
      <c r="O100" s="28">
        <f t="shared" si="193"/>
        <v>106098228.22025479</v>
      </c>
      <c r="P100" s="28">
        <f t="shared" si="193"/>
        <v>80870954.347303078</v>
      </c>
      <c r="Q100" s="28">
        <f t="shared" si="193"/>
        <v>86541454.481152326</v>
      </c>
      <c r="R100" s="28">
        <f t="shared" si="193"/>
        <v>73647047.09332101</v>
      </c>
      <c r="S100" s="28">
        <f t="shared" si="193"/>
        <v>84456652.214589626</v>
      </c>
      <c r="T100" s="28">
        <f t="shared" si="193"/>
        <v>111146127.00841439</v>
      </c>
      <c r="U100" s="28">
        <f t="shared" si="193"/>
        <v>113180341.8718579</v>
      </c>
      <c r="V100" s="28">
        <f t="shared" si="193"/>
        <v>116854674.95746869</v>
      </c>
      <c r="W100" s="28">
        <f t="shared" ref="W100" si="194">IF(W10=0,0,W10/W32*1000000)</f>
        <v>139156623.07233846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190893399.96083176</v>
      </c>
      <c r="C101" s="84">
        <f t="shared" si="180"/>
        <v>209596974.43570909</v>
      </c>
      <c r="D101" s="84">
        <f t="shared" si="180"/>
        <v>183732303.56843489</v>
      </c>
      <c r="E101" s="84">
        <f t="shared" si="180"/>
        <v>199243332.75043845</v>
      </c>
      <c r="F101" s="84">
        <f t="shared" si="180"/>
        <v>236806279.86411008</v>
      </c>
      <c r="G101" s="84">
        <f t="shared" si="180"/>
        <v>245116911.25136623</v>
      </c>
      <c r="H101" s="84">
        <f t="shared" si="180"/>
        <v>227906032.71075043</v>
      </c>
      <c r="I101" s="84">
        <f t="shared" si="180"/>
        <v>203291396.22339571</v>
      </c>
      <c r="J101" s="84">
        <f t="shared" si="180"/>
        <v>159657995.00506619</v>
      </c>
      <c r="K101" s="84">
        <f t="shared" ref="K101:V101" si="195">IF(K11=0,0,K11/K33*1000000)</f>
        <v>153693504.03692907</v>
      </c>
      <c r="L101" s="84">
        <f t="shared" si="195"/>
        <v>115970516.86336757</v>
      </c>
      <c r="M101" s="84">
        <f t="shared" si="195"/>
        <v>118333184.16672181</v>
      </c>
      <c r="N101" s="84">
        <f t="shared" si="195"/>
        <v>105209867.9430517</v>
      </c>
      <c r="O101" s="84">
        <f t="shared" si="195"/>
        <v>106098228.22025479</v>
      </c>
      <c r="P101" s="84">
        <f t="shared" si="195"/>
        <v>80870954.347303078</v>
      </c>
      <c r="Q101" s="84">
        <f t="shared" si="195"/>
        <v>86541454.481152326</v>
      </c>
      <c r="R101" s="84">
        <f t="shared" si="195"/>
        <v>73647047.09332101</v>
      </c>
      <c r="S101" s="84">
        <f t="shared" si="195"/>
        <v>84456652.214589626</v>
      </c>
      <c r="T101" s="84">
        <f t="shared" si="195"/>
        <v>111146127.00841439</v>
      </c>
      <c r="U101" s="84">
        <f t="shared" si="195"/>
        <v>113180341.8718579</v>
      </c>
      <c r="V101" s="84">
        <f t="shared" si="195"/>
        <v>116854674.95746869</v>
      </c>
      <c r="W101" s="84">
        <f t="shared" ref="W101" si="196">IF(W11=0,0,W11/W33*1000000)</f>
        <v>139156623.07233846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" si="198">IF(W12=0,0,W12/W34*1000000)</f>
        <v>0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0.28630024610336341</v>
      </c>
      <c r="C106" s="123">
        <f t="shared" si="199"/>
        <v>0.32414551025165678</v>
      </c>
      <c r="D106" s="123">
        <f t="shared" si="199"/>
        <v>0.34304807870800075</v>
      </c>
      <c r="E106" s="123">
        <f t="shared" si="199"/>
        <v>0.33913214158494298</v>
      </c>
      <c r="F106" s="123">
        <f t="shared" si="199"/>
        <v>0.30173661360347326</v>
      </c>
      <c r="G106" s="123">
        <f t="shared" si="199"/>
        <v>0.23291060934116922</v>
      </c>
      <c r="H106" s="123">
        <f t="shared" si="199"/>
        <v>0.23420738974970204</v>
      </c>
      <c r="I106" s="123">
        <f t="shared" si="199"/>
        <v>0.22423556058890146</v>
      </c>
      <c r="J106" s="123">
        <f t="shared" si="199"/>
        <v>0.20774215187640777</v>
      </c>
      <c r="K106" s="123">
        <f t="shared" ref="K106:V106" si="202">IF(K5=0,0,K5/K$4)</f>
        <v>0.22392916249801306</v>
      </c>
      <c r="L106" s="123">
        <f t="shared" si="202"/>
        <v>0.22533378077886887</v>
      </c>
      <c r="M106" s="123">
        <f t="shared" si="202"/>
        <v>0.21064941139783269</v>
      </c>
      <c r="N106" s="123">
        <f t="shared" si="202"/>
        <v>0.2822257720654488</v>
      </c>
      <c r="O106" s="123">
        <f t="shared" si="202"/>
        <v>0.25359146349627126</v>
      </c>
      <c r="P106" s="123">
        <f t="shared" si="202"/>
        <v>0.17286525384174548</v>
      </c>
      <c r="Q106" s="123">
        <f t="shared" si="202"/>
        <v>0.16164926453776388</v>
      </c>
      <c r="R106" s="123">
        <f t="shared" si="202"/>
        <v>0.15289222966271171</v>
      </c>
      <c r="S106" s="123">
        <f t="shared" si="202"/>
        <v>0.14004769680807319</v>
      </c>
      <c r="T106" s="123">
        <f t="shared" si="202"/>
        <v>0.16748520639179704</v>
      </c>
      <c r="U106" s="123">
        <f t="shared" si="202"/>
        <v>0.18222251892153507</v>
      </c>
      <c r="V106" s="123">
        <f t="shared" si="202"/>
        <v>0.16090787853264166</v>
      </c>
      <c r="W106" s="123">
        <f t="shared" ref="W106" si="203">IF(W5=0,0,W5/W$4)</f>
        <v>0.16402334403353089</v>
      </c>
      <c r="DA106" s="203"/>
    </row>
    <row r="107" spans="1:105" ht="11.45" customHeight="1" x14ac:dyDescent="0.25">
      <c r="A107" s="109" t="s">
        <v>24</v>
      </c>
      <c r="B107" s="124">
        <f t="shared" si="199"/>
        <v>0.71369975389663665</v>
      </c>
      <c r="C107" s="124">
        <f t="shared" si="199"/>
        <v>0.67585448974834317</v>
      </c>
      <c r="D107" s="124">
        <f t="shared" si="199"/>
        <v>0.6569519212919992</v>
      </c>
      <c r="E107" s="124">
        <f t="shared" si="199"/>
        <v>0.66086785841505702</v>
      </c>
      <c r="F107" s="124">
        <f t="shared" si="199"/>
        <v>0.69826338639652685</v>
      </c>
      <c r="G107" s="124">
        <f t="shared" si="199"/>
        <v>0.76708939065883075</v>
      </c>
      <c r="H107" s="124">
        <f t="shared" si="199"/>
        <v>0.76579261025029788</v>
      </c>
      <c r="I107" s="124">
        <f t="shared" si="199"/>
        <v>0.77576443941109852</v>
      </c>
      <c r="J107" s="124">
        <f t="shared" si="199"/>
        <v>0.79225784812359223</v>
      </c>
      <c r="K107" s="124">
        <f t="shared" ref="K107:V107" si="204">IF(K6=0,0,K6/K$4)</f>
        <v>0.77607083750198702</v>
      </c>
      <c r="L107" s="124">
        <f t="shared" si="204"/>
        <v>0.77466621922113121</v>
      </c>
      <c r="M107" s="124">
        <f t="shared" si="204"/>
        <v>0.78935058860216722</v>
      </c>
      <c r="N107" s="124">
        <f t="shared" si="204"/>
        <v>0.71777422793455115</v>
      </c>
      <c r="O107" s="124">
        <f t="shared" si="204"/>
        <v>0.74640853650372863</v>
      </c>
      <c r="P107" s="124">
        <f t="shared" si="204"/>
        <v>0.82713474615825444</v>
      </c>
      <c r="Q107" s="124">
        <f t="shared" si="204"/>
        <v>0.83835073546223604</v>
      </c>
      <c r="R107" s="124">
        <f t="shared" si="204"/>
        <v>0.84710777033728835</v>
      </c>
      <c r="S107" s="124">
        <f t="shared" si="204"/>
        <v>0.85995230319192673</v>
      </c>
      <c r="T107" s="124">
        <f t="shared" si="204"/>
        <v>0.83251479360820302</v>
      </c>
      <c r="U107" s="124">
        <f t="shared" si="204"/>
        <v>0.81777748107846493</v>
      </c>
      <c r="V107" s="124">
        <f t="shared" si="204"/>
        <v>0.83909212146735845</v>
      </c>
      <c r="W107" s="124">
        <f t="shared" ref="W107" si="205">IF(W6=0,0,W6/W$4)</f>
        <v>0.83597665596646908</v>
      </c>
      <c r="DA107" s="176"/>
    </row>
    <row r="108" spans="1:105" ht="11.45" customHeight="1" x14ac:dyDescent="0.25">
      <c r="A108" s="111" t="s">
        <v>92</v>
      </c>
      <c r="B108" s="125">
        <f t="shared" si="199"/>
        <v>0.49121683539621297</v>
      </c>
      <c r="C108" s="125">
        <f t="shared" si="199"/>
        <v>0.36767561680014776</v>
      </c>
      <c r="D108" s="125">
        <f t="shared" si="199"/>
        <v>0.36351811425444053</v>
      </c>
      <c r="E108" s="125">
        <f t="shared" si="199"/>
        <v>0.34827398822031813</v>
      </c>
      <c r="F108" s="125">
        <f t="shared" si="199"/>
        <v>0.37964838934448192</v>
      </c>
      <c r="G108" s="125">
        <f t="shared" si="199"/>
        <v>0.38549859296103084</v>
      </c>
      <c r="H108" s="125">
        <f t="shared" si="199"/>
        <v>0.42899093085317719</v>
      </c>
      <c r="I108" s="125">
        <f t="shared" si="199"/>
        <v>0.51446985079834562</v>
      </c>
      <c r="J108" s="125">
        <f t="shared" si="199"/>
        <v>0.36675146178584417</v>
      </c>
      <c r="K108" s="125">
        <f t="shared" ref="K108:V108" si="206">IF(K7=0,0,K7/K$4)</f>
        <v>0.38581933362556353</v>
      </c>
      <c r="L108" s="125">
        <f t="shared" si="206"/>
        <v>0.46022917063606228</v>
      </c>
      <c r="M108" s="125">
        <f t="shared" si="206"/>
        <v>0.48464181215985824</v>
      </c>
      <c r="N108" s="125">
        <f t="shared" si="206"/>
        <v>0.36176929188188689</v>
      </c>
      <c r="O108" s="125">
        <f t="shared" si="206"/>
        <v>0.53372988039947955</v>
      </c>
      <c r="P108" s="125">
        <f t="shared" si="206"/>
        <v>0.55835654358086062</v>
      </c>
      <c r="Q108" s="125">
        <f t="shared" si="206"/>
        <v>0.57439098192146365</v>
      </c>
      <c r="R108" s="125">
        <f t="shared" si="206"/>
        <v>0.54562261433400461</v>
      </c>
      <c r="S108" s="125">
        <f t="shared" si="206"/>
        <v>0.58635220730684323</v>
      </c>
      <c r="T108" s="125">
        <f t="shared" si="206"/>
        <v>0.65081976973673594</v>
      </c>
      <c r="U108" s="125">
        <f t="shared" si="206"/>
        <v>0.64689210323838697</v>
      </c>
      <c r="V108" s="125">
        <f t="shared" si="206"/>
        <v>0.65182133170692169</v>
      </c>
      <c r="W108" s="125">
        <f t="shared" ref="W108" si="207">IF(W7=0,0,W7/W$4)</f>
        <v>0.63683073189298356</v>
      </c>
      <c r="DA108" s="171"/>
    </row>
    <row r="109" spans="1:105" ht="11.45" customHeight="1" x14ac:dyDescent="0.25">
      <c r="A109" s="111" t="s">
        <v>93</v>
      </c>
      <c r="B109" s="125">
        <f t="shared" si="199"/>
        <v>0.22248291850042365</v>
      </c>
      <c r="C109" s="125">
        <f t="shared" si="199"/>
        <v>0.3081788729481954</v>
      </c>
      <c r="D109" s="125">
        <f t="shared" si="199"/>
        <v>0.29343380703755861</v>
      </c>
      <c r="E109" s="125">
        <f t="shared" si="199"/>
        <v>0.31259387019473894</v>
      </c>
      <c r="F109" s="125">
        <f t="shared" si="199"/>
        <v>0.31861499705204488</v>
      </c>
      <c r="G109" s="125">
        <f t="shared" si="199"/>
        <v>0.38159079769779997</v>
      </c>
      <c r="H109" s="125">
        <f t="shared" si="199"/>
        <v>0.33680167939712075</v>
      </c>
      <c r="I109" s="125">
        <f t="shared" si="199"/>
        <v>0.2612945886127529</v>
      </c>
      <c r="J109" s="125">
        <f t="shared" si="199"/>
        <v>0.42550638633774807</v>
      </c>
      <c r="K109" s="125">
        <f t="shared" ref="K109:V109" si="208">IF(K8=0,0,K8/K$4)</f>
        <v>0.39025150387642343</v>
      </c>
      <c r="L109" s="125">
        <f t="shared" si="208"/>
        <v>0.31443704858506888</v>
      </c>
      <c r="M109" s="125">
        <f t="shared" si="208"/>
        <v>0.30470877644230904</v>
      </c>
      <c r="N109" s="125">
        <f t="shared" si="208"/>
        <v>0.35600493605266431</v>
      </c>
      <c r="O109" s="125">
        <f t="shared" si="208"/>
        <v>0.2126786561042491</v>
      </c>
      <c r="P109" s="125">
        <f t="shared" si="208"/>
        <v>0.26877820257739382</v>
      </c>
      <c r="Q109" s="125">
        <f t="shared" si="208"/>
        <v>0.26395975354077239</v>
      </c>
      <c r="R109" s="125">
        <f t="shared" si="208"/>
        <v>0.30148515600328368</v>
      </c>
      <c r="S109" s="125">
        <f t="shared" si="208"/>
        <v>0.27360009588508349</v>
      </c>
      <c r="T109" s="125">
        <f t="shared" si="208"/>
        <v>0.18169502387146702</v>
      </c>
      <c r="U109" s="125">
        <f t="shared" si="208"/>
        <v>0.17088537784007796</v>
      </c>
      <c r="V109" s="125">
        <f t="shared" si="208"/>
        <v>0.18727078976043679</v>
      </c>
      <c r="W109" s="125">
        <f t="shared" ref="W109" si="209">IF(W8=0,0,W8/W$4)</f>
        <v>0.19914592407348564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1</v>
      </c>
      <c r="C112" s="125">
        <f t="shared" si="212"/>
        <v>1</v>
      </c>
      <c r="D112" s="125">
        <f t="shared" si="212"/>
        <v>1</v>
      </c>
      <c r="E112" s="125">
        <f t="shared" si="212"/>
        <v>1</v>
      </c>
      <c r="F112" s="125">
        <f t="shared" si="212"/>
        <v>1</v>
      </c>
      <c r="G112" s="125">
        <f t="shared" si="212"/>
        <v>1</v>
      </c>
      <c r="H112" s="125">
        <f t="shared" si="212"/>
        <v>1</v>
      </c>
      <c r="I112" s="125">
        <f t="shared" si="212"/>
        <v>1</v>
      </c>
      <c r="J112" s="125">
        <f t="shared" si="212"/>
        <v>1</v>
      </c>
      <c r="K112" s="125">
        <f t="shared" ref="K112:V112" si="215">IF(K11=0,0,K11/K$10)</f>
        <v>1</v>
      </c>
      <c r="L112" s="125">
        <f t="shared" si="215"/>
        <v>1</v>
      </c>
      <c r="M112" s="125">
        <f t="shared" si="215"/>
        <v>1</v>
      </c>
      <c r="N112" s="125">
        <f t="shared" si="215"/>
        <v>1</v>
      </c>
      <c r="O112" s="125">
        <f t="shared" si="215"/>
        <v>1</v>
      </c>
      <c r="P112" s="125">
        <f t="shared" si="215"/>
        <v>1</v>
      </c>
      <c r="Q112" s="125">
        <f t="shared" si="215"/>
        <v>1</v>
      </c>
      <c r="R112" s="125">
        <f t="shared" si="215"/>
        <v>1</v>
      </c>
      <c r="S112" s="125">
        <f t="shared" si="215"/>
        <v>1</v>
      </c>
      <c r="T112" s="125">
        <f t="shared" si="215"/>
        <v>1</v>
      </c>
      <c r="U112" s="125">
        <f t="shared" si="215"/>
        <v>1</v>
      </c>
      <c r="V112" s="125">
        <f t="shared" si="215"/>
        <v>1</v>
      </c>
      <c r="W112" s="125">
        <f t="shared" ref="W112" si="216">IF(W11=0,0,W11/W$10)</f>
        <v>1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" si="218">IF(W12=0,0,W12/W$10)</f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0.42162266579991259</v>
      </c>
      <c r="C117" s="123">
        <f t="shared" si="219"/>
        <v>0.46776042980567595</v>
      </c>
      <c r="D117" s="123">
        <f t="shared" si="219"/>
        <v>0.49867240018809184</v>
      </c>
      <c r="E117" s="123">
        <f t="shared" si="219"/>
        <v>0.49009901616172513</v>
      </c>
      <c r="F117" s="123">
        <f t="shared" si="219"/>
        <v>0.44996649185372423</v>
      </c>
      <c r="G117" s="123">
        <f t="shared" si="219"/>
        <v>0.37199538722341369</v>
      </c>
      <c r="H117" s="123">
        <f t="shared" si="219"/>
        <v>0.35754267030119635</v>
      </c>
      <c r="I117" s="123">
        <f t="shared" si="219"/>
        <v>0.33489623750257874</v>
      </c>
      <c r="J117" s="123">
        <f t="shared" si="219"/>
        <v>0.30926581138461851</v>
      </c>
      <c r="K117" s="123">
        <f t="shared" ref="K117:V117" si="222">IF(K16=0,0,K16/K$15)</f>
        <v>0.34997752957913525</v>
      </c>
      <c r="L117" s="123">
        <f t="shared" si="222"/>
        <v>0.32860917240203008</v>
      </c>
      <c r="M117" s="123">
        <f t="shared" si="222"/>
        <v>0.31494653137108741</v>
      </c>
      <c r="N117" s="123">
        <f t="shared" si="222"/>
        <v>0.43491684828184307</v>
      </c>
      <c r="O117" s="123">
        <f t="shared" si="222"/>
        <v>0.3570360344041153</v>
      </c>
      <c r="P117" s="123">
        <f t="shared" si="222"/>
        <v>0.25675605736679824</v>
      </c>
      <c r="Q117" s="123">
        <f t="shared" si="222"/>
        <v>0.24065369695179517</v>
      </c>
      <c r="R117" s="123">
        <f t="shared" si="222"/>
        <v>0.24508984194412037</v>
      </c>
      <c r="S117" s="123">
        <f t="shared" si="222"/>
        <v>0.21600358806496942</v>
      </c>
      <c r="T117" s="123">
        <f t="shared" si="222"/>
        <v>0.27982811216124709</v>
      </c>
      <c r="U117" s="123">
        <f t="shared" si="222"/>
        <v>0.24220471324256154</v>
      </c>
      <c r="V117" s="123">
        <f t="shared" si="222"/>
        <v>0.24374075278240476</v>
      </c>
      <c r="W117" s="123">
        <f t="shared" ref="W117" si="223">IF(W16=0,0,W16/W$15)</f>
        <v>0.30272740699999307</v>
      </c>
      <c r="DA117" s="203"/>
    </row>
    <row r="118" spans="1:105" ht="11.45" customHeight="1" x14ac:dyDescent="0.25">
      <c r="A118" s="109" t="s">
        <v>24</v>
      </c>
      <c r="B118" s="124">
        <f t="shared" si="219"/>
        <v>0.57837733420008741</v>
      </c>
      <c r="C118" s="124">
        <f t="shared" si="219"/>
        <v>0.532239570194324</v>
      </c>
      <c r="D118" s="124">
        <f t="shared" si="219"/>
        <v>0.50132759981190811</v>
      </c>
      <c r="E118" s="124">
        <f t="shared" si="219"/>
        <v>0.50990098383827487</v>
      </c>
      <c r="F118" s="124">
        <f t="shared" si="219"/>
        <v>0.55003350814627572</v>
      </c>
      <c r="G118" s="124">
        <f t="shared" si="219"/>
        <v>0.62800461277658637</v>
      </c>
      <c r="H118" s="124">
        <f t="shared" si="219"/>
        <v>0.64245732969880354</v>
      </c>
      <c r="I118" s="124">
        <f t="shared" si="219"/>
        <v>0.6651037624974212</v>
      </c>
      <c r="J118" s="124">
        <f t="shared" si="219"/>
        <v>0.69073418861538149</v>
      </c>
      <c r="K118" s="124">
        <f t="shared" ref="K118:V118" si="224">IF(K17=0,0,K17/K$15)</f>
        <v>0.65002247042086481</v>
      </c>
      <c r="L118" s="124">
        <f t="shared" si="224"/>
        <v>0.67139082759796997</v>
      </c>
      <c r="M118" s="124">
        <f t="shared" si="224"/>
        <v>0.68505346862891259</v>
      </c>
      <c r="N118" s="124">
        <f t="shared" si="224"/>
        <v>0.56508315171815693</v>
      </c>
      <c r="O118" s="124">
        <f t="shared" si="224"/>
        <v>0.64296396559588465</v>
      </c>
      <c r="P118" s="124">
        <f t="shared" si="224"/>
        <v>0.7432439426332017</v>
      </c>
      <c r="Q118" s="124">
        <f t="shared" si="224"/>
        <v>0.75934630304820483</v>
      </c>
      <c r="R118" s="124">
        <f t="shared" si="224"/>
        <v>0.75491015805587958</v>
      </c>
      <c r="S118" s="124">
        <f t="shared" si="224"/>
        <v>0.78399641193503056</v>
      </c>
      <c r="T118" s="124">
        <f t="shared" si="224"/>
        <v>0.72017188783875297</v>
      </c>
      <c r="U118" s="124">
        <f t="shared" si="224"/>
        <v>0.75779528675743846</v>
      </c>
      <c r="V118" s="124">
        <f t="shared" si="224"/>
        <v>0.75625924721759519</v>
      </c>
      <c r="W118" s="124">
        <f t="shared" ref="W118" si="225">IF(W17=0,0,W17/W$15)</f>
        <v>0.69727259300000688</v>
      </c>
      <c r="DA118" s="176"/>
    </row>
    <row r="119" spans="1:105" ht="11.45" customHeight="1" x14ac:dyDescent="0.25">
      <c r="A119" s="111" t="s">
        <v>92</v>
      </c>
      <c r="B119" s="125">
        <f t="shared" si="219"/>
        <v>0.41167569757159711</v>
      </c>
      <c r="C119" s="125">
        <f t="shared" si="219"/>
        <v>0.28289014372675547</v>
      </c>
      <c r="D119" s="125">
        <f t="shared" si="219"/>
        <v>0.27020727744946621</v>
      </c>
      <c r="E119" s="125">
        <f t="shared" si="219"/>
        <v>0.25326426777841171</v>
      </c>
      <c r="F119" s="125">
        <f t="shared" si="219"/>
        <v>0.3187899315120859</v>
      </c>
      <c r="G119" s="125">
        <f t="shared" si="219"/>
        <v>0.37160791055886466</v>
      </c>
      <c r="H119" s="125">
        <f t="shared" si="219"/>
        <v>0.39771942879666944</v>
      </c>
      <c r="I119" s="125">
        <f t="shared" si="219"/>
        <v>0.45798058733858688</v>
      </c>
      <c r="J119" s="125">
        <f t="shared" si="219"/>
        <v>0.40106353982808168</v>
      </c>
      <c r="K119" s="125">
        <f t="shared" ref="K119:V119" si="226">IF(K18=0,0,K18/K$15)</f>
        <v>0.39310394997748099</v>
      </c>
      <c r="L119" s="125">
        <f t="shared" si="226"/>
        <v>0.40178374127199734</v>
      </c>
      <c r="M119" s="125">
        <f t="shared" si="226"/>
        <v>0.43806723251741025</v>
      </c>
      <c r="N119" s="125">
        <f t="shared" si="226"/>
        <v>0.34723301213251057</v>
      </c>
      <c r="O119" s="125">
        <f t="shared" si="226"/>
        <v>0.44013453936291663</v>
      </c>
      <c r="P119" s="125">
        <f t="shared" si="226"/>
        <v>0.4765588102375567</v>
      </c>
      <c r="Q119" s="125">
        <f t="shared" si="226"/>
        <v>0.48507097350958922</v>
      </c>
      <c r="R119" s="125">
        <f t="shared" si="226"/>
        <v>0.4988506526090391</v>
      </c>
      <c r="S119" s="125">
        <f t="shared" si="226"/>
        <v>0.53322909837199151</v>
      </c>
      <c r="T119" s="125">
        <f t="shared" si="226"/>
        <v>0.59190739843956841</v>
      </c>
      <c r="U119" s="125">
        <f t="shared" si="226"/>
        <v>0.62038203252786239</v>
      </c>
      <c r="V119" s="125">
        <f t="shared" si="226"/>
        <v>0.62299974881225406</v>
      </c>
      <c r="W119" s="125">
        <f t="shared" ref="W119" si="227">IF(W18=0,0,W18/W$15)</f>
        <v>0.49652442037457645</v>
      </c>
      <c r="DA119" s="171"/>
    </row>
    <row r="120" spans="1:105" ht="11.45" customHeight="1" x14ac:dyDescent="0.25">
      <c r="A120" s="111" t="s">
        <v>93</v>
      </c>
      <c r="B120" s="125">
        <f t="shared" si="219"/>
        <v>0.16670163662849027</v>
      </c>
      <c r="C120" s="125">
        <f t="shared" si="219"/>
        <v>0.24934942646756847</v>
      </c>
      <c r="D120" s="125">
        <f t="shared" si="219"/>
        <v>0.23112032236244195</v>
      </c>
      <c r="E120" s="125">
        <f t="shared" si="219"/>
        <v>0.25663671605986316</v>
      </c>
      <c r="F120" s="125">
        <f t="shared" si="219"/>
        <v>0.23124357663418987</v>
      </c>
      <c r="G120" s="125">
        <f t="shared" si="219"/>
        <v>0.25639670221772176</v>
      </c>
      <c r="H120" s="125">
        <f t="shared" si="219"/>
        <v>0.24473790090213407</v>
      </c>
      <c r="I120" s="125">
        <f t="shared" si="219"/>
        <v>0.20712317515883441</v>
      </c>
      <c r="J120" s="125">
        <f t="shared" si="219"/>
        <v>0.28967064878729987</v>
      </c>
      <c r="K120" s="125">
        <f t="shared" ref="K120:V120" si="228">IF(K19=0,0,K19/K$15)</f>
        <v>0.25691852044338387</v>
      </c>
      <c r="L120" s="125">
        <f t="shared" si="228"/>
        <v>0.26960708632597263</v>
      </c>
      <c r="M120" s="125">
        <f t="shared" si="228"/>
        <v>0.24698623611150233</v>
      </c>
      <c r="N120" s="125">
        <f t="shared" si="228"/>
        <v>0.21785013958564631</v>
      </c>
      <c r="O120" s="125">
        <f t="shared" si="228"/>
        <v>0.20282942623296804</v>
      </c>
      <c r="P120" s="125">
        <f t="shared" si="228"/>
        <v>0.26668513239564501</v>
      </c>
      <c r="Q120" s="125">
        <f t="shared" si="228"/>
        <v>0.27427532953861561</v>
      </c>
      <c r="R120" s="125">
        <f t="shared" si="228"/>
        <v>0.25605950544684047</v>
      </c>
      <c r="S120" s="125">
        <f t="shared" si="228"/>
        <v>0.25076731356303905</v>
      </c>
      <c r="T120" s="125">
        <f t="shared" si="228"/>
        <v>0.1282644893991845</v>
      </c>
      <c r="U120" s="125">
        <f t="shared" si="228"/>
        <v>0.13741325422957609</v>
      </c>
      <c r="V120" s="125">
        <f t="shared" si="228"/>
        <v>0.13325949840534104</v>
      </c>
      <c r="W120" s="125">
        <f t="shared" ref="W120" si="229">IF(W19=0,0,W19/W$15)</f>
        <v>0.20074817262543043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1</v>
      </c>
      <c r="C123" s="125">
        <f t="shared" si="232"/>
        <v>1</v>
      </c>
      <c r="D123" s="125">
        <f t="shared" si="232"/>
        <v>1</v>
      </c>
      <c r="E123" s="125">
        <f t="shared" si="232"/>
        <v>1</v>
      </c>
      <c r="F123" s="125">
        <f t="shared" si="232"/>
        <v>1</v>
      </c>
      <c r="G123" s="125">
        <f t="shared" si="232"/>
        <v>1</v>
      </c>
      <c r="H123" s="125">
        <f t="shared" si="232"/>
        <v>1</v>
      </c>
      <c r="I123" s="125">
        <f t="shared" si="232"/>
        <v>1</v>
      </c>
      <c r="J123" s="125">
        <f t="shared" si="232"/>
        <v>1</v>
      </c>
      <c r="K123" s="125">
        <f t="shared" ref="K123:V123" si="235">IF(K22=0,0,K22/K$21)</f>
        <v>1</v>
      </c>
      <c r="L123" s="125">
        <f t="shared" si="235"/>
        <v>1</v>
      </c>
      <c r="M123" s="125">
        <f t="shared" si="235"/>
        <v>1</v>
      </c>
      <c r="N123" s="125">
        <f t="shared" si="235"/>
        <v>1</v>
      </c>
      <c r="O123" s="125">
        <f t="shared" si="235"/>
        <v>1</v>
      </c>
      <c r="P123" s="125">
        <f t="shared" si="235"/>
        <v>1</v>
      </c>
      <c r="Q123" s="125">
        <f t="shared" si="235"/>
        <v>1</v>
      </c>
      <c r="R123" s="125">
        <f t="shared" si="235"/>
        <v>1</v>
      </c>
      <c r="S123" s="125">
        <f t="shared" si="235"/>
        <v>1</v>
      </c>
      <c r="T123" s="125">
        <f t="shared" si="235"/>
        <v>1</v>
      </c>
      <c r="U123" s="125">
        <f t="shared" si="235"/>
        <v>1</v>
      </c>
      <c r="V123" s="125">
        <f t="shared" si="235"/>
        <v>1</v>
      </c>
      <c r="W123" s="125">
        <f t="shared" ref="W123" si="236">IF(W22=0,0,W22/W$21)</f>
        <v>1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" si="238">IF(W23=0,0,W23/W$21)</f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44.819432502149617</v>
      </c>
      <c r="C4" s="146">
        <f t="shared" ref="C4:V4" si="0">SUM(C5,C8)</f>
        <v>41.874462596732585</v>
      </c>
      <c r="D4" s="146">
        <f t="shared" si="0"/>
        <v>52.987962166809972</v>
      </c>
      <c r="E4" s="146">
        <f t="shared" si="0"/>
        <v>47.012037833190021</v>
      </c>
      <c r="F4" s="146">
        <f t="shared" si="0"/>
        <v>40.606190885640579</v>
      </c>
      <c r="G4" s="146">
        <f t="shared" si="0"/>
        <v>43.637145313843511</v>
      </c>
      <c r="H4" s="146">
        <f t="shared" si="0"/>
        <v>45.657781599312123</v>
      </c>
      <c r="I4" s="146">
        <f t="shared" si="0"/>
        <v>38.499570077386075</v>
      </c>
      <c r="J4" s="146">
        <f t="shared" si="0"/>
        <v>27.386070507308684</v>
      </c>
      <c r="K4" s="146">
        <f t="shared" si="0"/>
        <v>36.392949269131556</v>
      </c>
      <c r="L4" s="146">
        <f t="shared" si="0"/>
        <v>51.719690455717974</v>
      </c>
      <c r="M4" s="146">
        <f t="shared" si="0"/>
        <v>35.38263112639725</v>
      </c>
      <c r="N4" s="146">
        <f t="shared" si="0"/>
        <v>31.341358555460012</v>
      </c>
      <c r="O4" s="146">
        <f t="shared" si="0"/>
        <v>27.214101461736885</v>
      </c>
      <c r="P4" s="146">
        <f t="shared" si="0"/>
        <v>21.324161650902841</v>
      </c>
      <c r="Q4" s="146">
        <f t="shared" si="0"/>
        <v>20.313843508168532</v>
      </c>
      <c r="R4" s="146">
        <f t="shared" si="0"/>
        <v>16.186586414445401</v>
      </c>
      <c r="S4" s="146">
        <f t="shared" si="0"/>
        <v>16.882803095442821</v>
      </c>
      <c r="T4" s="146">
        <f t="shared" si="0"/>
        <v>15.651934651762685</v>
      </c>
      <c r="U4" s="146">
        <f t="shared" si="0"/>
        <v>17.240326741186582</v>
      </c>
      <c r="V4" s="146">
        <f t="shared" si="0"/>
        <v>15.490971625107482</v>
      </c>
      <c r="W4" s="146">
        <f t="shared" ref="W4" si="1">SUM(W5,W8)</f>
        <v>15.14858125537403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43.443680137575242</v>
      </c>
      <c r="C5" s="101">
        <f t="shared" ref="C5:V5" si="2">SUM(C6:C7)</f>
        <v>40.41272570937231</v>
      </c>
      <c r="D5" s="101">
        <f t="shared" si="2"/>
        <v>51.526225279449697</v>
      </c>
      <c r="E5" s="101">
        <f t="shared" si="2"/>
        <v>45.464316423043847</v>
      </c>
      <c r="F5" s="101">
        <f t="shared" si="2"/>
        <v>39.402407566637997</v>
      </c>
      <c r="G5" s="101">
        <f t="shared" si="2"/>
        <v>42.433361994840929</v>
      </c>
      <c r="H5" s="101">
        <f t="shared" si="2"/>
        <v>44.453998280309541</v>
      </c>
      <c r="I5" s="101">
        <f t="shared" si="2"/>
        <v>37.381771281169392</v>
      </c>
      <c r="J5" s="101">
        <f t="shared" si="2"/>
        <v>26.268271711092002</v>
      </c>
      <c r="K5" s="101">
        <f t="shared" si="2"/>
        <v>35.361134995700773</v>
      </c>
      <c r="L5" s="101">
        <f t="shared" si="2"/>
        <v>50.515907136715391</v>
      </c>
      <c r="M5" s="101">
        <f t="shared" si="2"/>
        <v>34.350816852966467</v>
      </c>
      <c r="N5" s="101">
        <f t="shared" si="2"/>
        <v>30.309544282029229</v>
      </c>
      <c r="O5" s="101">
        <f t="shared" si="2"/>
        <v>26.268271711092002</v>
      </c>
      <c r="P5" s="101">
        <f t="shared" si="2"/>
        <v>20.206362854686159</v>
      </c>
      <c r="Q5" s="101">
        <f t="shared" si="2"/>
        <v>19.196044711951849</v>
      </c>
      <c r="R5" s="101">
        <f t="shared" si="2"/>
        <v>15.15477214101462</v>
      </c>
      <c r="S5" s="101">
        <f t="shared" si="2"/>
        <v>15.76500429922614</v>
      </c>
      <c r="T5" s="101">
        <f t="shared" si="2"/>
        <v>14.7920894239037</v>
      </c>
      <c r="U5" s="101">
        <f t="shared" si="2"/>
        <v>16.208512467755799</v>
      </c>
      <c r="V5" s="101">
        <f t="shared" si="2"/>
        <v>14.502149613069649</v>
      </c>
      <c r="W5" s="101">
        <f t="shared" ref="W5" si="3">SUM(W6:W7)</f>
        <v>14.02424763542562</v>
      </c>
      <c r="DA5" s="175"/>
    </row>
    <row r="6" spans="1:105" ht="11.45" customHeight="1" x14ac:dyDescent="0.25">
      <c r="A6" s="164" t="s">
        <v>182</v>
      </c>
      <c r="B6" s="165">
        <v>43.443680137575242</v>
      </c>
      <c r="C6" s="165">
        <v>40.41272570937231</v>
      </c>
      <c r="D6" s="165">
        <v>51.526225279449697</v>
      </c>
      <c r="E6" s="165">
        <v>45.464316423043847</v>
      </c>
      <c r="F6" s="165">
        <v>39.402407566637997</v>
      </c>
      <c r="G6" s="165">
        <v>42.433361994840929</v>
      </c>
      <c r="H6" s="165">
        <v>44.453998280309541</v>
      </c>
      <c r="I6" s="165">
        <v>37.381771281169392</v>
      </c>
      <c r="J6" s="165">
        <v>26.268271711092002</v>
      </c>
      <c r="K6" s="165">
        <v>35.361134995700773</v>
      </c>
      <c r="L6" s="165">
        <v>50.515907136715391</v>
      </c>
      <c r="M6" s="165">
        <v>34.350816852966467</v>
      </c>
      <c r="N6" s="165">
        <v>30.309544282029229</v>
      </c>
      <c r="O6" s="165">
        <v>26.268271711092002</v>
      </c>
      <c r="P6" s="165">
        <v>20.206362854686159</v>
      </c>
      <c r="Q6" s="165">
        <v>19.196044711951849</v>
      </c>
      <c r="R6" s="165">
        <v>15.15477214101462</v>
      </c>
      <c r="S6" s="165">
        <v>15.76500429922614</v>
      </c>
      <c r="T6" s="165">
        <v>14.7920894239037</v>
      </c>
      <c r="U6" s="165">
        <v>16.208512467755799</v>
      </c>
      <c r="V6" s="165">
        <v>14.502149613069649</v>
      </c>
      <c r="W6" s="165">
        <v>14.02424763542562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1.375752364574377</v>
      </c>
      <c r="C8" s="88">
        <v>1.461736887360275</v>
      </c>
      <c r="D8" s="88">
        <v>1.461736887360275</v>
      </c>
      <c r="E8" s="88">
        <v>1.547721410146174</v>
      </c>
      <c r="F8" s="88">
        <v>1.20378331900258</v>
      </c>
      <c r="G8" s="88">
        <v>1.20378331900258</v>
      </c>
      <c r="H8" s="88">
        <v>1.20378331900258</v>
      </c>
      <c r="I8" s="88">
        <v>1.1177987962166811</v>
      </c>
      <c r="J8" s="88">
        <v>1.1177987962166811</v>
      </c>
      <c r="K8" s="88">
        <v>1.031814273430782</v>
      </c>
      <c r="L8" s="88">
        <v>1.20378331900258</v>
      </c>
      <c r="M8" s="88">
        <v>1.031814273430782</v>
      </c>
      <c r="N8" s="88">
        <v>1.031814273430782</v>
      </c>
      <c r="O8" s="88">
        <v>0.94582975064488384</v>
      </c>
      <c r="P8" s="88">
        <v>1.1177987962166811</v>
      </c>
      <c r="Q8" s="88">
        <v>1.1177987962166811</v>
      </c>
      <c r="R8" s="88">
        <v>1.031814273430782</v>
      </c>
      <c r="S8" s="88">
        <v>1.1177987962166811</v>
      </c>
      <c r="T8" s="88">
        <v>0.85984522785898532</v>
      </c>
      <c r="U8" s="88">
        <v>1.031814273430782</v>
      </c>
      <c r="V8" s="88">
        <v>0.98882201203783315</v>
      </c>
      <c r="W8" s="88">
        <v>1.1243336199484091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44.819432502149617</v>
      </c>
      <c r="C10" s="62">
        <f t="shared" ref="C10:V10" si="5">SUM(C11,C17)</f>
        <v>41.874462596732585</v>
      </c>
      <c r="D10" s="62">
        <f t="shared" si="5"/>
        <v>52.987962166809972</v>
      </c>
      <c r="E10" s="62">
        <f t="shared" si="5"/>
        <v>47.012037833190021</v>
      </c>
      <c r="F10" s="62">
        <f t="shared" si="5"/>
        <v>40.606190885640579</v>
      </c>
      <c r="G10" s="62">
        <f t="shared" si="5"/>
        <v>43.637145313843504</v>
      </c>
      <c r="H10" s="62">
        <f t="shared" si="5"/>
        <v>45.657781599312123</v>
      </c>
      <c r="I10" s="62">
        <f t="shared" si="5"/>
        <v>38.499570077386075</v>
      </c>
      <c r="J10" s="62">
        <f t="shared" si="5"/>
        <v>27.386070507308681</v>
      </c>
      <c r="K10" s="62">
        <f t="shared" si="5"/>
        <v>36.392949269131556</v>
      </c>
      <c r="L10" s="62">
        <f t="shared" si="5"/>
        <v>51.719690455717966</v>
      </c>
      <c r="M10" s="62">
        <f t="shared" si="5"/>
        <v>35.38263112639725</v>
      </c>
      <c r="N10" s="62">
        <f t="shared" si="5"/>
        <v>31.341358555460008</v>
      </c>
      <c r="O10" s="62">
        <f t="shared" si="5"/>
        <v>27.214101461736888</v>
      </c>
      <c r="P10" s="62">
        <f t="shared" si="5"/>
        <v>21.324161650902841</v>
      </c>
      <c r="Q10" s="62">
        <f t="shared" si="5"/>
        <v>20.313843508168532</v>
      </c>
      <c r="R10" s="62">
        <f t="shared" si="5"/>
        <v>16.186586414445401</v>
      </c>
      <c r="S10" s="62">
        <f t="shared" si="5"/>
        <v>16.882803095442821</v>
      </c>
      <c r="T10" s="62">
        <f t="shared" si="5"/>
        <v>15.651934651762684</v>
      </c>
      <c r="U10" s="62">
        <f t="shared" si="5"/>
        <v>17.240326741186578</v>
      </c>
      <c r="V10" s="62">
        <f t="shared" si="5"/>
        <v>15.490971625107484</v>
      </c>
      <c r="W10" s="62">
        <f t="shared" ref="W10" si="6">SUM(W11,W17)</f>
        <v>15.14858125537403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4.4089920072364084</v>
      </c>
      <c r="C11" s="29">
        <f t="shared" ref="C11:V11" si="8">SUM(C12,C13,C16)</f>
        <v>3.1337102228720686</v>
      </c>
      <c r="D11" s="29">
        <f t="shared" si="8"/>
        <v>3.1018199110662006</v>
      </c>
      <c r="E11" s="29">
        <f t="shared" si="8"/>
        <v>3.06160485099088</v>
      </c>
      <c r="F11" s="29">
        <f t="shared" si="8"/>
        <v>2.8146338508290869</v>
      </c>
      <c r="G11" s="29">
        <f t="shared" si="8"/>
        <v>3.066123523289543</v>
      </c>
      <c r="H11" s="29">
        <f t="shared" si="8"/>
        <v>3.3375872458273155</v>
      </c>
      <c r="I11" s="29">
        <f t="shared" si="8"/>
        <v>3.8046897728599536</v>
      </c>
      <c r="J11" s="29">
        <f t="shared" si="8"/>
        <v>3.0080025394609411</v>
      </c>
      <c r="K11" s="29">
        <f t="shared" si="8"/>
        <v>2.8428838553506797</v>
      </c>
      <c r="L11" s="29">
        <f t="shared" si="8"/>
        <v>3.2895175909418017</v>
      </c>
      <c r="M11" s="29">
        <f t="shared" si="8"/>
        <v>3.1278012786578215</v>
      </c>
      <c r="N11" s="29">
        <f t="shared" si="8"/>
        <v>2.6672927381341123</v>
      </c>
      <c r="O11" s="29">
        <f t="shared" si="8"/>
        <v>3.0577967608926944</v>
      </c>
      <c r="P11" s="29">
        <f t="shared" si="8"/>
        <v>3.5393469024011304</v>
      </c>
      <c r="Q11" s="29">
        <f t="shared" si="8"/>
        <v>3.5428201939686113</v>
      </c>
      <c r="R11" s="29">
        <f t="shared" si="8"/>
        <v>3.4540937409510772</v>
      </c>
      <c r="S11" s="29">
        <f t="shared" si="8"/>
        <v>4.0415358697828054</v>
      </c>
      <c r="T11" s="29">
        <f t="shared" si="8"/>
        <v>4.5568894351371823</v>
      </c>
      <c r="U11" s="29">
        <f t="shared" si="8"/>
        <v>5.7092204863643978</v>
      </c>
      <c r="V11" s="29">
        <f t="shared" si="8"/>
        <v>5.5552270966724882</v>
      </c>
      <c r="W11" s="29">
        <f t="shared" ref="W11" si="9">SUM(W12,W13,W16)</f>
        <v>4.0540925842289193</v>
      </c>
      <c r="DA11" s="173" t="s">
        <v>394</v>
      </c>
    </row>
    <row r="12" spans="1:105" ht="11.45" customHeight="1" x14ac:dyDescent="0.25">
      <c r="A12" s="107" t="s">
        <v>23</v>
      </c>
      <c r="B12" s="115">
        <v>0.54333608215994622</v>
      </c>
      <c r="C12" s="115">
        <v>0.47905988358336832</v>
      </c>
      <c r="D12" s="115">
        <v>0.52602226821378684</v>
      </c>
      <c r="E12" s="115">
        <v>0.53085991846870195</v>
      </c>
      <c r="F12" s="115">
        <v>0.42117517046143926</v>
      </c>
      <c r="G12" s="115">
        <v>0.33841241116509607</v>
      </c>
      <c r="H12" s="115">
        <v>0.34215947987325662</v>
      </c>
      <c r="I12" s="115">
        <v>0.34262082527599358</v>
      </c>
      <c r="J12" s="115">
        <v>0.2575764791824911</v>
      </c>
      <c r="K12" s="115">
        <v>0.28606972416333859</v>
      </c>
      <c r="L12" s="115">
        <v>0.31035285484563119</v>
      </c>
      <c r="M12" s="115">
        <v>0.27236515242598563</v>
      </c>
      <c r="N12" s="115">
        <v>0.37507859973874025</v>
      </c>
      <c r="O12" s="115">
        <v>0.32146493941667509</v>
      </c>
      <c r="P12" s="115">
        <v>0.24558626953566659</v>
      </c>
      <c r="Q12" s="115">
        <v>0.2300318115527733</v>
      </c>
      <c r="R12" s="115">
        <v>0.23137941818594182</v>
      </c>
      <c r="S12" s="115">
        <v>0.23201206199436039</v>
      </c>
      <c r="T12" s="115">
        <v>0.34606192758104104</v>
      </c>
      <c r="U12" s="115">
        <v>0.36630627649022818</v>
      </c>
      <c r="V12" s="115">
        <v>0.36188553587846234</v>
      </c>
      <c r="W12" s="115">
        <v>0.36448540811406349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3.8656559250764619</v>
      </c>
      <c r="C13" s="116">
        <f t="shared" ref="C13:V13" si="11">SUM(C14:C15)</f>
        <v>2.6546503392887004</v>
      </c>
      <c r="D13" s="116">
        <f t="shared" si="11"/>
        <v>2.5757976428524136</v>
      </c>
      <c r="E13" s="116">
        <f t="shared" si="11"/>
        <v>2.530744932522178</v>
      </c>
      <c r="F13" s="116">
        <f t="shared" si="11"/>
        <v>2.3934586803676479</v>
      </c>
      <c r="G13" s="116">
        <f t="shared" si="11"/>
        <v>2.7277111121244468</v>
      </c>
      <c r="H13" s="116">
        <f t="shared" si="11"/>
        <v>2.9954277659540587</v>
      </c>
      <c r="I13" s="116">
        <f t="shared" si="11"/>
        <v>3.4620689475839601</v>
      </c>
      <c r="J13" s="116">
        <f t="shared" si="11"/>
        <v>2.7504260602784498</v>
      </c>
      <c r="K13" s="116">
        <f t="shared" si="11"/>
        <v>2.5568141311873411</v>
      </c>
      <c r="L13" s="116">
        <f t="shared" si="11"/>
        <v>2.9791647360961706</v>
      </c>
      <c r="M13" s="116">
        <f t="shared" si="11"/>
        <v>2.8554361262318357</v>
      </c>
      <c r="N13" s="116">
        <f t="shared" si="11"/>
        <v>2.292214138395372</v>
      </c>
      <c r="O13" s="116">
        <f t="shared" si="11"/>
        <v>2.7363318214760195</v>
      </c>
      <c r="P13" s="116">
        <f t="shared" si="11"/>
        <v>3.2937606328654638</v>
      </c>
      <c r="Q13" s="116">
        <f t="shared" si="11"/>
        <v>3.312788382415838</v>
      </c>
      <c r="R13" s="116">
        <f t="shared" si="11"/>
        <v>3.2227143227651354</v>
      </c>
      <c r="S13" s="116">
        <f t="shared" si="11"/>
        <v>3.8095238077884455</v>
      </c>
      <c r="T13" s="116">
        <f t="shared" si="11"/>
        <v>4.2108275075561412</v>
      </c>
      <c r="U13" s="116">
        <f t="shared" si="11"/>
        <v>5.34291420987417</v>
      </c>
      <c r="V13" s="116">
        <f t="shared" si="11"/>
        <v>5.1933415607940256</v>
      </c>
      <c r="W13" s="116">
        <f t="shared" ref="W13" si="12">SUM(W14:W15)</f>
        <v>3.6896071761148557</v>
      </c>
      <c r="DA13" s="176" t="s">
        <v>396</v>
      </c>
    </row>
    <row r="14" spans="1:105" ht="11.45" customHeight="1" x14ac:dyDescent="0.25">
      <c r="A14" s="111" t="s">
        <v>95</v>
      </c>
      <c r="B14" s="87">
        <v>3.0332396426620312</v>
      </c>
      <c r="C14" s="87">
        <v>1.6719733355117936</v>
      </c>
      <c r="D14" s="87">
        <v>1.6400830237059256</v>
      </c>
      <c r="E14" s="87">
        <v>1.5138834408447059</v>
      </c>
      <c r="F14" s="87">
        <v>1.6108505318265072</v>
      </c>
      <c r="G14" s="87">
        <v>1.8623402042869628</v>
      </c>
      <c r="H14" s="87">
        <v>2.1338039268247355</v>
      </c>
      <c r="I14" s="87">
        <v>2.6868909766432725</v>
      </c>
      <c r="J14" s="87">
        <v>1.8902037432442598</v>
      </c>
      <c r="K14" s="87">
        <v>1.8110695819198979</v>
      </c>
      <c r="L14" s="87">
        <v>2.0857342719392218</v>
      </c>
      <c r="M14" s="87">
        <v>2.0959870052270393</v>
      </c>
      <c r="N14" s="87">
        <v>1.6354784647033305</v>
      </c>
      <c r="O14" s="87">
        <v>2.111967010247811</v>
      </c>
      <c r="P14" s="87">
        <v>2.4215481061844493</v>
      </c>
      <c r="Q14" s="87">
        <v>2.4250213977519302</v>
      </c>
      <c r="R14" s="87">
        <v>2.422279467520295</v>
      </c>
      <c r="S14" s="87">
        <v>2.9237370735661248</v>
      </c>
      <c r="T14" s="87">
        <v>3.6970442072781973</v>
      </c>
      <c r="U14" s="87">
        <v>4.677406212933616</v>
      </c>
      <c r="V14" s="87">
        <v>4.5664050846346544</v>
      </c>
      <c r="W14" s="87">
        <v>2.9297589642805102</v>
      </c>
      <c r="DA14" s="171" t="s">
        <v>1106</v>
      </c>
    </row>
    <row r="15" spans="1:105" ht="11.45" customHeight="1" x14ac:dyDescent="0.25">
      <c r="A15" s="111" t="s">
        <v>93</v>
      </c>
      <c r="B15" s="87">
        <v>0.83241628241443066</v>
      </c>
      <c r="C15" s="87">
        <v>0.98267700377690659</v>
      </c>
      <c r="D15" s="87">
        <v>0.93571461914648812</v>
      </c>
      <c r="E15" s="87">
        <v>1.0168614916774721</v>
      </c>
      <c r="F15" s="87">
        <v>0.78260814854114069</v>
      </c>
      <c r="G15" s="87">
        <v>0.86537090783748394</v>
      </c>
      <c r="H15" s="87">
        <v>0.86162383912932328</v>
      </c>
      <c r="I15" s="87">
        <v>0.77517797094068741</v>
      </c>
      <c r="J15" s="87">
        <v>0.86022231703418994</v>
      </c>
      <c r="K15" s="87">
        <v>0.74574454926744338</v>
      </c>
      <c r="L15" s="87">
        <v>0.89343046415694893</v>
      </c>
      <c r="M15" s="87">
        <v>0.75944912100479633</v>
      </c>
      <c r="N15" s="87">
        <v>0.65673567369204178</v>
      </c>
      <c r="O15" s="87">
        <v>0.62436481122820875</v>
      </c>
      <c r="P15" s="87">
        <v>0.87221252668101457</v>
      </c>
      <c r="Q15" s="87">
        <v>0.8877669846639078</v>
      </c>
      <c r="R15" s="87">
        <v>0.80043485524484015</v>
      </c>
      <c r="S15" s="87">
        <v>0.88578673422232068</v>
      </c>
      <c r="T15" s="87">
        <v>0.51378330027794439</v>
      </c>
      <c r="U15" s="87">
        <v>0.66550799694055385</v>
      </c>
      <c r="V15" s="87">
        <v>0.62693647615937087</v>
      </c>
      <c r="W15" s="87">
        <v>0.75984821183434548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40.41044049491321</v>
      </c>
      <c r="C17" s="29">
        <f t="shared" si="13"/>
        <v>38.740752373860516</v>
      </c>
      <c r="D17" s="29">
        <f t="shared" si="13"/>
        <v>49.886142255743771</v>
      </c>
      <c r="E17" s="29">
        <f t="shared" si="13"/>
        <v>43.950432982199139</v>
      </c>
      <c r="F17" s="29">
        <f t="shared" si="13"/>
        <v>37.79155703481149</v>
      </c>
      <c r="G17" s="29">
        <f t="shared" si="13"/>
        <v>40.571021790553964</v>
      </c>
      <c r="H17" s="29">
        <f t="shared" si="13"/>
        <v>42.320194353484808</v>
      </c>
      <c r="I17" s="29">
        <f t="shared" si="13"/>
        <v>34.694880304526123</v>
      </c>
      <c r="J17" s="29">
        <f t="shared" si="13"/>
        <v>24.378067967847741</v>
      </c>
      <c r="K17" s="29">
        <f t="shared" si="13"/>
        <v>33.550065413780878</v>
      </c>
      <c r="L17" s="29">
        <f t="shared" si="13"/>
        <v>48.430172864776168</v>
      </c>
      <c r="M17" s="29">
        <f t="shared" si="13"/>
        <v>32.25482984773943</v>
      </c>
      <c r="N17" s="29">
        <f t="shared" si="13"/>
        <v>28.674065817325896</v>
      </c>
      <c r="O17" s="29">
        <f t="shared" si="13"/>
        <v>24.156304700844192</v>
      </c>
      <c r="P17" s="29">
        <f t="shared" si="13"/>
        <v>17.784814748501709</v>
      </c>
      <c r="Q17" s="29">
        <f t="shared" si="13"/>
        <v>16.771023314199919</v>
      </c>
      <c r="R17" s="29">
        <f t="shared" si="13"/>
        <v>12.732492673494324</v>
      </c>
      <c r="S17" s="29">
        <f t="shared" si="13"/>
        <v>12.841267225660015</v>
      </c>
      <c r="T17" s="29">
        <f t="shared" si="13"/>
        <v>11.095045216625502</v>
      </c>
      <c r="U17" s="29">
        <f t="shared" si="13"/>
        <v>11.531106254822182</v>
      </c>
      <c r="V17" s="29">
        <f t="shared" si="13"/>
        <v>9.935744528434995</v>
      </c>
      <c r="W17" s="29">
        <f t="shared" si="13"/>
        <v>11.094488671145109</v>
      </c>
      <c r="DA17" s="173" t="s">
        <v>401</v>
      </c>
    </row>
    <row r="18" spans="1:105" ht="11.45" customHeight="1" x14ac:dyDescent="0.25">
      <c r="A18" s="83" t="s">
        <v>95</v>
      </c>
      <c r="B18" s="87">
        <v>40.41044049491321</v>
      </c>
      <c r="C18" s="87">
        <v>38.740752373860516</v>
      </c>
      <c r="D18" s="87">
        <v>49.886142255743771</v>
      </c>
      <c r="E18" s="87">
        <v>43.950432982199139</v>
      </c>
      <c r="F18" s="87">
        <v>37.79155703481149</v>
      </c>
      <c r="G18" s="87">
        <v>40.571021790553964</v>
      </c>
      <c r="H18" s="87">
        <v>42.320194353484808</v>
      </c>
      <c r="I18" s="87">
        <v>34.694880304526123</v>
      </c>
      <c r="J18" s="87">
        <v>24.378067967847741</v>
      </c>
      <c r="K18" s="87">
        <v>33.550065413780878</v>
      </c>
      <c r="L18" s="87">
        <v>48.430172864776168</v>
      </c>
      <c r="M18" s="87">
        <v>32.25482984773943</v>
      </c>
      <c r="N18" s="87">
        <v>28.674065817325896</v>
      </c>
      <c r="O18" s="87">
        <v>24.156304700844192</v>
      </c>
      <c r="P18" s="87">
        <v>17.784814748501709</v>
      </c>
      <c r="Q18" s="87">
        <v>16.771023314199919</v>
      </c>
      <c r="R18" s="87">
        <v>12.732492673494324</v>
      </c>
      <c r="S18" s="87">
        <v>12.841267225660015</v>
      </c>
      <c r="T18" s="87">
        <v>11.095045216625502</v>
      </c>
      <c r="U18" s="87">
        <v>11.531106254822182</v>
      </c>
      <c r="V18" s="87">
        <v>9.935744528434995</v>
      </c>
      <c r="W18" s="87">
        <v>11.094488671145109</v>
      </c>
      <c r="DA18" s="171" t="s">
        <v>1108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385.42469513814984</v>
      </c>
      <c r="C23" s="62">
        <f>IF(C10=0,0,C10/TrRail_act!C14*100)</f>
        <v>391.88983805312108</v>
      </c>
      <c r="D23" s="62">
        <f>IF(D10=0,0,D10/TrRail_act!D14*100)</f>
        <v>402.87244550117106</v>
      </c>
      <c r="E23" s="62">
        <f>IF(E10=0,0,E10/TrRail_act!E14*100)</f>
        <v>389.48013602222818</v>
      </c>
      <c r="F23" s="62">
        <f>IF(F10=0,0,F10/TrRail_act!F14*100)</f>
        <v>389.97533930268935</v>
      </c>
      <c r="G23" s="62">
        <f>IF(G10=0,0,G10/TrRail_act!G14*100)</f>
        <v>394.70803535410568</v>
      </c>
      <c r="H23" s="62">
        <f>IF(H10=0,0,H10/TrRail_act!H14*100)</f>
        <v>390.29272918598912</v>
      </c>
      <c r="I23" s="62">
        <f>IF(I10=0,0,I10/TrRail_act!I14*100)</f>
        <v>368.41773523007424</v>
      </c>
      <c r="J23" s="62">
        <f>IF(J10=0,0,J10/TrRail_act!J14*100)</f>
        <v>351.43036454502226</v>
      </c>
      <c r="K23" s="62">
        <f>IF(K10=0,0,K10/TrRail_act!K14*100)</f>
        <v>363.39058889092468</v>
      </c>
      <c r="L23" s="62">
        <f>IF(L10=0,0,L10/TrRail_act!L14*100)</f>
        <v>367.33458583841963</v>
      </c>
      <c r="M23" s="62">
        <f>IF(M10=0,0,M10/TrRail_act!M14*100)</f>
        <v>346.56063538298423</v>
      </c>
      <c r="N23" s="62">
        <f>IF(N10=0,0,N10/TrRail_act!N14*100)</f>
        <v>332.32984610865969</v>
      </c>
      <c r="O23" s="62">
        <f>IF(O10=0,0,O10/TrRail_act!O14*100)</f>
        <v>318.72019479783705</v>
      </c>
      <c r="P23" s="62">
        <f>IF(P10=0,0,P10/TrRail_act!P14*100)</f>
        <v>292.77991116740998</v>
      </c>
      <c r="Q23" s="62">
        <f>IF(Q10=0,0,Q10/TrRail_act!Q14*100)</f>
        <v>284.40216024902605</v>
      </c>
      <c r="R23" s="62">
        <f>IF(R10=0,0,R10/TrRail_act!R14*100)</f>
        <v>262.9198943815129</v>
      </c>
      <c r="S23" s="62">
        <f>IF(S10=0,0,S10/TrRail_act!S14*100)</f>
        <v>253.56652619709155</v>
      </c>
      <c r="T23" s="62">
        <f>IF(T10=0,0,T10/TrRail_act!T14*100)</f>
        <v>231.01210904185479</v>
      </c>
      <c r="U23" s="62">
        <f>IF(U10=0,0,U10/TrRail_act!U14*100)</f>
        <v>220.43382212941248</v>
      </c>
      <c r="V23" s="62">
        <f>IF(V10=0,0,V10/TrRail_act!V14*100)</f>
        <v>210.58646297515313</v>
      </c>
      <c r="W23" s="62">
        <f>IF(W10=0,0,W10/TrRail_act!W14*100)</f>
        <v>221.72644994416797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140.41033800004229</v>
      </c>
      <c r="C24" s="29">
        <f>IF(C11=0,0,C11/TrRail_act!C15*100)</f>
        <v>124.3501485096662</v>
      </c>
      <c r="D24" s="29">
        <f>IF(D11=0,0,D11/TrRail_act!D15*100)</f>
        <v>119.44012289589945</v>
      </c>
      <c r="E24" s="29">
        <f>IF(E11=0,0,E11/TrRail_act!E15*100)</f>
        <v>113.34967683060222</v>
      </c>
      <c r="F24" s="29">
        <f>IF(F11=0,0,F11/TrRail_act!F15*100)</f>
        <v>119.80013495072248</v>
      </c>
      <c r="G24" s="29">
        <f>IF(G11=0,0,G11/TrRail_act!G15*100)</f>
        <v>129.1110993856704</v>
      </c>
      <c r="H24" s="29">
        <f>IF(H11=0,0,H11/TrRail_act!H15*100)</f>
        <v>130.57962917305835</v>
      </c>
      <c r="I24" s="29">
        <f>IF(I11=0,0,I11/TrRail_act!I15*100)</f>
        <v>136.43888792321951</v>
      </c>
      <c r="J24" s="29">
        <f>IF(J11=0,0,J11/TrRail_act!J15*100)</f>
        <v>130.82328897776679</v>
      </c>
      <c r="K24" s="29">
        <f>IF(K11=0,0,K11/TrRail_act!K15*100)</f>
        <v>124.90420263900062</v>
      </c>
      <c r="L24" s="29">
        <f>IF(L11=0,0,L11/TrRail_act!L15*100)</f>
        <v>124.98236473910096</v>
      </c>
      <c r="M24" s="29">
        <f>IF(M11=0,0,M11/TrRail_act!M15*100)</f>
        <v>127.07262635373245</v>
      </c>
      <c r="N24" s="29">
        <f>IF(N11=0,0,N11/TrRail_act!N15*100)</f>
        <v>107.36035299931621</v>
      </c>
      <c r="O24" s="29">
        <f>IF(O11=0,0,O11/TrRail_act!O15*100)</f>
        <v>116.7129035480848</v>
      </c>
      <c r="P24" s="29">
        <f>IF(P11=0,0,P11/TrRail_act!P15*100)</f>
        <v>124.18671802783625</v>
      </c>
      <c r="Q24" s="29">
        <f>IF(Q11=0,0,Q11/TrRail_act!Q15*100)</f>
        <v>122.53473901056213</v>
      </c>
      <c r="R24" s="29">
        <f>IF(R11=0,0,R11/TrRail_act!R15*100)</f>
        <v>119.60318522399611</v>
      </c>
      <c r="S24" s="29">
        <f>IF(S11=0,0,S11/TrRail_act!S15*100)</f>
        <v>121.96403865006657</v>
      </c>
      <c r="T24" s="29">
        <f>IF(T11=0,0,T11/TrRail_act!T15*100)</f>
        <v>118.68235567149132</v>
      </c>
      <c r="U24" s="29">
        <f>IF(U11=0,0,U11/TrRail_act!U15*100)</f>
        <v>121.0121822219338</v>
      </c>
      <c r="V24" s="29">
        <f>IF(V11=0,0,V11/TrRail_act!V15*100)</f>
        <v>119.51519304482805</v>
      </c>
      <c r="W24" s="29">
        <f>IF(W11=0,0,W11/TrRail_act!W15*100)</f>
        <v>107.26734440824639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41.039718224237944</v>
      </c>
      <c r="C25" s="115">
        <f>IF(C12=0,0,C12/TrRail_act!C16*100)</f>
        <v>40.640009297872801</v>
      </c>
      <c r="D25" s="115">
        <f>IF(D12=0,0,D12/TrRail_act!D16*100)</f>
        <v>40.618367029113408</v>
      </c>
      <c r="E25" s="115">
        <f>IF(E12=0,0,E12/TrRail_act!E16*100)</f>
        <v>40.102112800053042</v>
      </c>
      <c r="F25" s="115">
        <f>IF(F12=0,0,F12/TrRail_act!F16*100)</f>
        <v>39.839876839160816</v>
      </c>
      <c r="G25" s="115">
        <f>IF(G12=0,0,G12/TrRail_act!G16*100)</f>
        <v>38.307398518930405</v>
      </c>
      <c r="H25" s="115">
        <f>IF(H12=0,0,H12/TrRail_act!H16*100)</f>
        <v>37.440660489976558</v>
      </c>
      <c r="I25" s="115">
        <f>IF(I12=0,0,I12/TrRail_act!I16*100)</f>
        <v>36.687862389513484</v>
      </c>
      <c r="J25" s="115">
        <f>IF(J12=0,0,J12/TrRail_act!J16*100)</f>
        <v>36.222728015481685</v>
      </c>
      <c r="K25" s="115">
        <f>IF(K12=0,0,K12/TrRail_act!K16*100)</f>
        <v>35.912833340423312</v>
      </c>
      <c r="L25" s="115">
        <f>IF(L12=0,0,L12/TrRail_act!L16*100)</f>
        <v>35.883317465915603</v>
      </c>
      <c r="M25" s="115">
        <f>IF(M12=0,0,M12/TrRail_act!M16*100)</f>
        <v>35.133997401755401</v>
      </c>
      <c r="N25" s="115">
        <f>IF(N12=0,0,N12/TrRail_act!N16*100)</f>
        <v>34.712772500955843</v>
      </c>
      <c r="O25" s="115">
        <f>IF(O12=0,0,O12/TrRail_act!O16*100)</f>
        <v>34.366224316441638</v>
      </c>
      <c r="P25" s="115">
        <f>IF(P12=0,0,P12/TrRail_act!P16*100)</f>
        <v>33.561039390076552</v>
      </c>
      <c r="Q25" s="115">
        <f>IF(Q12=0,0,Q12/TrRail_act!Q16*100)</f>
        <v>33.060200300482073</v>
      </c>
      <c r="R25" s="115">
        <f>IF(R12=0,0,R12/TrRail_act!R16*100)</f>
        <v>32.689482013833292</v>
      </c>
      <c r="S25" s="115">
        <f>IF(S12=0,0,S12/TrRail_act!S16*100)</f>
        <v>32.414173904094675</v>
      </c>
      <c r="T25" s="115">
        <f>IF(T12=0,0,T12/TrRail_act!T16*100)</f>
        <v>32.209215452424985</v>
      </c>
      <c r="U25" s="115">
        <f>IF(U12=0,0,U12/TrRail_act!U16*100)</f>
        <v>32.056348228090357</v>
      </c>
      <c r="V25" s="115">
        <f>IF(V12=0,0,V12/TrRail_act!V16*100)</f>
        <v>31.942167073050104</v>
      </c>
      <c r="W25" s="115">
        <f>IF(W12=0,0,W12/TrRail_act!W16*100)</f>
        <v>31.856809013704577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212.84904390128366</v>
      </c>
      <c r="C26" s="116">
        <f>IF(C13=0,0,C13/TrRail_act!C17*100)</f>
        <v>197.91906914160128</v>
      </c>
      <c r="D26" s="116">
        <f>IF(D13=0,0,D13/TrRail_act!D17*100)</f>
        <v>197.84441222662292</v>
      </c>
      <c r="E26" s="116">
        <f>IF(E13=0,0,E13/TrRail_act!E17*100)</f>
        <v>183.75267703152173</v>
      </c>
      <c r="F26" s="116">
        <f>IF(F13=0,0,F13/TrRail_act!F17*100)</f>
        <v>185.21330759803209</v>
      </c>
      <c r="G26" s="116">
        <f>IF(G13=0,0,G13/TrRail_act!G17*100)</f>
        <v>182.89821683357798</v>
      </c>
      <c r="H26" s="116">
        <f>IF(H13=0,0,H13/TrRail_act!H17*100)</f>
        <v>182.41366395270788</v>
      </c>
      <c r="I26" s="116">
        <f>IF(I13=0,0,I13/TrRail_act!I17*100)</f>
        <v>186.66600288167888</v>
      </c>
      <c r="J26" s="116">
        <f>IF(J13=0,0,J13/TrRail_act!J17*100)</f>
        <v>173.1792628468003</v>
      </c>
      <c r="K26" s="116">
        <f>IF(K13=0,0,K13/TrRail_act!K17*100)</f>
        <v>172.81789946984307</v>
      </c>
      <c r="L26" s="116">
        <f>IF(L13=0,0,L13/TrRail_act!L17*100)</f>
        <v>168.59148625629717</v>
      </c>
      <c r="M26" s="116">
        <f>IF(M13=0,0,M13/TrRail_act!M17*100)</f>
        <v>169.34049829866476</v>
      </c>
      <c r="N26" s="116">
        <f>IF(N13=0,0,N13/TrRail_act!N17*100)</f>
        <v>163.27364053864662</v>
      </c>
      <c r="O26" s="116">
        <f>IF(O13=0,0,O13/TrRail_act!O17*100)</f>
        <v>162.4397768604417</v>
      </c>
      <c r="P26" s="116">
        <f>IF(P13=0,0,P13/TrRail_act!P17*100)</f>
        <v>155.4936559098783</v>
      </c>
      <c r="Q26" s="116">
        <f>IF(Q13=0,0,Q13/TrRail_act!Q17*100)</f>
        <v>150.89120619450833</v>
      </c>
      <c r="R26" s="116">
        <f>IF(R13=0,0,R13/TrRail_act!R17*100)</f>
        <v>147.82066985477019</v>
      </c>
      <c r="S26" s="116">
        <f>IF(S13=0,0,S13/TrRail_act!S17*100)</f>
        <v>146.63646291297968</v>
      </c>
      <c r="T26" s="116">
        <f>IF(T13=0,0,T13/TrRail_act!T17*100)</f>
        <v>152.28213370888955</v>
      </c>
      <c r="U26" s="116">
        <f>IF(U13=0,0,U13/TrRail_act!U17*100)</f>
        <v>149.44403267052101</v>
      </c>
      <c r="V26" s="116">
        <f>IF(V13=0,0,V13/TrRail_act!V17*100)</f>
        <v>147.73979373873894</v>
      </c>
      <c r="W26" s="116">
        <f>IF(W13=0,0,W13/TrRail_act!W17*100)</f>
        <v>140.00753249200579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234.64497955869484</v>
      </c>
      <c r="C27" s="87">
        <f>IF(C14=0,0,C14/TrRail_act!C18*100)</f>
        <v>234.53032460881468</v>
      </c>
      <c r="D27" s="87">
        <f>IF(D14=0,0,D14/TrRail_act!D18*100)</f>
        <v>233.72353905642714</v>
      </c>
      <c r="E27" s="87">
        <f>IF(E14=0,0,E14/TrRail_act!E18*100)</f>
        <v>221.30420528318612</v>
      </c>
      <c r="F27" s="87">
        <f>IF(F14=0,0,F14/TrRail_act!F18*100)</f>
        <v>215.07307733024129</v>
      </c>
      <c r="G27" s="87">
        <f>IF(G14=0,0,G14/TrRail_act!G18*100)</f>
        <v>211.03184730886974</v>
      </c>
      <c r="H27" s="87">
        <f>IF(H14=0,0,H14/TrRail_act!H18*100)</f>
        <v>209.90389950856016</v>
      </c>
      <c r="I27" s="87">
        <f>IF(I14=0,0,I14/TrRail_act!I18*100)</f>
        <v>210.38845048523706</v>
      </c>
      <c r="J27" s="87">
        <f>IF(J14=0,0,J14/TrRail_act!J18*100)</f>
        <v>204.97566358074212</v>
      </c>
      <c r="K27" s="87">
        <f>IF(K14=0,0,K14/TrRail_act!K18*100)</f>
        <v>202.41638423688477</v>
      </c>
      <c r="L27" s="87">
        <f>IF(L14=0,0,L14/TrRail_act!L18*100)</f>
        <v>197.23461797991973</v>
      </c>
      <c r="M27" s="87">
        <f>IF(M14=0,0,M14/TrRail_act!M18*100)</f>
        <v>194.38406944475534</v>
      </c>
      <c r="N27" s="87">
        <f>IF(N14=0,0,N14/TrRail_act!N18*100)</f>
        <v>189.58198683223048</v>
      </c>
      <c r="O27" s="87">
        <f>IF(O14=0,0,O14/TrRail_act!O18*100)</f>
        <v>183.15211419639405</v>
      </c>
      <c r="P27" s="87">
        <f>IF(P14=0,0,P14/TrRail_act!P18*100)</f>
        <v>178.29066991325033</v>
      </c>
      <c r="Q27" s="87">
        <f>IF(Q14=0,0,Q14/TrRail_act!Q18*100)</f>
        <v>172.9101176600185</v>
      </c>
      <c r="R27" s="87">
        <f>IF(R14=0,0,R14/TrRail_act!R18*100)</f>
        <v>168.13662639528289</v>
      </c>
      <c r="S27" s="87">
        <f>IF(S14=0,0,S14/TrRail_act!S18*100)</f>
        <v>165.46640568273457</v>
      </c>
      <c r="T27" s="87">
        <f>IF(T14=0,0,T14/TrRail_act!T18*100)</f>
        <v>162.67414836824179</v>
      </c>
      <c r="U27" s="87">
        <f>IF(U14=0,0,U14/TrRail_act!U18*100)</f>
        <v>159.80786668956867</v>
      </c>
      <c r="V27" s="87">
        <f>IF(V14=0,0,V14/TrRail_act!V18*100)</f>
        <v>157.69134711227562</v>
      </c>
      <c r="W27" s="87">
        <f>IF(W14=0,0,W14/TrRail_act!W18*100)</f>
        <v>156.12237349235971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159.0231955325167</v>
      </c>
      <c r="C28" s="87">
        <f>IF(C15=0,0,C15/TrRail_act!C19*100)</f>
        <v>156.38312711895529</v>
      </c>
      <c r="D28" s="87">
        <f>IF(D15=0,0,D15/TrRail_act!D19*100)</f>
        <v>155.89742513847693</v>
      </c>
      <c r="E28" s="87">
        <f>IF(E15=0,0,E15/TrRail_act!E19*100)</f>
        <v>146.69461124642297</v>
      </c>
      <c r="F28" s="87">
        <f>IF(F15=0,0,F15/TrRail_act!F19*100)</f>
        <v>144.04894711525</v>
      </c>
      <c r="G28" s="87">
        <f>IF(G15=0,0,G15/TrRail_act!G19*100)</f>
        <v>142.1228108048347</v>
      </c>
      <c r="H28" s="87">
        <f>IF(H15=0,0,H15/TrRail_act!H19*100)</f>
        <v>137.73974649873941</v>
      </c>
      <c r="I28" s="87">
        <f>IF(I15=0,0,I15/TrRail_act!I19*100)</f>
        <v>134.21209240905822</v>
      </c>
      <c r="J28" s="87">
        <f>IF(J15=0,0,J15/TrRail_act!J19*100)</f>
        <v>129.15555148517461</v>
      </c>
      <c r="K28" s="87">
        <f>IF(K15=0,0,K15/TrRail_act!K19*100)</f>
        <v>127.53007337154354</v>
      </c>
      <c r="L28" s="87">
        <f>IF(L15=0,0,L15/TrRail_act!L19*100)</f>
        <v>125.90587000454421</v>
      </c>
      <c r="M28" s="87">
        <f>IF(M15=0,0,M15/TrRail_act!M19*100)</f>
        <v>124.92195871912315</v>
      </c>
      <c r="N28" s="87">
        <f>IF(N15=0,0,N15/TrRail_act!N19*100)</f>
        <v>121.34056514506911</v>
      </c>
      <c r="O28" s="87">
        <f>IF(O15=0,0,O15/TrRail_act!O19*100)</f>
        <v>117.4945476508598</v>
      </c>
      <c r="P28" s="87">
        <f>IF(P15=0,0,P15/TrRail_act!P19*100)</f>
        <v>114.75603483283132</v>
      </c>
      <c r="Q28" s="87">
        <f>IF(Q15=0,0,Q15/TrRail_act!Q19*100)</f>
        <v>111.94955279037772</v>
      </c>
      <c r="R28" s="87">
        <f>IF(R15=0,0,R15/TrRail_act!R19*100)</f>
        <v>108.24147844406249</v>
      </c>
      <c r="S28" s="87">
        <f>IF(S15=0,0,S15/TrRail_act!S19*100)</f>
        <v>106.59666162129926</v>
      </c>
      <c r="T28" s="87">
        <f>IF(T15=0,0,T15/TrRail_act!T19*100)</f>
        <v>104.32567755819638</v>
      </c>
      <c r="U28" s="87">
        <f>IF(U15=0,0,U15/TrRail_act!U19*100)</f>
        <v>102.65424918445085</v>
      </c>
      <c r="V28" s="87">
        <f>IF(V15=0,0,V15/TrRail_act!V19*100)</f>
        <v>101.21541591805354</v>
      </c>
      <c r="W28" s="87">
        <f>IF(W15=0,0,W15/TrRail_act!W19*100)</f>
        <v>100.14957521904586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476.06063621696427</v>
      </c>
      <c r="C30" s="29">
        <f>IF(C17=0,0,C17/TrRail_act!C21*100)</f>
        <v>474.46210902203808</v>
      </c>
      <c r="D30" s="29">
        <f>IF(D17=0,0,D17/TrRail_act!D21*100)</f>
        <v>472.60472307769146</v>
      </c>
      <c r="E30" s="29">
        <f>IF(E17=0,0,E17/TrRail_act!E21*100)</f>
        <v>469.08322275497261</v>
      </c>
      <c r="F30" s="29">
        <f>IF(F17=0,0,F17/TrRail_act!F21*100)</f>
        <v>468.69988200372649</v>
      </c>
      <c r="G30" s="29">
        <f>IF(G17=0,0,G17/TrRail_act!G21*100)</f>
        <v>467.36740056456119</v>
      </c>
      <c r="H30" s="29">
        <f>IF(H17=0,0,H17/TrRail_act!H21*100)</f>
        <v>462.90207548822497</v>
      </c>
      <c r="I30" s="29">
        <f>IF(I17=0,0,I17/TrRail_act!I21*100)</f>
        <v>452.85239114342681</v>
      </c>
      <c r="J30" s="29">
        <f>IF(J17=0,0,J17/TrRail_act!J21*100)</f>
        <v>443.76545545052562</v>
      </c>
      <c r="K30" s="29">
        <f>IF(K17=0,0,K17/TrRail_act!K21*100)</f>
        <v>433.53179728648445</v>
      </c>
      <c r="L30" s="29">
        <f>IF(L17=0,0,L17/TrRail_act!L21*100)</f>
        <v>423.05455038490987</v>
      </c>
      <c r="M30" s="29">
        <f>IF(M17=0,0,M17/TrRail_act!M21*100)</f>
        <v>416.2868103759256</v>
      </c>
      <c r="N30" s="29">
        <f>IF(N17=0,0,N17/TrRail_act!N21*100)</f>
        <v>412.7921660999981</v>
      </c>
      <c r="O30" s="29">
        <f>IF(O17=0,0,O17/TrRail_act!O21*100)</f>
        <v>408.14045604738567</v>
      </c>
      <c r="P30" s="29">
        <f>IF(P17=0,0,P17/TrRail_act!P21*100)</f>
        <v>401.16232240030223</v>
      </c>
      <c r="Q30" s="29">
        <f>IF(Q17=0,0,Q17/TrRail_act!Q21*100)</f>
        <v>394.4852237546375</v>
      </c>
      <c r="R30" s="29">
        <f>IF(R17=0,0,R17/TrRail_act!R21*100)</f>
        <v>389.55043457635361</v>
      </c>
      <c r="S30" s="29">
        <f>IF(S17=0,0,S17/TrRail_act!S21*100)</f>
        <v>383.96044687101431</v>
      </c>
      <c r="T30" s="29">
        <f>IF(T17=0,0,T17/TrRail_act!T21*100)</f>
        <v>377.9215574098169</v>
      </c>
      <c r="U30" s="29">
        <f>IF(U17=0,0,U17/TrRail_act!U21*100)</f>
        <v>371.58752837972742</v>
      </c>
      <c r="V30" s="29">
        <f>IF(V17=0,0,V17/TrRail_act!V21*100)</f>
        <v>366.90677152609533</v>
      </c>
      <c r="W30" s="29">
        <f>IF(W17=0,0,W17/TrRail_act!W21*100)</f>
        <v>363.43493837233069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476.06063621696427</v>
      </c>
      <c r="C31" s="87">
        <f>IF(C18=0,0,C18/TrRail_act!C22*100)</f>
        <v>474.46210902203808</v>
      </c>
      <c r="D31" s="87">
        <f>IF(D18=0,0,D18/TrRail_act!D22*100)</f>
        <v>472.60472307769146</v>
      </c>
      <c r="E31" s="87">
        <f>IF(E18=0,0,E18/TrRail_act!E22*100)</f>
        <v>469.08322275497261</v>
      </c>
      <c r="F31" s="87">
        <f>IF(F18=0,0,F18/TrRail_act!F22*100)</f>
        <v>468.69988200372649</v>
      </c>
      <c r="G31" s="87">
        <f>IF(G18=0,0,G18/TrRail_act!G22*100)</f>
        <v>467.36740056456119</v>
      </c>
      <c r="H31" s="87">
        <f>IF(H18=0,0,H18/TrRail_act!H22*100)</f>
        <v>462.90207548822497</v>
      </c>
      <c r="I31" s="87">
        <f>IF(I18=0,0,I18/TrRail_act!I22*100)</f>
        <v>452.85239114342681</v>
      </c>
      <c r="J31" s="87">
        <f>IF(J18=0,0,J18/TrRail_act!J22*100)</f>
        <v>443.76545545052562</v>
      </c>
      <c r="K31" s="87">
        <f>IF(K18=0,0,K18/TrRail_act!K22*100)</f>
        <v>433.53179728648445</v>
      </c>
      <c r="L31" s="87">
        <f>IF(L18=0,0,L18/TrRail_act!L22*100)</f>
        <v>423.05455038490987</v>
      </c>
      <c r="M31" s="87">
        <f>IF(M18=0,0,M18/TrRail_act!M22*100)</f>
        <v>416.2868103759256</v>
      </c>
      <c r="N31" s="87">
        <f>IF(N18=0,0,N18/TrRail_act!N22*100)</f>
        <v>412.7921660999981</v>
      </c>
      <c r="O31" s="87">
        <f>IF(O18=0,0,O18/TrRail_act!O22*100)</f>
        <v>408.14045604738567</v>
      </c>
      <c r="P31" s="87">
        <f>IF(P18=0,0,P18/TrRail_act!P22*100)</f>
        <v>401.16232240030223</v>
      </c>
      <c r="Q31" s="87">
        <f>IF(Q18=0,0,Q18/TrRail_act!Q22*100)</f>
        <v>394.4852237546375</v>
      </c>
      <c r="R31" s="87">
        <f>IF(R18=0,0,R18/TrRail_act!R22*100)</f>
        <v>389.55043457635361</v>
      </c>
      <c r="S31" s="87">
        <f>IF(S18=0,0,S18/TrRail_act!S22*100)</f>
        <v>383.96044687101431</v>
      </c>
      <c r="T31" s="87">
        <f>IF(T18=0,0,T18/TrRail_act!T22*100)</f>
        <v>377.9215574098169</v>
      </c>
      <c r="U31" s="87">
        <f>IF(U18=0,0,U18/TrRail_act!U22*100)</f>
        <v>371.58752837972742</v>
      </c>
      <c r="V31" s="87">
        <f>IF(V18=0,0,V18/TrRail_act!V22*100)</f>
        <v>366.90677152609533</v>
      </c>
      <c r="W31" s="87">
        <f>IF(W18=0,0,W18/TrRail_act!W22*100)</f>
        <v>363.43493837233069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12.056308469336637</v>
      </c>
      <c r="C35" s="29">
        <f>IF(C11=0,0,C11/TrRail_act!C4*1000)</f>
        <v>11.595640401526252</v>
      </c>
      <c r="D35" s="29">
        <f>IF(D11=0,0,D11/TrRail_act!D4*1000)</f>
        <v>11.515945465254132</v>
      </c>
      <c r="E35" s="29">
        <f>IF(E11=0,0,E11/TrRail_act!E4*1000)</f>
        <v>11.128495281922694</v>
      </c>
      <c r="F35" s="29">
        <f>IF(F11=0,0,F11/TrRail_act!F4*1000)</f>
        <v>10.183190487804222</v>
      </c>
      <c r="G35" s="29">
        <f>IF(G11=0,0,G11/TrRail_act!G4*1000)</f>
        <v>9.4838339724390437</v>
      </c>
      <c r="H35" s="29">
        <f>IF(H11=0,0,H11/TrRail_act!H4*1000)</f>
        <v>9.9451348207011776</v>
      </c>
      <c r="I35" s="29">
        <f>IF(I11=0,0,I11/TrRail_act!I4*1000)</f>
        <v>10.772054849546869</v>
      </c>
      <c r="J35" s="29">
        <f>IF(J11=0,0,J11/TrRail_act!J4*1000)</f>
        <v>8.6974949600862281</v>
      </c>
      <c r="K35" s="29">
        <f>IF(K11=0,0,K11/TrRail_act!K4*1000)</f>
        <v>8.8605592551922872</v>
      </c>
      <c r="L35" s="29">
        <f>IF(L11=0,0,L11/TrRail_act!L4*1000)</f>
        <v>10.316915608244084</v>
      </c>
      <c r="M35" s="29">
        <f>IF(M11=0,0,M11/TrRail_act!M4*1000)</f>
        <v>10.160213087815485</v>
      </c>
      <c r="N35" s="29">
        <f>IF(N11=0,0,N11/TrRail_act!N4*1000)</f>
        <v>8.146868024636797</v>
      </c>
      <c r="O35" s="29">
        <f>IF(O11=0,0,O11/TrRail_act!O4*1000)</f>
        <v>10.234823341810573</v>
      </c>
      <c r="P35" s="29">
        <f>IF(P11=0,0,P11/TrRail_act!P4*1000)</f>
        <v>10.455417148869868</v>
      </c>
      <c r="Q35" s="29">
        <f>IF(Q11=0,0,Q11/TrRail_act!Q4*1000)</f>
        <v>10.385055647636529</v>
      </c>
      <c r="R35" s="29">
        <f>IF(R11=0,0,R11/TrRail_act!R4*1000)</f>
        <v>9.2594609095982605</v>
      </c>
      <c r="S35" s="29">
        <f>IF(S11=0,0,S11/TrRail_act!S4*1000)</f>
        <v>9.4959783597063119</v>
      </c>
      <c r="T35" s="29">
        <f>IF(T11=0,0,T11/TrRail_act!T4*1000)</f>
        <v>9.0975488431382061</v>
      </c>
      <c r="U35" s="29">
        <f>IF(U11=0,0,U11/TrRail_act!U4*1000)</f>
        <v>11.910387623113891</v>
      </c>
      <c r="V35" s="29">
        <f>IF(V11=0,0,V11/TrRail_act!V4*1000)</f>
        <v>17.723753953535638</v>
      </c>
      <c r="W35" s="29">
        <f>IF(W11=0,0,W11/TrRail_act!W4*1000)</f>
        <v>11.686644005317769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5.1894563721102784</v>
      </c>
      <c r="C36" s="115">
        <f>IF(C12=0,0,C12/TrRail_act!C5*1000)</f>
        <v>5.4687201322302323</v>
      </c>
      <c r="D36" s="115">
        <f>IF(D12=0,0,D12/TrRail_act!D5*1000)</f>
        <v>5.6928816906253985</v>
      </c>
      <c r="E36" s="115">
        <f>IF(E12=0,0,E12/TrRail_act!E5*1000)</f>
        <v>5.6898169182068807</v>
      </c>
      <c r="F36" s="115">
        <f>IF(F12=0,0,F12/TrRail_act!F5*1000)</f>
        <v>5.050061995940518</v>
      </c>
      <c r="G36" s="115">
        <f>IF(G12=0,0,G12/TrRail_act!G5*1000)</f>
        <v>4.4941887272921113</v>
      </c>
      <c r="H36" s="115">
        <f>IF(H12=0,0,H12/TrRail_act!H5*1000)</f>
        <v>4.3531740441890152</v>
      </c>
      <c r="I36" s="115">
        <f>IF(I12=0,0,I12/TrRail_act!I5*1000)</f>
        <v>4.3260205211615359</v>
      </c>
      <c r="J36" s="115">
        <f>IF(J12=0,0,J12/TrRail_act!J5*1000)</f>
        <v>3.5850693721726881</v>
      </c>
      <c r="K36" s="115">
        <f>IF(K12=0,0,K12/TrRail_act!K5*1000)</f>
        <v>3.9816516230787449</v>
      </c>
      <c r="L36" s="115">
        <f>IF(L12=0,0,L12/TrRail_act!L5*1000)</f>
        <v>4.3196355428289444</v>
      </c>
      <c r="M36" s="115">
        <f>IF(M12=0,0,M12/TrRail_act!M5*1000)</f>
        <v>4.2000547808102899</v>
      </c>
      <c r="N36" s="115">
        <f>IF(N12=0,0,N12/TrRail_act!N5*1000)</f>
        <v>4.0592482737063484</v>
      </c>
      <c r="O36" s="115">
        <f>IF(O12=0,0,O12/TrRail_act!O5*1000)</f>
        <v>4.2429773958169461</v>
      </c>
      <c r="P36" s="115">
        <f>IF(P12=0,0,P12/TrRail_act!P5*1000)</f>
        <v>4.1967645773209368</v>
      </c>
      <c r="Q36" s="115">
        <f>IF(Q12=0,0,Q12/TrRail_act!Q5*1000)</f>
        <v>4.1713236055701826</v>
      </c>
      <c r="R36" s="115">
        <f>IF(R12=0,0,R12/TrRail_act!R5*1000)</f>
        <v>4.0568681520837018</v>
      </c>
      <c r="S36" s="115">
        <f>IF(S12=0,0,S12/TrRail_act!S5*1000)</f>
        <v>3.8924932806704202</v>
      </c>
      <c r="T36" s="115">
        <f>IF(T12=0,0,T12/TrRail_act!T5*1000)</f>
        <v>4.1250885374176454</v>
      </c>
      <c r="U36" s="115">
        <f>IF(U12=0,0,U12/TrRail_act!U5*1000)</f>
        <v>4.1936424015458647</v>
      </c>
      <c r="V36" s="115">
        <f>IF(V12=0,0,V12/TrRail_act!V5*1000)</f>
        <v>7.1754280025074824</v>
      </c>
      <c r="W36" s="115">
        <f>IF(W12=0,0,W12/TrRail_act!W5*1000)</f>
        <v>6.4057596111500006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14.810942241672269</v>
      </c>
      <c r="C37" s="116">
        <f>IF(C13=0,0,C13/TrRail_act!C6*1000)</f>
        <v>14.534163008221784</v>
      </c>
      <c r="D37" s="116">
        <f>IF(D13=0,0,D13/TrRail_act!D6*1000)</f>
        <v>14.556641101172161</v>
      </c>
      <c r="E37" s="116">
        <f>IF(E13=0,0,E13/TrRail_act!E6*1000)</f>
        <v>13.919417275469316</v>
      </c>
      <c r="F37" s="116">
        <f>IF(F13=0,0,F13/TrRail_act!F6*1000)</f>
        <v>12.40134031278574</v>
      </c>
      <c r="G37" s="116">
        <f>IF(G13=0,0,G13/TrRail_act!G6*1000)</f>
        <v>10.99883512953406</v>
      </c>
      <c r="H37" s="116">
        <f>IF(H13=0,0,H13/TrRail_act!H6*1000)</f>
        <v>11.655360957019685</v>
      </c>
      <c r="I37" s="116">
        <f>IF(I13=0,0,I13/TrRail_act!I6*1000)</f>
        <v>12.635288129868469</v>
      </c>
      <c r="J37" s="116">
        <f>IF(J13=0,0,J13/TrRail_act!J6*1000)</f>
        <v>10.038051314884854</v>
      </c>
      <c r="K37" s="116">
        <f>IF(K13=0,0,K13/TrRail_act!K6*1000)</f>
        <v>10.268329844125867</v>
      </c>
      <c r="L37" s="116">
        <f>IF(L13=0,0,L13/TrRail_act!L6*1000)</f>
        <v>12.061395692697046</v>
      </c>
      <c r="M37" s="116">
        <f>IF(M13=0,0,M13/TrRail_act!M6*1000)</f>
        <v>11.75076595157134</v>
      </c>
      <c r="N37" s="116">
        <f>IF(N13=0,0,N13/TrRail_act!N6*1000)</f>
        <v>9.7541027165760514</v>
      </c>
      <c r="O37" s="116">
        <f>IF(O13=0,0,O13/TrRail_act!O6*1000)</f>
        <v>12.270546284645828</v>
      </c>
      <c r="P37" s="116">
        <f>IF(P13=0,0,P13/TrRail_act!P6*1000)</f>
        <v>11.763430831662371</v>
      </c>
      <c r="Q37" s="116">
        <f>IF(Q13=0,0,Q13/TrRail_act!Q6*1000)</f>
        <v>11.583176162293139</v>
      </c>
      <c r="R37" s="116">
        <f>IF(R13=0,0,R13/TrRail_act!R6*1000)</f>
        <v>10.198463046725111</v>
      </c>
      <c r="S37" s="116">
        <f>IF(S13=0,0,S13/TrRail_act!S6*1000)</f>
        <v>10.408534993957502</v>
      </c>
      <c r="T37" s="116">
        <f>IF(T13=0,0,T13/TrRail_act!T6*1000)</f>
        <v>10.097907691981154</v>
      </c>
      <c r="U37" s="116">
        <f>IF(U13=0,0,U13/TrRail_act!U6*1000)</f>
        <v>13.629883188454516</v>
      </c>
      <c r="V37" s="116">
        <f>IF(V13=0,0,V13/TrRail_act!V6*1000)</f>
        <v>19.746545858532414</v>
      </c>
      <c r="W37" s="116">
        <f>IF(W13=0,0,W13/TrRail_act!W6*1000)</f>
        <v>12.722783365913296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16.885289851308048</v>
      </c>
      <c r="C38" s="87">
        <f>IF(C14=0,0,C14/TrRail_act!C7*1000)</f>
        <v>16.826756953510781</v>
      </c>
      <c r="D38" s="87">
        <f>IF(D14=0,0,D14/TrRail_act!D7*1000)</f>
        <v>16.75030798027964</v>
      </c>
      <c r="E38" s="87">
        <f>IF(E14=0,0,E14/TrRail_act!E7*1000)</f>
        <v>15.800058977371943</v>
      </c>
      <c r="F38" s="87">
        <f>IF(F14=0,0,F14/TrRail_act!F7*1000)</f>
        <v>15.350963687974087</v>
      </c>
      <c r="G38" s="87">
        <f>IF(G14=0,0,G14/TrRail_act!G7*1000)</f>
        <v>14.942749536772448</v>
      </c>
      <c r="H38" s="87">
        <f>IF(H14=0,0,H14/TrRail_act!H7*1000)</f>
        <v>14.821236826122446</v>
      </c>
      <c r="I38" s="87">
        <f>IF(I14=0,0,I14/TrRail_act!I7*1000)</f>
        <v>14.786637319979311</v>
      </c>
      <c r="J38" s="87">
        <f>IF(J14=0,0,J14/TrRail_act!J7*1000)</f>
        <v>14.902281147157691</v>
      </c>
      <c r="K38" s="87">
        <f>IF(K14=0,0,K14/TrRail_act!K7*1000)</f>
        <v>14.630297820589377</v>
      </c>
      <c r="L38" s="87">
        <f>IF(L14=0,0,L14/TrRail_act!L7*1000)</f>
        <v>14.213547991270303</v>
      </c>
      <c r="M38" s="87">
        <f>IF(M14=0,0,M14/TrRail_act!M7*1000)</f>
        <v>14.048545727491529</v>
      </c>
      <c r="N38" s="87">
        <f>IF(N14=0,0,N14/TrRail_act!N7*1000)</f>
        <v>13.808074720999473</v>
      </c>
      <c r="O38" s="87">
        <f>IF(O14=0,0,O14/TrRail_act!O7*1000)</f>
        <v>13.244554282939447</v>
      </c>
      <c r="P38" s="87">
        <f>IF(P14=0,0,P14/TrRail_act!P7*1000)</f>
        <v>12.811492438617581</v>
      </c>
      <c r="Q38" s="87">
        <f>IF(Q14=0,0,Q14/TrRail_act!Q7*1000)</f>
        <v>12.37564032278712</v>
      </c>
      <c r="R38" s="87">
        <f>IF(R14=0,0,R14/TrRail_act!R7*1000)</f>
        <v>11.901000366421428</v>
      </c>
      <c r="S38" s="87">
        <f>IF(S14=0,0,S14/TrRail_act!S7*1000)</f>
        <v>11.71582912639369</v>
      </c>
      <c r="T38" s="87">
        <f>IF(T14=0,0,T14/TrRail_act!T7*1000)</f>
        <v>11.340959809414713</v>
      </c>
      <c r="U38" s="87">
        <f>IF(U14=0,0,U14/TrRail_act!U7*1000)</f>
        <v>15.084201278623679</v>
      </c>
      <c r="V38" s="87">
        <f>IF(V14=0,0,V14/TrRail_act!V7*1000)</f>
        <v>22.351144211853526</v>
      </c>
      <c r="W38" s="87">
        <f>IF(W14=0,0,W14/TrRail_act!W7*1000)</f>
        <v>13.261847539746112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10.231019993326502</v>
      </c>
      <c r="C39" s="87">
        <f>IF(C15=0,0,C15/TrRail_act!C8*1000)</f>
        <v>11.798962879664904</v>
      </c>
      <c r="D39" s="87">
        <f>IF(D15=0,0,D15/TrRail_act!D8*1000)</f>
        <v>11.83903451300727</v>
      </c>
      <c r="E39" s="87">
        <f>IF(E15=0,0,E15/TrRail_act!E8*1000)</f>
        <v>11.824115197002332</v>
      </c>
      <c r="F39" s="87">
        <f>IF(F15=0,0,F15/TrRail_act!F8*1000)</f>
        <v>8.8866916806619649</v>
      </c>
      <c r="G39" s="87">
        <f>IF(G15=0,0,G15/TrRail_act!G8*1000)</f>
        <v>7.0145318813378248</v>
      </c>
      <c r="H39" s="87">
        <f>IF(H15=0,0,H15/TrRail_act!H8*1000)</f>
        <v>7.6229225247556931</v>
      </c>
      <c r="I39" s="87">
        <f>IF(I15=0,0,I15/TrRail_act!I8*1000)</f>
        <v>8.3994396083677518</v>
      </c>
      <c r="J39" s="87">
        <f>IF(J15=0,0,J15/TrRail_act!J8*1000)</f>
        <v>5.8454858006452071</v>
      </c>
      <c r="K39" s="87">
        <f>IF(K15=0,0,K15/TrRail_act!K8*1000)</f>
        <v>5.9559016759871151</v>
      </c>
      <c r="L39" s="87">
        <f>IF(L15=0,0,L15/TrRail_act!L8*1000)</f>
        <v>8.9113748159844359</v>
      </c>
      <c r="M39" s="87">
        <f>IF(M15=0,0,M15/TrRail_act!M8*1000)</f>
        <v>8.0961283413642917</v>
      </c>
      <c r="N39" s="87">
        <f>IF(N15=0,0,N15/TrRail_act!N8*1000)</f>
        <v>5.6344896639854047</v>
      </c>
      <c r="O39" s="87">
        <f>IF(O15=0,0,O15/TrRail_act!O8*1000)</f>
        <v>9.8262146250430416</v>
      </c>
      <c r="P39" s="87">
        <f>IF(P15=0,0,P15/TrRail_act!P8*1000)</f>
        <v>9.5862004956167617</v>
      </c>
      <c r="Q39" s="87">
        <f>IF(Q15=0,0,Q15/TrRail_act!Q8*1000)</f>
        <v>9.8587304421489286</v>
      </c>
      <c r="R39" s="87">
        <f>IF(R15=0,0,R15/TrRail_act!R8*1000)</f>
        <v>7.1172404894069121</v>
      </c>
      <c r="S39" s="87">
        <f>IF(S15=0,0,S15/TrRail_act!S8*1000)</f>
        <v>7.6068736945579527</v>
      </c>
      <c r="T39" s="87">
        <f>IF(T15=0,0,T15/TrRail_act!T8*1000)</f>
        <v>5.645375775580586</v>
      </c>
      <c r="U39" s="87">
        <f>IF(U15=0,0,U15/TrRail_act!U8*1000)</f>
        <v>8.1245152042634174</v>
      </c>
      <c r="V39" s="87">
        <f>IF(V15=0,0,V15/TrRail_act!V8*1000)</f>
        <v>10.680888745668096</v>
      </c>
      <c r="W39" s="87">
        <f>IF(W15=0,0,W15/TrRail_act!W8*1000)</f>
        <v>10.998958818881327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4.9877117372146644</v>
      </c>
      <c r="C41" s="29">
        <f>IF(C17=0,0,C17/TrRail_act!C10*1000)</f>
        <v>4.5273755257520767</v>
      </c>
      <c r="D41" s="29">
        <f>IF(D17=0,0,D17/TrRail_act!D10*1000)</f>
        <v>5.1444923435850027</v>
      </c>
      <c r="E41" s="29">
        <f>IF(E17=0,0,E17/TrRail_act!E10*1000)</f>
        <v>4.5450292639295906</v>
      </c>
      <c r="F41" s="29">
        <f>IF(F17=0,0,F17/TrRail_act!F10*1000)</f>
        <v>3.6033139811986548</v>
      </c>
      <c r="G41" s="29">
        <f>IF(G17=0,0,G17/TrRail_act!G10*1000)</f>
        <v>3.8134243623041604</v>
      </c>
      <c r="H41" s="29">
        <f>IF(H17=0,0,H17/TrRail_act!H10*1000)</f>
        <v>4.0622186939417171</v>
      </c>
      <c r="I41" s="29">
        <f>IF(I17=0,0,I17/TrRail_act!I10*1000)</f>
        <v>4.1156441642379749</v>
      </c>
      <c r="J41" s="29">
        <f>IF(J17=0,0,J17/TrRail_act!J10*1000)</f>
        <v>4.1019801392979538</v>
      </c>
      <c r="K41" s="29">
        <f>IF(K17=0,0,K17/TrRail_act!K10*1000)</f>
        <v>5.6415109153826934</v>
      </c>
      <c r="L41" s="29">
        <f>IF(L17=0,0,L17/TrRail_act!L10*1000)</f>
        <v>7.2958982923736304</v>
      </c>
      <c r="M41" s="29">
        <f>IF(M17=0,0,M17/TrRail_act!M10*1000)</f>
        <v>5.1434906470641728</v>
      </c>
      <c r="N41" s="29">
        <f>IF(N17=0,0,N17/TrRail_act!N10*1000)</f>
        <v>5.5905762950528164</v>
      </c>
      <c r="O41" s="29">
        <f>IF(O17=0,0,O17/TrRail_act!O10*1000)</f>
        <v>5.1156934986963565</v>
      </c>
      <c r="P41" s="29">
        <f>IF(P17=0,0,P17/TrRail_act!P10*1000)</f>
        <v>5.46216669180028</v>
      </c>
      <c r="Q41" s="29">
        <f>IF(Q17=0,0,Q17/TrRail_act!Q10*1000)</f>
        <v>5.3805015444978892</v>
      </c>
      <c r="R41" s="29">
        <f>IF(R17=0,0,R17/TrRail_act!R10*1000)</f>
        <v>5.4412361852539846</v>
      </c>
      <c r="S41" s="29">
        <f>IF(S17=0,0,S17/TrRail_act!S10*1000)</f>
        <v>5.5231256884559219</v>
      </c>
      <c r="T41" s="29">
        <f>IF(T17=0,0,T17/TrRail_act!T10*1000)</f>
        <v>4.2871117529464842</v>
      </c>
      <c r="U41" s="29">
        <f>IF(U17=0,0,U17/TrRail_act!U10*1000)</f>
        <v>5.3508613711471842</v>
      </c>
      <c r="V41" s="29">
        <f>IF(V17=0,0,V17/TrRail_act!V10*1000)</f>
        <v>5.7465266214198927</v>
      </c>
      <c r="W41" s="29">
        <f>IF(W17=0,0,W17/TrRail_act!W10*1000)</f>
        <v>5.2233939129685067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4.9877117372146644</v>
      </c>
      <c r="C42" s="87">
        <f>IF(C18=0,0,C18/TrRail_act!C11*1000)</f>
        <v>4.5273755257520767</v>
      </c>
      <c r="D42" s="87">
        <f>IF(D18=0,0,D18/TrRail_act!D11*1000)</f>
        <v>5.1444923435850027</v>
      </c>
      <c r="E42" s="87">
        <f>IF(E18=0,0,E18/TrRail_act!E11*1000)</f>
        <v>4.5450292639295906</v>
      </c>
      <c r="F42" s="87">
        <f>IF(F18=0,0,F18/TrRail_act!F11*1000)</f>
        <v>3.6033139811986548</v>
      </c>
      <c r="G42" s="87">
        <f>IF(G18=0,0,G18/TrRail_act!G11*1000)</f>
        <v>3.8134243623041604</v>
      </c>
      <c r="H42" s="87">
        <f>IF(H18=0,0,H18/TrRail_act!H11*1000)</f>
        <v>4.0622186939417171</v>
      </c>
      <c r="I42" s="87">
        <f>IF(I18=0,0,I18/TrRail_act!I11*1000)</f>
        <v>4.1156441642379749</v>
      </c>
      <c r="J42" s="87">
        <f>IF(J18=0,0,J18/TrRail_act!J11*1000)</f>
        <v>4.1019801392979538</v>
      </c>
      <c r="K42" s="87">
        <f>IF(K18=0,0,K18/TrRail_act!K11*1000)</f>
        <v>5.6415109153826934</v>
      </c>
      <c r="L42" s="87">
        <f>IF(L18=0,0,L18/TrRail_act!L11*1000)</f>
        <v>7.2958982923736304</v>
      </c>
      <c r="M42" s="87">
        <f>IF(M18=0,0,M18/TrRail_act!M11*1000)</f>
        <v>5.1434906470641728</v>
      </c>
      <c r="N42" s="87">
        <f>IF(N18=0,0,N18/TrRail_act!N11*1000)</f>
        <v>5.5905762950528164</v>
      </c>
      <c r="O42" s="87">
        <f>IF(O18=0,0,O18/TrRail_act!O11*1000)</f>
        <v>5.1156934986963565</v>
      </c>
      <c r="P42" s="87">
        <f>IF(P18=0,0,P18/TrRail_act!P11*1000)</f>
        <v>5.46216669180028</v>
      </c>
      <c r="Q42" s="87">
        <f>IF(Q18=0,0,Q18/TrRail_act!Q11*1000)</f>
        <v>5.3805015444978892</v>
      </c>
      <c r="R42" s="87">
        <f>IF(R18=0,0,R18/TrRail_act!R11*1000)</f>
        <v>5.4412361852539846</v>
      </c>
      <c r="S42" s="87">
        <f>IF(S18=0,0,S18/TrRail_act!S11*1000)</f>
        <v>5.5231256884559219</v>
      </c>
      <c r="T42" s="87">
        <f>IF(T18=0,0,T18/TrRail_act!T11*1000)</f>
        <v>4.2871117529464842</v>
      </c>
      <c r="U42" s="87">
        <f>IF(U18=0,0,U18/TrRail_act!U11*1000)</f>
        <v>5.3508613711471842</v>
      </c>
      <c r="V42" s="87">
        <f>IF(V18=0,0,V18/TrRail_act!V11*1000)</f>
        <v>5.7465266214198927</v>
      </c>
      <c r="W42" s="87">
        <f>IF(W18=0,0,W18/TrRail_act!W11*1000)</f>
        <v>5.2233939129685067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673106.94650132651</v>
      </c>
      <c r="C45" s="54">
        <f>IF(C10=0,0,1000000*C10/TrRail_act!C25)</f>
        <v>658367.77625057788</v>
      </c>
      <c r="D45" s="54">
        <f>IF(D10=0,0,1000000*D10/TrRail_act!D25)</f>
        <v>702323.13499640289</v>
      </c>
      <c r="E45" s="54">
        <f>IF(E10=0,0,1000000*E10/TrRail_act!E25)</f>
        <v>660080.4023840552</v>
      </c>
      <c r="F45" s="54">
        <f>IF(F10=0,0,1000000*F10/TrRail_act!F25)</f>
        <v>628938.09933836781</v>
      </c>
      <c r="G45" s="54">
        <f>IF(G10=0,0,1000000*G10/TrRail_act!G25)</f>
        <v>692944.98404579575</v>
      </c>
      <c r="H45" s="54">
        <f>IF(H10=0,0,1000000*H10/TrRail_act!H25)</f>
        <v>701534.07572815439</v>
      </c>
      <c r="I45" s="54">
        <f>IF(I10=0,0,1000000*I10/TrRail_act!I25)</f>
        <v>617752.77767031558</v>
      </c>
      <c r="J45" s="54">
        <f>IF(J10=0,0,1000000*J10/TrRail_act!J25)</f>
        <v>483835.06385531672</v>
      </c>
      <c r="K45" s="54">
        <f>IF(K10=0,0,1000000*K10/TrRail_act!K25)</f>
        <v>640527.49402287137</v>
      </c>
      <c r="L45" s="54">
        <f>IF(L10=0,0,1000000*L10/TrRail_act!L25)</f>
        <v>672715.45959348476</v>
      </c>
      <c r="M45" s="54">
        <f>IF(M10=0,0,1000000*M10/TrRail_act!M25)</f>
        <v>494087.63136750681</v>
      </c>
      <c r="N45" s="54">
        <f>IF(N10=0,0,1000000*N10/TrRail_act!N25)</f>
        <v>454667.28531223012</v>
      </c>
      <c r="O45" s="54">
        <f>IF(O10=0,0,1000000*O10/TrRail_act!O25)</f>
        <v>421946.81917314121</v>
      </c>
      <c r="P45" s="54">
        <f>IF(P10=0,0,1000000*P10/TrRail_act!P25)</f>
        <v>345055.70989168942</v>
      </c>
      <c r="Q45" s="54">
        <f>IF(Q10=0,0,1000000*Q10/TrRail_act!Q25)</f>
        <v>356512.12046419608</v>
      </c>
      <c r="R45" s="54">
        <f>IF(R10=0,0,1000000*R10/TrRail_act!R25)</f>
        <v>306854.98634644115</v>
      </c>
      <c r="S45" s="54">
        <f>IF(S10=0,0,1000000*S10/TrRail_act!S25)</f>
        <v>328743.61218656681</v>
      </c>
      <c r="T45" s="54">
        <f>IF(T10=0,0,1000000*T10/TrRail_act!T25)</f>
        <v>293139.97073949478</v>
      </c>
      <c r="U45" s="54">
        <f>IF(U10=0,0,1000000*U10/TrRail_act!U25)</f>
        <v>320553.26335326937</v>
      </c>
      <c r="V45" s="54">
        <f>IF(V10=0,0,1000000*V10/TrRail_act!V25)</f>
        <v>316829.29328934825</v>
      </c>
      <c r="W45" s="54">
        <f>IF(W10=0,0,1000000*W10/TrRail_act!W25)</f>
        <v>308109.91876290418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182617.12927077102</v>
      </c>
      <c r="C46" s="28">
        <f>IF(C11=0,0,1000000*C11/TrRail_act!C26)</f>
        <v>137579.3205776964</v>
      </c>
      <c r="D46" s="28">
        <f>IF(D11=0,0,1000000*D11/TrRail_act!D26)</f>
        <v>136831.95478381834</v>
      </c>
      <c r="E46" s="28">
        <f>IF(E11=0,0,1000000*E11/TrRail_act!E26)</f>
        <v>134943.40971743866</v>
      </c>
      <c r="F46" s="28">
        <f>IF(F11=0,0,1000000*F11/TrRail_act!F26)</f>
        <v>138831.5742011503</v>
      </c>
      <c r="G46" s="28">
        <f>IF(G11=0,0,1000000*G11/TrRail_act!G26)</f>
        <v>156677.20371020501</v>
      </c>
      <c r="H46" s="28">
        <f>IF(H11=0,0,1000000*H11/TrRail_act!H26)</f>
        <v>172298.59238322891</v>
      </c>
      <c r="I46" s="28">
        <f>IF(I11=0,0,1000000*I11/TrRail_act!I26)</f>
        <v>182440.6163888358</v>
      </c>
      <c r="J46" s="28">
        <f>IF(J11=0,0,1000000*J11/TrRail_act!J26)</f>
        <v>155221.59693376411</v>
      </c>
      <c r="K46" s="28">
        <f>IF(K11=0,0,1000000*K11/TrRail_act!K26)</f>
        <v>156863.81470479732</v>
      </c>
      <c r="L46" s="28">
        <f>IF(L11=0,0,1000000*L11/TrRail_act!L26)</f>
        <v>167462.70244217309</v>
      </c>
      <c r="M46" s="28">
        <f>IF(M11=0,0,1000000*M11/TrRail_act!M26)</f>
        <v>168002.18151682528</v>
      </c>
      <c r="N46" s="28">
        <f>IF(N11=0,0,1000000*N11/TrRail_act!N26)</f>
        <v>132159.78242624935</v>
      </c>
      <c r="O46" s="28">
        <f>IF(O11=0,0,1000000*O11/TrRail_act!O26)</f>
        <v>152961.78361956021</v>
      </c>
      <c r="P46" s="28">
        <f>IF(P11=0,0,1000000*P11/TrRail_act!P26)</f>
        <v>164334.0728834047</v>
      </c>
      <c r="Q46" s="28">
        <f>IF(Q11=0,0,1000000*Q11/TrRail_act!Q26)</f>
        <v>169011.79583639378</v>
      </c>
      <c r="R46" s="28">
        <f>IF(R11=0,0,1000000*R11/TrRail_act!R26)</f>
        <v>164662.67715898313</v>
      </c>
      <c r="S46" s="28">
        <f>IF(S11=0,0,1000000*S11/TrRail_act!S26)</f>
        <v>169622.73199685905</v>
      </c>
      <c r="T46" s="28">
        <f>IF(T11=0,0,1000000*T11/TrRail_act!T26)</f>
        <v>151344.39680312434</v>
      </c>
      <c r="U46" s="28">
        <f>IF(U11=0,0,1000000*U11/TrRail_act!U26)</f>
        <v>164328.99502249452</v>
      </c>
      <c r="V46" s="28">
        <f>IF(V11=0,0,1000000*V11/TrRail_act!V26)</f>
        <v>162921.39036306401</v>
      </c>
      <c r="W46" s="28">
        <f>IF(W11=0,0,1000000*W11/TrRail_act!W26)</f>
        <v>119579.93843186436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45143.689323029736</v>
      </c>
      <c r="C47" s="108">
        <f>IF(C12=0,0,1000000*C12/TrRail_act!C27)</f>
        <v>44225.808467968389</v>
      </c>
      <c r="D47" s="108">
        <f>IF(D12=0,0,1000000*D12/TrRail_act!D27)</f>
        <v>44680.203363936016</v>
      </c>
      <c r="E47" s="108">
        <f>IF(E12=0,0,1000000*E12/TrRail_act!E27)</f>
        <v>44112.323363397903</v>
      </c>
      <c r="F47" s="108">
        <f>IF(F12=0,0,1000000*F12/TrRail_act!F27)</f>
        <v>38887.135480762176</v>
      </c>
      <c r="G47" s="108">
        <f>IF(G12=0,0,1000000*G12/TrRail_act!G27)</f>
        <v>35151.92638944435</v>
      </c>
      <c r="H47" s="108">
        <f>IF(H12=0,0,1000000*H12/TrRail_act!H27)</f>
        <v>40619.310070574225</v>
      </c>
      <c r="I47" s="108">
        <f>IF(I12=0,0,1000000*I12/TrRail_act!I27)</f>
        <v>40356.646412928421</v>
      </c>
      <c r="J47" s="108">
        <f>IF(J12=0,0,1000000*J12/TrRail_act!J27)</f>
        <v>35351.015649810055</v>
      </c>
      <c r="K47" s="108">
        <f>IF(K12=0,0,1000000*K12/TrRail_act!K27)</f>
        <v>39504.115527635797</v>
      </c>
      <c r="L47" s="108">
        <f>IF(L12=0,0,1000000*L12/TrRail_act!L27)</f>
        <v>39471.647553878101</v>
      </c>
      <c r="M47" s="108">
        <f>IF(M12=0,0,1000000*M12/TrRail_act!M27)</f>
        <v>38647.394099613433</v>
      </c>
      <c r="N47" s="108">
        <f>IF(N12=0,0,1000000*N12/TrRail_act!N27)</f>
        <v>38184.045970344472</v>
      </c>
      <c r="O47" s="108">
        <f>IF(O12=0,0,1000000*O12/TrRail_act!O27)</f>
        <v>37295.754690458474</v>
      </c>
      <c r="P47" s="108">
        <f>IF(P12=0,0,1000000*P12/TrRail_act!P27)</f>
        <v>33116.741359117281</v>
      </c>
      <c r="Q47" s="108">
        <f>IF(Q12=0,0,1000000*Q12/TrRail_act!Q27)</f>
        <v>36366.216528779769</v>
      </c>
      <c r="R47" s="108">
        <f>IF(R12=0,0,1000000*R12/TrRail_act!R27)</f>
        <v>35958.425966521776</v>
      </c>
      <c r="S47" s="108">
        <f>IF(S12=0,0,1000000*S12/TrRail_act!S27)</f>
        <v>35655.589521360955</v>
      </c>
      <c r="T47" s="108">
        <f>IF(T12=0,0,1000000*T12/TrRail_act!T27)</f>
        <v>35430.134712906634</v>
      </c>
      <c r="U47" s="108">
        <f>IF(U12=0,0,1000000*U12/TrRail_act!U27)</f>
        <v>35261.979745764642</v>
      </c>
      <c r="V47" s="108">
        <f>IF(V12=0,0,1000000*V12/TrRail_act!V27)</f>
        <v>35136.380615755203</v>
      </c>
      <c r="W47" s="108">
        <f>IF(W12=0,0,1000000*W12/TrRail_act!W27)</f>
        <v>35042.48897526502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319273.55127274065</v>
      </c>
      <c r="C48" s="110">
        <f>IF(C13=0,0,1000000*C13/TrRail_act!C28)</f>
        <v>222233.02190566101</v>
      </c>
      <c r="D48" s="110">
        <f>IF(D13=0,0,1000000*D13/TrRail_act!D28)</f>
        <v>236403.30036604212</v>
      </c>
      <c r="E48" s="110">
        <f>IF(E13=0,0,1000000*E13/TrRail_act!E28)</f>
        <v>237544.14228274286</v>
      </c>
      <c r="F48" s="110">
        <f>IF(F13=0,0,1000000*F13/TrRail_act!F28)</f>
        <v>253463.18444502863</v>
      </c>
      <c r="G48" s="110">
        <f>IF(G13=0,0,1000000*G13/TrRail_act!G28)</f>
        <v>274347.29127025057</v>
      </c>
      <c r="H48" s="110">
        <f>IF(H13=0,0,1000000*H13/TrRail_act!H28)</f>
        <v>273620.46614926367</v>
      </c>
      <c r="I48" s="110">
        <f>IF(I13=0,0,1000000*I13/TrRail_act!I28)</f>
        <v>279998.97995572025</v>
      </c>
      <c r="J48" s="110">
        <f>IF(J13=0,0,1000000*J13/TrRail_act!J28)</f>
        <v>227448.75031959452</v>
      </c>
      <c r="K48" s="110">
        <f>IF(K13=0,0,1000000*K13/TrRail_act!K28)</f>
        <v>234963.63553372887</v>
      </c>
      <c r="L48" s="110">
        <f>IF(L13=0,0,1000000*L13/TrRail_act!L28)</f>
        <v>252887.20149107519</v>
      </c>
      <c r="M48" s="110">
        <f>IF(M13=0,0,1000000*M13/TrRail_act!M28)</f>
        <v>246792.62890130663</v>
      </c>
      <c r="N48" s="110">
        <f>IF(N13=0,0,1000000*N13/TrRail_act!N28)</f>
        <v>221268.59994709856</v>
      </c>
      <c r="O48" s="110">
        <f>IF(O13=0,0,1000000*O13/TrRail_act!O28)</f>
        <v>240635.99534897352</v>
      </c>
      <c r="P48" s="110">
        <f>IF(P13=0,0,1000000*P13/TrRail_act!P28)</f>
        <v>233240.47409079096</v>
      </c>
      <c r="Q48" s="110">
        <f>IF(Q13=0,0,1000000*Q13/TrRail_act!Q28)</f>
        <v>226336.78977877827</v>
      </c>
      <c r="R48" s="110">
        <f>IF(R13=0,0,1000000*R13/TrRail_act!R28)</f>
        <v>221611.97239590483</v>
      </c>
      <c r="S48" s="110">
        <f>IF(S13=0,0,1000000*S13/TrRail_act!S28)</f>
        <v>219954.68181185899</v>
      </c>
      <c r="T48" s="110">
        <f>IF(T13=0,0,1000000*T13/TrRail_act!T28)</f>
        <v>207002.08478250843</v>
      </c>
      <c r="U48" s="110">
        <f>IF(U13=0,0,1000000*U13/TrRail_act!U28)</f>
        <v>219381.10254074205</v>
      </c>
      <c r="V48" s="110">
        <f>IF(V13=0,0,1000000*V13/TrRail_act!V28)</f>
        <v>218224.70147849488</v>
      </c>
      <c r="W48" s="110">
        <f>IF(W13=0,0,1000000*W13/TrRail_act!W28)</f>
        <v>156994.27255043096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351967.44966317783</v>
      </c>
      <c r="C49" s="84">
        <f>IF(C14=0,0,1000000*C14/TrRail_act!C29)</f>
        <v>215567.15378638316</v>
      </c>
      <c r="D49" s="84">
        <f>IF(D14=0,0,1000000*D14/TrRail_act!D29)</f>
        <v>237887.46660583324</v>
      </c>
      <c r="E49" s="84">
        <f>IF(E14=0,0,1000000*E14/TrRail_act!E29)</f>
        <v>250951.65755966463</v>
      </c>
      <c r="F49" s="84">
        <f>IF(F14=0,0,1000000*F14/TrRail_act!F29)</f>
        <v>311529.80584661046</v>
      </c>
      <c r="G49" s="84">
        <f>IF(G14=0,0,1000000*G14/TrRail_act!G29)</f>
        <v>316547.73155383335</v>
      </c>
      <c r="H49" s="84">
        <f>IF(H14=0,0,1000000*H14/TrRail_act!H29)</f>
        <v>314855.80548810388</v>
      </c>
      <c r="I49" s="84">
        <f>IF(I14=0,0,1000000*I14/TrRail_act!I29)</f>
        <v>315582.66142270871</v>
      </c>
      <c r="J49" s="84">
        <f>IF(J14=0,0,1000000*J14/TrRail_act!J29)</f>
        <v>247012.19249405107</v>
      </c>
      <c r="K49" s="84">
        <f>IF(K14=0,0,1000000*K14/TrRail_act!K29)</f>
        <v>266707.38771989965</v>
      </c>
      <c r="L49" s="84">
        <f>IF(L14=0,0,1000000*L14/TrRail_act!L29)</f>
        <v>295851.89633016364</v>
      </c>
      <c r="M49" s="84">
        <f>IF(M14=0,0,1000000*M14/TrRail_act!M29)</f>
        <v>291576.0709751526</v>
      </c>
      <c r="N49" s="84">
        <f>IF(N14=0,0,1000000*N14/TrRail_act!N29)</f>
        <v>258505.04896855529</v>
      </c>
      <c r="O49" s="84">
        <f>IF(O14=0,0,1000000*O14/TrRail_act!O29)</f>
        <v>274728.1664441374</v>
      </c>
      <c r="P49" s="84">
        <f>IF(P14=0,0,1000000*P14/TrRail_act!P29)</f>
        <v>267435.98933109525</v>
      </c>
      <c r="Q49" s="84">
        <f>IF(Q14=0,0,1000000*Q14/TrRail_act!Q29)</f>
        <v>259365.15433180699</v>
      </c>
      <c r="R49" s="84">
        <f>IF(R14=0,0,1000000*R14/TrRail_act!R29)</f>
        <v>252204.92123100694</v>
      </c>
      <c r="S49" s="84">
        <f>IF(S14=0,0,1000000*S14/TrRail_act!S29)</f>
        <v>248199.59092334009</v>
      </c>
      <c r="T49" s="84">
        <f>IF(T14=0,0,1000000*T14/TrRail_act!T29)</f>
        <v>244011.21707394099</v>
      </c>
      <c r="U49" s="84">
        <f>IF(U14=0,0,1000000*U14/TrRail_act!U29)</f>
        <v>239711.79954749372</v>
      </c>
      <c r="V49" s="84">
        <f>IF(V14=0,0,1000000*V14/TrRail_act!V29)</f>
        <v>236537.0180297973</v>
      </c>
      <c r="W49" s="84">
        <f>IF(W14=0,0,1000000*W14/TrRail_act!W29)</f>
        <v>158850.91803759654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238534.7884361693</v>
      </c>
      <c r="C50" s="84">
        <f>IF(C15=0,0,1000000*C15/TrRail_act!C30)</f>
        <v>234574.68915844429</v>
      </c>
      <c r="D50" s="84">
        <f>IF(D15=0,0,1000000*D15/TrRail_act!D30)</f>
        <v>233846.10711081192</v>
      </c>
      <c r="E50" s="84">
        <f>IF(E15=0,0,1000000*E15/TrRail_act!E30)</f>
        <v>220041.87893266929</v>
      </c>
      <c r="F50" s="84">
        <f>IF(F15=0,0,1000000*F15/TrRail_act!F30)</f>
        <v>183184.15703890333</v>
      </c>
      <c r="G50" s="84">
        <f>IF(G15=0,0,1000000*G15/TrRail_act!G30)</f>
        <v>213184.19000032617</v>
      </c>
      <c r="H50" s="84">
        <f>IF(H15=0,0,1000000*H15/TrRail_act!H30)</f>
        <v>206609.60739969084</v>
      </c>
      <c r="I50" s="84">
        <f>IF(I15=0,0,1000000*I15/TrRail_act!I30)</f>
        <v>201318.10253352928</v>
      </c>
      <c r="J50" s="84">
        <f>IF(J15=0,0,1000000*J15/TrRail_act!J30)</f>
        <v>193733.29302789713</v>
      </c>
      <c r="K50" s="84">
        <f>IF(K15=0,0,1000000*K15/TrRail_act!K30)</f>
        <v>182277.03115840396</v>
      </c>
      <c r="L50" s="84">
        <f>IF(L15=0,0,1000000*L15/TrRail_act!L30)</f>
        <v>188858.7822801265</v>
      </c>
      <c r="M50" s="84">
        <f>IF(M15=0,0,1000000*M15/TrRail_act!M30)</f>
        <v>173322.54325475587</v>
      </c>
      <c r="N50" s="84">
        <f>IF(N15=0,0,1000000*N15/TrRail_act!N30)</f>
        <v>162850.98312612312</v>
      </c>
      <c r="O50" s="84">
        <f>IF(O15=0,0,1000000*O15/TrRail_act!O30)</f>
        <v>169490.71500886558</v>
      </c>
      <c r="P50" s="84">
        <f>IF(P15=0,0,1000000*P15/TrRail_act!P30)</f>
        <v>172134.05001821861</v>
      </c>
      <c r="Q50" s="84">
        <f>IF(Q15=0,0,1000000*Q15/TrRail_act!Q30)</f>
        <v>167924.31447690949</v>
      </c>
      <c r="R50" s="84">
        <f>IF(R15=0,0,1000000*R15/TrRail_act!R30)</f>
        <v>162105.54167501361</v>
      </c>
      <c r="S50" s="84">
        <f>IF(S15=0,0,1000000*S15/TrRail_act!S30)</f>
        <v>159894.98800269986</v>
      </c>
      <c r="T50" s="84">
        <f>IF(T15=0,0,1000000*T15/TrRail_act!T30)</f>
        <v>98978.969324951177</v>
      </c>
      <c r="U50" s="84">
        <f>IF(U15=0,0,1000000*U15/TrRail_act!U30)</f>
        <v>137448.74585269223</v>
      </c>
      <c r="V50" s="84">
        <f>IF(V15=0,0,1000000*V15/TrRail_act!V30)</f>
        <v>139539.59646031426</v>
      </c>
      <c r="W50" s="84">
        <f>IF(W15=0,0,1000000*W15/TrRail_act!W30)</f>
        <v>150224.33603086253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952121.251541454</v>
      </c>
      <c r="C52" s="28">
        <f>IF(C17=0,0,1000000*C17/TrRail_act!C32)</f>
        <v>948924.21233191295</v>
      </c>
      <c r="D52" s="28">
        <f>IF(D17=0,0,1000000*D17/TrRail_act!D32)</f>
        <v>945209.42897704884</v>
      </c>
      <c r="E52" s="28">
        <f>IF(E17=0,0,1000000*E17/TrRail_act!E32)</f>
        <v>905566.77799360373</v>
      </c>
      <c r="F52" s="28">
        <f>IF(F17=0,0,1000000*F17/TrRail_act!F32)</f>
        <v>853287.37906998931</v>
      </c>
      <c r="G52" s="28">
        <f>IF(G17=0,0,1000000*G17/TrRail_act!G32)</f>
        <v>934734.80097870668</v>
      </c>
      <c r="H52" s="28">
        <f>IF(H17=0,0,1000000*H17/TrRail_act!H32)</f>
        <v>925804.14653970278</v>
      </c>
      <c r="I52" s="28">
        <f>IF(I17=0,0,1000000*I17/TrRail_act!I32)</f>
        <v>836675.04850660823</v>
      </c>
      <c r="J52" s="28">
        <f>IF(J17=0,0,1000000*J17/TrRail_act!J32)</f>
        <v>654913.92459091346</v>
      </c>
      <c r="K52" s="28">
        <f>IF(K17=0,0,1000000*K17/TrRail_act!K32)</f>
        <v>867063.58064774936</v>
      </c>
      <c r="L52" s="28">
        <f>IF(L17=0,0,1000000*L17/TrRail_act!L32)</f>
        <v>846109.09594913083</v>
      </c>
      <c r="M52" s="28">
        <f>IF(M17=0,0,1000000*M17/TrRail_act!M32)</f>
        <v>608645.62599885592</v>
      </c>
      <c r="N52" s="28">
        <f>IF(N17=0,0,1000000*N17/TrRail_act!N32)</f>
        <v>588183.79372806207</v>
      </c>
      <c r="O52" s="28">
        <f>IF(O17=0,0,1000000*O17/TrRail_act!O32)</f>
        <v>542766.01632955973</v>
      </c>
      <c r="P52" s="28">
        <f>IF(P17=0,0,1000000*P17/TrRail_act!P32)</f>
        <v>441730.63316993997</v>
      </c>
      <c r="Q52" s="28">
        <f>IF(Q17=0,0,1000000*Q17/TrRail_act!Q32)</f>
        <v>465636.42949893384</v>
      </c>
      <c r="R52" s="28">
        <f>IF(R17=0,0,1000000*R17/TrRail_act!R32)</f>
        <v>400730.97758128255</v>
      </c>
      <c r="S52" s="28">
        <f>IF(S17=0,0,1000000*S17/TrRail_act!S32)</f>
        <v>466464.70540738764</v>
      </c>
      <c r="T52" s="28">
        <f>IF(T17=0,0,1000000*T17/TrRail_act!T32)</f>
        <v>476495.86739225598</v>
      </c>
      <c r="U52" s="28">
        <f>IF(U17=0,0,1000000*U17/TrRail_act!U32)</f>
        <v>605612.31929535663</v>
      </c>
      <c r="V52" s="28">
        <f>IF(V17=0,0,1000000*V17/TrRail_act!V32)</f>
        <v>671508.50048046233</v>
      </c>
      <c r="W52" s="28">
        <f>IF(W17=0,0,1000000*W17/TrRail_act!W32)</f>
        <v>726869.85790530569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952121.251541454</v>
      </c>
      <c r="C53" s="84">
        <f>IF(C18=0,0,1000000*C18/TrRail_act!C33)</f>
        <v>948924.21233191295</v>
      </c>
      <c r="D53" s="84">
        <f>IF(D18=0,0,1000000*D18/TrRail_act!D33)</f>
        <v>945209.42897704884</v>
      </c>
      <c r="E53" s="84">
        <f>IF(E18=0,0,1000000*E18/TrRail_act!E33)</f>
        <v>905566.77799360373</v>
      </c>
      <c r="F53" s="84">
        <f>IF(F18=0,0,1000000*F18/TrRail_act!F33)</f>
        <v>853287.37906998931</v>
      </c>
      <c r="G53" s="84">
        <f>IF(G18=0,0,1000000*G18/TrRail_act!G33)</f>
        <v>934734.80097870668</v>
      </c>
      <c r="H53" s="84">
        <f>IF(H18=0,0,1000000*H18/TrRail_act!H33)</f>
        <v>925804.14653970278</v>
      </c>
      <c r="I53" s="84">
        <f>IF(I18=0,0,1000000*I18/TrRail_act!I33)</f>
        <v>836675.04850660823</v>
      </c>
      <c r="J53" s="84">
        <f>IF(J18=0,0,1000000*J18/TrRail_act!J33)</f>
        <v>654913.92459091346</v>
      </c>
      <c r="K53" s="84">
        <f>IF(K18=0,0,1000000*K18/TrRail_act!K33)</f>
        <v>867063.58064774936</v>
      </c>
      <c r="L53" s="84">
        <f>IF(L18=0,0,1000000*L18/TrRail_act!L33)</f>
        <v>846109.09594913083</v>
      </c>
      <c r="M53" s="84">
        <f>IF(M18=0,0,1000000*M18/TrRail_act!M33)</f>
        <v>608645.62599885592</v>
      </c>
      <c r="N53" s="84">
        <f>IF(N18=0,0,1000000*N18/TrRail_act!N33)</f>
        <v>588183.79372806207</v>
      </c>
      <c r="O53" s="84">
        <f>IF(O18=0,0,1000000*O18/TrRail_act!O33)</f>
        <v>542766.01632955973</v>
      </c>
      <c r="P53" s="84">
        <f>IF(P18=0,0,1000000*P18/TrRail_act!P33)</f>
        <v>441730.63316993997</v>
      </c>
      <c r="Q53" s="84">
        <f>IF(Q18=0,0,1000000*Q18/TrRail_act!Q33)</f>
        <v>465636.42949893384</v>
      </c>
      <c r="R53" s="84">
        <f>IF(R18=0,0,1000000*R18/TrRail_act!R33)</f>
        <v>400730.97758128255</v>
      </c>
      <c r="S53" s="84">
        <f>IF(S18=0,0,1000000*S18/TrRail_act!S33)</f>
        <v>466464.70540738764</v>
      </c>
      <c r="T53" s="84">
        <f>IF(T18=0,0,1000000*T18/TrRail_act!T33)</f>
        <v>476495.86739225598</v>
      </c>
      <c r="U53" s="84">
        <f>IF(U18=0,0,1000000*U18/TrRail_act!U33)</f>
        <v>605612.31929535663</v>
      </c>
      <c r="V53" s="84">
        <f>IF(V18=0,0,1000000*V18/TrRail_act!V33)</f>
        <v>671508.50048046233</v>
      </c>
      <c r="W53" s="84">
        <f>IF(W18=0,0,1000000*W18/TrRail_act!W33)</f>
        <v>726869.85790530569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9.8372330060737506E-2</v>
      </c>
      <c r="C57" s="31">
        <f t="shared" ref="C57:V57" si="17">IF(C11=0,0,C11/C$10)</f>
        <v>7.4835831400415109E-2</v>
      </c>
      <c r="D57" s="31">
        <f t="shared" si="17"/>
        <v>5.8538199700932922E-2</v>
      </c>
      <c r="E57" s="31">
        <f t="shared" si="17"/>
        <v>6.5123848956605279E-2</v>
      </c>
      <c r="F57" s="31">
        <f t="shared" si="17"/>
        <v>6.9315387369279585E-2</v>
      </c>
      <c r="G57" s="31">
        <f t="shared" si="17"/>
        <v>7.0264072070654951E-2</v>
      </c>
      <c r="H57" s="31">
        <f t="shared" si="17"/>
        <v>7.3100074706161353E-2</v>
      </c>
      <c r="I57" s="31">
        <f t="shared" si="17"/>
        <v>9.8824214535703531E-2</v>
      </c>
      <c r="J57" s="31">
        <f t="shared" si="17"/>
        <v>0.10983695301077158</v>
      </c>
      <c r="K57" s="31">
        <f t="shared" si="17"/>
        <v>7.8116336060787731E-2</v>
      </c>
      <c r="L57" s="31">
        <f t="shared" si="17"/>
        <v>6.360280894871681E-2</v>
      </c>
      <c r="M57" s="31">
        <f t="shared" si="17"/>
        <v>8.8399341119782412E-2</v>
      </c>
      <c r="N57" s="31">
        <f t="shared" si="17"/>
        <v>8.5104566651576771E-2</v>
      </c>
      <c r="O57" s="31">
        <f t="shared" si="17"/>
        <v>0.11236074669567783</v>
      </c>
      <c r="P57" s="31">
        <f t="shared" si="17"/>
        <v>0.16597824385050458</v>
      </c>
      <c r="Q57" s="31">
        <f t="shared" si="17"/>
        <v>0.17440422796129076</v>
      </c>
      <c r="R57" s="31">
        <f t="shared" si="17"/>
        <v>0.21339235169859774</v>
      </c>
      <c r="S57" s="31">
        <f t="shared" si="17"/>
        <v>0.23938772767383268</v>
      </c>
      <c r="T57" s="31">
        <f t="shared" si="17"/>
        <v>0.29113905319199607</v>
      </c>
      <c r="U57" s="31">
        <f t="shared" si="17"/>
        <v>0.33115500489473071</v>
      </c>
      <c r="V57" s="31">
        <f t="shared" si="17"/>
        <v>0.35861063018595152</v>
      </c>
      <c r="W57" s="31">
        <f t="shared" ref="W57" si="18">IF(W11=0,0,W11/W$10)</f>
        <v>0.26762193210606511</v>
      </c>
      <c r="DA57" s="173"/>
    </row>
    <row r="58" spans="1:105" ht="11.45" customHeight="1" x14ac:dyDescent="0.25">
      <c r="A58" s="107" t="s">
        <v>23</v>
      </c>
      <c r="B58" s="123">
        <f t="shared" si="14"/>
        <v>1.2122779156873235E-2</v>
      </c>
      <c r="C58" s="123">
        <f t="shared" ref="C58:V58" si="19">IF(C12=0,0,C12/C$10)</f>
        <v>1.1440382846149023E-2</v>
      </c>
      <c r="D58" s="123">
        <f t="shared" si="19"/>
        <v>9.9272032118885856E-3</v>
      </c>
      <c r="E58" s="123">
        <f t="shared" si="19"/>
        <v>1.1291999728927306E-2</v>
      </c>
      <c r="F58" s="123">
        <f t="shared" si="19"/>
        <v>1.0372191069278008E-2</v>
      </c>
      <c r="G58" s="123">
        <f t="shared" si="19"/>
        <v>7.7551455011823991E-3</v>
      </c>
      <c r="H58" s="123">
        <f t="shared" si="19"/>
        <v>7.4940014141732098E-3</v>
      </c>
      <c r="I58" s="123">
        <f t="shared" si="19"/>
        <v>8.8993415923167059E-3</v>
      </c>
      <c r="J58" s="123">
        <f t="shared" si="19"/>
        <v>9.4053828976212624E-3</v>
      </c>
      <c r="K58" s="123">
        <f t="shared" si="19"/>
        <v>7.8605809616529888E-3</v>
      </c>
      <c r="L58" s="123">
        <f t="shared" si="19"/>
        <v>6.0006711585281645E-3</v>
      </c>
      <c r="M58" s="123">
        <f t="shared" si="19"/>
        <v>7.697707710119594E-3</v>
      </c>
      <c r="N58" s="123">
        <f t="shared" si="19"/>
        <v>1.1967528436108505E-2</v>
      </c>
      <c r="O58" s="123">
        <f t="shared" si="19"/>
        <v>1.1812439953920794E-2</v>
      </c>
      <c r="P58" s="123">
        <f t="shared" si="19"/>
        <v>1.1516807720563717E-2</v>
      </c>
      <c r="Q58" s="123">
        <f t="shared" si="19"/>
        <v>1.1323894045962977E-2</v>
      </c>
      <c r="R58" s="123">
        <f t="shared" si="19"/>
        <v>1.4294515981420999E-2</v>
      </c>
      <c r="S58" s="123">
        <f t="shared" si="19"/>
        <v>1.374250831942638E-2</v>
      </c>
      <c r="T58" s="123">
        <f t="shared" si="19"/>
        <v>2.21098500141047E-2</v>
      </c>
      <c r="U58" s="123">
        <f t="shared" si="19"/>
        <v>2.1247061148506798E-2</v>
      </c>
      <c r="V58" s="123">
        <f t="shared" si="19"/>
        <v>2.3361061180431374E-2</v>
      </c>
      <c r="W58" s="123">
        <f t="shared" ref="W58" si="20">IF(W12=0,0,W12/W$10)</f>
        <v>2.406069598001203E-2</v>
      </c>
      <c r="DA58" s="203"/>
    </row>
    <row r="59" spans="1:105" ht="11.45" customHeight="1" x14ac:dyDescent="0.25">
      <c r="A59" s="109" t="s">
        <v>24</v>
      </c>
      <c r="B59" s="124">
        <f t="shared" si="14"/>
        <v>8.6249550903864269E-2</v>
      </c>
      <c r="C59" s="124">
        <f t="shared" ref="C59:V59" si="21">IF(C13=0,0,C13/C$10)</f>
        <v>6.3395448554266098E-2</v>
      </c>
      <c r="D59" s="124">
        <f t="shared" si="21"/>
        <v>4.8610996489044336E-2</v>
      </c>
      <c r="E59" s="124">
        <f t="shared" si="21"/>
        <v>5.3831849227677975E-2</v>
      </c>
      <c r="F59" s="124">
        <f t="shared" si="21"/>
        <v>5.8943196300001582E-2</v>
      </c>
      <c r="G59" s="124">
        <f t="shared" si="21"/>
        <v>6.2508926569472545E-2</v>
      </c>
      <c r="H59" s="124">
        <f t="shared" si="21"/>
        <v>6.5606073291988143E-2</v>
      </c>
      <c r="I59" s="124">
        <f t="shared" si="21"/>
        <v>8.992487294338683E-2</v>
      </c>
      <c r="J59" s="124">
        <f t="shared" si="21"/>
        <v>0.10043157011315032</v>
      </c>
      <c r="K59" s="124">
        <f t="shared" si="21"/>
        <v>7.0255755099134731E-2</v>
      </c>
      <c r="L59" s="124">
        <f t="shared" si="21"/>
        <v>5.7602137790188641E-2</v>
      </c>
      <c r="M59" s="124">
        <f t="shared" si="21"/>
        <v>8.0701633409662812E-2</v>
      </c>
      <c r="N59" s="124">
        <f t="shared" si="21"/>
        <v>7.313703821546827E-2</v>
      </c>
      <c r="O59" s="124">
        <f t="shared" si="21"/>
        <v>0.10054830674175705</v>
      </c>
      <c r="P59" s="124">
        <f t="shared" si="21"/>
        <v>0.15446143612994087</v>
      </c>
      <c r="Q59" s="124">
        <f t="shared" si="21"/>
        <v>0.16308033391532781</v>
      </c>
      <c r="R59" s="124">
        <f t="shared" si="21"/>
        <v>0.19909783571717674</v>
      </c>
      <c r="S59" s="124">
        <f t="shared" si="21"/>
        <v>0.22564521935440632</v>
      </c>
      <c r="T59" s="124">
        <f t="shared" si="21"/>
        <v>0.26902920317789136</v>
      </c>
      <c r="U59" s="124">
        <f t="shared" si="21"/>
        <v>0.30990794374622394</v>
      </c>
      <c r="V59" s="124">
        <f t="shared" si="21"/>
        <v>0.33524956900552011</v>
      </c>
      <c r="W59" s="124">
        <f t="shared" ref="W59" si="22">IF(W13=0,0,W13/W$10)</f>
        <v>0.24356123612605307</v>
      </c>
      <c r="DA59" s="176"/>
    </row>
    <row r="60" spans="1:105" ht="11.45" customHeight="1" x14ac:dyDescent="0.25">
      <c r="A60" s="111" t="s">
        <v>92</v>
      </c>
      <c r="B60" s="125">
        <f t="shared" si="14"/>
        <v>6.7676886415653559E-2</v>
      </c>
      <c r="C60" s="125">
        <f t="shared" ref="C60:V60" si="23">IF(C14=0,0,C14/C$10)</f>
        <v>3.9928233864480821E-2</v>
      </c>
      <c r="D60" s="125">
        <f t="shared" si="23"/>
        <v>3.0951992804381202E-2</v>
      </c>
      <c r="E60" s="125">
        <f t="shared" si="23"/>
        <v>3.2202038257016792E-2</v>
      </c>
      <c r="F60" s="125">
        <f t="shared" si="23"/>
        <v>3.9670072387807898E-2</v>
      </c>
      <c r="G60" s="125">
        <f t="shared" si="23"/>
        <v>4.2677865174103213E-2</v>
      </c>
      <c r="H60" s="125">
        <f t="shared" si="23"/>
        <v>4.6734726306914644E-2</v>
      </c>
      <c r="I60" s="125">
        <f t="shared" si="23"/>
        <v>6.9790155350890573E-2</v>
      </c>
      <c r="J60" s="125">
        <f t="shared" si="23"/>
        <v>6.9020626480159317E-2</v>
      </c>
      <c r="K60" s="125">
        <f t="shared" si="23"/>
        <v>4.9764298258070674E-2</v>
      </c>
      <c r="L60" s="125">
        <f t="shared" si="23"/>
        <v>4.0327663479057606E-2</v>
      </c>
      <c r="M60" s="125">
        <f t="shared" si="23"/>
        <v>5.9237737231568569E-2</v>
      </c>
      <c r="N60" s="125">
        <f t="shared" si="23"/>
        <v>5.2182755951988312E-2</v>
      </c>
      <c r="O60" s="125">
        <f t="shared" si="23"/>
        <v>7.7605612414477221E-2</v>
      </c>
      <c r="P60" s="125">
        <f t="shared" si="23"/>
        <v>0.11355888901179492</v>
      </c>
      <c r="Q60" s="125">
        <f t="shared" si="23"/>
        <v>0.11937777293483574</v>
      </c>
      <c r="R60" s="125">
        <f t="shared" si="23"/>
        <v>0.14964733177827905</v>
      </c>
      <c r="S60" s="125">
        <f t="shared" si="23"/>
        <v>0.17317841456999103</v>
      </c>
      <c r="T60" s="125">
        <f t="shared" si="23"/>
        <v>0.2362036572176619</v>
      </c>
      <c r="U60" s="125">
        <f t="shared" si="23"/>
        <v>0.27130612332070514</v>
      </c>
      <c r="V60" s="125">
        <f t="shared" si="23"/>
        <v>0.29477848098524101</v>
      </c>
      <c r="W60" s="125">
        <f t="shared" ref="W60" si="24">IF(W14=0,0,W14/W$10)</f>
        <v>0.19340154136488291</v>
      </c>
      <c r="DA60" s="171"/>
    </row>
    <row r="61" spans="1:105" ht="11.45" customHeight="1" x14ac:dyDescent="0.25">
      <c r="A61" s="111" t="s">
        <v>93</v>
      </c>
      <c r="B61" s="125">
        <f t="shared" si="14"/>
        <v>1.85726644882107E-2</v>
      </c>
      <c r="C61" s="125">
        <f t="shared" ref="C61:V61" si="25">IF(C15=0,0,C15/C$10)</f>
        <v>2.3467214689785267E-2</v>
      </c>
      <c r="D61" s="125">
        <f t="shared" si="25"/>
        <v>1.7659003684663135E-2</v>
      </c>
      <c r="E61" s="125">
        <f t="shared" si="25"/>
        <v>2.1629810970661183E-2</v>
      </c>
      <c r="F61" s="125">
        <f t="shared" si="25"/>
        <v>1.9273123912193685E-2</v>
      </c>
      <c r="G61" s="125">
        <f t="shared" si="25"/>
        <v>1.9831061395369338E-2</v>
      </c>
      <c r="H61" s="125">
        <f t="shared" si="25"/>
        <v>1.8871346985073503E-2</v>
      </c>
      <c r="I61" s="125">
        <f t="shared" si="25"/>
        <v>2.0134717592496246E-2</v>
      </c>
      <c r="J61" s="125">
        <f t="shared" si="25"/>
        <v>3.141094363299099E-2</v>
      </c>
      <c r="K61" s="125">
        <f t="shared" si="25"/>
        <v>2.0491456841064067E-2</v>
      </c>
      <c r="L61" s="125">
        <f t="shared" si="25"/>
        <v>1.7274474311131036E-2</v>
      </c>
      <c r="M61" s="125">
        <f t="shared" si="25"/>
        <v>2.1463896178094244E-2</v>
      </c>
      <c r="N61" s="125">
        <f t="shared" si="25"/>
        <v>2.0954282263479968E-2</v>
      </c>
      <c r="O61" s="125">
        <f t="shared" si="25"/>
        <v>2.2942694327279835E-2</v>
      </c>
      <c r="P61" s="125">
        <f t="shared" si="25"/>
        <v>4.0902547118145956E-2</v>
      </c>
      <c r="Q61" s="125">
        <f t="shared" si="25"/>
        <v>4.370256098049205E-2</v>
      </c>
      <c r="R61" s="125">
        <f t="shared" si="25"/>
        <v>4.9450503938897689E-2</v>
      </c>
      <c r="S61" s="125">
        <f t="shared" si="25"/>
        <v>5.2466804784415288E-2</v>
      </c>
      <c r="T61" s="125">
        <f t="shared" si="25"/>
        <v>3.2825545960229484E-2</v>
      </c>
      <c r="U61" s="125">
        <f t="shared" si="25"/>
        <v>3.8601820425518789E-2</v>
      </c>
      <c r="V61" s="125">
        <f t="shared" si="25"/>
        <v>4.0471088020279093E-2</v>
      </c>
      <c r="W61" s="125">
        <f t="shared" ref="W61" si="26">IF(W15=0,0,W15/W$10)</f>
        <v>5.015969476117018E-2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0.90162766993926258</v>
      </c>
      <c r="C63" s="31">
        <f t="shared" ref="C63:V63" si="29">IF(C17=0,0,C17/C$10)</f>
        <v>0.92516416859958495</v>
      </c>
      <c r="D63" s="31">
        <f t="shared" si="29"/>
        <v>0.94146180029906712</v>
      </c>
      <c r="E63" s="31">
        <f t="shared" si="29"/>
        <v>0.93487615104339472</v>
      </c>
      <c r="F63" s="31">
        <f t="shared" si="29"/>
        <v>0.93068461263072033</v>
      </c>
      <c r="G63" s="31">
        <f t="shared" si="29"/>
        <v>0.92973592792934512</v>
      </c>
      <c r="H63" s="31">
        <f t="shared" si="29"/>
        <v>0.92689992529383869</v>
      </c>
      <c r="I63" s="31">
        <f t="shared" si="29"/>
        <v>0.90117578546429655</v>
      </c>
      <c r="J63" s="31">
        <f t="shared" si="29"/>
        <v>0.89016304698922843</v>
      </c>
      <c r="K63" s="31">
        <f t="shared" si="29"/>
        <v>0.92188366393921228</v>
      </c>
      <c r="L63" s="31">
        <f t="shared" si="29"/>
        <v>0.93639719105128327</v>
      </c>
      <c r="M63" s="31">
        <f t="shared" si="29"/>
        <v>0.91160065888021757</v>
      </c>
      <c r="N63" s="31">
        <f t="shared" si="29"/>
        <v>0.91489543334842327</v>
      </c>
      <c r="O63" s="31">
        <f t="shared" si="29"/>
        <v>0.88763925330432214</v>
      </c>
      <c r="P63" s="31">
        <f t="shared" si="29"/>
        <v>0.83402175614949536</v>
      </c>
      <c r="Q63" s="31">
        <f t="shared" si="29"/>
        <v>0.82559577203870915</v>
      </c>
      <c r="R63" s="31">
        <f t="shared" si="29"/>
        <v>0.78660764830140228</v>
      </c>
      <c r="S63" s="31">
        <f t="shared" si="29"/>
        <v>0.76061227232616735</v>
      </c>
      <c r="T63" s="31">
        <f t="shared" si="29"/>
        <v>0.70886094680800404</v>
      </c>
      <c r="U63" s="31">
        <f t="shared" si="29"/>
        <v>0.6688449951052694</v>
      </c>
      <c r="V63" s="31">
        <f t="shared" si="29"/>
        <v>0.64138936981404848</v>
      </c>
      <c r="W63" s="31">
        <f t="shared" ref="W63" si="30">IF(W17=0,0,W17/W$10)</f>
        <v>0.73237806789393478</v>
      </c>
      <c r="DA63" s="173"/>
    </row>
    <row r="64" spans="1:105" ht="11.45" customHeight="1" x14ac:dyDescent="0.25">
      <c r="A64" s="83" t="s">
        <v>92</v>
      </c>
      <c r="B64" s="125">
        <f t="shared" si="14"/>
        <v>0.90162766993926258</v>
      </c>
      <c r="C64" s="125">
        <f t="shared" ref="C64:V64" si="31">IF(C18=0,0,C18/C$10)</f>
        <v>0.92516416859958495</v>
      </c>
      <c r="D64" s="125">
        <f t="shared" si="31"/>
        <v>0.94146180029906712</v>
      </c>
      <c r="E64" s="125">
        <f t="shared" si="31"/>
        <v>0.93487615104339472</v>
      </c>
      <c r="F64" s="125">
        <f t="shared" si="31"/>
        <v>0.93068461263072033</v>
      </c>
      <c r="G64" s="125">
        <f t="shared" si="31"/>
        <v>0.92973592792934512</v>
      </c>
      <c r="H64" s="125">
        <f t="shared" si="31"/>
        <v>0.92689992529383869</v>
      </c>
      <c r="I64" s="125">
        <f t="shared" si="31"/>
        <v>0.90117578546429655</v>
      </c>
      <c r="J64" s="125">
        <f t="shared" si="31"/>
        <v>0.89016304698922843</v>
      </c>
      <c r="K64" s="125">
        <f t="shared" si="31"/>
        <v>0.92188366393921228</v>
      </c>
      <c r="L64" s="125">
        <f t="shared" si="31"/>
        <v>0.93639719105128327</v>
      </c>
      <c r="M64" s="125">
        <f t="shared" si="31"/>
        <v>0.91160065888021757</v>
      </c>
      <c r="N64" s="125">
        <f t="shared" si="31"/>
        <v>0.91489543334842327</v>
      </c>
      <c r="O64" s="125">
        <f t="shared" si="31"/>
        <v>0.88763925330432214</v>
      </c>
      <c r="P64" s="125">
        <f t="shared" si="31"/>
        <v>0.83402175614949536</v>
      </c>
      <c r="Q64" s="125">
        <f t="shared" si="31"/>
        <v>0.82559577203870915</v>
      </c>
      <c r="R64" s="125">
        <f t="shared" si="31"/>
        <v>0.78660764830140228</v>
      </c>
      <c r="S64" s="125">
        <f t="shared" si="31"/>
        <v>0.76061227232616735</v>
      </c>
      <c r="T64" s="125">
        <f t="shared" si="31"/>
        <v>0.70886094680800404</v>
      </c>
      <c r="U64" s="125">
        <f t="shared" si="31"/>
        <v>0.6688449951052694</v>
      </c>
      <c r="V64" s="125">
        <f t="shared" si="31"/>
        <v>0.64138936981404848</v>
      </c>
      <c r="W64" s="125">
        <f t="shared" ref="W64" si="32">IF(W18=0,0,W18/W$10)</f>
        <v>0.73237806789393478</v>
      </c>
      <c r="DA64" s="171"/>
    </row>
    <row r="65" spans="1:105" ht="11.45" customHeight="1" x14ac:dyDescent="0.25">
      <c r="A65" s="85" t="s">
        <v>93</v>
      </c>
      <c r="B65" s="127">
        <f t="shared" si="14"/>
        <v>0</v>
      </c>
      <c r="C65" s="127">
        <f t="shared" ref="C65:V65" si="33">IF(C19=0,0,C19/C$10)</f>
        <v>0</v>
      </c>
      <c r="D65" s="127">
        <f t="shared" si="33"/>
        <v>0</v>
      </c>
      <c r="E65" s="127">
        <f t="shared" si="33"/>
        <v>0</v>
      </c>
      <c r="F65" s="127">
        <f t="shared" si="33"/>
        <v>0</v>
      </c>
      <c r="G65" s="127">
        <f t="shared" si="33"/>
        <v>0</v>
      </c>
      <c r="H65" s="127">
        <f t="shared" si="33"/>
        <v>0</v>
      </c>
      <c r="I65" s="127">
        <f t="shared" si="33"/>
        <v>0</v>
      </c>
      <c r="J65" s="127">
        <f t="shared" si="33"/>
        <v>0</v>
      </c>
      <c r="K65" s="127">
        <f t="shared" si="33"/>
        <v>0</v>
      </c>
      <c r="L65" s="127">
        <f t="shared" si="33"/>
        <v>0</v>
      </c>
      <c r="M65" s="127">
        <f t="shared" si="33"/>
        <v>0</v>
      </c>
      <c r="N65" s="127">
        <f t="shared" si="33"/>
        <v>0</v>
      </c>
      <c r="O65" s="127">
        <f t="shared" si="33"/>
        <v>0</v>
      </c>
      <c r="P65" s="127">
        <f t="shared" si="33"/>
        <v>0</v>
      </c>
      <c r="Q65" s="127">
        <f t="shared" si="33"/>
        <v>0</v>
      </c>
      <c r="R65" s="127">
        <f t="shared" si="33"/>
        <v>0</v>
      </c>
      <c r="S65" s="127">
        <f t="shared" si="33"/>
        <v>0</v>
      </c>
      <c r="T65" s="127">
        <f t="shared" si="33"/>
        <v>0</v>
      </c>
      <c r="U65" s="127">
        <f t="shared" si="33"/>
        <v>0</v>
      </c>
      <c r="V65" s="127">
        <f t="shared" si="33"/>
        <v>0</v>
      </c>
      <c r="W65" s="127">
        <f t="shared" ref="W65" si="34">IF(W19=0,0,W19/W$10)</f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134.78049000000001</v>
      </c>
      <c r="C4" s="26">
        <f t="shared" ref="C4:W4" si="0">SUM(C5:C6)</f>
        <v>125.3772</v>
      </c>
      <c r="D4" s="26">
        <f t="shared" si="0"/>
        <v>159.85593</v>
      </c>
      <c r="E4" s="26">
        <f t="shared" si="0"/>
        <v>141.04935</v>
      </c>
      <c r="F4" s="26">
        <f t="shared" si="0"/>
        <v>122.24276999999998</v>
      </c>
      <c r="G4" s="26">
        <f t="shared" si="0"/>
        <v>131.64606000000001</v>
      </c>
      <c r="H4" s="26">
        <f t="shared" si="0"/>
        <v>137.91492</v>
      </c>
      <c r="I4" s="26">
        <f t="shared" si="0"/>
        <v>115.97391000000002</v>
      </c>
      <c r="J4" s="26">
        <f t="shared" si="0"/>
        <v>81.495180000000005</v>
      </c>
      <c r="K4" s="26">
        <f t="shared" si="0"/>
        <v>109.70505</v>
      </c>
      <c r="L4" s="26">
        <f t="shared" si="0"/>
        <v>156.72150000000002</v>
      </c>
      <c r="M4" s="26">
        <f t="shared" si="0"/>
        <v>106.57062000000001</v>
      </c>
      <c r="N4" s="26">
        <f t="shared" si="0"/>
        <v>94.032899999999984</v>
      </c>
      <c r="O4" s="26">
        <f t="shared" si="0"/>
        <v>81.495180000000005</v>
      </c>
      <c r="P4" s="26">
        <f t="shared" si="0"/>
        <v>62.688600000000008</v>
      </c>
      <c r="Q4" s="26">
        <f t="shared" si="0"/>
        <v>59.554170000000006</v>
      </c>
      <c r="R4" s="26">
        <f t="shared" si="0"/>
        <v>47.016450000000013</v>
      </c>
      <c r="S4" s="26">
        <f t="shared" si="0"/>
        <v>48.909645720000007</v>
      </c>
      <c r="T4" s="26">
        <f t="shared" si="0"/>
        <v>45.891256320000011</v>
      </c>
      <c r="U4" s="26">
        <f t="shared" si="0"/>
        <v>50.285593799999987</v>
      </c>
      <c r="V4" s="26">
        <f t="shared" si="0"/>
        <v>44.991741600000012</v>
      </c>
      <c r="W4" s="26">
        <f t="shared" si="0"/>
        <v>43.509089519999996</v>
      </c>
      <c r="DA4" s="202" t="s">
        <v>1135</v>
      </c>
    </row>
    <row r="5" spans="1:105" ht="11.45" customHeight="1" x14ac:dyDescent="0.25">
      <c r="A5" s="107" t="s">
        <v>92</v>
      </c>
      <c r="B5" s="129">
        <v>134.78049000000001</v>
      </c>
      <c r="C5" s="129">
        <v>125.3772</v>
      </c>
      <c r="D5" s="129">
        <v>159.85593</v>
      </c>
      <c r="E5" s="129">
        <v>141.04935</v>
      </c>
      <c r="F5" s="129">
        <v>122.24276999999998</v>
      </c>
      <c r="G5" s="129">
        <v>131.64606000000001</v>
      </c>
      <c r="H5" s="129">
        <v>137.91492</v>
      </c>
      <c r="I5" s="129">
        <v>115.97391000000002</v>
      </c>
      <c r="J5" s="129">
        <v>81.495180000000005</v>
      </c>
      <c r="K5" s="129">
        <v>109.70505</v>
      </c>
      <c r="L5" s="129">
        <v>156.72150000000002</v>
      </c>
      <c r="M5" s="129">
        <v>106.57062000000001</v>
      </c>
      <c r="N5" s="129">
        <v>94.032899999999984</v>
      </c>
      <c r="O5" s="129">
        <v>81.495180000000005</v>
      </c>
      <c r="P5" s="129">
        <v>62.688600000000008</v>
      </c>
      <c r="Q5" s="129">
        <v>59.554170000000006</v>
      </c>
      <c r="R5" s="129">
        <v>47.016450000000013</v>
      </c>
      <c r="S5" s="129">
        <v>48.909645720000007</v>
      </c>
      <c r="T5" s="129">
        <v>45.891256320000011</v>
      </c>
      <c r="U5" s="129">
        <v>50.285593799999987</v>
      </c>
      <c r="V5" s="129">
        <v>44.991741600000012</v>
      </c>
      <c r="W5" s="129">
        <v>43.509089519999996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134.78048999999999</v>
      </c>
      <c r="C8" s="79">
        <f t="shared" si="1"/>
        <v>125.3772</v>
      </c>
      <c r="D8" s="79">
        <f t="shared" si="1"/>
        <v>159.85592999999997</v>
      </c>
      <c r="E8" s="79">
        <f t="shared" si="1"/>
        <v>141.04935</v>
      </c>
      <c r="F8" s="79">
        <f t="shared" si="1"/>
        <v>122.24276999999998</v>
      </c>
      <c r="G8" s="79">
        <f t="shared" si="1"/>
        <v>131.64606000000001</v>
      </c>
      <c r="H8" s="79">
        <f t="shared" si="1"/>
        <v>137.91492000000002</v>
      </c>
      <c r="I8" s="79">
        <f t="shared" si="1"/>
        <v>115.97391000000003</v>
      </c>
      <c r="J8" s="79">
        <f t="shared" si="1"/>
        <v>81.495179999999991</v>
      </c>
      <c r="K8" s="79">
        <f t="shared" si="1"/>
        <v>109.70505</v>
      </c>
      <c r="L8" s="79">
        <f t="shared" si="1"/>
        <v>156.72150000000002</v>
      </c>
      <c r="M8" s="79">
        <f t="shared" si="1"/>
        <v>106.57062000000002</v>
      </c>
      <c r="N8" s="79">
        <f t="shared" si="1"/>
        <v>94.032899999999984</v>
      </c>
      <c r="O8" s="79">
        <f t="shared" si="1"/>
        <v>81.495180000000005</v>
      </c>
      <c r="P8" s="79">
        <f t="shared" si="1"/>
        <v>62.688600000000008</v>
      </c>
      <c r="Q8" s="79">
        <f t="shared" si="1"/>
        <v>59.554170000000006</v>
      </c>
      <c r="R8" s="79">
        <f t="shared" si="1"/>
        <v>47.016450000000006</v>
      </c>
      <c r="S8" s="79">
        <f t="shared" si="1"/>
        <v>48.90964572</v>
      </c>
      <c r="T8" s="79">
        <f t="shared" si="1"/>
        <v>45.891256320000011</v>
      </c>
      <c r="U8" s="79">
        <f t="shared" si="1"/>
        <v>50.285593799999987</v>
      </c>
      <c r="V8" s="79">
        <f t="shared" si="1"/>
        <v>44.991741600000012</v>
      </c>
      <c r="W8" s="79">
        <f t="shared" si="1"/>
        <v>43.509089519999996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9.4103796922999674</v>
      </c>
      <c r="C9" s="32">
        <f t="shared" si="2"/>
        <v>5.1871615091904966</v>
      </c>
      <c r="D9" s="32">
        <f t="shared" si="2"/>
        <v>5.0882244063061099</v>
      </c>
      <c r="E9" s="32">
        <f t="shared" si="2"/>
        <v>4.6967004478853047</v>
      </c>
      <c r="F9" s="32">
        <f t="shared" si="2"/>
        <v>4.9975329739285543</v>
      </c>
      <c r="G9" s="32">
        <f t="shared" si="2"/>
        <v>5.7777592617757145</v>
      </c>
      <c r="H9" s="32">
        <f t="shared" si="2"/>
        <v>6.6199534180948838</v>
      </c>
      <c r="I9" s="32">
        <f t="shared" si="2"/>
        <v>8.3358610794884491</v>
      </c>
      <c r="J9" s="32">
        <f t="shared" si="2"/>
        <v>5.8642036288713655</v>
      </c>
      <c r="K9" s="32">
        <f t="shared" si="2"/>
        <v>5.6186963190564319</v>
      </c>
      <c r="L9" s="32">
        <f t="shared" si="2"/>
        <v>6.4708212170685551</v>
      </c>
      <c r="M9" s="32">
        <f t="shared" si="2"/>
        <v>6.5026294895720653</v>
      </c>
      <c r="N9" s="32">
        <f t="shared" si="2"/>
        <v>5.0739391358907495</v>
      </c>
      <c r="O9" s="32">
        <f t="shared" si="2"/>
        <v>6.5522061575726029</v>
      </c>
      <c r="P9" s="32">
        <f t="shared" si="2"/>
        <v>7.5126563697310322</v>
      </c>
      <c r="Q9" s="32">
        <f t="shared" si="2"/>
        <v>7.523431974787866</v>
      </c>
      <c r="R9" s="32">
        <f t="shared" si="2"/>
        <v>7.5149253588889531</v>
      </c>
      <c r="S9" s="32">
        <f t="shared" si="2"/>
        <v>9.0706568632885283</v>
      </c>
      <c r="T9" s="32">
        <f t="shared" si="2"/>
        <v>11.469779453090977</v>
      </c>
      <c r="U9" s="32">
        <f t="shared" si="2"/>
        <v>14.511272970242054</v>
      </c>
      <c r="V9" s="32">
        <f t="shared" si="2"/>
        <v>14.166900982986146</v>
      </c>
      <c r="W9" s="32">
        <f t="shared" si="2"/>
        <v>9.0893392902523846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9.4103796922999674</v>
      </c>
      <c r="C11" s="130">
        <f t="shared" si="3"/>
        <v>5.1871615091904966</v>
      </c>
      <c r="D11" s="130">
        <f t="shared" si="3"/>
        <v>5.0882244063061099</v>
      </c>
      <c r="E11" s="130">
        <f t="shared" si="3"/>
        <v>4.6967004478853047</v>
      </c>
      <c r="F11" s="130">
        <f t="shared" si="3"/>
        <v>4.9975329739285543</v>
      </c>
      <c r="G11" s="130">
        <f t="shared" si="3"/>
        <v>5.7777592617757145</v>
      </c>
      <c r="H11" s="130">
        <f t="shared" si="3"/>
        <v>6.6199534180948838</v>
      </c>
      <c r="I11" s="130">
        <f t="shared" si="3"/>
        <v>8.3358610794884491</v>
      </c>
      <c r="J11" s="130">
        <f t="shared" si="3"/>
        <v>5.8642036288713655</v>
      </c>
      <c r="K11" s="130">
        <f t="shared" si="3"/>
        <v>5.6186963190564319</v>
      </c>
      <c r="L11" s="130">
        <f t="shared" si="3"/>
        <v>6.4708212170685551</v>
      </c>
      <c r="M11" s="130">
        <f t="shared" si="3"/>
        <v>6.5026294895720653</v>
      </c>
      <c r="N11" s="130">
        <f t="shared" si="3"/>
        <v>5.0739391358907495</v>
      </c>
      <c r="O11" s="130">
        <f t="shared" si="3"/>
        <v>6.5522061575726029</v>
      </c>
      <c r="P11" s="130">
        <f t="shared" si="3"/>
        <v>7.5126563697310322</v>
      </c>
      <c r="Q11" s="130">
        <f t="shared" si="3"/>
        <v>7.523431974787866</v>
      </c>
      <c r="R11" s="130">
        <f t="shared" si="3"/>
        <v>7.5149253588889531</v>
      </c>
      <c r="S11" s="130">
        <f t="shared" si="3"/>
        <v>9.0706568632885283</v>
      </c>
      <c r="T11" s="130">
        <f t="shared" si="3"/>
        <v>11.469779453090977</v>
      </c>
      <c r="U11" s="130">
        <f t="shared" si="3"/>
        <v>14.511272970242054</v>
      </c>
      <c r="V11" s="130">
        <f t="shared" si="3"/>
        <v>14.166900982986146</v>
      </c>
      <c r="W11" s="130">
        <f t="shared" si="3"/>
        <v>9.0893392902523846</v>
      </c>
      <c r="DA11" s="176" t="s">
        <v>408</v>
      </c>
    </row>
    <row r="12" spans="1:105" ht="11.45" customHeight="1" x14ac:dyDescent="0.25">
      <c r="A12" s="111" t="s">
        <v>92</v>
      </c>
      <c r="B12" s="96">
        <v>9.4103796922999674</v>
      </c>
      <c r="C12" s="96">
        <v>5.1871615091904966</v>
      </c>
      <c r="D12" s="96">
        <v>5.0882244063061099</v>
      </c>
      <c r="E12" s="96">
        <v>4.6967004478853047</v>
      </c>
      <c r="F12" s="96">
        <v>4.9975329739285543</v>
      </c>
      <c r="G12" s="96">
        <v>5.7777592617757145</v>
      </c>
      <c r="H12" s="96">
        <v>6.6199534180948838</v>
      </c>
      <c r="I12" s="96">
        <v>8.3358610794884491</v>
      </c>
      <c r="J12" s="96">
        <v>5.8642036288713655</v>
      </c>
      <c r="K12" s="96">
        <v>5.6186963190564319</v>
      </c>
      <c r="L12" s="96">
        <v>6.4708212170685551</v>
      </c>
      <c r="M12" s="96">
        <v>6.5026294895720653</v>
      </c>
      <c r="N12" s="96">
        <v>5.0739391358907495</v>
      </c>
      <c r="O12" s="96">
        <v>6.5522061575726029</v>
      </c>
      <c r="P12" s="96">
        <v>7.5126563697310322</v>
      </c>
      <c r="Q12" s="96">
        <v>7.523431974787866</v>
      </c>
      <c r="R12" s="96">
        <v>7.5149253588889531</v>
      </c>
      <c r="S12" s="96">
        <v>9.0706568632885283</v>
      </c>
      <c r="T12" s="96">
        <v>11.469779453090977</v>
      </c>
      <c r="U12" s="96">
        <v>14.511272970242054</v>
      </c>
      <c r="V12" s="96">
        <v>14.166900982986146</v>
      </c>
      <c r="W12" s="96">
        <v>9.0893392902523846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125.37011030770003</v>
      </c>
      <c r="C15" s="32">
        <f t="shared" si="4"/>
        <v>120.1900384908095</v>
      </c>
      <c r="D15" s="32">
        <f t="shared" si="4"/>
        <v>154.76770559369388</v>
      </c>
      <c r="E15" s="32">
        <f t="shared" si="4"/>
        <v>136.35264955211471</v>
      </c>
      <c r="F15" s="32">
        <f t="shared" si="4"/>
        <v>117.24523702607142</v>
      </c>
      <c r="G15" s="32">
        <f t="shared" si="4"/>
        <v>125.86830073822429</v>
      </c>
      <c r="H15" s="32">
        <f t="shared" si="4"/>
        <v>131.29496658190513</v>
      </c>
      <c r="I15" s="32">
        <f t="shared" si="4"/>
        <v>107.63804892051158</v>
      </c>
      <c r="J15" s="32">
        <f t="shared" si="4"/>
        <v>75.630976371128625</v>
      </c>
      <c r="K15" s="32">
        <f t="shared" si="4"/>
        <v>104.08635368094357</v>
      </c>
      <c r="L15" s="32">
        <f t="shared" si="4"/>
        <v>150.25067878293146</v>
      </c>
      <c r="M15" s="32">
        <f t="shared" si="4"/>
        <v>100.06799051042795</v>
      </c>
      <c r="N15" s="32">
        <f t="shared" si="4"/>
        <v>88.95896086410923</v>
      </c>
      <c r="O15" s="32">
        <f t="shared" si="4"/>
        <v>74.942973842427406</v>
      </c>
      <c r="P15" s="32">
        <f t="shared" si="4"/>
        <v>55.175943630268975</v>
      </c>
      <c r="Q15" s="32">
        <f t="shared" si="4"/>
        <v>52.030738025212138</v>
      </c>
      <c r="R15" s="32">
        <f t="shared" si="4"/>
        <v>39.501524641111054</v>
      </c>
      <c r="S15" s="32">
        <f t="shared" si="4"/>
        <v>39.838988856711474</v>
      </c>
      <c r="T15" s="32">
        <f t="shared" si="4"/>
        <v>34.421476866909032</v>
      </c>
      <c r="U15" s="32">
        <f t="shared" si="4"/>
        <v>35.774320829757933</v>
      </c>
      <c r="V15" s="32">
        <f t="shared" si="4"/>
        <v>30.824840617013869</v>
      </c>
      <c r="W15" s="32">
        <f t="shared" si="4"/>
        <v>34.419750229747613</v>
      </c>
      <c r="DA15" s="173" t="s">
        <v>413</v>
      </c>
    </row>
    <row r="16" spans="1:105" ht="11.45" customHeight="1" x14ac:dyDescent="0.25">
      <c r="A16" s="83" t="s">
        <v>92</v>
      </c>
      <c r="B16" s="96">
        <v>125.37011030770003</v>
      </c>
      <c r="C16" s="96">
        <v>120.1900384908095</v>
      </c>
      <c r="D16" s="96">
        <v>154.76770559369388</v>
      </c>
      <c r="E16" s="96">
        <v>136.35264955211471</v>
      </c>
      <c r="F16" s="96">
        <v>117.24523702607142</v>
      </c>
      <c r="G16" s="96">
        <v>125.86830073822429</v>
      </c>
      <c r="H16" s="96">
        <v>131.29496658190513</v>
      </c>
      <c r="I16" s="96">
        <v>107.63804892051158</v>
      </c>
      <c r="J16" s="96">
        <v>75.630976371128625</v>
      </c>
      <c r="K16" s="96">
        <v>104.08635368094357</v>
      </c>
      <c r="L16" s="96">
        <v>150.25067878293146</v>
      </c>
      <c r="M16" s="96">
        <v>100.06799051042795</v>
      </c>
      <c r="N16" s="96">
        <v>88.95896086410923</v>
      </c>
      <c r="O16" s="96">
        <v>74.942973842427406</v>
      </c>
      <c r="P16" s="96">
        <v>55.175943630268975</v>
      </c>
      <c r="Q16" s="96">
        <v>52.030738025212138</v>
      </c>
      <c r="R16" s="96">
        <v>39.501524641111054</v>
      </c>
      <c r="S16" s="96">
        <v>39.838988856711474</v>
      </c>
      <c r="T16" s="96">
        <v>34.421476866909032</v>
      </c>
      <c r="U16" s="96">
        <v>35.774320829757933</v>
      </c>
      <c r="V16" s="96">
        <v>30.824840617013869</v>
      </c>
      <c r="W16" s="96">
        <v>34.419750229747613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3.007188678561151</v>
      </c>
      <c r="C22" s="134">
        <f>IF(C4=0,0,C4/TrRail_ene!C4)</f>
        <v>2.9941208131416839</v>
      </c>
      <c r="D22" s="134">
        <f>IF(D4=0,0,D4/TrRail_ene!D4)</f>
        <v>3.0168348331034482</v>
      </c>
      <c r="E22" s="134">
        <f>IF(E4=0,0,E4/TrRail_ene!E4)</f>
        <v>3.000281555555556</v>
      </c>
      <c r="F22" s="134">
        <f>IF(F4=0,0,F4/TrRail_ene!F4)</f>
        <v>3.0104466174695603</v>
      </c>
      <c r="G22" s="134">
        <f>IF(G4=0,0,G4/TrRail_ene!G4)</f>
        <v>3.0168348331034482</v>
      </c>
      <c r="H22" s="134">
        <f>IF(H4=0,0,H4/TrRail_ene!H4)</f>
        <v>3.0206224474576269</v>
      </c>
      <c r="I22" s="134">
        <f>IF(I4=0,0,I4/TrRail_ene!I4)</f>
        <v>3.0123429889447237</v>
      </c>
      <c r="J22" s="134">
        <f>IF(J4=0,0,J4/TrRail_ene!J4)</f>
        <v>2.97578946122449</v>
      </c>
      <c r="K22" s="134">
        <f>IF(K4=0,0,K4/TrRail_ene!K4)</f>
        <v>3.0144589049025399</v>
      </c>
      <c r="L22" s="134">
        <f>IF(L4=0,0,L4/TrRail_ene!L4)</f>
        <v>3.0302095511221947</v>
      </c>
      <c r="M22" s="134">
        <f>IF(M4=0,0,M4/TrRail_ene!M4)</f>
        <v>3.0119472918590522</v>
      </c>
      <c r="N22" s="134">
        <f>IF(N4=0,0,N4/TrRail_ene!N4)</f>
        <v>3.0002815555555555</v>
      </c>
      <c r="O22" s="134">
        <f>IF(O4=0,0,O4/TrRail_ene!O4)</f>
        <v>2.9945938180094793</v>
      </c>
      <c r="P22" s="134">
        <f>IF(P4=0,0,P4/TrRail_ene!P4)</f>
        <v>2.9397920080645159</v>
      </c>
      <c r="Q22" s="134">
        <f>IF(Q4=0,0,Q4/TrRail_ene!Q4)</f>
        <v>2.9317036914285715</v>
      </c>
      <c r="R22" s="134">
        <f>IF(R4=0,0,R4/TrRail_ene!R4)</f>
        <v>2.9046550517928291</v>
      </c>
      <c r="S22" s="134">
        <f>IF(S4=0,0,S4/TrRail_ene!S4)</f>
        <v>2.8970097822915557</v>
      </c>
      <c r="T22" s="134">
        <f>IF(T4=0,0,T4/TrRail_ene!T4)</f>
        <v>2.9319861947437813</v>
      </c>
      <c r="U22" s="134">
        <f>IF(U4=0,0,U4/TrRail_ene!U4)</f>
        <v>2.9167425046457693</v>
      </c>
      <c r="V22" s="134">
        <f>IF(V4=0,0,V4/TrRail_ene!V4)</f>
        <v>2.9043847402753111</v>
      </c>
      <c r="W22" s="134">
        <f>IF(W4=0,0,W4/TrRail_ene!W4)</f>
        <v>2.8721560644212105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1.5512093999999998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1.5512094000000003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1.5512094000000003</v>
      </c>
      <c r="K23" s="129">
        <f>IF(K5=0,0,K5/SUM(TrRail_ene!K5:K7))</f>
        <v>1.5512094000000001</v>
      </c>
      <c r="L23" s="129">
        <f>IF(L5=0,0,L5/SUM(TrRail_ene!L5:L7))</f>
        <v>1.5512094000000003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1.5512094000000003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1.5512094000000003</v>
      </c>
      <c r="W23" s="129">
        <f>IF(W5=0,0,W5/SUM(TrRail_ene!W5:W7))</f>
        <v>1.5512094000000003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11590.447796573271</v>
      </c>
      <c r="C26" s="54">
        <f>IF(C8=0,0,C8/TrRail_act!C14*1000)</f>
        <v>11733.655205735738</v>
      </c>
      <c r="D26" s="54">
        <f>IF(D8=0,0,D8/TrRail_act!D14*1000)</f>
        <v>12153.996268855031</v>
      </c>
      <c r="E26" s="54">
        <f>IF(E8=0,0,E8/TrRail_act!E14*1000)</f>
        <v>11685.500683627602</v>
      </c>
      <c r="F26" s="54">
        <f>IF(F8=0,0,F8/TrRail_act!F14*1000)</f>
        <v>11739.999411003253</v>
      </c>
      <c r="G26" s="54">
        <f>IF(G8=0,0,G8/TrRail_act!G14*1000)</f>
        <v>11907.689499620934</v>
      </c>
      <c r="H26" s="54">
        <f>IF(H8=0,0,H8/TrRail_act!H14*1000)</f>
        <v>11789.269788586997</v>
      </c>
      <c r="I26" s="54">
        <f>IF(I8=0,0,I8/TrRail_act!I14*1000)</f>
        <v>11098.005817232079</v>
      </c>
      <c r="J26" s="54">
        <f>IF(J8=0,0,J8/TrRail_act!J14*1000)</f>
        <v>10457.827751673578</v>
      </c>
      <c r="K26" s="54">
        <f>IF(K8=0,0,K8/TrRail_act!K14*1000)</f>
        <v>10954.259966400257</v>
      </c>
      <c r="L26" s="54">
        <f>IF(L8=0,0,L8/TrRail_act!L14*1000)</f>
        <v>11131.007704650949</v>
      </c>
      <c r="M26" s="54">
        <f>IF(M8=0,0,M8/TrRail_act!M14*1000)</f>
        <v>10438.223672067319</v>
      </c>
      <c r="N26" s="54">
        <f>IF(N8=0,0,N8/TrRail_act!N14*1000)</f>
        <v>9970.8310764042799</v>
      </c>
      <c r="O26" s="54">
        <f>IF(O8=0,0,O8/TrRail_act!O14*1000)</f>
        <v>9544.3752501637955</v>
      </c>
      <c r="P26" s="54">
        <f>IF(P8=0,0,P8/TrRail_act!P14*1000)</f>
        <v>8607.1204297179102</v>
      </c>
      <c r="Q26" s="54">
        <f>IF(Q8=0,0,Q8/TrRail_act!Q14*1000)</f>
        <v>8337.8286305232978</v>
      </c>
      <c r="R26" s="54">
        <f>IF(R8=0,0,R8/TrRail_act!R14*1000)</f>
        <v>7636.9159943209843</v>
      </c>
      <c r="S26" s="54">
        <f>IF(S8=0,0,S8/TrRail_act!S14*1000)</f>
        <v>7345.8470685466209</v>
      </c>
      <c r="T26" s="54">
        <f>IF(T8=0,0,T8/TrRail_act!T14*1000)</f>
        <v>6773.2431452936344</v>
      </c>
      <c r="U26" s="54">
        <f>IF(U8=0,0,U8/TrRail_act!U14*1000)</f>
        <v>6429.4869846638276</v>
      </c>
      <c r="V26" s="54">
        <f>IF(V8=0,0,V8/TrRail_act!V14*1000)</f>
        <v>6116.2410957358652</v>
      </c>
      <c r="W26" s="54">
        <f>IF(W8=0,0,W8/TrRail_act!W14*1000)</f>
        <v>6368.3296784972808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2996.863208497361</v>
      </c>
      <c r="C27" s="28">
        <f>IF(C9=0,0,C9/TrRail_act!C15*1000)</f>
        <v>2058.3406190643018</v>
      </c>
      <c r="D27" s="28">
        <f>IF(D9=0,0,D9/TrRail_act!D15*1000)</f>
        <v>1959.295400235588</v>
      </c>
      <c r="E27" s="28">
        <f>IF(E9=0,0,E9/TrRail_act!E15*1000)</f>
        <v>1738.8575725755206</v>
      </c>
      <c r="F27" s="28">
        <f>IF(F9=0,0,F9/TrRail_act!F15*1000)</f>
        <v>2127.1154843851887</v>
      </c>
      <c r="G27" s="28">
        <f>IF(G9=0,0,G9/TrRail_act!G15*1000)</f>
        <v>2432.9510686942981</v>
      </c>
      <c r="H27" s="28">
        <f>IF(H9=0,0,H9/TrRail_act!H15*1000)</f>
        <v>2589.9879128507282</v>
      </c>
      <c r="I27" s="28">
        <f>IF(I9=0,0,I9/TrRail_act!I15*1000)</f>
        <v>2989.2992161432562</v>
      </c>
      <c r="J27" s="28">
        <f>IF(J9=0,0,J9/TrRail_act!J15*1000)</f>
        <v>2550.44467516238</v>
      </c>
      <c r="K27" s="28">
        <f>IF(K9=0,0,K9/TrRail_act!K15*1000)</f>
        <v>2468.6157413063293</v>
      </c>
      <c r="L27" s="28">
        <f>IF(L9=0,0,L9/TrRail_act!L15*1000)</f>
        <v>2458.5323384199642</v>
      </c>
      <c r="M27" s="28">
        <f>IF(M9=0,0,M9/TrRail_act!M15*1000)</f>
        <v>2641.8117195723225</v>
      </c>
      <c r="N27" s="28">
        <f>IF(N9=0,0,N9/TrRail_act!N15*1000)</f>
        <v>2042.2951292078485</v>
      </c>
      <c r="O27" s="28">
        <f>IF(O9=0,0,O9/TrRail_act!O15*1000)</f>
        <v>2500.9085465597909</v>
      </c>
      <c r="P27" s="28">
        <f>IF(P9=0,0,P9/TrRail_act!P15*1000)</f>
        <v>2636.0008327945407</v>
      </c>
      <c r="Q27" s="28">
        <f>IF(Q9=0,0,Q9/TrRail_act!Q15*1000)</f>
        <v>2602.1127887432294</v>
      </c>
      <c r="R27" s="28">
        <f>IF(R9=0,0,R9/TrRail_act!R15*1000)</f>
        <v>2602.1558100395268</v>
      </c>
      <c r="S27" s="28">
        <f>IF(S9=0,0,S9/TrRail_act!S15*1000)</f>
        <v>2737.3107152827683</v>
      </c>
      <c r="T27" s="28">
        <f>IF(T9=0,0,T9/TrRail_act!T15*1000)</f>
        <v>2987.2580054914738</v>
      </c>
      <c r="U27" s="28">
        <f>IF(U9=0,0,U9/TrRail_act!U15*1000)</f>
        <v>3075.7978486576048</v>
      </c>
      <c r="V27" s="28">
        <f>IF(V9=0,0,V9/TrRail_act!V15*1000)</f>
        <v>3047.8680283704971</v>
      </c>
      <c r="W27" s="28">
        <f>IF(W9=0,0,W9/TrRail_act!W15*1000)</f>
        <v>2404.9507203751973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5181.5018177399879</v>
      </c>
      <c r="C29" s="110">
        <f>IF(C11=0,0,C11/TrRail_act!C17*1000)</f>
        <v>3867.3197829180363</v>
      </c>
      <c r="D29" s="110">
        <f>IF(D11=0,0,D11/TrRail_act!D17*1000)</f>
        <v>3908.2137128909144</v>
      </c>
      <c r="E29" s="110">
        <f>IF(E11=0,0,E11/TrRail_act!E17*1000)</f>
        <v>3410.1867376020468</v>
      </c>
      <c r="F29" s="110">
        <f>IF(F11=0,0,F11/TrRail_act!F17*1000)</f>
        <v>3867.2470910981378</v>
      </c>
      <c r="G29" s="110">
        <f>IF(G11=0,0,G11/TrRail_act!G17*1000)</f>
        <v>3874.0974495991863</v>
      </c>
      <c r="H29" s="110">
        <f>IF(H11=0,0,H11/TrRail_act!H17*1000)</f>
        <v>4031.3773275261174</v>
      </c>
      <c r="I29" s="110">
        <f>IF(I11=0,0,I11/TrRail_act!I17*1000)</f>
        <v>4494.4854994033303</v>
      </c>
      <c r="J29" s="110">
        <f>IF(J11=0,0,J11/TrRail_act!J17*1000)</f>
        <v>3692.367798204546</v>
      </c>
      <c r="K29" s="110">
        <f>IF(K11=0,0,K11/TrRail_act!K17*1000)</f>
        <v>3797.7390838627389</v>
      </c>
      <c r="L29" s="110">
        <f>IF(L11=0,0,L11/TrRail_act!L17*1000)</f>
        <v>3661.8497562974417</v>
      </c>
      <c r="M29" s="110">
        <f>IF(M11=0,0,M11/TrRail_act!M17*1000)</f>
        <v>3856.3584312035191</v>
      </c>
      <c r="N29" s="110">
        <f>IF(N11=0,0,N11/TrRail_act!N17*1000)</f>
        <v>3614.1497459235375</v>
      </c>
      <c r="O29" s="110">
        <f>IF(O11=0,0,O11/TrRail_act!O17*1000)</f>
        <v>3889.6558444640127</v>
      </c>
      <c r="P29" s="110">
        <f>IF(P11=0,0,P11/TrRail_act!P17*1000)</f>
        <v>3546.6159649489846</v>
      </c>
      <c r="Q29" s="110">
        <f>IF(Q11=0,0,Q11/TrRail_act!Q17*1000)</f>
        <v>3426.7800847883263</v>
      </c>
      <c r="R29" s="110">
        <f>IF(R11=0,0,R11/TrRail_act!R17*1000)</f>
        <v>3446.9741627809849</v>
      </c>
      <c r="S29" s="110">
        <f>IF(S11=0,0,S11/TrRail_act!S17*1000)</f>
        <v>3491.483728256665</v>
      </c>
      <c r="T29" s="110">
        <f>IF(T11=0,0,T11/TrRail_act!T17*1000)</f>
        <v>4147.9791921013211</v>
      </c>
      <c r="U29" s="110">
        <f>IF(U11=0,0,U11/TrRail_act!U17*1000)</f>
        <v>4058.8769848632387</v>
      </c>
      <c r="V29" s="110">
        <f>IF(V11=0,0,V11/TrRail_act!V17*1000)</f>
        <v>4030.1894351495412</v>
      </c>
      <c r="W29" s="110">
        <f>IF(W11=0,0,W11/TrRail_act!W17*1000)</f>
        <v>3449.0825317368717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7279.6699590851067</v>
      </c>
      <c r="C30" s="84">
        <f>IF(C12=0,0,C12/TrRail_act!C18*1000)</f>
        <v>7276.1128823648933</v>
      </c>
      <c r="D30" s="84">
        <f>IF(D12=0,0,D12/TrRail_act!D18*1000)</f>
        <v>7251.083015711939</v>
      </c>
      <c r="E30" s="84">
        <f>IF(E12=0,0,E12/TrRail_act!E18*1000)</f>
        <v>6865.7832698961611</v>
      </c>
      <c r="F30" s="84">
        <f>IF(F12=0,0,F12/TrRail_act!F18*1000)</f>
        <v>6672.4675848319448</v>
      </c>
      <c r="G30" s="84">
        <f>IF(G12=0,0,G12/TrRail_act!G18*1000)</f>
        <v>6547.0917048976698</v>
      </c>
      <c r="H30" s="84">
        <f>IF(H12=0,0,H12/TrRail_act!H18*1000)</f>
        <v>6512.098040286678</v>
      </c>
      <c r="I30" s="84">
        <f>IF(I12=0,0,I12/TrRail_act!I18*1000)</f>
        <v>6527.1308408826853</v>
      </c>
      <c r="J30" s="84">
        <f>IF(J12=0,0,J12/TrRail_act!J18*1000)</f>
        <v>6359.2035223536986</v>
      </c>
      <c r="K30" s="84">
        <f>IF(K12=0,0,K12/TrRail_act!K18*1000)</f>
        <v>6279.8039588453503</v>
      </c>
      <c r="L30" s="84">
        <f>IF(L12=0,0,L12/TrRail_act!L18*1000)</f>
        <v>6119.0438683172106</v>
      </c>
      <c r="M30" s="84">
        <f>IF(M12=0,0,M12/TrRail_act!M18*1000)</f>
        <v>6030.6079146591455</v>
      </c>
      <c r="N30" s="84">
        <f>IF(N12=0,0,N12/TrRail_act!N18*1000)</f>
        <v>5881.6272008966444</v>
      </c>
      <c r="O30" s="84">
        <f>IF(O12=0,0,O12/TrRail_act!O18*1000)</f>
        <v>5682.1456234263997</v>
      </c>
      <c r="P30" s="84">
        <f>IF(P12=0,0,P12/TrRail_act!P18*1000)</f>
        <v>5531.3232620346216</v>
      </c>
      <c r="Q30" s="84">
        <f>IF(Q12=0,0,Q12/TrRail_act!Q18*1000)</f>
        <v>5364.3959973865331</v>
      </c>
      <c r="R30" s="84">
        <f>IF(R12=0,0,R12/TrRail_act!R18*1000)</f>
        <v>5216.3023069730189</v>
      </c>
      <c r="S30" s="84">
        <f>IF(S12=0,0,S12/TrRail_act!S18*1000)</f>
        <v>5133.4608775854249</v>
      </c>
      <c r="T30" s="84">
        <f>IF(T12=0,0,T12/TrRail_act!T18*1000)</f>
        <v>5046.833361716227</v>
      </c>
      <c r="U30" s="84">
        <f>IF(U12=0,0,U12/TrRail_act!U18*1000)</f>
        <v>4957.9093000561161</v>
      </c>
      <c r="V30" s="84">
        <f>IF(V12=0,0,V12/TrRail_act!V18*1000)</f>
        <v>4892.2459987844968</v>
      </c>
      <c r="W30" s="84">
        <f>IF(W12=0,0,W12/TrRail_act!W18*1000)</f>
        <v>4843.5698662331852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14769.394677394708</v>
      </c>
      <c r="C33" s="28">
        <f>IF(C15=0,0,C15/TrRail_act!C21*1000)</f>
        <v>14719.801669176206</v>
      </c>
      <c r="D33" s="28">
        <f>IF(D15=0,0,D15/TrRail_act!D21*1000)</f>
        <v>14662.177778450237</v>
      </c>
      <c r="E33" s="28">
        <f>IF(E15=0,0,E15/TrRail_act!E21*1000)</f>
        <v>14552.926090396151</v>
      </c>
      <c r="F33" s="28">
        <f>IF(F15=0,0,F15/TrRail_act!F21*1000)</f>
        <v>14541.033254861428</v>
      </c>
      <c r="G33" s="28">
        <f>IF(G15=0,0,G15/TrRail_act!G21*1000)</f>
        <v>14499.694100186256</v>
      </c>
      <c r="H33" s="28">
        <f>IF(H15=0,0,H15/TrRail_act!H21*1000)</f>
        <v>14361.161015536883</v>
      </c>
      <c r="I33" s="28">
        <f>IF(I15=0,0,I15/TrRail_act!I21*1000)</f>
        <v>14049.37771908321</v>
      </c>
      <c r="J33" s="28">
        <f>IF(J15=0,0,J15/TrRail_act!J21*1000)</f>
        <v>13767.46291780273</v>
      </c>
      <c r="K33" s="28">
        <f>IF(K15=0,0,K15/TrRail_act!K21*1000)</f>
        <v>13449.971982993784</v>
      </c>
      <c r="L33" s="28">
        <f>IF(L15=0,0,L15/TrRail_act!L21*1000)</f>
        <v>13124.923905396918</v>
      </c>
      <c r="M33" s="28">
        <f>IF(M15=0,0,M15/TrRail_act!M21*1000)</f>
        <v>12914.960267023065</v>
      </c>
      <c r="N33" s="28">
        <f>IF(N15=0,0,N15/TrRail_act!N21*1000)</f>
        <v>12806.541766013566</v>
      </c>
      <c r="O33" s="28">
        <f>IF(O15=0,0,O15/TrRail_act!O21*1000)</f>
        <v>12662.226238819832</v>
      </c>
      <c r="P33" s="28">
        <f>IF(P15=0,0,P15/TrRail_act!P21*1000)</f>
        <v>12445.73530866359</v>
      </c>
      <c r="Q33" s="28">
        <f>IF(Q15=0,0,Q15/TrRail_act!Q21*1000)</f>
        <v>12238.583744985939</v>
      </c>
      <c r="R33" s="28">
        <f>IF(R15=0,0,R15/TrRail_act!R21*1000)</f>
        <v>12085.485917778495</v>
      </c>
      <c r="S33" s="28">
        <f>IF(S15=0,0,S15/TrRail_act!S21*1000)</f>
        <v>11912.06108829036</v>
      </c>
      <c r="T33" s="28">
        <f>IF(T15=0,0,T15/TrRail_act!T21*1000)</f>
        <v>11724.709446334953</v>
      </c>
      <c r="U33" s="28">
        <f>IF(U15=0,0,U15/TrRail_act!U21*1000)</f>
        <v>11528.201338908</v>
      </c>
      <c r="V33" s="28">
        <f>IF(V15=0,0,V15/TrRail_act!V21*1000)</f>
        <v>11382.98465829863</v>
      </c>
      <c r="W33" s="28">
        <f>IF(W15=0,0,W15/TrRail_act!W21*1000)</f>
        <v>11275.273853831603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14769.394677394708</v>
      </c>
      <c r="C34" s="84">
        <f>IF(C16=0,0,C16/TrRail_act!C22*1000)</f>
        <v>14719.801669176206</v>
      </c>
      <c r="D34" s="84">
        <f>IF(D16=0,0,D16/TrRail_act!D22*1000)</f>
        <v>14662.177778450237</v>
      </c>
      <c r="E34" s="84">
        <f>IF(E16=0,0,E16/TrRail_act!E22*1000)</f>
        <v>14552.926090396151</v>
      </c>
      <c r="F34" s="84">
        <f>IF(F16=0,0,F16/TrRail_act!F22*1000)</f>
        <v>14541.033254861428</v>
      </c>
      <c r="G34" s="84">
        <f>IF(G16=0,0,G16/TrRail_act!G22*1000)</f>
        <v>14499.694100186256</v>
      </c>
      <c r="H34" s="84">
        <f>IF(H16=0,0,H16/TrRail_act!H22*1000)</f>
        <v>14361.161015536883</v>
      </c>
      <c r="I34" s="84">
        <f>IF(I16=0,0,I16/TrRail_act!I22*1000)</f>
        <v>14049.37771908321</v>
      </c>
      <c r="J34" s="84">
        <f>IF(J16=0,0,J16/TrRail_act!J22*1000)</f>
        <v>13767.46291780273</v>
      </c>
      <c r="K34" s="84">
        <f>IF(K16=0,0,K16/TrRail_act!K22*1000)</f>
        <v>13449.971982993784</v>
      </c>
      <c r="L34" s="84">
        <f>IF(L16=0,0,L16/TrRail_act!L22*1000)</f>
        <v>13124.923905396918</v>
      </c>
      <c r="M34" s="84">
        <f>IF(M16=0,0,M16/TrRail_act!M22*1000)</f>
        <v>12914.960267023065</v>
      </c>
      <c r="N34" s="84">
        <f>IF(N16=0,0,N16/TrRail_act!N22*1000)</f>
        <v>12806.541766013566</v>
      </c>
      <c r="O34" s="84">
        <f>IF(O16=0,0,O16/TrRail_act!O22*1000)</f>
        <v>12662.226238819832</v>
      </c>
      <c r="P34" s="84">
        <f>IF(P16=0,0,P16/TrRail_act!P22*1000)</f>
        <v>12445.73530866359</v>
      </c>
      <c r="Q34" s="84">
        <f>IF(Q16=0,0,Q16/TrRail_act!Q22*1000)</f>
        <v>12238.583744985939</v>
      </c>
      <c r="R34" s="84">
        <f>IF(R16=0,0,R16/TrRail_act!R22*1000)</f>
        <v>12085.485917778495</v>
      </c>
      <c r="S34" s="84">
        <f>IF(S16=0,0,S16/TrRail_act!S22*1000)</f>
        <v>11912.06108829036</v>
      </c>
      <c r="T34" s="84">
        <f>IF(T16=0,0,T16/TrRail_act!T22*1000)</f>
        <v>11724.709446334953</v>
      </c>
      <c r="U34" s="84">
        <f>IF(U16=0,0,U16/TrRail_act!U22*1000)</f>
        <v>11528.201338908</v>
      </c>
      <c r="V34" s="84">
        <f>IF(V16=0,0,V16/TrRail_act!V22*1000)</f>
        <v>11382.98465829863</v>
      </c>
      <c r="W34" s="84">
        <f>IF(W16=0,0,W16/TrRail_act!W22*1000)</f>
        <v>11275.273853831603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25.732512147388483</v>
      </c>
      <c r="C38" s="29">
        <f>IF(C9=0,0,C9/TrRail_act!C4*1000)</f>
        <v>19.194008152446433</v>
      </c>
      <c r="D38" s="29">
        <f>IF(D9=0,0,D9/TrRail_act!D4*1000)</f>
        <v>18.890753318381694</v>
      </c>
      <c r="E38" s="29">
        <f>IF(E9=0,0,E9/TrRail_act!E4*1000)</f>
        <v>17.071833668534882</v>
      </c>
      <c r="F38" s="29">
        <f>IF(F9=0,0,F9/TrRail_act!F4*1000)</f>
        <v>18.080799471521544</v>
      </c>
      <c r="G38" s="29">
        <f>IF(G9=0,0,G9/TrRail_act!G4*1000)</f>
        <v>17.871200933423179</v>
      </c>
      <c r="H38" s="29">
        <f>IF(H9=0,0,H9/TrRail_act!H4*1000)</f>
        <v>19.725725322094409</v>
      </c>
      <c r="I38" s="29">
        <f>IF(I9=0,0,I9/TrRail_act!I4*1000)</f>
        <v>23.600965683715881</v>
      </c>
      <c r="J38" s="29">
        <f>IF(J9=0,0,J9/TrRail_act!J4*1000)</f>
        <v>16.956063313752512</v>
      </c>
      <c r="K38" s="29">
        <f>IF(K9=0,0,K9/TrRail_act!K4*1000)</f>
        <v>17.512073726905449</v>
      </c>
      <c r="L38" s="29">
        <f>IF(L9=0,0,L9/TrRail_act!L4*1000)</f>
        <v>20.294439706406383</v>
      </c>
      <c r="M38" s="29">
        <f>IF(M9=0,0,M9/TrRail_act!M4*1000)</f>
        <v>21.122857675125598</v>
      </c>
      <c r="N38" s="29">
        <f>IF(N9=0,0,N9/TrRail_act!N4*1000)</f>
        <v>15.497628705748454</v>
      </c>
      <c r="O38" s="29">
        <f>IF(O9=0,0,O9/TrRail_act!O4*1000)</f>
        <v>21.931043089437157</v>
      </c>
      <c r="P38" s="29">
        <f>IF(P9=0,0,P9/TrRail_act!P4*1000)</f>
        <v>22.19278256911311</v>
      </c>
      <c r="Q38" s="29">
        <f>IF(Q9=0,0,Q9/TrRail_act!Q4*1000)</f>
        <v>22.053408144278009</v>
      </c>
      <c r="R38" s="29">
        <f>IF(R9=0,0,R9/TrRail_act!R4*1000)</f>
        <v>20.145416661454327</v>
      </c>
      <c r="S38" s="29">
        <f>IF(S9=0,0,S9/TrRail_act!S4*1000)</f>
        <v>21.312383226908818</v>
      </c>
      <c r="T38" s="29">
        <f>IF(T9=0,0,T9/TrRail_act!T4*1000)</f>
        <v>22.898707611802497</v>
      </c>
      <c r="U38" s="29">
        <f>IF(U9=0,0,U9/TrRail_act!U4*1000)</f>
        <v>30.272939430731022</v>
      </c>
      <c r="V38" s="29">
        <f>IF(V9=0,0,V9/TrRail_act!V4*1000)</f>
        <v>45.19899239707928</v>
      </c>
      <c r="W38" s="29">
        <f>IF(W9=0,0,W9/TrRail_act!W4*1000)</f>
        <v>26.201639533826995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36.055094606513286</v>
      </c>
      <c r="C40" s="116">
        <f>IF(C11=0,0,C11/TrRail_act!C6*1000)</f>
        <v>28.399616254074736</v>
      </c>
      <c r="D40" s="116">
        <f>IF(D11=0,0,D11/TrRail_act!D6*1000)</f>
        <v>28.755153468811024</v>
      </c>
      <c r="E40" s="116">
        <f>IF(E11=0,0,E11/TrRail_act!E6*1000)</f>
        <v>25.832446609641199</v>
      </c>
      <c r="F40" s="116">
        <f>IF(F11=0,0,F11/TrRail_act!F6*1000)</f>
        <v>25.893953232790437</v>
      </c>
      <c r="G40" s="116">
        <f>IF(G11=0,0,G11/TrRail_act!G6*1000)</f>
        <v>23.297416378127881</v>
      </c>
      <c r="H40" s="116">
        <f>IF(H11=0,0,H11/TrRail_act!H6*1000)</f>
        <v>25.75857361126414</v>
      </c>
      <c r="I40" s="116">
        <f>IF(I11=0,0,I11/TrRail_act!I6*1000)</f>
        <v>30.422850655067332</v>
      </c>
      <c r="J40" s="116">
        <f>IF(J11=0,0,J11/TrRail_act!J6*1000)</f>
        <v>21.402203025077977</v>
      </c>
      <c r="K40" s="116">
        <f>IF(K11=0,0,K11/TrRail_act!K6*1000)</f>
        <v>22.565045458057959</v>
      </c>
      <c r="L40" s="116">
        <f>IF(L11=0,0,L11/TrRail_act!L6*1000)</f>
        <v>26.197656749265406</v>
      </c>
      <c r="M40" s="116">
        <f>IF(M11=0,0,M11/TrRail_act!M6*1000)</f>
        <v>26.759792138156648</v>
      </c>
      <c r="N40" s="116">
        <f>IF(N11=0,0,N11/TrRail_act!N6*1000)</f>
        <v>21.591230365492553</v>
      </c>
      <c r="O40" s="116">
        <f>IF(O11=0,0,O11/TrRail_act!O6*1000)</f>
        <v>29.382090392702256</v>
      </c>
      <c r="P40" s="116">
        <f>IF(P11=0,0,P11/TrRail_act!P6*1000)</f>
        <v>26.830915606182259</v>
      </c>
      <c r="Q40" s="116">
        <f>IF(Q11=0,0,Q11/TrRail_act!Q6*1000)</f>
        <v>26.305706205551981</v>
      </c>
      <c r="R40" s="116">
        <f>IF(R11=0,0,R11/TrRail_act!R6*1000)</f>
        <v>23.781409363572639</v>
      </c>
      <c r="S40" s="116">
        <f>IF(S11=0,0,S11/TrRail_act!S6*1000)</f>
        <v>24.783215473465923</v>
      </c>
      <c r="T40" s="116">
        <f>IF(T11=0,0,T11/TrRail_act!T6*1000)</f>
        <v>27.505466314366853</v>
      </c>
      <c r="U40" s="116">
        <f>IF(U11=0,0,U11/TrRail_act!U6*1000)</f>
        <v>37.018553495515441</v>
      </c>
      <c r="V40" s="116">
        <f>IF(V11=0,0,V11/TrRail_act!V6*1000)</f>
        <v>53.866543661544277</v>
      </c>
      <c r="W40" s="116">
        <f>IF(W11=0,0,W11/TrRail_act!W6*1000)</f>
        <v>31.342549276732363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52.385240678147305</v>
      </c>
      <c r="C41" s="87">
        <f>IF(C12=0,0,C12/TrRail_act!C7*1000)</f>
        <v>52.203647115602585</v>
      </c>
      <c r="D41" s="87">
        <f>IF(D12=0,0,D12/TrRail_act!D7*1000)</f>
        <v>51.966470383809586</v>
      </c>
      <c r="E41" s="87">
        <f>IF(E12=0,0,E12/TrRail_act!E7*1000)</f>
        <v>49.018400012507506</v>
      </c>
      <c r="F41" s="87">
        <f>IF(F12=0,0,F12/TrRail_act!F7*1000)</f>
        <v>47.625118343688143</v>
      </c>
      <c r="G41" s="87">
        <f>IF(G12=0,0,G12/TrRail_act!G7*1000)</f>
        <v>46.358667086574137</v>
      </c>
      <c r="H41" s="87">
        <f>IF(H12=0,0,H12/TrRail_act!H7*1000)</f>
        <v>45.981683768614602</v>
      </c>
      <c r="I41" s="87">
        <f>IF(I12=0,0,I12/TrRail_act!I7*1000)</f>
        <v>45.874341610285427</v>
      </c>
      <c r="J41" s="87">
        <f>IF(J12=0,0,J12/TrRail_act!J7*1000)</f>
        <v>46.233117193827589</v>
      </c>
      <c r="K41" s="87">
        <f>IF(K12=0,0,K12/TrRail_act!K7*1000)</f>
        <v>45.389311008195513</v>
      </c>
      <c r="L41" s="87">
        <f>IF(L12=0,0,L12/TrRail_act!L7*1000)</f>
        <v>44.096378502819228</v>
      </c>
      <c r="M41" s="87">
        <f>IF(M12=0,0,M12/TrRail_act!M7*1000)</f>
        <v>43.584472377629396</v>
      </c>
      <c r="N41" s="87">
        <f>IF(N12=0,0,N12/TrRail_act!N7*1000)</f>
        <v>42.83843060623353</v>
      </c>
      <c r="O41" s="87">
        <f>IF(O12=0,0,O12/TrRail_act!O7*1000)</f>
        <v>41.090154205011871</v>
      </c>
      <c r="P41" s="87">
        <f>IF(P12=0,0,P12/TrRail_act!P7*1000)</f>
        <v>39.746614997625031</v>
      </c>
      <c r="Q41" s="87">
        <f>IF(Q12=0,0,Q12/TrRail_act!Q7*1000)</f>
        <v>38.394419199452827</v>
      </c>
      <c r="R41" s="87">
        <f>IF(R12=0,0,R12/TrRail_act!R7*1000)</f>
        <v>36.921887275592731</v>
      </c>
      <c r="S41" s="87">
        <f>IF(S12=0,0,S12/TrRail_act!S7*1000)</f>
        <v>36.34740853931136</v>
      </c>
      <c r="T41" s="87">
        <f>IF(T12=0,0,T12/TrRail_act!T7*1000)</f>
        <v>35.184406922772624</v>
      </c>
      <c r="U41" s="87">
        <f>IF(U12=0,0,U12/TrRail_act!U7*1000)</f>
        <v>46.797509629786141</v>
      </c>
      <c r="V41" s="87">
        <f>IF(V12=0,0,V12/TrRail_act!V7*1000)</f>
        <v>69.342610004365582</v>
      </c>
      <c r="W41" s="87">
        <f>IF(W12=0,0,W12/TrRail_act!W7*1000)</f>
        <v>41.143805130042097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15.473970662515431</v>
      </c>
      <c r="C44" s="29">
        <f>IF(C15=0,0,C15/TrRail_act!C10*1000)</f>
        <v>14.045814945753126</v>
      </c>
      <c r="D44" s="29">
        <f>IF(D15=0,0,D15/TrRail_act!D10*1000)</f>
        <v>15.960369763194169</v>
      </c>
      <c r="E44" s="29">
        <f>IF(E15=0,0,E15/TrRail_act!E10*1000)</f>
        <v>14.100584234965329</v>
      </c>
      <c r="F44" s="29">
        <f>IF(F15=0,0,F15/TrRail_act!F10*1000)</f>
        <v>11.178989037573553</v>
      </c>
      <c r="G44" s="29">
        <f>IF(G15=0,0,G15/TrRail_act!G10*1000)</f>
        <v>11.830839433990439</v>
      </c>
      <c r="H44" s="29">
        <f>IF(H15=0,0,H15/TrRail_act!H10*1000)</f>
        <v>12.602703645796231</v>
      </c>
      <c r="I44" s="29">
        <f>IF(I15=0,0,I15/TrRail_act!I10*1000)</f>
        <v>12.76845182924218</v>
      </c>
      <c r="J44" s="29">
        <f>IF(J15=0,0,J15/TrRail_act!J10*1000)</f>
        <v>12.726060301384592</v>
      </c>
      <c r="K44" s="29">
        <f>IF(K15=0,0,K15/TrRail_act!K10*1000)</f>
        <v>17.502329524288477</v>
      </c>
      <c r="L44" s="29">
        <f>IF(L15=0,0,L15/TrRail_act!L10*1000)</f>
        <v>22.634932025147851</v>
      </c>
      <c r="M44" s="29">
        <f>IF(M15=0,0,M15/TrRail_act!M10*1000)</f>
        <v>15.957262081076056</v>
      </c>
      <c r="N44" s="29">
        <f>IF(N15=0,0,N15/TrRail_act!N10*1000)</f>
        <v>17.344309000606206</v>
      </c>
      <c r="O44" s="29">
        <f>IF(O15=0,0,O15/TrRail_act!O10*1000)</f>
        <v>15.871023685393352</v>
      </c>
      <c r="P44" s="29">
        <f>IF(P15=0,0,P15/TrRail_act!P10*1000)</f>
        <v>16.945928633374994</v>
      </c>
      <c r="Q44" s="29">
        <f>IF(Q15=0,0,Q15/TrRail_act!Q10*1000)</f>
        <v>16.692569145079286</v>
      </c>
      <c r="R44" s="29">
        <f>IF(R15=0,0,R15/TrRail_act!R10*1000)</f>
        <v>16.880993436372243</v>
      </c>
      <c r="S44" s="29">
        <f>IF(S15=0,0,S15/TrRail_act!S10*1000)</f>
        <v>17.135048970628596</v>
      </c>
      <c r="T44" s="29">
        <f>IF(T15=0,0,T15/TrRail_act!T10*1000)</f>
        <v>13.300416100042129</v>
      </c>
      <c r="U44" s="29">
        <f>IF(U15=0,0,U15/TrRail_act!U10*1000)</f>
        <v>16.600612914040806</v>
      </c>
      <c r="V44" s="29">
        <f>IF(V15=0,0,V15/TrRail_act!V10*1000)</f>
        <v>17.828132224993563</v>
      </c>
      <c r="W44" s="29">
        <f>IF(W15=0,0,W15/TrRail_act!W10*1000)</f>
        <v>16.205155475399067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15.473970662515431</v>
      </c>
      <c r="C45" s="87">
        <f>IF(C16=0,0,C16/TrRail_act!C11*1000)</f>
        <v>14.045814945753126</v>
      </c>
      <c r="D45" s="87">
        <f>IF(D16=0,0,D16/TrRail_act!D11*1000)</f>
        <v>15.960369763194169</v>
      </c>
      <c r="E45" s="87">
        <f>IF(E16=0,0,E16/TrRail_act!E11*1000)</f>
        <v>14.100584234965329</v>
      </c>
      <c r="F45" s="87">
        <f>IF(F16=0,0,F16/TrRail_act!F11*1000)</f>
        <v>11.178989037573553</v>
      </c>
      <c r="G45" s="87">
        <f>IF(G16=0,0,G16/TrRail_act!G11*1000)</f>
        <v>11.830839433990439</v>
      </c>
      <c r="H45" s="87">
        <f>IF(H16=0,0,H16/TrRail_act!H11*1000)</f>
        <v>12.602703645796231</v>
      </c>
      <c r="I45" s="87">
        <f>IF(I16=0,0,I16/TrRail_act!I11*1000)</f>
        <v>12.76845182924218</v>
      </c>
      <c r="J45" s="87">
        <f>IF(J16=0,0,J16/TrRail_act!J11*1000)</f>
        <v>12.726060301384592</v>
      </c>
      <c r="K45" s="87">
        <f>IF(K16=0,0,K16/TrRail_act!K11*1000)</f>
        <v>17.502329524288477</v>
      </c>
      <c r="L45" s="87">
        <f>IF(L16=0,0,L16/TrRail_act!L11*1000)</f>
        <v>22.634932025147851</v>
      </c>
      <c r="M45" s="87">
        <f>IF(M16=0,0,M16/TrRail_act!M11*1000)</f>
        <v>15.957262081076056</v>
      </c>
      <c r="N45" s="87">
        <f>IF(N16=0,0,N16/TrRail_act!N11*1000)</f>
        <v>17.344309000606206</v>
      </c>
      <c r="O45" s="87">
        <f>IF(O16=0,0,O16/TrRail_act!O11*1000)</f>
        <v>15.871023685393352</v>
      </c>
      <c r="P45" s="87">
        <f>IF(P16=0,0,P16/TrRail_act!P11*1000)</f>
        <v>16.945928633374994</v>
      </c>
      <c r="Q45" s="87">
        <f>IF(Q16=0,0,Q16/TrRail_act!Q11*1000)</f>
        <v>16.692569145079286</v>
      </c>
      <c r="R45" s="87">
        <f>IF(R16=0,0,R16/TrRail_act!R11*1000)</f>
        <v>16.880993436372243</v>
      </c>
      <c r="S45" s="87">
        <f>IF(S16=0,0,S16/TrRail_act!S11*1000)</f>
        <v>17.135048970628596</v>
      </c>
      <c r="T45" s="87">
        <f>IF(T16=0,0,T16/TrRail_act!T11*1000)</f>
        <v>13.300416100042129</v>
      </c>
      <c r="U45" s="87">
        <f>IF(U16=0,0,U16/TrRail_act!U11*1000)</f>
        <v>16.600612914040806</v>
      </c>
      <c r="V45" s="87">
        <f>IF(V16=0,0,V16/TrRail_act!V11*1000)</f>
        <v>17.828132224993563</v>
      </c>
      <c r="W45" s="87">
        <f>IF(W16=0,0,W16/TrRail_act!W11*1000)</f>
        <v>16.205155475399067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2024.1595889796552</v>
      </c>
      <c r="C48" s="62">
        <f>IF(C8=0,0,1000000*C8/TrRail_act!C25/1000)</f>
        <v>1971.2326615736624</v>
      </c>
      <c r="D48" s="62">
        <f>IF(D8=0,0,1000000*D8/TrRail_act!D25/1000)</f>
        <v>2118.792897751563</v>
      </c>
      <c r="E48" s="62">
        <f>IF(E8=0,0,1000000*E8/TrRail_act!E25/1000)</f>
        <v>1980.4270564565702</v>
      </c>
      <c r="F48" s="62">
        <f>IF(F8=0,0,1000000*F8/TrRail_act!F25/1000)</f>
        <v>1893.3845737509239</v>
      </c>
      <c r="G48" s="62">
        <f>IF(G8=0,0,1000000*G8/TrRail_act!G25/1000)</f>
        <v>2090.5005652936698</v>
      </c>
      <c r="H48" s="62">
        <f>IF(H8=0,0,1000000*H8/TrRail_act!H25/1000)</f>
        <v>2119.0695768009023</v>
      </c>
      <c r="I48" s="62">
        <f>IF(I8=0,0,1000000*I8/TrRail_act!I25/1000)</f>
        <v>1860.883248716304</v>
      </c>
      <c r="J48" s="62">
        <f>IF(J8=0,0,1000000*J8/TrRail_act!J25/1000)</f>
        <v>1439.7912839915296</v>
      </c>
      <c r="K48" s="62">
        <f>IF(K8=0,0,1000000*K8/TrRail_act!K25/1000)</f>
        <v>1930.8438081921527</v>
      </c>
      <c r="L48" s="62">
        <f>IF(L8=0,0,1000000*L8/TrRail_act!L25/1000)</f>
        <v>2038.4688108477351</v>
      </c>
      <c r="M48" s="62">
        <f>IF(M8=0,0,1000000*M8/TrRail_act!M25/1000)</f>
        <v>1488.1659032384159</v>
      </c>
      <c r="N48" s="62">
        <f>IF(N8=0,0,1000000*N8/TrRail_act!N25/1000)</f>
        <v>1364.1298700367995</v>
      </c>
      <c r="O48" s="62">
        <f>IF(O8=0,0,1000000*O8/TrRail_act!O25/1000)</f>
        <v>1263.559336224652</v>
      </c>
      <c r="P48" s="62">
        <f>IF(P8=0,0,1000000*P8/TrRail_act!P25/1000)</f>
        <v>1014.3920182766167</v>
      </c>
      <c r="Q48" s="62">
        <f>IF(Q8=0,0,1000000*Q8/TrRail_act!Q25/1000)</f>
        <v>1045.1878996039113</v>
      </c>
      <c r="R48" s="62">
        <f>IF(R8=0,0,1000000*R8/TrRail_act!R25/1000)</f>
        <v>891.30788625900993</v>
      </c>
      <c r="S48" s="62">
        <f>IF(S8=0,0,1000000*S8/TrRail_act!S25/1000)</f>
        <v>952.37346037034536</v>
      </c>
      <c r="T48" s="62">
        <f>IF(T8=0,0,1000000*T8/TrRail_act!T25/1000)</f>
        <v>859.48234733579488</v>
      </c>
      <c r="U48" s="62">
        <f>IF(U8=0,0,1000000*U8/TrRail_act!U25/1000)</f>
        <v>934.97132822539004</v>
      </c>
      <c r="V48" s="62">
        <f>IF(V8=0,0,1000000*V8/TrRail_act!V25/1000)</f>
        <v>920.19416470179397</v>
      </c>
      <c r="W48" s="62">
        <f>IF(W8=0,0,1000000*W8/TrRail_act!W25/1000)</f>
        <v>884.9397716832018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389.77084148377696</v>
      </c>
      <c r="C49" s="29">
        <f>IF(C9=0,0,1000000*C9/TrRail_act!C26/1000)</f>
        <v>227.73201904646592</v>
      </c>
      <c r="D49" s="29">
        <f>IF(D9=0,0,1000000*D9/TrRail_act!D26/1000)</f>
        <v>224.45909558117452</v>
      </c>
      <c r="E49" s="29">
        <f>IF(E9=0,0,1000000*E9/TrRail_act!E26/1000)</f>
        <v>207.01194429253025</v>
      </c>
      <c r="F49" s="29">
        <f>IF(F9=0,0,1000000*F9/TrRail_act!F26/1000)</f>
        <v>246.50288693440004</v>
      </c>
      <c r="G49" s="29">
        <f>IF(G9=0,0,1000000*G9/TrRail_act!G26/1000)</f>
        <v>295.2402791243556</v>
      </c>
      <c r="H49" s="29">
        <f>IF(H9=0,0,1000000*H9/TrRail_act!H26/1000)</f>
        <v>341.74646880206456</v>
      </c>
      <c r="I49" s="29">
        <f>IF(I9=0,0,1000000*I9/TrRail_act!I26/1000)</f>
        <v>399.71711867861609</v>
      </c>
      <c r="J49" s="29">
        <f>IF(J9=0,0,1000000*J9/TrRail_act!J26/1000)</f>
        <v>302.60980171290424</v>
      </c>
      <c r="K49" s="29">
        <f>IF(K9=0,0,1000000*K9/TrRail_act!K26/1000)</f>
        <v>310.02678375908351</v>
      </c>
      <c r="L49" s="29">
        <f>IF(L9=0,0,1000000*L9/TrRail_act!L26/1000)</f>
        <v>329.41645030699067</v>
      </c>
      <c r="M49" s="29">
        <f>IF(M9=0,0,1000000*M9/TrRail_act!M26/1000)</f>
        <v>349.27280940064497</v>
      </c>
      <c r="N49" s="29">
        <f>IF(N9=0,0,1000000*N9/TrRail_act!N26/1000)</f>
        <v>251.40498553317641</v>
      </c>
      <c r="O49" s="29">
        <f>IF(O9=0,0,1000000*O9/TrRail_act!O26/1000)</f>
        <v>327.76447189798739</v>
      </c>
      <c r="P49" s="29">
        <f>IF(P9=0,0,1000000*P9/TrRail_act!P26/1000)</f>
        <v>348.81729693514876</v>
      </c>
      <c r="Q49" s="29">
        <f>IF(Q9=0,0,1000000*Q9/TrRail_act!Q26/1000)</f>
        <v>358.90863190758625</v>
      </c>
      <c r="R49" s="29">
        <f>IF(R9=0,0,1000000*R9/TrRail_act!R26/1000)</f>
        <v>358.24960787076498</v>
      </c>
      <c r="S49" s="29">
        <f>IF(S9=0,0,1000000*S9/TrRail_act!S26/1000)</f>
        <v>380.69428250298932</v>
      </c>
      <c r="T49" s="29">
        <f>IF(T9=0,0,1000000*T9/TrRail_act!T26/1000)</f>
        <v>380.93679416662553</v>
      </c>
      <c r="U49" s="29">
        <f>IF(U9=0,0,1000000*U9/TrRail_act!U26/1000)</f>
        <v>417.67924524762594</v>
      </c>
      <c r="V49" s="29">
        <f>IF(V9=0,0,1000000*V9/TrRail_act!V26/1000)</f>
        <v>415.48098126654065</v>
      </c>
      <c r="W49" s="29">
        <f>IF(W9=0,0,1000000*W9/TrRail_act!W26/1000)</f>
        <v>268.10010135016006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777.22523717008335</v>
      </c>
      <c r="C51" s="116">
        <f>IF(C11=0,0,1000000*C11/TrRail_act!C28/1000)</f>
        <v>434.24121069331073</v>
      </c>
      <c r="D51" s="116">
        <f>IF(D11=0,0,1000000*D11/TrRail_act!D28/1000)</f>
        <v>466.9905052486032</v>
      </c>
      <c r="E51" s="116">
        <f>IF(E11=0,0,1000000*E11/TrRail_act!E28/1000)</f>
        <v>440.84793576569251</v>
      </c>
      <c r="F51" s="116">
        <f>IF(F11=0,0,1000000*F11/TrRail_act!F28/1000)</f>
        <v>529.23020243925635</v>
      </c>
      <c r="G51" s="116">
        <f>IF(G11=0,0,1000000*G11/TrRail_act!G28/1000)</f>
        <v>581.11454546417224</v>
      </c>
      <c r="H51" s="116">
        <f>IF(H11=0,0,1000000*H11/TrRail_act!H28/1000)</f>
        <v>604.70653331498647</v>
      </c>
      <c r="I51" s="116">
        <f>IF(I11=0,0,1000000*I11/TrRail_act!I28/1000)</f>
        <v>674.17276624088697</v>
      </c>
      <c r="J51" s="116">
        <f>IF(J11=0,0,1000000*J11/TrRail_act!J28/1000)</f>
        <v>484.94515314161566</v>
      </c>
      <c r="K51" s="116">
        <f>IF(K11=0,0,1000000*K11/TrRail_act!K28/1000)</f>
        <v>516.34152752136345</v>
      </c>
      <c r="L51" s="116">
        <f>IF(L11=0,0,1000000*L11/TrRail_act!L28/1000)</f>
        <v>549.27740285950927</v>
      </c>
      <c r="M51" s="116">
        <f>IF(M11=0,0,1000000*M11/TrRail_act!M28/1000)</f>
        <v>562.0160828533119</v>
      </c>
      <c r="N51" s="116">
        <f>IF(N11=0,0,1000000*N11/TrRail_act!N28/1000)</f>
        <v>489.78993280325363</v>
      </c>
      <c r="O51" s="116">
        <f>IF(O11=0,0,1000000*O11/TrRail_act!O28/1000)</f>
        <v>576.20813312351208</v>
      </c>
      <c r="P51" s="116">
        <f>IF(P11=0,0,1000000*P11/TrRail_act!P28/1000)</f>
        <v>531.99237244901485</v>
      </c>
      <c r="Q51" s="116">
        <f>IF(Q11=0,0,1000000*Q11/TrRail_act!Q28/1000)</f>
        <v>514.01696840373427</v>
      </c>
      <c r="R51" s="116">
        <f>IF(R11=0,0,1000000*R11/TrRail_act!R28/1000)</f>
        <v>516.76855730806733</v>
      </c>
      <c r="S51" s="116">
        <f>IF(S11=0,0,1000000*S11/TrRail_act!S28/1000)</f>
        <v>523.72252933823336</v>
      </c>
      <c r="T51" s="116">
        <f>IF(T11=0,0,1000000*T11/TrRail_act!T28/1000)</f>
        <v>563.8483776703971</v>
      </c>
      <c r="U51" s="116">
        <f>IF(U11=0,0,1000000*U11/TrRail_act!U28/1000)</f>
        <v>595.83570658836095</v>
      </c>
      <c r="V51" s="116">
        <f>IF(V11=0,0,1000000*V11/TrRail_act!V28/1000)</f>
        <v>595.29451350295335</v>
      </c>
      <c r="W51" s="116">
        <f>IF(W11=0,0,1000000*W11/TrRail_act!W28/1000)</f>
        <v>386.75505053083253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1091.9504328230967</v>
      </c>
      <c r="C52" s="87">
        <f>IF(C12=0,0,1000000*C12/TrRail_act!C29/1000)</f>
        <v>668.77959056936641</v>
      </c>
      <c r="D52" s="87">
        <f>IF(D12=0,0,1000000*D12/TrRail_act!D29/1000)</f>
        <v>738.02654868230934</v>
      </c>
      <c r="E52" s="87">
        <f>IF(E12=0,0,1000000*E12/TrRail_act!E29/1000)</f>
        <v>778.55714030426577</v>
      </c>
      <c r="F52" s="87">
        <f>IF(F12=0,0,1000000*F12/TrRail_act!F29/1000)</f>
        <v>966.49592641887421</v>
      </c>
      <c r="G52" s="87">
        <f>IF(G12=0,0,1000000*G12/TrRail_act!G29/1000)</f>
        <v>982.06363346996591</v>
      </c>
      <c r="H52" s="87">
        <f>IF(H12=0,0,1000000*H12/TrRail_act!H29/1000)</f>
        <v>976.81457023543669</v>
      </c>
      <c r="I52" s="87">
        <f>IF(I12=0,0,1000000*I12/TrRail_act!I29/1000)</f>
        <v>979.06958175184604</v>
      </c>
      <c r="J52" s="87">
        <f>IF(J12=0,0,1000000*J12/TrRail_act!J29/1000)</f>
        <v>766.33526982276305</v>
      </c>
      <c r="K52" s="87">
        <f>IF(K12=0,0,1000000*K12/TrRail_act!K29/1000)</f>
        <v>827.43801376110582</v>
      </c>
      <c r="L52" s="87">
        <f>IF(L12=0,0,1000000*L12/TrRail_act!L29/1000)</f>
        <v>917.85648519035078</v>
      </c>
      <c r="M52" s="87">
        <f>IF(M12=0,0,1000000*M12/TrRail_act!M29/1000)</f>
        <v>904.59108422344787</v>
      </c>
      <c r="N52" s="87">
        <f>IF(N12=0,0,1000000*N12/TrRail_act!N29/1000)</f>
        <v>801.99092381496655</v>
      </c>
      <c r="O52" s="87">
        <f>IF(O12=0,0,1000000*O12/TrRail_act!O29/1000)</f>
        <v>852.32182846582123</v>
      </c>
      <c r="P52" s="87">
        <f>IF(P12=0,0,1000000*P12/TrRail_act!P29/1000)</f>
        <v>829.69844109738949</v>
      </c>
      <c r="Q52" s="87">
        <f>IF(Q12=0,0,1000000*Q12/TrRail_act!Q29/1000)</f>
        <v>804.65933086389941</v>
      </c>
      <c r="R52" s="87">
        <f>IF(R12=0,0,1000000*R12/TrRail_act!R29/1000)</f>
        <v>782.445289079595</v>
      </c>
      <c r="S52" s="87">
        <f>IF(S12=0,0,1000000*S12/TrRail_act!S29/1000)</f>
        <v>770.01907703287952</v>
      </c>
      <c r="T52" s="87">
        <f>IF(T12=0,0,1000000*T12/TrRail_act!T29/1000)</f>
        <v>757.02498726107569</v>
      </c>
      <c r="U52" s="87">
        <f>IF(U12=0,0,1000000*U12/TrRail_act!U29/1000)</f>
        <v>743.68639349797604</v>
      </c>
      <c r="V52" s="87">
        <f>IF(V12=0,0,1000000*V12/TrRail_act!V29/1000)</f>
        <v>733.83689163158238</v>
      </c>
      <c r="W52" s="87">
        <f>IF(W12=0,0,1000000*W12/TrRail_act!W29/1000)</f>
        <v>492.8220745170986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2953.8788706617356</v>
      </c>
      <c r="C55" s="29">
        <f>IF(C15=0,0,1000000*C15/TrRail_act!C32/1000)</f>
        <v>2943.9603161137188</v>
      </c>
      <c r="D55" s="29">
        <f>IF(D15=0,0,1000000*D15/TrRail_act!D32/1000)</f>
        <v>2932.4355023956609</v>
      </c>
      <c r="E55" s="29">
        <f>IF(E15=0,0,1000000*E15/TrRail_act!E32/1000)</f>
        <v>2809.4473967027834</v>
      </c>
      <c r="F55" s="29">
        <f>IF(F15=0,0,1000000*F15/TrRail_act!F32/1000)</f>
        <v>2647.2548066294612</v>
      </c>
      <c r="G55" s="29">
        <f>IF(G15=0,0,1000000*G15/TrRail_act!G32/1000)</f>
        <v>2899.9388195705988</v>
      </c>
      <c r="H55" s="29">
        <f>IF(H15=0,0,1000000*H15/TrRail_act!H32/1000)</f>
        <v>2872.2321893427293</v>
      </c>
      <c r="I55" s="29">
        <f>IF(I15=0,0,1000000*I15/TrRail_act!I32/1000)</f>
        <v>2595.7163999778136</v>
      </c>
      <c r="J55" s="29">
        <f>IF(J15=0,0,1000000*J15/TrRail_act!J32/1000)</f>
        <v>2031.817272032632</v>
      </c>
      <c r="K55" s="29">
        <f>IF(K15=0,0,1000000*K15/TrRail_act!K32/1000)</f>
        <v>2689.9943533968935</v>
      </c>
      <c r="L55" s="29">
        <f>IF(L15=0,0,1000000*L15/TrRail_act!L32/1000)</f>
        <v>2624.9847661235876</v>
      </c>
      <c r="M55" s="29">
        <f>IF(M15=0,0,1000000*M15/TrRail_act!M32/1000)</f>
        <v>1888.2736326366196</v>
      </c>
      <c r="N55" s="29">
        <f>IF(N15=0,0,1000000*N15/TrRail_act!N32/1000)</f>
        <v>1824.7924595172619</v>
      </c>
      <c r="O55" s="29">
        <f>IF(O15=0,0,1000000*O15/TrRail_act!O32/1000)</f>
        <v>1683.8874930619331</v>
      </c>
      <c r="P55" s="29">
        <f>IF(P15=0,0,1000000*P15/TrRail_act!P32/1000)</f>
        <v>1370.4334208823254</v>
      </c>
      <c r="Q55" s="29">
        <f>IF(Q15=0,0,1000000*Q15/TrRail_act!Q32/1000)</f>
        <v>1444.599212842367</v>
      </c>
      <c r="R55" s="29">
        <f>IF(R15=0,0,1000000*R15/TrRail_act!R32/1000)</f>
        <v>1243.2353185905495</v>
      </c>
      <c r="S55" s="29">
        <f>IF(S15=0,0,1000000*S15/TrRail_act!S32/1000)</f>
        <v>1447.1688715923412</v>
      </c>
      <c r="T55" s="29">
        <f>IF(T15=0,0,1000000*T15/TrRail_act!T32/1000)</f>
        <v>1478.289737120042</v>
      </c>
      <c r="U55" s="29">
        <f>IF(U15=0,0,1000000*U15/TrRail_act!U32/1000)</f>
        <v>1878.8630448935176</v>
      </c>
      <c r="V55" s="29">
        <f>IF(V15=0,0,1000000*V15/TrRail_act!V32/1000)</f>
        <v>2083.3005962503953</v>
      </c>
      <c r="W55" s="29">
        <f>IF(W15=0,0,1000000*W15/TrRail_act!W32/1000)</f>
        <v>2255.0547123187498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2953.8788706617356</v>
      </c>
      <c r="C56" s="87">
        <f>IF(C16=0,0,1000000*C16/TrRail_act!C33/1000)</f>
        <v>2943.9603161137188</v>
      </c>
      <c r="D56" s="87">
        <f>IF(D16=0,0,1000000*D16/TrRail_act!D33/1000)</f>
        <v>2932.4355023956609</v>
      </c>
      <c r="E56" s="87">
        <f>IF(E16=0,0,1000000*E16/TrRail_act!E33/1000)</f>
        <v>2809.4473967027834</v>
      </c>
      <c r="F56" s="87">
        <f>IF(F16=0,0,1000000*F16/TrRail_act!F33/1000)</f>
        <v>2647.2548066294612</v>
      </c>
      <c r="G56" s="87">
        <f>IF(G16=0,0,1000000*G16/TrRail_act!G33/1000)</f>
        <v>2899.9388195705988</v>
      </c>
      <c r="H56" s="87">
        <f>IF(H16=0,0,1000000*H16/TrRail_act!H33/1000)</f>
        <v>2872.2321893427293</v>
      </c>
      <c r="I56" s="87">
        <f>IF(I16=0,0,1000000*I16/TrRail_act!I33/1000)</f>
        <v>2595.7163999778136</v>
      </c>
      <c r="J56" s="87">
        <f>IF(J16=0,0,1000000*J16/TrRail_act!J33/1000)</f>
        <v>2031.817272032632</v>
      </c>
      <c r="K56" s="87">
        <f>IF(K16=0,0,1000000*K16/TrRail_act!K33/1000)</f>
        <v>2689.9943533968935</v>
      </c>
      <c r="L56" s="87">
        <f>IF(L16=0,0,1000000*L16/TrRail_act!L33/1000)</f>
        <v>2624.9847661235876</v>
      </c>
      <c r="M56" s="87">
        <f>IF(M16=0,0,1000000*M16/TrRail_act!M33/1000)</f>
        <v>1888.2736326366196</v>
      </c>
      <c r="N56" s="87">
        <f>IF(N16=0,0,1000000*N16/TrRail_act!N33/1000)</f>
        <v>1824.7924595172619</v>
      </c>
      <c r="O56" s="87">
        <f>IF(O16=0,0,1000000*O16/TrRail_act!O33/1000)</f>
        <v>1683.8874930619331</v>
      </c>
      <c r="P56" s="87">
        <f>IF(P16=0,0,1000000*P16/TrRail_act!P33/1000)</f>
        <v>1370.4334208823254</v>
      </c>
      <c r="Q56" s="87">
        <f>IF(Q16=0,0,1000000*Q16/TrRail_act!Q33/1000)</f>
        <v>1444.599212842367</v>
      </c>
      <c r="R56" s="87">
        <f>IF(R16=0,0,1000000*R16/TrRail_act!R33/1000)</f>
        <v>1243.2353185905495</v>
      </c>
      <c r="S56" s="87">
        <f>IF(S16=0,0,1000000*S16/TrRail_act!S33/1000)</f>
        <v>1447.1688715923412</v>
      </c>
      <c r="T56" s="87">
        <f>IF(T16=0,0,1000000*T16/TrRail_act!T33/1000)</f>
        <v>1478.289737120042</v>
      </c>
      <c r="U56" s="87">
        <f>IF(U16=0,0,1000000*U16/TrRail_act!U33/1000)</f>
        <v>1878.8630448935176</v>
      </c>
      <c r="V56" s="87">
        <f>IF(V16=0,0,1000000*V16/TrRail_act!V33/1000)</f>
        <v>2083.3005962503953</v>
      </c>
      <c r="W56" s="87">
        <f>IF(W16=0,0,1000000*W16/TrRail_act!W33/1000)</f>
        <v>2255.0547123187498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6.9820043630201736E-2</v>
      </c>
      <c r="C60" s="31">
        <f t="shared" ref="C60:V60" si="8">IF(C9=0,0,C9/C$8)</f>
        <v>4.1372446578728003E-2</v>
      </c>
      <c r="D60" s="31">
        <f t="shared" si="8"/>
        <v>3.1830063522235996E-2</v>
      </c>
      <c r="E60" s="31">
        <f t="shared" si="8"/>
        <v>3.3298277857255663E-2</v>
      </c>
      <c r="F60" s="31">
        <f t="shared" si="8"/>
        <v>4.0882033137244478E-2</v>
      </c>
      <c r="G60" s="31">
        <f t="shared" si="8"/>
        <v>4.3888584753510394E-2</v>
      </c>
      <c r="H60" s="31">
        <f t="shared" si="8"/>
        <v>4.8000270152749845E-2</v>
      </c>
      <c r="I60" s="31">
        <f t="shared" si="8"/>
        <v>7.1877037512044273E-2</v>
      </c>
      <c r="J60" s="31">
        <f t="shared" si="8"/>
        <v>7.1957674415485257E-2</v>
      </c>
      <c r="K60" s="31">
        <f t="shared" si="8"/>
        <v>5.121638720420283E-2</v>
      </c>
      <c r="L60" s="31">
        <f t="shared" si="8"/>
        <v>4.1288663119409617E-2</v>
      </c>
      <c r="M60" s="31">
        <f t="shared" si="8"/>
        <v>6.101709354390604E-2</v>
      </c>
      <c r="N60" s="31">
        <f t="shared" si="8"/>
        <v>5.3959190197162381E-2</v>
      </c>
      <c r="O60" s="31">
        <f t="shared" si="8"/>
        <v>8.0399922517780831E-2</v>
      </c>
      <c r="P60" s="31">
        <f t="shared" si="8"/>
        <v>0.11984087010606444</v>
      </c>
      <c r="Q60" s="31">
        <f t="shared" si="8"/>
        <v>0.12632922219867837</v>
      </c>
      <c r="R60" s="31">
        <f t="shared" si="8"/>
        <v>0.15983608628233209</v>
      </c>
      <c r="S60" s="31">
        <f t="shared" si="8"/>
        <v>0.18545742316794947</v>
      </c>
      <c r="T60" s="31">
        <f t="shared" si="8"/>
        <v>0.2499338735272823</v>
      </c>
      <c r="U60" s="31">
        <f t="shared" si="8"/>
        <v>0.28857714255016031</v>
      </c>
      <c r="V60" s="31">
        <f t="shared" si="8"/>
        <v>0.31487780821950095</v>
      </c>
      <c r="W60" s="31">
        <f t="shared" ref="W60" si="9">IF(W9=0,0,W9/W$8)</f>
        <v>0.20890667652501099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6.9820043630201736E-2</v>
      </c>
      <c r="C62" s="124">
        <f t="shared" ref="C62:V62" si="12">IF(C11=0,0,C11/C$8)</f>
        <v>4.1372446578728003E-2</v>
      </c>
      <c r="D62" s="124">
        <f t="shared" si="12"/>
        <v>3.1830063522235996E-2</v>
      </c>
      <c r="E62" s="124">
        <f t="shared" si="12"/>
        <v>3.3298277857255663E-2</v>
      </c>
      <c r="F62" s="124">
        <f t="shared" si="12"/>
        <v>4.0882033137244478E-2</v>
      </c>
      <c r="G62" s="124">
        <f t="shared" si="12"/>
        <v>4.3888584753510394E-2</v>
      </c>
      <c r="H62" s="124">
        <f t="shared" si="12"/>
        <v>4.8000270152749845E-2</v>
      </c>
      <c r="I62" s="124">
        <f t="shared" si="12"/>
        <v>7.1877037512044273E-2</v>
      </c>
      <c r="J62" s="124">
        <f t="shared" si="12"/>
        <v>7.1957674415485257E-2</v>
      </c>
      <c r="K62" s="124">
        <f t="shared" si="12"/>
        <v>5.121638720420283E-2</v>
      </c>
      <c r="L62" s="124">
        <f t="shared" si="12"/>
        <v>4.1288663119409617E-2</v>
      </c>
      <c r="M62" s="124">
        <f t="shared" si="12"/>
        <v>6.101709354390604E-2</v>
      </c>
      <c r="N62" s="124">
        <f t="shared" si="12"/>
        <v>5.3959190197162381E-2</v>
      </c>
      <c r="O62" s="124">
        <f t="shared" si="12"/>
        <v>8.0399922517780831E-2</v>
      </c>
      <c r="P62" s="124">
        <f t="shared" si="12"/>
        <v>0.11984087010606444</v>
      </c>
      <c r="Q62" s="124">
        <f t="shared" si="12"/>
        <v>0.12632922219867837</v>
      </c>
      <c r="R62" s="124">
        <f t="shared" si="12"/>
        <v>0.15983608628233209</v>
      </c>
      <c r="S62" s="124">
        <f t="shared" si="12"/>
        <v>0.18545742316794947</v>
      </c>
      <c r="T62" s="124">
        <f t="shared" si="12"/>
        <v>0.2499338735272823</v>
      </c>
      <c r="U62" s="124">
        <f t="shared" si="12"/>
        <v>0.28857714255016031</v>
      </c>
      <c r="V62" s="124">
        <f t="shared" si="12"/>
        <v>0.31487780821950095</v>
      </c>
      <c r="W62" s="124">
        <f t="shared" ref="W62" si="13">IF(W11=0,0,W11/W$8)</f>
        <v>0.20890667652501099</v>
      </c>
      <c r="DA62" s="176"/>
    </row>
    <row r="63" spans="1:105" ht="11.45" customHeight="1" x14ac:dyDescent="0.25">
      <c r="A63" s="111" t="s">
        <v>92</v>
      </c>
      <c r="B63" s="125">
        <f t="shared" si="5"/>
        <v>6.9820043630201736E-2</v>
      </c>
      <c r="C63" s="125">
        <f t="shared" ref="C63:V63" si="14">IF(C12=0,0,C12/C$8)</f>
        <v>4.1372446578728003E-2</v>
      </c>
      <c r="D63" s="125">
        <f t="shared" si="14"/>
        <v>3.1830063522235996E-2</v>
      </c>
      <c r="E63" s="125">
        <f t="shared" si="14"/>
        <v>3.3298277857255663E-2</v>
      </c>
      <c r="F63" s="125">
        <f t="shared" si="14"/>
        <v>4.0882033137244478E-2</v>
      </c>
      <c r="G63" s="125">
        <f t="shared" si="14"/>
        <v>4.3888584753510394E-2</v>
      </c>
      <c r="H63" s="125">
        <f t="shared" si="14"/>
        <v>4.8000270152749845E-2</v>
      </c>
      <c r="I63" s="125">
        <f t="shared" si="14"/>
        <v>7.1877037512044273E-2</v>
      </c>
      <c r="J63" s="125">
        <f t="shared" si="14"/>
        <v>7.1957674415485257E-2</v>
      </c>
      <c r="K63" s="125">
        <f t="shared" si="14"/>
        <v>5.121638720420283E-2</v>
      </c>
      <c r="L63" s="125">
        <f t="shared" si="14"/>
        <v>4.1288663119409617E-2</v>
      </c>
      <c r="M63" s="125">
        <f t="shared" si="14"/>
        <v>6.101709354390604E-2</v>
      </c>
      <c r="N63" s="125">
        <f t="shared" si="14"/>
        <v>5.3959190197162381E-2</v>
      </c>
      <c r="O63" s="125">
        <f t="shared" si="14"/>
        <v>8.0399922517780831E-2</v>
      </c>
      <c r="P63" s="125">
        <f t="shared" si="14"/>
        <v>0.11984087010606444</v>
      </c>
      <c r="Q63" s="125">
        <f t="shared" si="14"/>
        <v>0.12632922219867837</v>
      </c>
      <c r="R63" s="125">
        <f t="shared" si="14"/>
        <v>0.15983608628233209</v>
      </c>
      <c r="S63" s="125">
        <f t="shared" si="14"/>
        <v>0.18545742316794947</v>
      </c>
      <c r="T63" s="125">
        <f t="shared" si="14"/>
        <v>0.2499338735272823</v>
      </c>
      <c r="U63" s="125">
        <f t="shared" si="14"/>
        <v>0.28857714255016031</v>
      </c>
      <c r="V63" s="125">
        <f t="shared" si="14"/>
        <v>0.31487780821950095</v>
      </c>
      <c r="W63" s="125">
        <f t="shared" ref="W63" si="15">IF(W12=0,0,W12/W$8)</f>
        <v>0.20890667652501099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0.93017995636979833</v>
      </c>
      <c r="C66" s="31">
        <f t="shared" ref="C66:V66" si="20">IF(C15=0,0,C15/C$8)</f>
        <v>0.95862755342127193</v>
      </c>
      <c r="D66" s="31">
        <f t="shared" si="20"/>
        <v>0.96816993647776406</v>
      </c>
      <c r="E66" s="31">
        <f t="shared" si="20"/>
        <v>0.96670172214274441</v>
      </c>
      <c r="F66" s="31">
        <f t="shared" si="20"/>
        <v>0.95911796686275552</v>
      </c>
      <c r="G66" s="31">
        <f t="shared" si="20"/>
        <v>0.95611141524648957</v>
      </c>
      <c r="H66" s="31">
        <f t="shared" si="20"/>
        <v>0.95199972984725012</v>
      </c>
      <c r="I66" s="31">
        <f t="shared" si="20"/>
        <v>0.92812296248795567</v>
      </c>
      <c r="J66" s="31">
        <f t="shared" si="20"/>
        <v>0.92804232558451472</v>
      </c>
      <c r="K66" s="31">
        <f t="shared" si="20"/>
        <v>0.94878361279579726</v>
      </c>
      <c r="L66" s="31">
        <f t="shared" si="20"/>
        <v>0.95871133688059029</v>
      </c>
      <c r="M66" s="31">
        <f t="shared" si="20"/>
        <v>0.93898290645609395</v>
      </c>
      <c r="N66" s="31">
        <f t="shared" si="20"/>
        <v>0.94604080980283756</v>
      </c>
      <c r="O66" s="31">
        <f t="shared" si="20"/>
        <v>0.91960007748221917</v>
      </c>
      <c r="P66" s="31">
        <f t="shared" si="20"/>
        <v>0.88015912989393552</v>
      </c>
      <c r="Q66" s="31">
        <f t="shared" si="20"/>
        <v>0.87367077780132163</v>
      </c>
      <c r="R66" s="31">
        <f t="shared" si="20"/>
        <v>0.84016391371766797</v>
      </c>
      <c r="S66" s="31">
        <f t="shared" si="20"/>
        <v>0.81454257683205056</v>
      </c>
      <c r="T66" s="31">
        <f t="shared" si="20"/>
        <v>0.75006612647271764</v>
      </c>
      <c r="U66" s="31">
        <f t="shared" si="20"/>
        <v>0.71142285744983969</v>
      </c>
      <c r="V66" s="31">
        <f t="shared" si="20"/>
        <v>0.68512219178049916</v>
      </c>
      <c r="W66" s="31">
        <f t="shared" ref="W66" si="21">IF(W15=0,0,W15/W$8)</f>
        <v>0.79109332347498906</v>
      </c>
      <c r="DA66" s="173"/>
    </row>
    <row r="67" spans="1:105" ht="11.45" customHeight="1" x14ac:dyDescent="0.25">
      <c r="A67" s="83" t="s">
        <v>92</v>
      </c>
      <c r="B67" s="125">
        <f t="shared" si="5"/>
        <v>0.93017995636979833</v>
      </c>
      <c r="C67" s="125">
        <f t="shared" ref="C67:V67" si="22">IF(C16=0,0,C16/C$8)</f>
        <v>0.95862755342127193</v>
      </c>
      <c r="D67" s="125">
        <f t="shared" si="22"/>
        <v>0.96816993647776406</v>
      </c>
      <c r="E67" s="125">
        <f t="shared" si="22"/>
        <v>0.96670172214274441</v>
      </c>
      <c r="F67" s="125">
        <f t="shared" si="22"/>
        <v>0.95911796686275552</v>
      </c>
      <c r="G67" s="125">
        <f t="shared" si="22"/>
        <v>0.95611141524648957</v>
      </c>
      <c r="H67" s="125">
        <f t="shared" si="22"/>
        <v>0.95199972984725012</v>
      </c>
      <c r="I67" s="125">
        <f t="shared" si="22"/>
        <v>0.92812296248795567</v>
      </c>
      <c r="J67" s="125">
        <f t="shared" si="22"/>
        <v>0.92804232558451472</v>
      </c>
      <c r="K67" s="125">
        <f t="shared" si="22"/>
        <v>0.94878361279579726</v>
      </c>
      <c r="L67" s="125">
        <f t="shared" si="22"/>
        <v>0.95871133688059029</v>
      </c>
      <c r="M67" s="125">
        <f t="shared" si="22"/>
        <v>0.93898290645609395</v>
      </c>
      <c r="N67" s="125">
        <f t="shared" si="22"/>
        <v>0.94604080980283756</v>
      </c>
      <c r="O67" s="125">
        <f t="shared" si="22"/>
        <v>0.91960007748221917</v>
      </c>
      <c r="P67" s="125">
        <f t="shared" si="22"/>
        <v>0.88015912989393552</v>
      </c>
      <c r="Q67" s="125">
        <f t="shared" si="22"/>
        <v>0.87367077780132163</v>
      </c>
      <c r="R67" s="125">
        <f t="shared" si="22"/>
        <v>0.84016391371766797</v>
      </c>
      <c r="S67" s="125">
        <f t="shared" si="22"/>
        <v>0.81454257683205056</v>
      </c>
      <c r="T67" s="125">
        <f t="shared" si="22"/>
        <v>0.75006612647271764</v>
      </c>
      <c r="U67" s="125">
        <f t="shared" si="22"/>
        <v>0.71142285744983969</v>
      </c>
      <c r="V67" s="125">
        <f t="shared" si="22"/>
        <v>0.68512219178049916</v>
      </c>
      <c r="W67" s="125">
        <f t="shared" ref="W67" si="23">IF(W16=0,0,W16/W$8)</f>
        <v>0.79109332347498906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516.91717582863112</v>
      </c>
      <c r="C4" s="11">
        <f t="shared" si="0"/>
        <v>438.59483159819985</v>
      </c>
      <c r="D4" s="11">
        <f t="shared" ref="D4:V4" si="1">SUM(D5:D7)</f>
        <v>458.81360643555161</v>
      </c>
      <c r="E4" s="11">
        <f t="shared" si="1"/>
        <v>535.94628344877617</v>
      </c>
      <c r="F4" s="11">
        <f t="shared" si="1"/>
        <v>743.88553045205936</v>
      </c>
      <c r="G4" s="11">
        <f t="shared" si="1"/>
        <v>1125.0195877220151</v>
      </c>
      <c r="H4" s="11">
        <f t="shared" si="1"/>
        <v>1151.4407558240373</v>
      </c>
      <c r="I4" s="11">
        <f t="shared" si="1"/>
        <v>1211.8363800453246</v>
      </c>
      <c r="J4" s="11">
        <f t="shared" si="1"/>
        <v>1228.7565775796425</v>
      </c>
      <c r="K4" s="11">
        <f t="shared" si="1"/>
        <v>770.92504012808263</v>
      </c>
      <c r="L4" s="11">
        <f t="shared" si="1"/>
        <v>868.66650392477027</v>
      </c>
      <c r="M4" s="11">
        <f t="shared" si="1"/>
        <v>1161.5524432016707</v>
      </c>
      <c r="N4" s="11">
        <f t="shared" si="1"/>
        <v>1371.2503806460093</v>
      </c>
      <c r="O4" s="11">
        <f t="shared" si="1"/>
        <v>1094.9684142496903</v>
      </c>
      <c r="P4" s="11">
        <f t="shared" si="1"/>
        <v>1151.1067486224263</v>
      </c>
      <c r="Q4" s="11">
        <f t="shared" si="1"/>
        <v>1324.1842567557205</v>
      </c>
      <c r="R4" s="11">
        <f t="shared" si="1"/>
        <v>1322.8417325391015</v>
      </c>
      <c r="S4" s="11">
        <f t="shared" si="1"/>
        <v>1523.6861967636166</v>
      </c>
      <c r="T4" s="11">
        <f t="shared" si="1"/>
        <v>1776.1006963456712</v>
      </c>
      <c r="U4" s="11">
        <f t="shared" si="1"/>
        <v>1999.1816801514888</v>
      </c>
      <c r="V4" s="11">
        <f t="shared" si="1"/>
        <v>503.29086987521646</v>
      </c>
      <c r="W4" s="11">
        <f t="shared" ref="W4" si="2">SUM(W5:W7)</f>
        <v>1040.9298274499845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441.60303149397254</v>
      </c>
      <c r="C6" s="84">
        <v>375.86656296380124</v>
      </c>
      <c r="D6" s="84">
        <v>386.66919373444284</v>
      </c>
      <c r="E6" s="84">
        <v>447.43392889374002</v>
      </c>
      <c r="F6" s="84">
        <v>603.91306308870992</v>
      </c>
      <c r="G6" s="84">
        <v>924.13829379408708</v>
      </c>
      <c r="H6" s="84">
        <v>948.94514320112592</v>
      </c>
      <c r="I6" s="84">
        <v>955.56473959783898</v>
      </c>
      <c r="J6" s="84">
        <v>910.78304730295986</v>
      </c>
      <c r="K6" s="84">
        <v>557.61954874417086</v>
      </c>
      <c r="L6" s="84">
        <v>599.868504348324</v>
      </c>
      <c r="M6" s="84">
        <v>923.93075503851674</v>
      </c>
      <c r="N6" s="84">
        <v>994.1949994773081</v>
      </c>
      <c r="O6" s="84">
        <v>854.60429622979802</v>
      </c>
      <c r="P6" s="84">
        <v>892.91702422371463</v>
      </c>
      <c r="Q6" s="84">
        <v>985.24390717054246</v>
      </c>
      <c r="R6" s="84">
        <v>1065.5196556776386</v>
      </c>
      <c r="S6" s="84">
        <v>1219.9643242586963</v>
      </c>
      <c r="T6" s="84">
        <v>1385.8914557789033</v>
      </c>
      <c r="U6" s="84">
        <v>1453.1389934639799</v>
      </c>
      <c r="V6" s="84">
        <v>386.00380293275913</v>
      </c>
      <c r="W6" s="84">
        <v>614.33545937726353</v>
      </c>
      <c r="DA6" s="171" t="s">
        <v>191</v>
      </c>
    </row>
    <row r="7" spans="1:105" ht="11.45" customHeight="1" x14ac:dyDescent="0.25">
      <c r="A7" s="83" t="s">
        <v>174</v>
      </c>
      <c r="B7" s="84">
        <v>75.314144334658607</v>
      </c>
      <c r="C7" s="84">
        <v>62.72826863439861</v>
      </c>
      <c r="D7" s="84">
        <v>72.144412701108735</v>
      </c>
      <c r="E7" s="84">
        <v>88.512354555036183</v>
      </c>
      <c r="F7" s="84">
        <v>139.97246736334941</v>
      </c>
      <c r="G7" s="84">
        <v>200.88129392792794</v>
      </c>
      <c r="H7" s="84">
        <v>202.49561262291147</v>
      </c>
      <c r="I7" s="84">
        <v>256.27164044748559</v>
      </c>
      <c r="J7" s="84">
        <v>317.97353027668271</v>
      </c>
      <c r="K7" s="84">
        <v>213.30549138391177</v>
      </c>
      <c r="L7" s="84">
        <v>268.79799957644627</v>
      </c>
      <c r="M7" s="84">
        <v>237.621688163154</v>
      </c>
      <c r="N7" s="84">
        <v>377.0553811687011</v>
      </c>
      <c r="O7" s="84">
        <v>240.3641180198922</v>
      </c>
      <c r="P7" s="84">
        <v>258.18972439871158</v>
      </c>
      <c r="Q7" s="84">
        <v>338.94034958517796</v>
      </c>
      <c r="R7" s="84">
        <v>257.32207686146285</v>
      </c>
      <c r="S7" s="84">
        <v>303.72187250492033</v>
      </c>
      <c r="T7" s="84">
        <v>390.20924056676796</v>
      </c>
      <c r="U7" s="84">
        <v>546.04268668750899</v>
      </c>
      <c r="V7" s="84">
        <v>117.28706694245734</v>
      </c>
      <c r="W7" s="84">
        <v>426.59436807272095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3.8180101454337509</v>
      </c>
      <c r="C8" s="13">
        <f t="shared" si="3"/>
        <v>3.7335841002815444</v>
      </c>
      <c r="D8" s="13">
        <f t="shared" ref="D8:V8" si="4">SUM(D9:D11)</f>
        <v>2.693955626146292</v>
      </c>
      <c r="E8" s="13">
        <f t="shared" si="4"/>
        <v>2.7497843154370973</v>
      </c>
      <c r="F8" s="13">
        <f t="shared" si="4"/>
        <v>2.5353653488541257</v>
      </c>
      <c r="G8" s="13">
        <f t="shared" si="4"/>
        <v>4.0106481575685535</v>
      </c>
      <c r="H8" s="13">
        <f t="shared" si="4"/>
        <v>2.8172125383261477</v>
      </c>
      <c r="I8" s="13">
        <f t="shared" si="4"/>
        <v>2.3831637829597607</v>
      </c>
      <c r="J8" s="13">
        <f t="shared" si="4"/>
        <v>2.2205856144919833</v>
      </c>
      <c r="K8" s="13">
        <f t="shared" si="4"/>
        <v>1.4696684181820652</v>
      </c>
      <c r="L8" s="13">
        <f t="shared" si="4"/>
        <v>2.8198840662268974</v>
      </c>
      <c r="M8" s="13">
        <f t="shared" si="4"/>
        <v>2.6287797421670627</v>
      </c>
      <c r="N8" s="13">
        <f t="shared" si="4"/>
        <v>3.7319049667972406</v>
      </c>
      <c r="O8" s="13">
        <f t="shared" si="4"/>
        <v>3.5166342267314761</v>
      </c>
      <c r="P8" s="13">
        <f t="shared" si="4"/>
        <v>4.3279496121913414</v>
      </c>
      <c r="Q8" s="13">
        <f t="shared" si="4"/>
        <v>4.8519184346448077</v>
      </c>
      <c r="R8" s="13">
        <f t="shared" si="4"/>
        <v>7.6995361071750441</v>
      </c>
      <c r="S8" s="13">
        <f t="shared" si="4"/>
        <v>5.8823753529337566</v>
      </c>
      <c r="T8" s="13">
        <f t="shared" si="4"/>
        <v>6.2780920085055092</v>
      </c>
      <c r="U8" s="13">
        <f t="shared" si="4"/>
        <v>7.4134010666175971</v>
      </c>
      <c r="V8" s="13">
        <f t="shared" si="4"/>
        <v>4.6965285683569222</v>
      </c>
      <c r="W8" s="13">
        <f t="shared" ref="W8" si="5">SUM(W9:W11)</f>
        <v>7.8967887423711716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1.2890782616362619</v>
      </c>
      <c r="C10" s="102">
        <v>1.2735846291525235</v>
      </c>
      <c r="D10" s="102">
        <v>1.0855328647326234</v>
      </c>
      <c r="E10" s="102">
        <v>1.1256817750618653</v>
      </c>
      <c r="F10" s="102">
        <v>1.1165282091159856</v>
      </c>
      <c r="G10" s="102">
        <v>1.2601198958146633</v>
      </c>
      <c r="H10" s="102">
        <v>1.275995416437729</v>
      </c>
      <c r="I10" s="102">
        <v>1.5010035541408744</v>
      </c>
      <c r="J10" s="102">
        <v>1.6426170252613332</v>
      </c>
      <c r="K10" s="102">
        <v>1.2821247949425809</v>
      </c>
      <c r="L10" s="102">
        <v>1.9133069504824571</v>
      </c>
      <c r="M10" s="102">
        <v>2.2345244725697193</v>
      </c>
      <c r="N10" s="102">
        <v>3.0890174666466175</v>
      </c>
      <c r="O10" s="102">
        <v>3.137891367189245</v>
      </c>
      <c r="P10" s="102">
        <v>3.9004812647467122</v>
      </c>
      <c r="Q10" s="102">
        <v>4.2651974660893552</v>
      </c>
      <c r="R10" s="102">
        <v>4.7115138302321631</v>
      </c>
      <c r="S10" s="102">
        <v>4.7674359881979314</v>
      </c>
      <c r="T10" s="102">
        <v>5.6103491289174752</v>
      </c>
      <c r="U10" s="102">
        <v>6.2137611148752789</v>
      </c>
      <c r="V10" s="102">
        <v>4.3117326511077838</v>
      </c>
      <c r="W10" s="102">
        <v>5.7746162865925816</v>
      </c>
      <c r="DA10" s="175" t="s">
        <v>195</v>
      </c>
    </row>
    <row r="11" spans="1:105" ht="11.45" customHeight="1" x14ac:dyDescent="0.25">
      <c r="A11" s="85" t="s">
        <v>174</v>
      </c>
      <c r="B11" s="86">
        <v>2.528931883797489</v>
      </c>
      <c r="C11" s="86">
        <v>2.459999471129021</v>
      </c>
      <c r="D11" s="86">
        <v>1.6084227614136688</v>
      </c>
      <c r="E11" s="86">
        <v>1.6241025403752321</v>
      </c>
      <c r="F11" s="86">
        <v>1.4188371397381401</v>
      </c>
      <c r="G11" s="86">
        <v>2.7505282617538902</v>
      </c>
      <c r="H11" s="86">
        <v>1.541217121888419</v>
      </c>
      <c r="I11" s="86">
        <v>0.88216022881888634</v>
      </c>
      <c r="J11" s="86">
        <v>0.57796858923064987</v>
      </c>
      <c r="K11" s="86">
        <v>0.18754362323948434</v>
      </c>
      <c r="L11" s="86">
        <v>0.90657711574444011</v>
      </c>
      <c r="M11" s="86">
        <v>0.39425526959734342</v>
      </c>
      <c r="N11" s="86">
        <v>0.64288750015062335</v>
      </c>
      <c r="O11" s="86">
        <v>0.37874285954223108</v>
      </c>
      <c r="P11" s="86">
        <v>0.42746834744462964</v>
      </c>
      <c r="Q11" s="86">
        <v>0.58672096855545253</v>
      </c>
      <c r="R11" s="86">
        <v>2.988022276942881</v>
      </c>
      <c r="S11" s="86">
        <v>1.1149393647358257</v>
      </c>
      <c r="T11" s="86">
        <v>0.66774287958803391</v>
      </c>
      <c r="U11" s="86">
        <v>1.1996399517423184</v>
      </c>
      <c r="V11" s="86">
        <v>0.38479591724913864</v>
      </c>
      <c r="W11" s="86">
        <v>2.1221724557785904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8.693026362011457</v>
      </c>
      <c r="C13" s="54">
        <f t="shared" si="6"/>
        <v>7.2009441503796552</v>
      </c>
      <c r="D13" s="54">
        <f t="shared" ref="D13:V13" si="7">SUM(D14,D18)</f>
        <v>7.1269739863922048</v>
      </c>
      <c r="E13" s="54">
        <f t="shared" si="7"/>
        <v>7.1626633329371954</v>
      </c>
      <c r="F13" s="54">
        <f t="shared" si="7"/>
        <v>9.0927345573781135</v>
      </c>
      <c r="G13" s="54">
        <f t="shared" si="7"/>
        <v>12.522816386149982</v>
      </c>
      <c r="H13" s="54">
        <f t="shared" si="7"/>
        <v>12.399103310340609</v>
      </c>
      <c r="I13" s="54">
        <f t="shared" si="7"/>
        <v>13.926575337970725</v>
      </c>
      <c r="J13" s="54">
        <f t="shared" si="7"/>
        <v>15.217333983500858</v>
      </c>
      <c r="K13" s="54">
        <f t="shared" si="7"/>
        <v>9.6495254906519872</v>
      </c>
      <c r="L13" s="54">
        <f t="shared" si="7"/>
        <v>11.205070436755408</v>
      </c>
      <c r="M13" s="54">
        <f t="shared" si="7"/>
        <v>13.600887737154112</v>
      </c>
      <c r="N13" s="54">
        <f t="shared" si="7"/>
        <v>18.26055638718266</v>
      </c>
      <c r="O13" s="54">
        <f t="shared" si="7"/>
        <v>11.885090181771076</v>
      </c>
      <c r="P13" s="54">
        <f t="shared" si="7"/>
        <v>12.60872395646636</v>
      </c>
      <c r="Q13" s="54">
        <f t="shared" si="7"/>
        <v>15.11196287850651</v>
      </c>
      <c r="R13" s="54">
        <f t="shared" si="7"/>
        <v>14.671396897221696</v>
      </c>
      <c r="S13" s="54">
        <f t="shared" si="7"/>
        <v>16.82820625917477</v>
      </c>
      <c r="T13" s="54">
        <f t="shared" si="7"/>
        <v>18.922442463605769</v>
      </c>
      <c r="U13" s="54">
        <f t="shared" si="7"/>
        <v>18.24870185904113</v>
      </c>
      <c r="V13" s="54">
        <f t="shared" si="7"/>
        <v>5.7965387176212104</v>
      </c>
      <c r="W13" s="54">
        <f t="shared" ref="W13" si="8">SUM(W14,W18)</f>
        <v>9.3108409519363828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8.5925255287833195</v>
      </c>
      <c r="C14" s="11">
        <f t="shared" si="9"/>
        <v>7.1092785047226981</v>
      </c>
      <c r="D14" s="11">
        <f t="shared" ref="D14:V14" si="10">SUM(D15:D17)</f>
        <v>7.0538211626804683</v>
      </c>
      <c r="E14" s="11">
        <f t="shared" si="10"/>
        <v>7.0886385066803363</v>
      </c>
      <c r="F14" s="11">
        <f t="shared" si="10"/>
        <v>9.018015831028988</v>
      </c>
      <c r="G14" s="11">
        <f t="shared" si="10"/>
        <v>12.413840453062521</v>
      </c>
      <c r="H14" s="11">
        <f t="shared" si="10"/>
        <v>12.303727828535811</v>
      </c>
      <c r="I14" s="11">
        <f t="shared" si="10"/>
        <v>13.831506313945285</v>
      </c>
      <c r="J14" s="11">
        <f t="shared" si="10"/>
        <v>15.119309282482442</v>
      </c>
      <c r="K14" s="11">
        <f t="shared" si="10"/>
        <v>9.5805823490605864</v>
      </c>
      <c r="L14" s="11">
        <f t="shared" si="10"/>
        <v>11.098523271921666</v>
      </c>
      <c r="M14" s="11">
        <f t="shared" si="10"/>
        <v>13.496456916638294</v>
      </c>
      <c r="N14" s="11">
        <f t="shared" si="10"/>
        <v>18.131134710706093</v>
      </c>
      <c r="O14" s="11">
        <f t="shared" si="10"/>
        <v>11.753499568278507</v>
      </c>
      <c r="P14" s="11">
        <f t="shared" si="10"/>
        <v>12.466209043004987</v>
      </c>
      <c r="Q14" s="11">
        <f t="shared" si="10"/>
        <v>14.953212400229592</v>
      </c>
      <c r="R14" s="11">
        <f t="shared" si="10"/>
        <v>14.489124675550441</v>
      </c>
      <c r="S14" s="11">
        <f t="shared" si="10"/>
        <v>16.644227323460743</v>
      </c>
      <c r="T14" s="11">
        <f t="shared" si="10"/>
        <v>18.723007959435261</v>
      </c>
      <c r="U14" s="11">
        <f t="shared" si="10"/>
        <v>18.039146603668186</v>
      </c>
      <c r="V14" s="11">
        <f t="shared" si="10"/>
        <v>5.6257998318963276</v>
      </c>
      <c r="W14" s="11">
        <f t="shared" ref="W14" si="11">SUM(W15:W17)</f>
        <v>9.0334192781697809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7.562963075840516</v>
      </c>
      <c r="C16" s="84">
        <v>6.2568128002452745</v>
      </c>
      <c r="D16" s="84">
        <v>6.1563308611355749</v>
      </c>
      <c r="E16" s="84">
        <v>6.0440678547150428</v>
      </c>
      <c r="F16" s="84">
        <v>7.4031336162090788</v>
      </c>
      <c r="G16" s="84">
        <v>10.33712746207153</v>
      </c>
      <c r="H16" s="84">
        <v>10.241191069296438</v>
      </c>
      <c r="I16" s="84">
        <v>11.570251894324372</v>
      </c>
      <c r="J16" s="84">
        <v>12.13315065153593</v>
      </c>
      <c r="K16" s="84">
        <v>7.2949148231803393</v>
      </c>
      <c r="L16" s="84">
        <v>7.852063199607616</v>
      </c>
      <c r="M16" s="84">
        <v>10.321128729527944</v>
      </c>
      <c r="N16" s="84">
        <v>12.004881869242681</v>
      </c>
      <c r="O16" s="84">
        <v>8.8699854884138816</v>
      </c>
      <c r="P16" s="84">
        <v>9.5736892625356429</v>
      </c>
      <c r="Q16" s="84">
        <v>11.157852557964119</v>
      </c>
      <c r="R16" s="84">
        <v>12.10644649313633</v>
      </c>
      <c r="S16" s="84">
        <v>13.491042693331599</v>
      </c>
      <c r="T16" s="84">
        <v>14.760239796199436</v>
      </c>
      <c r="U16" s="84">
        <v>13.690247824900265</v>
      </c>
      <c r="V16" s="84">
        <v>4.5781032296513038</v>
      </c>
      <c r="W16" s="84">
        <v>5.9642284105330106</v>
      </c>
      <c r="DA16" s="171" t="s">
        <v>200</v>
      </c>
    </row>
    <row r="17" spans="1:105" ht="11.45" customHeight="1" x14ac:dyDescent="0.25">
      <c r="A17" s="83" t="s">
        <v>174</v>
      </c>
      <c r="B17" s="84">
        <v>1.0295624529428042</v>
      </c>
      <c r="C17" s="84">
        <v>0.85246570447742387</v>
      </c>
      <c r="D17" s="84">
        <v>0.8974903015448934</v>
      </c>
      <c r="E17" s="84">
        <v>1.044570651965294</v>
      </c>
      <c r="F17" s="84">
        <v>1.6148822148199087</v>
      </c>
      <c r="G17" s="84">
        <v>2.0767129909909912</v>
      </c>
      <c r="H17" s="84">
        <v>2.0625367592393729</v>
      </c>
      <c r="I17" s="84">
        <v>2.2612544196209128</v>
      </c>
      <c r="J17" s="84">
        <v>2.9861586309465129</v>
      </c>
      <c r="K17" s="84">
        <v>2.285667525880247</v>
      </c>
      <c r="L17" s="84">
        <v>3.2464600723140498</v>
      </c>
      <c r="M17" s="84">
        <v>3.1753281871103498</v>
      </c>
      <c r="N17" s="84">
        <v>6.1262528414634136</v>
      </c>
      <c r="O17" s="84">
        <v>2.8835140798646246</v>
      </c>
      <c r="P17" s="84">
        <v>2.8925197804693452</v>
      </c>
      <c r="Q17" s="84">
        <v>3.7953598422654737</v>
      </c>
      <c r="R17" s="84">
        <v>2.3826781824141108</v>
      </c>
      <c r="S17" s="84">
        <v>3.1531846301291444</v>
      </c>
      <c r="T17" s="84">
        <v>3.9627681632358254</v>
      </c>
      <c r="U17" s="84">
        <v>4.3488987787679205</v>
      </c>
      <c r="V17" s="84">
        <v>1.0476966022450238</v>
      </c>
      <c r="W17" s="84">
        <v>3.0691908676367703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0.10050083322813771</v>
      </c>
      <c r="C18" s="13">
        <f t="shared" si="12"/>
        <v>9.1665645656956896E-2</v>
      </c>
      <c r="D18" s="13">
        <f t="shared" ref="D18:V18" si="13">SUM(D19:D21)</f>
        <v>7.3152823711736578E-2</v>
      </c>
      <c r="E18" s="13">
        <f t="shared" si="13"/>
        <v>7.4024826256859355E-2</v>
      </c>
      <c r="F18" s="13">
        <f t="shared" si="13"/>
        <v>7.4718726349125617E-2</v>
      </c>
      <c r="G18" s="13">
        <f t="shared" si="13"/>
        <v>0.10897593308746048</v>
      </c>
      <c r="H18" s="13">
        <f t="shared" si="13"/>
        <v>9.5375481804797616E-2</v>
      </c>
      <c r="I18" s="13">
        <f t="shared" si="13"/>
        <v>9.5069024025440291E-2</v>
      </c>
      <c r="J18" s="13">
        <f t="shared" si="13"/>
        <v>9.8024701018415372E-2</v>
      </c>
      <c r="K18" s="13">
        <f t="shared" si="13"/>
        <v>6.8943141591400831E-2</v>
      </c>
      <c r="L18" s="13">
        <f t="shared" si="13"/>
        <v>0.10654716483374303</v>
      </c>
      <c r="M18" s="13">
        <f t="shared" si="13"/>
        <v>0.10443082051581826</v>
      </c>
      <c r="N18" s="13">
        <f t="shared" si="13"/>
        <v>0.12942167647656933</v>
      </c>
      <c r="O18" s="13">
        <f t="shared" si="13"/>
        <v>0.13159061349256934</v>
      </c>
      <c r="P18" s="13">
        <f t="shared" si="13"/>
        <v>0.14251491346137174</v>
      </c>
      <c r="Q18" s="13">
        <f t="shared" si="13"/>
        <v>0.15875047827691802</v>
      </c>
      <c r="R18" s="13">
        <f t="shared" si="13"/>
        <v>0.18227222167125434</v>
      </c>
      <c r="S18" s="13">
        <f t="shared" si="13"/>
        <v>0.18397893571402571</v>
      </c>
      <c r="T18" s="13">
        <f t="shared" si="13"/>
        <v>0.19943450417050693</v>
      </c>
      <c r="U18" s="13">
        <f t="shared" si="13"/>
        <v>0.20955525537294561</v>
      </c>
      <c r="V18" s="13">
        <f t="shared" si="13"/>
        <v>0.17073888572488324</v>
      </c>
      <c r="W18" s="13">
        <f t="shared" ref="W18" si="14">SUM(W19:W21)</f>
        <v>0.27742167376660187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6.1645611238901374E-2</v>
      </c>
      <c r="C20" s="102">
        <v>5.558579666695173E-2</v>
      </c>
      <c r="D20" s="102">
        <v>4.8174466718656071E-2</v>
      </c>
      <c r="E20" s="102">
        <v>4.6271096264547687E-2</v>
      </c>
      <c r="F20" s="102">
        <v>4.9740369356045117E-2</v>
      </c>
      <c r="G20" s="102">
        <v>5.7486856164383565E-2</v>
      </c>
      <c r="H20" s="102">
        <v>6.5530110616075513E-2</v>
      </c>
      <c r="I20" s="102">
        <v>7.7696805470154937E-2</v>
      </c>
      <c r="J20" s="102">
        <v>8.6408523348360772E-2</v>
      </c>
      <c r="K20" s="102">
        <v>6.5600883974911289E-2</v>
      </c>
      <c r="L20" s="102">
        <v>9.0655503816793881E-2</v>
      </c>
      <c r="M20" s="102">
        <v>9.814124493753551E-2</v>
      </c>
      <c r="N20" s="102">
        <v>0.12042138379364251</v>
      </c>
      <c r="O20" s="102">
        <v>0.12657077355652349</v>
      </c>
      <c r="P20" s="102">
        <v>0.13742331729679505</v>
      </c>
      <c r="Q20" s="102">
        <v>0.15159816360163064</v>
      </c>
      <c r="R20" s="102">
        <v>0.15300841374104895</v>
      </c>
      <c r="S20" s="102">
        <v>0.17197676088767963</v>
      </c>
      <c r="T20" s="102">
        <v>0.19197153642857145</v>
      </c>
      <c r="U20" s="102">
        <v>0.19682025537294562</v>
      </c>
      <c r="V20" s="102">
        <v>0.16397742431165685</v>
      </c>
      <c r="W20" s="102">
        <v>0.24029568926710115</v>
      </c>
      <c r="DA20" s="175" t="s">
        <v>204</v>
      </c>
    </row>
    <row r="21" spans="1:105" ht="11.45" customHeight="1" x14ac:dyDescent="0.25">
      <c r="A21" s="85" t="s">
        <v>174</v>
      </c>
      <c r="B21" s="86">
        <v>3.8855221989236334E-2</v>
      </c>
      <c r="C21" s="86">
        <v>3.6079848990005173E-2</v>
      </c>
      <c r="D21" s="86">
        <v>2.4978356993080503E-2</v>
      </c>
      <c r="E21" s="86">
        <v>2.7753729992311668E-2</v>
      </c>
      <c r="F21" s="86">
        <v>2.4978356993080503E-2</v>
      </c>
      <c r="G21" s="86">
        <v>5.1489076923076922E-2</v>
      </c>
      <c r="H21" s="86">
        <v>2.9845371188722099E-2</v>
      </c>
      <c r="I21" s="86">
        <v>1.7372218555285354E-2</v>
      </c>
      <c r="J21" s="86">
        <v>1.16161776700546E-2</v>
      </c>
      <c r="K21" s="86">
        <v>3.3422576164895434E-3</v>
      </c>
      <c r="L21" s="86">
        <v>1.5891661016949155E-2</v>
      </c>
      <c r="M21" s="86">
        <v>6.2895755782827484E-3</v>
      </c>
      <c r="N21" s="86">
        <v>9.000292682926828E-3</v>
      </c>
      <c r="O21" s="86">
        <v>5.0198399360458362E-3</v>
      </c>
      <c r="P21" s="86">
        <v>5.0915961645766989E-3</v>
      </c>
      <c r="Q21" s="86">
        <v>7.1523146752873875E-3</v>
      </c>
      <c r="R21" s="86">
        <v>2.9263807930205381E-2</v>
      </c>
      <c r="S21" s="86">
        <v>1.2002174826346081E-2</v>
      </c>
      <c r="T21" s="86">
        <v>7.4629677419354836E-3</v>
      </c>
      <c r="U21" s="86">
        <v>1.2735E-2</v>
      </c>
      <c r="V21" s="86">
        <v>6.7614614132263957E-3</v>
      </c>
      <c r="W21" s="86">
        <v>3.7125984499500699E-2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9157</v>
      </c>
      <c r="C23" s="54">
        <f t="shared" si="15"/>
        <v>7584</v>
      </c>
      <c r="D23" s="54">
        <f t="shared" ref="D23:V23" si="16">SUM(D24,D28)</f>
        <v>7465</v>
      </c>
      <c r="E23" s="54">
        <f t="shared" si="16"/>
        <v>7363</v>
      </c>
      <c r="F23" s="54">
        <f t="shared" si="16"/>
        <v>9005</v>
      </c>
      <c r="G23" s="54">
        <f t="shared" si="16"/>
        <v>11179</v>
      </c>
      <c r="H23" s="54">
        <f t="shared" si="16"/>
        <v>11359</v>
      </c>
      <c r="I23" s="54">
        <f t="shared" si="16"/>
        <v>13465</v>
      </c>
      <c r="J23" s="54">
        <f t="shared" si="16"/>
        <v>14862</v>
      </c>
      <c r="K23" s="54">
        <f t="shared" si="16"/>
        <v>11034</v>
      </c>
      <c r="L23" s="54">
        <f t="shared" si="16"/>
        <v>11537</v>
      </c>
      <c r="M23" s="54">
        <f t="shared" si="16"/>
        <v>14180</v>
      </c>
      <c r="N23" s="54">
        <f t="shared" si="16"/>
        <v>18484</v>
      </c>
      <c r="O23" s="54">
        <f t="shared" si="16"/>
        <v>13473</v>
      </c>
      <c r="P23" s="54">
        <f t="shared" si="16"/>
        <v>13703</v>
      </c>
      <c r="Q23" s="54">
        <f t="shared" si="16"/>
        <v>15085</v>
      </c>
      <c r="R23" s="54">
        <f t="shared" si="16"/>
        <v>15378</v>
      </c>
      <c r="S23" s="54">
        <f t="shared" si="16"/>
        <v>17430</v>
      </c>
      <c r="T23" s="54">
        <f t="shared" si="16"/>
        <v>18977</v>
      </c>
      <c r="U23" s="54">
        <f t="shared" si="16"/>
        <v>18359</v>
      </c>
      <c r="V23" s="54">
        <f t="shared" si="16"/>
        <v>6294</v>
      </c>
      <c r="W23" s="54">
        <f t="shared" ref="W23" si="17">SUM(W24,W28)</f>
        <v>7271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9046</v>
      </c>
      <c r="C24" s="11">
        <f t="shared" si="18"/>
        <v>7484</v>
      </c>
      <c r="D24" s="11">
        <f t="shared" ref="D24:V24" si="19">SUM(D25:D27)</f>
        <v>7370</v>
      </c>
      <c r="E24" s="11">
        <f t="shared" si="19"/>
        <v>7253</v>
      </c>
      <c r="F24" s="11">
        <f t="shared" si="19"/>
        <v>8882</v>
      </c>
      <c r="G24" s="11">
        <f t="shared" si="19"/>
        <v>11059</v>
      </c>
      <c r="H24" s="11">
        <f t="shared" si="19"/>
        <v>11242</v>
      </c>
      <c r="I24" s="11">
        <f t="shared" si="19"/>
        <v>13340</v>
      </c>
      <c r="J24" s="11">
        <f t="shared" si="19"/>
        <v>14736</v>
      </c>
      <c r="K24" s="11">
        <f t="shared" si="19"/>
        <v>10923</v>
      </c>
      <c r="L24" s="11">
        <f t="shared" si="19"/>
        <v>11391</v>
      </c>
      <c r="M24" s="11">
        <f t="shared" si="19"/>
        <v>14026</v>
      </c>
      <c r="N24" s="11">
        <f t="shared" si="19"/>
        <v>18291</v>
      </c>
      <c r="O24" s="11">
        <f t="shared" si="19"/>
        <v>13282</v>
      </c>
      <c r="P24" s="11">
        <f t="shared" si="19"/>
        <v>13508</v>
      </c>
      <c r="Q24" s="11">
        <f t="shared" si="19"/>
        <v>14888</v>
      </c>
      <c r="R24" s="11">
        <f t="shared" si="19"/>
        <v>15166</v>
      </c>
      <c r="S24" s="11">
        <f t="shared" si="19"/>
        <v>17212</v>
      </c>
      <c r="T24" s="11">
        <f t="shared" si="19"/>
        <v>18738</v>
      </c>
      <c r="U24" s="11">
        <f t="shared" si="19"/>
        <v>18117</v>
      </c>
      <c r="V24" s="11">
        <f t="shared" si="19"/>
        <v>6082</v>
      </c>
      <c r="W24" s="11">
        <f t="shared" ref="W24" si="20">SUM(W25:W27)</f>
        <v>7012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8703</v>
      </c>
      <c r="C26" s="84">
        <v>7200</v>
      </c>
      <c r="D26" s="84">
        <v>7071</v>
      </c>
      <c r="E26" s="84">
        <v>6905</v>
      </c>
      <c r="F26" s="84">
        <v>8344</v>
      </c>
      <c r="G26" s="84">
        <v>10421</v>
      </c>
      <c r="H26" s="84">
        <v>10562</v>
      </c>
      <c r="I26" s="84">
        <v>12559</v>
      </c>
      <c r="J26" s="84">
        <v>13681</v>
      </c>
      <c r="K26" s="84">
        <v>9917</v>
      </c>
      <c r="L26" s="84">
        <v>10296</v>
      </c>
      <c r="M26" s="84">
        <v>12714</v>
      </c>
      <c r="N26" s="84">
        <v>15510</v>
      </c>
      <c r="O26" s="84">
        <v>11077</v>
      </c>
      <c r="P26" s="84">
        <v>11479</v>
      </c>
      <c r="Q26" s="84">
        <v>12633</v>
      </c>
      <c r="R26" s="84">
        <v>13554</v>
      </c>
      <c r="S26" s="84">
        <v>14920</v>
      </c>
      <c r="T26" s="84">
        <v>16070</v>
      </c>
      <c r="U26" s="84">
        <v>15641</v>
      </c>
      <c r="V26" s="84">
        <v>5527</v>
      </c>
      <c r="W26" s="84">
        <v>5992</v>
      </c>
      <c r="DA26" s="171" t="s">
        <v>209</v>
      </c>
    </row>
    <row r="27" spans="1:105" ht="11.45" customHeight="1" x14ac:dyDescent="0.25">
      <c r="A27" s="83" t="s">
        <v>174</v>
      </c>
      <c r="B27" s="84">
        <v>343</v>
      </c>
      <c r="C27" s="84">
        <v>284</v>
      </c>
      <c r="D27" s="84">
        <v>299</v>
      </c>
      <c r="E27" s="84">
        <v>348</v>
      </c>
      <c r="F27" s="84">
        <v>538</v>
      </c>
      <c r="G27" s="84">
        <v>638</v>
      </c>
      <c r="H27" s="84">
        <v>680</v>
      </c>
      <c r="I27" s="84">
        <v>781</v>
      </c>
      <c r="J27" s="84">
        <v>1055</v>
      </c>
      <c r="K27" s="84">
        <v>1006</v>
      </c>
      <c r="L27" s="84">
        <v>1095</v>
      </c>
      <c r="M27" s="84">
        <v>1312</v>
      </c>
      <c r="N27" s="84">
        <v>2781</v>
      </c>
      <c r="O27" s="84">
        <v>2205</v>
      </c>
      <c r="P27" s="84">
        <v>2029</v>
      </c>
      <c r="Q27" s="84">
        <v>2255</v>
      </c>
      <c r="R27" s="84">
        <v>1612</v>
      </c>
      <c r="S27" s="84">
        <v>2292</v>
      </c>
      <c r="T27" s="84">
        <v>2668</v>
      </c>
      <c r="U27" s="84">
        <v>2476</v>
      </c>
      <c r="V27" s="84">
        <v>555</v>
      </c>
      <c r="W27" s="84">
        <v>1020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111</v>
      </c>
      <c r="C28" s="13">
        <f t="shared" si="21"/>
        <v>100</v>
      </c>
      <c r="D28" s="13">
        <f t="shared" ref="D28:V28" si="22">SUM(D29:D31)</f>
        <v>95</v>
      </c>
      <c r="E28" s="13">
        <f t="shared" si="22"/>
        <v>110</v>
      </c>
      <c r="F28" s="13">
        <f t="shared" si="22"/>
        <v>123</v>
      </c>
      <c r="G28" s="13">
        <f t="shared" si="22"/>
        <v>120</v>
      </c>
      <c r="H28" s="13">
        <f t="shared" si="22"/>
        <v>117</v>
      </c>
      <c r="I28" s="13">
        <f t="shared" si="22"/>
        <v>125</v>
      </c>
      <c r="J28" s="13">
        <f t="shared" si="22"/>
        <v>126</v>
      </c>
      <c r="K28" s="13">
        <f t="shared" si="22"/>
        <v>111</v>
      </c>
      <c r="L28" s="13">
        <f t="shared" si="22"/>
        <v>146</v>
      </c>
      <c r="M28" s="13">
        <f t="shared" si="22"/>
        <v>154</v>
      </c>
      <c r="N28" s="13">
        <f t="shared" si="22"/>
        <v>193</v>
      </c>
      <c r="O28" s="13">
        <f t="shared" si="22"/>
        <v>191</v>
      </c>
      <c r="P28" s="13">
        <f t="shared" si="22"/>
        <v>195</v>
      </c>
      <c r="Q28" s="13">
        <f t="shared" si="22"/>
        <v>197</v>
      </c>
      <c r="R28" s="13">
        <f t="shared" si="22"/>
        <v>212</v>
      </c>
      <c r="S28" s="13">
        <f t="shared" si="22"/>
        <v>218</v>
      </c>
      <c r="T28" s="13">
        <f t="shared" si="22"/>
        <v>239</v>
      </c>
      <c r="U28" s="13">
        <f t="shared" si="22"/>
        <v>242</v>
      </c>
      <c r="V28" s="13">
        <f t="shared" si="22"/>
        <v>212</v>
      </c>
      <c r="W28" s="13">
        <f t="shared" ref="W28" si="23">SUM(W29:W31)</f>
        <v>259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97</v>
      </c>
      <c r="C30" s="102">
        <v>87</v>
      </c>
      <c r="D30" s="102">
        <v>86</v>
      </c>
      <c r="E30" s="102">
        <v>100</v>
      </c>
      <c r="F30" s="102">
        <v>114</v>
      </c>
      <c r="G30" s="102">
        <v>103</v>
      </c>
      <c r="H30" s="102">
        <v>106</v>
      </c>
      <c r="I30" s="102">
        <v>118</v>
      </c>
      <c r="J30" s="102">
        <v>121</v>
      </c>
      <c r="K30" s="102">
        <v>109</v>
      </c>
      <c r="L30" s="102">
        <v>139</v>
      </c>
      <c r="M30" s="102">
        <v>151</v>
      </c>
      <c r="N30" s="102">
        <v>189</v>
      </c>
      <c r="O30" s="102">
        <v>187</v>
      </c>
      <c r="P30" s="102">
        <v>191</v>
      </c>
      <c r="Q30" s="102">
        <v>192</v>
      </c>
      <c r="R30" s="102">
        <v>186</v>
      </c>
      <c r="S30" s="102">
        <v>205</v>
      </c>
      <c r="T30" s="102">
        <v>231</v>
      </c>
      <c r="U30" s="102">
        <v>236</v>
      </c>
      <c r="V30" s="102">
        <v>209</v>
      </c>
      <c r="W30" s="102">
        <v>248</v>
      </c>
      <c r="DA30" s="175" t="s">
        <v>213</v>
      </c>
    </row>
    <row r="31" spans="1:105" ht="11.45" customHeight="1" x14ac:dyDescent="0.25">
      <c r="A31" s="85" t="s">
        <v>174</v>
      </c>
      <c r="B31" s="86">
        <v>14</v>
      </c>
      <c r="C31" s="86">
        <v>13</v>
      </c>
      <c r="D31" s="86">
        <v>9</v>
      </c>
      <c r="E31" s="86">
        <v>10</v>
      </c>
      <c r="F31" s="86">
        <v>9</v>
      </c>
      <c r="G31" s="86">
        <v>17</v>
      </c>
      <c r="H31" s="86">
        <v>11</v>
      </c>
      <c r="I31" s="86">
        <v>7</v>
      </c>
      <c r="J31" s="86">
        <v>5</v>
      </c>
      <c r="K31" s="86">
        <v>2</v>
      </c>
      <c r="L31" s="86">
        <v>7</v>
      </c>
      <c r="M31" s="86">
        <v>3</v>
      </c>
      <c r="N31" s="86">
        <v>4</v>
      </c>
      <c r="O31" s="86">
        <v>4</v>
      </c>
      <c r="P31" s="86">
        <v>4</v>
      </c>
      <c r="Q31" s="86">
        <v>5</v>
      </c>
      <c r="R31" s="86">
        <v>26</v>
      </c>
      <c r="S31" s="86">
        <v>13</v>
      </c>
      <c r="T31" s="86">
        <v>8</v>
      </c>
      <c r="U31" s="86">
        <v>6</v>
      </c>
      <c r="V31" s="86">
        <v>3</v>
      </c>
      <c r="W31" s="86">
        <v>11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339590</v>
      </c>
      <c r="C34" s="11">
        <f t="shared" si="24"/>
        <v>286551</v>
      </c>
      <c r="D34" s="11">
        <f t="shared" ref="D34:V34" si="25">SUM(D35:D37)</f>
        <v>297985</v>
      </c>
      <c r="E34" s="11">
        <f t="shared" si="25"/>
        <v>354230</v>
      </c>
      <c r="F34" s="11">
        <f t="shared" si="25"/>
        <v>496261</v>
      </c>
      <c r="G34" s="11">
        <f t="shared" si="25"/>
        <v>699688</v>
      </c>
      <c r="H34" s="11">
        <f t="shared" si="25"/>
        <v>769983</v>
      </c>
      <c r="I34" s="11">
        <f t="shared" si="25"/>
        <v>865196</v>
      </c>
      <c r="J34" s="11">
        <f t="shared" si="25"/>
        <v>902257</v>
      </c>
      <c r="K34" s="11">
        <f t="shared" si="25"/>
        <v>667225</v>
      </c>
      <c r="L34" s="11">
        <f t="shared" si="25"/>
        <v>688211</v>
      </c>
      <c r="M34" s="11">
        <f t="shared" si="25"/>
        <v>953493</v>
      </c>
      <c r="N34" s="11">
        <f t="shared" si="25"/>
        <v>1105933</v>
      </c>
      <c r="O34" s="11">
        <f t="shared" si="25"/>
        <v>983894</v>
      </c>
      <c r="P34" s="11">
        <f t="shared" si="25"/>
        <v>1012206</v>
      </c>
      <c r="Q34" s="11">
        <f t="shared" si="25"/>
        <v>1088091</v>
      </c>
      <c r="R34" s="11">
        <f t="shared" si="25"/>
        <v>1116751</v>
      </c>
      <c r="S34" s="11">
        <f t="shared" si="25"/>
        <v>1327877</v>
      </c>
      <c r="T34" s="11">
        <f t="shared" si="25"/>
        <v>1503940</v>
      </c>
      <c r="U34" s="11">
        <f t="shared" si="25"/>
        <v>1638277</v>
      </c>
      <c r="V34" s="11">
        <f t="shared" si="25"/>
        <v>416547</v>
      </c>
      <c r="W34" s="11">
        <f t="shared" ref="W34" si="26">SUM(W35:W37)</f>
        <v>632601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314499</v>
      </c>
      <c r="C36" s="84">
        <v>265653</v>
      </c>
      <c r="D36" s="84">
        <v>273950</v>
      </c>
      <c r="E36" s="84">
        <v>324742</v>
      </c>
      <c r="F36" s="84">
        <v>449629</v>
      </c>
      <c r="G36" s="84">
        <v>637974</v>
      </c>
      <c r="H36" s="84">
        <v>703222</v>
      </c>
      <c r="I36" s="84">
        <v>776684</v>
      </c>
      <c r="J36" s="84">
        <v>789918</v>
      </c>
      <c r="K36" s="84">
        <v>573342</v>
      </c>
      <c r="L36" s="84">
        <v>597548</v>
      </c>
      <c r="M36" s="84">
        <v>860320</v>
      </c>
      <c r="N36" s="84">
        <v>951386</v>
      </c>
      <c r="O36" s="84">
        <v>825616</v>
      </c>
      <c r="P36" s="84">
        <v>850810</v>
      </c>
      <c r="Q36" s="84">
        <v>904785</v>
      </c>
      <c r="R36" s="84">
        <v>978311</v>
      </c>
      <c r="S36" s="84">
        <v>1135956</v>
      </c>
      <c r="T36" s="84">
        <v>1262614</v>
      </c>
      <c r="U36" s="84">
        <v>1355417</v>
      </c>
      <c r="V36" s="84">
        <v>356224</v>
      </c>
      <c r="W36" s="84">
        <v>494954</v>
      </c>
      <c r="DA36" s="171" t="s">
        <v>217</v>
      </c>
    </row>
    <row r="37" spans="1:105" ht="11.45" customHeight="1" x14ac:dyDescent="0.25">
      <c r="A37" s="83" t="s">
        <v>174</v>
      </c>
      <c r="B37" s="84">
        <v>25091</v>
      </c>
      <c r="C37" s="84">
        <v>20898</v>
      </c>
      <c r="D37" s="84">
        <v>24035</v>
      </c>
      <c r="E37" s="84">
        <v>29488</v>
      </c>
      <c r="F37" s="84">
        <v>46632</v>
      </c>
      <c r="G37" s="84">
        <v>61714</v>
      </c>
      <c r="H37" s="84">
        <v>66761</v>
      </c>
      <c r="I37" s="84">
        <v>88512</v>
      </c>
      <c r="J37" s="84">
        <v>112339</v>
      </c>
      <c r="K37" s="84">
        <v>93883</v>
      </c>
      <c r="L37" s="84">
        <v>90663</v>
      </c>
      <c r="M37" s="84">
        <v>93173</v>
      </c>
      <c r="N37" s="84">
        <v>154547</v>
      </c>
      <c r="O37" s="84">
        <v>158278</v>
      </c>
      <c r="P37" s="84">
        <v>161396</v>
      </c>
      <c r="Q37" s="84">
        <v>183306</v>
      </c>
      <c r="R37" s="84">
        <v>138440</v>
      </c>
      <c r="S37" s="84">
        <v>191921</v>
      </c>
      <c r="T37" s="84">
        <v>241326</v>
      </c>
      <c r="U37" s="84">
        <v>282860</v>
      </c>
      <c r="V37" s="84">
        <v>60323</v>
      </c>
      <c r="W37" s="84">
        <v>137647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2289.1870531469431</v>
      </c>
      <c r="C38" s="13">
        <f t="shared" si="27"/>
        <v>2113.7625083002349</v>
      </c>
      <c r="D38" s="13">
        <f t="shared" ref="D38:V38" si="28">SUM(D39:D41)</f>
        <v>1877.4382074233072</v>
      </c>
      <c r="E38" s="13">
        <f t="shared" si="28"/>
        <v>2203.9605374460534</v>
      </c>
      <c r="F38" s="13">
        <f t="shared" si="28"/>
        <v>2259.8503642685969</v>
      </c>
      <c r="G38" s="13">
        <f t="shared" si="28"/>
        <v>2315.3165108391695</v>
      </c>
      <c r="H38" s="13">
        <f t="shared" si="28"/>
        <v>1979.2411273970513</v>
      </c>
      <c r="I38" s="13">
        <f t="shared" si="28"/>
        <v>1939.4740487447077</v>
      </c>
      <c r="J38" s="13">
        <f t="shared" si="28"/>
        <v>1877.0161556127266</v>
      </c>
      <c r="K38" s="13">
        <f t="shared" si="28"/>
        <v>1585.114435994775</v>
      </c>
      <c r="L38" s="13">
        <f t="shared" si="28"/>
        <v>2372.2055902261623</v>
      </c>
      <c r="M38" s="13">
        <f t="shared" si="28"/>
        <v>2504.1416669394207</v>
      </c>
      <c r="N38" s="13">
        <f t="shared" si="28"/>
        <v>3346.2723030681227</v>
      </c>
      <c r="O38" s="13">
        <f t="shared" si="28"/>
        <v>3330.746912402999</v>
      </c>
      <c r="P38" s="13">
        <f t="shared" si="28"/>
        <v>3740.2904894016365</v>
      </c>
      <c r="Q38" s="13">
        <f t="shared" si="28"/>
        <v>3819.4300058278518</v>
      </c>
      <c r="R38" s="13">
        <f t="shared" si="28"/>
        <v>5724.9911437362662</v>
      </c>
      <c r="S38" s="13">
        <f t="shared" si="28"/>
        <v>4868.6520756051696</v>
      </c>
      <c r="T38" s="13">
        <f t="shared" si="28"/>
        <v>4976.4819440686733</v>
      </c>
      <c r="U38" s="13">
        <f t="shared" si="28"/>
        <v>5049.7564339314158</v>
      </c>
      <c r="V38" s="13">
        <f t="shared" si="28"/>
        <v>3812.2006270736638</v>
      </c>
      <c r="W38" s="13">
        <f t="shared" ref="W38" si="29">SUM(W39:W41)</f>
        <v>4963.1543593274928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1559.3793193681279</v>
      </c>
      <c r="C40" s="102">
        <v>1413.8578757366122</v>
      </c>
      <c r="D40" s="102">
        <v>1401.446939204274</v>
      </c>
      <c r="E40" s="102">
        <v>1716.7505270500246</v>
      </c>
      <c r="F40" s="102">
        <v>1827.315515656235</v>
      </c>
      <c r="G40" s="102">
        <v>1563.6452633322174</v>
      </c>
      <c r="H40" s="102">
        <v>1482.4389955478975</v>
      </c>
      <c r="I40" s="102">
        <v>1623.1649460528465</v>
      </c>
      <c r="J40" s="102">
        <v>1652.4516188521256</v>
      </c>
      <c r="K40" s="102">
        <v>1485.3168721677682</v>
      </c>
      <c r="L40" s="102">
        <v>2004.4893736196639</v>
      </c>
      <c r="M40" s="102">
        <v>2338.9452341191823</v>
      </c>
      <c r="N40" s="102">
        <v>3111.2843799055213</v>
      </c>
      <c r="O40" s="102">
        <v>3093.3620736818225</v>
      </c>
      <c r="P40" s="102">
        <v>3475.7708249142752</v>
      </c>
      <c r="Q40" s="102">
        <v>3489.7470264996664</v>
      </c>
      <c r="R40" s="102">
        <v>3826.6732214889394</v>
      </c>
      <c r="S40" s="102">
        <v>3921.2592860018326</v>
      </c>
      <c r="T40" s="102">
        <v>4391.5466461161577</v>
      </c>
      <c r="U40" s="102">
        <v>4600.2632420034406</v>
      </c>
      <c r="V40" s="102">
        <v>3661.5053625559358</v>
      </c>
      <c r="W40" s="102">
        <v>4377.281533072256</v>
      </c>
      <c r="DA40" s="175" t="s">
        <v>221</v>
      </c>
    </row>
    <row r="41" spans="1:105" ht="11.45" customHeight="1" x14ac:dyDescent="0.25">
      <c r="A41" s="85" t="s">
        <v>174</v>
      </c>
      <c r="B41" s="86">
        <v>729.80773377881542</v>
      </c>
      <c r="C41" s="86">
        <v>699.90463256362273</v>
      </c>
      <c r="D41" s="86">
        <v>475.99126821903303</v>
      </c>
      <c r="E41" s="86">
        <v>487.21001039602879</v>
      </c>
      <c r="F41" s="86">
        <v>432.53484861236171</v>
      </c>
      <c r="G41" s="86">
        <v>751.67124750695223</v>
      </c>
      <c r="H41" s="86">
        <v>496.80213184915374</v>
      </c>
      <c r="I41" s="86">
        <v>316.3091026918612</v>
      </c>
      <c r="J41" s="86">
        <v>224.56453676060102</v>
      </c>
      <c r="K41" s="86">
        <v>99.797563827006726</v>
      </c>
      <c r="L41" s="86">
        <v>367.71621660649822</v>
      </c>
      <c r="M41" s="86">
        <v>165.19643282023827</v>
      </c>
      <c r="N41" s="86">
        <v>234.98792316260148</v>
      </c>
      <c r="O41" s="86">
        <v>237.38483872117641</v>
      </c>
      <c r="P41" s="86">
        <v>264.51966448736118</v>
      </c>
      <c r="Q41" s="86">
        <v>329.68297932818535</v>
      </c>
      <c r="R41" s="86">
        <v>1898.3179222473264</v>
      </c>
      <c r="S41" s="86">
        <v>947.39278960333661</v>
      </c>
      <c r="T41" s="86">
        <v>584.93529795251573</v>
      </c>
      <c r="U41" s="86">
        <v>449.49319192797486</v>
      </c>
      <c r="V41" s="86">
        <v>150.69526451772782</v>
      </c>
      <c r="W41" s="86">
        <v>585.8728262552363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6.5488861922848791</v>
      </c>
      <c r="C43" s="54">
        <f t="shared" si="30"/>
        <v>5.8948644296401849</v>
      </c>
      <c r="D43" s="54">
        <f t="shared" ref="D43:V43" si="31">SUM(D44,D48)</f>
        <v>5.3679725735363339</v>
      </c>
      <c r="E43" s="54">
        <f t="shared" si="31"/>
        <v>5.362593060337038</v>
      </c>
      <c r="F43" s="54">
        <f t="shared" si="31"/>
        <v>6.7101915095659823</v>
      </c>
      <c r="G43" s="54">
        <f t="shared" si="31"/>
        <v>8.728896933936257</v>
      </c>
      <c r="H43" s="54">
        <f t="shared" si="31"/>
        <v>8.7848658409375702</v>
      </c>
      <c r="I43" s="54">
        <f t="shared" si="31"/>
        <v>10.144393466157515</v>
      </c>
      <c r="J43" s="54">
        <f t="shared" si="31"/>
        <v>11.328196329184612</v>
      </c>
      <c r="K43" s="54">
        <f t="shared" si="31"/>
        <v>10.673307709956127</v>
      </c>
      <c r="L43" s="54">
        <f t="shared" si="31"/>
        <v>10.308916853125915</v>
      </c>
      <c r="M43" s="54">
        <f t="shared" si="31"/>
        <v>10.453682567201037</v>
      </c>
      <c r="N43" s="54">
        <f t="shared" si="31"/>
        <v>14.408565888244896</v>
      </c>
      <c r="O43" s="54">
        <f t="shared" si="31"/>
        <v>13.762434590563094</v>
      </c>
      <c r="P43" s="54">
        <f t="shared" si="31"/>
        <v>13.121600523808304</v>
      </c>
      <c r="Q43" s="54">
        <f t="shared" si="31"/>
        <v>12.966597134018812</v>
      </c>
      <c r="R43" s="54">
        <f t="shared" si="31"/>
        <v>13.617266546680911</v>
      </c>
      <c r="S43" s="54">
        <f t="shared" si="31"/>
        <v>14.541485053005625</v>
      </c>
      <c r="T43" s="54">
        <f t="shared" si="31"/>
        <v>15.128425220277865</v>
      </c>
      <c r="U43" s="54">
        <f t="shared" si="31"/>
        <v>14.688852950414004</v>
      </c>
      <c r="V43" s="54">
        <f t="shared" si="31"/>
        <v>14.255019796587909</v>
      </c>
      <c r="W43" s="54">
        <f t="shared" ref="W43" si="32">SUM(W44,W48)</f>
        <v>13.853525300459236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6.4448214157171559</v>
      </c>
      <c r="C44" s="11">
        <f t="shared" si="33"/>
        <v>5.8003392741454407</v>
      </c>
      <c r="D44" s="11">
        <f t="shared" ref="D44:V44" si="34">SUM(D45:D47)</f>
        <v>5.2770174345723566</v>
      </c>
      <c r="E44" s="11">
        <f t="shared" si="34"/>
        <v>5.2655564633729961</v>
      </c>
      <c r="F44" s="11">
        <f t="shared" si="34"/>
        <v>6.6087158543372366</v>
      </c>
      <c r="G44" s="11">
        <f t="shared" si="34"/>
        <v>8.6143351761592069</v>
      </c>
      <c r="H44" s="11">
        <f t="shared" si="34"/>
        <v>8.669324186450325</v>
      </c>
      <c r="I44" s="11">
        <f t="shared" si="34"/>
        <v>10.020148504566668</v>
      </c>
      <c r="J44" s="11">
        <f t="shared" si="34"/>
        <v>11.201679509867452</v>
      </c>
      <c r="K44" s="11">
        <f t="shared" si="34"/>
        <v>10.557197368295737</v>
      </c>
      <c r="L44" s="11">
        <f t="shared" si="34"/>
        <v>10.173245268030032</v>
      </c>
      <c r="M44" s="11">
        <f t="shared" si="34"/>
        <v>10.312235824893964</v>
      </c>
      <c r="N44" s="11">
        <f t="shared" si="34"/>
        <v>14.240707038281986</v>
      </c>
      <c r="O44" s="11">
        <f t="shared" si="34"/>
        <v>13.596224896710268</v>
      </c>
      <c r="P44" s="11">
        <f t="shared" si="34"/>
        <v>12.951742755138554</v>
      </c>
      <c r="Q44" s="11">
        <f t="shared" si="34"/>
        <v>12.793806418449755</v>
      </c>
      <c r="R44" s="11">
        <f t="shared" si="34"/>
        <v>13.425886645421613</v>
      </c>
      <c r="S44" s="11">
        <f t="shared" si="34"/>
        <v>14.334926857802067</v>
      </c>
      <c r="T44" s="11">
        <f t="shared" si="34"/>
        <v>14.898815469278539</v>
      </c>
      <c r="U44" s="11">
        <f t="shared" si="34"/>
        <v>14.460196645383704</v>
      </c>
      <c r="V44" s="11">
        <f t="shared" si="34"/>
        <v>14.030541884335893</v>
      </c>
      <c r="W44" s="11">
        <f t="shared" ref="W44" si="35">SUM(W45:W47)</f>
        <v>13.600887123288079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5.818909006958032</v>
      </c>
      <c r="C46" s="84">
        <v>5.2370181062622292</v>
      </c>
      <c r="D46" s="84">
        <v>4.7313969966161524</v>
      </c>
      <c r="E46" s="84">
        <v>4.6305199670226314</v>
      </c>
      <c r="F46" s="84">
        <v>5.6269640295197183</v>
      </c>
      <c r="G46" s="84">
        <v>7.3755002247028969</v>
      </c>
      <c r="H46" s="84">
        <v>7.419324186450325</v>
      </c>
      <c r="I46" s="84">
        <v>8.635396731517023</v>
      </c>
      <c r="J46" s="84">
        <v>9.3604927733927568</v>
      </c>
      <c r="K46" s="84">
        <v>8.7786018726969548</v>
      </c>
      <c r="L46" s="84">
        <v>8.1967109720011511</v>
      </c>
      <c r="M46" s="84">
        <v>8.2718003661070281</v>
      </c>
      <c r="N46" s="84">
        <v>10.198555875491287</v>
      </c>
      <c r="O46" s="84">
        <v>9.6166649747954818</v>
      </c>
      <c r="P46" s="84">
        <v>9.0347740740996798</v>
      </c>
      <c r="Q46" s="84">
        <v>8.9394289782867951</v>
      </c>
      <c r="R46" s="84">
        <v>9.6341004461345658</v>
      </c>
      <c r="S46" s="84">
        <v>10.60573189939093</v>
      </c>
      <c r="T46" s="84">
        <v>11.232211751743314</v>
      </c>
      <c r="U46" s="84">
        <v>10.856184168724392</v>
      </c>
      <c r="V46" s="84">
        <v>10.468256901593856</v>
      </c>
      <c r="W46" s="84">
        <v>10.080329634463318</v>
      </c>
      <c r="DA46" s="171" t="s">
        <v>226</v>
      </c>
    </row>
    <row r="47" spans="1:105" ht="11.45" customHeight="1" x14ac:dyDescent="0.25">
      <c r="A47" s="83" t="s">
        <v>174</v>
      </c>
      <c r="B47" s="84">
        <v>0.62591240875912413</v>
      </c>
      <c r="C47" s="84">
        <v>0.56332116788321174</v>
      </c>
      <c r="D47" s="84">
        <v>0.54562043795620441</v>
      </c>
      <c r="E47" s="84">
        <v>0.63503649635036497</v>
      </c>
      <c r="F47" s="84">
        <v>0.98175182481751821</v>
      </c>
      <c r="G47" s="84">
        <v>1.2388349514563106</v>
      </c>
      <c r="H47" s="84">
        <v>1.25</v>
      </c>
      <c r="I47" s="84">
        <v>1.3847517730496455</v>
      </c>
      <c r="J47" s="84">
        <v>1.8411867364746946</v>
      </c>
      <c r="K47" s="84">
        <v>1.7785954955987822</v>
      </c>
      <c r="L47" s="84">
        <v>1.976534296028881</v>
      </c>
      <c r="M47" s="84">
        <v>2.0404354587869364</v>
      </c>
      <c r="N47" s="84">
        <v>4.0421511627906979</v>
      </c>
      <c r="O47" s="84">
        <v>3.9795599219147855</v>
      </c>
      <c r="P47" s="84">
        <v>3.9169686810388731</v>
      </c>
      <c r="Q47" s="84">
        <v>3.8543774401629607</v>
      </c>
      <c r="R47" s="84">
        <v>3.7917861992870483</v>
      </c>
      <c r="S47" s="84">
        <v>3.7291949584111359</v>
      </c>
      <c r="T47" s="84">
        <v>3.6666037175352235</v>
      </c>
      <c r="U47" s="84">
        <v>3.6040124766593111</v>
      </c>
      <c r="V47" s="84">
        <v>3.5622849827420362</v>
      </c>
      <c r="W47" s="84">
        <v>3.5205574888247613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0.10406477656772277</v>
      </c>
      <c r="C48" s="13">
        <f t="shared" si="36"/>
        <v>9.4525155494744217E-2</v>
      </c>
      <c r="D48" s="13">
        <f t="shared" ref="D48:V48" si="37">SUM(D49:D51)</f>
        <v>9.0955138963977306E-2</v>
      </c>
      <c r="E48" s="13">
        <f t="shared" si="37"/>
        <v>9.7036596964041488E-2</v>
      </c>
      <c r="F48" s="13">
        <f t="shared" si="37"/>
        <v>0.10147565522874606</v>
      </c>
      <c r="G48" s="13">
        <f t="shared" si="37"/>
        <v>0.11456175777705038</v>
      </c>
      <c r="H48" s="13">
        <f t="shared" si="37"/>
        <v>0.11554165448724468</v>
      </c>
      <c r="I48" s="13">
        <f t="shared" si="37"/>
        <v>0.12424496159084687</v>
      </c>
      <c r="J48" s="13">
        <f t="shared" si="37"/>
        <v>0.12651681931716122</v>
      </c>
      <c r="K48" s="13">
        <f t="shared" si="37"/>
        <v>0.11611034166038894</v>
      </c>
      <c r="L48" s="13">
        <f t="shared" si="37"/>
        <v>0.13567158509588301</v>
      </c>
      <c r="M48" s="13">
        <f t="shared" si="37"/>
        <v>0.14144674230707266</v>
      </c>
      <c r="N48" s="13">
        <f t="shared" si="37"/>
        <v>0.16785884996290892</v>
      </c>
      <c r="O48" s="13">
        <f t="shared" si="37"/>
        <v>0.16620969385282675</v>
      </c>
      <c r="P48" s="13">
        <f t="shared" si="37"/>
        <v>0.16985776866975055</v>
      </c>
      <c r="Q48" s="13">
        <f t="shared" si="37"/>
        <v>0.17279071556905692</v>
      </c>
      <c r="R48" s="13">
        <f t="shared" si="37"/>
        <v>0.19137990125929782</v>
      </c>
      <c r="S48" s="13">
        <f t="shared" si="37"/>
        <v>0.20655819520355684</v>
      </c>
      <c r="T48" s="13">
        <f t="shared" si="37"/>
        <v>0.22960975099932684</v>
      </c>
      <c r="U48" s="13">
        <f t="shared" si="37"/>
        <v>0.22865630503030043</v>
      </c>
      <c r="V48" s="13">
        <f t="shared" si="37"/>
        <v>0.22447791225201663</v>
      </c>
      <c r="W48" s="13">
        <f t="shared" ref="W48" si="38">SUM(W49:W51)</f>
        <v>0.25263817717115694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7.8282087801608585E-2</v>
      </c>
      <c r="C50" s="102">
        <v>7.0584087354781055E-2</v>
      </c>
      <c r="D50" s="102">
        <v>6.9592339700625561E-2</v>
      </c>
      <c r="E50" s="102">
        <v>7.825206657730116E-2</v>
      </c>
      <c r="F50" s="102">
        <v>8.4901069593386946E-2</v>
      </c>
      <c r="G50" s="102">
        <v>8.1358632777050383E-2</v>
      </c>
      <c r="H50" s="102">
        <v>8.49167983638561E-2</v>
      </c>
      <c r="I50" s="102">
        <v>9.6198374344069706E-2</v>
      </c>
      <c r="J50" s="102">
        <v>0.10104850094699547</v>
      </c>
      <c r="K50" s="102">
        <v>9.3220292166834612E-2</v>
      </c>
      <c r="L50" s="102">
        <v>0.11535980447894008</v>
      </c>
      <c r="M50" s="102">
        <v>0.12371323056674118</v>
      </c>
      <c r="N50" s="102">
        <v>0.15270360709918884</v>
      </c>
      <c r="O50" s="102">
        <v>0.15363271986571808</v>
      </c>
      <c r="P50" s="102">
        <v>0.15985906355925331</v>
      </c>
      <c r="Q50" s="102">
        <v>0.16537027933517109</v>
      </c>
      <c r="R50" s="102">
        <v>0.16242667186063411</v>
      </c>
      <c r="S50" s="102">
        <v>0.18018323468150457</v>
      </c>
      <c r="T50" s="102">
        <v>0.20581305935388597</v>
      </c>
      <c r="U50" s="102">
        <v>0.20743788226147097</v>
      </c>
      <c r="V50" s="102">
        <v>0.20497833540092814</v>
      </c>
      <c r="W50" s="102">
        <v>0.22948028243431481</v>
      </c>
      <c r="DA50" s="175" t="s">
        <v>230</v>
      </c>
    </row>
    <row r="51" spans="1:105" ht="11.45" customHeight="1" x14ac:dyDescent="0.25">
      <c r="A51" s="85" t="s">
        <v>174</v>
      </c>
      <c r="B51" s="86">
        <v>2.5782688766114181E-2</v>
      </c>
      <c r="C51" s="86">
        <v>2.3941068139963169E-2</v>
      </c>
      <c r="D51" s="86">
        <v>2.1362799263351752E-2</v>
      </c>
      <c r="E51" s="86">
        <v>1.8784530386740335E-2</v>
      </c>
      <c r="F51" s="86">
        <v>1.6574585635359115E-2</v>
      </c>
      <c r="G51" s="86">
        <v>3.3203125E-2</v>
      </c>
      <c r="H51" s="86">
        <v>3.0624856123388583E-2</v>
      </c>
      <c r="I51" s="86">
        <v>2.8046587246777166E-2</v>
      </c>
      <c r="J51" s="86">
        <v>2.5468318370165749E-2</v>
      </c>
      <c r="K51" s="86">
        <v>2.2890049493554332E-2</v>
      </c>
      <c r="L51" s="86">
        <v>2.0311780616942915E-2</v>
      </c>
      <c r="M51" s="86">
        <v>1.7733511740331498E-2</v>
      </c>
      <c r="N51" s="86">
        <v>1.5155242863720079E-2</v>
      </c>
      <c r="O51" s="86">
        <v>1.257697398710866E-2</v>
      </c>
      <c r="P51" s="86">
        <v>9.9987051104972417E-3</v>
      </c>
      <c r="Q51" s="86">
        <v>7.4204362338858229E-3</v>
      </c>
      <c r="R51" s="86">
        <v>2.8953229398663696E-2</v>
      </c>
      <c r="S51" s="86">
        <v>2.6374960522052279E-2</v>
      </c>
      <c r="T51" s="86">
        <v>2.3796691645440862E-2</v>
      </c>
      <c r="U51" s="86">
        <v>2.1218422768829445E-2</v>
      </c>
      <c r="V51" s="86">
        <v>1.9499576851088499E-2</v>
      </c>
      <c r="W51" s="86">
        <v>2.3157894736842106E-2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4.995368819059872E-3</v>
      </c>
      <c r="C53" s="54">
        <f t="shared" si="39"/>
        <v>0</v>
      </c>
      <c r="D53" s="54">
        <f t="shared" ref="D53:V53" si="40">SUM(D54,D58)</f>
        <v>4.3474198158371946E-3</v>
      </c>
      <c r="E53" s="54">
        <f t="shared" si="40"/>
        <v>0.19480592328331414</v>
      </c>
      <c r="F53" s="54">
        <f t="shared" si="40"/>
        <v>1.5474155615863261</v>
      </c>
      <c r="G53" s="54">
        <f t="shared" si="40"/>
        <v>2.2187665890054369</v>
      </c>
      <c r="H53" s="54">
        <f t="shared" si="40"/>
        <v>0.27952631140313006</v>
      </c>
      <c r="I53" s="54">
        <f t="shared" si="40"/>
        <v>1.5830850296217638</v>
      </c>
      <c r="J53" s="54">
        <f t="shared" si="40"/>
        <v>1.4083623124184517</v>
      </c>
      <c r="K53" s="54">
        <f t="shared" si="40"/>
        <v>0</v>
      </c>
      <c r="L53" s="54">
        <f t="shared" si="40"/>
        <v>0.24311821013920432</v>
      </c>
      <c r="M53" s="54">
        <f t="shared" si="40"/>
        <v>0.399640650244801</v>
      </c>
      <c r="N53" s="54">
        <f t="shared" si="40"/>
        <v>4.180017866133503</v>
      </c>
      <c r="O53" s="54">
        <f t="shared" si="40"/>
        <v>3.2819156785292465E-3</v>
      </c>
      <c r="P53" s="54">
        <f t="shared" si="40"/>
        <v>9.0726352326646886E-3</v>
      </c>
      <c r="Q53" s="54">
        <f t="shared" si="40"/>
        <v>0.11336992821477693</v>
      </c>
      <c r="R53" s="54">
        <f t="shared" si="40"/>
        <v>0.91685125696775471</v>
      </c>
      <c r="S53" s="54">
        <f t="shared" si="40"/>
        <v>1.1925918243289759</v>
      </c>
      <c r="T53" s="54">
        <f t="shared" si="40"/>
        <v>0.85722320749850844</v>
      </c>
      <c r="U53" s="54">
        <f t="shared" si="40"/>
        <v>3.2516732575657847E-2</v>
      </c>
      <c r="V53" s="54">
        <f t="shared" si="40"/>
        <v>1.7609951042310713E-3</v>
      </c>
      <c r="W53" s="54">
        <f t="shared" ref="W53" si="41">SUM(W54,W58)</f>
        <v>3.1311103436140311E-2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0</v>
      </c>
      <c r="C54" s="11">
        <f t="shared" si="42"/>
        <v>0</v>
      </c>
      <c r="D54" s="11">
        <f t="shared" ref="D54:V54" si="43">SUM(D55:D57)</f>
        <v>1.0766423359926947E-3</v>
      </c>
      <c r="E54" s="11">
        <f t="shared" si="43"/>
        <v>0.18188367127263855</v>
      </c>
      <c r="F54" s="11">
        <f t="shared" si="43"/>
        <v>1.5365040334362403</v>
      </c>
      <c r="G54" s="11">
        <f t="shared" si="43"/>
        <v>2.1989639642939718</v>
      </c>
      <c r="H54" s="11">
        <f t="shared" si="43"/>
        <v>0.27361534290432438</v>
      </c>
      <c r="I54" s="11">
        <f t="shared" si="43"/>
        <v>1.5694506507295503</v>
      </c>
      <c r="J54" s="11">
        <f t="shared" si="43"/>
        <v>1.4011593829035258</v>
      </c>
      <c r="K54" s="11">
        <f t="shared" si="43"/>
        <v>0</v>
      </c>
      <c r="L54" s="11">
        <f t="shared" si="43"/>
        <v>0.21671617269309884</v>
      </c>
      <c r="M54" s="11">
        <f t="shared" si="43"/>
        <v>0.38702469902299991</v>
      </c>
      <c r="N54" s="11">
        <f t="shared" si="43"/>
        <v>4.1470975460012252</v>
      </c>
      <c r="O54" s="11">
        <f t="shared" si="43"/>
        <v>0</v>
      </c>
      <c r="P54" s="11">
        <f t="shared" si="43"/>
        <v>0</v>
      </c>
      <c r="Q54" s="11">
        <f t="shared" si="43"/>
        <v>0.10550590952685912</v>
      </c>
      <c r="R54" s="11">
        <f t="shared" si="43"/>
        <v>0.89452042819797684</v>
      </c>
      <c r="S54" s="11">
        <f t="shared" si="43"/>
        <v>1.1724824585961056</v>
      </c>
      <c r="T54" s="11">
        <f t="shared" si="43"/>
        <v>0.827330857692127</v>
      </c>
      <c r="U54" s="11">
        <f t="shared" si="43"/>
        <v>2.662938453407282E-2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0</v>
      </c>
      <c r="C56" s="84">
        <v>0</v>
      </c>
      <c r="D56" s="84">
        <v>0</v>
      </c>
      <c r="E56" s="84">
        <v>7.3690240615477978E-2</v>
      </c>
      <c r="F56" s="84">
        <v>1.1710113327060871</v>
      </c>
      <c r="G56" s="84">
        <v>1.9231034653921792</v>
      </c>
      <c r="H56" s="84">
        <v>0.24367292209763497</v>
      </c>
      <c r="I56" s="84">
        <v>1.4159215054169048</v>
      </c>
      <c r="J56" s="84">
        <v>0.92594704721547672</v>
      </c>
      <c r="K56" s="84">
        <v>0</v>
      </c>
      <c r="L56" s="84">
        <v>0</v>
      </c>
      <c r="M56" s="84">
        <v>0.30434616400194442</v>
      </c>
      <c r="N56" s="84">
        <v>2.1266044697344642</v>
      </c>
      <c r="O56" s="84">
        <v>0</v>
      </c>
      <c r="P56" s="84">
        <v>0</v>
      </c>
      <c r="Q56" s="84">
        <v>0.10550590952685912</v>
      </c>
      <c r="R56" s="84">
        <v>0.89452042819797684</v>
      </c>
      <c r="S56" s="84">
        <v>1.1724824585961056</v>
      </c>
      <c r="T56" s="84">
        <v>0.827330857692127</v>
      </c>
      <c r="U56" s="84">
        <v>2.662938453407282E-2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0</v>
      </c>
      <c r="D57" s="84">
        <v>1.0766423359926947E-3</v>
      </c>
      <c r="E57" s="84">
        <v>0.10819343065716058</v>
      </c>
      <c r="F57" s="84">
        <v>0.36549270073015316</v>
      </c>
      <c r="G57" s="84">
        <v>0.27586049890179243</v>
      </c>
      <c r="H57" s="84">
        <v>2.9942420806689407E-2</v>
      </c>
      <c r="I57" s="84">
        <v>0.1535291453126455</v>
      </c>
      <c r="J57" s="84">
        <v>0.4752123356880491</v>
      </c>
      <c r="K57" s="84">
        <v>0</v>
      </c>
      <c r="L57" s="84">
        <v>0.21671617269309884</v>
      </c>
      <c r="M57" s="84">
        <v>8.2678535021055488E-2</v>
      </c>
      <c r="N57" s="84">
        <v>2.0204930762667614</v>
      </c>
      <c r="O57" s="84">
        <v>0</v>
      </c>
      <c r="P57" s="84">
        <v>0</v>
      </c>
      <c r="Q57" s="84">
        <v>0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4.995368819059872E-3</v>
      </c>
      <c r="C58" s="13">
        <f t="shared" si="45"/>
        <v>0</v>
      </c>
      <c r="D58" s="13">
        <f t="shared" ref="D58:V58" si="46">SUM(D59:D61)</f>
        <v>3.2707774798445E-3</v>
      </c>
      <c r="E58" s="13">
        <f t="shared" si="46"/>
        <v>1.2922252010675601E-2</v>
      </c>
      <c r="F58" s="13">
        <f t="shared" si="46"/>
        <v>1.0911528150085795E-2</v>
      </c>
      <c r="G58" s="13">
        <f t="shared" si="46"/>
        <v>1.9802624711465173E-2</v>
      </c>
      <c r="H58" s="13">
        <f t="shared" si="46"/>
        <v>5.9109684988057042E-3</v>
      </c>
      <c r="I58" s="13">
        <f t="shared" si="46"/>
        <v>1.3634378892213608E-2</v>
      </c>
      <c r="J58" s="13">
        <f t="shared" si="46"/>
        <v>7.202929514925769E-3</v>
      </c>
      <c r="K58" s="13">
        <f t="shared" si="46"/>
        <v>0</v>
      </c>
      <c r="L58" s="13">
        <f t="shared" si="46"/>
        <v>2.6402037446105461E-2</v>
      </c>
      <c r="M58" s="13">
        <f t="shared" si="46"/>
        <v>1.2615951221801092E-2</v>
      </c>
      <c r="N58" s="13">
        <f t="shared" si="46"/>
        <v>3.2920320132278066E-2</v>
      </c>
      <c r="O58" s="13">
        <f t="shared" si="46"/>
        <v>3.2819156785292465E-3</v>
      </c>
      <c r="P58" s="13">
        <f t="shared" si="46"/>
        <v>9.0726352326646886E-3</v>
      </c>
      <c r="Q58" s="13">
        <f t="shared" si="46"/>
        <v>7.8640186879178047E-3</v>
      </c>
      <c r="R58" s="13">
        <f t="shared" si="46"/>
        <v>2.2330828769777874E-2</v>
      </c>
      <c r="S58" s="13">
        <f t="shared" si="46"/>
        <v>2.010936573287047E-2</v>
      </c>
      <c r="T58" s="13">
        <f t="shared" si="46"/>
        <v>2.9892349806381391E-2</v>
      </c>
      <c r="U58" s="13">
        <f t="shared" si="46"/>
        <v>5.8873480415850277E-3</v>
      </c>
      <c r="V58" s="13">
        <f t="shared" si="46"/>
        <v>1.7609951042310713E-3</v>
      </c>
      <c r="W58" s="13">
        <f t="shared" ref="W58" si="47">SUM(W59:W61)</f>
        <v>3.1311103436140311E-2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4.995368819059872E-3</v>
      </c>
      <c r="C60" s="102">
        <v>0</v>
      </c>
      <c r="D60" s="102">
        <v>3.2707774798445E-3</v>
      </c>
      <c r="E60" s="102">
        <v>1.2922252010675601E-2</v>
      </c>
      <c r="F60" s="102">
        <v>1.0911528150085795E-2</v>
      </c>
      <c r="G60" s="102">
        <v>2.3760497418242911E-3</v>
      </c>
      <c r="H60" s="102">
        <v>5.9109684988057042E-3</v>
      </c>
      <c r="I60" s="102">
        <v>1.3634378892213608E-2</v>
      </c>
      <c r="J60" s="102">
        <v>7.202929514925769E-3</v>
      </c>
      <c r="K60" s="102">
        <v>0</v>
      </c>
      <c r="L60" s="102">
        <v>2.6402037446105461E-2</v>
      </c>
      <c r="M60" s="102">
        <v>1.2615951221801092E-2</v>
      </c>
      <c r="N60" s="102">
        <v>3.2920320132278066E-2</v>
      </c>
      <c r="O60" s="102">
        <v>3.2819156785292465E-3</v>
      </c>
      <c r="P60" s="102">
        <v>9.0726352326646886E-3</v>
      </c>
      <c r="Q60" s="102">
        <v>7.8640186879178047E-3</v>
      </c>
      <c r="R60" s="102">
        <v>0</v>
      </c>
      <c r="S60" s="102">
        <v>2.010936573287047E-2</v>
      </c>
      <c r="T60" s="102">
        <v>2.9892349806381391E-2</v>
      </c>
      <c r="U60" s="102">
        <v>5.8873480415850277E-3</v>
      </c>
      <c r="V60" s="102">
        <v>1.7609951042310713E-3</v>
      </c>
      <c r="W60" s="102">
        <v>2.6854749945386704E-2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0</v>
      </c>
      <c r="D61" s="86">
        <v>0</v>
      </c>
      <c r="E61" s="86">
        <v>0</v>
      </c>
      <c r="F61" s="86">
        <v>0</v>
      </c>
      <c r="G61" s="86">
        <v>1.7426574969640882E-2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2.2330828769777874E-2</v>
      </c>
      <c r="S61" s="86">
        <v>0</v>
      </c>
      <c r="T61" s="86">
        <v>0</v>
      </c>
      <c r="U61" s="86">
        <v>0</v>
      </c>
      <c r="V61" s="86">
        <v>0</v>
      </c>
      <c r="W61" s="86">
        <v>4.4563534907536076E-3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37.540349325668807</v>
      </c>
      <c r="C66" s="14">
        <f t="shared" si="48"/>
        <v>38.288482095136288</v>
      </c>
      <c r="D66" s="14">
        <f t="shared" ref="D66:V66" si="49">IF(D34=0,0,D34/D24)</f>
        <v>40.432157394843962</v>
      </c>
      <c r="E66" s="14">
        <f t="shared" si="49"/>
        <v>48.83910106162967</v>
      </c>
      <c r="F66" s="14">
        <f t="shared" si="49"/>
        <v>55.872663814456203</v>
      </c>
      <c r="G66" s="14">
        <f t="shared" si="49"/>
        <v>63.268649968351568</v>
      </c>
      <c r="H66" s="14">
        <f t="shared" si="49"/>
        <v>68.491638498487816</v>
      </c>
      <c r="I66" s="14">
        <f t="shared" si="49"/>
        <v>64.857271364317839</v>
      </c>
      <c r="J66" s="14">
        <f t="shared" si="49"/>
        <v>61.228080890336592</v>
      </c>
      <c r="K66" s="14">
        <f t="shared" si="49"/>
        <v>61.084409045134123</v>
      </c>
      <c r="L66" s="14">
        <f t="shared" si="49"/>
        <v>60.417083662540605</v>
      </c>
      <c r="M66" s="14">
        <f t="shared" si="49"/>
        <v>67.980393554826748</v>
      </c>
      <c r="N66" s="14">
        <f t="shared" si="49"/>
        <v>60.463233284128805</v>
      </c>
      <c r="O66" s="14">
        <f t="shared" si="49"/>
        <v>74.077247402499623</v>
      </c>
      <c r="P66" s="14">
        <f t="shared" si="49"/>
        <v>74.933816997334915</v>
      </c>
      <c r="Q66" s="14">
        <f t="shared" si="49"/>
        <v>73.0851020956475</v>
      </c>
      <c r="R66" s="14">
        <f t="shared" si="49"/>
        <v>73.635170776737439</v>
      </c>
      <c r="S66" s="14">
        <f t="shared" si="49"/>
        <v>77.148326748779922</v>
      </c>
      <c r="T66" s="14">
        <f t="shared" si="49"/>
        <v>80.26150069377735</v>
      </c>
      <c r="U66" s="14">
        <f t="shared" si="49"/>
        <v>90.427609427609426</v>
      </c>
      <c r="V66" s="14">
        <f t="shared" si="49"/>
        <v>68.488490628082872</v>
      </c>
      <c r="W66" s="14">
        <f t="shared" ref="W66" si="50">IF(W34=0,0,W34/W24)</f>
        <v>90.216913861950943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36.136849362288864</v>
      </c>
      <c r="C68" s="87">
        <f t="shared" si="48"/>
        <v>36.896250000000002</v>
      </c>
      <c r="D68" s="87">
        <f t="shared" ref="D68:V68" si="53">IF(D36=0,0,D36/D26)</f>
        <v>38.742752085985011</v>
      </c>
      <c r="E68" s="87">
        <f t="shared" si="53"/>
        <v>47.029978276611153</v>
      </c>
      <c r="F68" s="87">
        <f t="shared" si="53"/>
        <v>53.886505273250236</v>
      </c>
      <c r="G68" s="87">
        <f t="shared" si="53"/>
        <v>61.220036464830628</v>
      </c>
      <c r="H68" s="87">
        <f t="shared" si="53"/>
        <v>66.580382503313771</v>
      </c>
      <c r="I68" s="87">
        <f t="shared" si="53"/>
        <v>61.842821880722987</v>
      </c>
      <c r="J68" s="87">
        <f t="shared" si="53"/>
        <v>57.738323221986697</v>
      </c>
      <c r="K68" s="87">
        <f t="shared" si="53"/>
        <v>57.814056670364025</v>
      </c>
      <c r="L68" s="87">
        <f t="shared" si="53"/>
        <v>58.036907536907535</v>
      </c>
      <c r="M68" s="87">
        <f t="shared" si="53"/>
        <v>67.667138587383988</v>
      </c>
      <c r="N68" s="87">
        <f t="shared" si="53"/>
        <v>61.340167633784652</v>
      </c>
      <c r="O68" s="87">
        <f t="shared" si="53"/>
        <v>74.534260178748752</v>
      </c>
      <c r="P68" s="87">
        <f t="shared" si="53"/>
        <v>74.118825681679596</v>
      </c>
      <c r="Q68" s="87">
        <f t="shared" si="53"/>
        <v>71.620755165043931</v>
      </c>
      <c r="R68" s="87">
        <f t="shared" si="53"/>
        <v>72.178766415818203</v>
      </c>
      <c r="S68" s="87">
        <f t="shared" si="53"/>
        <v>76.136461126005358</v>
      </c>
      <c r="T68" s="87">
        <f t="shared" si="53"/>
        <v>78.569632856253889</v>
      </c>
      <c r="U68" s="87">
        <f t="shared" si="53"/>
        <v>86.657950258934846</v>
      </c>
      <c r="V68" s="87">
        <f t="shared" si="53"/>
        <v>64.45160123032386</v>
      </c>
      <c r="W68" s="87">
        <f t="shared" ref="W68" si="54">IF(W36=0,0,W36/W26)</f>
        <v>82.602469959946589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73.151603498542272</v>
      </c>
      <c r="C69" s="87">
        <f t="shared" si="48"/>
        <v>73.58450704225352</v>
      </c>
      <c r="D69" s="87">
        <f t="shared" ref="D69:V69" si="55">IF(D37=0,0,D37/D27)</f>
        <v>80.384615384615387</v>
      </c>
      <c r="E69" s="87">
        <f t="shared" si="55"/>
        <v>84.735632183908052</v>
      </c>
      <c r="F69" s="87">
        <f t="shared" si="55"/>
        <v>86.676579925650557</v>
      </c>
      <c r="G69" s="87">
        <f t="shared" si="55"/>
        <v>96.730407523510976</v>
      </c>
      <c r="H69" s="87">
        <f t="shared" si="55"/>
        <v>98.177941176470583</v>
      </c>
      <c r="I69" s="87">
        <f t="shared" si="55"/>
        <v>113.33162612035852</v>
      </c>
      <c r="J69" s="87">
        <f t="shared" si="55"/>
        <v>106.48246445497631</v>
      </c>
      <c r="K69" s="87">
        <f t="shared" si="55"/>
        <v>93.323061630218689</v>
      </c>
      <c r="L69" s="87">
        <f t="shared" si="55"/>
        <v>82.797260273972597</v>
      </c>
      <c r="M69" s="87">
        <f t="shared" si="55"/>
        <v>71.016006097560975</v>
      </c>
      <c r="N69" s="87">
        <f t="shared" si="55"/>
        <v>55.572455951096728</v>
      </c>
      <c r="O69" s="87">
        <f t="shared" si="55"/>
        <v>71.781405895691606</v>
      </c>
      <c r="P69" s="87">
        <f t="shared" si="55"/>
        <v>79.544603252833909</v>
      </c>
      <c r="Q69" s="87">
        <f t="shared" si="55"/>
        <v>81.288691796008862</v>
      </c>
      <c r="R69" s="87">
        <f t="shared" si="55"/>
        <v>85.880893300248133</v>
      </c>
      <c r="S69" s="87">
        <f t="shared" si="55"/>
        <v>83.735165794066319</v>
      </c>
      <c r="T69" s="87">
        <f t="shared" si="55"/>
        <v>90.45202398800599</v>
      </c>
      <c r="U69" s="87">
        <f t="shared" si="55"/>
        <v>114.24071082390954</v>
      </c>
      <c r="V69" s="87">
        <f t="shared" si="55"/>
        <v>108.6900900900901</v>
      </c>
      <c r="W69" s="87">
        <f t="shared" ref="W69" si="56">IF(W37=0,0,W37/W27)</f>
        <v>134.94803921568626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20.623306785107594</v>
      </c>
      <c r="C70" s="15">
        <f t="shared" si="48"/>
        <v>21.137625083002348</v>
      </c>
      <c r="D70" s="15">
        <f t="shared" ref="D70:V70" si="57">IF(D38=0,0,D38/D28)</f>
        <v>19.762507446561127</v>
      </c>
      <c r="E70" s="15">
        <f t="shared" si="57"/>
        <v>20.036004885873211</v>
      </c>
      <c r="F70" s="15">
        <f t="shared" si="57"/>
        <v>18.372767189175583</v>
      </c>
      <c r="G70" s="15">
        <f t="shared" si="57"/>
        <v>19.29430425699308</v>
      </c>
      <c r="H70" s="15">
        <f t="shared" si="57"/>
        <v>16.91659083245343</v>
      </c>
      <c r="I70" s="15">
        <f t="shared" si="57"/>
        <v>15.515792389957662</v>
      </c>
      <c r="J70" s="15">
        <f t="shared" si="57"/>
        <v>14.89695361597402</v>
      </c>
      <c r="K70" s="15">
        <f t="shared" si="57"/>
        <v>14.280310234187162</v>
      </c>
      <c r="L70" s="15">
        <f t="shared" si="57"/>
        <v>16.247983494699742</v>
      </c>
      <c r="M70" s="15">
        <f t="shared" si="57"/>
        <v>16.260660174931303</v>
      </c>
      <c r="N70" s="15">
        <f t="shared" si="57"/>
        <v>17.338198461492865</v>
      </c>
      <c r="O70" s="15">
        <f t="shared" si="57"/>
        <v>17.438465509963347</v>
      </c>
      <c r="P70" s="15">
        <f t="shared" si="57"/>
        <v>19.18097686872634</v>
      </c>
      <c r="Q70" s="15">
        <f t="shared" si="57"/>
        <v>19.387969572730213</v>
      </c>
      <c r="R70" s="15">
        <f t="shared" si="57"/>
        <v>27.004675206303141</v>
      </c>
      <c r="S70" s="15">
        <f t="shared" si="57"/>
        <v>22.333266401858577</v>
      </c>
      <c r="T70" s="15">
        <f t="shared" si="57"/>
        <v>20.822100184387754</v>
      </c>
      <c r="U70" s="15">
        <f t="shared" si="57"/>
        <v>20.866762123683536</v>
      </c>
      <c r="V70" s="15">
        <f t="shared" si="57"/>
        <v>17.982078429592754</v>
      </c>
      <c r="W70" s="15">
        <f t="shared" ref="W70" si="58">IF(W38=0,0,W38/W28)</f>
        <v>19.162758144121593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13.62676029511714</v>
      </c>
      <c r="L72" s="41">
        <f t="shared" si="61"/>
        <v>14.420786860573122</v>
      </c>
      <c r="M72" s="41">
        <f t="shared" si="61"/>
        <v>15.489703537213128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19.011024442061288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52.129123841343961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45.187014670265889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55.065477606746093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50.231754839242605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949.33126154979323</v>
      </c>
      <c r="C75" s="62">
        <f t="shared" si="65"/>
        <v>949.49158100997556</v>
      </c>
      <c r="D75" s="62">
        <f t="shared" ref="D75:V75" si="66">IF(D13=0,0,D13*1000000/D23)</f>
        <v>954.71855142561344</v>
      </c>
      <c r="E75" s="62">
        <f t="shared" si="66"/>
        <v>972.79143459692989</v>
      </c>
      <c r="F75" s="62">
        <f t="shared" si="66"/>
        <v>1009.7428714467644</v>
      </c>
      <c r="G75" s="62">
        <f t="shared" si="66"/>
        <v>1120.2089977770804</v>
      </c>
      <c r="H75" s="62">
        <f t="shared" si="66"/>
        <v>1091.5664504217457</v>
      </c>
      <c r="I75" s="62">
        <f t="shared" si="66"/>
        <v>1034.2796389135333</v>
      </c>
      <c r="J75" s="62">
        <f t="shared" si="66"/>
        <v>1023.9088940587308</v>
      </c>
      <c r="K75" s="62">
        <f t="shared" si="66"/>
        <v>874.52650812506681</v>
      </c>
      <c r="L75" s="62">
        <f t="shared" si="66"/>
        <v>971.2291268748728</v>
      </c>
      <c r="M75" s="62">
        <f t="shared" si="66"/>
        <v>959.15992504612916</v>
      </c>
      <c r="N75" s="62">
        <f t="shared" si="66"/>
        <v>987.91151196616863</v>
      </c>
      <c r="O75" s="62">
        <f t="shared" si="66"/>
        <v>882.14133316789707</v>
      </c>
      <c r="P75" s="62">
        <f t="shared" si="66"/>
        <v>920.14332310197472</v>
      </c>
      <c r="Q75" s="62">
        <f t="shared" si="66"/>
        <v>1001.7873966527352</v>
      </c>
      <c r="R75" s="62">
        <f t="shared" si="66"/>
        <v>954.05104026672495</v>
      </c>
      <c r="S75" s="62">
        <f t="shared" si="66"/>
        <v>965.47368096240803</v>
      </c>
      <c r="T75" s="62">
        <f t="shared" si="66"/>
        <v>997.12507053832371</v>
      </c>
      <c r="U75" s="62">
        <f t="shared" si="66"/>
        <v>993.99214875761925</v>
      </c>
      <c r="V75" s="62">
        <f t="shared" si="66"/>
        <v>920.96261798875275</v>
      </c>
      <c r="W75" s="62">
        <f t="shared" ref="W75" si="67">IF(W13=0,0,W13*1000000/W23)</f>
        <v>1280.5447602718173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949.87016679010833</v>
      </c>
      <c r="C76" s="14">
        <f t="shared" si="65"/>
        <v>949.9303186427976</v>
      </c>
      <c r="D76" s="14">
        <f t="shared" ref="D76:V76" si="68">IF(D14=0,0,D14*1000000/D24)</f>
        <v>957.09920796207166</v>
      </c>
      <c r="E76" s="14">
        <f t="shared" si="68"/>
        <v>977.33882623470799</v>
      </c>
      <c r="F76" s="14">
        <f t="shared" si="68"/>
        <v>1015.3136490687896</v>
      </c>
      <c r="G76" s="14">
        <f t="shared" si="68"/>
        <v>1122.5102136777757</v>
      </c>
      <c r="H76" s="14">
        <f t="shared" si="68"/>
        <v>1094.4429664237512</v>
      </c>
      <c r="I76" s="14">
        <f t="shared" si="68"/>
        <v>1036.8445512702613</v>
      </c>
      <c r="J76" s="14">
        <f t="shared" si="68"/>
        <v>1026.0117591261157</v>
      </c>
      <c r="K76" s="14">
        <f t="shared" si="68"/>
        <v>877.10174394036301</v>
      </c>
      <c r="L76" s="14">
        <f t="shared" si="68"/>
        <v>974.3238760356129</v>
      </c>
      <c r="M76" s="14">
        <f t="shared" si="68"/>
        <v>962.2456093425277</v>
      </c>
      <c r="N76" s="14">
        <f t="shared" si="68"/>
        <v>991.25989342879518</v>
      </c>
      <c r="O76" s="14">
        <f t="shared" si="68"/>
        <v>884.91940733914373</v>
      </c>
      <c r="P76" s="14">
        <f t="shared" si="68"/>
        <v>922.87600259142641</v>
      </c>
      <c r="Q76" s="14">
        <f t="shared" si="68"/>
        <v>1004.3801988332611</v>
      </c>
      <c r="R76" s="14">
        <f t="shared" si="68"/>
        <v>955.36889592182774</v>
      </c>
      <c r="S76" s="14">
        <f t="shared" si="68"/>
        <v>967.01297486990143</v>
      </c>
      <c r="T76" s="14">
        <f t="shared" si="68"/>
        <v>999.19991244718017</v>
      </c>
      <c r="U76" s="14">
        <f t="shared" si="68"/>
        <v>995.70274348226451</v>
      </c>
      <c r="V76" s="14">
        <f t="shared" si="68"/>
        <v>924.99175138052078</v>
      </c>
      <c r="W76" s="14">
        <f t="shared" ref="W76" si="69">IF(W14=0,0,W14*1000000/W24)</f>
        <v>1288.2799883299745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869.00644327709017</v>
      </c>
      <c r="C78" s="39">
        <f t="shared" si="65"/>
        <v>869.00177781184368</v>
      </c>
      <c r="D78" s="39">
        <f t="shared" ref="D78:V78" si="72">IF(D16=0,0,D16*1000000/D26)</f>
        <v>870.6450093530724</v>
      </c>
      <c r="E78" s="39">
        <f t="shared" si="72"/>
        <v>875.31757490442328</v>
      </c>
      <c r="F78" s="39">
        <f t="shared" si="72"/>
        <v>887.24036627625583</v>
      </c>
      <c r="G78" s="39">
        <f t="shared" si="72"/>
        <v>991.95158449971507</v>
      </c>
      <c r="H78" s="39">
        <f t="shared" si="72"/>
        <v>969.62611903961738</v>
      </c>
      <c r="I78" s="39">
        <f t="shared" si="72"/>
        <v>921.27174889118339</v>
      </c>
      <c r="J78" s="39">
        <f t="shared" si="72"/>
        <v>886.86138816869607</v>
      </c>
      <c r="K78" s="39">
        <f t="shared" si="72"/>
        <v>735.59693689425626</v>
      </c>
      <c r="L78" s="39">
        <f t="shared" si="72"/>
        <v>762.63240089429064</v>
      </c>
      <c r="M78" s="39">
        <f t="shared" si="72"/>
        <v>811.79241226427109</v>
      </c>
      <c r="N78" s="39">
        <f t="shared" si="72"/>
        <v>774.00914695310644</v>
      </c>
      <c r="O78" s="39">
        <f t="shared" si="72"/>
        <v>800.75701800251704</v>
      </c>
      <c r="P78" s="39">
        <f t="shared" si="72"/>
        <v>834.01770733823878</v>
      </c>
      <c r="Q78" s="39">
        <f t="shared" si="72"/>
        <v>883.23063072620278</v>
      </c>
      <c r="R78" s="39">
        <f t="shared" si="72"/>
        <v>893.20101026533348</v>
      </c>
      <c r="S78" s="39">
        <f t="shared" si="72"/>
        <v>904.22538159058979</v>
      </c>
      <c r="T78" s="39">
        <f t="shared" si="72"/>
        <v>918.4965647915019</v>
      </c>
      <c r="U78" s="39">
        <f t="shared" si="72"/>
        <v>875.27957450931933</v>
      </c>
      <c r="V78" s="39">
        <f t="shared" si="72"/>
        <v>828.31612622603654</v>
      </c>
      <c r="W78" s="39">
        <f t="shared" ref="W78" si="73">IF(W16=0,0,W16*1000000/W26)</f>
        <v>995.36522205157064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3001.6398044979715</v>
      </c>
      <c r="C79" s="39">
        <f t="shared" si="65"/>
        <v>3001.6398044979715</v>
      </c>
      <c r="D79" s="39">
        <f t="shared" ref="D79:V79" si="74">IF(D17=0,0,D17*1000000/D27)</f>
        <v>3001.6398044979715</v>
      </c>
      <c r="E79" s="39">
        <f t="shared" si="74"/>
        <v>3001.639804497971</v>
      </c>
      <c r="F79" s="39">
        <f t="shared" si="74"/>
        <v>3001.6398044979715</v>
      </c>
      <c r="G79" s="39">
        <f t="shared" si="74"/>
        <v>3255.0360360360364</v>
      </c>
      <c r="H79" s="39">
        <f t="shared" si="74"/>
        <v>3033.1422929990777</v>
      </c>
      <c r="I79" s="39">
        <f t="shared" si="74"/>
        <v>2895.3321634070589</v>
      </c>
      <c r="J79" s="39">
        <f t="shared" si="74"/>
        <v>2830.4821146412442</v>
      </c>
      <c r="K79" s="39">
        <f t="shared" si="74"/>
        <v>2272.0353139962695</v>
      </c>
      <c r="L79" s="39">
        <f t="shared" si="74"/>
        <v>2964.8037190082646</v>
      </c>
      <c r="M79" s="39">
        <f t="shared" si="74"/>
        <v>2420.2196548097181</v>
      </c>
      <c r="N79" s="39">
        <f t="shared" si="74"/>
        <v>2202.8956639566395</v>
      </c>
      <c r="O79" s="39">
        <f t="shared" si="74"/>
        <v>1307.7161359930269</v>
      </c>
      <c r="P79" s="39">
        <f t="shared" si="74"/>
        <v>1425.5888518823783</v>
      </c>
      <c r="Q79" s="39">
        <f t="shared" si="74"/>
        <v>1683.0864045523165</v>
      </c>
      <c r="R79" s="39">
        <f t="shared" si="74"/>
        <v>1478.0882024901432</v>
      </c>
      <c r="S79" s="39">
        <f t="shared" si="74"/>
        <v>1375.7350044193474</v>
      </c>
      <c r="T79" s="39">
        <f t="shared" si="74"/>
        <v>1485.2954135066811</v>
      </c>
      <c r="U79" s="39">
        <f t="shared" si="74"/>
        <v>1756.421154591244</v>
      </c>
      <c r="V79" s="39">
        <f t="shared" si="74"/>
        <v>1887.7416256667095</v>
      </c>
      <c r="W79" s="39">
        <f t="shared" ref="W79" si="75">IF(W17=0,0,W17*1000000/W27)</f>
        <v>3009.0106545458534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905.41291196520456</v>
      </c>
      <c r="C80" s="15">
        <f t="shared" si="65"/>
        <v>916.65645656956895</v>
      </c>
      <c r="D80" s="15">
        <f t="shared" ref="D80:V80" si="76">IF(D18=0,0,D18*1000000/D28)</f>
        <v>770.02972328143767</v>
      </c>
      <c r="E80" s="15">
        <f t="shared" si="76"/>
        <v>672.95296597144863</v>
      </c>
      <c r="F80" s="15">
        <f t="shared" si="76"/>
        <v>607.46931991159033</v>
      </c>
      <c r="G80" s="15">
        <f t="shared" si="76"/>
        <v>908.13277572883737</v>
      </c>
      <c r="H80" s="15">
        <f t="shared" si="76"/>
        <v>815.17505816066341</v>
      </c>
      <c r="I80" s="15">
        <f t="shared" si="76"/>
        <v>760.55219220352228</v>
      </c>
      <c r="J80" s="15">
        <f t="shared" si="76"/>
        <v>777.97381760647124</v>
      </c>
      <c r="K80" s="15">
        <f t="shared" si="76"/>
        <v>621.10938370631379</v>
      </c>
      <c r="L80" s="15">
        <f t="shared" si="76"/>
        <v>729.77510160097972</v>
      </c>
      <c r="M80" s="15">
        <f t="shared" si="76"/>
        <v>678.12221114167698</v>
      </c>
      <c r="N80" s="15">
        <f t="shared" si="76"/>
        <v>670.57863459362341</v>
      </c>
      <c r="O80" s="15">
        <f t="shared" si="76"/>
        <v>688.95609158413265</v>
      </c>
      <c r="P80" s="15">
        <f t="shared" si="76"/>
        <v>730.84571005831663</v>
      </c>
      <c r="Q80" s="15">
        <f t="shared" si="76"/>
        <v>805.83999125339108</v>
      </c>
      <c r="R80" s="15">
        <f t="shared" si="76"/>
        <v>859.7746305247847</v>
      </c>
      <c r="S80" s="15">
        <f t="shared" si="76"/>
        <v>843.94007208268681</v>
      </c>
      <c r="T80" s="15">
        <f t="shared" si="76"/>
        <v>834.45399234521733</v>
      </c>
      <c r="U80" s="15">
        <f t="shared" si="76"/>
        <v>865.93080732622161</v>
      </c>
      <c r="V80" s="15">
        <f t="shared" si="76"/>
        <v>805.37210247586427</v>
      </c>
      <c r="W80" s="15">
        <f t="shared" ref="W80" si="77">IF(W18=0,0,W18*1000000/W28)</f>
        <v>1071.1261535390033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635.52176534949865</v>
      </c>
      <c r="C82" s="41">
        <f t="shared" si="65"/>
        <v>638.91720306841069</v>
      </c>
      <c r="D82" s="41">
        <f t="shared" ref="D82:V82" si="80">IF(D20=0,0,D20*1000000/D30)</f>
        <v>560.16821765879149</v>
      </c>
      <c r="E82" s="41">
        <f t="shared" si="80"/>
        <v>462.71096264547691</v>
      </c>
      <c r="F82" s="41">
        <f t="shared" si="80"/>
        <v>436.31902943899223</v>
      </c>
      <c r="G82" s="41">
        <f t="shared" si="80"/>
        <v>558.12481712993747</v>
      </c>
      <c r="H82" s="41">
        <f t="shared" si="80"/>
        <v>618.2085907176936</v>
      </c>
      <c r="I82" s="41">
        <f t="shared" si="80"/>
        <v>658.44750398436395</v>
      </c>
      <c r="J82" s="41">
        <f t="shared" si="80"/>
        <v>714.12002767240313</v>
      </c>
      <c r="K82" s="41">
        <f t="shared" si="80"/>
        <v>601.8429722468926</v>
      </c>
      <c r="L82" s="41">
        <f t="shared" si="80"/>
        <v>652.19786918556747</v>
      </c>
      <c r="M82" s="41">
        <f t="shared" si="80"/>
        <v>649.94201945387749</v>
      </c>
      <c r="N82" s="41">
        <f t="shared" si="80"/>
        <v>637.15017880234132</v>
      </c>
      <c r="O82" s="41">
        <f t="shared" si="80"/>
        <v>676.84905645199728</v>
      </c>
      <c r="P82" s="41">
        <f t="shared" si="80"/>
        <v>719.49380783662332</v>
      </c>
      <c r="Q82" s="41">
        <f t="shared" si="80"/>
        <v>789.57376875849286</v>
      </c>
      <c r="R82" s="41">
        <f t="shared" si="80"/>
        <v>822.62588032822021</v>
      </c>
      <c r="S82" s="41">
        <f t="shared" si="80"/>
        <v>838.91102872038846</v>
      </c>
      <c r="T82" s="41">
        <f t="shared" si="80"/>
        <v>831.04561224489805</v>
      </c>
      <c r="U82" s="41">
        <f t="shared" si="80"/>
        <v>833.98413293621024</v>
      </c>
      <c r="V82" s="41">
        <f t="shared" si="80"/>
        <v>784.58097756773611</v>
      </c>
      <c r="W82" s="41">
        <f t="shared" ref="W82" si="81">IF(W20=0,0,W20*1000000/W30)</f>
        <v>968.93423091573038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2775.3729992311669</v>
      </c>
      <c r="C83" s="40">
        <f t="shared" si="65"/>
        <v>2775.3729992311669</v>
      </c>
      <c r="D83" s="40">
        <f t="shared" ref="D83:V83" si="82">IF(D21=0,0,D21*1000000/D31)</f>
        <v>2775.3729992311669</v>
      </c>
      <c r="E83" s="40">
        <f t="shared" si="82"/>
        <v>2775.3729992311669</v>
      </c>
      <c r="F83" s="40">
        <f t="shared" si="82"/>
        <v>2775.3729992311669</v>
      </c>
      <c r="G83" s="40">
        <f t="shared" si="82"/>
        <v>3028.7692307692305</v>
      </c>
      <c r="H83" s="40">
        <f t="shared" si="82"/>
        <v>2713.2155626110998</v>
      </c>
      <c r="I83" s="40">
        <f t="shared" si="82"/>
        <v>2481.7455078979078</v>
      </c>
      <c r="J83" s="40">
        <f t="shared" si="82"/>
        <v>2323.2355340109198</v>
      </c>
      <c r="K83" s="40">
        <f t="shared" si="82"/>
        <v>1671.1288082447718</v>
      </c>
      <c r="L83" s="40">
        <f t="shared" si="82"/>
        <v>2270.2372881355936</v>
      </c>
      <c r="M83" s="40">
        <f t="shared" si="82"/>
        <v>2096.5251927609161</v>
      </c>
      <c r="N83" s="40">
        <f t="shared" si="82"/>
        <v>2250.0731707317068</v>
      </c>
      <c r="O83" s="40">
        <f t="shared" si="82"/>
        <v>1254.959984011459</v>
      </c>
      <c r="P83" s="40">
        <f t="shared" si="82"/>
        <v>1272.8990411441748</v>
      </c>
      <c r="Q83" s="40">
        <f t="shared" si="82"/>
        <v>1430.4629350574774</v>
      </c>
      <c r="R83" s="40">
        <f t="shared" si="82"/>
        <v>1125.5310742386685</v>
      </c>
      <c r="S83" s="40">
        <f t="shared" si="82"/>
        <v>923.24421741123706</v>
      </c>
      <c r="T83" s="40">
        <f t="shared" si="82"/>
        <v>932.87096774193549</v>
      </c>
      <c r="U83" s="40">
        <f t="shared" si="82"/>
        <v>2122.5</v>
      </c>
      <c r="V83" s="40">
        <f t="shared" si="82"/>
        <v>2253.8204710754653</v>
      </c>
      <c r="W83" s="40">
        <f t="shared" ref="W83" si="83">IF(W21=0,0,W21*1000000/W31)</f>
        <v>3375.089499954609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57143.176633719995</v>
      </c>
      <c r="C86" s="11">
        <f t="shared" si="84"/>
        <v>58604.333457803295</v>
      </c>
      <c r="D86" s="11">
        <f t="shared" ref="D86:V86" si="85">IF(D4=0,0,D4*1000000/D24)</f>
        <v>62254.220683249878</v>
      </c>
      <c r="E86" s="11">
        <f t="shared" si="85"/>
        <v>73893.048869264603</v>
      </c>
      <c r="F86" s="11">
        <f t="shared" si="85"/>
        <v>83752.029999105987</v>
      </c>
      <c r="G86" s="11">
        <f t="shared" si="85"/>
        <v>101728.87130138486</v>
      </c>
      <c r="H86" s="11">
        <f t="shared" si="85"/>
        <v>102423.12362782755</v>
      </c>
      <c r="I86" s="11">
        <f t="shared" si="85"/>
        <v>90842.307349724477</v>
      </c>
      <c r="J86" s="11">
        <f t="shared" si="85"/>
        <v>83384.675460073457</v>
      </c>
      <c r="K86" s="11">
        <f t="shared" si="85"/>
        <v>70578.141547933963</v>
      </c>
      <c r="L86" s="11">
        <f t="shared" si="85"/>
        <v>76259.020623717865</v>
      </c>
      <c r="M86" s="11">
        <f t="shared" si="85"/>
        <v>82814.233794500979</v>
      </c>
      <c r="N86" s="11">
        <f t="shared" si="85"/>
        <v>74968.584585096993</v>
      </c>
      <c r="O86" s="11">
        <f t="shared" si="85"/>
        <v>82440.025165614381</v>
      </c>
      <c r="P86" s="11">
        <f t="shared" si="85"/>
        <v>85216.667798521346</v>
      </c>
      <c r="Q86" s="11">
        <f t="shared" si="85"/>
        <v>88943.058621421325</v>
      </c>
      <c r="R86" s="11">
        <f t="shared" si="85"/>
        <v>87224.168042931662</v>
      </c>
      <c r="S86" s="11">
        <f t="shared" si="85"/>
        <v>88524.645408065102</v>
      </c>
      <c r="T86" s="11">
        <f t="shared" si="85"/>
        <v>94786.033533230395</v>
      </c>
      <c r="U86" s="11">
        <f t="shared" si="85"/>
        <v>110348.3843987133</v>
      </c>
      <c r="V86" s="11">
        <f t="shared" si="85"/>
        <v>82750.88291272879</v>
      </c>
      <c r="W86" s="11">
        <f t="shared" ref="W86" si="86">IF(W4=0,0,W4*1000000/W24)</f>
        <v>148449.775734453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50741.472077901017</v>
      </c>
      <c r="C88" s="36">
        <f t="shared" si="84"/>
        <v>52203.689300527956</v>
      </c>
      <c r="D88" s="36">
        <f t="shared" ref="D88:V88" si="89">IF(D6=0,0,D6*1000000/D26)</f>
        <v>54683.806213328076</v>
      </c>
      <c r="E88" s="36">
        <f t="shared" si="89"/>
        <v>64798.541476283855</v>
      </c>
      <c r="F88" s="36">
        <f t="shared" si="89"/>
        <v>72376.925106508861</v>
      </c>
      <c r="G88" s="36">
        <f t="shared" si="89"/>
        <v>88680.385164004125</v>
      </c>
      <c r="H88" s="36">
        <f t="shared" si="89"/>
        <v>89845.213330915154</v>
      </c>
      <c r="I88" s="36">
        <f t="shared" si="89"/>
        <v>76086.052997678082</v>
      </c>
      <c r="J88" s="36">
        <f t="shared" si="89"/>
        <v>66572.841700384466</v>
      </c>
      <c r="K88" s="36">
        <f t="shared" si="89"/>
        <v>56228.652691758689</v>
      </c>
      <c r="L88" s="36">
        <f t="shared" si="89"/>
        <v>58262.286747117709</v>
      </c>
      <c r="M88" s="36">
        <f t="shared" si="89"/>
        <v>72670.344111885861</v>
      </c>
      <c r="N88" s="36">
        <f t="shared" si="89"/>
        <v>64100.257864429928</v>
      </c>
      <c r="O88" s="36">
        <f t="shared" si="89"/>
        <v>77151.240970461149</v>
      </c>
      <c r="P88" s="36">
        <f t="shared" si="89"/>
        <v>77787.00446238475</v>
      </c>
      <c r="Q88" s="36">
        <f t="shared" si="89"/>
        <v>77989.70214284354</v>
      </c>
      <c r="R88" s="36">
        <f t="shared" si="89"/>
        <v>78612.930181322023</v>
      </c>
      <c r="S88" s="36">
        <f t="shared" si="89"/>
        <v>81767.045861842911</v>
      </c>
      <c r="T88" s="36">
        <f t="shared" si="89"/>
        <v>86240.91199619809</v>
      </c>
      <c r="U88" s="36">
        <f t="shared" si="89"/>
        <v>92905.760083369343</v>
      </c>
      <c r="V88" s="36">
        <f t="shared" si="89"/>
        <v>69839.660382261456</v>
      </c>
      <c r="W88" s="36">
        <f t="shared" ref="W88" si="90">IF(W6=0,0,W6*1000000/W26)</f>
        <v>102525.94448886241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219574.76482407757</v>
      </c>
      <c r="C89" s="36">
        <f t="shared" si="84"/>
        <v>220874.18533238946</v>
      </c>
      <c r="D89" s="36">
        <f t="shared" ref="D89:V89" si="91">IF(D7=0,0,D7*1000000/D27)</f>
        <v>241285.66120772154</v>
      </c>
      <c r="E89" s="36">
        <f t="shared" si="91"/>
        <v>254345.84642251779</v>
      </c>
      <c r="F89" s="36">
        <f t="shared" si="91"/>
        <v>260171.87242258253</v>
      </c>
      <c r="G89" s="36">
        <f t="shared" si="91"/>
        <v>314860.96226947953</v>
      </c>
      <c r="H89" s="36">
        <f t="shared" si="91"/>
        <v>297787.66562192858</v>
      </c>
      <c r="I89" s="36">
        <f t="shared" si="91"/>
        <v>328132.70223749755</v>
      </c>
      <c r="J89" s="36">
        <f t="shared" si="91"/>
        <v>301396.71116273245</v>
      </c>
      <c r="K89" s="36">
        <f t="shared" si="91"/>
        <v>212033.29163410712</v>
      </c>
      <c r="L89" s="36">
        <f t="shared" si="91"/>
        <v>245477.62518396921</v>
      </c>
      <c r="M89" s="36">
        <f t="shared" si="91"/>
        <v>181114.09158776983</v>
      </c>
      <c r="N89" s="36">
        <f t="shared" si="91"/>
        <v>135582.66133358545</v>
      </c>
      <c r="O89" s="36">
        <f t="shared" si="91"/>
        <v>109008.67030380599</v>
      </c>
      <c r="P89" s="36">
        <f t="shared" si="91"/>
        <v>127249.74095550102</v>
      </c>
      <c r="Q89" s="36">
        <f t="shared" si="91"/>
        <v>150306.14172291706</v>
      </c>
      <c r="R89" s="36">
        <f t="shared" si="91"/>
        <v>159629.07993887275</v>
      </c>
      <c r="S89" s="36">
        <f t="shared" si="91"/>
        <v>132513.90597945912</v>
      </c>
      <c r="T89" s="36">
        <f t="shared" si="91"/>
        <v>146255.3375437661</v>
      </c>
      <c r="U89" s="36">
        <f t="shared" si="91"/>
        <v>220534.2030240343</v>
      </c>
      <c r="V89" s="36">
        <f t="shared" si="91"/>
        <v>211328.04854496819</v>
      </c>
      <c r="W89" s="36">
        <f t="shared" ref="W89" si="92">IF(W7=0,0,W7*1000000/W27)</f>
        <v>418229.77262031467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34396.487796700458</v>
      </c>
      <c r="C90" s="13">
        <f t="shared" si="84"/>
        <v>37335.841002815447</v>
      </c>
      <c r="D90" s="13">
        <f t="shared" ref="D90:V90" si="93">IF(D8=0,0,D8*1000000/D28)</f>
        <v>28357.427643645176</v>
      </c>
      <c r="E90" s="13">
        <f t="shared" si="93"/>
        <v>24998.039231246341</v>
      </c>
      <c r="F90" s="13">
        <f t="shared" si="93"/>
        <v>20612.726413448174</v>
      </c>
      <c r="G90" s="13">
        <f t="shared" si="93"/>
        <v>33422.067979737949</v>
      </c>
      <c r="H90" s="13">
        <f t="shared" si="93"/>
        <v>24078.739643813227</v>
      </c>
      <c r="I90" s="13">
        <f t="shared" si="93"/>
        <v>19065.310263678086</v>
      </c>
      <c r="J90" s="13">
        <f t="shared" si="93"/>
        <v>17623.695353110979</v>
      </c>
      <c r="K90" s="13">
        <f t="shared" si="93"/>
        <v>13240.256019658245</v>
      </c>
      <c r="L90" s="13">
        <f t="shared" si="93"/>
        <v>19314.274426211625</v>
      </c>
      <c r="M90" s="13">
        <f t="shared" si="93"/>
        <v>17069.998325760145</v>
      </c>
      <c r="N90" s="13">
        <f t="shared" si="93"/>
        <v>19336.295164752541</v>
      </c>
      <c r="O90" s="13">
        <f t="shared" si="93"/>
        <v>18411.697522154325</v>
      </c>
      <c r="P90" s="13">
        <f t="shared" si="93"/>
        <v>22194.613395853034</v>
      </c>
      <c r="Q90" s="13">
        <f t="shared" si="93"/>
        <v>24629.027587029483</v>
      </c>
      <c r="R90" s="13">
        <f t="shared" si="93"/>
        <v>36318.56654327851</v>
      </c>
      <c r="S90" s="13">
        <f t="shared" si="93"/>
        <v>26983.373178595215</v>
      </c>
      <c r="T90" s="13">
        <f t="shared" si="93"/>
        <v>26268.167399604641</v>
      </c>
      <c r="U90" s="13">
        <f t="shared" si="93"/>
        <v>30633.888705031393</v>
      </c>
      <c r="V90" s="13">
        <f t="shared" si="93"/>
        <v>22153.436643193028</v>
      </c>
      <c r="W90" s="13">
        <f t="shared" ref="W90" si="94">IF(W8=0,0,W8*1000000/W28)</f>
        <v>30489.531823826917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13289.466614806823</v>
      </c>
      <c r="C92" s="34">
        <f t="shared" si="84"/>
        <v>14638.903783362337</v>
      </c>
      <c r="D92" s="34">
        <f t="shared" ref="D92:V92" si="97">IF(D10=0,0,D10*1000000/D30)</f>
        <v>12622.475171309574</v>
      </c>
      <c r="E92" s="34">
        <f t="shared" si="97"/>
        <v>11256.817750618653</v>
      </c>
      <c r="F92" s="34">
        <f t="shared" si="97"/>
        <v>9794.1070975086459</v>
      </c>
      <c r="G92" s="34">
        <f t="shared" si="97"/>
        <v>12234.173745773429</v>
      </c>
      <c r="H92" s="34">
        <f t="shared" si="97"/>
        <v>12037.692607903104</v>
      </c>
      <c r="I92" s="34">
        <f t="shared" si="97"/>
        <v>12720.369102888766</v>
      </c>
      <c r="J92" s="34">
        <f t="shared" si="97"/>
        <v>13575.347316209365</v>
      </c>
      <c r="K92" s="34">
        <f t="shared" si="97"/>
        <v>11762.612797638356</v>
      </c>
      <c r="L92" s="34">
        <f t="shared" si="97"/>
        <v>13764.798204909765</v>
      </c>
      <c r="M92" s="34">
        <f t="shared" si="97"/>
        <v>14798.175315031254</v>
      </c>
      <c r="N92" s="34">
        <f t="shared" si="97"/>
        <v>16344.007760035012</v>
      </c>
      <c r="O92" s="34">
        <f t="shared" si="97"/>
        <v>16780.167738979919</v>
      </c>
      <c r="P92" s="34">
        <f t="shared" si="97"/>
        <v>20421.367878255038</v>
      </c>
      <c r="Q92" s="34">
        <f t="shared" si="97"/>
        <v>22214.570135882055</v>
      </c>
      <c r="R92" s="34">
        <f t="shared" si="97"/>
        <v>25330.71951737722</v>
      </c>
      <c r="S92" s="34">
        <f t="shared" si="97"/>
        <v>23255.78530828259</v>
      </c>
      <c r="T92" s="34">
        <f t="shared" si="97"/>
        <v>24287.225666309416</v>
      </c>
      <c r="U92" s="34">
        <f t="shared" si="97"/>
        <v>26329.496249471522</v>
      </c>
      <c r="V92" s="34">
        <f t="shared" si="97"/>
        <v>20630.299766065949</v>
      </c>
      <c r="W92" s="34">
        <f t="shared" ref="W92" si="98">IF(W10=0,0,W10*1000000/W30)</f>
        <v>23284.743091099117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180637.99169982065</v>
      </c>
      <c r="C93" s="35">
        <f t="shared" si="84"/>
        <v>189230.72854838625</v>
      </c>
      <c r="D93" s="35">
        <f t="shared" ref="D93:V93" si="99">IF(D11=0,0,D11*1000000/D31)</f>
        <v>178713.64015707432</v>
      </c>
      <c r="E93" s="35">
        <f t="shared" si="99"/>
        <v>162410.25403752321</v>
      </c>
      <c r="F93" s="35">
        <f t="shared" si="99"/>
        <v>157648.57108201558</v>
      </c>
      <c r="G93" s="35">
        <f t="shared" si="99"/>
        <v>161795.78010317002</v>
      </c>
      <c r="H93" s="35">
        <f t="shared" si="99"/>
        <v>140110.64744440172</v>
      </c>
      <c r="I93" s="35">
        <f t="shared" si="99"/>
        <v>126022.88983126948</v>
      </c>
      <c r="J93" s="35">
        <f t="shared" si="99"/>
        <v>115593.71784612998</v>
      </c>
      <c r="K93" s="35">
        <f t="shared" si="99"/>
        <v>93771.811619742177</v>
      </c>
      <c r="L93" s="35">
        <f t="shared" si="99"/>
        <v>129511.01653492001</v>
      </c>
      <c r="M93" s="35">
        <f t="shared" si="99"/>
        <v>131418.42319911448</v>
      </c>
      <c r="N93" s="35">
        <f t="shared" si="99"/>
        <v>160721.87503765585</v>
      </c>
      <c r="O93" s="35">
        <f t="shared" si="99"/>
        <v>94685.714885557769</v>
      </c>
      <c r="P93" s="35">
        <f t="shared" si="99"/>
        <v>106867.08686115741</v>
      </c>
      <c r="Q93" s="35">
        <f t="shared" si="99"/>
        <v>117344.19371109051</v>
      </c>
      <c r="R93" s="35">
        <f t="shared" si="99"/>
        <v>114923.93372857234</v>
      </c>
      <c r="S93" s="35">
        <f t="shared" si="99"/>
        <v>85764.566518140433</v>
      </c>
      <c r="T93" s="35">
        <f t="shared" si="99"/>
        <v>83467.859948504236</v>
      </c>
      <c r="U93" s="35">
        <f t="shared" si="99"/>
        <v>199939.99195705308</v>
      </c>
      <c r="V93" s="35">
        <f t="shared" si="99"/>
        <v>128265.30574971288</v>
      </c>
      <c r="W93" s="35">
        <f t="shared" ref="W93" si="100">IF(W11=0,0,W11*1000000/W31)</f>
        <v>192924.76870714457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1398.2530358807717</v>
      </c>
      <c r="C95" s="62">
        <f t="shared" si="101"/>
        <v>1286.5435822182119</v>
      </c>
      <c r="D95" s="62">
        <f t="shared" ref="D95:V95" si="102">IF(D23=0,0,D23/D43)</f>
        <v>1390.6553913486518</v>
      </c>
      <c r="E95" s="62">
        <f t="shared" si="102"/>
        <v>1373.0297856196526</v>
      </c>
      <c r="F95" s="62">
        <f t="shared" si="102"/>
        <v>1341.9885240477208</v>
      </c>
      <c r="G95" s="62">
        <f t="shared" si="102"/>
        <v>1280.6887381770105</v>
      </c>
      <c r="H95" s="62">
        <f t="shared" si="102"/>
        <v>1293.0191770336362</v>
      </c>
      <c r="I95" s="62">
        <f t="shared" si="102"/>
        <v>1327.3341619605239</v>
      </c>
      <c r="J95" s="62">
        <f t="shared" si="102"/>
        <v>1311.9476012003181</v>
      </c>
      <c r="K95" s="62">
        <f t="shared" si="102"/>
        <v>1033.793862207066</v>
      </c>
      <c r="L95" s="62">
        <f t="shared" si="102"/>
        <v>1119.128242508009</v>
      </c>
      <c r="M95" s="62">
        <f t="shared" si="102"/>
        <v>1356.4597842764495</v>
      </c>
      <c r="N95" s="62">
        <f t="shared" si="102"/>
        <v>1282.8480046775517</v>
      </c>
      <c r="O95" s="62">
        <f t="shared" si="102"/>
        <v>978.96923043241497</v>
      </c>
      <c r="P95" s="62">
        <f t="shared" si="102"/>
        <v>1044.3085792115667</v>
      </c>
      <c r="Q95" s="62">
        <f t="shared" si="102"/>
        <v>1163.3738477478723</v>
      </c>
      <c r="R95" s="62">
        <f t="shared" si="102"/>
        <v>1129.3015339960612</v>
      </c>
      <c r="S95" s="62">
        <f t="shared" si="102"/>
        <v>1198.6396118735713</v>
      </c>
      <c r="T95" s="62">
        <f t="shared" si="102"/>
        <v>1254.3936149126464</v>
      </c>
      <c r="U95" s="62">
        <f t="shared" si="102"/>
        <v>1249.859336326364</v>
      </c>
      <c r="V95" s="62">
        <f t="shared" si="102"/>
        <v>441.52867479752894</v>
      </c>
      <c r="W95" s="62">
        <f t="shared" ref="W95" si="103">IF(W23=0,0,W23/W43)</f>
        <v>524.84835753387415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1403.6075503875531</v>
      </c>
      <c r="C96" s="11">
        <f t="shared" si="104"/>
        <v>1290.2693525806922</v>
      </c>
      <c r="D96" s="11">
        <f t="shared" ref="D96:V96" si="105">IF(D24=0,0,D24/D44)</f>
        <v>1396.6222570566997</v>
      </c>
      <c r="E96" s="11">
        <f t="shared" si="105"/>
        <v>1377.4422609370126</v>
      </c>
      <c r="F96" s="11">
        <f t="shared" si="105"/>
        <v>1343.9827336759877</v>
      </c>
      <c r="G96" s="11">
        <f t="shared" si="105"/>
        <v>1283.7903069532956</v>
      </c>
      <c r="H96" s="11">
        <f t="shared" si="105"/>
        <v>1296.756212851127</v>
      </c>
      <c r="I96" s="11">
        <f t="shared" si="105"/>
        <v>1331.3175941374834</v>
      </c>
      <c r="J96" s="11">
        <f t="shared" si="105"/>
        <v>1315.5170157313642</v>
      </c>
      <c r="K96" s="11">
        <f t="shared" si="105"/>
        <v>1034.6495967578292</v>
      </c>
      <c r="L96" s="11">
        <f t="shared" si="105"/>
        <v>1119.7016979229654</v>
      </c>
      <c r="M96" s="11">
        <f t="shared" si="105"/>
        <v>1360.131812166371</v>
      </c>
      <c r="N96" s="11">
        <f t="shared" si="105"/>
        <v>1284.4165637864737</v>
      </c>
      <c r="O96" s="11">
        <f t="shared" si="105"/>
        <v>976.88881295378565</v>
      </c>
      <c r="P96" s="11">
        <f t="shared" si="105"/>
        <v>1042.9484475856157</v>
      </c>
      <c r="Q96" s="11">
        <f t="shared" si="105"/>
        <v>1163.6880778913646</v>
      </c>
      <c r="R96" s="11">
        <f t="shared" si="105"/>
        <v>1129.6088221608654</v>
      </c>
      <c r="S96" s="11">
        <f t="shared" si="105"/>
        <v>1200.7037197146233</v>
      </c>
      <c r="T96" s="11">
        <f t="shared" si="105"/>
        <v>1257.6838768583909</v>
      </c>
      <c r="U96" s="11">
        <f t="shared" si="105"/>
        <v>1252.8875259648491</v>
      </c>
      <c r="V96" s="11">
        <f t="shared" si="105"/>
        <v>433.48290109807681</v>
      </c>
      <c r="W96" s="11">
        <f t="shared" ref="W96" si="106">IF(W24=0,0,W24/W44)</f>
        <v>515.55460584579987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1495.6411914318098</v>
      </c>
      <c r="C98" s="36">
        <f t="shared" si="104"/>
        <v>1374.8281663167272</v>
      </c>
      <c r="D98" s="36">
        <f t="shared" ref="D98:V98" si="109">IF(D26=0,0,D26/D46)</f>
        <v>1494.4846110053982</v>
      </c>
      <c r="E98" s="36">
        <f t="shared" si="109"/>
        <v>1491.1932243410306</v>
      </c>
      <c r="F98" s="36">
        <f t="shared" si="109"/>
        <v>1482.8600211812959</v>
      </c>
      <c r="G98" s="36">
        <f t="shared" si="109"/>
        <v>1412.921114841371</v>
      </c>
      <c r="H98" s="36">
        <f t="shared" si="109"/>
        <v>1423.579794408909</v>
      </c>
      <c r="I98" s="36">
        <f t="shared" si="109"/>
        <v>1454.3628266855203</v>
      </c>
      <c r="J98" s="36">
        <f t="shared" si="109"/>
        <v>1461.5683523508831</v>
      </c>
      <c r="K98" s="36">
        <f t="shared" si="109"/>
        <v>1129.6787511054204</v>
      </c>
      <c r="L98" s="36">
        <f t="shared" si="109"/>
        <v>1256.1135844815969</v>
      </c>
      <c r="M98" s="36">
        <f t="shared" si="109"/>
        <v>1537.0293572478481</v>
      </c>
      <c r="N98" s="36">
        <f t="shared" si="109"/>
        <v>1520.8035519296352</v>
      </c>
      <c r="O98" s="36">
        <f t="shared" si="109"/>
        <v>1151.8546220578487</v>
      </c>
      <c r="P98" s="36">
        <f t="shared" si="109"/>
        <v>1270.5353676642865</v>
      </c>
      <c r="Q98" s="36">
        <f t="shared" si="109"/>
        <v>1413.1775117498682</v>
      </c>
      <c r="R98" s="36">
        <f t="shared" si="109"/>
        <v>1406.8775881860556</v>
      </c>
      <c r="S98" s="36">
        <f t="shared" si="109"/>
        <v>1406.7864567514507</v>
      </c>
      <c r="T98" s="36">
        <f t="shared" si="109"/>
        <v>1430.7066457775627</v>
      </c>
      <c r="U98" s="36">
        <f t="shared" si="109"/>
        <v>1440.7456392514227</v>
      </c>
      <c r="V98" s="36">
        <f t="shared" si="109"/>
        <v>527.97710755058756</v>
      </c>
      <c r="W98" s="36">
        <f t="shared" ref="W98" si="110">IF(W26=0,0,W26/W46)</f>
        <v>594.42500565796399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548</v>
      </c>
      <c r="C99" s="36">
        <f t="shared" si="104"/>
        <v>504.15289925494</v>
      </c>
      <c r="D99" s="36">
        <f t="shared" ref="D99:V99" si="111">IF(D27=0,0,D27/D47)</f>
        <v>548</v>
      </c>
      <c r="E99" s="36">
        <f t="shared" si="111"/>
        <v>548</v>
      </c>
      <c r="F99" s="36">
        <f t="shared" si="111"/>
        <v>548</v>
      </c>
      <c r="G99" s="36">
        <f t="shared" si="111"/>
        <v>515</v>
      </c>
      <c r="H99" s="36">
        <f t="shared" si="111"/>
        <v>544</v>
      </c>
      <c r="I99" s="36">
        <f t="shared" si="111"/>
        <v>564</v>
      </c>
      <c r="J99" s="36">
        <f t="shared" si="111"/>
        <v>573</v>
      </c>
      <c r="K99" s="36">
        <f t="shared" si="111"/>
        <v>565.61483625107235</v>
      </c>
      <c r="L99" s="36">
        <f t="shared" si="111"/>
        <v>554</v>
      </c>
      <c r="M99" s="36">
        <f t="shared" si="111"/>
        <v>642.99999999999989</v>
      </c>
      <c r="N99" s="36">
        <f t="shared" si="111"/>
        <v>688</v>
      </c>
      <c r="O99" s="36">
        <f t="shared" si="111"/>
        <v>554.08136659971512</v>
      </c>
      <c r="P99" s="36">
        <f t="shared" si="111"/>
        <v>518.00260998304975</v>
      </c>
      <c r="Q99" s="36">
        <f t="shared" si="111"/>
        <v>585.04908639789573</v>
      </c>
      <c r="R99" s="36">
        <f t="shared" si="111"/>
        <v>425.12945489993524</v>
      </c>
      <c r="S99" s="36">
        <f t="shared" si="111"/>
        <v>614.60986233246751</v>
      </c>
      <c r="T99" s="36">
        <f t="shared" si="111"/>
        <v>727.6488558718562</v>
      </c>
      <c r="U99" s="36">
        <f t="shared" si="111"/>
        <v>687.01205005125109</v>
      </c>
      <c r="V99" s="36">
        <f t="shared" si="111"/>
        <v>155.79887703784829</v>
      </c>
      <c r="W99" s="36">
        <f t="shared" ref="W99" si="112">IF(W27=0,0,W27/W47)</f>
        <v>289.72684105791956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1066.643331788292</v>
      </c>
      <c r="C100" s="13">
        <f t="shared" si="104"/>
        <v>1057.9194445817145</v>
      </c>
      <c r="D100" s="13">
        <f t="shared" ref="D100:V100" si="113">IF(D28=0,0,D28/D48)</f>
        <v>1044.4709455902723</v>
      </c>
      <c r="E100" s="13">
        <f t="shared" si="113"/>
        <v>1133.5929272206683</v>
      </c>
      <c r="F100" s="13">
        <f t="shared" si="113"/>
        <v>1212.1133854492866</v>
      </c>
      <c r="G100" s="13">
        <f t="shared" si="113"/>
        <v>1047.469961429302</v>
      </c>
      <c r="H100" s="13">
        <f t="shared" si="113"/>
        <v>1012.6218160820634</v>
      </c>
      <c r="I100" s="13">
        <f t="shared" si="113"/>
        <v>1006.0770143069427</v>
      </c>
      <c r="J100" s="13">
        <f t="shared" si="113"/>
        <v>995.91501493674434</v>
      </c>
      <c r="K100" s="13">
        <f t="shared" si="113"/>
        <v>955.98719642617039</v>
      </c>
      <c r="L100" s="13">
        <f t="shared" si="113"/>
        <v>1076.1280624591923</v>
      </c>
      <c r="M100" s="13">
        <f t="shared" si="113"/>
        <v>1088.7490053724598</v>
      </c>
      <c r="N100" s="13">
        <f t="shared" si="113"/>
        <v>1149.7755408347336</v>
      </c>
      <c r="O100" s="13">
        <f t="shared" si="113"/>
        <v>1149.1507840037552</v>
      </c>
      <c r="P100" s="13">
        <f t="shared" si="113"/>
        <v>1148.0193194997912</v>
      </c>
      <c r="Q100" s="13">
        <f t="shared" si="113"/>
        <v>1140.1075535292155</v>
      </c>
      <c r="R100" s="13">
        <f t="shared" si="113"/>
        <v>1107.7443274085731</v>
      </c>
      <c r="S100" s="13">
        <f t="shared" si="113"/>
        <v>1055.3926450856507</v>
      </c>
      <c r="T100" s="13">
        <f t="shared" si="113"/>
        <v>1040.8965601844177</v>
      </c>
      <c r="U100" s="13">
        <f t="shared" si="113"/>
        <v>1058.356995526239</v>
      </c>
      <c r="V100" s="13">
        <f t="shared" si="113"/>
        <v>944.41363015703769</v>
      </c>
      <c r="W100" s="13">
        <f t="shared" ref="W100" si="114">IF(W28=0,0,W28/W48)</f>
        <v>1025.1815576730237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1239.1084949832775</v>
      </c>
      <c r="C102" s="34">
        <f t="shared" si="104"/>
        <v>1232.5724290052324</v>
      </c>
      <c r="D102" s="34">
        <f t="shared" ref="D102:V102" si="117">IF(D30=0,0,D30/D50)</f>
        <v>1235.7681947461087</v>
      </c>
      <c r="E102" s="34">
        <f t="shared" si="117"/>
        <v>1277.9215217430096</v>
      </c>
      <c r="F102" s="34">
        <f t="shared" si="117"/>
        <v>1342.7392675495764</v>
      </c>
      <c r="G102" s="34">
        <f t="shared" si="117"/>
        <v>1265.9996423766625</v>
      </c>
      <c r="H102" s="34">
        <f t="shared" si="117"/>
        <v>1248.2806940719249</v>
      </c>
      <c r="I102" s="34">
        <f t="shared" si="117"/>
        <v>1226.6319551092736</v>
      </c>
      <c r="J102" s="34">
        <f t="shared" si="117"/>
        <v>1197.4447801404792</v>
      </c>
      <c r="K102" s="34">
        <f t="shared" si="117"/>
        <v>1169.2733144938522</v>
      </c>
      <c r="L102" s="34">
        <f t="shared" si="117"/>
        <v>1204.9257592611093</v>
      </c>
      <c r="M102" s="34">
        <f t="shared" si="117"/>
        <v>1220.56468259907</v>
      </c>
      <c r="N102" s="34">
        <f t="shared" si="117"/>
        <v>1237.6917846952679</v>
      </c>
      <c r="O102" s="34">
        <f t="shared" si="117"/>
        <v>1217.1886311942301</v>
      </c>
      <c r="P102" s="34">
        <f t="shared" si="117"/>
        <v>1194.8024450249829</v>
      </c>
      <c r="Q102" s="34">
        <f t="shared" si="117"/>
        <v>1161.0308743015182</v>
      </c>
      <c r="R102" s="34">
        <f t="shared" si="117"/>
        <v>1145.1321255882922</v>
      </c>
      <c r="S102" s="34">
        <f t="shared" si="117"/>
        <v>1137.7307126401745</v>
      </c>
      <c r="T102" s="34">
        <f t="shared" si="117"/>
        <v>1122.3777573939381</v>
      </c>
      <c r="U102" s="34">
        <f t="shared" si="117"/>
        <v>1137.6899794152694</v>
      </c>
      <c r="V102" s="34">
        <f t="shared" si="117"/>
        <v>1019.6199495483544</v>
      </c>
      <c r="W102" s="34">
        <f t="shared" ref="W102" si="118">IF(W30=0,0,W30/W50)</f>
        <v>1080.7028707182551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543</v>
      </c>
      <c r="C103" s="35">
        <f t="shared" si="104"/>
        <v>543</v>
      </c>
      <c r="D103" s="35">
        <f t="shared" ref="D103:V103" si="119">IF(D31=0,0,D31/D51)</f>
        <v>421.29310344827582</v>
      </c>
      <c r="E103" s="35">
        <f t="shared" si="119"/>
        <v>532.35294117647049</v>
      </c>
      <c r="F103" s="35">
        <f t="shared" si="119"/>
        <v>543</v>
      </c>
      <c r="G103" s="35">
        <f t="shared" si="119"/>
        <v>512</v>
      </c>
      <c r="H103" s="35">
        <f t="shared" si="119"/>
        <v>359.18536092645229</v>
      </c>
      <c r="I103" s="35">
        <f t="shared" si="119"/>
        <v>249.58473337266267</v>
      </c>
      <c r="J103" s="35">
        <f t="shared" si="119"/>
        <v>196.32234556393524</v>
      </c>
      <c r="K103" s="35">
        <f t="shared" si="119"/>
        <v>87.374210377447426</v>
      </c>
      <c r="L103" s="35">
        <f t="shared" si="119"/>
        <v>344.62758987072772</v>
      </c>
      <c r="M103" s="35">
        <f t="shared" si="119"/>
        <v>169.17123037604961</v>
      </c>
      <c r="N103" s="35">
        <f t="shared" si="119"/>
        <v>263.93506431860249</v>
      </c>
      <c r="O103" s="35">
        <f t="shared" si="119"/>
        <v>318.04152605388077</v>
      </c>
      <c r="P103" s="35">
        <f t="shared" si="119"/>
        <v>400.05180228793421</v>
      </c>
      <c r="Q103" s="35">
        <f t="shared" si="119"/>
        <v>673.81483276781353</v>
      </c>
      <c r="R103" s="35">
        <f t="shared" si="119"/>
        <v>898</v>
      </c>
      <c r="S103" s="35">
        <f t="shared" si="119"/>
        <v>492.89173301816373</v>
      </c>
      <c r="T103" s="35">
        <f t="shared" si="119"/>
        <v>336.18118514943637</v>
      </c>
      <c r="U103" s="35">
        <f t="shared" si="119"/>
        <v>282.77313848295057</v>
      </c>
      <c r="V103" s="35">
        <f t="shared" si="119"/>
        <v>153.84949237155035</v>
      </c>
      <c r="W103" s="35">
        <f t="shared" ref="W103" si="120">IF(W31=0,0,W31/W51)</f>
        <v>475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0.85430133132270536</v>
      </c>
      <c r="C108" s="43">
        <f t="shared" si="127"/>
        <v>0.85697900632840918</v>
      </c>
      <c r="D108" s="43">
        <f t="shared" ref="D108:V108" si="128">IF(D6=0,0,D6/D$4)</f>
        <v>0.8427587767904553</v>
      </c>
      <c r="E108" s="43">
        <f t="shared" si="128"/>
        <v>0.83484845909283023</v>
      </c>
      <c r="F108" s="43">
        <f t="shared" si="128"/>
        <v>0.81183601288992924</v>
      </c>
      <c r="G108" s="43">
        <f t="shared" si="128"/>
        <v>0.82144195877097526</v>
      </c>
      <c r="H108" s="43">
        <f t="shared" si="128"/>
        <v>0.82413718500176425</v>
      </c>
      <c r="I108" s="43">
        <f t="shared" si="128"/>
        <v>0.78852620315136879</v>
      </c>
      <c r="J108" s="43">
        <f t="shared" si="128"/>
        <v>0.74122333415865438</v>
      </c>
      <c r="K108" s="43">
        <f t="shared" si="128"/>
        <v>0.72331228033730377</v>
      </c>
      <c r="L108" s="43">
        <f t="shared" si="128"/>
        <v>0.69056249048170371</v>
      </c>
      <c r="M108" s="43">
        <f t="shared" si="128"/>
        <v>0.79542749915950395</v>
      </c>
      <c r="N108" s="43">
        <f t="shared" si="128"/>
        <v>0.7250280572457769</v>
      </c>
      <c r="O108" s="43">
        <f t="shared" si="128"/>
        <v>0.78048305787468952</v>
      </c>
      <c r="P108" s="43">
        <f t="shared" si="128"/>
        <v>0.77570305733356426</v>
      </c>
      <c r="Q108" s="43">
        <f t="shared" si="128"/>
        <v>0.74403837845377419</v>
      </c>
      <c r="R108" s="43">
        <f t="shared" si="128"/>
        <v>0.80547780544574199</v>
      </c>
      <c r="S108" s="43">
        <f t="shared" si="128"/>
        <v>0.80066638842693438</v>
      </c>
      <c r="T108" s="43">
        <f t="shared" si="128"/>
        <v>0.78030004640523831</v>
      </c>
      <c r="U108" s="43">
        <f t="shared" si="128"/>
        <v>0.7268669015383673</v>
      </c>
      <c r="V108" s="43">
        <f t="shared" si="128"/>
        <v>0.76695967687326227</v>
      </c>
      <c r="W108" s="43">
        <f t="shared" ref="W108" si="129">IF(W6=0,0,W6/W$4)</f>
        <v>0.59017951371633803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0.1456986686772947</v>
      </c>
      <c r="C109" s="43">
        <f t="shared" si="130"/>
        <v>0.14302099367159088</v>
      </c>
      <c r="D109" s="43">
        <f t="shared" ref="D109:V109" si="131">IF(D7=0,0,D7/D$4)</f>
        <v>0.15724122320954464</v>
      </c>
      <c r="E109" s="43">
        <f t="shared" si="131"/>
        <v>0.1651515409071698</v>
      </c>
      <c r="F109" s="43">
        <f t="shared" si="131"/>
        <v>0.18816398711007071</v>
      </c>
      <c r="G109" s="43">
        <f t="shared" si="131"/>
        <v>0.17855804122902469</v>
      </c>
      <c r="H109" s="43">
        <f t="shared" si="131"/>
        <v>0.17586281499823581</v>
      </c>
      <c r="I109" s="43">
        <f t="shared" si="131"/>
        <v>0.21147379684863118</v>
      </c>
      <c r="J109" s="43">
        <f t="shared" si="131"/>
        <v>0.25877666584134568</v>
      </c>
      <c r="K109" s="43">
        <f t="shared" si="131"/>
        <v>0.27668771966269623</v>
      </c>
      <c r="L109" s="43">
        <f t="shared" si="131"/>
        <v>0.30943750951829629</v>
      </c>
      <c r="M109" s="43">
        <f t="shared" si="131"/>
        <v>0.20457250084049602</v>
      </c>
      <c r="N109" s="43">
        <f t="shared" si="131"/>
        <v>0.2749719427542231</v>
      </c>
      <c r="O109" s="43">
        <f t="shared" si="131"/>
        <v>0.21951694212531042</v>
      </c>
      <c r="P109" s="43">
        <f t="shared" si="131"/>
        <v>0.22429694266643571</v>
      </c>
      <c r="Q109" s="43">
        <f t="shared" si="131"/>
        <v>0.25596162154622576</v>
      </c>
      <c r="R109" s="43">
        <f t="shared" si="131"/>
        <v>0.19452219455425801</v>
      </c>
      <c r="S109" s="43">
        <f t="shared" si="131"/>
        <v>0.19933361157306559</v>
      </c>
      <c r="T109" s="43">
        <f t="shared" si="131"/>
        <v>0.21969995359476174</v>
      </c>
      <c r="U109" s="43">
        <f t="shared" si="131"/>
        <v>0.27313309846163275</v>
      </c>
      <c r="V109" s="43">
        <f t="shared" si="131"/>
        <v>0.2330403231267377</v>
      </c>
      <c r="W109" s="43">
        <f t="shared" ref="W109" si="132">IF(W7=0,0,W7/W$4)</f>
        <v>0.40982048628366191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0.33763091572136567</v>
      </c>
      <c r="C112" s="44">
        <f t="shared" si="139"/>
        <v>0.34111582729755147</v>
      </c>
      <c r="D112" s="44">
        <f t="shared" ref="D112:V112" si="140">IF(D10=0,0,D10/D$8)</f>
        <v>0.40295127885438858</v>
      </c>
      <c r="E112" s="44">
        <f t="shared" si="140"/>
        <v>0.4093709345647098</v>
      </c>
      <c r="F112" s="44">
        <f t="shared" si="140"/>
        <v>0.44038158430326718</v>
      </c>
      <c r="G112" s="44">
        <f t="shared" si="140"/>
        <v>0.31419357827155003</v>
      </c>
      <c r="H112" s="44">
        <f t="shared" si="140"/>
        <v>0.45292834639869384</v>
      </c>
      <c r="I112" s="44">
        <f t="shared" si="140"/>
        <v>0.62983650761791499</v>
      </c>
      <c r="J112" s="44">
        <f t="shared" si="140"/>
        <v>0.73972244733159032</v>
      </c>
      <c r="K112" s="44">
        <f t="shared" si="140"/>
        <v>0.87239051957619806</v>
      </c>
      <c r="L112" s="44">
        <f t="shared" si="140"/>
        <v>0.6785055362373561</v>
      </c>
      <c r="M112" s="44">
        <f t="shared" si="140"/>
        <v>0.8500234678192039</v>
      </c>
      <c r="N112" s="44">
        <f t="shared" si="140"/>
        <v>0.82773208163916456</v>
      </c>
      <c r="O112" s="44">
        <f t="shared" si="140"/>
        <v>0.89229961516519385</v>
      </c>
      <c r="P112" s="44">
        <f t="shared" si="140"/>
        <v>0.90123074764075362</v>
      </c>
      <c r="Q112" s="44">
        <f t="shared" si="140"/>
        <v>0.87907443695549181</v>
      </c>
      <c r="R112" s="44">
        <f t="shared" si="140"/>
        <v>0.61192177874737119</v>
      </c>
      <c r="S112" s="44">
        <f t="shared" si="140"/>
        <v>0.81046103013814585</v>
      </c>
      <c r="T112" s="44">
        <f t="shared" si="140"/>
        <v>0.89363920141925579</v>
      </c>
      <c r="U112" s="44">
        <f t="shared" si="140"/>
        <v>0.83817954256592508</v>
      </c>
      <c r="V112" s="44">
        <f t="shared" si="140"/>
        <v>0.91806801307635633</v>
      </c>
      <c r="W112" s="44">
        <f t="shared" ref="W112" si="141">IF(W10=0,0,W10/W$8)</f>
        <v>0.73126133609326305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0.66236908427863428</v>
      </c>
      <c r="C113" s="45">
        <f t="shared" si="142"/>
        <v>0.65888417270244848</v>
      </c>
      <c r="D113" s="45">
        <f t="shared" ref="D113:V113" si="143">IF(D11=0,0,D11/D$8)</f>
        <v>0.59704872114561147</v>
      </c>
      <c r="E113" s="45">
        <f t="shared" si="143"/>
        <v>0.59062906543529026</v>
      </c>
      <c r="F113" s="45">
        <f t="shared" si="143"/>
        <v>0.55961841569673276</v>
      </c>
      <c r="G113" s="45">
        <f t="shared" si="143"/>
        <v>0.68580642172844997</v>
      </c>
      <c r="H113" s="45">
        <f t="shared" si="143"/>
        <v>0.54707165360130627</v>
      </c>
      <c r="I113" s="45">
        <f t="shared" si="143"/>
        <v>0.37016349238208501</v>
      </c>
      <c r="J113" s="45">
        <f t="shared" si="143"/>
        <v>0.26027755266840957</v>
      </c>
      <c r="K113" s="45">
        <f t="shared" si="143"/>
        <v>0.12760948042380202</v>
      </c>
      <c r="L113" s="45">
        <f t="shared" si="143"/>
        <v>0.3214944637626439</v>
      </c>
      <c r="M113" s="45">
        <f t="shared" si="143"/>
        <v>0.14997653218079612</v>
      </c>
      <c r="N113" s="45">
        <f t="shared" si="143"/>
        <v>0.17226791836083544</v>
      </c>
      <c r="O113" s="45">
        <f t="shared" si="143"/>
        <v>0.10770038483480619</v>
      </c>
      <c r="P113" s="45">
        <f t="shared" si="143"/>
        <v>9.8769252359246509E-2</v>
      </c>
      <c r="Q113" s="45">
        <f t="shared" si="143"/>
        <v>0.12092556304450826</v>
      </c>
      <c r="R113" s="45">
        <f t="shared" si="143"/>
        <v>0.38807822125262881</v>
      </c>
      <c r="S113" s="45">
        <f t="shared" si="143"/>
        <v>0.18953896986185428</v>
      </c>
      <c r="T113" s="45">
        <f t="shared" si="143"/>
        <v>0.10636079858074414</v>
      </c>
      <c r="U113" s="45">
        <f t="shared" si="143"/>
        <v>0.16182045743407492</v>
      </c>
      <c r="V113" s="45">
        <f t="shared" si="143"/>
        <v>8.1931986923643743E-2</v>
      </c>
      <c r="W113" s="45">
        <f t="shared" ref="W113" si="144">IF(W11=0,0,W11/W$8)</f>
        <v>0.26873866390673695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0.88017929658818395</v>
      </c>
      <c r="C118" s="43">
        <f t="shared" si="151"/>
        <v>0.88009110855466832</v>
      </c>
      <c r="D118" s="43">
        <f t="shared" ref="D118:V118" si="152">IF(D16=0,0,D16/D$14)</f>
        <v>0.87276537342720995</v>
      </c>
      <c r="E118" s="43">
        <f t="shared" si="152"/>
        <v>0.85264156847878625</v>
      </c>
      <c r="F118" s="43">
        <f t="shared" si="152"/>
        <v>0.82092710358042864</v>
      </c>
      <c r="G118" s="43">
        <f t="shared" si="152"/>
        <v>0.83270986937175739</v>
      </c>
      <c r="H118" s="43">
        <f t="shared" si="152"/>
        <v>0.83236489070769515</v>
      </c>
      <c r="I118" s="43">
        <f t="shared" si="152"/>
        <v>0.83651423291900917</v>
      </c>
      <c r="J118" s="43">
        <f t="shared" si="152"/>
        <v>0.80249371349216725</v>
      </c>
      <c r="K118" s="43">
        <f t="shared" si="152"/>
        <v>0.76142707795791076</v>
      </c>
      <c r="L118" s="43">
        <f t="shared" si="152"/>
        <v>0.70748720412855992</v>
      </c>
      <c r="M118" s="43">
        <f t="shared" si="152"/>
        <v>0.76472875757519454</v>
      </c>
      <c r="N118" s="43">
        <f t="shared" si="152"/>
        <v>0.66211420635212781</v>
      </c>
      <c r="O118" s="43">
        <f t="shared" si="152"/>
        <v>0.75466761511210378</v>
      </c>
      <c r="P118" s="43">
        <f t="shared" si="152"/>
        <v>0.76797117949081806</v>
      </c>
      <c r="Q118" s="43">
        <f t="shared" si="152"/>
        <v>0.74618431540454822</v>
      </c>
      <c r="R118" s="43">
        <f t="shared" si="152"/>
        <v>0.83555402857187488</v>
      </c>
      <c r="S118" s="43">
        <f t="shared" si="152"/>
        <v>0.81055385937413882</v>
      </c>
      <c r="T118" s="43">
        <f t="shared" si="152"/>
        <v>0.78834767512669723</v>
      </c>
      <c r="U118" s="43">
        <f t="shared" si="152"/>
        <v>0.75891881837228425</v>
      </c>
      <c r="V118" s="43">
        <f t="shared" si="152"/>
        <v>0.81376930684505544</v>
      </c>
      <c r="W118" s="43">
        <f t="shared" ref="W118" si="153">IF(W16=0,0,W16/W$14)</f>
        <v>0.66024040586117849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0.11982070341181608</v>
      </c>
      <c r="C119" s="43">
        <f t="shared" si="154"/>
        <v>0.11990889144533168</v>
      </c>
      <c r="D119" s="43">
        <f t="shared" ref="D119:V119" si="155">IF(D17=0,0,D17/D$14)</f>
        <v>0.12723462657279008</v>
      </c>
      <c r="E119" s="43">
        <f t="shared" si="155"/>
        <v>0.14735843152121386</v>
      </c>
      <c r="F119" s="43">
        <f t="shared" si="155"/>
        <v>0.17907289641957136</v>
      </c>
      <c r="G119" s="43">
        <f t="shared" si="155"/>
        <v>0.16729013062824258</v>
      </c>
      <c r="H119" s="43">
        <f t="shared" si="155"/>
        <v>0.16763510929230482</v>
      </c>
      <c r="I119" s="43">
        <f t="shared" si="155"/>
        <v>0.16348576708099083</v>
      </c>
      <c r="J119" s="43">
        <f t="shared" si="155"/>
        <v>0.19750628650783278</v>
      </c>
      <c r="K119" s="43">
        <f t="shared" si="155"/>
        <v>0.23857292204208919</v>
      </c>
      <c r="L119" s="43">
        <f t="shared" si="155"/>
        <v>0.29251279587144008</v>
      </c>
      <c r="M119" s="43">
        <f t="shared" si="155"/>
        <v>0.2352712424248054</v>
      </c>
      <c r="N119" s="43">
        <f t="shared" si="155"/>
        <v>0.3378857936478723</v>
      </c>
      <c r="O119" s="43">
        <f t="shared" si="155"/>
        <v>0.24533238488789622</v>
      </c>
      <c r="P119" s="43">
        <f t="shared" si="155"/>
        <v>0.23202882050918197</v>
      </c>
      <c r="Q119" s="43">
        <f t="shared" si="155"/>
        <v>0.25381568459545184</v>
      </c>
      <c r="R119" s="43">
        <f t="shared" si="155"/>
        <v>0.16444597142812514</v>
      </c>
      <c r="S119" s="43">
        <f t="shared" si="155"/>
        <v>0.18944614062586115</v>
      </c>
      <c r="T119" s="43">
        <f t="shared" si="155"/>
        <v>0.21165232487330277</v>
      </c>
      <c r="U119" s="43">
        <f t="shared" si="155"/>
        <v>0.24108118162771569</v>
      </c>
      <c r="V119" s="43">
        <f t="shared" si="155"/>
        <v>0.18623069315494459</v>
      </c>
      <c r="W119" s="43">
        <f t="shared" ref="W119" si="156">IF(W17=0,0,W17/W$14)</f>
        <v>0.33975959413882145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0.61338408109478393</v>
      </c>
      <c r="C122" s="44">
        <f t="shared" si="163"/>
        <v>0.60639726332122423</v>
      </c>
      <c r="D122" s="44">
        <f t="shared" ref="D122:V122" si="164">IF(D20=0,0,D20/D$18)</f>
        <v>0.65854555264319892</v>
      </c>
      <c r="E122" s="44">
        <f t="shared" si="164"/>
        <v>0.62507537814396519</v>
      </c>
      <c r="F122" s="44">
        <f t="shared" si="164"/>
        <v>0.66570151535549016</v>
      </c>
      <c r="G122" s="44">
        <f t="shared" si="164"/>
        <v>0.52751882489729651</v>
      </c>
      <c r="H122" s="44">
        <f t="shared" si="164"/>
        <v>0.68707501525595638</v>
      </c>
      <c r="I122" s="44">
        <f t="shared" si="164"/>
        <v>0.81726730937474878</v>
      </c>
      <c r="J122" s="44">
        <f t="shared" si="164"/>
        <v>0.88149744350791404</v>
      </c>
      <c r="K122" s="44">
        <f t="shared" si="164"/>
        <v>0.95152153587230182</v>
      </c>
      <c r="L122" s="44">
        <f t="shared" si="164"/>
        <v>0.85084857920202184</v>
      </c>
      <c r="M122" s="44">
        <f t="shared" si="164"/>
        <v>0.93977280320870349</v>
      </c>
      <c r="N122" s="44">
        <f t="shared" si="164"/>
        <v>0.93045761013182171</v>
      </c>
      <c r="O122" s="44">
        <f t="shared" si="164"/>
        <v>0.96185259873167694</v>
      </c>
      <c r="P122" s="44">
        <f t="shared" si="164"/>
        <v>0.9642732396146263</v>
      </c>
      <c r="Q122" s="44">
        <f t="shared" si="164"/>
        <v>0.95494618502621986</v>
      </c>
      <c r="R122" s="44">
        <f t="shared" si="164"/>
        <v>0.83944998496268119</v>
      </c>
      <c r="S122" s="44">
        <f t="shared" si="164"/>
        <v>0.93476332070426749</v>
      </c>
      <c r="T122" s="44">
        <f t="shared" si="164"/>
        <v>0.96257935519745874</v>
      </c>
      <c r="U122" s="44">
        <f t="shared" si="164"/>
        <v>0.93922843892731056</v>
      </c>
      <c r="V122" s="44">
        <f t="shared" si="164"/>
        <v>0.96039881960972062</v>
      </c>
      <c r="W122" s="44">
        <f t="shared" ref="W122" si="165">IF(W20=0,0,W20/W$18)</f>
        <v>0.86617489543828774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0.38661591890521607</v>
      </c>
      <c r="C123" s="45">
        <f t="shared" si="166"/>
        <v>0.39360273667877577</v>
      </c>
      <c r="D123" s="45">
        <f t="shared" ref="D123:V123" si="167">IF(D21=0,0,D21/D$18)</f>
        <v>0.34145444735680103</v>
      </c>
      <c r="E123" s="45">
        <f t="shared" si="167"/>
        <v>0.37492462185603476</v>
      </c>
      <c r="F123" s="45">
        <f t="shared" si="167"/>
        <v>0.33429848464450984</v>
      </c>
      <c r="G123" s="45">
        <f t="shared" si="167"/>
        <v>0.47248117510270354</v>
      </c>
      <c r="H123" s="45">
        <f t="shared" si="167"/>
        <v>0.31292498474404357</v>
      </c>
      <c r="I123" s="45">
        <f t="shared" si="167"/>
        <v>0.18273269062525119</v>
      </c>
      <c r="J123" s="45">
        <f t="shared" si="167"/>
        <v>0.11850255649208592</v>
      </c>
      <c r="K123" s="45">
        <f t="shared" si="167"/>
        <v>4.8478464127698205E-2</v>
      </c>
      <c r="L123" s="45">
        <f t="shared" si="167"/>
        <v>0.14915142079797822</v>
      </c>
      <c r="M123" s="45">
        <f t="shared" si="167"/>
        <v>6.0227196791296483E-2</v>
      </c>
      <c r="N123" s="45">
        <f t="shared" si="167"/>
        <v>6.9542389868178331E-2</v>
      </c>
      <c r="O123" s="45">
        <f t="shared" si="167"/>
        <v>3.8147401268322959E-2</v>
      </c>
      <c r="P123" s="45">
        <f t="shared" si="167"/>
        <v>3.5726760385373715E-2</v>
      </c>
      <c r="Q123" s="45">
        <f t="shared" si="167"/>
        <v>4.5053814973780262E-2</v>
      </c>
      <c r="R123" s="45">
        <f t="shared" si="167"/>
        <v>0.16055001503731875</v>
      </c>
      <c r="S123" s="45">
        <f t="shared" si="167"/>
        <v>6.52366792957325E-2</v>
      </c>
      <c r="T123" s="45">
        <f t="shared" si="167"/>
        <v>3.7420644802541314E-2</v>
      </c>
      <c r="U123" s="45">
        <f t="shared" si="167"/>
        <v>6.0771561072689453E-2</v>
      </c>
      <c r="V123" s="45">
        <f t="shared" si="167"/>
        <v>3.9601180390279364E-2</v>
      </c>
      <c r="W123" s="45">
        <f t="shared" ref="W123" si="168">IF(W21=0,0,W21/W$18)</f>
        <v>0.13382510456171218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20.540756663800511</v>
      </c>
      <c r="C3" s="79">
        <f t="shared" si="0"/>
        <v>16.977987962166814</v>
      </c>
      <c r="D3" s="79">
        <f t="shared" ref="D3" si="1">SUM(D4:D5)</f>
        <v>17.826311263972482</v>
      </c>
      <c r="E3" s="79">
        <f t="shared" ref="E3" si="2">SUM(E4:E5)</f>
        <v>20.704041272570933</v>
      </c>
      <c r="F3" s="79">
        <f t="shared" ref="F3" si="3">SUM(F4:F5)</f>
        <v>31.995614789337917</v>
      </c>
      <c r="G3" s="79">
        <f t="shared" ref="G3" si="4">SUM(G4:G5)</f>
        <v>50.71943250214963</v>
      </c>
      <c r="H3" s="79">
        <f t="shared" ref="H3" si="5">SUM(H4:H5)</f>
        <v>51.905159071367144</v>
      </c>
      <c r="I3" s="79">
        <f t="shared" ref="I3" si="6">SUM(I4:I5)</f>
        <v>59.107050730868437</v>
      </c>
      <c r="J3" s="79">
        <f t="shared" ref="J3" si="7">SUM(J4:J5)</f>
        <v>67.549269131556315</v>
      </c>
      <c r="K3" s="79">
        <f t="shared" ref="K3" si="8">SUM(K4:K5)</f>
        <v>36.676526225279453</v>
      </c>
      <c r="L3" s="79">
        <f t="shared" ref="L3" si="9">SUM(L4:L5)</f>
        <v>33.641616509028374</v>
      </c>
      <c r="M3" s="79">
        <f t="shared" ref="M3" si="10">SUM(M4:M5)</f>
        <v>45.383748925193451</v>
      </c>
      <c r="N3" s="79">
        <f t="shared" ref="N3" si="11">SUM(N4:N5)</f>
        <v>59.721238177128114</v>
      </c>
      <c r="O3" s="79">
        <f t="shared" ref="O3" si="12">SUM(O4:O5)</f>
        <v>47.646345657781588</v>
      </c>
      <c r="P3" s="79">
        <f t="shared" ref="P3" si="13">SUM(P4:P5)</f>
        <v>47.669905417024935</v>
      </c>
      <c r="Q3" s="79">
        <f t="shared" ref="Q3" si="14">SUM(Q4:Q5)</f>
        <v>49.982803095442812</v>
      </c>
      <c r="R3" s="79">
        <f t="shared" ref="R3" si="15">SUM(R4:R5)</f>
        <v>45.834651762682711</v>
      </c>
      <c r="S3" s="79">
        <f t="shared" ref="S3" si="16">SUM(S4:S5)</f>
        <v>59.653396388650037</v>
      </c>
      <c r="T3" s="79">
        <f t="shared" ref="T3" si="17">SUM(T4:T5)</f>
        <v>69.406190885640584</v>
      </c>
      <c r="U3" s="79">
        <f t="shared" ref="U3" si="18">SUM(U4:U5)</f>
        <v>68.479793637145292</v>
      </c>
      <c r="V3" s="79">
        <f t="shared" ref="V3:W3" si="19">SUM(V4:V5)</f>
        <v>24.001891659501293</v>
      </c>
      <c r="W3" s="79">
        <f t="shared" si="19"/>
        <v>43.039036973344793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20.540756663800511</v>
      </c>
      <c r="C5" s="96">
        <f t="shared" si="23"/>
        <v>16.977987962166814</v>
      </c>
      <c r="D5" s="96">
        <f t="shared" ref="D5:V5" si="24">SUM(D8:D9,D12:D13)</f>
        <v>17.826311263972482</v>
      </c>
      <c r="E5" s="96">
        <f t="shared" si="24"/>
        <v>20.704041272570933</v>
      </c>
      <c r="F5" s="96">
        <f t="shared" si="24"/>
        <v>31.995614789337917</v>
      </c>
      <c r="G5" s="96">
        <f t="shared" si="24"/>
        <v>50.71943250214963</v>
      </c>
      <c r="H5" s="96">
        <f t="shared" si="24"/>
        <v>51.905159071367144</v>
      </c>
      <c r="I5" s="96">
        <f t="shared" si="24"/>
        <v>59.107050730868437</v>
      </c>
      <c r="J5" s="96">
        <f t="shared" si="24"/>
        <v>67.549269131556315</v>
      </c>
      <c r="K5" s="96">
        <f t="shared" si="24"/>
        <v>36.676526225279453</v>
      </c>
      <c r="L5" s="96">
        <f t="shared" si="24"/>
        <v>33.641616509028374</v>
      </c>
      <c r="M5" s="96">
        <f t="shared" si="24"/>
        <v>45.383748925193451</v>
      </c>
      <c r="N5" s="96">
        <f t="shared" si="24"/>
        <v>59.721238177128114</v>
      </c>
      <c r="O5" s="96">
        <f t="shared" si="24"/>
        <v>47.646345657781588</v>
      </c>
      <c r="P5" s="96">
        <f t="shared" si="24"/>
        <v>47.669905417024935</v>
      </c>
      <c r="Q5" s="96">
        <f t="shared" si="24"/>
        <v>49.982803095442812</v>
      </c>
      <c r="R5" s="96">
        <f t="shared" si="24"/>
        <v>45.834651762682711</v>
      </c>
      <c r="S5" s="96">
        <f t="shared" si="24"/>
        <v>59.653396388650037</v>
      </c>
      <c r="T5" s="96">
        <f t="shared" si="24"/>
        <v>69.406190885640584</v>
      </c>
      <c r="U5" s="96">
        <f t="shared" si="24"/>
        <v>68.479793637145292</v>
      </c>
      <c r="V5" s="96">
        <f t="shared" si="24"/>
        <v>24.001891659501293</v>
      </c>
      <c r="W5" s="96">
        <f t="shared" ref="W5" si="25">SUM(W8:W9,W12:W13)</f>
        <v>43.039036973344793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20.267232812018982</v>
      </c>
      <c r="C6" s="21">
        <f t="shared" si="26"/>
        <v>16.73079284629096</v>
      </c>
      <c r="D6" s="21">
        <f t="shared" ref="D6:V6" si="27">SUM(D7:D9)</f>
        <v>17.600308930940166</v>
      </c>
      <c r="E6" s="21">
        <f t="shared" si="27"/>
        <v>20.432022156007569</v>
      </c>
      <c r="F6" s="21">
        <f t="shared" si="27"/>
        <v>31.641758615847685</v>
      </c>
      <c r="G6" s="21">
        <f t="shared" si="27"/>
        <v>50.232215831034992</v>
      </c>
      <c r="H6" s="21">
        <f t="shared" si="27"/>
        <v>51.439846521172981</v>
      </c>
      <c r="I6" s="21">
        <f t="shared" si="27"/>
        <v>58.598429843947365</v>
      </c>
      <c r="J6" s="21">
        <f t="shared" si="27"/>
        <v>66.953079002675679</v>
      </c>
      <c r="K6" s="21">
        <f t="shared" si="27"/>
        <v>36.328892587228822</v>
      </c>
      <c r="L6" s="21">
        <f t="shared" si="27"/>
        <v>33.259763282065798</v>
      </c>
      <c r="M6" s="21">
        <f t="shared" si="27"/>
        <v>44.97168896759915</v>
      </c>
      <c r="N6" s="21">
        <f t="shared" si="27"/>
        <v>59.150159509355177</v>
      </c>
      <c r="O6" s="21">
        <f t="shared" si="27"/>
        <v>47.01970737913625</v>
      </c>
      <c r="P6" s="21">
        <f t="shared" si="27"/>
        <v>47.059117125757041</v>
      </c>
      <c r="Q6" s="21">
        <f t="shared" si="27"/>
        <v>49.39146553351187</v>
      </c>
      <c r="R6" s="21">
        <f t="shared" si="27"/>
        <v>45.291161504587876</v>
      </c>
      <c r="S6" s="21">
        <f t="shared" si="27"/>
        <v>58.989651567512155</v>
      </c>
      <c r="T6" s="21">
        <f t="shared" si="27"/>
        <v>68.710873950377092</v>
      </c>
      <c r="U6" s="21">
        <f t="shared" si="27"/>
        <v>67.731694268418124</v>
      </c>
      <c r="V6" s="21">
        <f t="shared" si="27"/>
        <v>23.291833289127542</v>
      </c>
      <c r="W6" s="21">
        <f t="shared" ref="W6" si="28">SUM(W7:W9)</f>
        <v>41.567400851800038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18.687252437355973</v>
      </c>
      <c r="C8" s="96">
        <v>15.425473180278779</v>
      </c>
      <c r="D8" s="96">
        <v>16.139791008823764</v>
      </c>
      <c r="E8" s="96">
        <v>18.45982508278696</v>
      </c>
      <c r="F8" s="96">
        <v>27.915822891095289</v>
      </c>
      <c r="G8" s="96">
        <v>44.99727351497453</v>
      </c>
      <c r="H8" s="96">
        <v>46.241340561886147</v>
      </c>
      <c r="I8" s="96">
        <v>52.812584685906302</v>
      </c>
      <c r="J8" s="96">
        <v>60.036950257066422</v>
      </c>
      <c r="K8" s="96">
        <v>32.034096098256228</v>
      </c>
      <c r="L8" s="96">
        <v>29.297894082990997</v>
      </c>
      <c r="M8" s="96">
        <v>40.492032118263587</v>
      </c>
      <c r="N8" s="96">
        <v>52.676357294771869</v>
      </c>
      <c r="O8" s="96">
        <v>41.531711925798312</v>
      </c>
      <c r="P8" s="96">
        <v>41.597273343504455</v>
      </c>
      <c r="Q8" s="96">
        <v>43.667427707146487</v>
      </c>
      <c r="R8" s="96">
        <v>40.166756111550313</v>
      </c>
      <c r="S8" s="96">
        <v>52.535506915918674</v>
      </c>
      <c r="T8" s="96">
        <v>61.483727468044606</v>
      </c>
      <c r="U8" s="96">
        <v>60.417295619675471</v>
      </c>
      <c r="V8" s="96">
        <v>20.071597130796075</v>
      </c>
      <c r="W8" s="96">
        <v>36.441548378516025</v>
      </c>
      <c r="DA8" s="171" t="s">
        <v>281</v>
      </c>
    </row>
    <row r="9" spans="1:105" ht="11.45" customHeight="1" x14ac:dyDescent="0.25">
      <c r="A9" s="83" t="s">
        <v>174</v>
      </c>
      <c r="B9" s="96">
        <v>1.5799803746630103</v>
      </c>
      <c r="C9" s="96">
        <v>1.30531966601218</v>
      </c>
      <c r="D9" s="96">
        <v>1.4605179221164029</v>
      </c>
      <c r="E9" s="96">
        <v>1.9721970732206109</v>
      </c>
      <c r="F9" s="96">
        <v>3.7259357247523979</v>
      </c>
      <c r="G9" s="96">
        <v>5.2349423160604607</v>
      </c>
      <c r="H9" s="96">
        <v>5.198505959286833</v>
      </c>
      <c r="I9" s="96">
        <v>5.7858451580410604</v>
      </c>
      <c r="J9" s="96">
        <v>6.9161287456092619</v>
      </c>
      <c r="K9" s="96">
        <v>4.2947964889725929</v>
      </c>
      <c r="L9" s="96">
        <v>3.9618691990748012</v>
      </c>
      <c r="M9" s="96">
        <v>4.4796568493355595</v>
      </c>
      <c r="N9" s="96">
        <v>6.4738022145833112</v>
      </c>
      <c r="O9" s="96">
        <v>5.4879954533379394</v>
      </c>
      <c r="P9" s="96">
        <v>5.4618437822525836</v>
      </c>
      <c r="Q9" s="96">
        <v>5.7240378263653806</v>
      </c>
      <c r="R9" s="96">
        <v>5.1244053930375664</v>
      </c>
      <c r="S9" s="96">
        <v>6.4541446515934782</v>
      </c>
      <c r="T9" s="96">
        <v>7.2271464823324871</v>
      </c>
      <c r="U9" s="96">
        <v>7.3143986487426567</v>
      </c>
      <c r="V9" s="96">
        <v>3.2202361583314669</v>
      </c>
      <c r="W9" s="96">
        <v>5.1258524732840112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0.27352385178153088</v>
      </c>
      <c r="C10" s="22">
        <f t="shared" si="29"/>
        <v>0.24719511587585441</v>
      </c>
      <c r="D10" s="22">
        <f t="shared" ref="D10:V10" si="30">SUM(D11:D13)</f>
        <v>0.22600233303231704</v>
      </c>
      <c r="E10" s="22">
        <f t="shared" si="30"/>
        <v>0.27201911656336447</v>
      </c>
      <c r="F10" s="22">
        <f t="shared" si="30"/>
        <v>0.35385617349023363</v>
      </c>
      <c r="G10" s="22">
        <f t="shared" si="30"/>
        <v>0.48721667111463624</v>
      </c>
      <c r="H10" s="22">
        <f t="shared" si="30"/>
        <v>0.46531255019416329</v>
      </c>
      <c r="I10" s="22">
        <f t="shared" si="30"/>
        <v>0.5086208869210721</v>
      </c>
      <c r="J10" s="22">
        <f t="shared" si="30"/>
        <v>0.59619012888063516</v>
      </c>
      <c r="K10" s="22">
        <f t="shared" si="30"/>
        <v>0.34763363805063635</v>
      </c>
      <c r="L10" s="22">
        <f t="shared" si="30"/>
        <v>0.38185322696257584</v>
      </c>
      <c r="M10" s="22">
        <f t="shared" si="30"/>
        <v>0.4120599575943083</v>
      </c>
      <c r="N10" s="22">
        <f t="shared" si="30"/>
        <v>0.57107866777293925</v>
      </c>
      <c r="O10" s="22">
        <f t="shared" si="30"/>
        <v>0.62663827864534016</v>
      </c>
      <c r="P10" s="22">
        <f t="shared" si="30"/>
        <v>0.61078829126789358</v>
      </c>
      <c r="Q10" s="22">
        <f t="shared" si="30"/>
        <v>0.59133756193094411</v>
      </c>
      <c r="R10" s="22">
        <f t="shared" si="30"/>
        <v>0.54349025809483942</v>
      </c>
      <c r="S10" s="22">
        <f t="shared" si="30"/>
        <v>0.66374482113788513</v>
      </c>
      <c r="T10" s="22">
        <f t="shared" si="30"/>
        <v>0.69531693526349214</v>
      </c>
      <c r="U10" s="22">
        <f t="shared" si="30"/>
        <v>0.74809936872717342</v>
      </c>
      <c r="V10" s="22">
        <f t="shared" si="30"/>
        <v>0.71005837037375064</v>
      </c>
      <c r="W10" s="22">
        <f t="shared" ref="W10" si="31">SUM(W11:W13)</f>
        <v>1.4716361215447566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0.22113429253698819</v>
      </c>
      <c r="C12" s="97">
        <v>0.19865497527068515</v>
      </c>
      <c r="D12" s="97">
        <v>0.19028842727199163</v>
      </c>
      <c r="E12" s="97">
        <v>0.22597965852614998</v>
      </c>
      <c r="F12" s="97">
        <v>0.30322071706147152</v>
      </c>
      <c r="G12" s="97">
        <v>0.3738985722439529</v>
      </c>
      <c r="H12" s="97">
        <v>0.40272786460895843</v>
      </c>
      <c r="I12" s="97">
        <v>0.47325754093362538</v>
      </c>
      <c r="J12" s="97">
        <v>0.57570512650699435</v>
      </c>
      <c r="K12" s="97">
        <v>0.34274235184624235</v>
      </c>
      <c r="L12" s="97">
        <v>0.36855180485754957</v>
      </c>
      <c r="M12" s="97">
        <v>0.40565958439809791</v>
      </c>
      <c r="N12" s="97">
        <v>0.56414647346914659</v>
      </c>
      <c r="O12" s="97">
        <v>0.61969888011436403</v>
      </c>
      <c r="P12" s="97">
        <v>0.60376113511698226</v>
      </c>
      <c r="Q12" s="97">
        <v>0.58358232030695156</v>
      </c>
      <c r="R12" s="97">
        <v>0.49620459777306053</v>
      </c>
      <c r="S12" s="97">
        <v>0.6441358558743624</v>
      </c>
      <c r="T12" s="97">
        <v>0.68444844752009837</v>
      </c>
      <c r="U12" s="97">
        <v>0.7170673888430682</v>
      </c>
      <c r="V12" s="97">
        <v>0.6795831929821442</v>
      </c>
      <c r="W12" s="97">
        <v>1.3748553980194163</v>
      </c>
      <c r="DA12" s="175" t="s">
        <v>285</v>
      </c>
    </row>
    <row r="13" spans="1:105" ht="11.45" customHeight="1" x14ac:dyDescent="0.25">
      <c r="A13" s="85" t="s">
        <v>174</v>
      </c>
      <c r="B13" s="98">
        <v>5.238955924454268E-2</v>
      </c>
      <c r="C13" s="98">
        <v>4.8540140605169264E-2</v>
      </c>
      <c r="D13" s="98">
        <v>3.571390576032539E-2</v>
      </c>
      <c r="E13" s="98">
        <v>4.6039458037214494E-2</v>
      </c>
      <c r="F13" s="98">
        <v>5.0635456428762118E-2</v>
      </c>
      <c r="G13" s="98">
        <v>0.11331809887068335</v>
      </c>
      <c r="H13" s="98">
        <v>6.2584685585204844E-2</v>
      </c>
      <c r="I13" s="98">
        <v>3.5363345987446761E-2</v>
      </c>
      <c r="J13" s="98">
        <v>2.0485002373640804E-2</v>
      </c>
      <c r="K13" s="98">
        <v>4.8912862043940051E-3</v>
      </c>
      <c r="L13" s="98">
        <v>1.33014221050263E-2</v>
      </c>
      <c r="M13" s="98">
        <v>6.4003731962103821E-3</v>
      </c>
      <c r="N13" s="98">
        <v>6.9321943037926352E-3</v>
      </c>
      <c r="O13" s="98">
        <v>6.9393985309761748E-3</v>
      </c>
      <c r="P13" s="98">
        <v>7.0271561509113144E-3</v>
      </c>
      <c r="Q13" s="98">
        <v>7.7552416239925212E-3</v>
      </c>
      <c r="R13" s="98">
        <v>4.7285660321778902E-2</v>
      </c>
      <c r="S13" s="98">
        <v>1.9608965263522685E-2</v>
      </c>
      <c r="T13" s="98">
        <v>1.0868487743393728E-2</v>
      </c>
      <c r="U13" s="98">
        <v>3.1031979884105217E-2</v>
      </c>
      <c r="V13" s="98">
        <v>3.0475177391606392E-2</v>
      </c>
      <c r="W13" s="98">
        <v>9.6780723525340492E-2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236.29005375577438</v>
      </c>
      <c r="C17" s="62">
        <f>IF(C3=0,0,C3/TrAvia_act!C13*100)</f>
        <v>235.77447078619107</v>
      </c>
      <c r="D17" s="62">
        <f>IF(D3=0,0,D3/TrAvia_act!D13*100)</f>
        <v>250.12454511562575</v>
      </c>
      <c r="E17" s="62">
        <f>IF(E3=0,0,E3/TrAvia_act!E13*100)</f>
        <v>289.05506667281571</v>
      </c>
      <c r="F17" s="62">
        <f>IF(F3=0,0,F3/TrAvia_act!F13*100)</f>
        <v>351.88110449540983</v>
      </c>
      <c r="G17" s="62">
        <f>IF(G3=0,0,G3/TrAvia_act!G13*100)</f>
        <v>405.01617957318643</v>
      </c>
      <c r="H17" s="62">
        <f>IF(H3=0,0,H3/TrAvia_act!H13*100)</f>
        <v>418.62026448379748</v>
      </c>
      <c r="I17" s="62">
        <f>IF(I3=0,0,I3/TrAvia_act!I13*100)</f>
        <v>424.41913605072318</v>
      </c>
      <c r="J17" s="62">
        <f>IF(J3=0,0,J3/TrAvia_act!J13*100)</f>
        <v>443.896869220295</v>
      </c>
      <c r="K17" s="62">
        <f>IF(K3=0,0,K3/TrAvia_act!K13*100)</f>
        <v>380.08631886417595</v>
      </c>
      <c r="L17" s="62">
        <f>IF(L3=0,0,L3/TrAvia_act!L13*100)</f>
        <v>300.23565401851948</v>
      </c>
      <c r="M17" s="62">
        <f>IF(M3=0,0,M3/TrAvia_act!M13*100)</f>
        <v>333.68225517527634</v>
      </c>
      <c r="N17" s="62">
        <f>IF(N3=0,0,N3/TrAvia_act!N13*100)</f>
        <v>327.05048472152407</v>
      </c>
      <c r="O17" s="62">
        <f>IF(O3=0,0,O3/TrAvia_act!O13*100)</f>
        <v>400.89174696259215</v>
      </c>
      <c r="P17" s="62">
        <f>IF(P3=0,0,P3/TrAvia_act!P13*100)</f>
        <v>378.07081495013233</v>
      </c>
      <c r="Q17" s="62">
        <f>IF(Q3=0,0,Q3/TrAvia_act!Q13*100)</f>
        <v>330.74990652956478</v>
      </c>
      <c r="R17" s="62">
        <f>IF(R3=0,0,R3/TrAvia_act!R13*100)</f>
        <v>312.40823272501314</v>
      </c>
      <c r="S17" s="62">
        <f>IF(S3=0,0,S3/TrAvia_act!S13*100)</f>
        <v>354.48458064938973</v>
      </c>
      <c r="T17" s="62">
        <f>IF(T3=0,0,T3/TrAvia_act!T13*100)</f>
        <v>366.79298150401075</v>
      </c>
      <c r="U17" s="62">
        <f>IF(U3=0,0,U3/TrAvia_act!U13*100)</f>
        <v>375.25843846924209</v>
      </c>
      <c r="V17" s="62">
        <f>IF(V3=0,0,V3/TrAvia_act!V13*100)</f>
        <v>414.07282567675514</v>
      </c>
      <c r="W17" s="62">
        <f>IF(W3=0,0,W3/TrAvia_act!W13*100)</f>
        <v>462.24650593342949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235.87049865755557</v>
      </c>
      <c r="C18" s="14">
        <f>IF(C6=0,0,C6/TrAvia_act!C14*100)</f>
        <v>235.33742327265256</v>
      </c>
      <c r="D18" s="14">
        <f>IF(D6=0,0,D6/TrAvia_act!D14*100)</f>
        <v>249.51453297480549</v>
      </c>
      <c r="E18" s="14">
        <f>IF(E6=0,0,E6/TrAvia_act!E14*100)</f>
        <v>288.23619848511703</v>
      </c>
      <c r="F18" s="14">
        <f>IF(F6=0,0,F6/TrAvia_act!F14*100)</f>
        <v>350.87273307921492</v>
      </c>
      <c r="G18" s="14">
        <f>IF(G6=0,0,G6/TrAvia_act!G14*100)</f>
        <v>404.64686187136067</v>
      </c>
      <c r="H18" s="14">
        <f>IF(H6=0,0,H6/TrAvia_act!H14*100)</f>
        <v>418.08342347974803</v>
      </c>
      <c r="I18" s="14">
        <f>IF(I6=0,0,I6/TrAvia_act!I14*100)</f>
        <v>423.65906152149819</v>
      </c>
      <c r="J18" s="14">
        <f>IF(J6=0,0,J6/TrAvia_act!J14*100)</f>
        <v>442.83159866468873</v>
      </c>
      <c r="K18" s="14">
        <f>IF(K6=0,0,K6/TrAvia_act!K14*100)</f>
        <v>379.19294739730526</v>
      </c>
      <c r="L18" s="14">
        <f>IF(L6=0,0,L6/TrAvia_act!L14*100)</f>
        <v>299.67737569384758</v>
      </c>
      <c r="M18" s="14">
        <f>IF(M6=0,0,M6/TrAvia_act!M14*100)</f>
        <v>333.21107343482504</v>
      </c>
      <c r="N18" s="14">
        <f>IF(N6=0,0,N6/TrAvia_act!N14*100)</f>
        <v>326.23528782469486</v>
      </c>
      <c r="O18" s="14">
        <f>IF(O6=0,0,O6/TrAvia_act!O14*100)</f>
        <v>400.04857366939149</v>
      </c>
      <c r="P18" s="14">
        <f>IF(P6=0,0,P6/TrAvia_act!P14*100)</f>
        <v>377.49340608212208</v>
      </c>
      <c r="Q18" s="14">
        <f>IF(Q6=0,0,Q6/TrAvia_act!Q14*100)</f>
        <v>330.3067208003647</v>
      </c>
      <c r="R18" s="14">
        <f>IF(R6=0,0,R6/TrAvia_act!R14*100)</f>
        <v>312.58728542114136</v>
      </c>
      <c r="S18" s="14">
        <f>IF(S6=0,0,S6/TrAvia_act!S14*100)</f>
        <v>354.41507990198943</v>
      </c>
      <c r="T18" s="14">
        <f>IF(T6=0,0,T6/TrAvia_act!T14*100)</f>
        <v>366.98629888554302</v>
      </c>
      <c r="U18" s="14">
        <f>IF(U6=0,0,U6/TrAvia_act!U14*100)</f>
        <v>375.47061264331188</v>
      </c>
      <c r="V18" s="14">
        <f>IF(V6=0,0,V6/TrAvia_act!V14*100)</f>
        <v>414.01816604051487</v>
      </c>
      <c r="W18" s="14">
        <f>IF(W6=0,0,W6/TrAvia_act!W14*100)</f>
        <v>460.15135102000733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247.08903441630449</v>
      </c>
      <c r="C20" s="87">
        <f>IF(C8=0,0,C8/TrAvia_act!C16*100)</f>
        <v>246.53883171435274</v>
      </c>
      <c r="D20" s="87">
        <f>IF(D8=0,0,D8/TrAvia_act!D16*100)</f>
        <v>262.16575055627652</v>
      </c>
      <c r="E20" s="87">
        <f>IF(E8=0,0,E8/TrAvia_act!E16*100)</f>
        <v>305.42054666686528</v>
      </c>
      <c r="F20" s="87">
        <f>IF(F8=0,0,F8/TrAvia_act!F16*100)</f>
        <v>377.08117046508391</v>
      </c>
      <c r="G20" s="87">
        <f>IF(G8=0,0,G8/TrAvia_act!G16*100)</f>
        <v>435.2976557566526</v>
      </c>
      <c r="H20" s="87">
        <f>IF(H8=0,0,H8/TrAvia_act!H16*100)</f>
        <v>451.52307235551746</v>
      </c>
      <c r="I20" s="87">
        <f>IF(I8=0,0,I8/TrAvia_act!I16*100)</f>
        <v>456.45146854419647</v>
      </c>
      <c r="J20" s="87">
        <f>IF(J8=0,0,J8/TrAvia_act!J16*100)</f>
        <v>494.81747965823183</v>
      </c>
      <c r="K20" s="87">
        <f>IF(K8=0,0,K8/TrAvia_act!K16*100)</f>
        <v>439.12913138429809</v>
      </c>
      <c r="L20" s="87">
        <f>IF(L8=0,0,L8/TrAvia_act!L16*100)</f>
        <v>373.12351337741489</v>
      </c>
      <c r="M20" s="87">
        <f>IF(M8=0,0,M8/TrAvia_act!M16*100)</f>
        <v>392.32174289638539</v>
      </c>
      <c r="N20" s="87">
        <f>IF(N8=0,0,N8/TrAvia_act!N16*100)</f>
        <v>438.79113404466113</v>
      </c>
      <c r="O20" s="87">
        <f>IF(O8=0,0,O8/TrAvia_act!O16*100)</f>
        <v>468.22750702408371</v>
      </c>
      <c r="P20" s="87">
        <f>IF(P8=0,0,P8/TrAvia_act!P16*100)</f>
        <v>434.49575396483249</v>
      </c>
      <c r="Q20" s="87">
        <f>IF(Q8=0,0,Q8/TrAvia_act!Q16*100)</f>
        <v>391.36050131777432</v>
      </c>
      <c r="R20" s="87">
        <f>IF(R8=0,0,R8/TrAvia_act!R16*100)</f>
        <v>331.7799003557534</v>
      </c>
      <c r="S20" s="87">
        <f>IF(S8=0,0,S8/TrAvia_act!S16*100)</f>
        <v>389.41027843523256</v>
      </c>
      <c r="T20" s="87">
        <f>IF(T8=0,0,T8/TrAvia_act!T16*100)</f>
        <v>416.54965174668666</v>
      </c>
      <c r="U20" s="87">
        <f>IF(U8=0,0,U8/TrAvia_act!U16*100)</f>
        <v>441.31630334541165</v>
      </c>
      <c r="V20" s="87">
        <f>IF(V8=0,0,V8/TrAvia_act!V16*100)</f>
        <v>438.42604947824321</v>
      </c>
      <c r="W20" s="87">
        <f>IF(W8=0,0,W8/TrAvia_act!W16*100)</f>
        <v>611.00189111066118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153.46134371421019</v>
      </c>
      <c r="C21" s="87">
        <f>IF(C9=0,0,C9/TrAvia_act!C17*100)</f>
        <v>153.12283639754909</v>
      </c>
      <c r="D21" s="87">
        <f>IF(D9=0,0,D9/TrAvia_act!D17*100)</f>
        <v>162.73356041868564</v>
      </c>
      <c r="E21" s="87">
        <f>IF(E9=0,0,E9/TrAvia_act!E17*100)</f>
        <v>188.80456477597244</v>
      </c>
      <c r="F21" s="87">
        <f>IF(F9=0,0,F9/TrAvia_act!F17*100)</f>
        <v>230.72492164191144</v>
      </c>
      <c r="G21" s="87">
        <f>IF(G9=0,0,G9/TrAvia_act!G17*100)</f>
        <v>252.07827652498031</v>
      </c>
      <c r="H21" s="87">
        <f>IF(H9=0,0,H9/TrAvia_act!H17*100)</f>
        <v>252.04428168368503</v>
      </c>
      <c r="I21" s="87">
        <f>IF(I9=0,0,I9/TrAvia_act!I17*100)</f>
        <v>255.86882695893308</v>
      </c>
      <c r="J21" s="87">
        <f>IF(J9=0,0,J9/TrAvia_act!J17*100)</f>
        <v>231.60620718320914</v>
      </c>
      <c r="K21" s="87">
        <f>IF(K9=0,0,K9/TrAvia_act!K17*100)</f>
        <v>187.90119036750974</v>
      </c>
      <c r="L21" s="87">
        <f>IF(L9=0,0,L9/TrAvia_act!L17*100)</f>
        <v>122.03659095831152</v>
      </c>
      <c r="M21" s="87">
        <f>IF(M9=0,0,M9/TrAvia_act!M17*100)</f>
        <v>141.07697174483846</v>
      </c>
      <c r="N21" s="87">
        <f>IF(N9=0,0,N9/TrAvia_act!N17*100)</f>
        <v>105.67311506909461</v>
      </c>
      <c r="O21" s="87">
        <f>IF(O9=0,0,O9/TrAvia_act!O17*100)</f>
        <v>190.32317170428348</v>
      </c>
      <c r="P21" s="87">
        <f>IF(P9=0,0,P9/TrAvia_act!P17*100)</f>
        <v>188.82649719914224</v>
      </c>
      <c r="Q21" s="87">
        <f>IF(Q9=0,0,Q9/TrAvia_act!Q17*100)</f>
        <v>150.81673581044865</v>
      </c>
      <c r="R21" s="87">
        <f>IF(R9=0,0,R9/TrAvia_act!R17*100)</f>
        <v>215.06913652290041</v>
      </c>
      <c r="S21" s="87">
        <f>IF(S9=0,0,S9/TrAvia_act!S17*100)</f>
        <v>204.68654419798872</v>
      </c>
      <c r="T21" s="87">
        <f>IF(T9=0,0,T9/TrAvia_act!T17*100)</f>
        <v>182.37621240075552</v>
      </c>
      <c r="U21" s="87">
        <f>IF(U9=0,0,U9/TrAvia_act!U17*100)</f>
        <v>168.18967331345632</v>
      </c>
      <c r="V21" s="87">
        <f>IF(V9=0,0,V9/TrAvia_act!V17*100)</f>
        <v>307.36342481507381</v>
      </c>
      <c r="W21" s="87">
        <f>IF(W9=0,0,W9/TrAvia_act!W17*100)</f>
        <v>167.00989590884708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272.16078016052813</v>
      </c>
      <c r="C22" s="15">
        <f>IF(C10=0,0,C10/TrAvia_act!C18*100)</f>
        <v>269.67040280383793</v>
      </c>
      <c r="D22" s="15">
        <f>IF(D10=0,0,D10/TrAvia_act!D18*100)</f>
        <v>308.94546726301888</v>
      </c>
      <c r="E22" s="15">
        <f>IF(E10=0,0,E10/TrAvia_act!E18*100)</f>
        <v>367.47011822693526</v>
      </c>
      <c r="F22" s="15">
        <f>IF(F10=0,0,F10/TrAvia_act!F18*100)</f>
        <v>473.58432186976722</v>
      </c>
      <c r="G22" s="15">
        <f>IF(G10=0,0,G10/TrAvia_act!G18*100)</f>
        <v>447.08648718209389</v>
      </c>
      <c r="H22" s="15">
        <f>IF(H10=0,0,H10/TrAvia_act!H18*100)</f>
        <v>487.87439013572242</v>
      </c>
      <c r="I22" s="15">
        <f>IF(I10=0,0,I10/TrAvia_act!I18*100)</f>
        <v>535.00169180759247</v>
      </c>
      <c r="J22" s="15">
        <f>IF(J10=0,0,J10/TrAvia_act!J18*100)</f>
        <v>608.20397582098428</v>
      </c>
      <c r="K22" s="15">
        <f>IF(K10=0,0,K10/TrAvia_act!K18*100)</f>
        <v>504.23237181578645</v>
      </c>
      <c r="L22" s="15">
        <f>IF(L10=0,0,L10/TrAvia_act!L18*100)</f>
        <v>358.3889140160814</v>
      </c>
      <c r="M22" s="15">
        <f>IF(M10=0,0,M10/TrAvia_act!M18*100)</f>
        <v>394.5769606702392</v>
      </c>
      <c r="N22" s="15">
        <f>IF(N10=0,0,N10/TrAvia_act!N18*100)</f>
        <v>441.2542653751886</v>
      </c>
      <c r="O22" s="15">
        <f>IF(O10=0,0,O10/TrAvia_act!O18*100)</f>
        <v>476.20287041273286</v>
      </c>
      <c r="P22" s="15">
        <f>IF(P10=0,0,P10/TrAvia_act!P18*100)</f>
        <v>428.5785090368426</v>
      </c>
      <c r="Q22" s="15">
        <f>IF(Q10=0,0,Q10/TrAvia_act!Q18*100)</f>
        <v>372.49497976279378</v>
      </c>
      <c r="R22" s="15">
        <f>IF(R10=0,0,R10/TrAvia_act!R18*100)</f>
        <v>298.17503353587085</v>
      </c>
      <c r="S22" s="15">
        <f>IF(S10=0,0,S10/TrAvia_act!S18*100)</f>
        <v>360.77218218590025</v>
      </c>
      <c r="T22" s="15">
        <f>IF(T10=0,0,T10/TrAvia_act!T18*100)</f>
        <v>348.64425198411482</v>
      </c>
      <c r="U22" s="15">
        <f>IF(U10=0,0,U10/TrAvia_act!U18*100)</f>
        <v>356.99384746795329</v>
      </c>
      <c r="V22" s="15">
        <f>IF(V10=0,0,V10/TrAvia_act!V18*100)</f>
        <v>415.87384581968587</v>
      </c>
      <c r="W22" s="15">
        <f>IF(W10=0,0,W10/TrAvia_act!W18*100)</f>
        <v>530.4690515214977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358.71863072296333</v>
      </c>
      <c r="C24" s="101">
        <f>IF(C12=0,0,C12/TrAvia_act!C20*100)</f>
        <v>357.38441685193033</v>
      </c>
      <c r="D24" s="101">
        <f>IF(D12=0,0,D12/TrAvia_act!D20*100)</f>
        <v>394.99851318188115</v>
      </c>
      <c r="E24" s="101">
        <f>IF(E12=0,0,E12/TrAvia_act!E20*100)</f>
        <v>488.38189878654913</v>
      </c>
      <c r="F24" s="101">
        <f>IF(F12=0,0,F12/TrAvia_act!F20*100)</f>
        <v>609.60688669397678</v>
      </c>
      <c r="G24" s="101">
        <f>IF(G12=0,0,G12/TrAvia_act!G20*100)</f>
        <v>650.40706205048093</v>
      </c>
      <c r="H24" s="101">
        <f>IF(H12=0,0,H12/TrAvia_act!H20*100)</f>
        <v>614.56918174370253</v>
      </c>
      <c r="I24" s="101">
        <f>IF(I12=0,0,I12/TrAvia_act!I20*100)</f>
        <v>609.1081069162027</v>
      </c>
      <c r="J24" s="101">
        <f>IF(J12=0,0,J12/TrAvia_act!J20*100)</f>
        <v>666.2596514767497</v>
      </c>
      <c r="K24" s="101">
        <f>IF(K12=0,0,K12/TrAvia_act!K20*100)</f>
        <v>522.46605697771133</v>
      </c>
      <c r="L24" s="101">
        <f>IF(L12=0,0,L12/TrAvia_act!L20*100)</f>
        <v>406.54101443455392</v>
      </c>
      <c r="M24" s="101">
        <f>IF(M12=0,0,M12/TrAvia_act!M20*100)</f>
        <v>413.34261110737918</v>
      </c>
      <c r="N24" s="101">
        <f>IF(N12=0,0,N12/TrAvia_act!N20*100)</f>
        <v>468.47698946549554</v>
      </c>
      <c r="O24" s="101">
        <f>IF(O12=0,0,O12/TrAvia_act!O20*100)</f>
        <v>489.60661509872284</v>
      </c>
      <c r="P24" s="101">
        <f>IF(P12=0,0,P12/TrAvia_act!P20*100)</f>
        <v>439.34402617645372</v>
      </c>
      <c r="Q24" s="101">
        <f>IF(Q12=0,0,Q12/TrAvia_act!Q20*100)</f>
        <v>384.95342320932593</v>
      </c>
      <c r="R24" s="101">
        <f>IF(R12=0,0,R12/TrAvia_act!R20*100)</f>
        <v>324.29889679977725</v>
      </c>
      <c r="S24" s="101">
        <f>IF(S12=0,0,S12/TrAvia_act!S20*100)</f>
        <v>374.54819625022265</v>
      </c>
      <c r="T24" s="101">
        <f>IF(T12=0,0,T12/TrAvia_act!T20*100)</f>
        <v>356.53642214546068</v>
      </c>
      <c r="U24" s="101">
        <f>IF(U12=0,0,U12/TrAvia_act!U20*100)</f>
        <v>364.32601283050377</v>
      </c>
      <c r="V24" s="101">
        <f>IF(V12=0,0,V12/TrAvia_act!V20*100)</f>
        <v>414.43704573046762</v>
      </c>
      <c r="W24" s="101">
        <f>IF(W12=0,0,W12/TrAvia_act!W20*100)</f>
        <v>572.15150309716671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134.83273692029255</v>
      </c>
      <c r="C25" s="88">
        <f>IF(C13=0,0,C13/TrAvia_act!C21*100)</f>
        <v>134.53532086183574</v>
      </c>
      <c r="D25" s="88">
        <f>IF(D13=0,0,D13/TrAvia_act!D21*100)</f>
        <v>142.97940320982218</v>
      </c>
      <c r="E25" s="88">
        <f>IF(E13=0,0,E13/TrAvia_act!E21*100)</f>
        <v>165.88565951303963</v>
      </c>
      <c r="F25" s="88">
        <f>IF(F13=0,0,F13/TrAvia_act!F21*100)</f>
        <v>202.71732221134133</v>
      </c>
      <c r="G25" s="88">
        <f>IF(G13=0,0,G13/TrAvia_act!G21*100)</f>
        <v>220.08182248047885</v>
      </c>
      <c r="H25" s="88">
        <f>IF(H13=0,0,H13/TrAvia_act!H21*100)</f>
        <v>209.6964557400251</v>
      </c>
      <c r="I25" s="88">
        <f>IF(I13=0,0,I13/TrAvia_act!I21*100)</f>
        <v>203.5626357963805</v>
      </c>
      <c r="J25" s="88">
        <f>IF(J13=0,0,J13/TrAvia_act!J21*100)</f>
        <v>176.34890714911489</v>
      </c>
      <c r="K25" s="88">
        <f>IF(K13=0,0,K13/TrAvia_act!K21*100)</f>
        <v>146.3467741164562</v>
      </c>
      <c r="L25" s="88">
        <f>IF(L13=0,0,L13/TrAvia_act!L21*100)</f>
        <v>83.700640800478624</v>
      </c>
      <c r="M25" s="88">
        <f>IF(M13=0,0,M13/TrAvia_act!M21*100)</f>
        <v>101.76160722688836</v>
      </c>
      <c r="N25" s="88">
        <f>IF(N13=0,0,N13/TrAvia_act!N21*100)</f>
        <v>77.021876376783965</v>
      </c>
      <c r="O25" s="88">
        <f>IF(O13=0,0,O13/TrAvia_act!O21*100)</f>
        <v>138.23943829656028</v>
      </c>
      <c r="P25" s="88">
        <f>IF(P13=0,0,P13/TrAvia_act!P21*100)</f>
        <v>138.01479779171629</v>
      </c>
      <c r="Q25" s="88">
        <f>IF(Q13=0,0,Q13/TrAvia_act!Q21*100)</f>
        <v>108.42981574605997</v>
      </c>
      <c r="R25" s="88">
        <f>IF(R13=0,0,R13/TrAvia_act!R21*100)</f>
        <v>161.58409881091316</v>
      </c>
      <c r="S25" s="88">
        <f>IF(S13=0,0,S13/TrAvia_act!S21*100)</f>
        <v>163.37843388582269</v>
      </c>
      <c r="T25" s="88">
        <f>IF(T13=0,0,T13/TrAvia_act!T21*100)</f>
        <v>145.63224871416958</v>
      </c>
      <c r="U25" s="88">
        <f>IF(U13=0,0,U13/TrAvia_act!U21*100)</f>
        <v>243.6747537032212</v>
      </c>
      <c r="V25" s="88">
        <f>IF(V13=0,0,V13/TrAvia_act!V21*100)</f>
        <v>450.71879478588073</v>
      </c>
      <c r="W25" s="88">
        <f>IF(W13=0,0,W13/TrAvia_act!W21*100)</f>
        <v>260.68190468226391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39.207892017768806</v>
      </c>
      <c r="C28" s="14">
        <f>IF(C6=0,0,C6/TrAvia_act!C4*1000)</f>
        <v>38.146352033665025</v>
      </c>
      <c r="D28" s="14">
        <f>IF(D6=0,0,D6/TrAvia_act!D4*1000)</f>
        <v>38.360477292018665</v>
      </c>
      <c r="E28" s="14">
        <f>IF(E6=0,0,E6/TrAvia_act!E4*1000)</f>
        <v>38.123264937166766</v>
      </c>
      <c r="F28" s="14">
        <f>IF(F6=0,0,F6/TrAvia_act!F4*1000)</f>
        <v>42.535789876997583</v>
      </c>
      <c r="G28" s="14">
        <f>IF(G6=0,0,G6/TrAvia_act!G4*1000)</f>
        <v>44.650081100140845</v>
      </c>
      <c r="H28" s="14">
        <f>IF(H6=0,0,H6/TrAvia_act!H4*1000)</f>
        <v>44.674331928054485</v>
      </c>
      <c r="I28" s="14">
        <f>IF(I6=0,0,I6/TrAvia_act!I4*1000)</f>
        <v>48.355067407495795</v>
      </c>
      <c r="J28" s="14">
        <f>IF(J6=0,0,J6/TrAvia_act!J4*1000)</f>
        <v>54.488480651356745</v>
      </c>
      <c r="K28" s="14">
        <f>IF(K6=0,0,K6/TrAvia_act!K4*1000)</f>
        <v>47.123767806521222</v>
      </c>
      <c r="L28" s="14">
        <f>IF(L6=0,0,L6/TrAvia_act!L4*1000)</f>
        <v>38.288299516319576</v>
      </c>
      <c r="M28" s="14">
        <f>IF(M6=0,0,M6/TrAvia_act!M4*1000)</f>
        <v>38.716882075199671</v>
      </c>
      <c r="N28" s="14">
        <f>IF(N6=0,0,N6/TrAvia_act!N4*1000)</f>
        <v>43.135929327136424</v>
      </c>
      <c r="O28" s="14">
        <f>IF(O6=0,0,O6/TrAvia_act!O4*1000)</f>
        <v>42.941610705141443</v>
      </c>
      <c r="P28" s="14">
        <f>IF(P6=0,0,P6/TrAvia_act!P4*1000)</f>
        <v>40.881627340013864</v>
      </c>
      <c r="Q28" s="14">
        <f>IF(Q6=0,0,Q6/TrAvia_act!Q4*1000)</f>
        <v>37.299541420709843</v>
      </c>
      <c r="R28" s="14">
        <f>IF(R6=0,0,R6/TrAvia_act!R4*1000)</f>
        <v>34.237777952207999</v>
      </c>
      <c r="S28" s="14">
        <f>IF(S6=0,0,S6/TrAvia_act!S4*1000)</f>
        <v>38.715092184210263</v>
      </c>
      <c r="T28" s="14">
        <f>IF(T6=0,0,T6/TrAvia_act!T4*1000)</f>
        <v>38.686361697706538</v>
      </c>
      <c r="U28" s="14">
        <f>IF(U6=0,0,U6/TrAvia_act!U4*1000)</f>
        <v>33.879709353521946</v>
      </c>
      <c r="V28" s="14">
        <f>IF(V6=0,0,V6/TrAvia_act!V4*1000)</f>
        <v>46.279069785037841</v>
      </c>
      <c r="W28" s="14">
        <f>IF(W6=0,0,W6/TrAvia_act!W4*1000)</f>
        <v>39.932952016208127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42.316857232921954</v>
      </c>
      <c r="C30" s="87">
        <f>IF(C8=0,0,C8/TrAvia_act!C6*1000)</f>
        <v>41.039759053439312</v>
      </c>
      <c r="D30" s="87">
        <f>IF(D8=0,0,D8/TrAvia_act!D6*1000)</f>
        <v>41.740566019614874</v>
      </c>
      <c r="E30" s="87">
        <f>IF(E8=0,0,E8/TrAvia_act!E6*1000)</f>
        <v>41.257097172822895</v>
      </c>
      <c r="F30" s="87">
        <f>IF(F8=0,0,F8/TrAvia_act!F6*1000)</f>
        <v>46.224903214247384</v>
      </c>
      <c r="G30" s="87">
        <f>IF(G8=0,0,G8/TrAvia_act!G6*1000)</f>
        <v>48.691060436675997</v>
      </c>
      <c r="H30" s="87">
        <f>IF(H8=0,0,H8/TrAvia_act!H6*1000)</f>
        <v>48.729203045286511</v>
      </c>
      <c r="I30" s="87">
        <f>IF(I8=0,0,I8/TrAvia_act!I6*1000)</f>
        <v>55.268452777080412</v>
      </c>
      <c r="J30" s="87">
        <f>IF(J8=0,0,J8/TrAvia_act!J6*1000)</f>
        <v>65.917948774793047</v>
      </c>
      <c r="K30" s="87">
        <f>IF(K8=0,0,K8/TrAvia_act!K6*1000)</f>
        <v>57.447943083059101</v>
      </c>
      <c r="L30" s="87">
        <f>IF(L8=0,0,L8/TrAvia_act!L6*1000)</f>
        <v>48.840527333268142</v>
      </c>
      <c r="M30" s="87">
        <f>IF(M8=0,0,M8/TrAvia_act!M6*1000)</f>
        <v>43.825829909272322</v>
      </c>
      <c r="N30" s="87">
        <f>IF(N8=0,0,N8/TrAvia_act!N6*1000)</f>
        <v>52.983929030488127</v>
      </c>
      <c r="O30" s="87">
        <f>IF(O8=0,0,O8/TrAvia_act!O6*1000)</f>
        <v>48.597593189059609</v>
      </c>
      <c r="P30" s="87">
        <f>IF(P8=0,0,P8/TrAvia_act!P6*1000)</f>
        <v>46.585821767334259</v>
      </c>
      <c r="Q30" s="87">
        <f>IF(Q8=0,0,Q8/TrAvia_act!Q6*1000)</f>
        <v>44.321438974996681</v>
      </c>
      <c r="R30" s="87">
        <f>IF(R8=0,0,R8/TrAvia_act!R6*1000)</f>
        <v>37.696870158632088</v>
      </c>
      <c r="S30" s="87">
        <f>IF(S8=0,0,S8/TrAvia_act!S6*1000)</f>
        <v>43.06315018502</v>
      </c>
      <c r="T30" s="87">
        <f>IF(T8=0,0,T8/TrAvia_act!T6*1000)</f>
        <v>44.364028085799347</v>
      </c>
      <c r="U30" s="87">
        <f>IF(U8=0,0,U8/TrAvia_act!U6*1000)</f>
        <v>41.577093376080462</v>
      </c>
      <c r="V30" s="87">
        <f>IF(V8=0,0,V8/TrAvia_act!V6*1000)</f>
        <v>51.998444000543948</v>
      </c>
      <c r="W30" s="87">
        <f>IF(W8=0,0,W8/TrAvia_act!W6*1000)</f>
        <v>59.318647202061086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20.978534492038616</v>
      </c>
      <c r="C31" s="87">
        <f>IF(C9=0,0,C9/TrAvia_act!C7*1000)</f>
        <v>20.809113569195109</v>
      </c>
      <c r="D31" s="87">
        <f>IF(D9=0,0,D9/TrAvia_act!D7*1000)</f>
        <v>20.244366367874768</v>
      </c>
      <c r="E31" s="87">
        <f>IF(E9=0,0,E9/TrAvia_act!E7*1000)</f>
        <v>22.281602191412912</v>
      </c>
      <c r="F31" s="87">
        <f>IF(F9=0,0,F9/TrAvia_act!F7*1000)</f>
        <v>26.619061555015513</v>
      </c>
      <c r="G31" s="87">
        <f>IF(G9=0,0,G9/TrAvia_act!G7*1000)</f>
        <v>26.059879512418163</v>
      </c>
      <c r="H31" s="87">
        <f>IF(H9=0,0,H9/TrAvia_act!H7*1000)</f>
        <v>25.672190582062246</v>
      </c>
      <c r="I31" s="87">
        <f>IF(I9=0,0,I9/TrAvia_act!I7*1000)</f>
        <v>22.577001294166525</v>
      </c>
      <c r="J31" s="87">
        <f>IF(J9=0,0,J9/TrAvia_act!J7*1000)</f>
        <v>21.750643016075063</v>
      </c>
      <c r="K31" s="87">
        <f>IF(K9=0,0,K9/TrAvia_act!K7*1000)</f>
        <v>20.134486276505307</v>
      </c>
      <c r="L31" s="87">
        <f>IF(L9=0,0,L9/TrAvia_act!L7*1000)</f>
        <v>14.73920641268777</v>
      </c>
      <c r="M31" s="87">
        <f>IF(M9=0,0,M9/TrAvia_act!M7*1000)</f>
        <v>18.852053800155531</v>
      </c>
      <c r="N31" s="87">
        <f>IF(N9=0,0,N9/TrAvia_act!N7*1000)</f>
        <v>17.169366989319855</v>
      </c>
      <c r="O31" s="87">
        <f>IF(O9=0,0,O9/TrAvia_act!O7*1000)</f>
        <v>22.832007949222106</v>
      </c>
      <c r="P31" s="87">
        <f>IF(P9=0,0,P9/TrAvia_act!P7*1000)</f>
        <v>21.154380930428072</v>
      </c>
      <c r="Q31" s="87">
        <f>IF(Q9=0,0,Q9/TrAvia_act!Q7*1000)</f>
        <v>16.888038952490938</v>
      </c>
      <c r="R31" s="87">
        <f>IF(R9=0,0,R9/TrAvia_act!R7*1000)</f>
        <v>19.914363569342889</v>
      </c>
      <c r="S31" s="87">
        <f>IF(S9=0,0,S9/TrAvia_act!S7*1000)</f>
        <v>21.25018062862404</v>
      </c>
      <c r="T31" s="87">
        <f>IF(T9=0,0,T9/TrAvia_act!T7*1000)</f>
        <v>18.521207934069576</v>
      </c>
      <c r="U31" s="87">
        <f>IF(U9=0,0,U9/TrAvia_act!U7*1000)</f>
        <v>13.39528726795047</v>
      </c>
      <c r="V31" s="87">
        <f>IF(V9=0,0,V9/TrAvia_act!V7*1000)</f>
        <v>27.456020874930388</v>
      </c>
      <c r="W31" s="87">
        <f>IF(W9=0,0,W9/TrAvia_act!W7*1000)</f>
        <v>12.015752801523657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71.640420366263001</v>
      </c>
      <c r="C32" s="15">
        <f>IF(C10=0,0,C10/TrAvia_act!C8*1000)</f>
        <v>66.20853025842213</v>
      </c>
      <c r="D32" s="15">
        <f>IF(D10=0,0,D10/TrAvia_act!D8*1000)</f>
        <v>83.892374038697056</v>
      </c>
      <c r="E32" s="15">
        <f>IF(E10=0,0,E10/TrAvia_act!E8*1000)</f>
        <v>98.923801054602038</v>
      </c>
      <c r="F32" s="15">
        <f>IF(F10=0,0,F10/TrAvia_act!F8*1000)</f>
        <v>139.56811930484147</v>
      </c>
      <c r="G32" s="15">
        <f>IF(G10=0,0,G10/TrAvia_act!G8*1000)</f>
        <v>121.4807811538398</v>
      </c>
      <c r="H32" s="15">
        <f>IF(H10=0,0,H10/TrAvia_act!H8*1000)</f>
        <v>165.16771236245796</v>
      </c>
      <c r="I32" s="15">
        <f>IF(I10=0,0,I10/TrAvia_act!I8*1000)</f>
        <v>213.42254802537843</v>
      </c>
      <c r="J32" s="15">
        <f>IF(J10=0,0,J10/TrAvia_act!J8*1000)</f>
        <v>268.48328881794959</v>
      </c>
      <c r="K32" s="15">
        <f>IF(K10=0,0,K10/TrAvia_act!K8*1000)</f>
        <v>236.5388231453245</v>
      </c>
      <c r="L32" s="15">
        <f>IF(L10=0,0,L10/TrAvia_act!L8*1000)</f>
        <v>135.41451279360879</v>
      </c>
      <c r="M32" s="15">
        <f>IF(M10=0,0,M10/TrAvia_act!M8*1000)</f>
        <v>156.74951803098659</v>
      </c>
      <c r="N32" s="15">
        <f>IF(N10=0,0,N10/TrAvia_act!N8*1000)</f>
        <v>153.02604778359211</v>
      </c>
      <c r="O32" s="15">
        <f>IF(O10=0,0,O10/TrAvia_act!O8*1000)</f>
        <v>178.19262346990436</v>
      </c>
      <c r="P32" s="15">
        <f>IF(P10=0,0,P10/TrAvia_act!P8*1000)</f>
        <v>141.12647927955825</v>
      </c>
      <c r="Q32" s="15">
        <f>IF(Q10=0,0,Q10/TrAvia_act!Q8*1000)</f>
        <v>121.87706159867336</v>
      </c>
      <c r="R32" s="15">
        <f>IF(R10=0,0,R10/TrAvia_act!R8*1000)</f>
        <v>70.587402998002929</v>
      </c>
      <c r="S32" s="15">
        <f>IF(S10=0,0,S10/TrAvia_act!S8*1000)</f>
        <v>112.8361896877001</v>
      </c>
      <c r="T32" s="15">
        <f>IF(T10=0,0,T10/TrAvia_act!T8*1000)</f>
        <v>110.75290618893165</v>
      </c>
      <c r="U32" s="15">
        <f>IF(U10=0,0,U10/TrAvia_act!U8*1000)</f>
        <v>100.91176263157413</v>
      </c>
      <c r="V32" s="15">
        <f>IF(V10=0,0,V10/TrAvia_act!V8*1000)</f>
        <v>151.18791678555979</v>
      </c>
      <c r="W32" s="15">
        <f>IF(W10=0,0,W10/TrAvia_act!W8*1000)</f>
        <v>186.35880603573901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171.54450518488804</v>
      </c>
      <c r="C34" s="101">
        <f>IF(C12=0,0,C12/TrAvia_act!C10*1000)</f>
        <v>155.98097741088111</v>
      </c>
      <c r="D34" s="101">
        <f>IF(D12=0,0,D12/TrAvia_act!D10*1000)</f>
        <v>175.2949481809207</v>
      </c>
      <c r="E34" s="101">
        <f>IF(E12=0,0,E12/TrAvia_act!E10*1000)</f>
        <v>200.74914912230022</v>
      </c>
      <c r="F34" s="101">
        <f>IF(F12=0,0,F12/TrAvia_act!F10*1000)</f>
        <v>271.57461368714308</v>
      </c>
      <c r="G34" s="101">
        <f>IF(G12=0,0,G12/TrAvia_act!G10*1000)</f>
        <v>296.71666441091202</v>
      </c>
      <c r="H34" s="101">
        <f>IF(H12=0,0,H12/TrAvia_act!H10*1000)</f>
        <v>315.61858249716704</v>
      </c>
      <c r="I34" s="101">
        <f>IF(I12=0,0,I12/TrAvia_act!I10*1000)</f>
        <v>315.29408416657787</v>
      </c>
      <c r="J34" s="101">
        <f>IF(J12=0,0,J12/TrAvia_act!J10*1000)</f>
        <v>350.48043314624857</v>
      </c>
      <c r="K34" s="101">
        <f>IF(K12=0,0,K12/TrAvia_act!K10*1000)</f>
        <v>267.32370608400242</v>
      </c>
      <c r="L34" s="101">
        <f>IF(L12=0,0,L12/TrAvia_act!L10*1000)</f>
        <v>192.62555062825439</v>
      </c>
      <c r="M34" s="101">
        <f>IF(M12=0,0,M12/TrAvia_act!M10*1000)</f>
        <v>181.54179530268758</v>
      </c>
      <c r="N34" s="101">
        <f>IF(N12=0,0,N12/TrAvia_act!N10*1000)</f>
        <v>182.62974539978046</v>
      </c>
      <c r="O34" s="101">
        <f>IF(O12=0,0,O12/TrAvia_act!O10*1000)</f>
        <v>197.48895280254942</v>
      </c>
      <c r="P34" s="101">
        <f>IF(P12=0,0,P12/TrAvia_act!P10*1000)</f>
        <v>154.79144601305734</v>
      </c>
      <c r="Q34" s="101">
        <f>IF(Q12=0,0,Q12/TrAvia_act!Q10*1000)</f>
        <v>136.82422090577262</v>
      </c>
      <c r="R34" s="101">
        <f>IF(R12=0,0,R12/TrAvia_act!R10*1000)</f>
        <v>105.31744480703556</v>
      </c>
      <c r="S34" s="101">
        <f>IF(S12=0,0,S12/TrAvia_act!S10*1000)</f>
        <v>135.11158985017494</v>
      </c>
      <c r="T34" s="101">
        <f>IF(T12=0,0,T12/TrAvia_act!T10*1000)</f>
        <v>121.99747855124369</v>
      </c>
      <c r="U34" s="101">
        <f>IF(U12=0,0,U12/TrAvia_act!U10*1000)</f>
        <v>115.39989638907466</v>
      </c>
      <c r="V34" s="101">
        <f>IF(V12=0,0,V12/TrAvia_act!V10*1000)</f>
        <v>157.61255346097204</v>
      </c>
      <c r="W34" s="101">
        <f>IF(W12=0,0,W12/TrAvia_act!W10*1000)</f>
        <v>238.08601815007779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20.716081591677192</v>
      </c>
      <c r="C35" s="88">
        <f>IF(C13=0,0,C13/TrAvia_act!C11*1000)</f>
        <v>19.731768715743538</v>
      </c>
      <c r="D35" s="88">
        <f>IF(D13=0,0,D13/TrAvia_act!D11*1000)</f>
        <v>22.204302635543318</v>
      </c>
      <c r="E35" s="88">
        <f>IF(E13=0,0,E13/TrAvia_act!E11*1000)</f>
        <v>28.347630086569261</v>
      </c>
      <c r="F35" s="88">
        <f>IF(F13=0,0,F13/TrAvia_act!F11*1000)</f>
        <v>35.687997593654316</v>
      </c>
      <c r="G35" s="88">
        <f>IF(G13=0,0,G13/TrAvia_act!G11*1000)</f>
        <v>41.19866734196922</v>
      </c>
      <c r="H35" s="88">
        <f>IF(H13=0,0,H13/TrAvia_act!H11*1000)</f>
        <v>40.607312685782532</v>
      </c>
      <c r="I35" s="88">
        <f>IF(I13=0,0,I13/TrAvia_act!I11*1000)</f>
        <v>40.087214127522294</v>
      </c>
      <c r="J35" s="88">
        <f>IF(J13=0,0,J13/TrAvia_act!J11*1000)</f>
        <v>35.443106693581676</v>
      </c>
      <c r="K35" s="88">
        <f>IF(K13=0,0,K13/TrAvia_act!K11*1000)</f>
        <v>26.080791870742861</v>
      </c>
      <c r="L35" s="88">
        <f>IF(L13=0,0,L13/TrAvia_act!L11*1000)</f>
        <v>14.672135303243095</v>
      </c>
      <c r="M35" s="88">
        <f>IF(M13=0,0,M13/TrAvia_act!M11*1000)</f>
        <v>16.234084081481381</v>
      </c>
      <c r="N35" s="88">
        <f>IF(N13=0,0,N13/TrAvia_act!N11*1000)</f>
        <v>10.782904166232004</v>
      </c>
      <c r="O35" s="88">
        <f>IF(O13=0,0,O13/TrAvia_act!O11*1000)</f>
        <v>18.322189728840048</v>
      </c>
      <c r="P35" s="88">
        <f>IF(P13=0,0,P13/TrAvia_act!P11*1000)</f>
        <v>16.43900932763577</v>
      </c>
      <c r="Q35" s="88">
        <f>IF(Q13=0,0,Q13/TrAvia_act!Q11*1000)</f>
        <v>13.217938406200926</v>
      </c>
      <c r="R35" s="88">
        <f>IF(R13=0,0,R13/TrAvia_act!R11*1000)</f>
        <v>15.825069540699014</v>
      </c>
      <c r="S35" s="88">
        <f>IF(S13=0,0,S13/TrAvia_act!S11*1000)</f>
        <v>17.587472362830102</v>
      </c>
      <c r="T35" s="88">
        <f>IF(T13=0,0,T13/TrAvia_act!T11*1000)</f>
        <v>16.276456216349438</v>
      </c>
      <c r="U35" s="88">
        <f>IF(U13=0,0,U13/TrAvia_act!U11*1000)</f>
        <v>25.867744600398954</v>
      </c>
      <c r="V35" s="88">
        <f>IF(V13=0,0,V13/TrAvia_act!V11*1000)</f>
        <v>79.198286742411142</v>
      </c>
      <c r="W35" s="88">
        <f>IF(W13=0,0,W13/TrAvia_act!W11*1000)</f>
        <v>45.604551723310927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2243.1753482363779</v>
      </c>
      <c r="C37" s="62">
        <f>IF(C3=0,0,C3/TrAvia_act!C23*1000000)</f>
        <v>2238.6587502857087</v>
      </c>
      <c r="D37" s="62">
        <f>IF(D3=0,0,D3/TrAvia_act!D23*1000000)</f>
        <v>2387.9854338878072</v>
      </c>
      <c r="E37" s="62">
        <f>IF(E3=0,0,E3/TrAvia_act!E23*1000000)</f>
        <v>2811.9029298615965</v>
      </c>
      <c r="F37" s="62">
        <f>IF(F3=0,0,F3/TrAvia_act!F23*1000000)</f>
        <v>3553.0943686105406</v>
      </c>
      <c r="G37" s="62">
        <f>IF(G3=0,0,G3/TrAvia_act!G23*1000000)</f>
        <v>4537.0276860318118</v>
      </c>
      <c r="H37" s="62">
        <f>IF(H3=0,0,H3/TrAvia_act!H23*1000000)</f>
        <v>4569.5183617719122</v>
      </c>
      <c r="I37" s="62">
        <f>IF(I3=0,0,I3/TrAvia_act!I23*1000000)</f>
        <v>4389.6807078253569</v>
      </c>
      <c r="J37" s="62">
        <f>IF(J3=0,0,J3/TrAvia_act!J23*1000000)</f>
        <v>4545.0995243948537</v>
      </c>
      <c r="K37" s="62">
        <f>IF(K3=0,0,K3/TrAvia_act!K23*1000000)</f>
        <v>3323.9556122239851</v>
      </c>
      <c r="L37" s="62">
        <f>IF(L3=0,0,L3/TrAvia_act!L23*1000000)</f>
        <v>2915.9761210911306</v>
      </c>
      <c r="M37" s="62">
        <f>IF(M3=0,0,M3/TrAvia_act!M23*1000000)</f>
        <v>3200.546468631414</v>
      </c>
      <c r="N37" s="62">
        <f>IF(N3=0,0,N3/TrAvia_act!N23*1000000)</f>
        <v>3230.9693885050915</v>
      </c>
      <c r="O37" s="62">
        <f>IF(O3=0,0,O3/TrAvia_act!O23*1000000)</f>
        <v>3536.4318012158828</v>
      </c>
      <c r="P37" s="62">
        <f>IF(P3=0,0,P3/TrAvia_act!P23*1000000)</f>
        <v>3478.7933603608653</v>
      </c>
      <c r="Q37" s="62">
        <f>IF(Q3=0,0,Q3/TrAvia_act!Q23*1000000)</f>
        <v>3313.4108780538818</v>
      </c>
      <c r="R37" s="62">
        <f>IF(R3=0,0,R3/TrAvia_act!R23*1000000)</f>
        <v>2980.5339941918787</v>
      </c>
      <c r="S37" s="62">
        <f>IF(S3=0,0,S3/TrAvia_act!S23*1000000)</f>
        <v>3422.4553292398186</v>
      </c>
      <c r="T37" s="62">
        <f>IF(T3=0,0,T3/TrAvia_act!T23*1000000)</f>
        <v>3657.3847755514876</v>
      </c>
      <c r="U37" s="62">
        <f>IF(U3=0,0,U3/TrAvia_act!U23*1000000)</f>
        <v>3730.0394159347074</v>
      </c>
      <c r="V37" s="62">
        <f>IF(V3=0,0,V3/TrAvia_act!V23*1000000)</f>
        <v>3813.4559357326493</v>
      </c>
      <c r="W37" s="62">
        <f>IF(W3=0,0,W3/TrAvia_act!W23*1000000)</f>
        <v>5919.2734112700855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2240.4634990071836</v>
      </c>
      <c r="C38" s="14">
        <f>IF(C6=0,0,C6/TrAvia_act!C24*1000000)</f>
        <v>2235.5415347796579</v>
      </c>
      <c r="D38" s="14">
        <f>IF(D6=0,0,D6/TrAvia_act!D24*1000000)</f>
        <v>2388.1016188521253</v>
      </c>
      <c r="E38" s="14">
        <f>IF(E6=0,0,E6/TrAvia_act!E24*1000000)</f>
        <v>2817.0442790579855</v>
      </c>
      <c r="F38" s="14">
        <f>IF(F6=0,0,F6/TrAvia_act!F24*1000000)</f>
        <v>3562.4587498139704</v>
      </c>
      <c r="G38" s="14">
        <f>IF(G6=0,0,G6/TrAvia_act!G24*1000000)</f>
        <v>4542.2023538326239</v>
      </c>
      <c r="H38" s="14">
        <f>IF(H6=0,0,H6/TrAvia_act!H24*1000000)</f>
        <v>4575.6846220577281</v>
      </c>
      <c r="I38" s="14">
        <f>IF(I6=0,0,I6/TrAvia_act!I24*1000000)</f>
        <v>4392.6858953483779</v>
      </c>
      <c r="J38" s="14">
        <f>IF(J6=0,0,J6/TrAvia_act!J24*1000000)</f>
        <v>4543.5042754258739</v>
      </c>
      <c r="K38" s="14">
        <f>IF(K6=0,0,K6/TrAvia_act!K24*1000000)</f>
        <v>3325.9079545206282</v>
      </c>
      <c r="L38" s="14">
        <f>IF(L6=0,0,L6/TrAvia_act!L24*1000000)</f>
        <v>2919.8282224621016</v>
      </c>
      <c r="M38" s="14">
        <f>IF(M6=0,0,M6/TrAvia_act!M24*1000000)</f>
        <v>3206.3089239697101</v>
      </c>
      <c r="N38" s="14">
        <f>IF(N6=0,0,N6/TrAvia_act!N24*1000000)</f>
        <v>3233.8395664181935</v>
      </c>
      <c r="O38" s="14">
        <f>IF(O6=0,0,O6/TrAvia_act!O24*1000000)</f>
        <v>3540.1074671838765</v>
      </c>
      <c r="P38" s="14">
        <f>IF(P6=0,0,P6/TrAvia_act!P24*1000000)</f>
        <v>3483.7960560969086</v>
      </c>
      <c r="Q38" s="14">
        <f>IF(Q6=0,0,Q6/TrAvia_act!Q24*1000000)</f>
        <v>3317.5352991343275</v>
      </c>
      <c r="R38" s="14">
        <f>IF(R6=0,0,R6/TrAvia_act!R24*1000000)</f>
        <v>2986.3616975199711</v>
      </c>
      <c r="S38" s="14">
        <f>IF(S6=0,0,S6/TrAvia_act!S24*1000000)</f>
        <v>3427.2398075477663</v>
      </c>
      <c r="T38" s="14">
        <f>IF(T6=0,0,T6/TrAvia_act!T24*1000000)</f>
        <v>3666.9267771574923</v>
      </c>
      <c r="U38" s="14">
        <f>IF(U6=0,0,U6/TrAvia_act!U24*1000000)</f>
        <v>3738.5711910591226</v>
      </c>
      <c r="V38" s="14">
        <f>IF(V6=0,0,V6/TrAvia_act!V24*1000000)</f>
        <v>3829.6338850916709</v>
      </c>
      <c r="W38" s="14">
        <f>IF(W6=0,0,W6/TrAvia_act!W24*1000000)</f>
        <v>5928.0377712207701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2147.2196297088331</v>
      </c>
      <c r="C40" s="87">
        <f>IF(C8=0,0,C8/TrAvia_act!C26*1000000)</f>
        <v>2142.4268305942751</v>
      </c>
      <c r="D40" s="87">
        <f>IF(D8=0,0,D8/TrAvia_act!D26*1000000)</f>
        <v>2282.5330234512462</v>
      </c>
      <c r="E40" s="87">
        <f>IF(E8=0,0,E8/TrAvia_act!E26*1000000)</f>
        <v>2673.3997223442375</v>
      </c>
      <c r="F40" s="87">
        <f>IF(F8=0,0,F8/TrAvia_act!F26*1000000)</f>
        <v>3345.6163579932031</v>
      </c>
      <c r="G40" s="87">
        <f>IF(G8=0,0,G8/TrAvia_act!G26*1000000)</f>
        <v>4317.9419935682308</v>
      </c>
      <c r="H40" s="87">
        <f>IF(H8=0,0,H8/TrAvia_act!H26*1000000)</f>
        <v>4378.0856430492468</v>
      </c>
      <c r="I40" s="87">
        <f>IF(I8=0,0,I8/TrAvia_act!I26*1000000)</f>
        <v>4205.1584270966077</v>
      </c>
      <c r="J40" s="87">
        <f>IF(J8=0,0,J8/TrAvia_act!J26*1000000)</f>
        <v>4388.3451689983503</v>
      </c>
      <c r="K40" s="87">
        <f>IF(K8=0,0,K8/TrAvia_act!K26*1000000)</f>
        <v>3230.2204394732512</v>
      </c>
      <c r="L40" s="87">
        <f>IF(L8=0,0,L8/TrAvia_act!L26*1000000)</f>
        <v>2845.5608083713087</v>
      </c>
      <c r="M40" s="87">
        <f>IF(M8=0,0,M8/TrAvia_act!M26*1000000)</f>
        <v>3184.8381404957986</v>
      </c>
      <c r="N40" s="87">
        <f>IF(N8=0,0,N8/TrAvia_act!N26*1000000)</f>
        <v>3396.2835135249429</v>
      </c>
      <c r="O40" s="87">
        <f>IF(O8=0,0,O8/TrAvia_act!O26*1000000)</f>
        <v>3749.3646227135787</v>
      </c>
      <c r="P40" s="87">
        <f>IF(P8=0,0,P8/TrAvia_act!P26*1000000)</f>
        <v>3623.7715256994911</v>
      </c>
      <c r="Q40" s="87">
        <f>IF(Q8=0,0,Q8/TrAvia_act!Q26*1000000)</f>
        <v>3456.6158242022075</v>
      </c>
      <c r="R40" s="87">
        <f>IF(R8=0,0,R8/TrAvia_act!R26*1000000)</f>
        <v>2963.4614218349057</v>
      </c>
      <c r="S40" s="87">
        <f>IF(S8=0,0,S8/TrAvia_act!S26*1000000)</f>
        <v>3521.1465761339591</v>
      </c>
      <c r="T40" s="87">
        <f>IF(T8=0,0,T8/TrAvia_act!T26*1000000)</f>
        <v>3825.9942419442814</v>
      </c>
      <c r="U40" s="87">
        <f>IF(U8=0,0,U8/TrAvia_act!U26*1000000)</f>
        <v>3862.7514621619766</v>
      </c>
      <c r="V40" s="87">
        <f>IF(V8=0,0,V8/TrAvia_act!V26*1000000)</f>
        <v>3631.5536694040302</v>
      </c>
      <c r="W40" s="87">
        <f>IF(W8=0,0,W8/TrAvia_act!W26*1000000)</f>
        <v>6081.700330192928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4606.3567774431795</v>
      </c>
      <c r="C41" s="87">
        <f>IF(C9=0,0,C9/TrAvia_act!C27*1000000)</f>
        <v>4596.196007085141</v>
      </c>
      <c r="D41" s="87">
        <f>IF(D9=0,0,D9/TrAvia_act!D27*1000000)</f>
        <v>4884.6753248040231</v>
      </c>
      <c r="E41" s="87">
        <f>IF(E9=0,0,E9/TrAvia_act!E27*1000000)</f>
        <v>5667.2329690247434</v>
      </c>
      <c r="F41" s="87">
        <f>IF(F9=0,0,F9/TrAvia_act!F27*1000000)</f>
        <v>6925.5310869003679</v>
      </c>
      <c r="G41" s="87">
        <f>IF(G9=0,0,G9/TrAvia_act!G27*1000000)</f>
        <v>8205.2387399066774</v>
      </c>
      <c r="H41" s="87">
        <f>IF(H9=0,0,H9/TrAvia_act!H27*1000000)</f>
        <v>7644.8617048335782</v>
      </c>
      <c r="I41" s="87">
        <f>IF(I9=0,0,I9/TrAvia_act!I27*1000000)</f>
        <v>7408.2524430743406</v>
      </c>
      <c r="J41" s="87">
        <f>IF(J9=0,0,J9/TrAvia_act!J27*1000000)</f>
        <v>6555.5722707196792</v>
      </c>
      <c r="K41" s="87">
        <f>IF(K9=0,0,K9/TrAvia_act!K27*1000000)</f>
        <v>4269.1814005691776</v>
      </c>
      <c r="L41" s="87">
        <f>IF(L9=0,0,L9/TrAvia_act!L27*1000000)</f>
        <v>3618.1453872829234</v>
      </c>
      <c r="M41" s="87">
        <f>IF(M9=0,0,M9/TrAvia_act!M27*1000000)</f>
        <v>3414.3725985789329</v>
      </c>
      <c r="N41" s="87">
        <f>IF(N9=0,0,N9/TrAvia_act!N27*1000000)</f>
        <v>2327.8684698249954</v>
      </c>
      <c r="O41" s="87">
        <f>IF(O9=0,0,O9/TrAvia_act!O27*1000000)</f>
        <v>2488.8868269106301</v>
      </c>
      <c r="P41" s="87">
        <f>IF(P9=0,0,P9/TrAvia_act!P27*1000000)</f>
        <v>2691.8894934709629</v>
      </c>
      <c r="Q41" s="87">
        <f>IF(Q9=0,0,Q9/TrAvia_act!Q27*1000000)</f>
        <v>2538.3759762152463</v>
      </c>
      <c r="R41" s="87">
        <f>IF(R9=0,0,R9/TrAvia_act!R27*1000000)</f>
        <v>3178.9115341424108</v>
      </c>
      <c r="S41" s="87">
        <f>IF(S9=0,0,S9/TrAvia_act!S27*1000000)</f>
        <v>2815.9444378680096</v>
      </c>
      <c r="T41" s="87">
        <f>IF(T9=0,0,T9/TrAvia_act!T27*1000000)</f>
        <v>2708.8255181156246</v>
      </c>
      <c r="U41" s="87">
        <f>IF(U9=0,0,U9/TrAvia_act!U27*1000000)</f>
        <v>2954.119001915451</v>
      </c>
      <c r="V41" s="87">
        <f>IF(V9=0,0,V9/TrAvia_act!V27*1000000)</f>
        <v>5802.2273123089499</v>
      </c>
      <c r="W41" s="87">
        <f>IF(W9=0,0,W9/TrAvia_act!W27*1000000)</f>
        <v>5025.3455620431478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2464.1788448786565</v>
      </c>
      <c r="C42" s="15">
        <f>IF(C10=0,0,C10/TrAvia_act!C28*1000000)</f>
        <v>2471.9511587585439</v>
      </c>
      <c r="D42" s="15">
        <f>IF(D10=0,0,D10/TrAvia_act!D28*1000000)</f>
        <v>2378.9719266559687</v>
      </c>
      <c r="E42" s="15">
        <f>IF(E10=0,0,E10/TrAvia_act!E28*1000000)</f>
        <v>2472.9010596669495</v>
      </c>
      <c r="F42" s="15">
        <f>IF(F10=0,0,F10/TrAvia_act!F28*1000000)</f>
        <v>2876.879459270192</v>
      </c>
      <c r="G42" s="15">
        <f>IF(G10=0,0,G10/TrAvia_act!G28*1000000)</f>
        <v>4060.1389259553016</v>
      </c>
      <c r="H42" s="15">
        <f>IF(H10=0,0,H10/TrAvia_act!H28*1000000)</f>
        <v>3977.0303435398573</v>
      </c>
      <c r="I42" s="15">
        <f>IF(I10=0,0,I10/TrAvia_act!I28*1000000)</f>
        <v>4068.9670953685763</v>
      </c>
      <c r="J42" s="15">
        <f>IF(J10=0,0,J10/TrAvia_act!J28*1000000)</f>
        <v>4731.667689528851</v>
      </c>
      <c r="K42" s="15">
        <f>IF(K10=0,0,K10/TrAvia_act!K28*1000000)</f>
        <v>3131.8345770327601</v>
      </c>
      <c r="L42" s="15">
        <f>IF(L10=0,0,L10/TrAvia_act!L28*1000000)</f>
        <v>2615.4330613875059</v>
      </c>
      <c r="M42" s="15">
        <f>IF(M10=0,0,M10/TrAvia_act!M28*1000000)</f>
        <v>2675.7140103526517</v>
      </c>
      <c r="N42" s="15">
        <f>IF(N10=0,0,N10/TrAvia_act!N28*1000000)</f>
        <v>2958.9568278390634</v>
      </c>
      <c r="O42" s="15">
        <f>IF(O10=0,0,O10/TrAvia_act!O28*1000000)</f>
        <v>3280.8286840070164</v>
      </c>
      <c r="P42" s="15">
        <f>IF(P10=0,0,P10/TrAvia_act!P28*1000000)</f>
        <v>3132.2476475276594</v>
      </c>
      <c r="Q42" s="15">
        <f>IF(Q10=0,0,Q10/TrAvia_act!Q28*1000000)</f>
        <v>3001.713512339818</v>
      </c>
      <c r="R42" s="15">
        <f>IF(R10=0,0,R10/TrAvia_act!R28*1000000)</f>
        <v>2563.633292900186</v>
      </c>
      <c r="S42" s="15">
        <f>IF(S10=0,0,S10/TrAvia_act!S28*1000000)</f>
        <v>3044.7010143939688</v>
      </c>
      <c r="T42" s="15">
        <f>IF(T10=0,0,T10/TrAvia_act!T28*1000000)</f>
        <v>2909.2758797635656</v>
      </c>
      <c r="U42" s="15">
        <f>IF(U10=0,0,U10/TrAvia_act!U28*1000000)</f>
        <v>3091.3197054841876</v>
      </c>
      <c r="V42" s="15">
        <f>IF(V10=0,0,V10/TrAvia_act!V28*1000000)</f>
        <v>3349.3319357252385</v>
      </c>
      <c r="W42" s="15">
        <f>IF(W10=0,0,W10/TrAvia_act!W28*1000000)</f>
        <v>5681.9927472770532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2279.7349746081259</v>
      </c>
      <c r="C44" s="101">
        <f>IF(C12=0,0,C12/TrAvia_act!C30*1000000)</f>
        <v>2283.3905203527029</v>
      </c>
      <c r="D44" s="101">
        <f>IF(D12=0,0,D12/TrAvia_act!D30*1000000)</f>
        <v>2212.6561310696702</v>
      </c>
      <c r="E44" s="101">
        <f>IF(E12=0,0,E12/TrAvia_act!E30*1000000)</f>
        <v>2259.7965852614998</v>
      </c>
      <c r="F44" s="101">
        <f>IF(F12=0,0,F12/TrAvia_act!F30*1000000)</f>
        <v>2659.8308514164169</v>
      </c>
      <c r="G44" s="101">
        <f>IF(G12=0,0,G12/TrAvia_act!G30*1000000)</f>
        <v>3630.0832256694453</v>
      </c>
      <c r="H44" s="101">
        <f>IF(H12=0,0,H12/TrAvia_act!H30*1000000)</f>
        <v>3799.3194774430044</v>
      </c>
      <c r="I44" s="101">
        <f>IF(I12=0,0,I12/TrAvia_act!I30*1000000)</f>
        <v>4010.6571265561474</v>
      </c>
      <c r="J44" s="101">
        <f>IF(J12=0,0,J12/TrAvia_act!J30*1000000)</f>
        <v>4757.893607495821</v>
      </c>
      <c r="K44" s="101">
        <f>IF(K12=0,0,K12/TrAvia_act!K30*1000000)</f>
        <v>3144.4252462958016</v>
      </c>
      <c r="L44" s="101">
        <f>IF(L12=0,0,L12/TrAvia_act!L30*1000000)</f>
        <v>2651.4518335075509</v>
      </c>
      <c r="M44" s="101">
        <f>IF(M12=0,0,M12/TrAvia_act!M30*1000000)</f>
        <v>2686.4873138946882</v>
      </c>
      <c r="N44" s="101">
        <f>IF(N12=0,0,N12/TrAvia_act!N30*1000000)</f>
        <v>2984.9019760272308</v>
      </c>
      <c r="O44" s="101">
        <f>IF(O12=0,0,O12/TrAvia_act!O30*1000000)</f>
        <v>3313.8977546222677</v>
      </c>
      <c r="P44" s="101">
        <f>IF(P12=0,0,P12/TrAvia_act!P30*1000000)</f>
        <v>3161.0530634396973</v>
      </c>
      <c r="Q44" s="101">
        <f>IF(Q12=0,0,Q12/TrAvia_act!Q30*1000000)</f>
        <v>3039.4912515987057</v>
      </c>
      <c r="R44" s="101">
        <f>IF(R12=0,0,R12/TrAvia_act!R30*1000000)</f>
        <v>2667.766654693874</v>
      </c>
      <c r="S44" s="101">
        <f>IF(S12=0,0,S12/TrAvia_act!S30*1000000)</f>
        <v>3142.1261262164016</v>
      </c>
      <c r="T44" s="101">
        <f>IF(T12=0,0,T12/TrAvia_act!T30*1000000)</f>
        <v>2962.9802922947983</v>
      </c>
      <c r="U44" s="101">
        <f>IF(U12=0,0,U12/TrAvia_act!U30*1000000)</f>
        <v>3038.4211391655431</v>
      </c>
      <c r="V44" s="101">
        <f>IF(V12=0,0,V12/TrAvia_act!V30*1000000)</f>
        <v>3251.5942247949483</v>
      </c>
      <c r="W44" s="101">
        <f>IF(W12=0,0,W12/TrAvia_act!W30*1000000)</f>
        <v>5543.7717662073237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3742.1113746101914</v>
      </c>
      <c r="C45" s="88">
        <f>IF(C13=0,0,C13/TrAvia_act!C31*1000000)</f>
        <v>3733.8569696284053</v>
      </c>
      <c r="D45" s="88">
        <f>IF(D13=0,0,D13/TrAvia_act!D31*1000000)</f>
        <v>3968.2117511472652</v>
      </c>
      <c r="E45" s="88">
        <f>IF(E13=0,0,E13/TrAvia_act!E31*1000000)</f>
        <v>4603.9458037214499</v>
      </c>
      <c r="F45" s="88">
        <f>IF(F13=0,0,F13/TrAvia_act!F31*1000000)</f>
        <v>5626.161825418013</v>
      </c>
      <c r="G45" s="88">
        <f>IF(G13=0,0,G13/TrAvia_act!G31*1000000)</f>
        <v>6665.7705218049032</v>
      </c>
      <c r="H45" s="88">
        <f>IF(H13=0,0,H13/TrAvia_act!H31*1000000)</f>
        <v>5689.5168713822586</v>
      </c>
      <c r="I45" s="88">
        <f>IF(I13=0,0,I13/TrAvia_act!I31*1000000)</f>
        <v>5051.9065696352518</v>
      </c>
      <c r="J45" s="88">
        <f>IF(J13=0,0,J13/TrAvia_act!J31*1000000)</f>
        <v>4097.000474728161</v>
      </c>
      <c r="K45" s="88">
        <f>IF(K13=0,0,K13/TrAvia_act!K31*1000000)</f>
        <v>2445.6431021970025</v>
      </c>
      <c r="L45" s="88">
        <f>IF(L13=0,0,L13/TrAvia_act!L31*1000000)</f>
        <v>1900.2031578608999</v>
      </c>
      <c r="M45" s="88">
        <f>IF(M13=0,0,M13/TrAvia_act!M31*1000000)</f>
        <v>2133.4577320701273</v>
      </c>
      <c r="N45" s="88">
        <f>IF(N13=0,0,N13/TrAvia_act!N31*1000000)</f>
        <v>1733.0485759481587</v>
      </c>
      <c r="O45" s="88">
        <f>IF(O13=0,0,O13/TrAvia_act!O31*1000000)</f>
        <v>1734.8496327440437</v>
      </c>
      <c r="P45" s="88">
        <f>IF(P13=0,0,P13/TrAvia_act!P31*1000000)</f>
        <v>1756.7890377278286</v>
      </c>
      <c r="Q45" s="88">
        <f>IF(Q13=0,0,Q13/TrAvia_act!Q31*1000000)</f>
        <v>1551.0483247985042</v>
      </c>
      <c r="R45" s="88">
        <f>IF(R13=0,0,R13/TrAvia_act!R31*1000000)</f>
        <v>1818.6792431453423</v>
      </c>
      <c r="S45" s="88">
        <f>IF(S13=0,0,S13/TrAvia_act!S31*1000000)</f>
        <v>1508.3819433478989</v>
      </c>
      <c r="T45" s="88">
        <f>IF(T13=0,0,T13/TrAvia_act!T31*1000000)</f>
        <v>1358.5609679242159</v>
      </c>
      <c r="U45" s="88">
        <f>IF(U13=0,0,U13/TrAvia_act!U31*1000000)</f>
        <v>5171.9966473508703</v>
      </c>
      <c r="V45" s="88">
        <f>IF(V13=0,0,V13/TrAvia_act!V31*1000000)</f>
        <v>10158.392463868799</v>
      </c>
      <c r="W45" s="88">
        <f>IF(W13=0,0,W13/TrAvia_act!W31*1000000)</f>
        <v>8798.2475932127727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0.98668384732566505</v>
      </c>
      <c r="C48" s="16">
        <f t="shared" si="35"/>
        <v>0.98544025850255668</v>
      </c>
      <c r="D48" s="16">
        <f t="shared" ref="D48:V48" si="36">IF(D6=0,0,D6/D$3)</f>
        <v>0.98732197987089609</v>
      </c>
      <c r="E48" s="16">
        <f t="shared" si="36"/>
        <v>0.9868615449040985</v>
      </c>
      <c r="F48" s="16">
        <f t="shared" si="36"/>
        <v>0.98894047900563709</v>
      </c>
      <c r="G48" s="16">
        <f t="shared" si="36"/>
        <v>0.99039388559613739</v>
      </c>
      <c r="H48" s="16">
        <f t="shared" si="36"/>
        <v>0.99103533139057753</v>
      </c>
      <c r="I48" s="16">
        <f t="shared" si="36"/>
        <v>0.99139492022302089</v>
      </c>
      <c r="J48" s="16">
        <f t="shared" si="36"/>
        <v>0.99117399586190169</v>
      </c>
      <c r="K48" s="16">
        <f t="shared" si="36"/>
        <v>0.99052163130402948</v>
      </c>
      <c r="L48" s="16">
        <f t="shared" si="36"/>
        <v>0.9886493793525023</v>
      </c>
      <c r="M48" s="16">
        <f t="shared" si="36"/>
        <v>0.99092053945844127</v>
      </c>
      <c r="N48" s="16">
        <f t="shared" si="36"/>
        <v>0.99043759497954198</v>
      </c>
      <c r="O48" s="16">
        <f t="shared" si="36"/>
        <v>0.98684813557064488</v>
      </c>
      <c r="P48" s="16">
        <f t="shared" si="36"/>
        <v>0.98718713020458904</v>
      </c>
      <c r="Q48" s="16">
        <f t="shared" si="36"/>
        <v>0.98816917969162765</v>
      </c>
      <c r="R48" s="16">
        <f t="shared" si="36"/>
        <v>0.98814237182582176</v>
      </c>
      <c r="S48" s="16">
        <f t="shared" si="36"/>
        <v>0.98887331046813343</v>
      </c>
      <c r="T48" s="16">
        <f t="shared" si="36"/>
        <v>0.98998191765905796</v>
      </c>
      <c r="U48" s="16">
        <f t="shared" si="36"/>
        <v>0.98907561882135431</v>
      </c>
      <c r="V48" s="16">
        <f t="shared" si="36"/>
        <v>0.97041656630873629</v>
      </c>
      <c r="W48" s="16">
        <f t="shared" ref="W48" si="37">IF(W6=0,0,W6/W$3)</f>
        <v>0.96580694585577787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0.90976455946673984</v>
      </c>
      <c r="C50" s="103">
        <f t="shared" si="41"/>
        <v>0.9085571985710198</v>
      </c>
      <c r="D50" s="103">
        <f t="shared" ref="D50:V50" si="42">IF(D8=0,0,D8/D$3)</f>
        <v>0.90539151761827319</v>
      </c>
      <c r="E50" s="103">
        <f t="shared" si="42"/>
        <v>0.89160492097950228</v>
      </c>
      <c r="F50" s="103">
        <f t="shared" si="42"/>
        <v>0.87248902935279238</v>
      </c>
      <c r="G50" s="103">
        <f t="shared" si="42"/>
        <v>0.88718014565851899</v>
      </c>
      <c r="H50" s="103">
        <f t="shared" si="42"/>
        <v>0.89088139578392367</v>
      </c>
      <c r="I50" s="103">
        <f t="shared" si="42"/>
        <v>0.89350735712355767</v>
      </c>
      <c r="J50" s="103">
        <f t="shared" si="42"/>
        <v>0.88878756245520296</v>
      </c>
      <c r="K50" s="103">
        <f t="shared" si="42"/>
        <v>0.87342230563200363</v>
      </c>
      <c r="L50" s="103">
        <f t="shared" si="42"/>
        <v>0.87088247008369357</v>
      </c>
      <c r="M50" s="103">
        <f t="shared" si="42"/>
        <v>0.89221435155141249</v>
      </c>
      <c r="N50" s="103">
        <f t="shared" si="42"/>
        <v>0.88203726015422301</v>
      </c>
      <c r="O50" s="103">
        <f t="shared" si="42"/>
        <v>0.87166626007582104</v>
      </c>
      <c r="P50" s="103">
        <f t="shared" si="42"/>
        <v>0.87261077989570146</v>
      </c>
      <c r="Q50" s="103">
        <f t="shared" si="42"/>
        <v>0.8736490353244688</v>
      </c>
      <c r="R50" s="103">
        <f t="shared" si="42"/>
        <v>0.87634037931652753</v>
      </c>
      <c r="S50" s="103">
        <f t="shared" si="42"/>
        <v>0.88067922526393405</v>
      </c>
      <c r="T50" s="103">
        <f t="shared" si="42"/>
        <v>0.88585364912692455</v>
      </c>
      <c r="U50" s="103">
        <f t="shared" si="42"/>
        <v>0.88226456901738526</v>
      </c>
      <c r="V50" s="103">
        <f t="shared" si="42"/>
        <v>0.83625063455573978</v>
      </c>
      <c r="W50" s="103">
        <f t="shared" ref="W50" si="43">IF(W8=0,0,W8/W$3)</f>
        <v>0.84670919567938363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7.6919287858925336E-2</v>
      </c>
      <c r="C51" s="103">
        <f t="shared" si="44"/>
        <v>7.6883059931536712E-2</v>
      </c>
      <c r="D51" s="103">
        <f t="shared" ref="D51:V51" si="45">IF(D9=0,0,D9/D$3)</f>
        <v>8.1930462252622849E-2</v>
      </c>
      <c r="E51" s="103">
        <f t="shared" si="45"/>
        <v>9.525662392459637E-2</v>
      </c>
      <c r="F51" s="103">
        <f t="shared" si="45"/>
        <v>0.11645144965284471</v>
      </c>
      <c r="G51" s="103">
        <f t="shared" si="45"/>
        <v>0.10321373993761837</v>
      </c>
      <c r="H51" s="103">
        <f t="shared" si="45"/>
        <v>0.10015393560665391</v>
      </c>
      <c r="I51" s="103">
        <f t="shared" si="45"/>
        <v>9.7887563099463268E-2</v>
      </c>
      <c r="J51" s="103">
        <f t="shared" si="45"/>
        <v>0.10238643340669874</v>
      </c>
      <c r="K51" s="103">
        <f t="shared" si="45"/>
        <v>0.11709932567202577</v>
      </c>
      <c r="L51" s="103">
        <f t="shared" si="45"/>
        <v>0.11776690926880869</v>
      </c>
      <c r="M51" s="103">
        <f t="shared" si="45"/>
        <v>9.8706187907028758E-2</v>
      </c>
      <c r="N51" s="103">
        <f t="shared" si="45"/>
        <v>0.10840033482531899</v>
      </c>
      <c r="O51" s="103">
        <f t="shared" si="45"/>
        <v>0.11518187549482384</v>
      </c>
      <c r="P51" s="103">
        <f t="shared" si="45"/>
        <v>0.11457635030888752</v>
      </c>
      <c r="Q51" s="103">
        <f t="shared" si="45"/>
        <v>0.11452014436715877</v>
      </c>
      <c r="R51" s="103">
        <f t="shared" si="45"/>
        <v>0.11180199250929433</v>
      </c>
      <c r="S51" s="103">
        <f t="shared" si="45"/>
        <v>0.10819408520419932</v>
      </c>
      <c r="T51" s="103">
        <f t="shared" si="45"/>
        <v>0.10412826853213332</v>
      </c>
      <c r="U51" s="103">
        <f t="shared" si="45"/>
        <v>0.10681104980396916</v>
      </c>
      <c r="V51" s="103">
        <f t="shared" si="45"/>
        <v>0.13416593175299651</v>
      </c>
      <c r="W51" s="103">
        <f t="shared" ref="W51" si="46">IF(W9=0,0,W9/W$3)</f>
        <v>0.11909775017639419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1.3316152674334962E-2</v>
      </c>
      <c r="C52" s="17">
        <f t="shared" si="47"/>
        <v>1.4559741497443384E-2</v>
      </c>
      <c r="D52" s="17">
        <f t="shared" ref="D52:V52" si="48">IF(D10=0,0,D10/D$3)</f>
        <v>1.2678020129104031E-2</v>
      </c>
      <c r="E52" s="17">
        <f t="shared" si="48"/>
        <v>1.3138455095901495E-2</v>
      </c>
      <c r="F52" s="17">
        <f t="shared" si="48"/>
        <v>1.1059520994362989E-2</v>
      </c>
      <c r="G52" s="17">
        <f t="shared" si="48"/>
        <v>9.6061144038625951E-3</v>
      </c>
      <c r="H52" s="17">
        <f t="shared" si="48"/>
        <v>8.9646686094224364E-3</v>
      </c>
      <c r="I52" s="17">
        <f t="shared" si="48"/>
        <v>8.6050797769790729E-3</v>
      </c>
      <c r="J52" s="17">
        <f t="shared" si="48"/>
        <v>8.8260041380983506E-3</v>
      </c>
      <c r="K52" s="17">
        <f t="shared" si="48"/>
        <v>9.4783686959706778E-3</v>
      </c>
      <c r="L52" s="17">
        <f t="shared" si="48"/>
        <v>1.1350620647497667E-2</v>
      </c>
      <c r="M52" s="17">
        <f t="shared" si="48"/>
        <v>9.0794605415588613E-3</v>
      </c>
      <c r="N52" s="17">
        <f t="shared" si="48"/>
        <v>9.5624050204580237E-3</v>
      </c>
      <c r="O52" s="17">
        <f t="shared" si="48"/>
        <v>1.3151864429355198E-2</v>
      </c>
      <c r="P52" s="17">
        <f t="shared" si="48"/>
        <v>1.2812869795410907E-2</v>
      </c>
      <c r="Q52" s="17">
        <f t="shared" si="48"/>
        <v>1.1830820308372408E-2</v>
      </c>
      <c r="R52" s="17">
        <f t="shared" si="48"/>
        <v>1.185762817417834E-2</v>
      </c>
      <c r="S52" s="17">
        <f t="shared" si="48"/>
        <v>1.1126689531866666E-2</v>
      </c>
      <c r="T52" s="17">
        <f t="shared" si="48"/>
        <v>1.0018082340942095E-2</v>
      </c>
      <c r="U52" s="17">
        <f t="shared" si="48"/>
        <v>1.0924381178645727E-2</v>
      </c>
      <c r="V52" s="17">
        <f t="shared" si="48"/>
        <v>2.9583433691263653E-2</v>
      </c>
      <c r="W52" s="17">
        <f t="shared" ref="W52" si="49">IF(W10=0,0,W10/W$3)</f>
        <v>3.4193054144222128E-2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1.0765635178702968E-2</v>
      </c>
      <c r="C54" s="104">
        <f t="shared" si="53"/>
        <v>1.1700737196501807E-2</v>
      </c>
      <c r="D54" s="104">
        <f t="shared" ref="D54:V54" si="54">IF(D12=0,0,D12/D$3)</f>
        <v>1.0674582332496928E-2</v>
      </c>
      <c r="E54" s="104">
        <f t="shared" si="54"/>
        <v>1.0914760821382813E-2</v>
      </c>
      <c r="F54" s="104">
        <f t="shared" si="54"/>
        <v>9.4769461083309293E-3</v>
      </c>
      <c r="G54" s="104">
        <f t="shared" si="54"/>
        <v>7.3718997590934412E-3</v>
      </c>
      <c r="H54" s="104">
        <f t="shared" si="54"/>
        <v>7.7589178381136763E-3</v>
      </c>
      <c r="I54" s="104">
        <f t="shared" si="54"/>
        <v>8.0067865860623689E-3</v>
      </c>
      <c r="J54" s="104">
        <f t="shared" si="54"/>
        <v>8.5227439750054663E-3</v>
      </c>
      <c r="K54" s="104">
        <f t="shared" si="54"/>
        <v>9.3450058421837602E-3</v>
      </c>
      <c r="L54" s="104">
        <f t="shared" si="54"/>
        <v>1.0955234709326219E-2</v>
      </c>
      <c r="M54" s="104">
        <f t="shared" si="54"/>
        <v>8.9384326770084854E-3</v>
      </c>
      <c r="N54" s="104">
        <f t="shared" si="54"/>
        <v>9.4463291567387815E-3</v>
      </c>
      <c r="O54" s="104">
        <f t="shared" si="54"/>
        <v>1.3006220551841105E-2</v>
      </c>
      <c r="P54" s="104">
        <f t="shared" si="54"/>
        <v>1.2665456955183169E-2</v>
      </c>
      <c r="Q54" s="104">
        <f t="shared" si="54"/>
        <v>1.1675662111078355E-2</v>
      </c>
      <c r="R54" s="104">
        <f t="shared" si="54"/>
        <v>1.0825970716266169E-2</v>
      </c>
      <c r="S54" s="104">
        <f t="shared" si="54"/>
        <v>1.0797974547462967E-2</v>
      </c>
      <c r="T54" s="104">
        <f t="shared" si="54"/>
        <v>9.8614898582729104E-3</v>
      </c>
      <c r="U54" s="104">
        <f t="shared" si="54"/>
        <v>1.047122590121404E-2</v>
      </c>
      <c r="V54" s="104">
        <f t="shared" si="54"/>
        <v>2.8313734709869299E-2</v>
      </c>
      <c r="W54" s="104">
        <f t="shared" ref="W54" si="55">IF(W12=0,0,W12/W$3)</f>
        <v>3.1944381071326022E-2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2.5505174956319942E-3</v>
      </c>
      <c r="C55" s="105">
        <f t="shared" si="56"/>
        <v>2.8590043009415781E-3</v>
      </c>
      <c r="D55" s="105">
        <f t="shared" ref="D55:V55" si="57">IF(D13=0,0,D13/D$3)</f>
        <v>2.0034377966071017E-3</v>
      </c>
      <c r="E55" s="105">
        <f t="shared" si="57"/>
        <v>2.223694274518683E-3</v>
      </c>
      <c r="F55" s="105">
        <f t="shared" si="57"/>
        <v>1.5825748860320591E-3</v>
      </c>
      <c r="G55" s="105">
        <f t="shared" si="57"/>
        <v>2.2342146447691547E-3</v>
      </c>
      <c r="H55" s="105">
        <f t="shared" si="57"/>
        <v>1.2057507713087606E-3</v>
      </c>
      <c r="I55" s="105">
        <f t="shared" si="57"/>
        <v>5.9829319091670374E-4</v>
      </c>
      <c r="J55" s="105">
        <f t="shared" si="57"/>
        <v>3.0326016309288286E-4</v>
      </c>
      <c r="K55" s="105">
        <f t="shared" si="57"/>
        <v>1.3336285378691794E-4</v>
      </c>
      <c r="L55" s="105">
        <f t="shared" si="57"/>
        <v>3.9538593817144927E-4</v>
      </c>
      <c r="M55" s="105">
        <f t="shared" si="57"/>
        <v>1.4102786455037441E-4</v>
      </c>
      <c r="N55" s="105">
        <f t="shared" si="57"/>
        <v>1.1607586371924065E-4</v>
      </c>
      <c r="O55" s="105">
        <f t="shared" si="57"/>
        <v>1.4564387751409501E-4</v>
      </c>
      <c r="P55" s="105">
        <f t="shared" si="57"/>
        <v>1.4741284022773874E-4</v>
      </c>
      <c r="Q55" s="105">
        <f t="shared" si="57"/>
        <v>1.5515819729405305E-4</v>
      </c>
      <c r="R55" s="105">
        <f t="shared" si="57"/>
        <v>1.031657457912172E-3</v>
      </c>
      <c r="S55" s="105">
        <f t="shared" si="57"/>
        <v>3.2871498440369758E-4</v>
      </c>
      <c r="T55" s="105">
        <f t="shared" si="57"/>
        <v>1.565924826691837E-4</v>
      </c>
      <c r="U55" s="105">
        <f t="shared" si="57"/>
        <v>4.5315527743168652E-4</v>
      </c>
      <c r="V55" s="105">
        <f t="shared" si="57"/>
        <v>1.2696989813943524E-3</v>
      </c>
      <c r="W55" s="105">
        <f t="shared" ref="W55" si="58">IF(W13=0,0,W13/W$3)</f>
        <v>2.2486730728961094E-3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394.88203325793847</v>
      </c>
      <c r="C57" s="62">
        <v>394.94030555912622</v>
      </c>
      <c r="D57" s="62">
        <v>395.06224871300071</v>
      </c>
      <c r="E57" s="62">
        <v>395.20050460913444</v>
      </c>
      <c r="F57" s="62">
        <v>394.04947128394019</v>
      </c>
      <c r="G57" s="62">
        <v>384.68324668146363</v>
      </c>
      <c r="H57" s="62">
        <v>382.09844674255851</v>
      </c>
      <c r="I57" s="62">
        <v>386.00275991408455</v>
      </c>
      <c r="J57" s="62">
        <v>392.20408544787557</v>
      </c>
      <c r="K57" s="62">
        <v>409.3401023783141</v>
      </c>
      <c r="L57" s="62">
        <v>425.06846977398709</v>
      </c>
      <c r="M57" s="62">
        <v>400.60989436811309</v>
      </c>
      <c r="N57" s="62">
        <v>404.77901793962911</v>
      </c>
      <c r="O57" s="62">
        <v>394.75523492528481</v>
      </c>
      <c r="P57" s="62">
        <v>389.89737110687992</v>
      </c>
      <c r="Q57" s="62">
        <v>383.99853733401432</v>
      </c>
      <c r="R57" s="62">
        <v>383.72378461257205</v>
      </c>
      <c r="S57" s="62">
        <v>385.39412866507041</v>
      </c>
      <c r="T57" s="62">
        <v>385.1595319932332</v>
      </c>
      <c r="U57" s="62">
        <v>391.26848869715673</v>
      </c>
      <c r="V57" s="62">
        <v>400.53896472345076</v>
      </c>
      <c r="W57" s="62">
        <v>419.5061724618036</v>
      </c>
      <c r="DA57" s="172" t="s">
        <v>313</v>
      </c>
    </row>
    <row r="58" spans="1:105" ht="11.45" customHeight="1" x14ac:dyDescent="0.25">
      <c r="A58" s="10" t="s">
        <v>33</v>
      </c>
      <c r="B58" s="14">
        <v>394.21093109394468</v>
      </c>
      <c r="C58" s="14">
        <v>394.21661072466554</v>
      </c>
      <c r="D58" s="14">
        <v>394.22052594956722</v>
      </c>
      <c r="E58" s="14">
        <v>394.01217344416892</v>
      </c>
      <c r="F58" s="14">
        <v>392.93677491234678</v>
      </c>
      <c r="G58" s="14">
        <v>383.9050030967777</v>
      </c>
      <c r="H58" s="14">
        <v>381.62071459996105</v>
      </c>
      <c r="I58" s="14">
        <v>385.6998121903743</v>
      </c>
      <c r="J58" s="14">
        <v>392.07251916767251</v>
      </c>
      <c r="K58" s="14">
        <v>409.02438132836221</v>
      </c>
      <c r="L58" s="14">
        <v>425.1440834588376</v>
      </c>
      <c r="M58" s="14">
        <v>400.42601140759859</v>
      </c>
      <c r="N58" s="14">
        <v>404.60881578744505</v>
      </c>
      <c r="O58" s="14">
        <v>394.51304929999566</v>
      </c>
      <c r="P58" s="14">
        <v>389.75794198828703</v>
      </c>
      <c r="Q58" s="14">
        <v>384.01643737540638</v>
      </c>
      <c r="R58" s="14">
        <v>383.91083968616977</v>
      </c>
      <c r="S58" s="14">
        <v>385.53696308962674</v>
      </c>
      <c r="T58" s="14">
        <v>385.27840831681993</v>
      </c>
      <c r="U58" s="14">
        <v>391.2760530689888</v>
      </c>
      <c r="V58" s="14">
        <v>400.63423725338686</v>
      </c>
      <c r="W58" s="14">
        <v>419.36531776916024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389.92844355095957</v>
      </c>
      <c r="C60" s="87">
        <v>389.9313156627382</v>
      </c>
      <c r="D60" s="87">
        <v>389.63582805385289</v>
      </c>
      <c r="E60" s="87">
        <v>388.54101644435656</v>
      </c>
      <c r="F60" s="87">
        <v>385.79667981543344</v>
      </c>
      <c r="G60" s="87">
        <v>368.10060738082615</v>
      </c>
      <c r="H60" s="87">
        <v>370.37904190212316</v>
      </c>
      <c r="I60" s="87">
        <v>377.76419955449319</v>
      </c>
      <c r="J60" s="87">
        <v>383.92432700371512</v>
      </c>
      <c r="K60" s="87">
        <v>419.68944429208125</v>
      </c>
      <c r="L60" s="87">
        <v>411.75914695898518</v>
      </c>
      <c r="M60" s="87">
        <v>396.91505273759833</v>
      </c>
      <c r="N60" s="87">
        <v>401.74174887064891</v>
      </c>
      <c r="O60" s="87">
        <v>396.74504850768403</v>
      </c>
      <c r="P60" s="87">
        <v>391.32968524069236</v>
      </c>
      <c r="Q60" s="87">
        <v>383.47701260619721</v>
      </c>
      <c r="R60" s="87">
        <v>383.65647295336311</v>
      </c>
      <c r="S60" s="87">
        <v>384.9506625860227</v>
      </c>
      <c r="T60" s="87">
        <v>384.92340661270748</v>
      </c>
      <c r="U60" s="87">
        <v>392.05719196291045</v>
      </c>
      <c r="V60" s="87">
        <v>402.17556311146245</v>
      </c>
      <c r="W60" s="87">
        <v>372.20503866872252</v>
      </c>
      <c r="DA60" s="171" t="s">
        <v>316</v>
      </c>
    </row>
    <row r="61" spans="1:105" ht="11.45" customHeight="1" x14ac:dyDescent="0.25">
      <c r="A61" s="83" t="s">
        <v>174</v>
      </c>
      <c r="B61" s="87">
        <v>425.66924143516576</v>
      </c>
      <c r="C61" s="87">
        <v>425.6692414351657</v>
      </c>
      <c r="D61" s="87">
        <v>425.66924143516576</v>
      </c>
      <c r="E61" s="87">
        <v>425.6692414351657</v>
      </c>
      <c r="F61" s="87">
        <v>425.6692414351657</v>
      </c>
      <c r="G61" s="87">
        <v>462.57357871870283</v>
      </c>
      <c r="H61" s="87">
        <v>437.4394133559091</v>
      </c>
      <c r="I61" s="87">
        <v>426.30428214131427</v>
      </c>
      <c r="J61" s="87">
        <v>425.17968301302483</v>
      </c>
      <c r="K61" s="87">
        <v>374.98586740485382</v>
      </c>
      <c r="L61" s="87">
        <v>457.51761184930456</v>
      </c>
      <c r="M61" s="87">
        <v>411.83807789704758</v>
      </c>
      <c r="N61" s="87">
        <v>410.22706246090894</v>
      </c>
      <c r="O61" s="87">
        <v>387.64719047843028</v>
      </c>
      <c r="P61" s="87">
        <v>384.55577134087503</v>
      </c>
      <c r="Q61" s="87">
        <v>385.60227436875897</v>
      </c>
      <c r="R61" s="87">
        <v>385.20328331665542</v>
      </c>
      <c r="S61" s="87">
        <v>388.04547624476027</v>
      </c>
      <c r="T61" s="87">
        <v>386.6006936650702</v>
      </c>
      <c r="U61" s="87">
        <v>388.81704319373819</v>
      </c>
      <c r="V61" s="87">
        <v>393.89913009194305</v>
      </c>
      <c r="W61" s="87">
        <v>511.00988749123627</v>
      </c>
      <c r="DA61" s="171" t="s">
        <v>317</v>
      </c>
    </row>
    <row r="62" spans="1:105" ht="11.45" customHeight="1" x14ac:dyDescent="0.25">
      <c r="A62" s="12" t="s">
        <v>34</v>
      </c>
      <c r="B62" s="15">
        <v>452.25929363794899</v>
      </c>
      <c r="C62" s="15">
        <v>451.06763760088643</v>
      </c>
      <c r="D62" s="15">
        <v>476.22605812675101</v>
      </c>
      <c r="E62" s="15">
        <v>508.99543639908967</v>
      </c>
      <c r="F62" s="15">
        <v>528.34396457165303</v>
      </c>
      <c r="G62" s="15">
        <v>473.33577224559519</v>
      </c>
      <c r="H62" s="15">
        <v>443.72734912118369</v>
      </c>
      <c r="I62" s="15">
        <v>430.07835021542036</v>
      </c>
      <c r="J62" s="15">
        <v>412.49684085410769</v>
      </c>
      <c r="K62" s="15">
        <v>453.21381408589855</v>
      </c>
      <c r="L62" s="15">
        <v>417.19214343251605</v>
      </c>
      <c r="M62" s="15">
        <v>424.37460714189103</v>
      </c>
      <c r="N62" s="15">
        <v>428.62323193311704</v>
      </c>
      <c r="O62" s="15">
        <v>416.38693468508762</v>
      </c>
      <c r="P62" s="15">
        <v>402.09365637166059</v>
      </c>
      <c r="Q62" s="15">
        <v>382.31247551036404</v>
      </c>
      <c r="R62" s="15">
        <v>368.85446301380148</v>
      </c>
      <c r="S62" s="15">
        <v>372.47216766609085</v>
      </c>
      <c r="T62" s="15">
        <v>373.99936509051514</v>
      </c>
      <c r="U62" s="15">
        <v>390.61732482057886</v>
      </c>
      <c r="V62" s="15">
        <v>397.39976078274543</v>
      </c>
      <c r="W62" s="15">
        <v>424.09269044603127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475.39545241589775</v>
      </c>
      <c r="C64" s="101">
        <v>474.119810666403</v>
      </c>
      <c r="D64" s="101">
        <v>507.6850607339959</v>
      </c>
      <c r="E64" s="101">
        <v>565.0430459451361</v>
      </c>
      <c r="F64" s="101">
        <v>584.98488588952353</v>
      </c>
      <c r="G64" s="101">
        <v>495.37253422641191</v>
      </c>
      <c r="H64" s="101">
        <v>461.64791932912226</v>
      </c>
      <c r="I64" s="101">
        <v>441.98173561552306</v>
      </c>
      <c r="J64" s="101">
        <v>419.59314005241106</v>
      </c>
      <c r="K64" s="101">
        <v>459.77114150981413</v>
      </c>
      <c r="L64" s="101">
        <v>429.20537312854157</v>
      </c>
      <c r="M64" s="101">
        <v>430.41802343482988</v>
      </c>
      <c r="N64" s="101">
        <v>435.82808759699452</v>
      </c>
      <c r="O64" s="101">
        <v>420.49329427848306</v>
      </c>
      <c r="P64" s="101">
        <v>405.42035069315602</v>
      </c>
      <c r="Q64" s="101">
        <v>385.81697166493285</v>
      </c>
      <c r="R64" s="101">
        <v>377.89897553983258</v>
      </c>
      <c r="S64" s="101">
        <v>374.44888099182458</v>
      </c>
      <c r="T64" s="101">
        <v>375.2040056989452</v>
      </c>
      <c r="U64" s="101">
        <v>375.39282061548408</v>
      </c>
      <c r="V64" s="101">
        <v>387.3223636360072</v>
      </c>
      <c r="W64" s="101">
        <v>352.68905222187544</v>
      </c>
      <c r="DA64" s="175" t="s">
        <v>320</v>
      </c>
    </row>
    <row r="65" spans="1:105" ht="11.45" customHeight="1" x14ac:dyDescent="0.25">
      <c r="A65" s="85" t="s">
        <v>174</v>
      </c>
      <c r="B65" s="88">
        <v>415.55270501050472</v>
      </c>
      <c r="C65" s="88">
        <v>415.55270501050472</v>
      </c>
      <c r="D65" s="88">
        <v>415.55270501050478</v>
      </c>
      <c r="E65" s="88">
        <v>415.55270501050472</v>
      </c>
      <c r="F65" s="88">
        <v>415.55270501050478</v>
      </c>
      <c r="G65" s="88">
        <v>448.73202632463875</v>
      </c>
      <c r="H65" s="88">
        <v>404.37997627051118</v>
      </c>
      <c r="I65" s="88">
        <v>376.84076188294512</v>
      </c>
      <c r="J65" s="88">
        <v>359.71005053630188</v>
      </c>
      <c r="K65" s="88">
        <v>324.50845235689815</v>
      </c>
      <c r="L65" s="88">
        <v>348.66152291408599</v>
      </c>
      <c r="M65" s="88">
        <v>330.07438111189452</v>
      </c>
      <c r="N65" s="88">
        <v>332.224290293872</v>
      </c>
      <c r="O65" s="88">
        <v>312.84875082683624</v>
      </c>
      <c r="P65" s="88">
        <v>312.30543387418339</v>
      </c>
      <c r="Q65" s="88">
        <v>308.03230111909039</v>
      </c>
      <c r="R65" s="88">
        <v>321.56442755533817</v>
      </c>
      <c r="S65" s="88">
        <v>344.14823805485304</v>
      </c>
      <c r="T65" s="88">
        <v>343.01213367785522</v>
      </c>
      <c r="U65" s="88">
        <v>625.91303000889752</v>
      </c>
      <c r="V65" s="88">
        <v>641.79450430007546</v>
      </c>
      <c r="W65" s="88">
        <v>886.24842030911464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0.59838137432155292</v>
      </c>
      <c r="C67" s="59">
        <f t="shared" ref="C67:W67" si="60">IF(C3=0,0,C17/C57)</f>
        <v>0.59698761424818281</v>
      </c>
      <c r="D67" s="59">
        <f t="shared" si="60"/>
        <v>0.63312692096108814</v>
      </c>
      <c r="E67" s="59">
        <f t="shared" si="60"/>
        <v>0.73141370848880904</v>
      </c>
      <c r="F67" s="59">
        <f t="shared" si="60"/>
        <v>0.89298712506545885</v>
      </c>
      <c r="G67" s="59">
        <f t="shared" si="60"/>
        <v>1.0528562994804904</v>
      </c>
      <c r="H67" s="59">
        <f t="shared" si="60"/>
        <v>1.0955822198509113</v>
      </c>
      <c r="I67" s="59">
        <f t="shared" si="60"/>
        <v>1.0995235789122058</v>
      </c>
      <c r="J67" s="59">
        <f t="shared" si="60"/>
        <v>1.1318007274538946</v>
      </c>
      <c r="K67" s="59">
        <f t="shared" si="60"/>
        <v>0.92853428397518289</v>
      </c>
      <c r="L67" s="59">
        <f t="shared" si="60"/>
        <v>0.70632304056369466</v>
      </c>
      <c r="M67" s="59">
        <f t="shared" si="60"/>
        <v>0.8329356310622269</v>
      </c>
      <c r="N67" s="59">
        <f t="shared" si="60"/>
        <v>0.80797291911583746</v>
      </c>
      <c r="O67" s="59">
        <f t="shared" si="60"/>
        <v>1.0155451061680507</v>
      </c>
      <c r="P67" s="59">
        <f t="shared" si="60"/>
        <v>0.96966751500998027</v>
      </c>
      <c r="Q67" s="59">
        <f t="shared" si="60"/>
        <v>0.86133116242020435</v>
      </c>
      <c r="R67" s="59">
        <f t="shared" si="60"/>
        <v>0.81414873211582939</v>
      </c>
      <c r="S67" s="59">
        <f t="shared" si="60"/>
        <v>0.91979756380112665</v>
      </c>
      <c r="T67" s="59">
        <f t="shared" si="60"/>
        <v>0.95231443346559808</v>
      </c>
      <c r="U67" s="59">
        <f t="shared" si="60"/>
        <v>0.95908167744040729</v>
      </c>
      <c r="V67" s="59">
        <f t="shared" si="60"/>
        <v>1.0337891245178823</v>
      </c>
      <c r="W67" s="59">
        <f t="shared" si="60"/>
        <v>1.101882490121209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0.59833576406166455</v>
      </c>
      <c r="C68" s="23">
        <f t="shared" ref="C68:W68" si="62">IF(C6=0,0,C18/C58)</f>
        <v>0.59697490382266083</v>
      </c>
      <c r="D68" s="23">
        <f t="shared" si="62"/>
        <v>0.63293135834009306</v>
      </c>
      <c r="E68" s="23">
        <f t="shared" si="62"/>
        <v>0.73154135306420875</v>
      </c>
      <c r="F68" s="23">
        <f t="shared" si="62"/>
        <v>0.89294959260935769</v>
      </c>
      <c r="G68" s="23">
        <f t="shared" si="62"/>
        <v>1.054028623246033</v>
      </c>
      <c r="H68" s="23">
        <f t="shared" si="62"/>
        <v>1.0955469854879589</v>
      </c>
      <c r="I68" s="23">
        <f t="shared" si="62"/>
        <v>1.098416561614471</v>
      </c>
      <c r="J68" s="23">
        <f t="shared" si="62"/>
        <v>1.1294634972243713</v>
      </c>
      <c r="K68" s="23">
        <f t="shared" si="62"/>
        <v>0.92706685642020825</v>
      </c>
      <c r="L68" s="23">
        <f t="shared" si="62"/>
        <v>0.70488426713072749</v>
      </c>
      <c r="M68" s="23">
        <f t="shared" si="62"/>
        <v>0.83214142923309087</v>
      </c>
      <c r="N68" s="23">
        <f t="shared" si="62"/>
        <v>0.80629802192959998</v>
      </c>
      <c r="O68" s="23">
        <f t="shared" si="62"/>
        <v>1.0140312833231189</v>
      </c>
      <c r="P68" s="23">
        <f t="shared" si="62"/>
        <v>0.96853294164167791</v>
      </c>
      <c r="Q68" s="23">
        <f t="shared" si="62"/>
        <v>0.86013693335075603</v>
      </c>
      <c r="R68" s="23">
        <f t="shared" si="62"/>
        <v>0.81421844112728814</v>
      </c>
      <c r="S68" s="23">
        <f t="shared" si="62"/>
        <v>0.9192765255548212</v>
      </c>
      <c r="T68" s="23">
        <f t="shared" si="62"/>
        <v>0.95252236035964144</v>
      </c>
      <c r="U68" s="23">
        <f t="shared" si="62"/>
        <v>0.95960539802600664</v>
      </c>
      <c r="V68" s="23">
        <f t="shared" si="62"/>
        <v>1.0334068522922149</v>
      </c>
      <c r="W68" s="23">
        <f t="shared" si="62"/>
        <v>1.0972565720689802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0.63367789270805663</v>
      </c>
      <c r="C70" s="91">
        <f t="shared" ref="C70:W70" si="64">IF(C8=0,0,C20/C60)</f>
        <v>0.63226220057583327</v>
      </c>
      <c r="D70" s="91">
        <f t="shared" si="64"/>
        <v>0.67284816148899351</v>
      </c>
      <c r="E70" s="91">
        <f t="shared" si="64"/>
        <v>0.78607028277696633</v>
      </c>
      <c r="F70" s="91">
        <f t="shared" si="64"/>
        <v>0.97740906076610334</v>
      </c>
      <c r="G70" s="91">
        <f t="shared" si="64"/>
        <v>1.182550767449037</v>
      </c>
      <c r="H70" s="91">
        <f t="shared" si="64"/>
        <v>1.2190837527865237</v>
      </c>
      <c r="I70" s="91">
        <f t="shared" si="64"/>
        <v>1.208297316374874</v>
      </c>
      <c r="J70" s="91">
        <f t="shared" si="64"/>
        <v>1.2888411722173667</v>
      </c>
      <c r="K70" s="91">
        <f t="shared" si="64"/>
        <v>1.0463192185474359</v>
      </c>
      <c r="L70" s="91">
        <f t="shared" si="64"/>
        <v>0.90616933742234818</v>
      </c>
      <c r="M70" s="91">
        <f t="shared" si="64"/>
        <v>0.98842747381453033</v>
      </c>
      <c r="N70" s="91">
        <f t="shared" si="64"/>
        <v>1.0922218944836157</v>
      </c>
      <c r="O70" s="91">
        <f t="shared" si="64"/>
        <v>1.1801722763403693</v>
      </c>
      <c r="P70" s="91">
        <f t="shared" si="64"/>
        <v>1.1103061442874957</v>
      </c>
      <c r="Q70" s="91">
        <f t="shared" si="64"/>
        <v>1.0205579172999162</v>
      </c>
      <c r="R70" s="91">
        <f t="shared" si="64"/>
        <v>0.86478379421499874</v>
      </c>
      <c r="S70" s="91">
        <f t="shared" si="64"/>
        <v>1.011584902385285</v>
      </c>
      <c r="T70" s="91">
        <f t="shared" si="64"/>
        <v>1.0821624369697009</v>
      </c>
      <c r="U70" s="91">
        <f t="shared" si="64"/>
        <v>1.1256426674278717</v>
      </c>
      <c r="V70" s="91">
        <f t="shared" si="64"/>
        <v>1.0901359746632193</v>
      </c>
      <c r="W70" s="91">
        <f t="shared" si="64"/>
        <v>1.6415734007687024</v>
      </c>
      <c r="DA70" s="171"/>
    </row>
    <row r="71" spans="1:105" ht="11.45" customHeight="1" x14ac:dyDescent="0.25">
      <c r="A71" s="83" t="s">
        <v>174</v>
      </c>
      <c r="B71" s="91">
        <f t="shared" si="61"/>
        <v>0.36051781236719704</v>
      </c>
      <c r="C71" s="91">
        <f t="shared" ref="C71:W71" si="65">IF(C9=0,0,C21/C61)</f>
        <v>0.35972257680937336</v>
      </c>
      <c r="D71" s="91">
        <f t="shared" si="65"/>
        <v>0.38230049197358273</v>
      </c>
      <c r="E71" s="91">
        <f t="shared" si="65"/>
        <v>0.44354758671171107</v>
      </c>
      <c r="F71" s="91">
        <f t="shared" si="65"/>
        <v>0.54202864379866988</v>
      </c>
      <c r="G71" s="91">
        <f t="shared" si="65"/>
        <v>0.54494741619964526</v>
      </c>
      <c r="H71" s="91">
        <f t="shared" si="65"/>
        <v>0.57618100698808539</v>
      </c>
      <c r="I71" s="91">
        <f t="shared" si="65"/>
        <v>0.60020233827751213</v>
      </c>
      <c r="J71" s="91">
        <f t="shared" si="65"/>
        <v>0.5447254806295958</v>
      </c>
      <c r="K71" s="91">
        <f t="shared" si="65"/>
        <v>0.50108872547093108</v>
      </c>
      <c r="L71" s="91">
        <f t="shared" si="65"/>
        <v>0.26673637866099781</v>
      </c>
      <c r="M71" s="91">
        <f t="shared" si="65"/>
        <v>0.34255446331046946</v>
      </c>
      <c r="N71" s="91">
        <f t="shared" si="65"/>
        <v>0.25759664522172848</v>
      </c>
      <c r="O71" s="91">
        <f t="shared" si="65"/>
        <v>0.49097007892508787</v>
      </c>
      <c r="P71" s="91">
        <f t="shared" si="65"/>
        <v>0.49102499889870094</v>
      </c>
      <c r="Q71" s="91">
        <f t="shared" si="65"/>
        <v>0.39111993324556915</v>
      </c>
      <c r="R71" s="91">
        <f t="shared" si="65"/>
        <v>0.55832633271223531</v>
      </c>
      <c r="S71" s="91">
        <f t="shared" si="65"/>
        <v>0.52748081533846403</v>
      </c>
      <c r="T71" s="91">
        <f t="shared" si="65"/>
        <v>0.47174310700734629</v>
      </c>
      <c r="U71" s="91">
        <f t="shared" si="65"/>
        <v>0.4325676465515722</v>
      </c>
      <c r="V71" s="91">
        <f t="shared" si="65"/>
        <v>0.78030998632398541</v>
      </c>
      <c r="W71" s="91">
        <f t="shared" si="65"/>
        <v>0.32682321809616899</v>
      </c>
      <c r="DA71" s="171"/>
    </row>
    <row r="72" spans="1:105" ht="11.45" customHeight="1" x14ac:dyDescent="0.25">
      <c r="A72" s="12" t="s">
        <v>34</v>
      </c>
      <c r="B72" s="24">
        <f t="shared" si="61"/>
        <v>0.60178040338603489</v>
      </c>
      <c r="C72" s="24">
        <f t="shared" ref="C72:W72" si="66">IF(C10=0,0,C22/C62)</f>
        <v>0.59784914794186061</v>
      </c>
      <c r="D72" s="24">
        <f t="shared" si="66"/>
        <v>0.6487370062828246</v>
      </c>
      <c r="E72" s="24">
        <f t="shared" si="66"/>
        <v>0.72195169533663917</v>
      </c>
      <c r="F72" s="24">
        <f t="shared" si="66"/>
        <v>0.89635607412250584</v>
      </c>
      <c r="G72" s="24">
        <f t="shared" si="66"/>
        <v>0.94454404969442796</v>
      </c>
      <c r="H72" s="24">
        <f t="shared" si="66"/>
        <v>1.0994913680708962</v>
      </c>
      <c r="I72" s="24">
        <f t="shared" si="66"/>
        <v>1.2439633186362844</v>
      </c>
      <c r="J72" s="24">
        <f t="shared" si="66"/>
        <v>1.4744451728688377</v>
      </c>
      <c r="K72" s="24">
        <f t="shared" si="66"/>
        <v>1.1125706148935219</v>
      </c>
      <c r="L72" s="24">
        <f t="shared" si="66"/>
        <v>0.85905000767123385</v>
      </c>
      <c r="M72" s="24">
        <f t="shared" si="66"/>
        <v>0.92978456776116936</v>
      </c>
      <c r="N72" s="24">
        <f t="shared" si="66"/>
        <v>1.0294688493320925</v>
      </c>
      <c r="O72" s="24">
        <f t="shared" si="66"/>
        <v>1.1436546892925059</v>
      </c>
      <c r="P72" s="24">
        <f t="shared" si="66"/>
        <v>1.0658673725523828</v>
      </c>
      <c r="Q72" s="24">
        <f t="shared" si="66"/>
        <v>0.97432075494145332</v>
      </c>
      <c r="R72" s="24">
        <f t="shared" si="66"/>
        <v>0.80838125449146048</v>
      </c>
      <c r="S72" s="24">
        <f t="shared" si="66"/>
        <v>0.96858829599671115</v>
      </c>
      <c r="T72" s="24">
        <f t="shared" si="66"/>
        <v>0.93220546484012379</v>
      </c>
      <c r="U72" s="24">
        <f t="shared" si="66"/>
        <v>0.91392220668125834</v>
      </c>
      <c r="V72" s="24">
        <f t="shared" si="66"/>
        <v>1.0464874085493978</v>
      </c>
      <c r="W72" s="24">
        <f t="shared" si="66"/>
        <v>1.250832809600154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0.75456891499487844</v>
      </c>
      <c r="C74" s="93">
        <f t="shared" ref="C74:W74" si="68">IF(C12=0,0,C24/C64)</f>
        <v>0.75378503241534189</v>
      </c>
      <c r="D74" s="93">
        <f t="shared" si="68"/>
        <v>0.77803848041304213</v>
      </c>
      <c r="E74" s="93">
        <f t="shared" si="68"/>
        <v>0.86432689029849497</v>
      </c>
      <c r="F74" s="93">
        <f t="shared" si="68"/>
        <v>1.0420899777043184</v>
      </c>
      <c r="G74" s="93">
        <f t="shared" si="68"/>
        <v>1.3129655302068279</v>
      </c>
      <c r="H74" s="93">
        <f t="shared" si="68"/>
        <v>1.3312508429298437</v>
      </c>
      <c r="I74" s="93">
        <f t="shared" si="68"/>
        <v>1.3781295873412782</v>
      </c>
      <c r="J74" s="93">
        <f t="shared" si="68"/>
        <v>1.5878706963453399</v>
      </c>
      <c r="K74" s="93">
        <f t="shared" si="68"/>
        <v>1.1363611366777333</v>
      </c>
      <c r="L74" s="93">
        <f t="shared" si="68"/>
        <v>0.94719460632847208</v>
      </c>
      <c r="M74" s="93">
        <f t="shared" si="68"/>
        <v>0.96032830551289383</v>
      </c>
      <c r="N74" s="93">
        <f t="shared" si="68"/>
        <v>1.0749123399744973</v>
      </c>
      <c r="O74" s="93">
        <f t="shared" si="68"/>
        <v>1.1643624803549604</v>
      </c>
      <c r="P74" s="93">
        <f t="shared" si="68"/>
        <v>1.0836753148313785</v>
      </c>
      <c r="Q74" s="93">
        <f t="shared" si="68"/>
        <v>0.99776176653950599</v>
      </c>
      <c r="R74" s="93">
        <f t="shared" si="68"/>
        <v>0.85816294245442959</v>
      </c>
      <c r="S74" s="93">
        <f t="shared" si="68"/>
        <v>1.0002652304852266</v>
      </c>
      <c r="T74" s="93">
        <f t="shared" si="68"/>
        <v>0.95024684366386281</v>
      </c>
      <c r="U74" s="93">
        <f t="shared" si="68"/>
        <v>0.97051939414601629</v>
      </c>
      <c r="V74" s="93">
        <f t="shared" si="68"/>
        <v>1.0700054648017741</v>
      </c>
      <c r="W74" s="93">
        <f t="shared" si="68"/>
        <v>1.6222547864548633</v>
      </c>
      <c r="DA74" s="175"/>
    </row>
    <row r="75" spans="1:105" ht="11.45" customHeight="1" x14ac:dyDescent="0.25">
      <c r="A75" s="85" t="s">
        <v>174</v>
      </c>
      <c r="B75" s="94">
        <f t="shared" si="61"/>
        <v>0.32446603113047745</v>
      </c>
      <c r="C75" s="94">
        <f t="shared" ref="C75:W75" si="69">IF(C13=0,0,C25/C65)</f>
        <v>0.32375031912843605</v>
      </c>
      <c r="D75" s="94">
        <f t="shared" si="69"/>
        <v>0.34407044277622451</v>
      </c>
      <c r="E75" s="94">
        <f t="shared" si="69"/>
        <v>0.3991928280405399</v>
      </c>
      <c r="F75" s="94">
        <f t="shared" si="69"/>
        <v>0.48782577941880279</v>
      </c>
      <c r="G75" s="94">
        <f t="shared" si="69"/>
        <v>0.49045267457968089</v>
      </c>
      <c r="H75" s="94">
        <f t="shared" si="69"/>
        <v>0.51856290628927693</v>
      </c>
      <c r="I75" s="94">
        <f t="shared" si="69"/>
        <v>0.54018210444976078</v>
      </c>
      <c r="J75" s="94">
        <f t="shared" si="69"/>
        <v>0.49025293256663616</v>
      </c>
      <c r="K75" s="94">
        <f t="shared" si="69"/>
        <v>0.45097985292383796</v>
      </c>
      <c r="L75" s="94">
        <f t="shared" si="69"/>
        <v>0.24006274079489803</v>
      </c>
      <c r="M75" s="94">
        <f t="shared" si="69"/>
        <v>0.30829901697942252</v>
      </c>
      <c r="N75" s="94">
        <f t="shared" si="69"/>
        <v>0.23183698069955561</v>
      </c>
      <c r="O75" s="94">
        <f t="shared" si="69"/>
        <v>0.44187307103257922</v>
      </c>
      <c r="P75" s="94">
        <f t="shared" si="69"/>
        <v>0.44192249900883085</v>
      </c>
      <c r="Q75" s="94">
        <f t="shared" si="69"/>
        <v>0.35200793992101242</v>
      </c>
      <c r="R75" s="94">
        <f t="shared" si="69"/>
        <v>0.50249369944101197</v>
      </c>
      <c r="S75" s="94">
        <f t="shared" si="69"/>
        <v>0.4747327338046175</v>
      </c>
      <c r="T75" s="94">
        <f t="shared" si="69"/>
        <v>0.42456879630661171</v>
      </c>
      <c r="U75" s="94">
        <f t="shared" si="69"/>
        <v>0.38931088189641505</v>
      </c>
      <c r="V75" s="94">
        <f t="shared" si="69"/>
        <v>0.70227898769158681</v>
      </c>
      <c r="W75" s="94">
        <f t="shared" si="69"/>
        <v>0.2941408962865521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61.834028760000024</v>
      </c>
      <c r="C3" s="79">
        <f t="shared" si="0"/>
        <v>51.108993360000007</v>
      </c>
      <c r="D3" s="79">
        <f t="shared" ref="D3" si="1">SUM(D4:D5)</f>
        <v>53.66270879999999</v>
      </c>
      <c r="E3" s="79">
        <f t="shared" ref="E3" si="2">SUM(E4:E5)</f>
        <v>62.325565920000024</v>
      </c>
      <c r="F3" s="79">
        <f t="shared" ref="F3" si="3">SUM(F4:F5)</f>
        <v>96.232520520000023</v>
      </c>
      <c r="G3" s="79">
        <f t="shared" ref="G3" si="4">SUM(G4:G5)</f>
        <v>152.26032276000004</v>
      </c>
      <c r="H3" s="79">
        <f t="shared" ref="H3" si="5">SUM(H4:H5)</f>
        <v>155.99806560000005</v>
      </c>
      <c r="I3" s="79">
        <f t="shared" ref="I3" si="6">SUM(I4:I5)</f>
        <v>177.93049859999994</v>
      </c>
      <c r="J3" s="79">
        <f t="shared" ref="J3" si="7">SUM(J4:J5)</f>
        <v>203.34418632000003</v>
      </c>
      <c r="K3" s="79">
        <f t="shared" ref="K3" si="8">SUM(K4:K5)</f>
        <v>110.40768432000003</v>
      </c>
      <c r="L3" s="79">
        <f t="shared" ref="L3" si="9">SUM(L4:L5)</f>
        <v>101.27166768000001</v>
      </c>
      <c r="M3" s="79">
        <f t="shared" ref="M3" si="10">SUM(M4:M5)</f>
        <v>136.61911692000004</v>
      </c>
      <c r="N3" s="79">
        <f t="shared" ref="N3" si="11">SUM(N4:N5)</f>
        <v>179.77939272</v>
      </c>
      <c r="O3" s="79">
        <f t="shared" ref="O3" si="12">SUM(O4:O5)</f>
        <v>143.43023267999999</v>
      </c>
      <c r="P3" s="79">
        <f t="shared" ref="P3" si="13">SUM(P4:P5)</f>
        <v>143.50115483999997</v>
      </c>
      <c r="Q3" s="79">
        <f t="shared" ref="Q3" si="14">SUM(Q4:Q5)</f>
        <v>150.46369200000001</v>
      </c>
      <c r="R3" s="79">
        <f t="shared" ref="R3" si="15">SUM(R4:R5)</f>
        <v>137.97647388000004</v>
      </c>
      <c r="S3" s="79">
        <f t="shared" ref="S3" si="16">SUM(S4:S5)</f>
        <v>179.57516795999999</v>
      </c>
      <c r="T3" s="79">
        <f t="shared" ref="T3" si="17">SUM(T4:T5)</f>
        <v>208.93409496000004</v>
      </c>
      <c r="U3" s="79">
        <f t="shared" ref="U3" si="18">SUM(U4:U5)</f>
        <v>206.14535279999998</v>
      </c>
      <c r="V3" s="79">
        <f t="shared" ref="V3:W3" si="19">SUM(V4:V5)</f>
        <v>72.253115280000003</v>
      </c>
      <c r="W3" s="79">
        <f t="shared" si="19"/>
        <v>129.56080896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61.834028760000024</v>
      </c>
      <c r="C5" s="96">
        <f t="shared" si="23"/>
        <v>51.108993360000007</v>
      </c>
      <c r="D5" s="96">
        <f t="shared" ref="D5:V5" si="24">SUM(D8:D9,D12:D13)</f>
        <v>53.66270879999999</v>
      </c>
      <c r="E5" s="96">
        <f t="shared" si="24"/>
        <v>62.325565920000024</v>
      </c>
      <c r="F5" s="96">
        <f t="shared" si="24"/>
        <v>96.232520520000023</v>
      </c>
      <c r="G5" s="96">
        <f t="shared" si="24"/>
        <v>152.26032276000004</v>
      </c>
      <c r="H5" s="96">
        <f t="shared" si="24"/>
        <v>155.99806560000005</v>
      </c>
      <c r="I5" s="96">
        <f t="shared" si="24"/>
        <v>177.93049859999994</v>
      </c>
      <c r="J5" s="96">
        <f t="shared" si="24"/>
        <v>203.34418632000003</v>
      </c>
      <c r="K5" s="96">
        <f t="shared" si="24"/>
        <v>110.40768432000003</v>
      </c>
      <c r="L5" s="96">
        <f t="shared" si="24"/>
        <v>101.27166768000001</v>
      </c>
      <c r="M5" s="96">
        <f t="shared" si="24"/>
        <v>136.61911692000004</v>
      </c>
      <c r="N5" s="96">
        <f t="shared" si="24"/>
        <v>179.77939272</v>
      </c>
      <c r="O5" s="96">
        <f t="shared" si="24"/>
        <v>143.43023267999999</v>
      </c>
      <c r="P5" s="96">
        <f t="shared" si="24"/>
        <v>143.50115483999997</v>
      </c>
      <c r="Q5" s="96">
        <f t="shared" si="24"/>
        <v>150.46369200000001</v>
      </c>
      <c r="R5" s="96">
        <f t="shared" si="24"/>
        <v>137.97647388000004</v>
      </c>
      <c r="S5" s="96">
        <f t="shared" si="24"/>
        <v>179.57516795999999</v>
      </c>
      <c r="T5" s="96">
        <f t="shared" si="24"/>
        <v>208.93409496000004</v>
      </c>
      <c r="U5" s="96">
        <f t="shared" si="24"/>
        <v>206.14535279999998</v>
      </c>
      <c r="V5" s="96">
        <f t="shared" si="24"/>
        <v>72.253115280000003</v>
      </c>
      <c r="W5" s="96">
        <f t="shared" ref="W5" si="25">SUM(W8:W9,W12:W13)</f>
        <v>129.56080896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61.010637392562643</v>
      </c>
      <c r="C6" s="21">
        <f t="shared" si="26"/>
        <v>50.364859628483856</v>
      </c>
      <c r="D6" s="21">
        <f t="shared" ref="D6:V6" si="27">SUM(D7:D9)</f>
        <v>52.982371897651348</v>
      </c>
      <c r="E6" s="21">
        <f t="shared" si="27"/>
        <v>61.506704270833453</v>
      </c>
      <c r="F6" s="21">
        <f t="shared" si="27"/>
        <v>95.16823493896861</v>
      </c>
      <c r="G6" s="21">
        <f t="shared" si="27"/>
        <v>150.79769268039843</v>
      </c>
      <c r="H6" s="21">
        <f t="shared" si="27"/>
        <v>154.5995946381851</v>
      </c>
      <c r="I6" s="21">
        <f t="shared" si="27"/>
        <v>176.39939246478929</v>
      </c>
      <c r="J6" s="21">
        <f t="shared" si="27"/>
        <v>201.54946969008145</v>
      </c>
      <c r="K6" s="21">
        <f t="shared" si="27"/>
        <v>109.36119958114674</v>
      </c>
      <c r="L6" s="21">
        <f t="shared" si="27"/>
        <v>100.12217139782489</v>
      </c>
      <c r="M6" s="21">
        <f t="shared" si="27"/>
        <v>135.37868903870228</v>
      </c>
      <c r="N6" s="21">
        <f t="shared" si="27"/>
        <v>178.06026935247939</v>
      </c>
      <c r="O6" s="21">
        <f t="shared" si="27"/>
        <v>141.54385770472174</v>
      </c>
      <c r="P6" s="21">
        <f t="shared" si="27"/>
        <v>141.66249322754396</v>
      </c>
      <c r="Q6" s="21">
        <f t="shared" si="27"/>
        <v>148.68358309701372</v>
      </c>
      <c r="R6" s="21">
        <f t="shared" si="27"/>
        <v>136.34040015594678</v>
      </c>
      <c r="S6" s="21">
        <f t="shared" si="27"/>
        <v>177.57709081847628</v>
      </c>
      <c r="T6" s="21">
        <f t="shared" si="27"/>
        <v>206.84097599286054</v>
      </c>
      <c r="U6" s="21">
        <f t="shared" si="27"/>
        <v>203.8933423878064</v>
      </c>
      <c r="V6" s="21">
        <f t="shared" si="27"/>
        <v>70.115620035126895</v>
      </c>
      <c r="W6" s="21">
        <f t="shared" ref="W6" si="28">SUM(W7:W9)</f>
        <v>125.1307292042615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56.254407934895134</v>
      </c>
      <c r="C8" s="96">
        <v>46.435443828946461</v>
      </c>
      <c r="D8" s="96">
        <v>48.585761359939454</v>
      </c>
      <c r="E8" s="96">
        <v>55.569781277104369</v>
      </c>
      <c r="F8" s="96">
        <v>83.961818420667484</v>
      </c>
      <c r="G8" s="96">
        <v>135.08233532422994</v>
      </c>
      <c r="H8" s="96">
        <v>138.97577442132012</v>
      </c>
      <c r="I8" s="96">
        <v>158.98220955576284</v>
      </c>
      <c r="J8" s="96">
        <v>180.72978369878942</v>
      </c>
      <c r="K8" s="96">
        <v>96.432534198264833</v>
      </c>
      <c r="L8" s="96">
        <v>88.195720098653382</v>
      </c>
      <c r="M8" s="96">
        <v>121.89353681230442</v>
      </c>
      <c r="N8" s="96">
        <v>158.57212298693887</v>
      </c>
      <c r="O8" s="96">
        <v>125.02329450198039</v>
      </c>
      <c r="P8" s="96">
        <v>125.2206546408662</v>
      </c>
      <c r="Q8" s="96">
        <v>131.45245936715801</v>
      </c>
      <c r="R8" s="96">
        <v>120.91435545675618</v>
      </c>
      <c r="S8" s="96">
        <v>158.14811979565363</v>
      </c>
      <c r="T8" s="96">
        <v>185.08503044734741</v>
      </c>
      <c r="U8" s="96">
        <v>181.8747408430288</v>
      </c>
      <c r="V8" s="96">
        <v>60.421713501529027</v>
      </c>
      <c r="W8" s="96">
        <v>109.70032834609188</v>
      </c>
      <c r="DA8" s="171" t="s">
        <v>328</v>
      </c>
    </row>
    <row r="9" spans="1:105" ht="11.45" customHeight="1" x14ac:dyDescent="0.25">
      <c r="A9" s="83" t="s">
        <v>174</v>
      </c>
      <c r="B9" s="96">
        <v>4.7562294576675095</v>
      </c>
      <c r="C9" s="96">
        <v>3.9294157995373928</v>
      </c>
      <c r="D9" s="96">
        <v>4.3966105377118909</v>
      </c>
      <c r="E9" s="96">
        <v>5.9369229937290822</v>
      </c>
      <c r="F9" s="96">
        <v>11.206416518301126</v>
      </c>
      <c r="G9" s="96">
        <v>15.715357356168479</v>
      </c>
      <c r="H9" s="96">
        <v>15.623820216864976</v>
      </c>
      <c r="I9" s="96">
        <v>17.417182909026462</v>
      </c>
      <c r="J9" s="96">
        <v>20.819685991292022</v>
      </c>
      <c r="K9" s="96">
        <v>12.928665382881897</v>
      </c>
      <c r="L9" s="96">
        <v>11.926451299171507</v>
      </c>
      <c r="M9" s="96">
        <v>13.485152226397853</v>
      </c>
      <c r="N9" s="96">
        <v>19.488146365540516</v>
      </c>
      <c r="O9" s="96">
        <v>16.520563202741371</v>
      </c>
      <c r="P9" s="96">
        <v>16.441838586677751</v>
      </c>
      <c r="Q9" s="96">
        <v>17.231123729855714</v>
      </c>
      <c r="R9" s="96">
        <v>15.426044699190607</v>
      </c>
      <c r="S9" s="96">
        <v>19.428971022822644</v>
      </c>
      <c r="T9" s="96">
        <v>21.755945545513129</v>
      </c>
      <c r="U9" s="96">
        <v>22.018601544777592</v>
      </c>
      <c r="V9" s="96">
        <v>9.6939065335978718</v>
      </c>
      <c r="W9" s="96">
        <v>15.430400858169614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0.82339136743737917</v>
      </c>
      <c r="C10" s="22">
        <f t="shared" si="29"/>
        <v>0.74413373151615059</v>
      </c>
      <c r="D10" s="22">
        <f t="shared" ref="D10:V10" si="30">SUM(D11:D13)</f>
        <v>0.68033690234864774</v>
      </c>
      <c r="E10" s="22">
        <f t="shared" si="30"/>
        <v>0.81886164916656878</v>
      </c>
      <c r="F10" s="22">
        <f t="shared" si="30"/>
        <v>1.0642855810314071</v>
      </c>
      <c r="G10" s="22">
        <f t="shared" si="30"/>
        <v>1.4626300796016043</v>
      </c>
      <c r="H10" s="22">
        <f t="shared" si="30"/>
        <v>1.3984709618149425</v>
      </c>
      <c r="I10" s="22">
        <f t="shared" si="30"/>
        <v>1.5311061352106634</v>
      </c>
      <c r="J10" s="22">
        <f t="shared" si="30"/>
        <v>1.7947166299185622</v>
      </c>
      <c r="K10" s="22">
        <f t="shared" si="30"/>
        <v>1.0464847388533007</v>
      </c>
      <c r="L10" s="22">
        <f t="shared" si="30"/>
        <v>1.1494962821751304</v>
      </c>
      <c r="M10" s="22">
        <f t="shared" si="30"/>
        <v>1.2404278812977567</v>
      </c>
      <c r="N10" s="22">
        <f t="shared" si="30"/>
        <v>1.7191233675206228</v>
      </c>
      <c r="O10" s="22">
        <f t="shared" si="30"/>
        <v>1.8863749752782315</v>
      </c>
      <c r="P10" s="22">
        <f t="shared" si="30"/>
        <v>1.8386616124560196</v>
      </c>
      <c r="Q10" s="22">
        <f t="shared" si="30"/>
        <v>1.7801089029862911</v>
      </c>
      <c r="R10" s="22">
        <f t="shared" si="30"/>
        <v>1.6360737240532699</v>
      </c>
      <c r="S10" s="22">
        <f t="shared" si="30"/>
        <v>1.9980771415237304</v>
      </c>
      <c r="T10" s="22">
        <f t="shared" si="30"/>
        <v>2.0931189671394952</v>
      </c>
      <c r="U10" s="22">
        <f t="shared" si="30"/>
        <v>2.2520104121936027</v>
      </c>
      <c r="V10" s="22">
        <f t="shared" si="30"/>
        <v>2.1374952448731088</v>
      </c>
      <c r="W10" s="22">
        <f t="shared" ref="W10" si="31">SUM(W11:W13)</f>
        <v>4.4300797557385003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0.66568259525958728</v>
      </c>
      <c r="C12" s="97">
        <v>0.59801289968311599</v>
      </c>
      <c r="D12" s="97">
        <v>0.57282700327040725</v>
      </c>
      <c r="E12" s="97">
        <v>0.68026864507412799</v>
      </c>
      <c r="F12" s="97">
        <v>0.91199041083689036</v>
      </c>
      <c r="G12" s="97">
        <v>1.1224478366739339</v>
      </c>
      <c r="H12" s="97">
        <v>1.2103761738950678</v>
      </c>
      <c r="I12" s="97">
        <v>1.4246515294418693</v>
      </c>
      <c r="J12" s="97">
        <v>1.7330504388111694</v>
      </c>
      <c r="K12" s="97">
        <v>1.0317604549923804</v>
      </c>
      <c r="L12" s="97">
        <v>1.1094548888392863</v>
      </c>
      <c r="M12" s="97">
        <v>1.2211607789817711</v>
      </c>
      <c r="N12" s="97">
        <v>1.6982553192317282</v>
      </c>
      <c r="O12" s="97">
        <v>1.8654852400379673</v>
      </c>
      <c r="P12" s="97">
        <v>1.8175076996450947</v>
      </c>
      <c r="Q12" s="97">
        <v>1.7567632277773635</v>
      </c>
      <c r="R12" s="97">
        <v>1.4937292657585439</v>
      </c>
      <c r="S12" s="97">
        <v>1.9390480929884677</v>
      </c>
      <c r="T12" s="97">
        <v>2.0604014584954697</v>
      </c>
      <c r="U12" s="97">
        <v>2.1585945576542658</v>
      </c>
      <c r="V12" s="97">
        <v>2.0457555379995243</v>
      </c>
      <c r="W12" s="97">
        <v>4.138739853327511</v>
      </c>
      <c r="DA12" s="175" t="s">
        <v>332</v>
      </c>
    </row>
    <row r="13" spans="1:105" ht="11.45" customHeight="1" x14ac:dyDescent="0.25">
      <c r="A13" s="85" t="s">
        <v>174</v>
      </c>
      <c r="B13" s="98">
        <v>0.15770877217779194</v>
      </c>
      <c r="C13" s="98">
        <v>0.14612083183303459</v>
      </c>
      <c r="D13" s="98">
        <v>0.1075098990782405</v>
      </c>
      <c r="E13" s="98">
        <v>0.1385930040924408</v>
      </c>
      <c r="F13" s="98">
        <v>0.1522951701945168</v>
      </c>
      <c r="G13" s="98">
        <v>0.34018224292767035</v>
      </c>
      <c r="H13" s="98">
        <v>0.18809478791987469</v>
      </c>
      <c r="I13" s="98">
        <v>0.10645460576879411</v>
      </c>
      <c r="J13" s="98">
        <v>6.1666191107392763E-2</v>
      </c>
      <c r="K13" s="98">
        <v>1.4724283860920357E-2</v>
      </c>
      <c r="L13" s="98">
        <v>4.0041393335844049E-2</v>
      </c>
      <c r="M13" s="98">
        <v>1.9267102315985527E-2</v>
      </c>
      <c r="N13" s="98">
        <v>2.0868048288894565E-2</v>
      </c>
      <c r="O13" s="98">
        <v>2.0889735240264065E-2</v>
      </c>
      <c r="P13" s="98">
        <v>2.1153912810924918E-2</v>
      </c>
      <c r="Q13" s="98">
        <v>2.3345675208927632E-2</v>
      </c>
      <c r="R13" s="98">
        <v>0.142344458294726</v>
      </c>
      <c r="S13" s="98">
        <v>5.9029048535262779E-2</v>
      </c>
      <c r="T13" s="98">
        <v>3.2717508644025388E-2</v>
      </c>
      <c r="U13" s="98">
        <v>9.3415854539336887E-2</v>
      </c>
      <c r="V13" s="98">
        <v>9.1739706873584723E-2</v>
      </c>
      <c r="W13" s="98">
        <v>0.291339902410989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3.0103092000000018</v>
      </c>
      <c r="C19" s="98">
        <f>IF(C5=0,0,C5/TrAvia_ene!C5)</f>
        <v>3.0103091999999996</v>
      </c>
      <c r="D19" s="98">
        <f>IF(D5=0,0,D5/TrAvia_ene!D5)</f>
        <v>3.0103092</v>
      </c>
      <c r="E19" s="98">
        <f>IF(E5=0,0,E5/TrAvia_ene!E5)</f>
        <v>3.0103092000000018</v>
      </c>
      <c r="F19" s="98">
        <f>IF(F5=0,0,F5/TrAvia_ene!F5)</f>
        <v>3.0076784319852523</v>
      </c>
      <c r="G19" s="98">
        <f>IF(G5=0,0,G5/TrAvia_ene!G5)</f>
        <v>3.0020115614177429</v>
      </c>
      <c r="H19" s="98">
        <f>IF(H5=0,0,H5/TrAvia_ene!H5)</f>
        <v>3.0054443217390023</v>
      </c>
      <c r="I19" s="98">
        <f>IF(I5=0,0,I5/TrAvia_ene!I5)</f>
        <v>3.0103091999999991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3.0103092000000005</v>
      </c>
      <c r="M19" s="98">
        <f>IF(M5=0,0,M5/TrAvia_ene!M5)</f>
        <v>3.0103092000000018</v>
      </c>
      <c r="N19" s="98">
        <f>IF(N5=0,0,N5/TrAvia_ene!N5)</f>
        <v>3.0103092</v>
      </c>
      <c r="O19" s="98">
        <f>IF(O5=0,0,O5/TrAvia_ene!O5)</f>
        <v>3.0103092000000005</v>
      </c>
      <c r="P19" s="98">
        <f>IF(P5=0,0,P5/TrAvia_ene!P5)</f>
        <v>3.0103091999999996</v>
      </c>
      <c r="Q19" s="98">
        <f>IF(Q5=0,0,Q5/TrAvia_ene!Q5)</f>
        <v>3.0103092000000009</v>
      </c>
      <c r="R19" s="98">
        <f>IF(R5=0,0,R5/TrAvia_ene!R5)</f>
        <v>3.0103092000000014</v>
      </c>
      <c r="S19" s="98">
        <f>IF(S5=0,0,S5/TrAvia_ene!S5)</f>
        <v>3.0103092</v>
      </c>
      <c r="T19" s="98">
        <f>IF(T5=0,0,T5/TrAvia_ene!T5)</f>
        <v>3.0103092000000005</v>
      </c>
      <c r="U19" s="98">
        <f>IF(U5=0,0,U5/TrAvia_ene!U5)</f>
        <v>3.0103092000000009</v>
      </c>
      <c r="V19" s="98">
        <f>IF(V5=0,0,V5/TrAvia_ene!V5)</f>
        <v>3.0103091999999996</v>
      </c>
      <c r="W19" s="98">
        <f>IF(W5=0,0,W5/TrAvia_ene!W5)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7113.0612268950263</v>
      </c>
      <c r="C21" s="54">
        <f>IF(C3=0,0,C3/TrAvia_act!C13*1000)</f>
        <v>7097.5405853280208</v>
      </c>
      <c r="D21" s="54">
        <f>IF(D3=0,0,D3/TrAvia_act!D13*1000)</f>
        <v>7529.5221930738326</v>
      </c>
      <c r="E21" s="54">
        <f>IF(E3=0,0,E3/TrAvia_act!E13*1000)</f>
        <v>8701.4512651179102</v>
      </c>
      <c r="F21" s="54">
        <f>IF(F3=0,0,F3/TrAvia_act!F13*1000)</f>
        <v>10583.452086139931</v>
      </c>
      <c r="G21" s="54">
        <f>IF(G3=0,0,G3/TrAvia_act!G13*1000)</f>
        <v>12158.632536399506</v>
      </c>
      <c r="H21" s="54">
        <f>IF(H3=0,0,H3/TrAvia_act!H13*1000)</f>
        <v>12581.398968577085</v>
      </c>
      <c r="I21" s="54">
        <f>IF(I3=0,0,I3/TrAvia_act!I13*1000)</f>
        <v>12776.328299095434</v>
      </c>
      <c r="J21" s="54">
        <f>IF(J3=0,0,J3/TrAvia_act!J13*1000)</f>
        <v>13362.668292650513</v>
      </c>
      <c r="K21" s="54">
        <f>IF(K3=0,0,K3/TrAvia_act!K13*1000)</f>
        <v>11441.773424709627</v>
      </c>
      <c r="L21" s="54">
        <f>IF(L3=0,0,L3/TrAvia_act!L13*1000)</f>
        <v>9038.0215145996608</v>
      </c>
      <c r="M21" s="54">
        <f>IF(M3=0,0,M3/TrAvia_act!M13*1000)</f>
        <v>10044.867626308825</v>
      </c>
      <c r="N21" s="54">
        <f>IF(N3=0,0,N3/TrAvia_act!N13*1000)</f>
        <v>9845.2308302166348</v>
      </c>
      <c r="O21" s="54">
        <f>IF(O3=0,0,O3/TrAvia_act!O13*1000)</f>
        <v>12068.081140855635</v>
      </c>
      <c r="P21" s="54">
        <f>IF(P3=0,0,P3/TrAvia_act!P13*1000)</f>
        <v>11381.100524958807</v>
      </c>
      <c r="Q21" s="54">
        <f>IF(Q3=0,0,Q3/TrAvia_act!Q13*1000)</f>
        <v>9956.5948652508923</v>
      </c>
      <c r="R21" s="54">
        <f>IF(R3=0,0,R3/TrAvia_act!R13*1000)</f>
        <v>9404.4537712784841</v>
      </c>
      <c r="S21" s="54">
        <f>IF(S3=0,0,S3/TrAvia_act!S13*1000)</f>
        <v>10671.081943869998</v>
      </c>
      <c r="T21" s="54">
        <f>IF(T3=0,0,T3/TrAvia_act!T13*1000)</f>
        <v>11041.602867169535</v>
      </c>
      <c r="U21" s="54">
        <f>IF(U3=0,0,U3/TrAvia_act!U13*1000)</f>
        <v>11296.439297015935</v>
      </c>
      <c r="V21" s="54">
        <f>IF(V3=0,0,V3/TrAvia_act!V13*1000)</f>
        <v>12464.872366047322</v>
      </c>
      <c r="W21" s="54">
        <f>IF(W3=0,0,W3/TrAvia_act!W13*1000)</f>
        <v>13915.049094792575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7100.4313211742756</v>
      </c>
      <c r="C22" s="11">
        <f>IF(C6=0,0,C6/TrAvia_act!C14*1000)</f>
        <v>7084.3841038195997</v>
      </c>
      <c r="D22" s="11">
        <f>IF(D6=0,0,D6/TrAvia_act!D14*1000)</f>
        <v>7511.1589414776045</v>
      </c>
      <c r="E22" s="11">
        <f>IF(E6=0,0,E6/TrAvia_act!E14*1000)</f>
        <v>8676.8008007277422</v>
      </c>
      <c r="F22" s="11">
        <f>IF(F6=0,0,F6/TrAvia_act!F14*1000)</f>
        <v>10553.123516540729</v>
      </c>
      <c r="G22" s="11">
        <f>IF(G6=0,0,G6/TrAvia_act!G14*1000)</f>
        <v>12147.545576292332</v>
      </c>
      <c r="H22" s="11">
        <f>IF(H6=0,0,H6/TrAvia_act!H14*1000)</f>
        <v>12565.264511104113</v>
      </c>
      <c r="I22" s="11">
        <f>IF(I6=0,0,I6/TrAvia_act!I14*1000)</f>
        <v>12753.447705615319</v>
      </c>
      <c r="J22" s="11">
        <f>IF(J6=0,0,J6/TrAvia_act!J14*1000)</f>
        <v>13330.600355110204</v>
      </c>
      <c r="K22" s="11">
        <f>IF(K6=0,0,K6/TrAvia_act!K14*1000)</f>
        <v>11414.880181252242</v>
      </c>
      <c r="L22" s="11">
        <f>IF(L6=0,0,L6/TrAvia_act!L14*1000)</f>
        <v>9021.2156108304589</v>
      </c>
      <c r="M22" s="11">
        <f>IF(M6=0,0,M6/TrAvia_act!M14*1000)</f>
        <v>10030.683599027299</v>
      </c>
      <c r="N22" s="11">
        <f>IF(N6=0,0,N6/TrAvia_act!N14*1000)</f>
        <v>9820.6908830332704</v>
      </c>
      <c r="O22" s="11">
        <f>IF(O6=0,0,O6/TrAvia_act!O14*1000)</f>
        <v>12042.69901763847</v>
      </c>
      <c r="P22" s="11">
        <f>IF(P6=0,0,P6/TrAvia_act!P14*1000)</f>
        <v>11363.718732683479</v>
      </c>
      <c r="Q22" s="11">
        <f>IF(Q6=0,0,Q6/TrAvia_act!Q14*1000)</f>
        <v>9943.2536044716944</v>
      </c>
      <c r="R22" s="11">
        <f>IF(R6=0,0,R6/TrAvia_act!R14*1000)</f>
        <v>9409.8438110628813</v>
      </c>
      <c r="S22" s="11">
        <f>IF(S6=0,0,S6/TrAvia_act!S14*1000)</f>
        <v>10668.989756476942</v>
      </c>
      <c r="T22" s="11">
        <f>IF(T6=0,0,T6/TrAvia_act!T14*1000)</f>
        <v>11047.422318090999</v>
      </c>
      <c r="U22" s="11">
        <f>IF(U6=0,0,U6/TrAvia_act!U14*1000)</f>
        <v>11302.826395697983</v>
      </c>
      <c r="V22" s="11">
        <f>IF(V6=0,0,V6/TrAvia_act!V14*1000)</f>
        <v>12463.226941988893</v>
      </c>
      <c r="W22" s="11">
        <f>IF(W6=0,0,W6/TrAvia_act!W14*1000)</f>
        <v>13851.978453679574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7438.1439352251837</v>
      </c>
      <c r="C24" s="84">
        <f>IF(C8=0,0,C8/TrAvia_act!C16*1000)</f>
        <v>7421.5811326696776</v>
      </c>
      <c r="D24" s="84">
        <f>IF(D8=0,0,D8/TrAvia_act!D16*1000)</f>
        <v>7891.9997082446434</v>
      </c>
      <c r="E24" s="84">
        <f>IF(E8=0,0,E8/TrAvia_act!E16*1000)</f>
        <v>9194.1028150029433</v>
      </c>
      <c r="F24" s="84">
        <f>IF(F8=0,0,F8/TrAvia_act!F16*1000)</f>
        <v>11341.389035155873</v>
      </c>
      <c r="G24" s="84">
        <f>IF(G8=0,0,G8/TrAvia_act!G16*1000)</f>
        <v>13067.685952395121</v>
      </c>
      <c r="H24" s="84">
        <f>IF(H8=0,0,H8/TrAvia_act!H16*1000)</f>
        <v>13570.274539450385</v>
      </c>
      <c r="I24" s="84">
        <f>IF(I8=0,0,I8/TrAvia_act!I16*1000)</f>
        <v>13740.60055112105</v>
      </c>
      <c r="J24" s="84">
        <f>IF(J8=0,0,J8/TrAvia_act!J16*1000)</f>
        <v>14895.536113359882</v>
      </c>
      <c r="K24" s="84">
        <f>IF(K8=0,0,K8/TrAvia_act!K16*1000)</f>
        <v>13219.144641941613</v>
      </c>
      <c r="L24" s="84">
        <f>IF(L8=0,0,L8/TrAvia_act!L16*1000)</f>
        <v>11232.171450563555</v>
      </c>
      <c r="M24" s="84">
        <f>IF(M8=0,0,M8/TrAvia_act!M16*1000)</f>
        <v>11810.097520010242</v>
      </c>
      <c r="N24" s="84">
        <f>IF(N8=0,0,N8/TrAvia_act!N16*1000)</f>
        <v>13208.969876930765</v>
      </c>
      <c r="O24" s="84">
        <f>IF(O8=0,0,O8/TrAvia_act!O16*1000)</f>
        <v>14095.095720876639</v>
      </c>
      <c r="P24" s="84">
        <f>IF(P8=0,0,P8/TrAvia_act!P16*1000)</f>
        <v>13079.665655212717</v>
      </c>
      <c r="Q24" s="84">
        <f>IF(Q8=0,0,Q8/TrAvia_act!Q16*1000)</f>
        <v>11781.161176335087</v>
      </c>
      <c r="R24" s="84">
        <f>IF(R8=0,0,R8/TrAvia_act!R16*1000)</f>
        <v>9987.6008641600802</v>
      </c>
      <c r="S24" s="84">
        <f>IF(S8=0,0,S8/TrAvia_act!S16*1000)</f>
        <v>11722.453437481423</v>
      </c>
      <c r="T24" s="84">
        <f>IF(T8=0,0,T8/TrAvia_act!T16*1000)</f>
        <v>12539.432489098472</v>
      </c>
      <c r="U24" s="84">
        <f>IF(U8=0,0,U8/TrAvia_act!U16*1000)</f>
        <v>13284.985280706836</v>
      </c>
      <c r="V24" s="84">
        <f>IF(V8=0,0,V8/TrAvia_act!V16*1000)</f>
        <v>13197.979702640107</v>
      </c>
      <c r="W24" s="84">
        <f>IF(W8=0,0,W8/TrAvia_act!W16*1000)</f>
        <v>18393.04614027822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4619.6609482724934</v>
      </c>
      <c r="C25" s="84">
        <f>IF(C9=0,0,C9/TrAvia_act!C17*1000)</f>
        <v>4609.4708313763686</v>
      </c>
      <c r="D25" s="84">
        <f>IF(D9=0,0,D9/TrAvia_act!D17*1000)</f>
        <v>4898.7833407712524</v>
      </c>
      <c r="E25" s="84">
        <f>IF(E9=0,0,E9/TrAvia_act!E17*1000)</f>
        <v>5683.6011834710607</v>
      </c>
      <c r="F25" s="84">
        <f>IF(F9=0,0,F9/TrAvia_act!F17*1000)</f>
        <v>6939.4637054386421</v>
      </c>
      <c r="G25" s="84">
        <f>IF(G9=0,0,G9/TrAvia_act!G17*1000)</f>
        <v>7567.419005102498</v>
      </c>
      <c r="H25" s="84">
        <f>IF(H9=0,0,H9/TrAvia_act!H17*1000)</f>
        <v>7575.0505521301666</v>
      </c>
      <c r="I25" s="84">
        <f>IF(I9=0,0,I9/TrAvia_act!I17*1000)</f>
        <v>7702.4428378768444</v>
      </c>
      <c r="J25" s="84">
        <f>IF(J9=0,0,J9/TrAvia_act!J17*1000)</f>
        <v>6972.0629626072059</v>
      </c>
      <c r="K25" s="84">
        <f>IF(K9=0,0,K9/TrAvia_act!K17*1000)</f>
        <v>5656.4068205426611</v>
      </c>
      <c r="L25" s="84">
        <f>IF(L9=0,0,L9/TrAvia_act!L17*1000)</f>
        <v>3673.6787249844201</v>
      </c>
      <c r="M25" s="84">
        <f>IF(M9=0,0,M9/TrAvia_act!M17*1000)</f>
        <v>4246.8530595162747</v>
      </c>
      <c r="N25" s="84">
        <f>IF(N9=0,0,N9/TrAvia_act!N17*1000)</f>
        <v>3181.0875048515413</v>
      </c>
      <c r="O25" s="84">
        <f>IF(O9=0,0,O9/TrAvia_act!O17*1000)</f>
        <v>5729.3159475458433</v>
      </c>
      <c r="P25" s="84">
        <f>IF(P9=0,0,P9/TrAvia_act!P17*1000)</f>
        <v>5684.2614172235217</v>
      </c>
      <c r="Q25" s="84">
        <f>IF(Q9=0,0,Q9/TrAvia_act!Q17*1000)</f>
        <v>4540.0500732416322</v>
      </c>
      <c r="R25" s="84">
        <f>IF(R9=0,0,R9/TrAvia_act!R17*1000)</f>
        <v>6474.2460031094333</v>
      </c>
      <c r="S25" s="84">
        <f>IF(S9=0,0,S9/TrAvia_act!S17*1000)</f>
        <v>6161.6978711541215</v>
      </c>
      <c r="T25" s="84">
        <f>IF(T9=0,0,T9/TrAvia_act!T17*1000)</f>
        <v>5490.0879005114857</v>
      </c>
      <c r="U25" s="84">
        <f>IF(U9=0,0,U9/TrAvia_act!U17*1000)</f>
        <v>5063.0292092049212</v>
      </c>
      <c r="V25" s="84">
        <f>IF(V9=0,0,V9/TrAvia_act!V17*1000)</f>
        <v>9252.5894546432519</v>
      </c>
      <c r="W25" s="84">
        <f>IF(W9=0,0,W9/TrAvia_act!W17*1000)</f>
        <v>5027.5142614544484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8192.8810039641576</v>
      </c>
      <c r="C26" s="13">
        <f>IF(C10=0,0,C10/TrAvia_act!C18*1000)</f>
        <v>8117.9129452809902</v>
      </c>
      <c r="D26" s="13">
        <f>IF(D10=0,0,D10/TrAvia_act!D18*1000)</f>
        <v>9300.2138240016429</v>
      </c>
      <c r="E26" s="13">
        <f>IF(E10=0,0,E10/TrAvia_act!E18*1000)</f>
        <v>11061.986776236314</v>
      </c>
      <c r="F26" s="13">
        <f>IF(F10=0,0,F10/TrAvia_act!F18*1000)</f>
        <v>14243.893506140603</v>
      </c>
      <c r="G26" s="13">
        <f>IF(G10=0,0,G10/TrAvia_act!G18*1000)</f>
        <v>13421.588034742916</v>
      </c>
      <c r="H26" s="13">
        <f>IF(H10=0,0,H10/TrAvia_act!H18*1000)</f>
        <v>14662.793155552856</v>
      </c>
      <c r="I26" s="13">
        <f>IF(I10=0,0,I10/TrAvia_act!I18*1000)</f>
        <v>16105.205148639605</v>
      </c>
      <c r="J26" s="13">
        <f>IF(J10=0,0,J10/TrAvia_act!J18*1000)</f>
        <v>18308.820238904867</v>
      </c>
      <c r="K26" s="13">
        <f>IF(K10=0,0,K10/TrAvia_act!K18*1000)</f>
        <v>15178.953478148827</v>
      </c>
      <c r="L26" s="13">
        <f>IF(L10=0,0,L10/TrAvia_act!L18*1000)</f>
        <v>10788.614450406192</v>
      </c>
      <c r="M26" s="13">
        <f>IF(M10=0,0,M10/TrAvia_act!M18*1000)</f>
        <v>11877.986548136598</v>
      </c>
      <c r="N26" s="13">
        <f>IF(N10=0,0,N10/TrAvia_act!N18*1000)</f>
        <v>13283.117745981717</v>
      </c>
      <c r="O26" s="13">
        <f>IF(O10=0,0,O10/TrAvia_act!O18*1000)</f>
        <v>14335.17881869858</v>
      </c>
      <c r="P26" s="13">
        <f>IF(P10=0,0,P10/TrAvia_act!P18*1000)</f>
        <v>12901.538286758905</v>
      </c>
      <c r="Q26" s="13">
        <f>IF(Q10=0,0,Q10/TrAvia_act!Q18*1000)</f>
        <v>11213.250645337521</v>
      </c>
      <c r="R26" s="13">
        <f>IF(R10=0,0,R10/TrAvia_act!R18*1000)</f>
        <v>8975.9904666334078</v>
      </c>
      <c r="S26" s="13">
        <f>IF(S10=0,0,S10/TrAvia_act!S18*1000)</f>
        <v>10860.358191382918</v>
      </c>
      <c r="T26" s="13">
        <f>IF(T10=0,0,T10/TrAvia_act!T18*1000)</f>
        <v>10495.269992748992</v>
      </c>
      <c r="U26" s="13">
        <f>IF(U10=0,0,U10/TrAvia_act!U18*1000)</f>
        <v>10746.618633761766</v>
      </c>
      <c r="V26" s="13">
        <f>IF(V10=0,0,V10/TrAvia_act!V18*1000)</f>
        <v>12519.088641103819</v>
      </c>
      <c r="W26" s="13">
        <f>IF(W10=0,0,W10/TrAvia_act!W18*1000)</f>
        <v>15968.75866110439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10798.539942767398</v>
      </c>
      <c r="C28" s="102">
        <f>IF(C12=0,0,C12/TrAvia_act!C20*1000)</f>
        <v>10758.375979860008</v>
      </c>
      <c r="D28" s="102">
        <f>IF(D12=0,0,D12/TrAvia_act!D20*1000)</f>
        <v>11890.676582177379</v>
      </c>
      <c r="E28" s="102">
        <f>IF(E12=0,0,E12/TrAvia_act!E20*1000)</f>
        <v>14701.805230306181</v>
      </c>
      <c r="F28" s="102">
        <f>IF(F12=0,0,F12/TrAvia_act!F20*1000)</f>
        <v>18335.014850991513</v>
      </c>
      <c r="G28" s="102">
        <f>IF(G12=0,0,G12/TrAvia_act!G20*1000)</f>
        <v>19525.295199032909</v>
      </c>
      <c r="H28" s="102">
        <f>IF(H12=0,0,H12/TrAvia_act!H20*1000)</f>
        <v>18470.534575873957</v>
      </c>
      <c r="I28" s="102">
        <f>IF(I12=0,0,I12/TrAvia_act!I20*1000)</f>
        <v>18336.037380444293</v>
      </c>
      <c r="J28" s="102">
        <f>IF(J12=0,0,J12/TrAvia_act!J20*1000)</f>
        <v>20056.475584292533</v>
      </c>
      <c r="K28" s="102">
        <f>IF(K12=0,0,K12/TrAvia_act!K20*1000)</f>
        <v>15727.84378007729</v>
      </c>
      <c r="L28" s="102">
        <f>IF(L12=0,0,L12/TrAvia_act!L20*1000)</f>
        <v>12238.141559296706</v>
      </c>
      <c r="M28" s="102">
        <f>IF(M12=0,0,M12/TrAvia_act!M20*1000)</f>
        <v>12442.890649685663</v>
      </c>
      <c r="N28" s="102">
        <f>IF(N12=0,0,N12/TrAvia_act!N20*1000)</f>
        <v>14102.605913762847</v>
      </c>
      <c r="O28" s="102">
        <f>IF(O12=0,0,O12/TrAvia_act!O20*1000)</f>
        <v>14738.672978125445</v>
      </c>
      <c r="P28" s="102">
        <f>IF(P12=0,0,P12/TrAvia_act!P20*1000)</f>
        <v>13225.613639640194</v>
      </c>
      <c r="Q28" s="102">
        <f>IF(Q12=0,0,Q12/TrAvia_act!Q20*1000)</f>
        <v>11588.288314585277</v>
      </c>
      <c r="R28" s="102">
        <f>IF(R12=0,0,R12/TrAvia_act!R20*1000)</f>
        <v>9762.3995258622017</v>
      </c>
      <c r="S28" s="102">
        <f>IF(S12=0,0,S12/TrAvia_act!S20*1000)</f>
        <v>11275.058810154511</v>
      </c>
      <c r="T28" s="102">
        <f>IF(T12=0,0,T12/TrAvia_act!T20*1000)</f>
        <v>10732.848717195642</v>
      </c>
      <c r="U28" s="102">
        <f>IF(U12=0,0,U12/TrAvia_act!U20*1000)</f>
        <v>10967.339482229838</v>
      </c>
      <c r="V28" s="102">
        <f>IF(V12=0,0,V12/TrAvia_act!V20*1000)</f>
        <v>12475.836515832474</v>
      </c>
      <c r="W28" s="102">
        <f>IF(W12=0,0,W12/TrAvia_act!W20*1000)</f>
        <v>17223.529335672298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4058.8822841233646</v>
      </c>
      <c r="C29" s="86">
        <f>IF(C13=0,0,C13/TrAvia_act!C21*1000)</f>
        <v>4049.9291411533609</v>
      </c>
      <c r="D29" s="86">
        <f>IF(D13=0,0,D13/TrAvia_act!D21*1000)</f>
        <v>4304.1221289303721</v>
      </c>
      <c r="E29" s="86">
        <f>IF(E13=0,0,E13/TrAvia_act!E21*1000)</f>
        <v>4993.67126980171</v>
      </c>
      <c r="F29" s="86">
        <f>IF(F13=0,0,F13/TrAvia_act!F21*1000)</f>
        <v>6097.0851780485627</v>
      </c>
      <c r="G29" s="86">
        <f>IF(G13=0,0,G13/TrAvia_act!G21*1000)</f>
        <v>6606.8817554428488</v>
      </c>
      <c r="H29" s="86">
        <f>IF(H13=0,0,H13/TrAvia_act!H21*1000)</f>
        <v>6302.3102219265247</v>
      </c>
      <c r="I29" s="86">
        <f>IF(I13=0,0,I13/TrAvia_act!I21*1000)</f>
        <v>6127.8647531409379</v>
      </c>
      <c r="J29" s="86">
        <f>IF(J13=0,0,J13/TrAvia_act!J21*1000)</f>
        <v>5308.647376009264</v>
      </c>
      <c r="K29" s="86">
        <f>IF(K13=0,0,K13/TrAvia_act!K21*1000)</f>
        <v>4405.4904051309004</v>
      </c>
      <c r="L29" s="86">
        <f>IF(L13=0,0,L13/TrAvia_act!L21*1000)</f>
        <v>2519.6480904757623</v>
      </c>
      <c r="M29" s="86">
        <f>IF(M13=0,0,M13/TrAvia_act!M21*1000)</f>
        <v>3063.3390244188863</v>
      </c>
      <c r="N29" s="86">
        <f>IF(N13=0,0,N13/TrAvia_act!N21*1000)</f>
        <v>2318.5966305829547</v>
      </c>
      <c r="O29" s="86">
        <f>IF(O13=0,0,O13/TrAvia_act!O21*1000)</f>
        <v>4161.4345290696774</v>
      </c>
      <c r="P29" s="86">
        <f>IF(P13=0,0,P13/TrAvia_act!P21*1000)</f>
        <v>4154.6721552854333</v>
      </c>
      <c r="Q29" s="86">
        <f>IF(Q13=0,0,Q13/TrAvia_act!Q21*1000)</f>
        <v>3264.0727189466925</v>
      </c>
      <c r="R29" s="86">
        <f>IF(R13=0,0,R13/TrAvia_act!R21*1000)</f>
        <v>4864.1809922420098</v>
      </c>
      <c r="S29" s="86">
        <f>IF(S13=0,0,S13/TrAvia_act!S21*1000)</f>
        <v>4918.1960260808391</v>
      </c>
      <c r="T29" s="86">
        <f>IF(T13=0,0,T13/TrAvia_act!T21*1000)</f>
        <v>4383.98098120953</v>
      </c>
      <c r="U29" s="86">
        <f>IF(U13=0,0,U13/TrAvia_act!U21*1000)</f>
        <v>7335.3635288054093</v>
      </c>
      <c r="V29" s="86">
        <f>IF(V13=0,0,V13/TrAvia_act!V21*1000)</f>
        <v>13568.029345568488</v>
      </c>
      <c r="W29" s="86">
        <f>IF(W13=0,0,W13/TrAvia_act!W21*1000)</f>
        <v>7847.3313593854245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118.02787805369607</v>
      </c>
      <c r="C32" s="14">
        <f>IF(C6=0,0,C6/TrAvia_act!C4*1000)</f>
        <v>114.83231447338052</v>
      </c>
      <c r="D32" s="14">
        <f>IF(D6=0,0,D6/TrAvia_act!D4*1000)</f>
        <v>115.47689770855487</v>
      </c>
      <c r="E32" s="14">
        <f>IF(E6=0,0,E6/TrAvia_act!E4*1000)</f>
        <v>114.7628151743906</v>
      </c>
      <c r="F32" s="14">
        <f>IF(F6=0,0,F6/TrAvia_act!F4*1000)</f>
        <v>127.93397780050225</v>
      </c>
      <c r="G32" s="14">
        <f>IF(G6=0,0,G6/TrAvia_act!G4*1000)</f>
        <v>134.0400596808627</v>
      </c>
      <c r="H32" s="14">
        <f>IF(H6=0,0,H6/TrAvia_act!H4*1000)</f>
        <v>134.26621722065477</v>
      </c>
      <c r="I32" s="14">
        <f>IF(I6=0,0,I6/TrAvia_act!I4*1000)</f>
        <v>145.56370428340472</v>
      </c>
      <c r="J32" s="14">
        <f>IF(J6=0,0,J6/TrAvia_act!J4*1000)</f>
        <v>164.02717459880122</v>
      </c>
      <c r="K32" s="14">
        <f>IF(K6=0,0,K6/TrAvia_act!K4*1000)</f>
        <v>141.85711176663469</v>
      </c>
      <c r="L32" s="14">
        <f>IF(L6=0,0,L6/TrAvia_act!L4*1000)</f>
        <v>115.25962028633239</v>
      </c>
      <c r="M32" s="14">
        <f>IF(M6=0,0,M6/TrAvia_act!M4*1000)</f>
        <v>116.54978630628871</v>
      </c>
      <c r="N32" s="14">
        <f>IF(N6=0,0,N6/TrAvia_act!N4*1000)</f>
        <v>129.85248490402859</v>
      </c>
      <c r="O32" s="14">
        <f>IF(O6=0,0,O6/TrAvia_act!O4*1000)</f>
        <v>129.26752576850578</v>
      </c>
      <c r="P32" s="14">
        <f>IF(P6=0,0,P6/TrAvia_act!P4*1000)</f>
        <v>123.06633889261524</v>
      </c>
      <c r="Q32" s="14">
        <f>IF(Q6=0,0,Q6/TrAvia_act!Q4*1000)</f>
        <v>112.28315269454392</v>
      </c>
      <c r="R32" s="14">
        <f>IF(R6=0,0,R6/TrAvia_act!R4*1000)</f>
        <v>103.06629795708893</v>
      </c>
      <c r="S32" s="14">
        <f>IF(S6=0,0,S6/TrAvia_act!S4*1000)</f>
        <v>116.54439818097626</v>
      </c>
      <c r="T32" s="14">
        <f>IF(T6=0,0,T6/TrAvia_act!T4*1000)</f>
        <v>116.45791053313364</v>
      </c>
      <c r="U32" s="14">
        <f>IF(U6=0,0,U6/TrAvia_act!U4*1000)</f>
        <v>101.9884007602332</v>
      </c>
      <c r="V32" s="14">
        <f>IF(V6=0,0,V6/TrAvia_act!V4*1000)</f>
        <v>139.31430954134143</v>
      </c>
      <c r="W32" s="14">
        <f>IF(W6=0,0,W6/TrAvia_act!W4*1000)</f>
        <v>120.21053283754989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127.38682464335155</v>
      </c>
      <c r="C34" s="87">
        <f>IF(C8=0,0,C8/TrAvia_act!C6*1000)</f>
        <v>123.54236424435163</v>
      </c>
      <c r="D34" s="87">
        <f>IF(D8=0,0,D8/TrAvia_act!D6*1000)</f>
        <v>125.65200990205402</v>
      </c>
      <c r="E34" s="87">
        <f>IF(E8=0,0,E8/TrAvia_act!E6*1000)</f>
        <v>124.1966191846428</v>
      </c>
      <c r="F34" s="87">
        <f>IF(F8=0,0,F8/TrAvia_act!F6*1000)</f>
        <v>139.0296444180976</v>
      </c>
      <c r="G34" s="87">
        <f>IF(G8=0,0,G8/TrAvia_act!G6*1000)</f>
        <v>146.17112636859139</v>
      </c>
      <c r="H34" s="87">
        <f>IF(H8=0,0,H8/TrAvia_act!H6*1000)</f>
        <v>146.45290659532324</v>
      </c>
      <c r="I34" s="87">
        <f>IF(I8=0,0,I8/TrAvia_act!I6*1000)</f>
        <v>166.37513186461069</v>
      </c>
      <c r="J34" s="87">
        <f>IF(J8=0,0,J8/TrAvia_act!J6*1000)</f>
        <v>198.43340764188824</v>
      </c>
      <c r="K34" s="87">
        <f>IF(K8=0,0,K8/TrAvia_act!K6*1000)</f>
        <v>172.9360715840092</v>
      </c>
      <c r="L34" s="87">
        <f>IF(L8=0,0,L8/TrAvia_act!L6*1000)</f>
        <v>147.02508876418861</v>
      </c>
      <c r="M34" s="87">
        <f>IF(M8=0,0,M8/TrAvia_act!M6*1000)</f>
        <v>131.92929897351772</v>
      </c>
      <c r="N34" s="87">
        <f>IF(N8=0,0,N8/TrAvia_act!N6*1000)</f>
        <v>159.49800901262549</v>
      </c>
      <c r="O34" s="87">
        <f>IF(O8=0,0,O8/TrAvia_act!O6*1000)</f>
        <v>146.29378187488348</v>
      </c>
      <c r="P34" s="87">
        <f>IF(P8=0,0,P8/TrAvia_act!P6*1000)</f>
        <v>140.23772785576654</v>
      </c>
      <c r="Q34" s="87">
        <f>IF(Q8=0,0,Q8/TrAvia_act!Q6*1000)</f>
        <v>133.42123550367111</v>
      </c>
      <c r="R34" s="87">
        <f>IF(R8=0,0,R8/TrAvia_act!R6*1000)</f>
        <v>113.47923504973569</v>
      </c>
      <c r="S34" s="87">
        <f>IF(S8=0,0,S8/TrAvia_act!S6*1000)</f>
        <v>129.63339718294742</v>
      </c>
      <c r="T34" s="87">
        <f>IF(T8=0,0,T8/TrAvia_act!T6*1000)</f>
        <v>133.54944189574016</v>
      </c>
      <c r="U34" s="87">
        <f>IF(U8=0,0,U8/TrAvia_act!U6*1000)</f>
        <v>125.1599066992741</v>
      </c>
      <c r="V34" s="87">
        <f>IF(V8=0,0,V8/TrAvia_act!V6*1000)</f>
        <v>156.53139436052223</v>
      </c>
      <c r="W34" s="87">
        <f>IF(W8=0,0,W8/TrAvia_act!W6*1000)</f>
        <v>178.56746940391878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63.151875383901213</v>
      </c>
      <c r="C35" s="87">
        <f>IF(C9=0,0,C9/TrAvia_act!C7*1000)</f>
        <v>62.641866021192868</v>
      </c>
      <c r="D35" s="87">
        <f>IF(D9=0,0,D9/TrAvia_act!D7*1000)</f>
        <v>60.941802325383996</v>
      </c>
      <c r="E35" s="87">
        <f>IF(E9=0,0,E9/TrAvia_act!E7*1000)</f>
        <v>67.074512067550501</v>
      </c>
      <c r="F35" s="87">
        <f>IF(F9=0,0,F9/TrAvia_act!F7*1000)</f>
        <v>80.061577318707961</v>
      </c>
      <c r="G35" s="87">
        <f>IF(G9=0,0,G9/TrAvia_act!G7*1000)</f>
        <v>78.232059585432694</v>
      </c>
      <c r="H35" s="87">
        <f>IF(H9=0,0,H9/TrAvia_act!H7*1000)</f>
        <v>77.156339411460465</v>
      </c>
      <c r="I35" s="87">
        <f>IF(I9=0,0,I9/TrAvia_act!I7*1000)</f>
        <v>67.963754704241396</v>
      </c>
      <c r="J35" s="87">
        <f>IF(J9=0,0,J9/TrAvia_act!J7*1000)</f>
        <v>65.47616077720653</v>
      </c>
      <c r="K35" s="87">
        <f>IF(K9=0,0,K9/TrAvia_act!K7*1000)</f>
        <v>60.61102927543768</v>
      </c>
      <c r="L35" s="87">
        <f>IF(L9=0,0,L9/TrAvia_act!L7*1000)</f>
        <v>44.369568664812995</v>
      </c>
      <c r="M35" s="87">
        <f>IF(M9=0,0,M9/TrAvia_act!M7*1000)</f>
        <v>56.750510993503163</v>
      </c>
      <c r="N35" s="87">
        <f>IF(N9=0,0,N9/TrAvia_act!N7*1000)</f>
        <v>51.685103406125855</v>
      </c>
      <c r="O35" s="87">
        <f>IF(O9=0,0,O9/TrAvia_act!O7*1000)</f>
        <v>68.731403584016448</v>
      </c>
      <c r="P35" s="87">
        <f>IF(P9=0,0,P9/TrAvia_act!P7*1000)</f>
        <v>63.681227535172191</v>
      </c>
      <c r="Q35" s="87">
        <f>IF(Q9=0,0,Q9/TrAvia_act!Q7*1000)</f>
        <v>50.838219028641852</v>
      </c>
      <c r="R35" s="87">
        <f>IF(R9=0,0,R9/TrAvia_act!R7*1000)</f>
        <v>59.948391864937754</v>
      </c>
      <c r="S35" s="87">
        <f>IF(S9=0,0,S9/TrAvia_act!S7*1000)</f>
        <v>63.969614248008732</v>
      </c>
      <c r="T35" s="87">
        <f>IF(T9=0,0,T9/TrAvia_act!T7*1000)</f>
        <v>55.754562639042653</v>
      </c>
      <c r="U35" s="87">
        <f>IF(U9=0,0,U9/TrAvia_act!U7*1000)</f>
        <v>40.323956499354168</v>
      </c>
      <c r="V35" s="87">
        <f>IF(V9=0,0,V9/TrAvia_act!V7*1000)</f>
        <v>82.651112235195001</v>
      </c>
      <c r="W35" s="87">
        <f>IF(W9=0,0,W9/TrAvia_act!W7*1000)</f>
        <v>36.171131203352438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215.65981652042902</v>
      </c>
      <c r="C36" s="15">
        <f>IF(C10=0,0,C10/TrAvia_act!C8*1000)</f>
        <v>199.30814775540654</v>
      </c>
      <c r="D36" s="15">
        <f>IF(D10=0,0,D10/TrAvia_act!D8*1000)</f>
        <v>252.54198537853085</v>
      </c>
      <c r="E36" s="15">
        <f>IF(E10=0,0,E10/TrAvia_act!E8*1000)</f>
        <v>297.79122841363829</v>
      </c>
      <c r="F36" s="15">
        <f>IF(F10=0,0,F10/TrAvia_act!F8*1000)</f>
        <v>419.77602222591617</v>
      </c>
      <c r="G36" s="15">
        <f>IF(G10=0,0,G10/TrAvia_act!G8*1000)</f>
        <v>364.68670951388577</v>
      </c>
      <c r="H36" s="15">
        <f>IF(H10=0,0,H10/TrAvia_act!H8*1000)</f>
        <v>496.40236325437007</v>
      </c>
      <c r="I36" s="15">
        <f>IF(I10=0,0,I10/TrAvia_act!I8*1000)</f>
        <v>642.4678598082387</v>
      </c>
      <c r="J36" s="15">
        <f>IF(J10=0,0,J10/TrAvia_act!J8*1000)</f>
        <v>808.21771437493089</v>
      </c>
      <c r="K36" s="15">
        <f>IF(K10=0,0,K10/TrAvia_act!K8*1000)</f>
        <v>712.05499547154341</v>
      </c>
      <c r="L36" s="15">
        <f>IF(L10=0,0,L10/TrAvia_act!L8*1000)</f>
        <v>407.63955367611845</v>
      </c>
      <c r="M36" s="15">
        <f>IF(M10=0,0,M10/TrAvia_act!M8*1000)</f>
        <v>471.86451622424505</v>
      </c>
      <c r="N36" s="15">
        <f>IF(N10=0,0,N10/TrAvia_act!N8*1000)</f>
        <v>460.65571948258702</v>
      </c>
      <c r="O36" s="15">
        <f>IF(O10=0,0,O10/TrAvia_act!O8*1000)</f>
        <v>536.41489380358905</v>
      </c>
      <c r="P36" s="15">
        <f>IF(P10=0,0,P10/TrAvia_act!P8*1000)</f>
        <v>424.8343389388636</v>
      </c>
      <c r="Q36" s="15">
        <f>IF(Q10=0,0,Q10/TrAvia_act!Q8*1000)</f>
        <v>366.88763979945321</v>
      </c>
      <c r="R36" s="15">
        <f>IF(R10=0,0,R10/TrAvia_act!R8*1000)</f>
        <v>212.48990864899579</v>
      </c>
      <c r="S36" s="15">
        <f>IF(S10=0,0,S10/TrAvia_act!S8*1000)</f>
        <v>339.67181990982874</v>
      </c>
      <c r="T36" s="15">
        <f>IF(T10=0,0,T10/TrAvia_act!T8*1000)</f>
        <v>333.40049242727792</v>
      </c>
      <c r="U36" s="15">
        <f>IF(U10=0,0,U10/TrAvia_act!U8*1000)</f>
        <v>303.77560743804383</v>
      </c>
      <c r="V36" s="15">
        <f>IF(V10=0,0,V10/TrAvia_act!V8*1000)</f>
        <v>455.12237682840504</v>
      </c>
      <c r="W36" s="15">
        <f>IF(W10=0,0,W10/TrAvia_act!W8*1000)</f>
        <v>560.99762831040084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516.40200216751646</v>
      </c>
      <c r="C38" s="101">
        <f>IF(C12=0,0,C12/TrAvia_act!C10*1000)</f>
        <v>469.55097132496758</v>
      </c>
      <c r="D38" s="101">
        <f>IF(D12=0,0,D12/TrAvia_act!D10*1000)</f>
        <v>527.69199522254883</v>
      </c>
      <c r="E38" s="101">
        <f>IF(E12=0,0,E12/TrAvia_act!E10*1000)</f>
        <v>604.31701049503238</v>
      </c>
      <c r="F38" s="101">
        <f>IF(F12=0,0,F12/TrAvia_act!F10*1000)</f>
        <v>816.80910826154707</v>
      </c>
      <c r="G38" s="101">
        <f>IF(G12=0,0,G12/TrAvia_act!G10*1000)</f>
        <v>890.74685702686656</v>
      </c>
      <c r="H38" s="101">
        <f>IF(H12=0,0,H12/TrAvia_act!H10*1000)</f>
        <v>948.57407660142371</v>
      </c>
      <c r="I38" s="101">
        <f>IF(I12=0,0,I12/TrAvia_act!I10*1000)</f>
        <v>949.13268227222386</v>
      </c>
      <c r="J38" s="101">
        <f>IF(J12=0,0,J12/TrAvia_act!J10*1000)</f>
        <v>1055.0544723201372</v>
      </c>
      <c r="K38" s="101">
        <f>IF(K12=0,0,K12/TrAvia_act!K10*1000)</f>
        <v>804.72701180276852</v>
      </c>
      <c r="L38" s="101">
        <f>IF(L12=0,0,L12/TrAvia_act!L10*1000)</f>
        <v>579.8624672113001</v>
      </c>
      <c r="M38" s="101">
        <f>IF(M12=0,0,M12/TrAvia_act!M10*1000)</f>
        <v>546.49693658419744</v>
      </c>
      <c r="N38" s="101">
        <f>IF(N12=0,0,N12/TrAvia_act!N10*1000)</f>
        <v>549.77200277061684</v>
      </c>
      <c r="O38" s="101">
        <f>IF(O12=0,0,O12/TrAvia_act!O10*1000)</f>
        <v>594.50281151988042</v>
      </c>
      <c r="P38" s="101">
        <f>IF(P12=0,0,P12/TrAvia_act!P10*1000)</f>
        <v>465.97011401440977</v>
      </c>
      <c r="Q38" s="101">
        <f>IF(Q12=0,0,Q12/TrAvia_act!Q10*1000)</f>
        <v>411.88321097547976</v>
      </c>
      <c r="R38" s="101">
        <f>IF(R12=0,0,R12/TrAvia_act!R10*1000)</f>
        <v>317.03807302311145</v>
      </c>
      <c r="S38" s="101">
        <f>IF(S12=0,0,S12/TrAvia_act!S10*1000)</f>
        <v>406.7276619526084</v>
      </c>
      <c r="T38" s="101">
        <f>IF(T12=0,0,T12/TrAvia_act!T10*1000)</f>
        <v>367.25013205961159</v>
      </c>
      <c r="U38" s="101">
        <f>IF(U12=0,0,U12/TrAvia_act!U10*1000)</f>
        <v>347.38936977907827</v>
      </c>
      <c r="V38" s="101">
        <f>IF(V12=0,0,V12/TrAvia_act!V10*1000)</f>
        <v>474.46251971905593</v>
      </c>
      <c r="W38" s="101">
        <f>IF(W12=0,0,W12/TrAvia_act!W10*1000)</f>
        <v>716.71253082854628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62.361811003376509</v>
      </c>
      <c r="C39" s="88">
        <f>IF(C13=0,0,C13/TrAvia_act!C11*1000)</f>
        <v>59.398724897274953</v>
      </c>
      <c r="D39" s="88">
        <f>IF(D13=0,0,D13/TrAvia_act!D11*1000)</f>
        <v>66.841816503360292</v>
      </c>
      <c r="E39" s="88">
        <f>IF(E13=0,0,E13/TrAvia_act!E11*1000)</f>
        <v>85.335131647796288</v>
      </c>
      <c r="F39" s="88">
        <f>IF(F13=0,0,F13/TrAvia_act!F11*1000)</f>
        <v>107.33802064317567</v>
      </c>
      <c r="G39" s="88">
        <f>IF(G13=0,0,G13/TrAvia_act!G11*1000)</f>
        <v>123.67887567559519</v>
      </c>
      <c r="H39" s="88">
        <f>IF(H13=0,0,H13/TrAvia_act!H11*1000)</f>
        <v>122.04301733256528</v>
      </c>
      <c r="I39" s="88">
        <f>IF(I13=0,0,I13/TrAvia_act!I11*1000)</f>
        <v>120.67490949045039</v>
      </c>
      <c r="J39" s="88">
        <f>IF(J13=0,0,J13/TrAvia_act!J11*1000)</f>
        <v>106.69471015627052</v>
      </c>
      <c r="K39" s="88">
        <f>IF(K13=0,0,K13/TrAvia_act!K11*1000)</f>
        <v>78.51124771178246</v>
      </c>
      <c r="L39" s="88">
        <f>IF(L13=0,0,L13/TrAvia_act!L11*1000)</f>
        <v>44.167663886997488</v>
      </c>
      <c r="M39" s="88">
        <f>IF(M13=0,0,M13/TrAvia_act!M11*1000)</f>
        <v>48.869612664056966</v>
      </c>
      <c r="N39" s="88">
        <f>IF(N13=0,0,N13/TrAvia_act!N11*1000)</f>
        <v>32.459875614326535</v>
      </c>
      <c r="O39" s="88">
        <f>IF(O13=0,0,O13/TrAvia_act!O11*1000)</f>
        <v>55.1554563048727</v>
      </c>
      <c r="P39" s="88">
        <f>IF(P13=0,0,P13/TrAvia_act!P11*1000)</f>
        <v>49.486501017867774</v>
      </c>
      <c r="Q39" s="88">
        <f>IF(Q13=0,0,Q13/TrAvia_act!Q11*1000)</f>
        <v>39.790081589219987</v>
      </c>
      <c r="R39" s="88">
        <f>IF(R13=0,0,R13/TrAvia_act!R11*1000)</f>
        <v>47.638352429006019</v>
      </c>
      <c r="S39" s="88">
        <f>IF(S13=0,0,S13/TrAvia_act!S11*1000)</f>
        <v>52.943729858573207</v>
      </c>
      <c r="T39" s="88">
        <f>IF(T13=0,0,T13/TrAvia_act!T11*1000)</f>
        <v>48.997165891473912</v>
      </c>
      <c r="U39" s="88">
        <f>IF(U13=0,0,U13/TrAvia_act!U11*1000)</f>
        <v>77.869909553831306</v>
      </c>
      <c r="V39" s="88">
        <f>IF(V13=0,0,V13/TrAvia_act!V11*1000)</f>
        <v>238.41133120491827</v>
      </c>
      <c r="W39" s="88">
        <f>IF(W13=0,0,W13/TrAvia_act!W11*1000)</f>
        <v>137.28380161455877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6752.6513880091761</v>
      </c>
      <c r="C41" s="54">
        <f>IF(C3=0,0,C3/TrAvia_act!C23*1000000)</f>
        <v>6739.055031645571</v>
      </c>
      <c r="D41" s="54">
        <f>IF(D3=0,0,D3/TrAvia_act!D23*1000000)</f>
        <v>7188.5745210984587</v>
      </c>
      <c r="E41" s="54">
        <f>IF(E3=0,0,E3/TrAvia_act!E23*1000000)</f>
        <v>8464.6972592693237</v>
      </c>
      <c r="F41" s="54">
        <f>IF(F3=0,0,F3/TrAvia_act!F23*1000000)</f>
        <v>10686.565299278182</v>
      </c>
      <c r="G41" s="54">
        <f>IF(G3=0,0,G3/TrAvia_act!G23*1000000)</f>
        <v>13620.20956793989</v>
      </c>
      <c r="H41" s="54">
        <f>IF(H3=0,0,H3/TrAvia_act!H23*1000000)</f>
        <v>13733.433013469499</v>
      </c>
      <c r="I41" s="54">
        <f>IF(I3=0,0,I3/TrAvia_act!I23*1000000)</f>
        <v>13214.296219829181</v>
      </c>
      <c r="J41" s="54">
        <f>IF(J3=0,0,J3/TrAvia_act!J23*1000000)</f>
        <v>13682.154913201455</v>
      </c>
      <c r="K41" s="54">
        <f>IF(K3=0,0,K3/TrAvia_act!K23*1000000)</f>
        <v>10006.134159869498</v>
      </c>
      <c r="L41" s="54">
        <f>IF(L3=0,0,L3/TrAvia_act!L23*1000000)</f>
        <v>8777.9897443009449</v>
      </c>
      <c r="M41" s="54">
        <f>IF(M3=0,0,M3/TrAvia_act!M23*1000000)</f>
        <v>9634.6344795486621</v>
      </c>
      <c r="N41" s="54">
        <f>IF(N3=0,0,N3/TrAvia_act!N23*1000000)</f>
        <v>9726.216875135251</v>
      </c>
      <c r="O41" s="54">
        <f>IF(O3=0,0,O3/TrAvia_act!O23*1000000)</f>
        <v>10645.753186372744</v>
      </c>
      <c r="P41" s="54">
        <f>IF(P3=0,0,P3/TrAvia_act!P23*1000000)</f>
        <v>10472.243657593226</v>
      </c>
      <c r="Q41" s="54">
        <f>IF(Q3=0,0,Q3/TrAvia_act!Q23*1000000)</f>
        <v>9974.3912495856803</v>
      </c>
      <c r="R41" s="54">
        <f>IF(R3=0,0,R3/TrAvia_act!R23*1000000)</f>
        <v>8972.3289036285623</v>
      </c>
      <c r="S41" s="54">
        <f>IF(S3=0,0,S3/TrAvia_act!S23*1000000)</f>
        <v>10302.648764199654</v>
      </c>
      <c r="T41" s="54">
        <f>IF(T3=0,0,T3/TrAvia_act!T23*1000000)</f>
        <v>11009.85903778258</v>
      </c>
      <c r="U41" s="54">
        <f>IF(U3=0,0,U3/TrAvia_act!U23*1000000)</f>
        <v>11228.571970150879</v>
      </c>
      <c r="V41" s="54">
        <f>IF(V3=0,0,V3/TrAvia_act!V23*1000000)</f>
        <v>11479.681487130601</v>
      </c>
      <c r="W41" s="54">
        <f>IF(W3=0,0,W3/TrAvia_act!W23*1000000)</f>
        <v>17818.843207261725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6744.4878833255189</v>
      </c>
      <c r="C42" s="11">
        <f>IF(C6=0,0,C6/TrAvia_act!C24*1000000)</f>
        <v>6729.6712491293238</v>
      </c>
      <c r="D42" s="11">
        <f>IF(D6=0,0,D6/TrAvia_act!D24*1000000)</f>
        <v>7188.9242737654467</v>
      </c>
      <c r="E42" s="11">
        <f>IF(E6=0,0,E6/TrAvia_act!E24*1000000)</f>
        <v>8480.174310055625</v>
      </c>
      <c r="F42" s="11">
        <f>IF(F6=0,0,F6/TrAvia_act!F24*1000000)</f>
        <v>10714.730346652625</v>
      </c>
      <c r="G42" s="11">
        <f>IF(G6=0,0,G6/TrAvia_act!G24*1000000)</f>
        <v>13635.743980504425</v>
      </c>
      <c r="H42" s="11">
        <f>IF(H6=0,0,H6/TrAvia_act!H24*1000000)</f>
        <v>13751.965365431872</v>
      </c>
      <c r="I42" s="11">
        <f>IF(I6=0,0,I6/TrAvia_act!I24*1000000)</f>
        <v>13223.342763477458</v>
      </c>
      <c r="J42" s="11">
        <f>IF(J6=0,0,J6/TrAvia_act!J24*1000000)</f>
        <v>13677.352720553845</v>
      </c>
      <c r="K42" s="11">
        <f>IF(K6=0,0,K6/TrAvia_act!K24*1000000)</f>
        <v>10012.011313846631</v>
      </c>
      <c r="L42" s="11">
        <f>IF(L6=0,0,L6/TrAvia_act!L24*1000000)</f>
        <v>8789.5857604973116</v>
      </c>
      <c r="M42" s="11">
        <f>IF(M6=0,0,M6/TrAvia_act!M24*1000000)</f>
        <v>9651.9812518681229</v>
      </c>
      <c r="N42" s="11">
        <f>IF(N6=0,0,N6/TrAvia_act!N24*1000000)</f>
        <v>9734.8569981127002</v>
      </c>
      <c r="O42" s="11">
        <f>IF(O6=0,0,O6/TrAvia_act!O24*1000000)</f>
        <v>10656.818077452323</v>
      </c>
      <c r="P42" s="11">
        <f>IF(P6=0,0,P6/TrAvia_act!P24*1000000)</f>
        <v>10487.30331859224</v>
      </c>
      <c r="Q42" s="11">
        <f>IF(Q6=0,0,Q6/TrAvia_act!Q24*1000000)</f>
        <v>9986.8070323088214</v>
      </c>
      <c r="R42" s="11">
        <f>IF(R6=0,0,R6/TrAvia_act!R24*1000000)</f>
        <v>8989.8720925719899</v>
      </c>
      <c r="S42" s="11">
        <f>IF(S6=0,0,S6/TrAvia_act!S24*1000000)</f>
        <v>10317.051523267271</v>
      </c>
      <c r="T42" s="11">
        <f>IF(T6=0,0,T6/TrAvia_act!T24*1000000)</f>
        <v>11038.583413003551</v>
      </c>
      <c r="U42" s="11">
        <f>IF(U6=0,0,U6/TrAvia_act!U24*1000000)</f>
        <v>11254.255251300237</v>
      </c>
      <c r="V42" s="11">
        <f>IF(V6=0,0,V6/TrAvia_act!V24*1000000)</f>
        <v>11528.3821169232</v>
      </c>
      <c r="W42" s="11">
        <f>IF(W6=0,0,W6/TrAvia_act!W24*1000000)</f>
        <v>17845.226640653378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6463.7950057330963</v>
      </c>
      <c r="C44" s="84">
        <f>IF(C8=0,0,C8/TrAvia_act!C26*1000000)</f>
        <v>6449.3671984647863</v>
      </c>
      <c r="D44" s="84">
        <f>IF(D8=0,0,D8/TrAvia_act!D26*1000000)</f>
        <v>6871.1301597991023</v>
      </c>
      <c r="E44" s="84">
        <f>IF(E8=0,0,E8/TrAvia_act!E26*1000000)</f>
        <v>8047.7597794503063</v>
      </c>
      <c r="F44" s="84">
        <f>IF(F8=0,0,F8/TrAvia_act!F26*1000000)</f>
        <v>10062.538161633209</v>
      </c>
      <c r="G44" s="84">
        <f>IF(G8=0,0,G8/TrAvia_act!G26*1000000)</f>
        <v>12962.511786223007</v>
      </c>
      <c r="H44" s="84">
        <f>IF(H8=0,0,H8/TrAvia_act!H26*1000000)</f>
        <v>13158.092635989409</v>
      </c>
      <c r="I44" s="84">
        <f>IF(I8=0,0,I8/TrAvia_act!I26*1000000)</f>
        <v>12658.827100546447</v>
      </c>
      <c r="J44" s="84">
        <f>IF(J8=0,0,J8/TrAvia_act!J26*1000000)</f>
        <v>13210.275835011287</v>
      </c>
      <c r="K44" s="84">
        <f>IF(K8=0,0,K8/TrAvia_act!K26*1000000)</f>
        <v>9723.9623069743702</v>
      </c>
      <c r="L44" s="84">
        <f>IF(L8=0,0,L8/TrAvia_act!L26*1000000)</f>
        <v>8566.0178805995911</v>
      </c>
      <c r="M44" s="84">
        <f>IF(M8=0,0,M8/TrAvia_act!M26*1000000)</f>
        <v>9587.3475548454007</v>
      </c>
      <c r="N44" s="84">
        <f>IF(N8=0,0,N8/TrAvia_act!N26*1000000)</f>
        <v>10223.863506572461</v>
      </c>
      <c r="O44" s="84">
        <f>IF(O8=0,0,O8/TrAvia_act!O26*1000000)</f>
        <v>11286.746817909216</v>
      </c>
      <c r="P44" s="84">
        <f>IF(P8=0,0,P8/TrAvia_act!P26*1000000)</f>
        <v>10908.672762511211</v>
      </c>
      <c r="Q44" s="84">
        <f>IF(Q8=0,0,Q8/TrAvia_act!Q26*1000000)</f>
        <v>10405.482416461491</v>
      </c>
      <c r="R44" s="84">
        <f>IF(R8=0,0,R8/TrAvia_act!R26*1000000)</f>
        <v>8920.9351819947024</v>
      </c>
      <c r="S44" s="84">
        <f>IF(S8=0,0,S8/TrAvia_act!S26*1000000)</f>
        <v>10599.739932684561</v>
      </c>
      <c r="T44" s="84">
        <f>IF(T8=0,0,T8/TrAvia_act!T26*1000000)</f>
        <v>11517.425665671899</v>
      </c>
      <c r="U44" s="84">
        <f>IF(U8=0,0,U8/TrAvia_act!U26*1000000)</f>
        <v>11628.07626385965</v>
      </c>
      <c r="V44" s="84">
        <f>IF(V8=0,0,V8/TrAvia_act!V26*1000000)</f>
        <v>10932.099421300711</v>
      </c>
      <c r="W44" s="84">
        <f>IF(W8=0,0,W8/TrAvia_act!W26*1000000)</f>
        <v>18307.798455622811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13866.55818561956</v>
      </c>
      <c r="C45" s="84">
        <f>IF(C9=0,0,C9/TrAvia_act!C27*1000000)</f>
        <v>13835.971125131664</v>
      </c>
      <c r="D45" s="84">
        <f>IF(D9=0,0,D9/TrAvia_act!D27*1000000)</f>
        <v>14704.383069270538</v>
      </c>
      <c r="E45" s="84">
        <f>IF(E9=0,0,E9/TrAvia_act!E27*1000000)</f>
        <v>17060.123545198512</v>
      </c>
      <c r="F45" s="84">
        <f>IF(F9=0,0,F9/TrAvia_act!F27*1000000)</f>
        <v>20829.770480113617</v>
      </c>
      <c r="G45" s="84">
        <f>IF(G9=0,0,G9/TrAvia_act!G27*1000000)</f>
        <v>24632.221561392598</v>
      </c>
      <c r="H45" s="84">
        <f>IF(H9=0,0,H9/TrAvia_act!H27*1000000)</f>
        <v>22976.206201272023</v>
      </c>
      <c r="I45" s="84">
        <f>IF(I9=0,0,I9/TrAvia_act!I27*1000000)</f>
        <v>22301.130485309171</v>
      </c>
      <c r="J45" s="84">
        <f>IF(J9=0,0,J9/TrAvia_act!J27*1000000)</f>
        <v>19734.299517812342</v>
      </c>
      <c r="K45" s="84">
        <f>IF(K9=0,0,K9/TrAvia_act!K27*1000000)</f>
        <v>12851.556046602283</v>
      </c>
      <c r="L45" s="84">
        <f>IF(L9=0,0,L9/TrAvia_act!L27*1000000)</f>
        <v>10891.736346275349</v>
      </c>
      <c r="M45" s="84">
        <f>IF(M9=0,0,M9/TrAvia_act!M27*1000000)</f>
        <v>10278.31724573007</v>
      </c>
      <c r="N45" s="84">
        <f>IF(N9=0,0,N9/TrAvia_act!N27*1000000)</f>
        <v>7007.6038711041047</v>
      </c>
      <c r="O45" s="84">
        <f>IF(O9=0,0,O9/TrAvia_act!O27*1000000)</f>
        <v>7492.3189128078784</v>
      </c>
      <c r="P45" s="84">
        <f>IF(P9=0,0,P9/TrAvia_act!P27*1000000)</f>
        <v>8103.4197075789807</v>
      </c>
      <c r="Q45" s="84">
        <f>IF(Q9=0,0,Q9/TrAvia_act!Q27*1000000)</f>
        <v>7641.2965542597403</v>
      </c>
      <c r="R45" s="84">
        <f>IF(R9=0,0,R9/TrAvia_act!R27*1000000)</f>
        <v>9569.5066372150177</v>
      </c>
      <c r="S45" s="84">
        <f>IF(S9=0,0,S9/TrAvia_act!S27*1000000)</f>
        <v>8476.8634480028977</v>
      </c>
      <c r="T45" s="84">
        <f>IF(T9=0,0,T9/TrAvia_act!T27*1000000)</f>
        <v>8154.402378378235</v>
      </c>
      <c r="U45" s="84">
        <f>IF(U9=0,0,U9/TrAvia_act!U27*1000000)</f>
        <v>8892.8116093609005</v>
      </c>
      <c r="V45" s="84">
        <f>IF(V9=0,0,V9/TrAvia_act!V27*1000000)</f>
        <v>17466.498258734904</v>
      </c>
      <c r="W45" s="84">
        <f>IF(W9=0,0,W9/TrAvia_act!W27*1000000)</f>
        <v>15127.843978597661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7417.9402471835965</v>
      </c>
      <c r="C46" s="13">
        <f>IF(C10=0,0,C10/TrAvia_act!C28*1000000)</f>
        <v>7441.3373151615051</v>
      </c>
      <c r="D46" s="13">
        <f>IF(D10=0,0,D10/TrAvia_act!D28*1000000)</f>
        <v>7161.4410773541867</v>
      </c>
      <c r="E46" s="13">
        <f>IF(E10=0,0,E10/TrAvia_act!E28*1000000)</f>
        <v>7444.1968106051709</v>
      </c>
      <c r="F46" s="13">
        <f>IF(F10=0,0,F10/TrAvia_act!F28*1000000)</f>
        <v>8652.7283010683514</v>
      </c>
      <c r="G46" s="13">
        <f>IF(G10=0,0,G10/TrAvia_act!G28*1000000)</f>
        <v>12188.583996680036</v>
      </c>
      <c r="H46" s="13">
        <f>IF(H10=0,0,H10/TrAvia_act!H28*1000000)</f>
        <v>11952.743263375576</v>
      </c>
      <c r="I46" s="13">
        <f>IF(I10=0,0,I10/TrAvia_act!I28*1000000)</f>
        <v>12248.849081685306</v>
      </c>
      <c r="J46" s="13">
        <f>IF(J10=0,0,J10/TrAvia_act!J28*1000000)</f>
        <v>14243.782777131446</v>
      </c>
      <c r="K46" s="13">
        <f>IF(K10=0,0,K10/TrAvia_act!K28*1000000)</f>
        <v>9427.7904401198266</v>
      </c>
      <c r="L46" s="13">
        <f>IF(L10=0,0,L10/TrAvia_act!L28*1000000)</f>
        <v>7873.2622066789745</v>
      </c>
      <c r="M46" s="13">
        <f>IF(M10=0,0,M10/TrAvia_act!M28*1000000)</f>
        <v>8054.7265019334864</v>
      </c>
      <c r="N46" s="13">
        <f>IF(N10=0,0,N10/TrAvia_act!N28*1000000)</f>
        <v>8907.3749612467491</v>
      </c>
      <c r="O46" s="13">
        <f>IF(O10=0,0,O10/TrAvia_act!O28*1000000)</f>
        <v>9876.3087710902182</v>
      </c>
      <c r="P46" s="13">
        <f>IF(P10=0,0,P10/TrAvia_act!P28*1000000)</f>
        <v>9429.0339100308702</v>
      </c>
      <c r="Q46" s="13">
        <f>IF(Q10=0,0,Q10/TrAvia_act!Q28*1000000)</f>
        <v>9036.0858019608677</v>
      </c>
      <c r="R46" s="13">
        <f>IF(R10=0,0,R10/TrAvia_act!R28*1000000)</f>
        <v>7717.3288870437254</v>
      </c>
      <c r="S46" s="13">
        <f>IF(S10=0,0,S10/TrAvia_act!S28*1000000)</f>
        <v>9165.4914748794963</v>
      </c>
      <c r="T46" s="13">
        <f>IF(T10=0,0,T10/TrAvia_act!T28*1000000)</f>
        <v>8757.8199461903569</v>
      </c>
      <c r="U46" s="13">
        <f>IF(U10=0,0,U10/TrAvia_act!U28*1000000)</f>
        <v>9305.8281495603424</v>
      </c>
      <c r="V46" s="13">
        <f>IF(V10=0,0,V10/TrAvia_act!V28*1000000)</f>
        <v>10082.524739967494</v>
      </c>
      <c r="W46" s="13">
        <f>IF(W10=0,0,W10/TrAvia_act!W28*1000000)</f>
        <v>17104.55504146139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6862.7071676246114</v>
      </c>
      <c r="C48" s="102">
        <f>IF(C12=0,0,C12/TrAvia_act!C30*1000000)</f>
        <v>6873.7114906105289</v>
      </c>
      <c r="D48" s="102">
        <f>IF(D12=0,0,D12/TrAvia_act!D30*1000000)</f>
        <v>6660.7791077954334</v>
      </c>
      <c r="E48" s="102">
        <f>IF(E12=0,0,E12/TrAvia_act!E30*1000000)</f>
        <v>6802.6864507412802</v>
      </c>
      <c r="F48" s="102">
        <f>IF(F12=0,0,F12/TrAvia_act!F30*1000000)</f>
        <v>7999.9158845341262</v>
      </c>
      <c r="G48" s="102">
        <f>IF(G12=0,0,G12/TrAvia_act!G30*1000000)</f>
        <v>10897.55181236829</v>
      </c>
      <c r="H48" s="102">
        <f>IF(H12=0,0,H12/TrAvia_act!H30*1000000)</f>
        <v>11418.643149953468</v>
      </c>
      <c r="I48" s="102">
        <f>IF(I12=0,0,I12/TrAvia_act!I30*1000000)</f>
        <v>12073.318046117536</v>
      </c>
      <c r="J48" s="102">
        <f>IF(J12=0,0,J12/TrAvia_act!J30*1000000)</f>
        <v>14322.730899265862</v>
      </c>
      <c r="K48" s="102">
        <f>IF(K12=0,0,K12/TrAvia_act!K30*1000000)</f>
        <v>9465.692247636518</v>
      </c>
      <c r="L48" s="102">
        <f>IF(L12=0,0,L12/TrAvia_act!L30*1000000)</f>
        <v>7981.68984776465</v>
      </c>
      <c r="M48" s="102">
        <f>IF(M12=0,0,M12/TrAvia_act!M30*1000000)</f>
        <v>8087.1574767004704</v>
      </c>
      <c r="N48" s="102">
        <f>IF(N12=0,0,N12/TrAvia_act!N30*1000000)</f>
        <v>8985.477879532953</v>
      </c>
      <c r="O48" s="102">
        <f>IF(O12=0,0,O12/TrAvia_act!O30*1000000)</f>
        <v>9975.8568985987567</v>
      </c>
      <c r="P48" s="102">
        <f>IF(P12=0,0,P12/TrAvia_act!P30*1000000)</f>
        <v>9515.7471185607064</v>
      </c>
      <c r="Q48" s="102">
        <f>IF(Q12=0,0,Q12/TrAvia_act!Q30*1000000)</f>
        <v>9149.8084780071022</v>
      </c>
      <c r="R48" s="102">
        <f>IF(R12=0,0,R12/TrAvia_act!R30*1000000)</f>
        <v>8030.8025040781922</v>
      </c>
      <c r="S48" s="102">
        <f>IF(S12=0,0,S12/TrAvia_act!S30*1000000)</f>
        <v>9458.7711853095989</v>
      </c>
      <c r="T48" s="102">
        <f>IF(T12=0,0,T12/TrAvia_act!T30*1000000)</f>
        <v>8919.4868333137219</v>
      </c>
      <c r="U48" s="102">
        <f>IF(U12=0,0,U12/TrAvia_act!U30*1000000)</f>
        <v>9146.5871087045161</v>
      </c>
      <c r="V48" s="102">
        <f>IF(V12=0,0,V12/TrAvia_act!V30*1000000)</f>
        <v>9788.3040095671022</v>
      </c>
      <c r="W48" s="102">
        <f>IF(W12=0,0,W12/TrAvia_act!W30*1000000)</f>
        <v>16688.46715051416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11264.91229841371</v>
      </c>
      <c r="C49" s="86">
        <f>IF(C13=0,0,C13/TrAvia_act!C31*1000000)</f>
        <v>11240.063987156507</v>
      </c>
      <c r="D49" s="86">
        <f>IF(D13=0,0,D13/TrAvia_act!D31*1000000)</f>
        <v>11945.544342026722</v>
      </c>
      <c r="E49" s="86">
        <f>IF(E13=0,0,E13/TrAvia_act!E31*1000000)</f>
        <v>13859.300409244079</v>
      </c>
      <c r="F49" s="86">
        <f>IF(F13=0,0,F13/TrAvia_act!F31*1000000)</f>
        <v>16921.685577168533</v>
      </c>
      <c r="G49" s="86">
        <f>IF(G13=0,0,G13/TrAvia_act!G31*1000000)</f>
        <v>20010.720172215904</v>
      </c>
      <c r="H49" s="86">
        <f>IF(H13=0,0,H13/TrAvia_act!H31*1000000)</f>
        <v>17099.526174534061</v>
      </c>
      <c r="I49" s="86">
        <f>IF(I13=0,0,I13/TrAvia_act!I31*1000000)</f>
        <v>15207.800824113443</v>
      </c>
      <c r="J49" s="86">
        <f>IF(J13=0,0,J13/TrAvia_act!J31*1000000)</f>
        <v>12333.238221478552</v>
      </c>
      <c r="K49" s="86">
        <f>IF(K13=0,0,K13/TrAvia_act!K31*1000000)</f>
        <v>7362.1419304601786</v>
      </c>
      <c r="L49" s="86">
        <f>IF(L13=0,0,L13/TrAvia_act!L31*1000000)</f>
        <v>5720.1990479777214</v>
      </c>
      <c r="M49" s="86">
        <f>IF(M13=0,0,M13/TrAvia_act!M31*1000000)</f>
        <v>6422.3674386618422</v>
      </c>
      <c r="N49" s="86">
        <f>IF(N13=0,0,N13/TrAvia_act!N31*1000000)</f>
        <v>5217.0120722236416</v>
      </c>
      <c r="O49" s="86">
        <f>IF(O13=0,0,O13/TrAvia_act!O31*1000000)</f>
        <v>5222.4338100660161</v>
      </c>
      <c r="P49" s="86">
        <f>IF(P13=0,0,P13/TrAvia_act!P31*1000000)</f>
        <v>5288.4782027312294</v>
      </c>
      <c r="Q49" s="86">
        <f>IF(Q13=0,0,Q13/TrAvia_act!Q31*1000000)</f>
        <v>4669.1350417855265</v>
      </c>
      <c r="R49" s="86">
        <f>IF(R13=0,0,R13/TrAvia_act!R31*1000000)</f>
        <v>5474.7868574894619</v>
      </c>
      <c r="S49" s="86">
        <f>IF(S13=0,0,S13/TrAvia_act!S31*1000000)</f>
        <v>4540.6960411740602</v>
      </c>
      <c r="T49" s="86">
        <f>IF(T13=0,0,T13/TrAvia_act!T31*1000000)</f>
        <v>4089.6885805031734</v>
      </c>
      <c r="U49" s="86">
        <f>IF(U13=0,0,U13/TrAvia_act!U31*1000000)</f>
        <v>15569.309089889481</v>
      </c>
      <c r="V49" s="86">
        <f>IF(V13=0,0,V13/TrAvia_act!V31*1000000)</f>
        <v>30579.902291194907</v>
      </c>
      <c r="W49" s="86">
        <f>IF(W13=0,0,W13/TrAvia_act!W31*1000000)</f>
        <v>26485.445673726274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0.98668384732566505</v>
      </c>
      <c r="C52" s="16">
        <f t="shared" si="35"/>
        <v>0.98544025850255657</v>
      </c>
      <c r="D52" s="16">
        <f t="shared" ref="D52:V52" si="36">IF(D6=0,0,D6/D$3)</f>
        <v>0.98732197987089609</v>
      </c>
      <c r="E52" s="16">
        <f t="shared" si="36"/>
        <v>0.9868615449040985</v>
      </c>
      <c r="F52" s="16">
        <f t="shared" si="36"/>
        <v>0.98894047900563697</v>
      </c>
      <c r="G52" s="16">
        <f t="shared" si="36"/>
        <v>0.99039388559613739</v>
      </c>
      <c r="H52" s="16">
        <f t="shared" si="36"/>
        <v>0.99103533139057753</v>
      </c>
      <c r="I52" s="16">
        <f t="shared" si="36"/>
        <v>0.991394920223021</v>
      </c>
      <c r="J52" s="16">
        <f t="shared" si="36"/>
        <v>0.99117399586190158</v>
      </c>
      <c r="K52" s="16">
        <f t="shared" si="36"/>
        <v>0.99052163130402937</v>
      </c>
      <c r="L52" s="16">
        <f t="shared" si="36"/>
        <v>0.98864937935250241</v>
      </c>
      <c r="M52" s="16">
        <f t="shared" si="36"/>
        <v>0.99092053945844105</v>
      </c>
      <c r="N52" s="16">
        <f t="shared" si="36"/>
        <v>0.99043759497954209</v>
      </c>
      <c r="O52" s="16">
        <f t="shared" si="36"/>
        <v>0.98684813557064477</v>
      </c>
      <c r="P52" s="16">
        <f t="shared" si="36"/>
        <v>0.98718713020458915</v>
      </c>
      <c r="Q52" s="16">
        <f t="shared" si="36"/>
        <v>0.98816917969162765</v>
      </c>
      <c r="R52" s="16">
        <f t="shared" si="36"/>
        <v>0.98814237182582176</v>
      </c>
      <c r="S52" s="16">
        <f t="shared" si="36"/>
        <v>0.98887331046813343</v>
      </c>
      <c r="T52" s="16">
        <f t="shared" si="36"/>
        <v>0.98998191765905785</v>
      </c>
      <c r="U52" s="16">
        <f t="shared" si="36"/>
        <v>0.98907561882135442</v>
      </c>
      <c r="V52" s="16">
        <f t="shared" si="36"/>
        <v>0.97041656630873641</v>
      </c>
      <c r="W52" s="16">
        <f t="shared" ref="W52" si="37">IF(W6=0,0,W6/W$3)</f>
        <v>0.96580694585577787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0.90976455946673973</v>
      </c>
      <c r="C54" s="103">
        <f t="shared" si="41"/>
        <v>0.9085571985710198</v>
      </c>
      <c r="D54" s="103">
        <f t="shared" ref="D54:V54" si="42">IF(D8=0,0,D8/D$3)</f>
        <v>0.90539151761827319</v>
      </c>
      <c r="E54" s="103">
        <f t="shared" si="42"/>
        <v>0.89160492097950206</v>
      </c>
      <c r="F54" s="103">
        <f t="shared" si="42"/>
        <v>0.87248902935279227</v>
      </c>
      <c r="G54" s="103">
        <f t="shared" si="42"/>
        <v>0.88718014565851899</v>
      </c>
      <c r="H54" s="103">
        <f t="shared" si="42"/>
        <v>0.89088139578392367</v>
      </c>
      <c r="I54" s="103">
        <f t="shared" si="42"/>
        <v>0.89350735712355778</v>
      </c>
      <c r="J54" s="103">
        <f t="shared" si="42"/>
        <v>0.88878756245520274</v>
      </c>
      <c r="K54" s="103">
        <f t="shared" si="42"/>
        <v>0.87342230563200352</v>
      </c>
      <c r="L54" s="103">
        <f t="shared" si="42"/>
        <v>0.87088247008369379</v>
      </c>
      <c r="M54" s="103">
        <f t="shared" si="42"/>
        <v>0.89221435155141238</v>
      </c>
      <c r="N54" s="103">
        <f t="shared" si="42"/>
        <v>0.88203726015422301</v>
      </c>
      <c r="O54" s="103">
        <f t="shared" si="42"/>
        <v>0.87166626007582093</v>
      </c>
      <c r="P54" s="103">
        <f t="shared" si="42"/>
        <v>0.87261077989570157</v>
      </c>
      <c r="Q54" s="103">
        <f t="shared" si="42"/>
        <v>0.87364903532446891</v>
      </c>
      <c r="R54" s="103">
        <f t="shared" si="42"/>
        <v>0.87634037931652753</v>
      </c>
      <c r="S54" s="103">
        <f t="shared" si="42"/>
        <v>0.88067922526393405</v>
      </c>
      <c r="T54" s="103">
        <f t="shared" si="42"/>
        <v>0.88585364912692455</v>
      </c>
      <c r="U54" s="103">
        <f t="shared" si="42"/>
        <v>0.88226456901738515</v>
      </c>
      <c r="V54" s="103">
        <f t="shared" si="42"/>
        <v>0.83625063455573989</v>
      </c>
      <c r="W54" s="103">
        <f t="shared" ref="W54" si="43">IF(W8=0,0,W8/W$3)</f>
        <v>0.84670919567938363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7.6919287858925336E-2</v>
      </c>
      <c r="C55" s="103">
        <f t="shared" si="44"/>
        <v>7.6883059931536726E-2</v>
      </c>
      <c r="D55" s="103">
        <f t="shared" ref="D55:V55" si="45">IF(D9=0,0,D9/D$3)</f>
        <v>8.1930462252622849E-2</v>
      </c>
      <c r="E55" s="103">
        <f t="shared" si="45"/>
        <v>9.525662392459637E-2</v>
      </c>
      <c r="F55" s="103">
        <f t="shared" si="45"/>
        <v>0.11645144965284468</v>
      </c>
      <c r="G55" s="103">
        <f t="shared" si="45"/>
        <v>0.10321373993761837</v>
      </c>
      <c r="H55" s="103">
        <f t="shared" si="45"/>
        <v>0.10015393560665391</v>
      </c>
      <c r="I55" s="103">
        <f t="shared" si="45"/>
        <v>9.7887563099463309E-2</v>
      </c>
      <c r="J55" s="103">
        <f t="shared" si="45"/>
        <v>0.10238643340669873</v>
      </c>
      <c r="K55" s="103">
        <f t="shared" si="45"/>
        <v>0.11709932567202577</v>
      </c>
      <c r="L55" s="103">
        <f t="shared" si="45"/>
        <v>0.1177669092688087</v>
      </c>
      <c r="M55" s="103">
        <f t="shared" si="45"/>
        <v>9.8706187907028731E-2</v>
      </c>
      <c r="N55" s="103">
        <f t="shared" si="45"/>
        <v>0.10840033482531899</v>
      </c>
      <c r="O55" s="103">
        <f t="shared" si="45"/>
        <v>0.11518187549482384</v>
      </c>
      <c r="P55" s="103">
        <f t="shared" si="45"/>
        <v>0.11457635030888755</v>
      </c>
      <c r="Q55" s="103">
        <f t="shared" si="45"/>
        <v>0.11452014436715878</v>
      </c>
      <c r="R55" s="103">
        <f t="shared" si="45"/>
        <v>0.1118019925092943</v>
      </c>
      <c r="S55" s="103">
        <f t="shared" si="45"/>
        <v>0.10819408520419933</v>
      </c>
      <c r="T55" s="103">
        <f t="shared" si="45"/>
        <v>0.10412826853213333</v>
      </c>
      <c r="U55" s="103">
        <f t="shared" si="45"/>
        <v>0.10681104980396916</v>
      </c>
      <c r="V55" s="103">
        <f t="shared" si="45"/>
        <v>0.13416593175299654</v>
      </c>
      <c r="W55" s="103">
        <f t="shared" ref="W55" si="46">IF(W9=0,0,W9/W$3)</f>
        <v>0.11909775017639419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1.3316152674334961E-2</v>
      </c>
      <c r="C56" s="17">
        <f t="shared" si="47"/>
        <v>1.4559741497443386E-2</v>
      </c>
      <c r="D56" s="17">
        <f t="shared" ref="D56:V56" si="48">IF(D10=0,0,D10/D$3)</f>
        <v>1.2678020129104028E-2</v>
      </c>
      <c r="E56" s="17">
        <f t="shared" si="48"/>
        <v>1.3138455095901494E-2</v>
      </c>
      <c r="F56" s="17">
        <f t="shared" si="48"/>
        <v>1.1059520994362986E-2</v>
      </c>
      <c r="G56" s="17">
        <f t="shared" si="48"/>
        <v>9.6061144038625968E-3</v>
      </c>
      <c r="H56" s="17">
        <f t="shared" si="48"/>
        <v>8.9646686094224364E-3</v>
      </c>
      <c r="I56" s="17">
        <f t="shared" si="48"/>
        <v>8.6050797769790764E-3</v>
      </c>
      <c r="J56" s="17">
        <f t="shared" si="48"/>
        <v>8.8260041380983506E-3</v>
      </c>
      <c r="K56" s="17">
        <f t="shared" si="48"/>
        <v>9.4783686959706761E-3</v>
      </c>
      <c r="L56" s="17">
        <f t="shared" si="48"/>
        <v>1.1350620647497669E-2</v>
      </c>
      <c r="M56" s="17">
        <f t="shared" si="48"/>
        <v>9.0794605415588595E-3</v>
      </c>
      <c r="N56" s="17">
        <f t="shared" si="48"/>
        <v>9.5624050204580237E-3</v>
      </c>
      <c r="O56" s="17">
        <f t="shared" si="48"/>
        <v>1.31518644293552E-2</v>
      </c>
      <c r="P56" s="17">
        <f t="shared" si="48"/>
        <v>1.2812869795410908E-2</v>
      </c>
      <c r="Q56" s="17">
        <f t="shared" si="48"/>
        <v>1.1830820308372408E-2</v>
      </c>
      <c r="R56" s="17">
        <f t="shared" si="48"/>
        <v>1.1857628174178337E-2</v>
      </c>
      <c r="S56" s="17">
        <f t="shared" si="48"/>
        <v>1.1126689531866667E-2</v>
      </c>
      <c r="T56" s="17">
        <f t="shared" si="48"/>
        <v>1.0018082340942095E-2</v>
      </c>
      <c r="U56" s="17">
        <f t="shared" si="48"/>
        <v>1.0924381178645725E-2</v>
      </c>
      <c r="V56" s="17">
        <f t="shared" si="48"/>
        <v>2.9583433691263653E-2</v>
      </c>
      <c r="W56" s="17">
        <f t="shared" ref="W56" si="49">IF(W10=0,0,W10/W$3)</f>
        <v>3.4193054144222135E-2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1.0765635178702968E-2</v>
      </c>
      <c r="C58" s="104">
        <f t="shared" si="53"/>
        <v>1.1700737196501807E-2</v>
      </c>
      <c r="D58" s="104">
        <f t="shared" ref="D58:V58" si="54">IF(D12=0,0,D12/D$3)</f>
        <v>1.0674582332496926E-2</v>
      </c>
      <c r="E58" s="104">
        <f t="shared" si="54"/>
        <v>1.0914760821382812E-2</v>
      </c>
      <c r="F58" s="104">
        <f t="shared" si="54"/>
        <v>9.4769461083309275E-3</v>
      </c>
      <c r="G58" s="104">
        <f t="shared" si="54"/>
        <v>7.3718997590934412E-3</v>
      </c>
      <c r="H58" s="104">
        <f t="shared" si="54"/>
        <v>7.7589178381136763E-3</v>
      </c>
      <c r="I58" s="104">
        <f t="shared" si="54"/>
        <v>8.0067865860623724E-3</v>
      </c>
      <c r="J58" s="104">
        <f t="shared" si="54"/>
        <v>8.5227439750054663E-3</v>
      </c>
      <c r="K58" s="104">
        <f t="shared" si="54"/>
        <v>9.3450058421837585E-3</v>
      </c>
      <c r="L58" s="104">
        <f t="shared" si="54"/>
        <v>1.0955234709326219E-2</v>
      </c>
      <c r="M58" s="104">
        <f t="shared" si="54"/>
        <v>8.9384326770084854E-3</v>
      </c>
      <c r="N58" s="104">
        <f t="shared" si="54"/>
        <v>9.4463291567387832E-3</v>
      </c>
      <c r="O58" s="104">
        <f t="shared" si="54"/>
        <v>1.3006220551841103E-2</v>
      </c>
      <c r="P58" s="104">
        <f t="shared" si="54"/>
        <v>1.2665456955183171E-2</v>
      </c>
      <c r="Q58" s="104">
        <f t="shared" si="54"/>
        <v>1.1675662111078355E-2</v>
      </c>
      <c r="R58" s="104">
        <f t="shared" si="54"/>
        <v>1.0825970716266165E-2</v>
      </c>
      <c r="S58" s="104">
        <f t="shared" si="54"/>
        <v>1.0797974547462969E-2</v>
      </c>
      <c r="T58" s="104">
        <f t="shared" si="54"/>
        <v>9.8614898582729104E-3</v>
      </c>
      <c r="U58" s="104">
        <f t="shared" si="54"/>
        <v>1.0471225901214038E-2</v>
      </c>
      <c r="V58" s="104">
        <f t="shared" si="54"/>
        <v>2.8313734709869302E-2</v>
      </c>
      <c r="W58" s="104">
        <f t="shared" ref="W58" si="55">IF(W12=0,0,W12/W$3)</f>
        <v>3.1944381071326022E-2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2.5505174956319938E-3</v>
      </c>
      <c r="C59" s="105">
        <f t="shared" si="56"/>
        <v>2.8590043009415786E-3</v>
      </c>
      <c r="D59" s="105">
        <f t="shared" ref="D59:V59" si="57">IF(D13=0,0,D13/D$3)</f>
        <v>2.0034377966071017E-3</v>
      </c>
      <c r="E59" s="105">
        <f t="shared" si="57"/>
        <v>2.223694274518683E-3</v>
      </c>
      <c r="F59" s="105">
        <f t="shared" si="57"/>
        <v>1.5825748860320589E-3</v>
      </c>
      <c r="G59" s="105">
        <f t="shared" si="57"/>
        <v>2.2342146447691547E-3</v>
      </c>
      <c r="H59" s="105">
        <f t="shared" si="57"/>
        <v>1.2057507713087606E-3</v>
      </c>
      <c r="I59" s="105">
        <f t="shared" si="57"/>
        <v>5.9829319091670406E-4</v>
      </c>
      <c r="J59" s="105">
        <f t="shared" si="57"/>
        <v>3.0326016309288281E-4</v>
      </c>
      <c r="K59" s="105">
        <f t="shared" si="57"/>
        <v>1.3336285378691794E-4</v>
      </c>
      <c r="L59" s="105">
        <f t="shared" si="57"/>
        <v>3.9538593817144938E-4</v>
      </c>
      <c r="M59" s="105">
        <f t="shared" si="57"/>
        <v>1.4102786455037438E-4</v>
      </c>
      <c r="N59" s="105">
        <f t="shared" si="57"/>
        <v>1.1607586371924065E-4</v>
      </c>
      <c r="O59" s="105">
        <f t="shared" si="57"/>
        <v>1.4564387751409501E-4</v>
      </c>
      <c r="P59" s="105">
        <f t="shared" si="57"/>
        <v>1.4741284022773876E-4</v>
      </c>
      <c r="Q59" s="105">
        <f t="shared" si="57"/>
        <v>1.5515819729405305E-4</v>
      </c>
      <c r="R59" s="105">
        <f t="shared" si="57"/>
        <v>1.0316574579121718E-3</v>
      </c>
      <c r="S59" s="105">
        <f t="shared" si="57"/>
        <v>3.2871498440369763E-4</v>
      </c>
      <c r="T59" s="105">
        <f t="shared" si="57"/>
        <v>1.565924826691837E-4</v>
      </c>
      <c r="U59" s="105">
        <f t="shared" si="57"/>
        <v>4.5315527743168652E-4</v>
      </c>
      <c r="V59" s="105">
        <f t="shared" si="57"/>
        <v>1.2696989813943524E-3</v>
      </c>
      <c r="W59" s="105">
        <f t="shared" ref="W59" si="58">IF(W13=0,0,W13/W$3)</f>
        <v>2.2486730728961094E-3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690791</v>
      </c>
      <c r="C4" s="11">
        <f t="shared" si="0"/>
        <v>569826</v>
      </c>
      <c r="D4" s="11">
        <f t="shared" ref="D4" si="1">SUM(D5:D7)</f>
        <v>548516</v>
      </c>
      <c r="E4" s="11">
        <f t="shared" ref="E4" si="2">SUM(E5:E7)</f>
        <v>606447</v>
      </c>
      <c r="F4" s="11">
        <f t="shared" ref="F4" si="3">SUM(F5:F7)</f>
        <v>826688</v>
      </c>
      <c r="G4" s="11">
        <f t="shared" ref="G4" si="4">SUM(G5:G7)</f>
        <v>1098087</v>
      </c>
      <c r="H4" s="11">
        <f t="shared" ref="H4" si="5">SUM(H5:H7)</f>
        <v>1134008</v>
      </c>
      <c r="I4" s="11">
        <f t="shared" ref="I4" si="6">SUM(I5:I7)</f>
        <v>1310743</v>
      </c>
      <c r="J4" s="11">
        <f t="shared" ref="J4" si="7">SUM(J5:J7)</f>
        <v>1409399</v>
      </c>
      <c r="K4" s="11">
        <f t="shared" ref="K4" si="8">SUM(K5:K7)</f>
        <v>1035003</v>
      </c>
      <c r="L4" s="11">
        <f t="shared" ref="L4" si="9">SUM(L5:L7)</f>
        <v>1087966</v>
      </c>
      <c r="M4" s="11">
        <f t="shared" ref="M4" si="10">SUM(M5:M7)</f>
        <v>1452958</v>
      </c>
      <c r="N4" s="11">
        <f t="shared" ref="N4" si="11">SUM(N5:N7)</f>
        <v>1637563</v>
      </c>
      <c r="O4" s="11">
        <f t="shared" ref="O4" si="12">SUM(O5:O7)</f>
        <v>1339042</v>
      </c>
      <c r="P4" s="11">
        <f t="shared" ref="P4" si="13">SUM(P5:P7)</f>
        <v>1430227</v>
      </c>
      <c r="Q4" s="11">
        <f t="shared" ref="Q4" si="14">SUM(Q5:Q7)</f>
        <v>1525449</v>
      </c>
      <c r="R4" s="11">
        <f t="shared" ref="R4" si="15">SUM(R5:R7)</f>
        <v>1563637</v>
      </c>
      <c r="S4" s="11">
        <f t="shared" ref="S4" si="16">SUM(S5:S7)</f>
        <v>1832859</v>
      </c>
      <c r="T4" s="11">
        <f t="shared" ref="T4" si="17">SUM(T5:T7)</f>
        <v>2047732</v>
      </c>
      <c r="U4" s="11">
        <f t="shared" ref="U4" si="18">SUM(U5:U7)</f>
        <v>2098600</v>
      </c>
      <c r="V4" s="11">
        <f t="shared" ref="V4:W4" si="19">SUM(V5:V7)</f>
        <v>743913</v>
      </c>
      <c r="W4" s="11">
        <f t="shared" si="19"/>
        <v>1010340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634247</v>
      </c>
      <c r="C6" s="84">
        <v>524559</v>
      </c>
      <c r="D6" s="84">
        <v>503088</v>
      </c>
      <c r="E6" s="84">
        <v>562524</v>
      </c>
      <c r="F6" s="84">
        <v>764478</v>
      </c>
      <c r="G6" s="84">
        <v>1020256</v>
      </c>
      <c r="H6" s="84">
        <v>1048698</v>
      </c>
      <c r="I6" s="84">
        <v>1205343</v>
      </c>
      <c r="J6" s="84">
        <v>1274112</v>
      </c>
      <c r="K6" s="84">
        <v>915261</v>
      </c>
      <c r="L6" s="84">
        <v>963606</v>
      </c>
      <c r="M6" s="84">
        <v>1313984</v>
      </c>
      <c r="N6" s="84">
        <v>1358399</v>
      </c>
      <c r="O6" s="84">
        <v>1090551</v>
      </c>
      <c r="P6" s="84">
        <v>1168433</v>
      </c>
      <c r="Q6" s="84">
        <v>1251809</v>
      </c>
      <c r="R6" s="84">
        <v>1350240</v>
      </c>
      <c r="S6" s="84">
        <v>1557798</v>
      </c>
      <c r="T6" s="84">
        <v>1697887</v>
      </c>
      <c r="U6" s="84">
        <v>1727032</v>
      </c>
      <c r="V6" s="84">
        <v>656917</v>
      </c>
      <c r="W6" s="84">
        <v>831234</v>
      </c>
      <c r="DA6" s="171" t="s">
        <v>363</v>
      </c>
    </row>
    <row r="7" spans="1:105" ht="11.45" customHeight="1" x14ac:dyDescent="0.25">
      <c r="A7" s="85" t="s">
        <v>174</v>
      </c>
      <c r="B7" s="86">
        <v>56544</v>
      </c>
      <c r="C7" s="86">
        <v>45267</v>
      </c>
      <c r="D7" s="86">
        <v>45428</v>
      </c>
      <c r="E7" s="86">
        <v>43923</v>
      </c>
      <c r="F7" s="86">
        <v>62210</v>
      </c>
      <c r="G7" s="86">
        <v>77831</v>
      </c>
      <c r="H7" s="86">
        <v>85310</v>
      </c>
      <c r="I7" s="86">
        <v>105400</v>
      </c>
      <c r="J7" s="86">
        <v>135287</v>
      </c>
      <c r="K7" s="86">
        <v>119742</v>
      </c>
      <c r="L7" s="86">
        <v>124360</v>
      </c>
      <c r="M7" s="86">
        <v>138974</v>
      </c>
      <c r="N7" s="86">
        <v>279164</v>
      </c>
      <c r="O7" s="86">
        <v>248491</v>
      </c>
      <c r="P7" s="86">
        <v>261794</v>
      </c>
      <c r="Q7" s="86">
        <v>273640</v>
      </c>
      <c r="R7" s="86">
        <v>213397</v>
      </c>
      <c r="S7" s="86">
        <v>275061</v>
      </c>
      <c r="T7" s="86">
        <v>349845</v>
      </c>
      <c r="U7" s="86">
        <v>371568</v>
      </c>
      <c r="V7" s="86">
        <v>86996</v>
      </c>
      <c r="W7" s="86">
        <v>179106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76.364249391996466</v>
      </c>
      <c r="C12" s="14">
        <f>IF(C4=0,0,C4/TrAvia_act!C24)</f>
        <v>76.139230358097279</v>
      </c>
      <c r="D12" s="14">
        <f>IF(D4=0,0,D4/TrAvia_act!D24)</f>
        <v>74.425508819538663</v>
      </c>
      <c r="E12" s="14">
        <f>IF(E4=0,0,E4/TrAvia_act!E24)</f>
        <v>83.61326347718186</v>
      </c>
      <c r="F12" s="14">
        <f>IF(F4=0,0,F4/TrAvia_act!F24)</f>
        <v>93.074532762891238</v>
      </c>
      <c r="G12" s="14">
        <f>IF(G4=0,0,G4/TrAvia_act!G24)</f>
        <v>99.293516592820325</v>
      </c>
      <c r="H12" s="14">
        <f>IF(H4=0,0,H4/TrAvia_act!H24)</f>
        <v>100.87244262586728</v>
      </c>
      <c r="I12" s="14">
        <f>IF(I4=0,0,I4/TrAvia_act!I24)</f>
        <v>98.256596701649173</v>
      </c>
      <c r="J12" s="14">
        <f>IF(J4=0,0,J4/TrAvia_act!J24)</f>
        <v>95.643254614549406</v>
      </c>
      <c r="K12" s="14">
        <f>IF(K4=0,0,K4/TrAvia_act!K24)</f>
        <v>94.754463059599004</v>
      </c>
      <c r="L12" s="14">
        <f>IF(L4=0,0,L4/TrAvia_act!L24)</f>
        <v>95.511017469932398</v>
      </c>
      <c r="M12" s="14">
        <f>IF(M4=0,0,M4/TrAvia_act!M24)</f>
        <v>103.59033224012548</v>
      </c>
      <c r="N12" s="14">
        <f>IF(N4=0,0,N4/TrAvia_act!N24)</f>
        <v>89.528347274615925</v>
      </c>
      <c r="O12" s="14">
        <f>IF(O4=0,0,O4/TrAvia_act!O24)</f>
        <v>100.81629272699895</v>
      </c>
      <c r="P12" s="14">
        <f>IF(P4=0,0,P4/TrAvia_act!P24)</f>
        <v>105.87999703879183</v>
      </c>
      <c r="Q12" s="14">
        <f>IF(Q4=0,0,Q4/TrAvia_act!Q24)</f>
        <v>102.46164696399785</v>
      </c>
      <c r="R12" s="14">
        <f>IF(R4=0,0,R4/TrAvia_act!R24)</f>
        <v>103.10147698799948</v>
      </c>
      <c r="S12" s="14">
        <f>IF(S4=0,0,S4/TrAvia_act!S24)</f>
        <v>106.48727631884732</v>
      </c>
      <c r="T12" s="14">
        <f>IF(T4=0,0,T4/TrAvia_act!T24)</f>
        <v>109.28231401430249</v>
      </c>
      <c r="U12" s="14">
        <f>IF(U4=0,0,U4/TrAvia_act!U24)</f>
        <v>115.83595518021748</v>
      </c>
      <c r="V12" s="14">
        <f>IF(V4=0,0,V4/TrAvia_act!V24)</f>
        <v>122.31387701414009</v>
      </c>
      <c r="W12" s="14">
        <f>IF(W4=0,0,W4/TrAvia_act!W24)</f>
        <v>144.0872789503708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72.876824083649311</v>
      </c>
      <c r="C14" s="87">
        <f>IF(C6=0,0,C6/TrAvia_act!C26)</f>
        <v>72.85541666666667</v>
      </c>
      <c r="D14" s="87">
        <f>IF(D6=0,0,D6/TrAvia_act!D26)</f>
        <v>71.148069579974546</v>
      </c>
      <c r="E14" s="87">
        <f>IF(E6=0,0,E6/TrAvia_act!E26)</f>
        <v>81.466183924692245</v>
      </c>
      <c r="F14" s="87">
        <f>IF(F6=0,0,F6/TrAvia_act!F26)</f>
        <v>91.620086289549377</v>
      </c>
      <c r="G14" s="87">
        <f>IF(G6=0,0,G6/TrAvia_act!G26)</f>
        <v>97.903847999232326</v>
      </c>
      <c r="H14" s="87">
        <f>IF(H6=0,0,H6/TrAvia_act!H26)</f>
        <v>99.289717856466581</v>
      </c>
      <c r="I14" s="87">
        <f>IF(I6=0,0,I6/TrAvia_act!I26)</f>
        <v>95.974440640178358</v>
      </c>
      <c r="J14" s="87">
        <f>IF(J6=0,0,J6/TrAvia_act!J26)</f>
        <v>93.130034354213876</v>
      </c>
      <c r="K14" s="87">
        <f>IF(K6=0,0,K6/TrAvia_act!K26)</f>
        <v>92.292124634466063</v>
      </c>
      <c r="L14" s="87">
        <f>IF(L6=0,0,L6/TrAvia_act!L26)</f>
        <v>93.590326340326342</v>
      </c>
      <c r="M14" s="87">
        <f>IF(M6=0,0,M6/TrAvia_act!M26)</f>
        <v>103.3493786377222</v>
      </c>
      <c r="N14" s="87">
        <f>IF(N6=0,0,N6/TrAvia_act!N26)</f>
        <v>87.582140554480986</v>
      </c>
      <c r="O14" s="87">
        <f>IF(O6=0,0,O6/TrAvia_act!O26)</f>
        <v>98.451837140019862</v>
      </c>
      <c r="P14" s="87">
        <f>IF(P6=0,0,P6/TrAvia_act!P26)</f>
        <v>101.78874466416936</v>
      </c>
      <c r="Q14" s="87">
        <f>IF(Q6=0,0,Q6/TrAvia_act!Q26)</f>
        <v>99.09039816353993</v>
      </c>
      <c r="R14" s="87">
        <f>IF(R6=0,0,R6/TrAvia_act!R26)</f>
        <v>99.619300575475876</v>
      </c>
      <c r="S14" s="87">
        <f>IF(S6=0,0,S6/TrAvia_act!S26)</f>
        <v>104.41005361930294</v>
      </c>
      <c r="T14" s="87">
        <f>IF(T6=0,0,T6/TrAvia_act!T26)</f>
        <v>105.6556938394524</v>
      </c>
      <c r="U14" s="87">
        <f>IF(U6=0,0,U6/TrAvia_act!U26)</f>
        <v>110.41698101144428</v>
      </c>
      <c r="V14" s="87">
        <f>IF(V6=0,0,V6/TrAvia_act!V26)</f>
        <v>118.85597973584223</v>
      </c>
      <c r="W14" s="87">
        <f>IF(W6=0,0,W6/TrAvia_act!W26)</f>
        <v>138.7239652870494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164.85131195335276</v>
      </c>
      <c r="C15" s="88">
        <f>IF(C7=0,0,C7/TrAvia_act!C27)</f>
        <v>159.39084507042253</v>
      </c>
      <c r="D15" s="88">
        <f>IF(D7=0,0,D7/TrAvia_act!D27)</f>
        <v>151.93311036789297</v>
      </c>
      <c r="E15" s="88">
        <f>IF(E7=0,0,E7/TrAvia_act!E27)</f>
        <v>126.21551724137932</v>
      </c>
      <c r="F15" s="88">
        <f>IF(F7=0,0,F7/TrAvia_act!F27)</f>
        <v>115.63197026022304</v>
      </c>
      <c r="G15" s="88">
        <f>IF(G7=0,0,G7/TrAvia_act!G27)</f>
        <v>121.99216300940439</v>
      </c>
      <c r="H15" s="88">
        <f>IF(H7=0,0,H7/TrAvia_act!H27)</f>
        <v>125.45588235294117</v>
      </c>
      <c r="I15" s="88">
        <f>IF(I7=0,0,I7/TrAvia_act!I27)</f>
        <v>134.955185659411</v>
      </c>
      <c r="J15" s="88">
        <f>IF(J7=0,0,J7/TrAvia_act!J27)</f>
        <v>128.23412322274882</v>
      </c>
      <c r="K15" s="88">
        <f>IF(K7=0,0,K7/TrAvia_act!K27)</f>
        <v>119.02783300198807</v>
      </c>
      <c r="L15" s="88">
        <f>IF(L7=0,0,L7/TrAvia_act!L27)</f>
        <v>113.57077625570776</v>
      </c>
      <c r="M15" s="88">
        <f>IF(M7=0,0,M7/TrAvia_act!M27)</f>
        <v>105.92530487804878</v>
      </c>
      <c r="N15" s="88">
        <f>IF(N7=0,0,N7/TrAvia_act!N27)</f>
        <v>100.38259618842143</v>
      </c>
      <c r="O15" s="88">
        <f>IF(O7=0,0,O7/TrAvia_act!O27)</f>
        <v>112.69433106575964</v>
      </c>
      <c r="P15" s="88">
        <f>IF(P7=0,0,P7/TrAvia_act!P27)</f>
        <v>129.02612124199112</v>
      </c>
      <c r="Q15" s="88">
        <f>IF(Q7=0,0,Q7/TrAvia_act!Q27)</f>
        <v>121.34811529933481</v>
      </c>
      <c r="R15" s="88">
        <f>IF(R7=0,0,R7/TrAvia_act!R27)</f>
        <v>132.3802729528536</v>
      </c>
      <c r="S15" s="88">
        <f>IF(S7=0,0,S7/TrAvia_act!S27)</f>
        <v>120.00916230366492</v>
      </c>
      <c r="T15" s="88">
        <f>IF(T7=0,0,T7/TrAvia_act!T27)</f>
        <v>131.12631184407797</v>
      </c>
      <c r="U15" s="88">
        <f>IF(U7=0,0,U7/TrAvia_act!U27)</f>
        <v>150.06785137318255</v>
      </c>
      <c r="V15" s="88">
        <f>IF(V7=0,0,V7/TrAvia_act!V27)</f>
        <v>156.74954954954956</v>
      </c>
      <c r="W15" s="88">
        <f>IF(W7=0,0,W7/TrAvia_act!W27)</f>
        <v>175.59411764705882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0.49159586618818141</v>
      </c>
      <c r="C18" s="25">
        <f>IF(TrAvia_act!C34=0,0,(TrAvia_act!C34/TrAvia_act!C24)/TrAvia_png!C12)</f>
        <v>0.50287456170831091</v>
      </c>
      <c r="D18" s="25">
        <f>IF(TrAvia_act!D34=0,0,(TrAvia_act!D34/TrAvia_act!D24)/TrAvia_png!D12)</f>
        <v>0.5432567144805257</v>
      </c>
      <c r="E18" s="25">
        <f>IF(TrAvia_act!E34=0,0,(TrAvia_act!E34/TrAvia_act!E24)/TrAvia_png!E12)</f>
        <v>0.58410710251679043</v>
      </c>
      <c r="F18" s="25">
        <f>IF(TrAvia_act!F34=0,0,(TrAvia_act!F34/TrAvia_act!F24)/TrAvia_png!F12)</f>
        <v>0.60030023418750489</v>
      </c>
      <c r="G18" s="25">
        <f>IF(TrAvia_act!G34=0,0,(TrAvia_act!G34/TrAvia_act!G24)/TrAvia_png!G12)</f>
        <v>0.63718812808092617</v>
      </c>
      <c r="H18" s="25">
        <f>IF(TrAvia_act!H34=0,0,(TrAvia_act!H34/TrAvia_act!H24)/TrAvia_png!H12)</f>
        <v>0.67899256442635336</v>
      </c>
      <c r="I18" s="25">
        <f>IF(TrAvia_act!I34=0,0,(TrAvia_act!I34/TrAvia_act!I24)/TrAvia_png!I12)</f>
        <v>0.66008058025104843</v>
      </c>
      <c r="J18" s="25">
        <f>IF(TrAvia_act!J34=0,0,(TrAvia_act!J34/TrAvia_act!J24)/TrAvia_png!J12)</f>
        <v>0.64017144896512623</v>
      </c>
      <c r="K18" s="25">
        <f>IF(TrAvia_act!K34=0,0,(TrAvia_act!K34/TrAvia_act!K24)/TrAvia_png!K12)</f>
        <v>0.64465996716917739</v>
      </c>
      <c r="L18" s="25">
        <f>IF(TrAvia_act!L34=0,0,(TrAvia_act!L34/TrAvia_act!L24)/TrAvia_png!L12)</f>
        <v>0.63256664270758467</v>
      </c>
      <c r="M18" s="25">
        <f>IF(TrAvia_act!M34=0,0,(TrAvia_act!M34/TrAvia_act!M24)/TrAvia_png!M12)</f>
        <v>0.65624264431594026</v>
      </c>
      <c r="N18" s="25">
        <f>IF(TrAvia_act!N34=0,0,(TrAvia_act!N34/TrAvia_act!N24)/TrAvia_png!N12)</f>
        <v>0.67535294825298331</v>
      </c>
      <c r="O18" s="25">
        <f>IF(TrAvia_act!O34=0,0,(TrAvia_act!O34/TrAvia_act!O24)/TrAvia_png!O12)</f>
        <v>0.73477456270975816</v>
      </c>
      <c r="P18" s="25">
        <f>IF(TrAvia_act!P34=0,0,(TrAvia_act!P34/TrAvia_act!P24)/TrAvia_png!P12)</f>
        <v>0.70772401863480416</v>
      </c>
      <c r="Q18" s="25">
        <f>IF(TrAvia_act!Q34=0,0,(TrAvia_act!Q34/TrAvia_act!Q24)/TrAvia_png!Q12)</f>
        <v>0.71329228312450954</v>
      </c>
      <c r="R18" s="25">
        <f>IF(TrAvia_act!R34=0,0,(TrAvia_act!R34/TrAvia_act!R24)/TrAvia_png!R12)</f>
        <v>0.71420093026706322</v>
      </c>
      <c r="S18" s="25">
        <f>IF(TrAvia_act!S34=0,0,(TrAvia_act!S34/TrAvia_act!S24)/TrAvia_png!S12)</f>
        <v>0.72448398922121116</v>
      </c>
      <c r="T18" s="25">
        <f>IF(TrAvia_act!T34=0,0,(TrAvia_act!T34/TrAvia_act!T24)/TrAvia_png!T12)</f>
        <v>0.73444181172145573</v>
      </c>
      <c r="U18" s="25">
        <f>IF(TrAvia_act!U34=0,0,(TrAvia_act!U34/TrAvia_act!U24)/TrAvia_png!U12)</f>
        <v>0.78065233965500802</v>
      </c>
      <c r="V18" s="25">
        <f>IF(TrAvia_act!V34=0,0,(TrAvia_act!V34/TrAvia_act!V24)/TrAvia_png!V12)</f>
        <v>0.55994047691060644</v>
      </c>
      <c r="W18" s="25">
        <f>IF(TrAvia_act!W34=0,0,(TrAvia_act!W34/TrAvia_act!W24)/TrAvia_png!W12)</f>
        <v>0.62612684838767141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0.49586202220901321</v>
      </c>
      <c r="C20" s="89">
        <f>IF(TrAvia_act!C36=0,0,(TrAvia_act!C36/TrAvia_act!C26)/TrAvia_png!C14)</f>
        <v>0.50643111642351002</v>
      </c>
      <c r="D20" s="89">
        <f>IF(TrAvia_act!D36=0,0,(TrAvia_act!D36/TrAvia_act!D26)/TrAvia_png!D14)</f>
        <v>0.54453693985942819</v>
      </c>
      <c r="E20" s="89">
        <f>IF(TrAvia_act!E36=0,0,(TrAvia_act!E36/TrAvia_act!E26)/TrAvia_png!E14)</f>
        <v>0.57729447987996962</v>
      </c>
      <c r="F20" s="89">
        <f>IF(TrAvia_act!F36=0,0,(TrAvia_act!F36/TrAvia_act!F26)/TrAvia_png!F14)</f>
        <v>0.58815165380821943</v>
      </c>
      <c r="G20" s="89">
        <f>IF(TrAvia_act!G36=0,0,(TrAvia_act!G36/TrAvia_act!G26)/TrAvia_png!G14)</f>
        <v>0.62530776589405002</v>
      </c>
      <c r="H20" s="89">
        <f>IF(TrAvia_act!H36=0,0,(TrAvia_act!H36/TrAvia_act!H26)/TrAvia_png!H14)</f>
        <v>0.670566740853897</v>
      </c>
      <c r="I20" s="89">
        <f>IF(TrAvia_act!I36=0,0,(TrAvia_act!I36/TrAvia_act!I26)/TrAvia_png!I14)</f>
        <v>0.644367619839332</v>
      </c>
      <c r="J20" s="89">
        <f>IF(TrAvia_act!J36=0,0,(TrAvia_act!J36/TrAvia_act!J26)/TrAvia_png!J14)</f>
        <v>0.6199753239903556</v>
      </c>
      <c r="K20" s="89">
        <f>IF(TrAvia_act!K36=0,0,(TrAvia_act!K36/TrAvia_act!K26)/TrAvia_png!K14)</f>
        <v>0.62642459364050262</v>
      </c>
      <c r="L20" s="89">
        <f>IF(TrAvia_act!L36=0,0,(TrAvia_act!L36/TrAvia_act!L26)/TrAvia_png!L14)</f>
        <v>0.6201165206526319</v>
      </c>
      <c r="M20" s="89">
        <f>IF(TrAvia_act!M36=0,0,(TrAvia_act!M36/TrAvia_act!M26)/TrAvia_png!M14)</f>
        <v>0.65474161024791777</v>
      </c>
      <c r="N20" s="89">
        <f>IF(TrAvia_act!N36=0,0,(TrAvia_act!N36/TrAvia_act!N26)/TrAvia_png!N14)</f>
        <v>0.70037301264208818</v>
      </c>
      <c r="O20" s="89">
        <f>IF(TrAvia_act!O36=0,0,(TrAvia_act!O36/TrAvia_act!O26)/TrAvia_png!O14)</f>
        <v>0.75706317265308998</v>
      </c>
      <c r="P20" s="89">
        <f>IF(TrAvia_act!P36=0,0,(TrAvia_act!P36/TrAvia_act!P26)/TrAvia_png!P14)</f>
        <v>0.72816327508723222</v>
      </c>
      <c r="Q20" s="89">
        <f>IF(TrAvia_act!Q36=0,0,(TrAvia_act!Q36/TrAvia_act!Q26)/TrAvia_png!Q14)</f>
        <v>0.72278198990421061</v>
      </c>
      <c r="R20" s="89">
        <f>IF(TrAvia_act!R36=0,0,(TrAvia_act!R36/TrAvia_act!R26)/TrAvia_png!R14)</f>
        <v>0.72454600663585722</v>
      </c>
      <c r="S20" s="89">
        <f>IF(TrAvia_act!S36=0,0,(TrAvia_act!S36/TrAvia_act!S26)/TrAvia_png!S14)</f>
        <v>0.72920622571090732</v>
      </c>
      <c r="T20" s="89">
        <f>IF(TrAvia_act!T36=0,0,(TrAvia_act!T36/TrAvia_act!T26)/TrAvia_png!T14)</f>
        <v>0.74363841645527651</v>
      </c>
      <c r="U20" s="89">
        <f>IF(TrAvia_act!U36=0,0,(TrAvia_act!U36/TrAvia_act!U26)/TrAvia_png!U14)</f>
        <v>0.78482448501243751</v>
      </c>
      <c r="V20" s="89">
        <f>IF(TrAvia_act!V36=0,0,(TrAvia_act!V36/TrAvia_act!V26)/TrAvia_png!V14)</f>
        <v>0.5422663745952685</v>
      </c>
      <c r="W20" s="89">
        <f>IF(TrAvia_act!W36=0,0,(TrAvia_act!W36/TrAvia_act!W26)/TrAvia_png!W14)</f>
        <v>0.59544484465264891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0.4437429258630447</v>
      </c>
      <c r="C21" s="90">
        <f>IF(TrAvia_act!C37=0,0,(TrAvia_act!C37/TrAvia_act!C27)/TrAvia_png!C15)</f>
        <v>0.4616608125124263</v>
      </c>
      <c r="D21" s="90">
        <f>IF(TrAvia_act!D37=0,0,(TrAvia_act!D37/TrAvia_act!D27)/TrAvia_png!D15)</f>
        <v>0.52907898212556137</v>
      </c>
      <c r="E21" s="90">
        <f>IF(TrAvia_act!E37=0,0,(TrAvia_act!E37/TrAvia_act!E27)/TrAvia_png!E15)</f>
        <v>0.67135669239350682</v>
      </c>
      <c r="F21" s="90">
        <f>IF(TrAvia_act!F37=0,0,(TrAvia_act!F37/TrAvia_act!F27)/TrAvia_png!F15)</f>
        <v>0.74959009805497512</v>
      </c>
      <c r="G21" s="90">
        <f>IF(TrAvia_act!G37=0,0,(TrAvia_act!G37/TrAvia_act!G27)/TrAvia_png!G15)</f>
        <v>0.7929231283164806</v>
      </c>
      <c r="H21" s="90">
        <f>IF(TrAvia_act!H37=0,0,(TrAvia_act!H37/TrAvia_act!H27)/TrAvia_png!H15)</f>
        <v>0.78256945258469113</v>
      </c>
      <c r="I21" s="90">
        <f>IF(TrAvia_act!I37=0,0,(TrAvia_act!I37/TrAvia_act!I27)/TrAvia_png!I15)</f>
        <v>0.83977229601518033</v>
      </c>
      <c r="J21" s="90">
        <f>IF(TrAvia_act!J37=0,0,(TrAvia_act!J37/TrAvia_act!J27)/TrAvia_png!J15)</f>
        <v>0.83037542409839826</v>
      </c>
      <c r="K21" s="90">
        <f>IF(TrAvia_act!K37=0,0,(TrAvia_act!K37/TrAvia_act!K27)/TrAvia_png!K15)</f>
        <v>0.78404402799351947</v>
      </c>
      <c r="L21" s="90">
        <f>IF(TrAvia_act!L37=0,0,(TrAvia_act!L37/TrAvia_act!L27)/TrAvia_png!L15)</f>
        <v>0.72903666773882281</v>
      </c>
      <c r="M21" s="90">
        <f>IF(TrAvia_act!M37=0,0,(TrAvia_act!M37/TrAvia_act!M27)/TrAvia_png!M15)</f>
        <v>0.67043475758055471</v>
      </c>
      <c r="N21" s="90">
        <f>IF(TrAvia_act!N37=0,0,(TrAvia_act!N37/TrAvia_act!N27)/TrAvia_png!N15)</f>
        <v>0.55360648221117337</v>
      </c>
      <c r="O21" s="90">
        <f>IF(TrAvia_act!O37=0,0,(TrAvia_act!O37/TrAvia_act!O27)/TrAvia_png!O15)</f>
        <v>0.63695667046291404</v>
      </c>
      <c r="P21" s="90">
        <f>IF(TrAvia_act!P37=0,0,(TrAvia_act!P37/TrAvia_act!P27)/TrAvia_png!P15)</f>
        <v>0.61649999618020279</v>
      </c>
      <c r="Q21" s="90">
        <f>IF(TrAvia_act!Q37=0,0,(TrAvia_act!Q37/TrAvia_act!Q27)/TrAvia_png!Q15)</f>
        <v>0.66988013448326267</v>
      </c>
      <c r="R21" s="90">
        <f>IF(TrAvia_act!R37=0,0,(TrAvia_act!R37/TrAvia_act!R27)/TrAvia_png!R15)</f>
        <v>0.64874389049518033</v>
      </c>
      <c r="S21" s="90">
        <f>IF(TrAvia_act!S37=0,0,(TrAvia_act!S37/TrAvia_act!S27)/TrAvia_png!S15)</f>
        <v>0.69773977408647536</v>
      </c>
      <c r="T21" s="90">
        <f>IF(TrAvia_act!T37=0,0,(TrAvia_act!T37/TrAvia_act!T27)/TrAvia_png!T15)</f>
        <v>0.68980834369506483</v>
      </c>
      <c r="U21" s="90">
        <f>IF(TrAvia_act!U37=0,0,(TrAvia_act!U37/TrAvia_act!U27)/TrAvia_png!U15)</f>
        <v>0.76126038840804378</v>
      </c>
      <c r="V21" s="90">
        <f>IF(TrAvia_act!V37=0,0,(TrAvia_act!V37/TrAvia_act!V27)/TrAvia_png!V15)</f>
        <v>0.69339969653777189</v>
      </c>
      <c r="W21" s="90">
        <f>IF(TrAvia_act!W37=0,0,(TrAvia_act!W37/TrAvia_act!W27)/TrAvia_png!W15)</f>
        <v>0.76852255089165067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3.0887555437987001E-2</v>
      </c>
      <c r="C24" s="23">
        <f>IF(TrAvia_ene!C6=0,0,TrAvia_ene!C6/(C12*TrAvia_act!C14))</f>
        <v>3.0908826128897796E-2</v>
      </c>
      <c r="D24" s="23">
        <f>IF(TrAvia_ene!D6=0,0,TrAvia_ene!D6/(D12*TrAvia_act!D14))</f>
        <v>3.3525405056995909E-2</v>
      </c>
      <c r="E24" s="23">
        <f>IF(TrAvia_ene!E6=0,0,TrAvia_ene!E6/(E12*TrAvia_act!E14))</f>
        <v>3.4472544964564977E-2</v>
      </c>
      <c r="F24" s="23">
        <f>IF(TrAvia_ene!F6=0,0,TrAvia_ene!F6/(F12*TrAvia_act!F14))</f>
        <v>3.7698038621699924E-2</v>
      </c>
      <c r="G24" s="23">
        <f>IF(TrAvia_ene!G6=0,0,TrAvia_ene!G6/(G12*TrAvia_act!G14))</f>
        <v>4.0752596519541509E-2</v>
      </c>
      <c r="H24" s="23">
        <f>IF(TrAvia_ene!H6=0,0,TrAvia_ene!H6/(H12*TrAvia_act!H14))</f>
        <v>4.1446743292457615E-2</v>
      </c>
      <c r="I24" s="23">
        <f>IF(TrAvia_ene!I6=0,0,TrAvia_ene!I6/(I12*TrAvia_act!I14))</f>
        <v>4.3117620164263987E-2</v>
      </c>
      <c r="J24" s="23">
        <f>IF(TrAvia_ene!J6=0,0,TrAvia_ene!J6/(J12*TrAvia_act!J14))</f>
        <v>4.6300348147847795E-2</v>
      </c>
      <c r="K24" s="23">
        <f>IF(TrAvia_ene!K6=0,0,TrAvia_ene!K6/(K12*TrAvia_act!K14))</f>
        <v>4.0018478829730593E-2</v>
      </c>
      <c r="L24" s="23">
        <f>IF(TrAvia_ene!L6=0,0,TrAvia_ene!L6/(L12*TrAvia_act!L14))</f>
        <v>3.1376210162161487E-2</v>
      </c>
      <c r="M24" s="23">
        <f>IF(TrAvia_ene!M6=0,0,TrAvia_ene!M6/(M12*TrAvia_act!M14))</f>
        <v>3.2166232719712862E-2</v>
      </c>
      <c r="N24" s="23">
        <f>IF(TrAvia_ene!N6=0,0,TrAvia_ene!N6/(N12*TrAvia_act!N14))</f>
        <v>3.6439328744002485E-2</v>
      </c>
      <c r="O24" s="23">
        <f>IF(TrAvia_ene!O6=0,0,TrAvia_ene!O6/(O12*TrAvia_act!O14))</f>
        <v>3.968094470133765E-2</v>
      </c>
      <c r="P24" s="23">
        <f>IF(TrAvia_ene!P6=0,0,TrAvia_ene!P6/(P12*TrAvia_act!P14))</f>
        <v>3.5652948303711962E-2</v>
      </c>
      <c r="Q24" s="23">
        <f>IF(TrAvia_ene!Q6=0,0,TrAvia_ene!Q6/(Q12*TrAvia_act!Q14))</f>
        <v>3.2237108282714332E-2</v>
      </c>
      <c r="R24" s="23">
        <f>IF(TrAvia_ene!R6=0,0,TrAvia_ene!R6/(R12*TrAvia_act!R14))</f>
        <v>3.0318410031849014E-2</v>
      </c>
      <c r="S24" s="23">
        <f>IF(TrAvia_ene!S6=0,0,TrAvia_ene!S6/(S12*TrAvia_act!S14))</f>
        <v>3.3282387544666787E-2</v>
      </c>
      <c r="T24" s="23">
        <f>IF(TrAvia_ene!T6=0,0,TrAvia_ene!T6/(T12*TrAvia_act!T14))</f>
        <v>3.3581490490539309E-2</v>
      </c>
      <c r="U24" s="23">
        <f>IF(TrAvia_ene!U6=0,0,TrAvia_ene!U6/(U12*TrAvia_act!U14))</f>
        <v>3.2413995469641098E-2</v>
      </c>
      <c r="V24" s="23">
        <f>IF(TrAvia_ene!V6=0,0,TrAvia_ene!V6/(V12*TrAvia_act!V14))</f>
        <v>3.3848830251096716E-2</v>
      </c>
      <c r="W24" s="23">
        <f>IF(TrAvia_ene!W6=0,0,TrAvia_ene!W6/(W12*TrAvia_act!W14))</f>
        <v>3.1935598643548613E-2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3.3905022278782532E-2</v>
      </c>
      <c r="C26" s="93">
        <f>IF(TrAvia_ene!C8=0,0,TrAvia_ene!C8/(C14*TrAvia_act!C16))</f>
        <v>3.3839464928508318E-2</v>
      </c>
      <c r="D26" s="93">
        <f>IF(TrAvia_ene!D8=0,0,TrAvia_ene!D8/(D14*TrAvia_act!D16))</f>
        <v>3.6847907765310071E-2</v>
      </c>
      <c r="E26" s="93">
        <f>IF(TrAvia_ene!E8=0,0,TrAvia_ene!E8/(E14*TrAvia_act!E16))</f>
        <v>3.749046929081612E-2</v>
      </c>
      <c r="F26" s="93">
        <f>IF(TrAvia_ene!F8=0,0,TrAvia_ene!F8/(F14*TrAvia_act!F16))</f>
        <v>4.1157041620042176E-2</v>
      </c>
      <c r="G26" s="93">
        <f>IF(TrAvia_ene!G8=0,0,TrAvia_ene!G8/(G14*TrAvia_act!G16))</f>
        <v>4.4461751468651757E-2</v>
      </c>
      <c r="H26" s="93">
        <f>IF(TrAvia_ene!H8=0,0,TrAvia_ene!H8/(H14*TrAvia_act!H16))</f>
        <v>4.5475310243930811E-2</v>
      </c>
      <c r="I26" s="93">
        <f>IF(TrAvia_ene!I8=0,0,TrAvia_ene!I8/(I14*TrAvia_act!I16))</f>
        <v>4.7559690423776169E-2</v>
      </c>
      <c r="J26" s="93">
        <f>IF(TrAvia_ene!J8=0,0,TrAvia_ene!J8/(J14*TrAvia_act!J16))</f>
        <v>5.3131890596778537E-2</v>
      </c>
      <c r="K26" s="93">
        <f>IF(TrAvia_ene!K8=0,0,TrAvia_ene!K8/(K14*TrAvia_act!K16))</f>
        <v>4.7580346982315253E-2</v>
      </c>
      <c r="L26" s="93">
        <f>IF(TrAvia_ene!L8=0,0,TrAvia_ene!L8/(L14*TrAvia_act!L16))</f>
        <v>3.9867743597838373E-2</v>
      </c>
      <c r="M26" s="93">
        <f>IF(TrAvia_ene!M8=0,0,TrAvia_ene!M8/(M14*TrAvia_act!M16))</f>
        <v>3.796072584738204E-2</v>
      </c>
      <c r="N26" s="93">
        <f>IF(TrAvia_ene!N8=0,0,TrAvia_ene!N8/(N14*TrAvia_act!N16))</f>
        <v>5.0100526347801294E-2</v>
      </c>
      <c r="O26" s="93">
        <f>IF(TrAvia_ene!O8=0,0,TrAvia_ene!O8/(O14*TrAvia_act!O16))</f>
        <v>4.755904212921519E-2</v>
      </c>
      <c r="P26" s="93">
        <f>IF(TrAvia_ene!P8=0,0,TrAvia_ene!P8/(P14*TrAvia_act!P16))</f>
        <v>4.268603128944759E-2</v>
      </c>
      <c r="Q26" s="93">
        <f>IF(TrAvia_ene!Q8=0,0,TrAvia_ene!Q8/(Q14*TrAvia_act!Q16))</f>
        <v>3.9495300106864896E-2</v>
      </c>
      <c r="R26" s="93">
        <f>IF(TrAvia_ene!R8=0,0,TrAvia_ene!R8/(R14*TrAvia_act!R16))</f>
        <v>3.3304781145736172E-2</v>
      </c>
      <c r="S26" s="93">
        <f>IF(TrAvia_ene!S8=0,0,TrAvia_ene!S8/(S14*TrAvia_act!S16))</f>
        <v>3.7296243506883882E-2</v>
      </c>
      <c r="T26" s="93">
        <f>IF(TrAvia_ene!T8=0,0,TrAvia_ene!T8/(T14*TrAvia_act!T16))</f>
        <v>3.9425196750839456E-2</v>
      </c>
      <c r="U26" s="93">
        <f>IF(TrAvia_ene!U8=0,0,TrAvia_ene!U8/(U14*TrAvia_act!U16))</f>
        <v>3.996815519704084E-2</v>
      </c>
      <c r="V26" s="93">
        <f>IF(TrAvia_ene!V8=0,0,TrAvia_ene!V8/(V14*TrAvia_act!V16))</f>
        <v>3.6887168020712666E-2</v>
      </c>
      <c r="W26" s="93">
        <f>IF(TrAvia_ene!W8=0,0,TrAvia_ene!W8/(W14*TrAvia_act!W16))</f>
        <v>4.4044436723414612E-2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9.3090762758160188E-3</v>
      </c>
      <c r="C27" s="94">
        <f>IF(TrAvia_ene!C9=0,0,TrAvia_ene!C9/(C15*TrAvia_act!C17))</f>
        <v>9.6067522780179694E-3</v>
      </c>
      <c r="D27" s="94">
        <f>IF(TrAvia_ene!D9=0,0,TrAvia_ene!D9/(D15*TrAvia_act!D17))</f>
        <v>1.0710868751692129E-2</v>
      </c>
      <c r="E27" s="94">
        <f>IF(TrAvia_ene!E9=0,0,TrAvia_ene!E9/(E15*TrAvia_act!E17))</f>
        <v>1.4958902748454886E-2</v>
      </c>
      <c r="F27" s="94">
        <f>IF(TrAvia_ene!F9=0,0,TrAvia_ene!F9/(F15*TrAvia_act!F17))</f>
        <v>1.9953384961155497E-2</v>
      </c>
      <c r="G27" s="94">
        <f>IF(TrAvia_ene!G9=0,0,TrAvia_ene!G9/(G15*TrAvia_act!G17))</f>
        <v>2.0663481186537169E-2</v>
      </c>
      <c r="H27" s="94">
        <f>IF(TrAvia_ene!H9=0,0,TrAvia_ene!H9/(H15*TrAvia_act!H17))</f>
        <v>2.0090272130454324E-2</v>
      </c>
      <c r="I27" s="94">
        <f>IF(TrAvia_ene!I9=0,0,TrAvia_ene!I9/(I15*TrAvia_act!I17))</f>
        <v>1.8959540213939922E-2</v>
      </c>
      <c r="J27" s="94">
        <f>IF(TrAvia_ene!J9=0,0,TrAvia_ene!J9/(J15*TrAvia_act!J17))</f>
        <v>1.8061199418886193E-2</v>
      </c>
      <c r="K27" s="94">
        <f>IF(TrAvia_ene!K9=0,0,TrAvia_ene!K9/(K15*TrAvia_act!K17))</f>
        <v>1.5786323721811459E-2</v>
      </c>
      <c r="L27" s="94">
        <f>IF(TrAvia_ene!L9=0,0,TrAvia_ene!L9/(L15*TrAvia_act!L17))</f>
        <v>1.0745421928220578E-2</v>
      </c>
      <c r="M27" s="94">
        <f>IF(TrAvia_ene!M9=0,0,TrAvia_ene!M9/(M15*TrAvia_act!M17))</f>
        <v>1.3318533461599152E-2</v>
      </c>
      <c r="N27" s="94">
        <f>IF(TrAvia_ene!N9=0,0,TrAvia_ene!N9/(N15*TrAvia_act!N17))</f>
        <v>1.0527035470445765E-2</v>
      </c>
      <c r="O27" s="94">
        <f>IF(TrAvia_ene!O9=0,0,TrAvia_ene!O9/(O15*TrAvia_act!O17))</f>
        <v>1.6888442382538806E-2</v>
      </c>
      <c r="P27" s="94">
        <f>IF(TrAvia_ene!P9=0,0,TrAvia_ene!P9/(P15*TrAvia_act!P17))</f>
        <v>1.4634749567104657E-2</v>
      </c>
      <c r="Q27" s="94">
        <f>IF(TrAvia_ene!Q9=0,0,TrAvia_ene!Q9/(Q15*TrAvia_act!Q17))</f>
        <v>1.2428436604756678E-2</v>
      </c>
      <c r="R27" s="94">
        <f>IF(TrAvia_ene!R9=0,0,TrAvia_ene!R9/(R15*TrAvia_act!R17))</f>
        <v>1.6246313119440081E-2</v>
      </c>
      <c r="S27" s="94">
        <f>IF(TrAvia_ene!S9=0,0,TrAvia_ene!S9/(S15*TrAvia_act!S17))</f>
        <v>1.7055909754628614E-2</v>
      </c>
      <c r="T27" s="94">
        <f>IF(TrAvia_ene!T9=0,0,TrAvia_ene!T9/(T15*TrAvia_act!T17))</f>
        <v>1.3908437584793714E-2</v>
      </c>
      <c r="U27" s="94">
        <f>IF(TrAvia_ene!U9=0,0,TrAvia_ene!U9/(U15*TrAvia_act!U17))</f>
        <v>1.1207575225103288E-2</v>
      </c>
      <c r="V27" s="94">
        <f>IF(TrAvia_ene!V9=0,0,TrAvia_ene!V9/(V15*TrAvia_act!V17))</f>
        <v>1.9608568298814424E-2</v>
      </c>
      <c r="W27" s="94">
        <f>IF(TrAvia_ene!W9=0,0,TrAvia_ene!W9/(W15*TrAvia_act!W17))</f>
        <v>9.5111327273806594E-3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33.408000000000001</v>
      </c>
      <c r="C3" s="54">
        <f t="shared" si="0"/>
        <v>33.9</v>
      </c>
      <c r="D3" s="54">
        <f t="shared" si="0"/>
        <v>37.503</v>
      </c>
      <c r="E3" s="54">
        <f t="shared" si="0"/>
        <v>43.521999999999998</v>
      </c>
      <c r="F3" s="54">
        <f t="shared" si="0"/>
        <v>60.652999999999999</v>
      </c>
      <c r="G3" s="54">
        <f t="shared" si="0"/>
        <v>43.707000000000001</v>
      </c>
      <c r="H3" s="54">
        <f t="shared" si="0"/>
        <v>29.353999999999999</v>
      </c>
      <c r="I3" s="54">
        <f t="shared" si="0"/>
        <v>67.968000000000004</v>
      </c>
      <c r="J3" s="54">
        <f t="shared" si="0"/>
        <v>22.039000000000001</v>
      </c>
      <c r="K3" s="54">
        <f t="shared" si="0"/>
        <v>13.705</v>
      </c>
      <c r="L3" s="54">
        <f t="shared" si="0"/>
        <v>14.631</v>
      </c>
      <c r="M3" s="54">
        <f t="shared" si="0"/>
        <v>24.260999999999999</v>
      </c>
      <c r="N3" s="54">
        <f t="shared" si="0"/>
        <v>25.372</v>
      </c>
      <c r="O3" s="54">
        <f t="shared" si="0"/>
        <v>29.169</v>
      </c>
      <c r="P3" s="54">
        <f t="shared" si="0"/>
        <v>27.224</v>
      </c>
      <c r="Q3" s="54">
        <f t="shared" si="0"/>
        <v>15.464</v>
      </c>
      <c r="R3" s="54">
        <f t="shared" ref="R3:V3" si="1">SUM(R4:R5)</f>
        <v>8.0559999999999992</v>
      </c>
      <c r="S3" s="54">
        <f t="shared" si="1"/>
        <v>4.63</v>
      </c>
      <c r="T3" s="54">
        <f t="shared" si="1"/>
        <v>11.667999999999999</v>
      </c>
      <c r="U3" s="54">
        <f t="shared" si="1"/>
        <v>14.909000000000001</v>
      </c>
      <c r="V3" s="54">
        <f t="shared" si="1"/>
        <v>21.853999999999999</v>
      </c>
      <c r="W3" s="54">
        <f t="shared" ref="W3" si="2">SUM(W4:W5)</f>
        <v>36.021000000000001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33.408000000000001</v>
      </c>
      <c r="C4" s="56">
        <v>33.9</v>
      </c>
      <c r="D4" s="56">
        <v>37.503</v>
      </c>
      <c r="E4" s="56">
        <v>43.521999999999998</v>
      </c>
      <c r="F4" s="56">
        <v>60.652999999999999</v>
      </c>
      <c r="G4" s="56">
        <v>43.707000000000001</v>
      </c>
      <c r="H4" s="56">
        <v>29.353999999999999</v>
      </c>
      <c r="I4" s="56">
        <v>67.968000000000004</v>
      </c>
      <c r="J4" s="56">
        <v>22.039000000000001</v>
      </c>
      <c r="K4" s="56">
        <v>13.705</v>
      </c>
      <c r="L4" s="56">
        <v>14.631</v>
      </c>
      <c r="M4" s="56">
        <v>24.260999999999999</v>
      </c>
      <c r="N4" s="56">
        <v>25.372</v>
      </c>
      <c r="O4" s="56">
        <v>29.169</v>
      </c>
      <c r="P4" s="56">
        <v>27.224</v>
      </c>
      <c r="Q4" s="56">
        <v>15.464</v>
      </c>
      <c r="R4" s="56">
        <v>8.0559999999999992</v>
      </c>
      <c r="S4" s="56">
        <v>4.63</v>
      </c>
      <c r="T4" s="56">
        <v>11.667999999999999</v>
      </c>
      <c r="U4" s="56">
        <v>14.909000000000001</v>
      </c>
      <c r="V4" s="56">
        <v>21.853999999999999</v>
      </c>
      <c r="W4" s="56">
        <v>36.021000000000001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2.4E-2</v>
      </c>
      <c r="C7" s="59">
        <f t="shared" si="3"/>
        <v>2.4E-2</v>
      </c>
      <c r="D7" s="59">
        <f t="shared" si="3"/>
        <v>2.7E-2</v>
      </c>
      <c r="E7" s="59">
        <f t="shared" si="3"/>
        <v>2.3E-2</v>
      </c>
      <c r="F7" s="59">
        <f t="shared" si="3"/>
        <v>3.2000000000000001E-2</v>
      </c>
      <c r="G7" s="59">
        <f t="shared" si="3"/>
        <v>3.7999999999999999E-2</v>
      </c>
      <c r="H7" s="59">
        <f t="shared" si="3"/>
        <v>2.4E-2</v>
      </c>
      <c r="I7" s="59">
        <f t="shared" si="3"/>
        <v>6.5000000000000002E-2</v>
      </c>
      <c r="J7" s="59">
        <f t="shared" si="3"/>
        <v>2.1000000000000001E-2</v>
      </c>
      <c r="K7" s="59">
        <f t="shared" si="3"/>
        <v>1.4E-2</v>
      </c>
      <c r="L7" s="59">
        <f t="shared" si="3"/>
        <v>1.2999999999999999E-2</v>
      </c>
      <c r="M7" s="59">
        <f t="shared" si="3"/>
        <v>1.9E-2</v>
      </c>
      <c r="N7" s="59">
        <f t="shared" si="3"/>
        <v>1.7999999999999999E-2</v>
      </c>
      <c r="O7" s="59">
        <f t="shared" si="3"/>
        <v>2.1000000000000001E-2</v>
      </c>
      <c r="P7" s="59">
        <f t="shared" si="3"/>
        <v>2.1999999999999999E-2</v>
      </c>
      <c r="Q7" s="59">
        <f t="shared" si="3"/>
        <v>1.0999999999999999E-2</v>
      </c>
      <c r="R7" s="59">
        <f t="shared" ref="R7:V7" si="4">SUM(R8:R9)</f>
        <v>4.0000000000000001E-3</v>
      </c>
      <c r="S7" s="59">
        <f t="shared" si="4"/>
        <v>2E-3</v>
      </c>
      <c r="T7" s="59">
        <f t="shared" si="4"/>
        <v>7.0000000000000001E-3</v>
      </c>
      <c r="U7" s="59">
        <f t="shared" si="4"/>
        <v>1.0999999999999999E-2</v>
      </c>
      <c r="V7" s="59">
        <f t="shared" si="4"/>
        <v>1.9E-2</v>
      </c>
      <c r="W7" s="59">
        <f t="shared" ref="W7" si="5">SUM(W8:W9)</f>
        <v>4.3999999999999997E-2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2.4E-2</v>
      </c>
      <c r="C8" s="60">
        <v>2.4E-2</v>
      </c>
      <c r="D8" s="60">
        <v>2.7E-2</v>
      </c>
      <c r="E8" s="60">
        <v>2.3E-2</v>
      </c>
      <c r="F8" s="60">
        <v>3.2000000000000001E-2</v>
      </c>
      <c r="G8" s="60">
        <v>3.7999999999999999E-2</v>
      </c>
      <c r="H8" s="60">
        <v>2.4E-2</v>
      </c>
      <c r="I8" s="60">
        <v>6.5000000000000002E-2</v>
      </c>
      <c r="J8" s="60">
        <v>2.1000000000000001E-2</v>
      </c>
      <c r="K8" s="60">
        <v>1.4E-2</v>
      </c>
      <c r="L8" s="60">
        <v>1.2999999999999999E-2</v>
      </c>
      <c r="M8" s="60">
        <v>1.9E-2</v>
      </c>
      <c r="N8" s="60">
        <v>1.7999999999999999E-2</v>
      </c>
      <c r="O8" s="60">
        <v>2.1000000000000001E-2</v>
      </c>
      <c r="P8" s="60">
        <v>2.1999999999999999E-2</v>
      </c>
      <c r="Q8" s="60">
        <v>1.0999999999999999E-2</v>
      </c>
      <c r="R8" s="60">
        <v>4.0000000000000001E-3</v>
      </c>
      <c r="S8" s="60">
        <v>2E-3</v>
      </c>
      <c r="T8" s="60">
        <v>7.0000000000000001E-3</v>
      </c>
      <c r="U8" s="60">
        <v>1.0999999999999999E-2</v>
      </c>
      <c r="V8" s="60">
        <v>1.9E-2</v>
      </c>
      <c r="W8" s="60">
        <v>4.3999999999999997E-2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1392</v>
      </c>
      <c r="C13" s="62">
        <f t="shared" si="6"/>
        <v>1412.5</v>
      </c>
      <c r="D13" s="62">
        <f t="shared" si="6"/>
        <v>1389</v>
      </c>
      <c r="E13" s="62">
        <f t="shared" si="6"/>
        <v>1892.2608695652173</v>
      </c>
      <c r="F13" s="62">
        <f t="shared" ref="F13:V13" si="7">IF(F3=0,0,F3/F7)</f>
        <v>1895.40625</v>
      </c>
      <c r="G13" s="62">
        <f t="shared" si="7"/>
        <v>1150.1842105263158</v>
      </c>
      <c r="H13" s="62">
        <f t="shared" si="7"/>
        <v>1223.0833333333333</v>
      </c>
      <c r="I13" s="62">
        <f t="shared" si="7"/>
        <v>1045.6615384615384</v>
      </c>
      <c r="J13" s="62">
        <f t="shared" si="7"/>
        <v>1049.4761904761904</v>
      </c>
      <c r="K13" s="62">
        <f t="shared" si="7"/>
        <v>978.92857142857144</v>
      </c>
      <c r="L13" s="62">
        <f t="shared" si="7"/>
        <v>1125.4615384615386</v>
      </c>
      <c r="M13" s="62">
        <f t="shared" si="7"/>
        <v>1276.8947368421052</v>
      </c>
      <c r="N13" s="62">
        <f t="shared" si="7"/>
        <v>1409.5555555555557</v>
      </c>
      <c r="O13" s="62">
        <f t="shared" si="7"/>
        <v>1389</v>
      </c>
      <c r="P13" s="62">
        <f t="shared" si="7"/>
        <v>1237.4545454545455</v>
      </c>
      <c r="Q13" s="62">
        <f t="shared" si="7"/>
        <v>1405.818181818182</v>
      </c>
      <c r="R13" s="62">
        <f t="shared" si="7"/>
        <v>2013.9999999999998</v>
      </c>
      <c r="S13" s="62">
        <f t="shared" si="7"/>
        <v>2315</v>
      </c>
      <c r="T13" s="62">
        <f t="shared" si="7"/>
        <v>1666.8571428571427</v>
      </c>
      <c r="U13" s="62">
        <f t="shared" si="7"/>
        <v>1355.3636363636365</v>
      </c>
      <c r="V13" s="62">
        <f t="shared" si="7"/>
        <v>1150.2105263157894</v>
      </c>
      <c r="W13" s="62">
        <f t="shared" ref="W13" si="8">IF(W3=0,0,W3/W7)</f>
        <v>818.65909090909099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1392</v>
      </c>
      <c r="C14" s="63">
        <f t="shared" si="6"/>
        <v>1412.5</v>
      </c>
      <c r="D14" s="63">
        <f t="shared" si="6"/>
        <v>1389</v>
      </c>
      <c r="E14" s="63">
        <f t="shared" si="6"/>
        <v>1892.2608695652173</v>
      </c>
      <c r="F14" s="63">
        <f t="shared" ref="F14:V14" si="9">IF(F4=0,0,F4/F8)</f>
        <v>1895.40625</v>
      </c>
      <c r="G14" s="63">
        <f t="shared" si="9"/>
        <v>1150.1842105263158</v>
      </c>
      <c r="H14" s="63">
        <f t="shared" si="9"/>
        <v>1223.0833333333333</v>
      </c>
      <c r="I14" s="63">
        <f t="shared" si="9"/>
        <v>1045.6615384615384</v>
      </c>
      <c r="J14" s="63">
        <f t="shared" si="9"/>
        <v>1049.4761904761904</v>
      </c>
      <c r="K14" s="63">
        <f t="shared" si="9"/>
        <v>978.92857142857144</v>
      </c>
      <c r="L14" s="63">
        <f t="shared" si="9"/>
        <v>1125.4615384615386</v>
      </c>
      <c r="M14" s="63">
        <f t="shared" si="9"/>
        <v>1276.8947368421052</v>
      </c>
      <c r="N14" s="63">
        <f t="shared" si="9"/>
        <v>1409.5555555555557</v>
      </c>
      <c r="O14" s="63">
        <f t="shared" si="9"/>
        <v>1389</v>
      </c>
      <c r="P14" s="63">
        <f t="shared" si="9"/>
        <v>1237.4545454545455</v>
      </c>
      <c r="Q14" s="63">
        <f t="shared" si="9"/>
        <v>1405.818181818182</v>
      </c>
      <c r="R14" s="63">
        <f t="shared" si="9"/>
        <v>2013.9999999999998</v>
      </c>
      <c r="S14" s="63">
        <f t="shared" si="9"/>
        <v>2315</v>
      </c>
      <c r="T14" s="63">
        <f t="shared" si="9"/>
        <v>1666.8571428571427</v>
      </c>
      <c r="U14" s="63">
        <f t="shared" si="9"/>
        <v>1355.3636363636365</v>
      </c>
      <c r="V14" s="63">
        <f t="shared" si="9"/>
        <v>1150.2105263157894</v>
      </c>
      <c r="W14" s="63">
        <f t="shared" ref="W14" si="10">IF(W4=0,0,W4/W8)</f>
        <v>818.65909090909099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7.0722269991401543</v>
      </c>
      <c r="C3" s="62">
        <f t="shared" ref="C3:V3" si="0">SUM(C4,C10)</f>
        <v>7.0722269991401543</v>
      </c>
      <c r="D3" s="62">
        <f t="shared" si="0"/>
        <v>8.082545141874462</v>
      </c>
      <c r="E3" s="62">
        <f t="shared" si="0"/>
        <v>9.0928632846087698</v>
      </c>
      <c r="F3" s="62">
        <f t="shared" si="0"/>
        <v>8.082545141874462</v>
      </c>
      <c r="G3" s="62">
        <f t="shared" si="0"/>
        <v>8.082545141874462</v>
      </c>
      <c r="H3" s="62">
        <f t="shared" si="0"/>
        <v>7.0722269991401543</v>
      </c>
      <c r="I3" s="62">
        <f t="shared" si="0"/>
        <v>8.082545141874462</v>
      </c>
      <c r="J3" s="62">
        <f t="shared" si="0"/>
        <v>7.0722269991401543</v>
      </c>
      <c r="K3" s="62">
        <f t="shared" si="0"/>
        <v>8.082545141874462</v>
      </c>
      <c r="L3" s="62">
        <f t="shared" si="0"/>
        <v>8.082545141874462</v>
      </c>
      <c r="M3" s="62">
        <f t="shared" si="0"/>
        <v>5.0515907136715388</v>
      </c>
      <c r="N3" s="62">
        <f t="shared" si="0"/>
        <v>4.041272570937231</v>
      </c>
      <c r="O3" s="62">
        <f t="shared" si="0"/>
        <v>4.041272570937231</v>
      </c>
      <c r="P3" s="62">
        <f t="shared" si="0"/>
        <v>6.0619088564058474</v>
      </c>
      <c r="Q3" s="62">
        <f t="shared" si="0"/>
        <v>6.0619088564058474</v>
      </c>
      <c r="R3" s="62">
        <f t="shared" si="0"/>
        <v>5.0515907136715388</v>
      </c>
      <c r="S3" s="62">
        <f t="shared" si="0"/>
        <v>6.6135855546001716</v>
      </c>
      <c r="T3" s="62">
        <f t="shared" si="0"/>
        <v>6.4892519346517634</v>
      </c>
      <c r="U3" s="62">
        <f t="shared" si="0"/>
        <v>5.385038693035253</v>
      </c>
      <c r="V3" s="62">
        <f t="shared" si="0"/>
        <v>6.4761822871883057</v>
      </c>
      <c r="W3" s="62">
        <f t="shared" ref="W3" si="1">SUM(W4,W10)</f>
        <v>5.9608770421324158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7.0722269991401543</v>
      </c>
      <c r="C4" s="71">
        <f t="shared" ref="C4:V4" si="2">SUM(C5:C9)</f>
        <v>7.0722269991401543</v>
      </c>
      <c r="D4" s="71">
        <f t="shared" si="2"/>
        <v>8.082545141874462</v>
      </c>
      <c r="E4" s="71">
        <f t="shared" si="2"/>
        <v>9.0928632846087698</v>
      </c>
      <c r="F4" s="71">
        <f t="shared" si="2"/>
        <v>8.082545141874462</v>
      </c>
      <c r="G4" s="71">
        <f t="shared" si="2"/>
        <v>8.082545141874462</v>
      </c>
      <c r="H4" s="71">
        <f t="shared" si="2"/>
        <v>7.0722269991401543</v>
      </c>
      <c r="I4" s="71">
        <f t="shared" si="2"/>
        <v>8.082545141874462</v>
      </c>
      <c r="J4" s="71">
        <f t="shared" si="2"/>
        <v>7.0722269991401543</v>
      </c>
      <c r="K4" s="71">
        <f t="shared" si="2"/>
        <v>8.082545141874462</v>
      </c>
      <c r="L4" s="71">
        <f t="shared" si="2"/>
        <v>8.082545141874462</v>
      </c>
      <c r="M4" s="71">
        <f t="shared" si="2"/>
        <v>5.0515907136715388</v>
      </c>
      <c r="N4" s="71">
        <f t="shared" si="2"/>
        <v>4.041272570937231</v>
      </c>
      <c r="O4" s="71">
        <f t="shared" si="2"/>
        <v>4.041272570937231</v>
      </c>
      <c r="P4" s="71">
        <f t="shared" si="2"/>
        <v>6.0619088564058474</v>
      </c>
      <c r="Q4" s="71">
        <f t="shared" si="2"/>
        <v>6.0619088564058474</v>
      </c>
      <c r="R4" s="71">
        <f t="shared" si="2"/>
        <v>5.0515907136715388</v>
      </c>
      <c r="S4" s="71">
        <f t="shared" si="2"/>
        <v>6.6135855546001716</v>
      </c>
      <c r="T4" s="71">
        <f t="shared" si="2"/>
        <v>6.4892519346517634</v>
      </c>
      <c r="U4" s="71">
        <f t="shared" si="2"/>
        <v>5.385038693035253</v>
      </c>
      <c r="V4" s="71">
        <f t="shared" si="2"/>
        <v>6.4761822871883057</v>
      </c>
      <c r="W4" s="71">
        <f t="shared" ref="W4" si="3">SUM(W5:W9)</f>
        <v>5.9608770421324158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7.0722269991401543</v>
      </c>
      <c r="C5" s="73">
        <v>7.0722269991401543</v>
      </c>
      <c r="D5" s="73">
        <v>8.082545141874462</v>
      </c>
      <c r="E5" s="73">
        <v>9.0928632846087698</v>
      </c>
      <c r="F5" s="73">
        <v>8.082545141874462</v>
      </c>
      <c r="G5" s="73">
        <v>8.082545141874462</v>
      </c>
      <c r="H5" s="73">
        <v>7.0722269991401543</v>
      </c>
      <c r="I5" s="73">
        <v>8.082545141874462</v>
      </c>
      <c r="J5" s="73">
        <v>7.0722269991401543</v>
      </c>
      <c r="K5" s="73">
        <v>8.082545141874462</v>
      </c>
      <c r="L5" s="73">
        <v>8.082545141874462</v>
      </c>
      <c r="M5" s="73">
        <v>5.0515907136715388</v>
      </c>
      <c r="N5" s="73">
        <v>4.041272570937231</v>
      </c>
      <c r="O5" s="73">
        <v>4.041272570937231</v>
      </c>
      <c r="P5" s="73">
        <v>6.0619088564058474</v>
      </c>
      <c r="Q5" s="73">
        <v>6.0619088564058474</v>
      </c>
      <c r="R5" s="73">
        <v>5.0515907136715388</v>
      </c>
      <c r="S5" s="73">
        <v>6.6135855546001716</v>
      </c>
      <c r="T5" s="73">
        <v>6.4892519346517634</v>
      </c>
      <c r="U5" s="73">
        <v>5.385038693035253</v>
      </c>
      <c r="V5" s="73">
        <v>6.4761822871883057</v>
      </c>
      <c r="W5" s="73">
        <v>5.9608770421324158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29467.612496417307</v>
      </c>
      <c r="C19" s="62">
        <f>IF(C3=0,0,C3/TrNavi_act!C7*100)</f>
        <v>29467.612496417307</v>
      </c>
      <c r="D19" s="62">
        <f>IF(D3=0,0,D3/TrNavi_act!D7*100)</f>
        <v>29935.352377312825</v>
      </c>
      <c r="E19" s="62">
        <f>IF(E3=0,0,E3/TrNavi_act!E7*100)</f>
        <v>39534.188193951173</v>
      </c>
      <c r="F19" s="62">
        <f>IF(F3=0,0,F3/TrNavi_act!F7*100)</f>
        <v>25257.953568357691</v>
      </c>
      <c r="G19" s="62">
        <f>IF(G3=0,0,G3/TrNavi_act!G7*100)</f>
        <v>21269.855636511744</v>
      </c>
      <c r="H19" s="62">
        <f>IF(H3=0,0,H3/TrNavi_act!H7*100)</f>
        <v>29467.612496417307</v>
      </c>
      <c r="I19" s="62">
        <f>IF(I3=0,0,I3/TrNavi_act!I7*100)</f>
        <v>12434.684833653018</v>
      </c>
      <c r="J19" s="62">
        <f>IF(J3=0,0,J3/TrNavi_act!J7*100)</f>
        <v>33677.271424476923</v>
      </c>
      <c r="K19" s="62">
        <f>IF(K3=0,0,K3/TrNavi_act!K7*100)</f>
        <v>57732.465299103293</v>
      </c>
      <c r="L19" s="62">
        <f>IF(L3=0,0,L3/TrNavi_act!L7*100)</f>
        <v>62173.42416826509</v>
      </c>
      <c r="M19" s="62">
        <f>IF(M3=0,0,M3/TrNavi_act!M7*100)</f>
        <v>26587.319545639679</v>
      </c>
      <c r="N19" s="62">
        <f>IF(N3=0,0,N3/TrNavi_act!N7*100)</f>
        <v>22451.514282984619</v>
      </c>
      <c r="O19" s="62">
        <f>IF(O3=0,0,O3/TrNavi_act!O7*100)</f>
        <v>19244.155099701096</v>
      </c>
      <c r="P19" s="62">
        <f>IF(P3=0,0,P3/TrNavi_act!P7*100)</f>
        <v>27554.131165481125</v>
      </c>
      <c r="Q19" s="62">
        <f>IF(Q3=0,0,Q3/TrNavi_act!Q7*100)</f>
        <v>55108.26233096225</v>
      </c>
      <c r="R19" s="62">
        <f>IF(R3=0,0,R3/TrNavi_act!R7*100)</f>
        <v>126289.76784178846</v>
      </c>
      <c r="S19" s="62">
        <f>IF(S3=0,0,S3/TrNavi_act!S7*100)</f>
        <v>330679.27773000859</v>
      </c>
      <c r="T19" s="62">
        <f>IF(T3=0,0,T3/TrNavi_act!T7*100)</f>
        <v>92703.599066453768</v>
      </c>
      <c r="U19" s="62">
        <f>IF(U3=0,0,U3/TrNavi_act!U7*100)</f>
        <v>48954.897209411392</v>
      </c>
      <c r="V19" s="62">
        <f>IF(V3=0,0,V3/TrNavi_act!V7*100)</f>
        <v>34085.169932570025</v>
      </c>
      <c r="W19" s="62">
        <f>IF(W3=0,0,W3/TrNavi_act!W7*100)</f>
        <v>13547.447823028218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29467.612496417307</v>
      </c>
      <c r="C20" s="63">
        <f>IF(C4=0,0,C4/TrNavi_act!C8*100)</f>
        <v>29467.612496417307</v>
      </c>
      <c r="D20" s="63">
        <f>IF(D4=0,0,D4/TrNavi_act!D8*100)</f>
        <v>29935.352377312825</v>
      </c>
      <c r="E20" s="63">
        <f>IF(E4=0,0,E4/TrNavi_act!E8*100)</f>
        <v>39534.188193951173</v>
      </c>
      <c r="F20" s="63">
        <f>IF(F4=0,0,F4/TrNavi_act!F8*100)</f>
        <v>25257.953568357691</v>
      </c>
      <c r="G20" s="63">
        <f>IF(G4=0,0,G4/TrNavi_act!G8*100)</f>
        <v>21269.855636511744</v>
      </c>
      <c r="H20" s="63">
        <f>IF(H4=0,0,H4/TrNavi_act!H8*100)</f>
        <v>29467.612496417307</v>
      </c>
      <c r="I20" s="63">
        <f>IF(I4=0,0,I4/TrNavi_act!I8*100)</f>
        <v>12434.684833653018</v>
      </c>
      <c r="J20" s="63">
        <f>IF(J4=0,0,J4/TrNavi_act!J8*100)</f>
        <v>33677.271424476923</v>
      </c>
      <c r="K20" s="63">
        <f>IF(K4=0,0,K4/TrNavi_act!K8*100)</f>
        <v>57732.465299103293</v>
      </c>
      <c r="L20" s="63">
        <f>IF(L4=0,0,L4/TrNavi_act!L8*100)</f>
        <v>62173.42416826509</v>
      </c>
      <c r="M20" s="63">
        <f>IF(M4=0,0,M4/TrNavi_act!M8*100)</f>
        <v>26587.319545639679</v>
      </c>
      <c r="N20" s="63">
        <f>IF(N4=0,0,N4/TrNavi_act!N8*100)</f>
        <v>22451.514282984619</v>
      </c>
      <c r="O20" s="63">
        <f>IF(O4=0,0,O4/TrNavi_act!O8*100)</f>
        <v>19244.155099701096</v>
      </c>
      <c r="P20" s="63">
        <f>IF(P4=0,0,P4/TrNavi_act!P8*100)</f>
        <v>27554.131165481125</v>
      </c>
      <c r="Q20" s="63">
        <f>IF(Q4=0,0,Q4/TrNavi_act!Q8*100)</f>
        <v>55108.26233096225</v>
      </c>
      <c r="R20" s="63">
        <f>IF(R4=0,0,R4/TrNavi_act!R8*100)</f>
        <v>126289.76784178846</v>
      </c>
      <c r="S20" s="63">
        <f>IF(S4=0,0,S4/TrNavi_act!S8*100)</f>
        <v>330679.27773000859</v>
      </c>
      <c r="T20" s="63">
        <f>IF(T4=0,0,T4/TrNavi_act!T8*100)</f>
        <v>92703.599066453768</v>
      </c>
      <c r="U20" s="63">
        <f>IF(U4=0,0,U4/TrNavi_act!U8*100)</f>
        <v>48954.897209411392</v>
      </c>
      <c r="V20" s="63">
        <f>IF(V4=0,0,V4/TrNavi_act!V8*100)</f>
        <v>34085.169932570025</v>
      </c>
      <c r="W20" s="63">
        <f>IF(W4=0,0,W4/TrNavi_act!W8*100)</f>
        <v>13547.447823028218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211.69261850874506</v>
      </c>
      <c r="C23" s="62">
        <f>IF(C3=0,0,C3/TrNavi_act!C3*1000)</f>
        <v>208.6202654613615</v>
      </c>
      <c r="D23" s="62">
        <f>IF(D3=0,0,D3/TrNavi_act!D3*1000)</f>
        <v>215.51729573299369</v>
      </c>
      <c r="E23" s="62">
        <f>IF(E3=0,0,E3/TrNavi_act!E3*1000)</f>
        <v>208.92567631562821</v>
      </c>
      <c r="F23" s="62">
        <f>IF(F3=0,0,F3/TrNavi_act!F3*1000)</f>
        <v>133.25878591124038</v>
      </c>
      <c r="G23" s="62">
        <f>IF(G3=0,0,G3/TrNavi_act!G3*1000)</f>
        <v>184.92564444767342</v>
      </c>
      <c r="H23" s="62">
        <f>IF(H3=0,0,H3/TrNavi_act!H3*1000)</f>
        <v>240.92890233495109</v>
      </c>
      <c r="I23" s="62">
        <f>IF(I3=0,0,I3/TrNavi_act!I3*1000)</f>
        <v>118.91691887174055</v>
      </c>
      <c r="J23" s="62">
        <f>IF(J3=0,0,J3/TrNavi_act!J3*1000)</f>
        <v>320.89600250193541</v>
      </c>
      <c r="K23" s="62">
        <f>IF(K3=0,0,K3/TrNavi_act!K3*1000)</f>
        <v>589.75156088102608</v>
      </c>
      <c r="L23" s="62">
        <f>IF(L3=0,0,L3/TrNavi_act!L3*1000)</f>
        <v>552.4260229563572</v>
      </c>
      <c r="M23" s="62">
        <f>IF(M3=0,0,M3/TrNavi_act!M3*1000)</f>
        <v>208.21856946010217</v>
      </c>
      <c r="N23" s="62">
        <f>IF(N3=0,0,N3/TrNavi_act!N3*1000)</f>
        <v>159.28080446701998</v>
      </c>
      <c r="O23" s="62">
        <f>IF(O3=0,0,O3/TrNavi_act!O3*1000)</f>
        <v>138.54683297121022</v>
      </c>
      <c r="P23" s="62">
        <f>IF(P3=0,0,P3/TrNavi_act!P3*1000)</f>
        <v>222.66782458146662</v>
      </c>
      <c r="Q23" s="62">
        <f>IF(Q3=0,0,Q3/TrNavi_act!Q3*1000)</f>
        <v>392.00134870705165</v>
      </c>
      <c r="R23" s="62">
        <f>IF(R3=0,0,R3/TrNavi_act!R3*1000)</f>
        <v>627.0594232462189</v>
      </c>
      <c r="S23" s="62">
        <f>IF(S3=0,0,S3/TrNavi_act!S3*1000)</f>
        <v>1428.420206177143</v>
      </c>
      <c r="T23" s="62">
        <f>IF(T3=0,0,T3/TrNavi_act!T3*1000)</f>
        <v>556.15803348061058</v>
      </c>
      <c r="U23" s="62">
        <f>IF(U3=0,0,U3/TrNavi_act!U3*1000)</f>
        <v>361.1938220561575</v>
      </c>
      <c r="V23" s="62">
        <f>IF(V3=0,0,V3/TrNavi_act!V3*1000)</f>
        <v>296.33853240543181</v>
      </c>
      <c r="W23" s="62">
        <f>IF(W3=0,0,W3/TrNavi_act!W3*1000)</f>
        <v>165.48338586192543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211.69261850874506</v>
      </c>
      <c r="C24" s="63">
        <f>IF(C4=0,0,C4/TrNavi_act!C4*1000)</f>
        <v>208.6202654613615</v>
      </c>
      <c r="D24" s="63">
        <f>IF(D4=0,0,D4/TrNavi_act!D4*1000)</f>
        <v>215.51729573299369</v>
      </c>
      <c r="E24" s="63">
        <f>IF(E4=0,0,E4/TrNavi_act!E4*1000)</f>
        <v>208.92567631562821</v>
      </c>
      <c r="F24" s="63">
        <f>IF(F4=0,0,F4/TrNavi_act!F4*1000)</f>
        <v>133.25878591124038</v>
      </c>
      <c r="G24" s="63">
        <f>IF(G4=0,0,G4/TrNavi_act!G4*1000)</f>
        <v>184.92564444767342</v>
      </c>
      <c r="H24" s="63">
        <f>IF(H4=0,0,H4/TrNavi_act!H4*1000)</f>
        <v>240.92890233495109</v>
      </c>
      <c r="I24" s="63">
        <f>IF(I4=0,0,I4/TrNavi_act!I4*1000)</f>
        <v>118.91691887174055</v>
      </c>
      <c r="J24" s="63">
        <f>IF(J4=0,0,J4/TrNavi_act!J4*1000)</f>
        <v>320.89600250193541</v>
      </c>
      <c r="K24" s="63">
        <f>IF(K4=0,0,K4/TrNavi_act!K4*1000)</f>
        <v>589.75156088102608</v>
      </c>
      <c r="L24" s="63">
        <f>IF(L4=0,0,L4/TrNavi_act!L4*1000)</f>
        <v>552.4260229563572</v>
      </c>
      <c r="M24" s="63">
        <f>IF(M4=0,0,M4/TrNavi_act!M4*1000)</f>
        <v>208.21856946010217</v>
      </c>
      <c r="N24" s="63">
        <f>IF(N4=0,0,N4/TrNavi_act!N4*1000)</f>
        <v>159.28080446701998</v>
      </c>
      <c r="O24" s="63">
        <f>IF(O4=0,0,O4/TrNavi_act!O4*1000)</f>
        <v>138.54683297121022</v>
      </c>
      <c r="P24" s="63">
        <f>IF(P4=0,0,P4/TrNavi_act!P4*1000)</f>
        <v>222.66782458146662</v>
      </c>
      <c r="Q24" s="63">
        <f>IF(Q4=0,0,Q4/TrNavi_act!Q4*1000)</f>
        <v>392.00134870705165</v>
      </c>
      <c r="R24" s="63">
        <f>IF(R4=0,0,R4/TrNavi_act!R4*1000)</f>
        <v>627.0594232462189</v>
      </c>
      <c r="S24" s="63">
        <f>IF(S4=0,0,S4/TrNavi_act!S4*1000)</f>
        <v>1428.420206177143</v>
      </c>
      <c r="T24" s="63">
        <f>IF(T4=0,0,T4/TrNavi_act!T4*1000)</f>
        <v>556.15803348061058</v>
      </c>
      <c r="U24" s="63">
        <f>IF(U4=0,0,U4/TrNavi_act!U4*1000)</f>
        <v>361.1938220561575</v>
      </c>
      <c r="V24" s="63">
        <f>IF(V4=0,0,V4/TrNavi_act!V4*1000)</f>
        <v>296.33853240543181</v>
      </c>
      <c r="W24" s="63">
        <f>IF(W4=0,0,W4/TrNavi_act!W4*1000)</f>
        <v>165.48338586192543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21.941009999999999</v>
      </c>
      <c r="C3" s="54">
        <f t="shared" ref="C3:V3" si="1">SUM(C4:C5)</f>
        <v>21.941009999999999</v>
      </c>
      <c r="D3" s="54">
        <f t="shared" si="1"/>
        <v>25.07544</v>
      </c>
      <c r="E3" s="54">
        <f t="shared" si="1"/>
        <v>28.209869999999999</v>
      </c>
      <c r="F3" s="54">
        <f t="shared" si="1"/>
        <v>25.07544</v>
      </c>
      <c r="G3" s="54">
        <f t="shared" si="1"/>
        <v>25.07544</v>
      </c>
      <c r="H3" s="54">
        <f t="shared" si="1"/>
        <v>21.941009999999999</v>
      </c>
      <c r="I3" s="54">
        <f t="shared" si="1"/>
        <v>25.07544</v>
      </c>
      <c r="J3" s="54">
        <f t="shared" si="1"/>
        <v>21.941009999999999</v>
      </c>
      <c r="K3" s="54">
        <f t="shared" si="1"/>
        <v>25.07544</v>
      </c>
      <c r="L3" s="54">
        <f t="shared" si="1"/>
        <v>25.07544</v>
      </c>
      <c r="M3" s="54">
        <f t="shared" si="1"/>
        <v>15.67215</v>
      </c>
      <c r="N3" s="54">
        <f t="shared" si="1"/>
        <v>12.53772</v>
      </c>
      <c r="O3" s="54">
        <f t="shared" si="1"/>
        <v>12.53772</v>
      </c>
      <c r="P3" s="54">
        <f t="shared" si="1"/>
        <v>18.806580000000004</v>
      </c>
      <c r="Q3" s="54">
        <f t="shared" si="1"/>
        <v>18.806580000000004</v>
      </c>
      <c r="R3" s="54">
        <f t="shared" si="1"/>
        <v>15.67215</v>
      </c>
      <c r="S3" s="54">
        <f t="shared" si="1"/>
        <v>20.518112160000001</v>
      </c>
      <c r="T3" s="54">
        <f t="shared" si="1"/>
        <v>20.132377200000004</v>
      </c>
      <c r="U3" s="54">
        <f t="shared" si="1"/>
        <v>16.70664528</v>
      </c>
      <c r="V3" s="54">
        <f t="shared" si="1"/>
        <v>20.09182968</v>
      </c>
      <c r="W3" s="54">
        <f t="shared" ref="W3" si="2">SUM(W4:W5)</f>
        <v>18.493137000000001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21.941009999999999</v>
      </c>
      <c r="C4" s="56">
        <v>21.941009999999999</v>
      </c>
      <c r="D4" s="56">
        <v>25.07544</v>
      </c>
      <c r="E4" s="56">
        <v>28.209869999999999</v>
      </c>
      <c r="F4" s="56">
        <v>25.07544</v>
      </c>
      <c r="G4" s="56">
        <v>25.07544</v>
      </c>
      <c r="H4" s="56">
        <v>21.941009999999999</v>
      </c>
      <c r="I4" s="56">
        <v>25.07544</v>
      </c>
      <c r="J4" s="56">
        <v>21.941009999999999</v>
      </c>
      <c r="K4" s="56">
        <v>25.07544</v>
      </c>
      <c r="L4" s="56">
        <v>25.07544</v>
      </c>
      <c r="M4" s="56">
        <v>15.67215</v>
      </c>
      <c r="N4" s="56">
        <v>12.53772</v>
      </c>
      <c r="O4" s="56">
        <v>12.53772</v>
      </c>
      <c r="P4" s="56">
        <v>18.806580000000004</v>
      </c>
      <c r="Q4" s="56">
        <v>18.806580000000004</v>
      </c>
      <c r="R4" s="56">
        <v>15.67215</v>
      </c>
      <c r="S4" s="56">
        <v>20.518112160000001</v>
      </c>
      <c r="T4" s="56">
        <v>20.132377200000004</v>
      </c>
      <c r="U4" s="56">
        <v>16.70664528</v>
      </c>
      <c r="V4" s="56">
        <v>20.09182968</v>
      </c>
      <c r="W4" s="56">
        <v>18.493137000000001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3.1024188000000006</v>
      </c>
      <c r="Q9" s="79">
        <f>IF(Q3=0,0,Q3/TrNavi_ene!Q3)</f>
        <v>3.1024188000000006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3.1024188000000006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3.1024188000000001</v>
      </c>
      <c r="K10" s="80">
        <f>IF(K4=0,0,K4/TrNavi_ene!K4)</f>
        <v>3.1024188000000001</v>
      </c>
      <c r="L10" s="80">
        <f>IF(L4=0,0,L4/TrNavi_ene!L4)</f>
        <v>3.1024188000000001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3.1024188000000006</v>
      </c>
      <c r="Q10" s="80">
        <f>IF(Q4=0,0,Q4/TrNavi_ene!Q4)</f>
        <v>3.1024188000000006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3.1024188000000006</v>
      </c>
      <c r="V10" s="80">
        <f>IF(V4=0,0,V4/TrNavi_ene!V4)</f>
        <v>3.1024188000000001</v>
      </c>
      <c r="W10" s="80">
        <f>IF(W4=0,0,W4/TrNavi_ene!W4)</f>
        <v>3.1024188000000001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914208.74999999988</v>
      </c>
      <c r="C13" s="54">
        <f>IF(C3=0,0,C3/TrNavi_act!C7*1000)</f>
        <v>914208.74999999988</v>
      </c>
      <c r="D13" s="54">
        <f>IF(D3=0,0,D3/TrNavi_act!D7*1000)</f>
        <v>928720</v>
      </c>
      <c r="E13" s="54">
        <f>IF(E3=0,0,E3/TrNavi_act!E7*1000)</f>
        <v>1226516.0869565217</v>
      </c>
      <c r="F13" s="54">
        <f>IF(F3=0,0,F3/TrNavi_act!F7*1000)</f>
        <v>783607.5</v>
      </c>
      <c r="G13" s="54">
        <f>IF(G3=0,0,G3/TrNavi_act!G7*1000)</f>
        <v>659880</v>
      </c>
      <c r="H13" s="54">
        <f>IF(H3=0,0,H3/TrNavi_act!H7*1000)</f>
        <v>914208.74999999988</v>
      </c>
      <c r="I13" s="54">
        <f>IF(I3=0,0,I3/TrNavi_act!I7*1000)</f>
        <v>385776</v>
      </c>
      <c r="J13" s="54">
        <f>IF(J3=0,0,J3/TrNavi_act!J7*1000)</f>
        <v>1044810</v>
      </c>
      <c r="K13" s="54">
        <f>IF(K3=0,0,K3/TrNavi_act!K7*1000)</f>
        <v>1791102.857142857</v>
      </c>
      <c r="L13" s="54">
        <f>IF(L3=0,0,L3/TrNavi_act!L7*1000)</f>
        <v>1928880</v>
      </c>
      <c r="M13" s="54">
        <f>IF(M3=0,0,M3/TrNavi_act!M7*1000)</f>
        <v>824850</v>
      </c>
      <c r="N13" s="54">
        <f>IF(N3=0,0,N3/TrNavi_act!N7*1000)</f>
        <v>696540.00000000012</v>
      </c>
      <c r="O13" s="54">
        <f>IF(O3=0,0,O3/TrNavi_act!O7*1000)</f>
        <v>597034.28571428568</v>
      </c>
      <c r="P13" s="54">
        <f>IF(P3=0,0,P3/TrNavi_act!P7*1000)</f>
        <v>854844.54545454576</v>
      </c>
      <c r="Q13" s="54">
        <f>IF(Q3=0,0,Q3/TrNavi_act!Q7*1000)</f>
        <v>1709689.0909090915</v>
      </c>
      <c r="R13" s="54">
        <f>IF(R3=0,0,R3/TrNavi_act!R7*1000)</f>
        <v>3918037.5</v>
      </c>
      <c r="S13" s="54">
        <f>IF(S3=0,0,S3/TrNavi_act!S7*1000)</f>
        <v>10259056.08</v>
      </c>
      <c r="T13" s="54">
        <f>IF(T3=0,0,T3/TrNavi_act!T7*1000)</f>
        <v>2876053.885714286</v>
      </c>
      <c r="U13" s="54">
        <f>IF(U3=0,0,U3/TrNavi_act!U7*1000)</f>
        <v>1518785.9345454546</v>
      </c>
      <c r="V13" s="54">
        <f>IF(V3=0,0,V3/TrNavi_act!V7*1000)</f>
        <v>1057464.72</v>
      </c>
      <c r="W13" s="54">
        <f>IF(W3=0,0,W3/TrNavi_act!W7*1000)</f>
        <v>420298.56818181823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914208.74999999988</v>
      </c>
      <c r="C14" s="56">
        <f>IF(C4=0,0,C4/TrNavi_act!C8*1000)</f>
        <v>914208.74999999988</v>
      </c>
      <c r="D14" s="56">
        <f>IF(D4=0,0,D4/TrNavi_act!D8*1000)</f>
        <v>928720</v>
      </c>
      <c r="E14" s="56">
        <f>IF(E4=0,0,E4/TrNavi_act!E8*1000)</f>
        <v>1226516.0869565217</v>
      </c>
      <c r="F14" s="56">
        <f>IF(F4=0,0,F4/TrNavi_act!F8*1000)</f>
        <v>783607.5</v>
      </c>
      <c r="G14" s="56">
        <f>IF(G4=0,0,G4/TrNavi_act!G8*1000)</f>
        <v>659880</v>
      </c>
      <c r="H14" s="56">
        <f>IF(H4=0,0,H4/TrNavi_act!H8*1000)</f>
        <v>914208.74999999988</v>
      </c>
      <c r="I14" s="56">
        <f>IF(I4=0,0,I4/TrNavi_act!I8*1000)</f>
        <v>385776</v>
      </c>
      <c r="J14" s="56">
        <f>IF(J4=0,0,J4/TrNavi_act!J8*1000)</f>
        <v>1044810</v>
      </c>
      <c r="K14" s="56">
        <f>IF(K4=0,0,K4/TrNavi_act!K8*1000)</f>
        <v>1791102.857142857</v>
      </c>
      <c r="L14" s="56">
        <f>IF(L4=0,0,L4/TrNavi_act!L8*1000)</f>
        <v>1928880</v>
      </c>
      <c r="M14" s="56">
        <f>IF(M4=0,0,M4/TrNavi_act!M8*1000)</f>
        <v>824850</v>
      </c>
      <c r="N14" s="56">
        <f>IF(N4=0,0,N4/TrNavi_act!N8*1000)</f>
        <v>696540.00000000012</v>
      </c>
      <c r="O14" s="56">
        <f>IF(O4=0,0,O4/TrNavi_act!O8*1000)</f>
        <v>597034.28571428568</v>
      </c>
      <c r="P14" s="56">
        <f>IF(P4=0,0,P4/TrNavi_act!P8*1000)</f>
        <v>854844.54545454576</v>
      </c>
      <c r="Q14" s="56">
        <f>IF(Q4=0,0,Q4/TrNavi_act!Q8*1000)</f>
        <v>1709689.0909090915</v>
      </c>
      <c r="R14" s="56">
        <f>IF(R4=0,0,R4/TrNavi_act!R8*1000)</f>
        <v>3918037.5</v>
      </c>
      <c r="S14" s="56">
        <f>IF(S4=0,0,S4/TrNavi_act!S8*1000)</f>
        <v>10259056.08</v>
      </c>
      <c r="T14" s="56">
        <f>IF(T4=0,0,T4/TrNavi_act!T8*1000)</f>
        <v>2876053.885714286</v>
      </c>
      <c r="U14" s="56">
        <f>IF(U4=0,0,U4/TrNavi_act!U8*1000)</f>
        <v>1518785.9345454546</v>
      </c>
      <c r="V14" s="56">
        <f>IF(V4=0,0,V4/TrNavi_act!V8*1000)</f>
        <v>1057464.72</v>
      </c>
      <c r="W14" s="56">
        <f>IF(W4=0,0,W4/TrNavi_act!W8*1000)</f>
        <v>420298.56818181823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656.75915948275849</v>
      </c>
      <c r="C17" s="62">
        <f>IF(C3=0,0,C3/TrNavi_act!C3*1000)</f>
        <v>647.22743362831864</v>
      </c>
      <c r="D17" s="62">
        <f>IF(D3=0,0,D3/TrNavi_act!D3*1000)</f>
        <v>668.62491000719945</v>
      </c>
      <c r="E17" s="62">
        <f>IF(E3=0,0,E3/TrNavi_act!E3*1000)</f>
        <v>648.17494600431974</v>
      </c>
      <c r="F17" s="62">
        <f>IF(F3=0,0,F3/TrNavi_act!F3*1000)</f>
        <v>413.4245626762073</v>
      </c>
      <c r="G17" s="62">
        <f>IF(G3=0,0,G3/TrNavi_act!G3*1000)</f>
        <v>573.71679593657768</v>
      </c>
      <c r="H17" s="62">
        <f>IF(H3=0,0,H3/TrNavi_act!H3*1000)</f>
        <v>747.46235606731614</v>
      </c>
      <c r="I17" s="62">
        <f>IF(I3=0,0,I3/TrNavi_act!I3*1000)</f>
        <v>368.93008474576271</v>
      </c>
      <c r="J17" s="62">
        <f>IF(J3=0,0,J3/TrNavi_act!J3*1000)</f>
        <v>995.55379100685138</v>
      </c>
      <c r="K17" s="62">
        <f>IF(K3=0,0,K3/TrNavi_act!K3*1000)</f>
        <v>1829.6563298066399</v>
      </c>
      <c r="L17" s="62">
        <f>IF(L3=0,0,L3/TrNavi_act!L3*1000)</f>
        <v>1713.8568792290343</v>
      </c>
      <c r="M17" s="62">
        <f>IF(M3=0,0,M3/TrNavi_act!M3*1000)</f>
        <v>645.98120440212688</v>
      </c>
      <c r="N17" s="62">
        <f>IF(N3=0,0,N3/TrNavi_act!N3*1000)</f>
        <v>494.1557622576068</v>
      </c>
      <c r="O17" s="62">
        <f>IF(O3=0,0,O3/TrNavi_act!O3*1000)</f>
        <v>429.83029929034251</v>
      </c>
      <c r="P17" s="62">
        <f>IF(P3=0,0,P3/TrNavi_act!P3*1000)</f>
        <v>690.80884513664432</v>
      </c>
      <c r="Q17" s="62">
        <f>IF(Q3=0,0,Q3/TrNavi_act!Q3*1000)</f>
        <v>1216.152353854113</v>
      </c>
      <c r="R17" s="62">
        <f>IF(R3=0,0,R3/TrNavi_act!R3*1000)</f>
        <v>1945.4009433962267</v>
      </c>
      <c r="S17" s="62">
        <f>IF(S3=0,0,S3/TrNavi_act!S3*1000)</f>
        <v>4431.5577019438451</v>
      </c>
      <c r="T17" s="62">
        <f>IF(T3=0,0,T3/TrNavi_act!T3*1000)</f>
        <v>1725.4351388412756</v>
      </c>
      <c r="U17" s="62">
        <f>IF(U3=0,0,U3/TrNavi_act!U3*1000)</f>
        <v>1120.5745039908779</v>
      </c>
      <c r="V17" s="62">
        <f>IF(V3=0,0,V3/TrNavi_act!V3*1000)</f>
        <v>919.36623409902086</v>
      </c>
      <c r="W17" s="62">
        <f>IF(W3=0,0,W3/TrNavi_act!W3*1000)</f>
        <v>513.39876738569171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656.75915948275849</v>
      </c>
      <c r="C18" s="63">
        <f>IF(C4=0,0,C4/TrNavi_act!C4*1000)</f>
        <v>647.22743362831864</v>
      </c>
      <c r="D18" s="63">
        <f>IF(D4=0,0,D4/TrNavi_act!D4*1000)</f>
        <v>668.62491000719945</v>
      </c>
      <c r="E18" s="63">
        <f>IF(E4=0,0,E4/TrNavi_act!E4*1000)</f>
        <v>648.17494600431974</v>
      </c>
      <c r="F18" s="63">
        <f>IF(F4=0,0,F4/TrNavi_act!F4*1000)</f>
        <v>413.4245626762073</v>
      </c>
      <c r="G18" s="63">
        <f>IF(G4=0,0,G4/TrNavi_act!G4*1000)</f>
        <v>573.71679593657768</v>
      </c>
      <c r="H18" s="63">
        <f>IF(H4=0,0,H4/TrNavi_act!H4*1000)</f>
        <v>747.46235606731614</v>
      </c>
      <c r="I18" s="63">
        <f>IF(I4=0,0,I4/TrNavi_act!I4*1000)</f>
        <v>368.93008474576271</v>
      </c>
      <c r="J18" s="63">
        <f>IF(J4=0,0,J4/TrNavi_act!J4*1000)</f>
        <v>995.55379100685138</v>
      </c>
      <c r="K18" s="63">
        <f>IF(K4=0,0,K4/TrNavi_act!K4*1000)</f>
        <v>1829.6563298066399</v>
      </c>
      <c r="L18" s="63">
        <f>IF(L4=0,0,L4/TrNavi_act!L4*1000)</f>
        <v>1713.8568792290343</v>
      </c>
      <c r="M18" s="63">
        <f>IF(M4=0,0,M4/TrNavi_act!M4*1000)</f>
        <v>645.98120440212688</v>
      </c>
      <c r="N18" s="63">
        <f>IF(N4=0,0,N4/TrNavi_act!N4*1000)</f>
        <v>494.1557622576068</v>
      </c>
      <c r="O18" s="63">
        <f>IF(O4=0,0,O4/TrNavi_act!O4*1000)</f>
        <v>429.83029929034251</v>
      </c>
      <c r="P18" s="63">
        <f>IF(P4=0,0,P4/TrNavi_act!P4*1000)</f>
        <v>690.80884513664432</v>
      </c>
      <c r="Q18" s="63">
        <f>IF(Q4=0,0,Q4/TrNavi_act!Q4*1000)</f>
        <v>1216.152353854113</v>
      </c>
      <c r="R18" s="63">
        <f>IF(R4=0,0,R4/TrNavi_act!R4*1000)</f>
        <v>1945.4009433962267</v>
      </c>
      <c r="S18" s="63">
        <f>IF(S4=0,0,S4/TrNavi_act!S4*1000)</f>
        <v>4431.5577019438451</v>
      </c>
      <c r="T18" s="63">
        <f>IF(T4=0,0,T4/TrNavi_act!T4*1000)</f>
        <v>1725.4351388412756</v>
      </c>
      <c r="U18" s="63">
        <f>IF(U4=0,0,U4/TrNavi_act!U4*1000)</f>
        <v>1120.5745039908779</v>
      </c>
      <c r="V18" s="63">
        <f>IF(V4=0,0,V4/TrNavi_act!V4*1000)</f>
        <v>919.36623409902086</v>
      </c>
      <c r="W18" s="63">
        <f>IF(W4=0,0,W4/TrNavi_act!W4*1000)</f>
        <v>513.39876738569171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70708.090179999999</v>
      </c>
      <c r="C3" s="54">
        <f t="shared" si="0"/>
        <v>66593.464240999994</v>
      </c>
      <c r="D3" s="54">
        <f t="shared" si="0"/>
        <v>78459.302033</v>
      </c>
      <c r="E3" s="54">
        <f t="shared" si="0"/>
        <v>65621.575140000001</v>
      </c>
      <c r="F3" s="54">
        <f t="shared" si="0"/>
        <v>84229.404739000005</v>
      </c>
      <c r="G3" s="54">
        <f t="shared" si="0"/>
        <v>90259.979227999997</v>
      </c>
      <c r="H3" s="54">
        <f t="shared" si="0"/>
        <v>91028.13147800001</v>
      </c>
      <c r="I3" s="54">
        <f t="shared" si="0"/>
        <v>90476.000038000013</v>
      </c>
      <c r="J3" s="54">
        <f t="shared" si="0"/>
        <v>75548.585672999994</v>
      </c>
      <c r="K3" s="54">
        <f t="shared" si="0"/>
        <v>86923.726734999989</v>
      </c>
      <c r="L3" s="54">
        <f t="shared" si="0"/>
        <v>108684.525677</v>
      </c>
      <c r="M3" s="54">
        <f t="shared" si="0"/>
        <v>107497.623979</v>
      </c>
      <c r="N3" s="54">
        <f t="shared" si="0"/>
        <v>113758.487374</v>
      </c>
      <c r="O3" s="54">
        <f t="shared" si="0"/>
        <v>95674.122323000003</v>
      </c>
      <c r="P3" s="54">
        <f t="shared" si="0"/>
        <v>86937.996972000008</v>
      </c>
      <c r="Q3" s="54">
        <f t="shared" si="0"/>
        <v>67029.038939000005</v>
      </c>
      <c r="R3" s="54">
        <f t="shared" ref="R3:W3" si="1">SUM(R4:R5)</f>
        <v>62381.975632000001</v>
      </c>
      <c r="S3" s="54">
        <f t="shared" si="1"/>
        <v>63879.815640000008</v>
      </c>
      <c r="T3" s="54">
        <f t="shared" si="1"/>
        <v>65442.407934000003</v>
      </c>
      <c r="U3" s="54">
        <f t="shared" si="1"/>
        <v>73152.81492199999</v>
      </c>
      <c r="V3" s="54">
        <f t="shared" si="1"/>
        <v>77370.179980000001</v>
      </c>
      <c r="W3" s="54">
        <f t="shared" si="1"/>
        <v>77442.097651999997</v>
      </c>
      <c r="DA3" s="172" t="s">
        <v>387</v>
      </c>
    </row>
    <row r="4" spans="1:105" ht="11.45" customHeight="1" x14ac:dyDescent="0.25">
      <c r="A4" s="55" t="s">
        <v>170</v>
      </c>
      <c r="B4" s="56">
        <v>28209.662514</v>
      </c>
      <c r="C4" s="56">
        <v>26228.035092000002</v>
      </c>
      <c r="D4" s="56">
        <v>30891.586480000002</v>
      </c>
      <c r="E4" s="56">
        <v>31478.256688000001</v>
      </c>
      <c r="F4" s="56">
        <v>29770.047990999999</v>
      </c>
      <c r="G4" s="56">
        <v>25028.230243000002</v>
      </c>
      <c r="H4" s="56">
        <v>26094.070985000002</v>
      </c>
      <c r="I4" s="56">
        <v>21166.768219000001</v>
      </c>
      <c r="J4" s="56">
        <v>15746.605336999999</v>
      </c>
      <c r="K4" s="56">
        <v>16927.827534</v>
      </c>
      <c r="L4" s="56">
        <v>20282.797577999998</v>
      </c>
      <c r="M4" s="56">
        <v>21558.713854999998</v>
      </c>
      <c r="N4" s="56">
        <v>15007.907091000001</v>
      </c>
      <c r="O4" s="56">
        <v>21665.367784999999</v>
      </c>
      <c r="P4" s="56">
        <v>19830.474157000001</v>
      </c>
      <c r="Q4" s="56">
        <v>13198.835773000001</v>
      </c>
      <c r="R4" s="56">
        <v>11855.711134000001</v>
      </c>
      <c r="S4" s="56">
        <v>12451.504778</v>
      </c>
      <c r="T4" s="56">
        <v>13289.576877</v>
      </c>
      <c r="U4" s="56">
        <v>13179.245278</v>
      </c>
      <c r="V4" s="56">
        <v>11069.137557999999</v>
      </c>
      <c r="W4" s="56">
        <v>12687.214993000001</v>
      </c>
      <c r="DA4" s="181" t="s">
        <v>388</v>
      </c>
    </row>
    <row r="5" spans="1:105" ht="11.45" customHeight="1" x14ac:dyDescent="0.25">
      <c r="A5" s="57" t="s">
        <v>171</v>
      </c>
      <c r="B5" s="58">
        <v>42498.427666000003</v>
      </c>
      <c r="C5" s="58">
        <v>40365.429148999996</v>
      </c>
      <c r="D5" s="58">
        <v>47567.715553000002</v>
      </c>
      <c r="E5" s="58">
        <v>34143.318452</v>
      </c>
      <c r="F5" s="58">
        <v>54459.356748000006</v>
      </c>
      <c r="G5" s="58">
        <v>65231.748984999998</v>
      </c>
      <c r="H5" s="58">
        <v>64934.060493000004</v>
      </c>
      <c r="I5" s="58">
        <v>69309.231819000008</v>
      </c>
      <c r="J5" s="58">
        <v>59801.980335999993</v>
      </c>
      <c r="K5" s="58">
        <v>69995.899200999993</v>
      </c>
      <c r="L5" s="58">
        <v>88401.728099</v>
      </c>
      <c r="M5" s="58">
        <v>85938.910124000002</v>
      </c>
      <c r="N5" s="58">
        <v>98750.580283000003</v>
      </c>
      <c r="O5" s="58">
        <v>74008.754538000008</v>
      </c>
      <c r="P5" s="58">
        <v>67107.522815000004</v>
      </c>
      <c r="Q5" s="58">
        <v>53830.203165999999</v>
      </c>
      <c r="R5" s="58">
        <v>50526.264497999997</v>
      </c>
      <c r="S5" s="58">
        <v>51428.310862000006</v>
      </c>
      <c r="T5" s="58">
        <v>52152.831057000003</v>
      </c>
      <c r="U5" s="58">
        <v>59973.569643999996</v>
      </c>
      <c r="V5" s="58">
        <v>66301.042421999999</v>
      </c>
      <c r="W5" s="58">
        <v>64754.882659000003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7.7017280000000001</v>
      </c>
      <c r="C7" s="59">
        <f t="shared" si="2"/>
        <v>7.0711839999999997</v>
      </c>
      <c r="D7" s="59">
        <f t="shared" si="2"/>
        <v>8.2266870000000001</v>
      </c>
      <c r="E7" s="59">
        <f t="shared" si="2"/>
        <v>11.482838999999998</v>
      </c>
      <c r="F7" s="59">
        <f t="shared" si="2"/>
        <v>11.418852999999999</v>
      </c>
      <c r="G7" s="59">
        <f t="shared" si="2"/>
        <v>9.9658119999999997</v>
      </c>
      <c r="H7" s="59">
        <f t="shared" si="2"/>
        <v>9.4687450000000002</v>
      </c>
      <c r="I7" s="59">
        <f t="shared" si="2"/>
        <v>7.6904729999999999</v>
      </c>
      <c r="J7" s="59">
        <f t="shared" si="2"/>
        <v>5.1359330000000005</v>
      </c>
      <c r="K7" s="59">
        <f t="shared" si="2"/>
        <v>5.3639749999999999</v>
      </c>
      <c r="L7" s="59">
        <f t="shared" si="2"/>
        <v>7.3386589999999998</v>
      </c>
      <c r="M7" s="59">
        <f t="shared" si="2"/>
        <v>6.3867969999999996</v>
      </c>
      <c r="N7" s="59">
        <f t="shared" si="2"/>
        <v>5.7518159999999998</v>
      </c>
      <c r="O7" s="59">
        <f t="shared" si="2"/>
        <v>5.7472339999999997</v>
      </c>
      <c r="P7" s="59">
        <f t="shared" si="2"/>
        <v>5.1570609999999997</v>
      </c>
      <c r="Q7" s="59">
        <f t="shared" si="2"/>
        <v>3.7623359999999999</v>
      </c>
      <c r="R7" s="59">
        <f t="shared" si="2"/>
        <v>3.4308190000000005</v>
      </c>
      <c r="S7" s="59">
        <f t="shared" si="2"/>
        <v>3.4421929999999996</v>
      </c>
      <c r="T7" s="59">
        <f t="shared" si="2"/>
        <v>3.567968</v>
      </c>
      <c r="U7" s="59">
        <f t="shared" si="2"/>
        <v>3.8244610000000003</v>
      </c>
      <c r="V7" s="59">
        <f t="shared" si="2"/>
        <v>3.547034</v>
      </c>
      <c r="W7" s="59">
        <f t="shared" si="2"/>
        <v>3.7642129999999998</v>
      </c>
      <c r="DA7" s="172" t="s">
        <v>961</v>
      </c>
    </row>
    <row r="8" spans="1:105" ht="11.45" customHeight="1" x14ac:dyDescent="0.25">
      <c r="A8" s="55" t="s">
        <v>170</v>
      </c>
      <c r="B8" s="60">
        <v>5.3003369999999999</v>
      </c>
      <c r="C8" s="60">
        <v>4.8636689999999998</v>
      </c>
      <c r="D8" s="60">
        <v>5.6393269999999998</v>
      </c>
      <c r="E8" s="60">
        <v>8.5659789999999987</v>
      </c>
      <c r="F8" s="60">
        <v>7.7540189999999996</v>
      </c>
      <c r="G8" s="60">
        <v>6.0943380000000005</v>
      </c>
      <c r="H8" s="60">
        <v>5.8055140000000005</v>
      </c>
      <c r="I8" s="60">
        <v>4.793831</v>
      </c>
      <c r="J8" s="60">
        <v>3.1050030000000004</v>
      </c>
      <c r="K8" s="60">
        <v>3.0512830000000002</v>
      </c>
      <c r="L8" s="60">
        <v>3.6022029999999998</v>
      </c>
      <c r="M8" s="60">
        <v>3.0008240000000002</v>
      </c>
      <c r="N8" s="60">
        <v>2.049023</v>
      </c>
      <c r="O8" s="60">
        <v>2.9339529999999998</v>
      </c>
      <c r="P8" s="60">
        <v>2.6470719999999996</v>
      </c>
      <c r="Q8" s="60">
        <v>1.757479</v>
      </c>
      <c r="R8" s="60">
        <v>1.5595640000000002</v>
      </c>
      <c r="S8" s="60">
        <v>1.6173169999999999</v>
      </c>
      <c r="T8" s="60">
        <v>1.7017720000000001</v>
      </c>
      <c r="U8" s="60">
        <v>1.7116499999999999</v>
      </c>
      <c r="V8" s="60">
        <v>1.331647</v>
      </c>
      <c r="W8" s="60">
        <v>1.6010500000000001</v>
      </c>
      <c r="DA8" s="181" t="s">
        <v>962</v>
      </c>
    </row>
    <row r="9" spans="1:105" ht="11.45" customHeight="1" x14ac:dyDescent="0.25">
      <c r="A9" s="57" t="s">
        <v>171</v>
      </c>
      <c r="B9" s="61">
        <v>2.4013910000000003</v>
      </c>
      <c r="C9" s="61">
        <v>2.2075149999999999</v>
      </c>
      <c r="D9" s="61">
        <v>2.5873600000000003</v>
      </c>
      <c r="E9" s="61">
        <v>2.9168600000000002</v>
      </c>
      <c r="F9" s="61">
        <v>3.6648339999999999</v>
      </c>
      <c r="G9" s="61">
        <v>3.8714740000000001</v>
      </c>
      <c r="H9" s="61">
        <v>3.6632310000000001</v>
      </c>
      <c r="I9" s="61">
        <v>2.8966419999999999</v>
      </c>
      <c r="J9" s="61">
        <v>2.0309300000000001</v>
      </c>
      <c r="K9" s="61">
        <v>2.3126920000000002</v>
      </c>
      <c r="L9" s="61">
        <v>3.736456</v>
      </c>
      <c r="M9" s="61">
        <v>3.3859729999999999</v>
      </c>
      <c r="N9" s="61">
        <v>3.7027929999999998</v>
      </c>
      <c r="O9" s="61">
        <v>2.8132809999999999</v>
      </c>
      <c r="P9" s="61">
        <v>2.509989</v>
      </c>
      <c r="Q9" s="61">
        <v>2.0048569999999999</v>
      </c>
      <c r="R9" s="61">
        <v>1.8712550000000001</v>
      </c>
      <c r="S9" s="61">
        <v>1.8248759999999999</v>
      </c>
      <c r="T9" s="61">
        <v>1.866196</v>
      </c>
      <c r="U9" s="61">
        <v>2.1128110000000002</v>
      </c>
      <c r="V9" s="61">
        <v>2.2153870000000002</v>
      </c>
      <c r="W9" s="61">
        <v>2.1631629999999999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9180.8085380319844</v>
      </c>
      <c r="C13" s="62">
        <f t="shared" si="3"/>
        <v>9417.5832846380454</v>
      </c>
      <c r="D13" s="62">
        <f t="shared" si="3"/>
        <v>9537.1687330513487</v>
      </c>
      <c r="E13" s="62">
        <f t="shared" si="3"/>
        <v>5714.7518257462298</v>
      </c>
      <c r="F13" s="62">
        <f t="shared" si="3"/>
        <v>7376.3454822476488</v>
      </c>
      <c r="G13" s="62">
        <f t="shared" si="3"/>
        <v>9056.9618640207136</v>
      </c>
      <c r="H13" s="62">
        <f t="shared" si="3"/>
        <v>9613.5371137357706</v>
      </c>
      <c r="I13" s="62">
        <f t="shared" si="3"/>
        <v>11764.686000197909</v>
      </c>
      <c r="J13" s="62">
        <f t="shared" si="3"/>
        <v>14709.807482496362</v>
      </c>
      <c r="K13" s="62">
        <f t="shared" si="3"/>
        <v>16205.095425500676</v>
      </c>
      <c r="L13" s="62">
        <f t="shared" si="3"/>
        <v>14809.861812219371</v>
      </c>
      <c r="M13" s="62">
        <f t="shared" si="3"/>
        <v>16831.22604006359</v>
      </c>
      <c r="N13" s="62">
        <f t="shared" si="3"/>
        <v>19777.838403384256</v>
      </c>
      <c r="O13" s="62">
        <f t="shared" si="3"/>
        <v>16646.985719217282</v>
      </c>
      <c r="P13" s="62">
        <f t="shared" si="3"/>
        <v>16858.050927068733</v>
      </c>
      <c r="Q13" s="62">
        <f t="shared" si="3"/>
        <v>17815.803516485503</v>
      </c>
      <c r="R13" s="62">
        <f t="shared" si="3"/>
        <v>18182.823294379563</v>
      </c>
      <c r="S13" s="62">
        <f t="shared" si="3"/>
        <v>18557.883198298299</v>
      </c>
      <c r="T13" s="62">
        <f t="shared" si="3"/>
        <v>18341.646543354651</v>
      </c>
      <c r="U13" s="62">
        <f t="shared" si="3"/>
        <v>19127.614302250691</v>
      </c>
      <c r="V13" s="62">
        <f t="shared" si="3"/>
        <v>21812.641203890347</v>
      </c>
      <c r="W13" s="62">
        <f t="shared" si="3"/>
        <v>20573.250677366024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5322.2394187388463</v>
      </c>
      <c r="C14" s="63">
        <f t="shared" si="3"/>
        <v>5392.6439262211316</v>
      </c>
      <c r="D14" s="63">
        <f t="shared" si="3"/>
        <v>5477.8853008523893</v>
      </c>
      <c r="E14" s="63">
        <f t="shared" si="3"/>
        <v>3674.7996566416991</v>
      </c>
      <c r="F14" s="63">
        <f t="shared" si="3"/>
        <v>3839.3055254313927</v>
      </c>
      <c r="G14" s="63">
        <f t="shared" si="3"/>
        <v>4106.8004831697881</v>
      </c>
      <c r="H14" s="63">
        <f t="shared" si="3"/>
        <v>4494.7046867857007</v>
      </c>
      <c r="I14" s="63">
        <f t="shared" si="3"/>
        <v>4415.4181111098833</v>
      </c>
      <c r="J14" s="63">
        <f t="shared" si="3"/>
        <v>5071.3655790348666</v>
      </c>
      <c r="K14" s="63">
        <f t="shared" si="3"/>
        <v>5547.7736853644838</v>
      </c>
      <c r="L14" s="63">
        <f t="shared" si="3"/>
        <v>5630.6647843000519</v>
      </c>
      <c r="M14" s="63">
        <f t="shared" si="3"/>
        <v>7184.2646736363067</v>
      </c>
      <c r="N14" s="63">
        <f t="shared" si="3"/>
        <v>7324.4210001547081</v>
      </c>
      <c r="O14" s="63">
        <f t="shared" si="3"/>
        <v>7384.3608895575353</v>
      </c>
      <c r="P14" s="63">
        <f t="shared" si="3"/>
        <v>7491.4751684124958</v>
      </c>
      <c r="Q14" s="63">
        <f t="shared" si="3"/>
        <v>7510.0958662948469</v>
      </c>
      <c r="R14" s="63">
        <f t="shared" si="3"/>
        <v>7601.9394741094302</v>
      </c>
      <c r="S14" s="63">
        <f t="shared" si="3"/>
        <v>7698.8647111234231</v>
      </c>
      <c r="T14" s="63">
        <f t="shared" si="3"/>
        <v>7809.258159729975</v>
      </c>
      <c r="U14" s="63">
        <f t="shared" si="3"/>
        <v>7699.7314158852578</v>
      </c>
      <c r="V14" s="63">
        <f t="shared" si="3"/>
        <v>8312.3662336940633</v>
      </c>
      <c r="W14" s="63">
        <f t="shared" si="3"/>
        <v>7924.3090428156529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17697.421063875063</v>
      </c>
      <c r="C15" s="64">
        <f t="shared" si="3"/>
        <v>18285.460868442569</v>
      </c>
      <c r="D15" s="64">
        <f t="shared" si="3"/>
        <v>18384.652909915898</v>
      </c>
      <c r="E15" s="64">
        <f t="shared" si="3"/>
        <v>11705.50470437388</v>
      </c>
      <c r="F15" s="64">
        <f t="shared" si="3"/>
        <v>14859.979128113308</v>
      </c>
      <c r="G15" s="64">
        <f t="shared" si="3"/>
        <v>16849.331542714739</v>
      </c>
      <c r="H15" s="64">
        <f t="shared" si="3"/>
        <v>17725.898392157087</v>
      </c>
      <c r="I15" s="64">
        <f t="shared" si="3"/>
        <v>23927.441437015692</v>
      </c>
      <c r="J15" s="64">
        <f t="shared" si="3"/>
        <v>29445.61375133559</v>
      </c>
      <c r="K15" s="64">
        <f t="shared" si="3"/>
        <v>30265.984057107467</v>
      </c>
      <c r="L15" s="64">
        <f t="shared" si="3"/>
        <v>23659.245043699164</v>
      </c>
      <c r="M15" s="64">
        <f t="shared" si="3"/>
        <v>25380.86101808845</v>
      </c>
      <c r="N15" s="64">
        <f t="shared" si="3"/>
        <v>26669.214369531328</v>
      </c>
      <c r="O15" s="64">
        <f t="shared" si="3"/>
        <v>26306.918696710356</v>
      </c>
      <c r="P15" s="64">
        <f t="shared" si="3"/>
        <v>26736.182037052753</v>
      </c>
      <c r="Q15" s="64">
        <f t="shared" si="3"/>
        <v>26849.896609084837</v>
      </c>
      <c r="R15" s="64">
        <f t="shared" si="3"/>
        <v>27001.27160541989</v>
      </c>
      <c r="S15" s="64">
        <f t="shared" si="3"/>
        <v>28181.811181691253</v>
      </c>
      <c r="T15" s="64">
        <f t="shared" si="3"/>
        <v>27946.063037858832</v>
      </c>
      <c r="U15" s="64">
        <f t="shared" si="3"/>
        <v>28385.676543713558</v>
      </c>
      <c r="V15" s="64">
        <f t="shared" si="3"/>
        <v>29927.52165738988</v>
      </c>
      <c r="W15" s="64">
        <f t="shared" si="3"/>
        <v>29935.276564456773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0.39895947468227883</v>
      </c>
      <c r="C18" s="66">
        <f t="shared" si="4"/>
        <v>0.39385299129478279</v>
      </c>
      <c r="D18" s="66">
        <f t="shared" si="4"/>
        <v>0.39372752088728746</v>
      </c>
      <c r="E18" s="66">
        <f t="shared" si="4"/>
        <v>0.47969370776063941</v>
      </c>
      <c r="F18" s="66">
        <f t="shared" si="4"/>
        <v>0.35344008524395798</v>
      </c>
      <c r="G18" s="66">
        <f t="shared" si="4"/>
        <v>0.27729044984353229</v>
      </c>
      <c r="H18" s="66">
        <f t="shared" si="4"/>
        <v>0.28665941573574433</v>
      </c>
      <c r="I18" s="66">
        <f t="shared" si="4"/>
        <v>0.23394898326749566</v>
      </c>
      <c r="J18" s="66">
        <f t="shared" si="4"/>
        <v>0.20843018034985683</v>
      </c>
      <c r="K18" s="66">
        <f t="shared" si="4"/>
        <v>0.19474346268662662</v>
      </c>
      <c r="L18" s="66">
        <f t="shared" si="4"/>
        <v>0.18662084093073683</v>
      </c>
      <c r="M18" s="66">
        <f t="shared" si="4"/>
        <v>0.20055060806936126</v>
      </c>
      <c r="N18" s="66">
        <f t="shared" si="4"/>
        <v>0.13192780105856192</v>
      </c>
      <c r="O18" s="66">
        <f t="shared" si="4"/>
        <v>0.22644961102289263</v>
      </c>
      <c r="P18" s="66">
        <f t="shared" si="4"/>
        <v>0.22809904584512997</v>
      </c>
      <c r="Q18" s="66">
        <f t="shared" si="4"/>
        <v>0.19691220375413176</v>
      </c>
      <c r="R18" s="66">
        <f t="shared" si="4"/>
        <v>0.19005026714669151</v>
      </c>
      <c r="S18" s="66">
        <f t="shared" si="4"/>
        <v>0.19492080015026167</v>
      </c>
      <c r="T18" s="66">
        <f t="shared" si="4"/>
        <v>0.20307285896941335</v>
      </c>
      <c r="U18" s="66">
        <f t="shared" si="4"/>
        <v>0.18016046671686547</v>
      </c>
      <c r="V18" s="66">
        <f t="shared" si="4"/>
        <v>0.14306723289077708</v>
      </c>
      <c r="W18" s="66">
        <f t="shared" si="4"/>
        <v>0.16382840054271625</v>
      </c>
      <c r="DA18" s="181"/>
    </row>
    <row r="19" spans="1:105" ht="11.45" customHeight="1" x14ac:dyDescent="0.25">
      <c r="A19" s="57" t="s">
        <v>171</v>
      </c>
      <c r="B19" s="67">
        <f t="shared" si="4"/>
        <v>0.60104052531772123</v>
      </c>
      <c r="C19" s="67">
        <f t="shared" si="4"/>
        <v>0.60614700870521721</v>
      </c>
      <c r="D19" s="67">
        <f t="shared" si="4"/>
        <v>0.60627247911271265</v>
      </c>
      <c r="E19" s="67">
        <f t="shared" si="4"/>
        <v>0.52030629223936053</v>
      </c>
      <c r="F19" s="67">
        <f t="shared" si="4"/>
        <v>0.64655991475604202</v>
      </c>
      <c r="G19" s="67">
        <f t="shared" si="4"/>
        <v>0.72270955015646776</v>
      </c>
      <c r="H19" s="67">
        <f t="shared" si="4"/>
        <v>0.71334058426425562</v>
      </c>
      <c r="I19" s="67">
        <f t="shared" si="4"/>
        <v>0.76605101673250431</v>
      </c>
      <c r="J19" s="67">
        <f t="shared" si="4"/>
        <v>0.79156981965014317</v>
      </c>
      <c r="K19" s="67">
        <f t="shared" si="4"/>
        <v>0.80525653731337343</v>
      </c>
      <c r="L19" s="67">
        <f t="shared" si="4"/>
        <v>0.81337915906926317</v>
      </c>
      <c r="M19" s="67">
        <f t="shared" si="4"/>
        <v>0.7994493919306388</v>
      </c>
      <c r="N19" s="67">
        <f t="shared" si="4"/>
        <v>0.86807219894143806</v>
      </c>
      <c r="O19" s="67">
        <f t="shared" si="4"/>
        <v>0.77355038897710737</v>
      </c>
      <c r="P19" s="67">
        <f t="shared" si="4"/>
        <v>0.77190095415487003</v>
      </c>
      <c r="Q19" s="67">
        <f t="shared" si="4"/>
        <v>0.80308779624586812</v>
      </c>
      <c r="R19" s="67">
        <f t="shared" si="4"/>
        <v>0.8099497328533084</v>
      </c>
      <c r="S19" s="67">
        <f t="shared" si="4"/>
        <v>0.8050791998497383</v>
      </c>
      <c r="T19" s="67">
        <f t="shared" si="4"/>
        <v>0.79692714103058671</v>
      </c>
      <c r="U19" s="67">
        <f t="shared" si="4"/>
        <v>0.81983953328313464</v>
      </c>
      <c r="V19" s="67">
        <f t="shared" si="4"/>
        <v>0.85693276710922284</v>
      </c>
      <c r="W19" s="67">
        <f t="shared" si="4"/>
        <v>0.83617159945728381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0.68820101151326041</v>
      </c>
      <c r="C22" s="66">
        <f t="shared" si="5"/>
        <v>0.68781536444250357</v>
      </c>
      <c r="D22" s="66">
        <f t="shared" si="5"/>
        <v>0.68549186324944655</v>
      </c>
      <c r="E22" s="66">
        <f t="shared" si="5"/>
        <v>0.74598093729259807</v>
      </c>
      <c r="F22" s="66">
        <f t="shared" si="5"/>
        <v>0.67905410464606208</v>
      </c>
      <c r="G22" s="66">
        <f t="shared" si="5"/>
        <v>0.61152447989185432</v>
      </c>
      <c r="H22" s="66">
        <f t="shared" si="5"/>
        <v>0.613123914520879</v>
      </c>
      <c r="I22" s="66">
        <f t="shared" si="5"/>
        <v>0.62334670442247175</v>
      </c>
      <c r="J22" s="66">
        <f t="shared" si="5"/>
        <v>0.60456454552658689</v>
      </c>
      <c r="K22" s="66">
        <f t="shared" si="5"/>
        <v>0.56884735667112551</v>
      </c>
      <c r="L22" s="66">
        <f t="shared" si="5"/>
        <v>0.49085302914333528</v>
      </c>
      <c r="M22" s="66">
        <f t="shared" si="5"/>
        <v>0.46984803180686663</v>
      </c>
      <c r="N22" s="66">
        <f t="shared" si="5"/>
        <v>0.35623931641763229</v>
      </c>
      <c r="O22" s="66">
        <f t="shared" si="5"/>
        <v>0.51049826751442517</v>
      </c>
      <c r="P22" s="66">
        <f t="shared" si="5"/>
        <v>0.51329080652720604</v>
      </c>
      <c r="Q22" s="66">
        <f t="shared" si="5"/>
        <v>0.46712441419373496</v>
      </c>
      <c r="R22" s="66">
        <f t="shared" si="5"/>
        <v>0.4545748405847117</v>
      </c>
      <c r="S22" s="66">
        <f t="shared" si="5"/>
        <v>0.46985076083764044</v>
      </c>
      <c r="T22" s="66">
        <f t="shared" si="5"/>
        <v>0.47695831352747559</v>
      </c>
      <c r="U22" s="66">
        <f t="shared" si="5"/>
        <v>0.44755326306112148</v>
      </c>
      <c r="V22" s="66">
        <f t="shared" si="5"/>
        <v>0.37542549634426964</v>
      </c>
      <c r="W22" s="66">
        <f t="shared" si="5"/>
        <v>0.42533459185226768</v>
      </c>
      <c r="DA22" s="181"/>
    </row>
    <row r="23" spans="1:105" ht="11.45" customHeight="1" x14ac:dyDescent="0.25">
      <c r="A23" s="57" t="s">
        <v>171</v>
      </c>
      <c r="B23" s="67">
        <f t="shared" si="5"/>
        <v>0.31179898848673965</v>
      </c>
      <c r="C23" s="67">
        <f t="shared" si="5"/>
        <v>0.31218463555749643</v>
      </c>
      <c r="D23" s="67">
        <f t="shared" si="5"/>
        <v>0.31450813675055345</v>
      </c>
      <c r="E23" s="67">
        <f t="shared" si="5"/>
        <v>0.25401906270740193</v>
      </c>
      <c r="F23" s="67">
        <f t="shared" si="5"/>
        <v>0.32094589535393797</v>
      </c>
      <c r="G23" s="67">
        <f t="shared" si="5"/>
        <v>0.38847552010814573</v>
      </c>
      <c r="H23" s="67">
        <f t="shared" si="5"/>
        <v>0.38687608547912106</v>
      </c>
      <c r="I23" s="67">
        <f t="shared" si="5"/>
        <v>0.37665329557752819</v>
      </c>
      <c r="J23" s="67">
        <f t="shared" si="5"/>
        <v>0.39543545447341311</v>
      </c>
      <c r="K23" s="67">
        <f t="shared" si="5"/>
        <v>0.4311526433288746</v>
      </c>
      <c r="L23" s="67">
        <f t="shared" si="5"/>
        <v>0.50914697085666472</v>
      </c>
      <c r="M23" s="67">
        <f t="shared" si="5"/>
        <v>0.53015196819313348</v>
      </c>
      <c r="N23" s="67">
        <f t="shared" si="5"/>
        <v>0.64376068358236771</v>
      </c>
      <c r="O23" s="67">
        <f t="shared" si="5"/>
        <v>0.48950173248557483</v>
      </c>
      <c r="P23" s="67">
        <f t="shared" si="5"/>
        <v>0.48670919347279396</v>
      </c>
      <c r="Q23" s="67">
        <f t="shared" si="5"/>
        <v>0.53287558580626504</v>
      </c>
      <c r="R23" s="67">
        <f t="shared" si="5"/>
        <v>0.54542515941528824</v>
      </c>
      <c r="S23" s="67">
        <f t="shared" si="5"/>
        <v>0.53014923916235956</v>
      </c>
      <c r="T23" s="67">
        <f t="shared" si="5"/>
        <v>0.52304168647252436</v>
      </c>
      <c r="U23" s="67">
        <f t="shared" si="5"/>
        <v>0.55244673693887847</v>
      </c>
      <c r="V23" s="67">
        <f t="shared" si="5"/>
        <v>0.62457450365573042</v>
      </c>
      <c r="W23" s="67">
        <f t="shared" si="5"/>
        <v>0.57466540814773237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104.06758383490973</v>
      </c>
      <c r="C3" s="62">
        <f t="shared" ref="C3:W3" si="0">SUM(C4,C10)</f>
        <v>99.512725709372305</v>
      </c>
      <c r="D3" s="62">
        <f t="shared" si="0"/>
        <v>116.82906276870162</v>
      </c>
      <c r="E3" s="62">
        <f t="shared" si="0"/>
        <v>110.82923473774719</v>
      </c>
      <c r="F3" s="62">
        <f t="shared" si="0"/>
        <v>148.18237317282893</v>
      </c>
      <c r="G3" s="62">
        <f t="shared" si="0"/>
        <v>118.47712811693894</v>
      </c>
      <c r="H3" s="62">
        <f t="shared" si="0"/>
        <v>208.55786758383482</v>
      </c>
      <c r="I3" s="62">
        <f t="shared" si="0"/>
        <v>241.82433361994833</v>
      </c>
      <c r="J3" s="62">
        <f t="shared" si="0"/>
        <v>245.88228718830604</v>
      </c>
      <c r="K3" s="62">
        <f t="shared" si="0"/>
        <v>219.02166809974204</v>
      </c>
      <c r="L3" s="62">
        <f t="shared" si="0"/>
        <v>215.60137575236456</v>
      </c>
      <c r="M3" s="62">
        <f t="shared" si="0"/>
        <v>182.55898538263108</v>
      </c>
      <c r="N3" s="62">
        <f t="shared" si="0"/>
        <v>391.33224419604466</v>
      </c>
      <c r="O3" s="62">
        <f t="shared" si="0"/>
        <v>407.62012037833188</v>
      </c>
      <c r="P3" s="62">
        <f t="shared" si="0"/>
        <v>313.74368013757521</v>
      </c>
      <c r="Q3" s="62">
        <f t="shared" si="0"/>
        <v>284.98374892519342</v>
      </c>
      <c r="R3" s="62">
        <f t="shared" si="0"/>
        <v>268.58314703353403</v>
      </c>
      <c r="S3" s="62">
        <f t="shared" si="0"/>
        <v>321.46569217540844</v>
      </c>
      <c r="T3" s="62">
        <f t="shared" si="0"/>
        <v>306.38194325021493</v>
      </c>
      <c r="U3" s="62">
        <f t="shared" si="0"/>
        <v>183.57394668959586</v>
      </c>
      <c r="V3" s="62">
        <f t="shared" si="0"/>
        <v>293.49234737747213</v>
      </c>
      <c r="W3" s="62">
        <f t="shared" si="0"/>
        <v>302.14256233877893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51.572757926511244</v>
      </c>
      <c r="C4" s="71">
        <f t="shared" ref="C4:W4" si="1">SUM(C5:C9)</f>
        <v>49.282205373733177</v>
      </c>
      <c r="D4" s="71">
        <f t="shared" si="1"/>
        <v>57.671980649923256</v>
      </c>
      <c r="E4" s="71">
        <f t="shared" si="1"/>
        <v>56.79874377012127</v>
      </c>
      <c r="F4" s="71">
        <f t="shared" si="1"/>
        <v>69.002637336052203</v>
      </c>
      <c r="G4" s="71">
        <f t="shared" si="1"/>
        <v>49.685395956711346</v>
      </c>
      <c r="H4" s="71">
        <f t="shared" si="1"/>
        <v>88.461758861541057</v>
      </c>
      <c r="I4" s="71">
        <f t="shared" si="1"/>
        <v>101.46753110609251</v>
      </c>
      <c r="J4" s="71">
        <f t="shared" si="1"/>
        <v>100.74214221005013</v>
      </c>
      <c r="K4" s="71">
        <f t="shared" si="1"/>
        <v>85.990790161413727</v>
      </c>
      <c r="L4" s="71">
        <f t="shared" si="1"/>
        <v>82.425842369183698</v>
      </c>
      <c r="M4" s="71">
        <f t="shared" si="1"/>
        <v>71.633787556519238</v>
      </c>
      <c r="N4" s="71">
        <f t="shared" si="1"/>
        <v>122.83182717737634</v>
      </c>
      <c r="O4" s="71">
        <f t="shared" si="1"/>
        <v>170.95569993803696</v>
      </c>
      <c r="P4" s="71">
        <f t="shared" si="1"/>
        <v>131.51665071794775</v>
      </c>
      <c r="Q4" s="71">
        <f t="shared" si="1"/>
        <v>110.53005975988648</v>
      </c>
      <c r="R4" s="71">
        <f t="shared" si="1"/>
        <v>101.97693289646838</v>
      </c>
      <c r="S4" s="71">
        <f t="shared" si="1"/>
        <v>125.29377573540897</v>
      </c>
      <c r="T4" s="71">
        <f t="shared" si="1"/>
        <v>120.29211433954111</v>
      </c>
      <c r="U4" s="71">
        <f t="shared" si="1"/>
        <v>68.515697107629748</v>
      </c>
      <c r="V4" s="71">
        <f t="shared" si="1"/>
        <v>86.269899164156271</v>
      </c>
      <c r="W4" s="71">
        <f t="shared" si="1"/>
        <v>96.015183383203606</v>
      </c>
      <c r="DA4" s="186" t="s">
        <v>969</v>
      </c>
    </row>
    <row r="5" spans="1:105" ht="11.45" customHeight="1" x14ac:dyDescent="0.25">
      <c r="A5" s="72" t="s">
        <v>145</v>
      </c>
      <c r="B5" s="73">
        <v>35.480831226619998</v>
      </c>
      <c r="C5" s="73">
        <v>38.019513580270377</v>
      </c>
      <c r="D5" s="73">
        <v>41.346999936522465</v>
      </c>
      <c r="E5" s="73">
        <v>37.459105064849673</v>
      </c>
      <c r="F5" s="73">
        <v>41.219682902430243</v>
      </c>
      <c r="G5" s="73">
        <v>35.693951409521219</v>
      </c>
      <c r="H5" s="73">
        <v>35.833174801230612</v>
      </c>
      <c r="I5" s="73">
        <v>24.623368464197441</v>
      </c>
      <c r="J5" s="73">
        <v>15.75030113295008</v>
      </c>
      <c r="K5" s="73">
        <v>11.637459769463179</v>
      </c>
      <c r="L5" s="73">
        <v>16.194038733695912</v>
      </c>
      <c r="M5" s="73">
        <v>18.672076126649554</v>
      </c>
      <c r="N5" s="73">
        <v>61.083204629380461</v>
      </c>
      <c r="O5" s="73">
        <v>31.886693352410283</v>
      </c>
      <c r="P5" s="73">
        <v>39.859062946351983</v>
      </c>
      <c r="Q5" s="73">
        <v>71.229925902584881</v>
      </c>
      <c r="R5" s="73">
        <v>85.468249057830377</v>
      </c>
      <c r="S5" s="73">
        <v>87.754497826694134</v>
      </c>
      <c r="T5" s="73">
        <v>113.51123904197661</v>
      </c>
      <c r="U5" s="73">
        <v>48.299021129318255</v>
      </c>
      <c r="V5" s="73">
        <v>78.759498610720939</v>
      </c>
      <c r="W5" s="73">
        <v>81.037740322084233</v>
      </c>
      <c r="DA5" s="187" t="s">
        <v>970</v>
      </c>
    </row>
    <row r="6" spans="1:105" ht="11.45" customHeight="1" x14ac:dyDescent="0.25">
      <c r="A6" s="72" t="s">
        <v>146</v>
      </c>
      <c r="B6" s="73">
        <v>16.091926699891243</v>
      </c>
      <c r="C6" s="73">
        <v>11.2626917934628</v>
      </c>
      <c r="D6" s="73">
        <v>16.324980713400794</v>
      </c>
      <c r="E6" s="73">
        <v>19.339638705271597</v>
      </c>
      <c r="F6" s="73">
        <v>27.782954433621956</v>
      </c>
      <c r="G6" s="73">
        <v>13.991444547190129</v>
      </c>
      <c r="H6" s="73">
        <v>52.628584060310452</v>
      </c>
      <c r="I6" s="73">
        <v>76.844162641895068</v>
      </c>
      <c r="J6" s="73">
        <v>84.991841077100048</v>
      </c>
      <c r="K6" s="73">
        <v>74.35333039195055</v>
      </c>
      <c r="L6" s="73">
        <v>66.231803635487779</v>
      </c>
      <c r="M6" s="73">
        <v>52.961711429869681</v>
      </c>
      <c r="N6" s="73">
        <v>61.748622547995886</v>
      </c>
      <c r="O6" s="73">
        <v>139.06900658562668</v>
      </c>
      <c r="P6" s="73">
        <v>91.657587771595786</v>
      </c>
      <c r="Q6" s="73">
        <v>39.300133857301596</v>
      </c>
      <c r="R6" s="73">
        <v>16.508683838638007</v>
      </c>
      <c r="S6" s="73">
        <v>31.925960611335505</v>
      </c>
      <c r="T6" s="73">
        <v>0.25687788844536641</v>
      </c>
      <c r="U6" s="73">
        <v>12.542214441506736</v>
      </c>
      <c r="V6" s="73">
        <v>1.1099334637979839</v>
      </c>
      <c r="W6" s="73">
        <v>7.371026892761801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5.6133172973793348</v>
      </c>
      <c r="T8" s="73">
        <v>6.5239974091191399</v>
      </c>
      <c r="U8" s="73">
        <v>7.6744615368047526</v>
      </c>
      <c r="V8" s="73">
        <v>6.4004670896373508</v>
      </c>
      <c r="W8" s="73">
        <v>7.6064161683575673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52.494825908398482</v>
      </c>
      <c r="C10" s="71">
        <f t="shared" ref="C10:W10" si="2">SUM(C11:C15)</f>
        <v>50.230520335639127</v>
      </c>
      <c r="D10" s="71">
        <f t="shared" si="2"/>
        <v>59.157082118778362</v>
      </c>
      <c r="E10" s="71">
        <f t="shared" si="2"/>
        <v>54.030490967625909</v>
      </c>
      <c r="F10" s="71">
        <f t="shared" si="2"/>
        <v>79.179735836776715</v>
      </c>
      <c r="G10" s="71">
        <f t="shared" si="2"/>
        <v>68.791732160227596</v>
      </c>
      <c r="H10" s="71">
        <f t="shared" si="2"/>
        <v>120.09610872229378</v>
      </c>
      <c r="I10" s="71">
        <f t="shared" si="2"/>
        <v>140.35680251385583</v>
      </c>
      <c r="J10" s="71">
        <f t="shared" si="2"/>
        <v>145.1401449782559</v>
      </c>
      <c r="K10" s="71">
        <f t="shared" si="2"/>
        <v>133.0308779383283</v>
      </c>
      <c r="L10" s="71">
        <f t="shared" si="2"/>
        <v>133.17553338318086</v>
      </c>
      <c r="M10" s="71">
        <f t="shared" si="2"/>
        <v>110.92519782611186</v>
      </c>
      <c r="N10" s="71">
        <f t="shared" si="2"/>
        <v>268.50041701866832</v>
      </c>
      <c r="O10" s="71">
        <f t="shared" si="2"/>
        <v>236.66442044029492</v>
      </c>
      <c r="P10" s="71">
        <f t="shared" si="2"/>
        <v>182.22702941962746</v>
      </c>
      <c r="Q10" s="71">
        <f t="shared" si="2"/>
        <v>174.45368916530694</v>
      </c>
      <c r="R10" s="71">
        <f t="shared" si="2"/>
        <v>166.60621413706565</v>
      </c>
      <c r="S10" s="71">
        <f t="shared" si="2"/>
        <v>196.17191643999948</v>
      </c>
      <c r="T10" s="71">
        <f t="shared" si="2"/>
        <v>186.08982891067379</v>
      </c>
      <c r="U10" s="71">
        <f t="shared" si="2"/>
        <v>115.05824958196609</v>
      </c>
      <c r="V10" s="71">
        <f t="shared" si="2"/>
        <v>207.22244821331583</v>
      </c>
      <c r="W10" s="71">
        <f t="shared" si="2"/>
        <v>206.12737895557535</v>
      </c>
      <c r="DA10" s="186" t="s">
        <v>975</v>
      </c>
    </row>
    <row r="11" spans="1:105" ht="11.45" customHeight="1" x14ac:dyDescent="0.25">
      <c r="A11" s="72" t="s">
        <v>145</v>
      </c>
      <c r="B11" s="73">
        <v>6.9525307682209343</v>
      </c>
      <c r="C11" s="73">
        <v>7.4448028427734725</v>
      </c>
      <c r="D11" s="73">
        <v>8.1585890574586166</v>
      </c>
      <c r="E11" s="73">
        <v>6.9948932154598715</v>
      </c>
      <c r="F11" s="73">
        <v>9.2962242342851482</v>
      </c>
      <c r="G11" s="73">
        <v>9.7703650135226301</v>
      </c>
      <c r="H11" s="73">
        <v>9.6311416218132333</v>
      </c>
      <c r="I11" s="73">
        <v>6.6964939605660971</v>
      </c>
      <c r="J11" s="73">
        <v>4.456061721736079</v>
      </c>
      <c r="K11" s="73">
        <v>3.5173123715514403</v>
      </c>
      <c r="L11" s="73">
        <v>5.0226422637245474</v>
      </c>
      <c r="M11" s="73">
        <v>5.5755592989738361</v>
      </c>
      <c r="N11" s="73">
        <v>25.80415564577001</v>
      </c>
      <c r="O11" s="73">
        <v>8.5260323569620269</v>
      </c>
      <c r="P11" s="73">
        <v>10.656844190363405</v>
      </c>
      <c r="Q11" s="73">
        <v>21.719343228971443</v>
      </c>
      <c r="R11" s="73">
        <v>26.677064785677825</v>
      </c>
      <c r="S11" s="73">
        <v>25.401134159548359</v>
      </c>
      <c r="T11" s="73">
        <v>45.108709367309707</v>
      </c>
      <c r="U11" s="73">
        <v>15.351021862943135</v>
      </c>
      <c r="V11" s="73">
        <v>36.416769660990163</v>
      </c>
      <c r="W11" s="73">
        <v>33.128209806892571</v>
      </c>
      <c r="DA11" s="187" t="s">
        <v>976</v>
      </c>
    </row>
    <row r="12" spans="1:105" ht="11.45" customHeight="1" x14ac:dyDescent="0.25">
      <c r="A12" s="72" t="s">
        <v>146</v>
      </c>
      <c r="B12" s="73">
        <v>45.542295140177551</v>
      </c>
      <c r="C12" s="73">
        <v>42.785717492865658</v>
      </c>
      <c r="D12" s="73">
        <v>50.998493061319749</v>
      </c>
      <c r="E12" s="73">
        <v>47.035597752166041</v>
      </c>
      <c r="F12" s="73">
        <v>69.883511602491566</v>
      </c>
      <c r="G12" s="73">
        <v>59.021367146704961</v>
      </c>
      <c r="H12" s="73">
        <v>110.46496710048055</v>
      </c>
      <c r="I12" s="73">
        <v>133.66030855328972</v>
      </c>
      <c r="J12" s="73">
        <v>140.68408325651981</v>
      </c>
      <c r="K12" s="73">
        <v>129.51356556677686</v>
      </c>
      <c r="L12" s="73">
        <v>128.15289111945631</v>
      </c>
      <c r="M12" s="73">
        <v>105.34963852713803</v>
      </c>
      <c r="N12" s="73">
        <v>242.69626137289831</v>
      </c>
      <c r="O12" s="73">
        <v>228.1383880833329</v>
      </c>
      <c r="P12" s="73">
        <v>171.57018522926404</v>
      </c>
      <c r="Q12" s="73">
        <v>152.7343459363355</v>
      </c>
      <c r="R12" s="73">
        <v>139.92914935138782</v>
      </c>
      <c r="S12" s="73">
        <v>161.98203594928361</v>
      </c>
      <c r="T12" s="73">
        <v>130.88860792410833</v>
      </c>
      <c r="U12" s="73">
        <v>86.819522445853522</v>
      </c>
      <c r="V12" s="73">
        <v>155.43159706070765</v>
      </c>
      <c r="W12" s="73">
        <v>156.66955780199308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8.7887463311675269</v>
      </c>
      <c r="T14" s="73">
        <v>10.092511619255749</v>
      </c>
      <c r="U14" s="73">
        <v>12.887705273169448</v>
      </c>
      <c r="V14" s="73">
        <v>15.37408149161802</v>
      </c>
      <c r="W14" s="73">
        <v>16.32961134668972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1351.223827106199</v>
      </c>
      <c r="C19" s="62">
        <f>IF(C3=0,0,C3/MBunk_act!C7*100)</f>
        <v>1407.2993392531196</v>
      </c>
      <c r="D19" s="62">
        <f>IF(D3=0,0,D3/MBunk_act!D7*100)</f>
        <v>1420.1228607421388</v>
      </c>
      <c r="E19" s="62">
        <f>IF(E3=0,0,E3/MBunk_act!E7*100)</f>
        <v>965.17276553078216</v>
      </c>
      <c r="F19" s="62">
        <f>IF(F3=0,0,F3/MBunk_act!F7*100)</f>
        <v>1297.6992800662988</v>
      </c>
      <c r="G19" s="62">
        <f>IF(G3=0,0,G3/MBunk_act!G7*100)</f>
        <v>1188.8356725667609</v>
      </c>
      <c r="H19" s="62">
        <f>IF(H3=0,0,H3/MBunk_act!H7*100)</f>
        <v>2202.5925039045283</v>
      </c>
      <c r="I19" s="62">
        <f>IF(I3=0,0,I3/MBunk_act!I7*100)</f>
        <v>3144.4663237221994</v>
      </c>
      <c r="J19" s="62">
        <f>IF(J3=0,0,J3/MBunk_act!J7*100)</f>
        <v>4787.4901636821587</v>
      </c>
      <c r="K19" s="62">
        <f>IF(K3=0,0,K3/MBunk_act!K7*100)</f>
        <v>4083.19703391127</v>
      </c>
      <c r="L19" s="62">
        <f>IF(L3=0,0,L3/MBunk_act!L7*100)</f>
        <v>2937.8851879119134</v>
      </c>
      <c r="M19" s="62">
        <f>IF(M3=0,0,M3/MBunk_act!M7*100)</f>
        <v>2858.3808970698628</v>
      </c>
      <c r="N19" s="62">
        <f>IF(N3=0,0,N3/MBunk_act!N7*100)</f>
        <v>6803.6293962818818</v>
      </c>
      <c r="O19" s="62">
        <f>IF(O3=0,0,O3/MBunk_act!O7*100)</f>
        <v>7092.457352151172</v>
      </c>
      <c r="P19" s="62">
        <f>IF(P3=0,0,P3/MBunk_act!P7*100)</f>
        <v>6083.7690331290478</v>
      </c>
      <c r="Q19" s="62">
        <f>IF(Q3=0,0,Q3/MBunk_act!Q7*100)</f>
        <v>7574.6490724165369</v>
      </c>
      <c r="R19" s="62">
        <f>IF(R3=0,0,R3/MBunk_act!R7*100)</f>
        <v>7828.5431855639717</v>
      </c>
      <c r="S19" s="62">
        <f>IF(S3=0,0,S3/MBunk_act!S7*100)</f>
        <v>9338.9793127639405</v>
      </c>
      <c r="T19" s="62">
        <f>IF(T3=0,0,T3/MBunk_act!T7*100)</f>
        <v>8587.0148849489378</v>
      </c>
      <c r="U19" s="62">
        <f>IF(U3=0,0,U3/MBunk_act!U7*100)</f>
        <v>4799.9952591906631</v>
      </c>
      <c r="V19" s="62">
        <f>IF(V3=0,0,V3/MBunk_act!V7*100)</f>
        <v>8274.303189015729</v>
      </c>
      <c r="W19" s="62">
        <f>IF(W3=0,0,W3/MBunk_act!W7*100)</f>
        <v>8026.7126843985434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973.00903558606274</v>
      </c>
      <c r="C20" s="63">
        <f>IF(C4=0,0,C4/MBunk_act!C8*100)</f>
        <v>1013.2721896521572</v>
      </c>
      <c r="D20" s="63">
        <f>IF(D4=0,0,D4/MBunk_act!D8*100)</f>
        <v>1022.67488035227</v>
      </c>
      <c r="E20" s="63">
        <f>IF(E4=0,0,E4/MBunk_act!E8*100)</f>
        <v>663.07358178348647</v>
      </c>
      <c r="F20" s="63">
        <f>IF(F4=0,0,F4/MBunk_act!F8*100)</f>
        <v>889.89512839795998</v>
      </c>
      <c r="G20" s="63">
        <f>IF(G4=0,0,G4/MBunk_act!G8*100)</f>
        <v>815.27142007403165</v>
      </c>
      <c r="H20" s="63">
        <f>IF(H4=0,0,H4/MBunk_act!H8*100)</f>
        <v>1523.7541217115495</v>
      </c>
      <c r="I20" s="63">
        <f>IF(I4=0,0,I4/MBunk_act!I8*100)</f>
        <v>2116.6272049659765</v>
      </c>
      <c r="J20" s="63">
        <f>IF(J4=0,0,J4/MBunk_act!J8*100)</f>
        <v>3244.5103019240278</v>
      </c>
      <c r="K20" s="63">
        <f>IF(K4=0,0,K4/MBunk_act!K8*100)</f>
        <v>2818.1846836695818</v>
      </c>
      <c r="L20" s="63">
        <f>IF(L4=0,0,L4/MBunk_act!L8*100)</f>
        <v>2288.2064772358385</v>
      </c>
      <c r="M20" s="63">
        <f>IF(M4=0,0,M4/MBunk_act!M8*100)</f>
        <v>2387.1372515188905</v>
      </c>
      <c r="N20" s="63">
        <f>IF(N4=0,0,N4/MBunk_act!N8*100)</f>
        <v>5994.6534117663068</v>
      </c>
      <c r="O20" s="63">
        <f>IF(O4=0,0,O4/MBunk_act!O8*100)</f>
        <v>5826.8043127492829</v>
      </c>
      <c r="P20" s="63">
        <f>IF(P4=0,0,P4/MBunk_act!P8*100)</f>
        <v>4968.382073398373</v>
      </c>
      <c r="Q20" s="63">
        <f>IF(Q4=0,0,Q4/MBunk_act!Q8*100)</f>
        <v>6289.1254894019494</v>
      </c>
      <c r="R20" s="63">
        <f>IF(R4=0,0,R4/MBunk_act!R8*100)</f>
        <v>6538.8103916523069</v>
      </c>
      <c r="S20" s="63">
        <f>IF(S4=0,0,S4/MBunk_act!S8*100)</f>
        <v>7747.014081680275</v>
      </c>
      <c r="T20" s="63">
        <f>IF(T4=0,0,T4/MBunk_act!T8*100)</f>
        <v>7068.6387095063919</v>
      </c>
      <c r="U20" s="63">
        <f>IF(U4=0,0,U4/MBunk_act!U8*100)</f>
        <v>4002.9034620179218</v>
      </c>
      <c r="V20" s="63">
        <f>IF(V4=0,0,V4/MBunk_act!V8*100)</f>
        <v>6478.4360392924154</v>
      </c>
      <c r="W20" s="63">
        <f>IF(W4=0,0,W4/MBunk_act!W8*100)</f>
        <v>5997.0134213924357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2186.017433579058</v>
      </c>
      <c r="C21" s="64">
        <f>IF(C10=0,0,C10/MBunk_act!C9*100)</f>
        <v>2275.4327982205846</v>
      </c>
      <c r="D21" s="64">
        <f>IF(D10=0,0,D10/MBunk_act!D9*100)</f>
        <v>2286.3877511741061</v>
      </c>
      <c r="E21" s="64">
        <f>IF(E10=0,0,E10/MBunk_act!E9*100)</f>
        <v>1852.3511916110444</v>
      </c>
      <c r="F21" s="64">
        <f>IF(F10=0,0,F10/MBunk_act!F9*100)</f>
        <v>2160.5272117857648</v>
      </c>
      <c r="G21" s="64">
        <f>IF(G10=0,0,G10/MBunk_act!G9*100)</f>
        <v>1776.8873602206188</v>
      </c>
      <c r="H21" s="64">
        <f>IF(H10=0,0,H10/MBunk_act!H9*100)</f>
        <v>3278.4202995195706</v>
      </c>
      <c r="I21" s="64">
        <f>IF(I10=0,0,I10/MBunk_act!I9*100)</f>
        <v>4845.5004972604765</v>
      </c>
      <c r="J21" s="64">
        <f>IF(J10=0,0,J10/MBunk_act!J9*100)</f>
        <v>7146.4868300855214</v>
      </c>
      <c r="K21" s="64">
        <f>IF(K10=0,0,K10/MBunk_act!K9*100)</f>
        <v>5752.2090247351698</v>
      </c>
      <c r="L21" s="64">
        <f>IF(L10=0,0,L10/MBunk_act!L9*100)</f>
        <v>3564.2205711289216</v>
      </c>
      <c r="M21" s="64">
        <f>IF(M10=0,0,M10/MBunk_act!M9*100)</f>
        <v>3276.0213334870614</v>
      </c>
      <c r="N21" s="64">
        <f>IF(N10=0,0,N10/MBunk_act!N9*100)</f>
        <v>7251.2942802546168</v>
      </c>
      <c r="O21" s="64">
        <f>IF(O10=0,0,O10/MBunk_act!O9*100)</f>
        <v>8412.3989192794797</v>
      </c>
      <c r="P21" s="64">
        <f>IF(P10=0,0,P10/MBunk_act!P9*100)</f>
        <v>7260.0728297864034</v>
      </c>
      <c r="Q21" s="64">
        <f>IF(Q10=0,0,Q10/MBunk_act!Q9*100)</f>
        <v>8701.5527374424673</v>
      </c>
      <c r="R21" s="64">
        <f>IF(R10=0,0,R10/MBunk_act!R9*100)</f>
        <v>8903.4479072636095</v>
      </c>
      <c r="S21" s="64">
        <f>IF(S10=0,0,S10/MBunk_act!S9*100)</f>
        <v>10749.876508869616</v>
      </c>
      <c r="T21" s="64">
        <f>IF(T10=0,0,T10/MBunk_act!T9*100)</f>
        <v>9971.612248160096</v>
      </c>
      <c r="U21" s="64">
        <f>IF(U10=0,0,U10/MBunk_act!U9*100)</f>
        <v>5445.7426424780106</v>
      </c>
      <c r="V21" s="64">
        <f>IF(V10=0,0,V10/MBunk_act!V9*100)</f>
        <v>9353.7809968784604</v>
      </c>
      <c r="W21" s="64">
        <f>IF(W10=0,0,W10/MBunk_act!W9*100)</f>
        <v>9528.9804307662143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1.47179175070331</v>
      </c>
      <c r="C23" s="62">
        <f>IF(C3=0,0,C3/MBunk_act!C3*1000)</f>
        <v>1.4943317162362717</v>
      </c>
      <c r="D23" s="62">
        <f>IF(D3=0,0,D3/MBunk_act!D3*1000)</f>
        <v>1.4890403016784841</v>
      </c>
      <c r="E23" s="62">
        <f>IF(E3=0,0,E3/MBunk_act!E3*1000)</f>
        <v>1.6889145757519404</v>
      </c>
      <c r="F23" s="62">
        <f>IF(F3=0,0,F3/MBunk_act!F3*1000)</f>
        <v>1.7592712857463344</v>
      </c>
      <c r="G23" s="62">
        <f>IF(G3=0,0,G3/MBunk_act!G3*1000)</f>
        <v>1.3126208218778934</v>
      </c>
      <c r="H23" s="62">
        <f>IF(H3=0,0,H3/MBunk_act!H3*1000)</f>
        <v>2.2911364234059861</v>
      </c>
      <c r="I23" s="62">
        <f>IF(I3=0,0,I3/MBunk_act!I3*1000)</f>
        <v>2.6728008921524147</v>
      </c>
      <c r="J23" s="62">
        <f>IF(J3=0,0,J3/MBunk_act!J3*1000)</f>
        <v>3.254624623319466</v>
      </c>
      <c r="K23" s="62">
        <f>IF(K3=0,0,K3/MBunk_act!K3*1000)</f>
        <v>2.519699469023716</v>
      </c>
      <c r="L23" s="62">
        <f>IF(L3=0,0,L3/MBunk_act!L3*1000)</f>
        <v>1.983735719591869</v>
      </c>
      <c r="M23" s="62">
        <f>IF(M3=0,0,M3/MBunk_act!M3*1000)</f>
        <v>1.6982606556801159</v>
      </c>
      <c r="N23" s="62">
        <f>IF(N3=0,0,N3/MBunk_act!N3*1000)</f>
        <v>3.4400267903481754</v>
      </c>
      <c r="O23" s="62">
        <f>IF(O3=0,0,O3/MBunk_act!O3*1000)</f>
        <v>4.2605054583326991</v>
      </c>
      <c r="P23" s="62">
        <f>IF(P3=0,0,P3/MBunk_act!P3*1000)</f>
        <v>3.6088211261483534</v>
      </c>
      <c r="Q23" s="62">
        <f>IF(Q3=0,0,Q3/MBunk_act!Q3*1000)</f>
        <v>4.2516460542503651</v>
      </c>
      <c r="R23" s="62">
        <f>IF(R3=0,0,R3/MBunk_act!R3*1000)</f>
        <v>4.3054607410631487</v>
      </c>
      <c r="S23" s="62">
        <f>IF(S3=0,0,S3/MBunk_act!S3*1000)</f>
        <v>5.0323515958006979</v>
      </c>
      <c r="T23" s="62">
        <f>IF(T3=0,0,T3/MBunk_act!T3*1000)</f>
        <v>4.681703392687008</v>
      </c>
      <c r="U23" s="62">
        <f>IF(U3=0,0,U3/MBunk_act!U3*1000)</f>
        <v>2.5094584109351588</v>
      </c>
      <c r="V23" s="62">
        <f>IF(V3=0,0,V3/MBunk_act!V3*1000)</f>
        <v>3.7933522637964545</v>
      </c>
      <c r="W23" s="62">
        <f>IF(W3=0,0,W3/MBunk_act!W3*1000)</f>
        <v>3.9015286452661821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1.8281947861275021</v>
      </c>
      <c r="C24" s="63">
        <f>IF(C4=0,0,C4/MBunk_act!C4*1000)</f>
        <v>1.8789896079087178</v>
      </c>
      <c r="D24" s="63">
        <f>IF(D4=0,0,D4/MBunk_act!D4*1000)</f>
        <v>1.8669154686264353</v>
      </c>
      <c r="E24" s="63">
        <f>IF(E4=0,0,E4/MBunk_act!E4*1000)</f>
        <v>1.8043802213409688</v>
      </c>
      <c r="F24" s="63">
        <f>IF(F4=0,0,F4/MBunk_act!F4*1000)</f>
        <v>2.3178544205542733</v>
      </c>
      <c r="G24" s="63">
        <f>IF(G4=0,0,G4/MBunk_act!G4*1000)</f>
        <v>1.985174160310738</v>
      </c>
      <c r="H24" s="63">
        <f>IF(H4=0,0,H4/MBunk_act!H4*1000)</f>
        <v>3.3901095353190653</v>
      </c>
      <c r="I24" s="63">
        <f>IF(I4=0,0,I4/MBunk_act!I4*1000)</f>
        <v>4.7937186280053776</v>
      </c>
      <c r="J24" s="63">
        <f>IF(J4=0,0,J4/MBunk_act!J4*1000)</f>
        <v>6.3977054135811118</v>
      </c>
      <c r="K24" s="63">
        <f>IF(K4=0,0,K4/MBunk_act!K4*1000)</f>
        <v>5.0798479597396007</v>
      </c>
      <c r="L24" s="63">
        <f>IF(L4=0,0,L4/MBunk_act!L4*1000)</f>
        <v>4.0638300536306664</v>
      </c>
      <c r="M24" s="63">
        <f>IF(M4=0,0,M4/MBunk_act!M4*1000)</f>
        <v>3.322730105251877</v>
      </c>
      <c r="N24" s="63">
        <f>IF(N4=0,0,N4/MBunk_act!N4*1000)</f>
        <v>8.1844741197149737</v>
      </c>
      <c r="O24" s="63">
        <f>IF(O4=0,0,O4/MBunk_act!O4*1000)</f>
        <v>7.8907361109465217</v>
      </c>
      <c r="P24" s="63">
        <f>IF(P4=0,0,P4/MBunk_act!P4*1000)</f>
        <v>6.6320477098387194</v>
      </c>
      <c r="Q24" s="63">
        <f>IF(Q4=0,0,Q4/MBunk_act!Q4*1000)</f>
        <v>8.3742279744089725</v>
      </c>
      <c r="R24" s="63">
        <f>IF(R4=0,0,R4/MBunk_act!R4*1000)</f>
        <v>8.6015028321681424</v>
      </c>
      <c r="S24" s="63">
        <f>IF(S4=0,0,S4/MBunk_act!S4*1000)</f>
        <v>10.062540871106991</v>
      </c>
      <c r="T24" s="63">
        <f>IF(T4=0,0,T4/MBunk_act!T4*1000)</f>
        <v>9.051613565494943</v>
      </c>
      <c r="U24" s="63">
        <f>IF(U4=0,0,U4/MBunk_act!U4*1000)</f>
        <v>5.1987572628307026</v>
      </c>
      <c r="V24" s="63">
        <f>IF(V4=0,0,V4/MBunk_act!V4*1000)</f>
        <v>7.7937326835193605</v>
      </c>
      <c r="W24" s="63">
        <f>IF(W4=0,0,W4/MBunk_act!W4*1000)</f>
        <v>7.5678691845435484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1.2352180725593265</v>
      </c>
      <c r="C25" s="64">
        <f>IF(C10=0,0,C10/MBunk_act!C5*1000)</f>
        <v>1.2443945572887221</v>
      </c>
      <c r="D25" s="64">
        <f>IF(D10=0,0,D10/MBunk_act!D5*1000)</f>
        <v>1.2436393346000709</v>
      </c>
      <c r="E25" s="64">
        <f>IF(E10=0,0,E10/MBunk_act!E5*1000)</f>
        <v>1.5824616181811404</v>
      </c>
      <c r="F25" s="64">
        <f>IF(F10=0,0,F10/MBunk_act!F5*1000)</f>
        <v>1.453923449796982</v>
      </c>
      <c r="G25" s="64">
        <f>IF(G10=0,0,G10/MBunk_act!G5*1000)</f>
        <v>1.054574394073754</v>
      </c>
      <c r="H25" s="64">
        <f>IF(H10=0,0,H10/MBunk_act!H5*1000)</f>
        <v>1.8495086832778667</v>
      </c>
      <c r="I25" s="64">
        <f>IF(I10=0,0,I10/MBunk_act!I5*1000)</f>
        <v>2.0250809139018515</v>
      </c>
      <c r="J25" s="64">
        <f>IF(J10=0,0,J10/MBunk_act!J5*1000)</f>
        <v>2.4270123524802987</v>
      </c>
      <c r="K25" s="64">
        <f>IF(K10=0,0,K10/MBunk_act!K5*1000)</f>
        <v>1.9005524531703959</v>
      </c>
      <c r="L25" s="64">
        <f>IF(L10=0,0,L10/MBunk_act!L5*1000)</f>
        <v>1.5064811089896255</v>
      </c>
      <c r="M25" s="64">
        <f>IF(M10=0,0,M10/MBunk_act!M5*1000)</f>
        <v>1.2907447588765033</v>
      </c>
      <c r="N25" s="64">
        <f>IF(N10=0,0,N10/MBunk_act!N5*1000)</f>
        <v>2.7189755872745076</v>
      </c>
      <c r="O25" s="64">
        <f>IF(O10=0,0,O10/MBunk_act!O5*1000)</f>
        <v>3.1977895306801694</v>
      </c>
      <c r="P25" s="64">
        <f>IF(P10=0,0,P10/MBunk_act!P5*1000)</f>
        <v>2.7154486080790887</v>
      </c>
      <c r="Q25" s="64">
        <f>IF(Q10=0,0,Q10/MBunk_act!Q5*1000)</f>
        <v>3.2408142437681642</v>
      </c>
      <c r="R25" s="64">
        <f>IF(R10=0,0,R10/MBunk_act!R5*1000)</f>
        <v>3.2974180021493673</v>
      </c>
      <c r="S25" s="64">
        <f>IF(S10=0,0,S10/MBunk_act!S5*1000)</f>
        <v>3.8144732570820139</v>
      </c>
      <c r="T25" s="64">
        <f>IF(T10=0,0,T10/MBunk_act!T5*1000)</f>
        <v>3.568163513641061</v>
      </c>
      <c r="U25" s="64">
        <f>IF(U10=0,0,U10/MBunk_act!U5*1000)</f>
        <v>1.9184825959993028</v>
      </c>
      <c r="V25" s="64">
        <f>IF(V10=0,0,V10/MBunk_act!V5*1000)</f>
        <v>3.1254779810906155</v>
      </c>
      <c r="W25" s="64">
        <f>IF(W10=0,0,W10/MBunk_act!W5*1000)</f>
        <v>3.1831943861445113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0.49556985975887563</v>
      </c>
      <c r="C28" s="77">
        <f t="shared" si="3"/>
        <v>0.49523520758201561</v>
      </c>
      <c r="D28" s="77">
        <f t="shared" si="3"/>
        <v>0.49364412658263246</v>
      </c>
      <c r="E28" s="77">
        <f t="shared" si="3"/>
        <v>0.51248882034169874</v>
      </c>
      <c r="F28" s="77">
        <f t="shared" si="3"/>
        <v>0.4656602256975102</v>
      </c>
      <c r="G28" s="77">
        <f t="shared" si="3"/>
        <v>0.41936698455140653</v>
      </c>
      <c r="H28" s="77">
        <f t="shared" si="3"/>
        <v>0.42415929874226271</v>
      </c>
      <c r="I28" s="77">
        <f t="shared" si="3"/>
        <v>0.4195918979169363</v>
      </c>
      <c r="J28" s="77">
        <f t="shared" si="3"/>
        <v>0.40971695587367768</v>
      </c>
      <c r="K28" s="77">
        <f t="shared" si="3"/>
        <v>0.39261316429319537</v>
      </c>
      <c r="L28" s="77">
        <f t="shared" si="3"/>
        <v>0.38230666238352939</v>
      </c>
      <c r="M28" s="77">
        <f t="shared" si="3"/>
        <v>0.39238708194165162</v>
      </c>
      <c r="N28" s="77">
        <f t="shared" si="3"/>
        <v>0.31388118152574623</v>
      </c>
      <c r="O28" s="77">
        <f t="shared" si="3"/>
        <v>0.41939956197295841</v>
      </c>
      <c r="P28" s="77">
        <f t="shared" si="3"/>
        <v>0.41918501963219879</v>
      </c>
      <c r="Q28" s="77">
        <f t="shared" si="3"/>
        <v>0.38784688662685807</v>
      </c>
      <c r="R28" s="77">
        <f t="shared" si="3"/>
        <v>0.37968477926776256</v>
      </c>
      <c r="S28" s="77">
        <f t="shared" si="3"/>
        <v>0.38975784596958535</v>
      </c>
      <c r="T28" s="77">
        <f t="shared" si="3"/>
        <v>0.39262142234440156</v>
      </c>
      <c r="U28" s="77">
        <f t="shared" si="3"/>
        <v>0.3732321407431663</v>
      </c>
      <c r="V28" s="77">
        <f t="shared" si="3"/>
        <v>0.29394258465349743</v>
      </c>
      <c r="W28" s="77">
        <f t="shared" si="3"/>
        <v>0.3177810588484587</v>
      </c>
      <c r="DA28" s="184"/>
    </row>
    <row r="29" spans="1:105" ht="11.45" customHeight="1" x14ac:dyDescent="0.25">
      <c r="A29" s="57" t="s">
        <v>171</v>
      </c>
      <c r="B29" s="78">
        <f>IF(B10=0,0,B10/B$3)</f>
        <v>0.50443014024112443</v>
      </c>
      <c r="C29" s="78">
        <f t="shared" ref="C29:W29" si="4">IF(C10=0,0,C10/C$3)</f>
        <v>0.50476479241798433</v>
      </c>
      <c r="D29" s="78">
        <f t="shared" si="4"/>
        <v>0.50635587341736754</v>
      </c>
      <c r="E29" s="78">
        <f t="shared" si="4"/>
        <v>0.48751117965830126</v>
      </c>
      <c r="F29" s="78">
        <f t="shared" si="4"/>
        <v>0.53433977430248969</v>
      </c>
      <c r="G29" s="78">
        <f t="shared" si="4"/>
        <v>0.58063301544859347</v>
      </c>
      <c r="H29" s="78">
        <f t="shared" si="4"/>
        <v>0.57584070125773734</v>
      </c>
      <c r="I29" s="78">
        <f t="shared" si="4"/>
        <v>0.5804081020830637</v>
      </c>
      <c r="J29" s="78">
        <f t="shared" si="4"/>
        <v>0.59028304412632226</v>
      </c>
      <c r="K29" s="78">
        <f t="shared" si="4"/>
        <v>0.60738683570680463</v>
      </c>
      <c r="L29" s="78">
        <f t="shared" si="4"/>
        <v>0.61769333761647061</v>
      </c>
      <c r="M29" s="78">
        <f t="shared" si="4"/>
        <v>0.60761291805834849</v>
      </c>
      <c r="N29" s="78">
        <f t="shared" si="4"/>
        <v>0.68611881847425382</v>
      </c>
      <c r="O29" s="78">
        <f t="shared" si="4"/>
        <v>0.58060043802704164</v>
      </c>
      <c r="P29" s="78">
        <f t="shared" si="4"/>
        <v>0.58081498036780121</v>
      </c>
      <c r="Q29" s="78">
        <f t="shared" si="4"/>
        <v>0.61215311337314193</v>
      </c>
      <c r="R29" s="78">
        <f t="shared" si="4"/>
        <v>0.62031522073223744</v>
      </c>
      <c r="S29" s="78">
        <f t="shared" si="4"/>
        <v>0.61024215403041471</v>
      </c>
      <c r="T29" s="78">
        <f t="shared" si="4"/>
        <v>0.60737857765559833</v>
      </c>
      <c r="U29" s="78">
        <f t="shared" si="4"/>
        <v>0.62676785925683365</v>
      </c>
      <c r="V29" s="78">
        <f t="shared" si="4"/>
        <v>0.70605741534650246</v>
      </c>
      <c r="W29" s="78">
        <f t="shared" si="4"/>
        <v>0.68221894115154136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331.37688384000006</v>
      </c>
      <c r="C3" s="62">
        <f t="shared" ref="C3:W3" si="1">SUM(C4:C5)</f>
        <v>316.19771711999999</v>
      </c>
      <c r="D3" s="62">
        <f t="shared" si="1"/>
        <v>371.75438808000001</v>
      </c>
      <c r="E3" s="62">
        <f t="shared" si="1"/>
        <v>353.00939615999999</v>
      </c>
      <c r="F3" s="62">
        <f t="shared" si="1"/>
        <v>473.21780904000019</v>
      </c>
      <c r="G3" s="62">
        <f t="shared" si="1"/>
        <v>377.65344096000001</v>
      </c>
      <c r="H3" s="62">
        <f t="shared" si="1"/>
        <v>669.56757192000009</v>
      </c>
      <c r="I3" s="62">
        <f t="shared" si="1"/>
        <v>779.32458287999998</v>
      </c>
      <c r="J3" s="62">
        <f t="shared" si="1"/>
        <v>794.01020903999995</v>
      </c>
      <c r="K3" s="62">
        <f t="shared" si="1"/>
        <v>707.66408808000006</v>
      </c>
      <c r="L3" s="62">
        <f t="shared" si="1"/>
        <v>695.7428061600001</v>
      </c>
      <c r="M3" s="62">
        <f t="shared" si="1"/>
        <v>588.24742103999995</v>
      </c>
      <c r="N3" s="62">
        <f t="shared" si="1"/>
        <v>1256.1399561600001</v>
      </c>
      <c r="O3" s="62">
        <f t="shared" si="1"/>
        <v>1315.3433140800003</v>
      </c>
      <c r="P3" s="62">
        <f t="shared" si="1"/>
        <v>1009.73299896</v>
      </c>
      <c r="Q3" s="62">
        <f t="shared" si="1"/>
        <v>910.67126903999997</v>
      </c>
      <c r="R3" s="62">
        <f t="shared" si="1"/>
        <v>854.87154408000026</v>
      </c>
      <c r="S3" s="62">
        <f t="shared" si="1"/>
        <v>1013.2586481600003</v>
      </c>
      <c r="T3" s="62">
        <f t="shared" si="1"/>
        <v>956.1221380799999</v>
      </c>
      <c r="U3" s="62">
        <f t="shared" si="1"/>
        <v>567.75537575999999</v>
      </c>
      <c r="V3" s="62">
        <f t="shared" si="1"/>
        <v>915.7548204000002</v>
      </c>
      <c r="W3" s="62">
        <f t="shared" si="1"/>
        <v>941.99856983999985</v>
      </c>
      <c r="DA3" s="172" t="s">
        <v>985</v>
      </c>
    </row>
    <row r="4" spans="1:105" ht="11.45" customHeight="1" x14ac:dyDescent="0.25">
      <c r="A4" s="55" t="s">
        <v>170</v>
      </c>
      <c r="B4" s="63">
        <v>162.22362515639196</v>
      </c>
      <c r="C4" s="63">
        <v>154.45014351095955</v>
      </c>
      <c r="D4" s="63">
        <v>181.17816816683674</v>
      </c>
      <c r="E4" s="63">
        <v>178.88554006673775</v>
      </c>
      <c r="F4" s="63">
        <v>217.913694550499</v>
      </c>
      <c r="G4" s="63">
        <v>156.0780260425411</v>
      </c>
      <c r="H4" s="63">
        <v>281.71682051265407</v>
      </c>
      <c r="I4" s="63">
        <v>325.41190371804612</v>
      </c>
      <c r="J4" s="63">
        <v>324.28716267204607</v>
      </c>
      <c r="K4" s="63">
        <v>277.05242730523065</v>
      </c>
      <c r="L4" s="63">
        <v>264.87036038220702</v>
      </c>
      <c r="M4" s="63">
        <v>229.55543231323247</v>
      </c>
      <c r="N4" s="63">
        <v>389.60723125861375</v>
      </c>
      <c r="O4" s="63">
        <v>549.59056330842395</v>
      </c>
      <c r="P4" s="63">
        <v>420.68354532030463</v>
      </c>
      <c r="Q4" s="63">
        <v>348.34041477850911</v>
      </c>
      <c r="R4" s="63">
        <v>318.65606618169716</v>
      </c>
      <c r="S4" s="63">
        <v>388.89446592188528</v>
      </c>
      <c r="T4" s="63">
        <v>368.31536737462227</v>
      </c>
      <c r="U4" s="63">
        <v>208.51361593358536</v>
      </c>
      <c r="V4" s="63">
        <v>262.97516472208741</v>
      </c>
      <c r="W4" s="63">
        <v>293.16534574305848</v>
      </c>
      <c r="DA4" s="181" t="s">
        <v>986</v>
      </c>
    </row>
    <row r="5" spans="1:105" ht="11.45" customHeight="1" x14ac:dyDescent="0.25">
      <c r="A5" s="57" t="s">
        <v>171</v>
      </c>
      <c r="B5" s="64">
        <v>169.1532586836081</v>
      </c>
      <c r="C5" s="64">
        <v>161.74757360904044</v>
      </c>
      <c r="D5" s="64">
        <v>190.57621991316327</v>
      </c>
      <c r="E5" s="64">
        <v>174.12385609326225</v>
      </c>
      <c r="F5" s="64">
        <v>255.30411448950119</v>
      </c>
      <c r="G5" s="64">
        <v>221.57541491745894</v>
      </c>
      <c r="H5" s="64">
        <v>387.85075140734597</v>
      </c>
      <c r="I5" s="64">
        <v>453.91267916195386</v>
      </c>
      <c r="J5" s="64">
        <v>469.72304636795388</v>
      </c>
      <c r="K5" s="64">
        <v>430.61166077476946</v>
      </c>
      <c r="L5" s="64">
        <v>430.87244577779308</v>
      </c>
      <c r="M5" s="64">
        <v>358.69198872676748</v>
      </c>
      <c r="N5" s="64">
        <v>866.53272490138647</v>
      </c>
      <c r="O5" s="64">
        <v>765.7527507715763</v>
      </c>
      <c r="P5" s="64">
        <v>589.04945363969546</v>
      </c>
      <c r="Q5" s="64">
        <v>562.33085426149091</v>
      </c>
      <c r="R5" s="64">
        <v>536.21547789830311</v>
      </c>
      <c r="S5" s="64">
        <v>624.36418223811506</v>
      </c>
      <c r="T5" s="64">
        <v>587.80677070537763</v>
      </c>
      <c r="U5" s="64">
        <v>359.24175982641464</v>
      </c>
      <c r="V5" s="64">
        <v>652.77965567791273</v>
      </c>
      <c r="W5" s="64">
        <v>648.83322409694142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3.1842469252066836</v>
      </c>
      <c r="C9" s="79">
        <f>IF(C3=0,0,C3/MBunk_ene!C3)</f>
        <v>3.1774601174472692</v>
      </c>
      <c r="D9" s="79">
        <f>IF(D3=0,0,D3/MBunk_ene!D3)</f>
        <v>3.1820368945011568</v>
      </c>
      <c r="E9" s="79">
        <f>IF(E3=0,0,E3/MBunk_ene!E3)</f>
        <v>3.1851649701932749</v>
      </c>
      <c r="F9" s="79">
        <f>IF(F3=0,0,F3/MBunk_ene!F3)</f>
        <v>3.1934824561628123</v>
      </c>
      <c r="G9" s="79">
        <f>IF(G3=0,0,G3/MBunk_ene!G3)</f>
        <v>3.1875641059365454</v>
      </c>
      <c r="H9" s="79">
        <f>IF(H3=0,0,H3/MBunk_ene!H3)</f>
        <v>3.210464221163229</v>
      </c>
      <c r="I9" s="79">
        <f>IF(I3=0,0,I3/MBunk_ene!I3)</f>
        <v>3.2226888469577601</v>
      </c>
      <c r="J9" s="79">
        <f>IF(J3=0,0,J3/MBunk_ene!J3)</f>
        <v>3.2292289864373869</v>
      </c>
      <c r="K9" s="79">
        <f>IF(K3=0,0,K3/MBunk_ene!K3)</f>
        <v>3.2310231869740451</v>
      </c>
      <c r="L9" s="79">
        <f>IF(L3=0,0,L3/MBunk_ene!L3)</f>
        <v>3.2269868581873817</v>
      </c>
      <c r="M9" s="79">
        <f>IF(M3=0,0,M3/MBunk_ene!M3)</f>
        <v>3.2222320901218517</v>
      </c>
      <c r="N9" s="79">
        <f>IF(N3=0,0,N3/MBunk_ene!N3)</f>
        <v>3.2099066069565048</v>
      </c>
      <c r="O9" s="79">
        <f>IF(O3=0,0,O3/MBunk_ene!O3)</f>
        <v>3.2268851519379531</v>
      </c>
      <c r="P9" s="79">
        <f>IF(P3=0,0,P3/MBunk_ene!P3)</f>
        <v>3.2183373335750911</v>
      </c>
      <c r="Q9" s="79">
        <f>IF(Q3=0,0,Q3/MBunk_ene!Q3)</f>
        <v>3.1955199988580607</v>
      </c>
      <c r="R9" s="79">
        <f>IF(R3=0,0,R3/MBunk_ene!R3)</f>
        <v>3.1828934671514033</v>
      </c>
      <c r="S9" s="79">
        <f>IF(S3=0,0,S3/MBunk_ene!S3)</f>
        <v>3.1519962248634408</v>
      </c>
      <c r="T9" s="79">
        <f>IF(T3=0,0,T3/MBunk_ene!T3)</f>
        <v>3.1206869697903752</v>
      </c>
      <c r="U9" s="79">
        <f>IF(U3=0,0,U3/MBunk_ene!U3)</f>
        <v>3.092788415776746</v>
      </c>
      <c r="V9" s="79">
        <f>IF(V3=0,0,V3/MBunk_ene!V3)</f>
        <v>3.120199993569889</v>
      </c>
      <c r="W9" s="79">
        <f>IF(W3=0,0,W3/MBunk_ene!W3)</f>
        <v>3.117728805065799</v>
      </c>
      <c r="DA9" s="172"/>
    </row>
    <row r="10" spans="1:105" ht="11.45" customHeight="1" x14ac:dyDescent="0.25">
      <c r="A10" s="55" t="s">
        <v>170</v>
      </c>
      <c r="B10" s="80">
        <f>IF(B4=0,0,B4/MBunk_ene!B4)</f>
        <v>3.1455293778849871</v>
      </c>
      <c r="C10" s="80">
        <f>IF(C4=0,0,C4/MBunk_ene!C4)</f>
        <v>3.1339941534613143</v>
      </c>
      <c r="D10" s="80">
        <f>IF(D4=0,0,D4/MBunk_ene!D4)</f>
        <v>3.1415284532468686</v>
      </c>
      <c r="E10" s="80">
        <f>IF(E4=0,0,E4/MBunk_ene!E4)</f>
        <v>3.1494629668348351</v>
      </c>
      <c r="F10" s="80">
        <f>IF(F4=0,0,F4/MBunk_ene!F4)</f>
        <v>3.1580487784724771</v>
      </c>
      <c r="G10" s="80">
        <f>IF(G4=0,0,G4/MBunk_ene!G4)</f>
        <v>3.1413259980563479</v>
      </c>
      <c r="H10" s="80">
        <f>IF(H4=0,0,H4/MBunk_ene!H4)</f>
        <v>3.1846169931302493</v>
      </c>
      <c r="I10" s="80">
        <f>IF(I4=0,0,I4/MBunk_ene!I4)</f>
        <v>3.2070545145895157</v>
      </c>
      <c r="J10" s="80">
        <f>IF(J4=0,0,J4/MBunk_ene!J4)</f>
        <v>3.2189822010723024</v>
      </c>
      <c r="K10" s="80">
        <f>IF(K4=0,0,K4/MBunk_ene!K4)</f>
        <v>3.2218848877324442</v>
      </c>
      <c r="L10" s="80">
        <f>IF(L4=0,0,L4/MBunk_ene!L4)</f>
        <v>3.2134383194515377</v>
      </c>
      <c r="M10" s="80">
        <f>IF(M4=0,0,M4/MBunk_ene!M4)</f>
        <v>3.2045692423022119</v>
      </c>
      <c r="N10" s="80">
        <f>IF(N4=0,0,N4/MBunk_ene!N4)</f>
        <v>3.1718752395989203</v>
      </c>
      <c r="O10" s="80">
        <f>IF(O4=0,0,O4/MBunk_ene!O4)</f>
        <v>3.2148127468556096</v>
      </c>
      <c r="P10" s="80">
        <f>IF(P4=0,0,P4/MBunk_ene!P4)</f>
        <v>3.1987093879276762</v>
      </c>
      <c r="Q10" s="80">
        <f>IF(Q4=0,0,Q4/MBunk_ene!Q4)</f>
        <v>3.1515446163264325</v>
      </c>
      <c r="R10" s="80">
        <f>IF(R4=0,0,R4/MBunk_ene!R4)</f>
        <v>3.1247857444899942</v>
      </c>
      <c r="S10" s="80">
        <f>IF(S4=0,0,S4/MBunk_ene!S4)</f>
        <v>3.1038610149568728</v>
      </c>
      <c r="T10" s="80">
        <f>IF(T4=0,0,T4/MBunk_ene!T4)</f>
        <v>3.061841330139075</v>
      </c>
      <c r="U10" s="80">
        <f>IF(U4=0,0,U4/MBunk_ene!U4)</f>
        <v>3.0432970069039227</v>
      </c>
      <c r="V10" s="80">
        <f>IF(V4=0,0,V4/MBunk_ene!V4)</f>
        <v>3.0482841323564371</v>
      </c>
      <c r="W10" s="80">
        <f>IF(W4=0,0,W4/MBunk_ene!W4)</f>
        <v>3.0533227705561337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3.2222844014908105</v>
      </c>
      <c r="C11" s="81">
        <f>IF(C5=0,0,C5/MBunk_ene!C10)</f>
        <v>3.2201054762771131</v>
      </c>
      <c r="D11" s="81">
        <f>IF(D5=0,0,D5/MBunk_ene!D10)</f>
        <v>3.2215283967271309</v>
      </c>
      <c r="E11" s="81">
        <f>IF(E5=0,0,E5/MBunk_ene!E10)</f>
        <v>3.2226961660887756</v>
      </c>
      <c r="F11" s="81">
        <f>IF(F5=0,0,F5/MBunk_ene!F10)</f>
        <v>3.2243617864019161</v>
      </c>
      <c r="G11" s="81">
        <f>IF(G5=0,0,G5/MBunk_ene!G10)</f>
        <v>3.2209599607315056</v>
      </c>
      <c r="H11" s="81">
        <f>IF(H5=0,0,H5/MBunk_ene!H10)</f>
        <v>3.2295030666164135</v>
      </c>
      <c r="I11" s="81">
        <f>IF(I5=0,0,I5/MBunk_ene!I10)</f>
        <v>3.2339913066710411</v>
      </c>
      <c r="J11" s="81">
        <f>IF(J5=0,0,J5/MBunk_ene!J10)</f>
        <v>3.2363413061102095</v>
      </c>
      <c r="K11" s="81">
        <f>IF(K5=0,0,K5/MBunk_ene!K10)</f>
        <v>3.2369301582328611</v>
      </c>
      <c r="L11" s="81">
        <f>IF(L5=0,0,L5/MBunk_ene!L10)</f>
        <v>3.2353724053656334</v>
      </c>
      <c r="M11" s="81">
        <f>IF(M5=0,0,M5/MBunk_ene!M10)</f>
        <v>3.2336384857213316</v>
      </c>
      <c r="N11" s="81">
        <f>IF(N5=0,0,N5/MBunk_ene!N10)</f>
        <v>3.2273049499254154</v>
      </c>
      <c r="O11" s="81">
        <f>IF(O5=0,0,O5/MBunk_ene!O10)</f>
        <v>3.2356057127089723</v>
      </c>
      <c r="P11" s="81">
        <f>IF(P5=0,0,P5/MBunk_ene!P10)</f>
        <v>3.2325031885541433</v>
      </c>
      <c r="Q11" s="81">
        <f>IF(Q5=0,0,Q5/MBunk_ene!Q10)</f>
        <v>3.2233818439267483</v>
      </c>
      <c r="R11" s="81">
        <f>IF(R5=0,0,R5/MBunk_ene!R10)</f>
        <v>3.2184602517716581</v>
      </c>
      <c r="S11" s="81">
        <f>IF(S5=0,0,S5/MBunk_ene!S10)</f>
        <v>3.1827398822862656</v>
      </c>
      <c r="T11" s="81">
        <f>IF(T5=0,0,T5/MBunk_ene!T10)</f>
        <v>3.1587259451323084</v>
      </c>
      <c r="U11" s="81">
        <f>IF(U5=0,0,U5/MBunk_ene!U10)</f>
        <v>3.1222599086256322</v>
      </c>
      <c r="V11" s="81">
        <f>IF(V5=0,0,V5/MBunk_ene!V10)</f>
        <v>3.150139675050736</v>
      </c>
      <c r="W11" s="81">
        <f>IF(W5=0,0,W5/MBunk_ene!W10)</f>
        <v>3.1477294641037386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4302.6303167289225</v>
      </c>
      <c r="C13" s="62">
        <f>IF(C3=0,0,C3/MBunk_act!C7*100)</f>
        <v>4471.6375237866814</v>
      </c>
      <c r="D13" s="62">
        <f>IF(D3=0,0,D3/MBunk_act!D7*100)</f>
        <v>4518.8833376060129</v>
      </c>
      <c r="E13" s="62">
        <f>IF(E3=0,0,E3/MBunk_act!E7*100)</f>
        <v>3074.2344829532144</v>
      </c>
      <c r="F13" s="62">
        <f>IF(F3=0,0,F3/MBunk_act!F7*100)</f>
        <v>4144.1798842668368</v>
      </c>
      <c r="G13" s="62">
        <f>IF(G3=0,0,G3/MBunk_act!G7*100)</f>
        <v>3789.4899177307379</v>
      </c>
      <c r="H13" s="62">
        <f>IF(H3=0,0,H3/MBunk_act!H7*100)</f>
        <v>7071.3444275878173</v>
      </c>
      <c r="I13" s="62">
        <f>IF(I3=0,0,I3/MBunk_act!I7*100)</f>
        <v>10133.636551093801</v>
      </c>
      <c r="J13" s="62">
        <f>IF(J3=0,0,J3/MBunk_act!J7*100)</f>
        <v>15459.902008846297</v>
      </c>
      <c r="K13" s="62">
        <f>IF(K3=0,0,K3/MBunk_act!K7*100)</f>
        <v>13192.904293550959</v>
      </c>
      <c r="L13" s="62">
        <f>IF(L3=0,0,L3/MBunk_act!L7*100)</f>
        <v>9480.5168922551111</v>
      </c>
      <c r="M13" s="62">
        <f>IF(M3=0,0,M3/MBunk_act!M7*100)</f>
        <v>9210.3666523297979</v>
      </c>
      <c r="N13" s="62">
        <f>IF(N3=0,0,N3/MBunk_act!N7*100)</f>
        <v>21839.014950408709</v>
      </c>
      <c r="O13" s="62">
        <f>IF(O3=0,0,O3/MBunk_act!O7*100)</f>
        <v>22886.54532040979</v>
      </c>
      <c r="P13" s="62">
        <f>IF(P3=0,0,P3/MBunk_act!P7*100)</f>
        <v>19579.621008167251</v>
      </c>
      <c r="Q13" s="62">
        <f>IF(Q3=0,0,Q3/MBunk_act!Q7*100)</f>
        <v>24204.942595238703</v>
      </c>
      <c r="R13" s="62">
        <f>IF(R3=0,0,R3/MBunk_act!R7*100)</f>
        <v>24917.418962644198</v>
      </c>
      <c r="S13" s="62">
        <f>IF(S3=0,0,S3/MBunk_act!S7*100)</f>
        <v>29436.427537909713</v>
      </c>
      <c r="T13" s="62">
        <f>IF(T3=0,0,T3/MBunk_act!T7*100)</f>
        <v>26797.385460856152</v>
      </c>
      <c r="U13" s="62">
        <f>IF(U3=0,0,U3/MBunk_act!U7*100)</f>
        <v>14845.369733408183</v>
      </c>
      <c r="V13" s="62">
        <f>IF(V3=0,0,V3/MBunk_act!V7*100)</f>
        <v>25817.480757162186</v>
      </c>
      <c r="W13" s="62">
        <f>IF(W3=0,0,W3/MBunk_act!W7*100)</f>
        <v>25025.113346136361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3060.6285063834994</v>
      </c>
      <c r="C14" s="63">
        <f>IF(C4=0,0,C4/MBunk_act!C8*100)</f>
        <v>3175.5891182348046</v>
      </c>
      <c r="D14" s="63">
        <f>IF(D4=0,0,D4/MBunk_act!D8*100)</f>
        <v>3212.762235047493</v>
      </c>
      <c r="E14" s="63">
        <f>IF(E4=0,0,E4/MBunk_act!E8*100)</f>
        <v>2088.3256901136201</v>
      </c>
      <c r="F14" s="63">
        <f>IF(F4=0,0,F4/MBunk_act!F8*100)</f>
        <v>2810.3322232057858</v>
      </c>
      <c r="G14" s="63">
        <f>IF(G4=0,0,G4/MBunk_act!G8*100)</f>
        <v>2561.0333073508737</v>
      </c>
      <c r="H14" s="63">
        <f>IF(H4=0,0,H4/MBunk_act!H8*100)</f>
        <v>4852.5732693548589</v>
      </c>
      <c r="I14" s="63">
        <f>IF(I4=0,0,I4/MBunk_act!I8*100)</f>
        <v>6788.1388333891227</v>
      </c>
      <c r="J14" s="63">
        <f>IF(J4=0,0,J4/MBunk_act!J8*100)</f>
        <v>10444.020913089167</v>
      </c>
      <c r="K14" s="63">
        <f>IF(K4=0,0,K4/MBunk_act!K8*100)</f>
        <v>9079.8666431540641</v>
      </c>
      <c r="L14" s="63">
        <f>IF(L4=0,0,L4/MBunk_act!L8*100)</f>
        <v>7353.0103767668579</v>
      </c>
      <c r="M14" s="63">
        <f>IF(M4=0,0,M4/MBunk_act!M8*100)</f>
        <v>7649.746613371276</v>
      </c>
      <c r="N14" s="63">
        <f>IF(N4=0,0,N4/MBunk_act!N8*100)</f>
        <v>19014.29272675874</v>
      </c>
      <c r="O14" s="63">
        <f>IF(O4=0,0,O4/MBunk_act!O8*100)</f>
        <v>18732.084778059634</v>
      </c>
      <c r="P14" s="63">
        <f>IF(P4=0,0,P4/MBunk_act!P8*100)</f>
        <v>15892.410380990947</v>
      </c>
      <c r="Q14" s="63">
        <f>IF(Q4=0,0,Q4/MBunk_act!Q8*100)</f>
        <v>19820.459577526053</v>
      </c>
      <c r="R14" s="63">
        <f>IF(R4=0,0,R4/MBunk_act!R8*100)</f>
        <v>20432.381497758164</v>
      </c>
      <c r="S14" s="63">
        <f>IF(S4=0,0,S4/MBunk_act!S8*100)</f>
        <v>24045.654990449326</v>
      </c>
      <c r="T14" s="63">
        <f>IF(T4=0,0,T4/MBunk_act!T8*100)</f>
        <v>21643.050148587605</v>
      </c>
      <c r="U14" s="63">
        <f>IF(U4=0,0,U4/MBunk_act!U8*100)</f>
        <v>12182.024124884489</v>
      </c>
      <c r="V14" s="63">
        <f>IF(V4=0,0,V4/MBunk_act!V8*100)</f>
        <v>19748.113781061154</v>
      </c>
      <c r="W14" s="63">
        <f>IF(W4=0,0,W4/MBunk_act!W8*100)</f>
        <v>18310.817634868272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7043.9698776087725</v>
      </c>
      <c r="C15" s="64">
        <f>IF(C5=0,0,C5/MBunk_act!C9*100)</f>
        <v>7327.1336144506577</v>
      </c>
      <c r="D15" s="64">
        <f>IF(D5=0,0,D5/MBunk_act!D9*100)</f>
        <v>7365.6630663364676</v>
      </c>
      <c r="E15" s="64">
        <f>IF(E5=0,0,E5/MBunk_act!E9*100)</f>
        <v>5969.5650834548878</v>
      </c>
      <c r="F15" s="64">
        <f>IF(F5=0,0,F5/MBunk_act!F9*100)</f>
        <v>6966.3213801634993</v>
      </c>
      <c r="G15" s="64">
        <f>IF(G5=0,0,G5/MBunk_act!G9*100)</f>
        <v>5723.283042000513</v>
      </c>
      <c r="H15" s="64">
        <f>IF(H5=0,0,H5/MBunk_act!H9*100)</f>
        <v>10587.668410955956</v>
      </c>
      <c r="I15" s="64">
        <f>IF(I5=0,0,I5/MBunk_act!I9*100)</f>
        <v>15670.306484610588</v>
      </c>
      <c r="J15" s="64">
        <f>IF(J5=0,0,J5/MBunk_act!J9*100)</f>
        <v>23128.470521778392</v>
      </c>
      <c r="K15" s="64">
        <f>IF(K5=0,0,K5/MBunk_act!K9*100)</f>
        <v>18619.498868624505</v>
      </c>
      <c r="L15" s="64">
        <f>IF(L5=0,0,L5/MBunk_act!L9*100)</f>
        <v>11531.580882467051</v>
      </c>
      <c r="M15" s="64">
        <f>IF(M5=0,0,M5/MBunk_act!M9*100)</f>
        <v>10593.468664007878</v>
      </c>
      <c r="N15" s="64">
        <f>IF(N5=0,0,N5/MBunk_act!N9*100)</f>
        <v>23402.137924031576</v>
      </c>
      <c r="O15" s="64">
        <f>IF(O5=0,0,O5/MBunk_act!O9*100)</f>
        <v>27219.20600080747</v>
      </c>
      <c r="P15" s="64">
        <f>IF(P5=0,0,P5/MBunk_act!P9*100)</f>
        <v>23468.208571419855</v>
      </c>
      <c r="Q15" s="64">
        <f>IF(Q5=0,0,Q5/MBunk_act!Q9*100)</f>
        <v>28048.427107843152</v>
      </c>
      <c r="R15" s="64">
        <f>IF(R5=0,0,R5/MBunk_act!R9*100)</f>
        <v>28655.393193247477</v>
      </c>
      <c r="S15" s="64">
        <f>IF(S5=0,0,S5/MBunk_act!S9*100)</f>
        <v>34214.060694431573</v>
      </c>
      <c r="T15" s="64">
        <f>IF(T5=0,0,T5/MBunk_act!T9*100)</f>
        <v>31497.590323062406</v>
      </c>
      <c r="U15" s="64">
        <f>IF(U5=0,0,U5/MBunk_act!U9*100)</f>
        <v>17003.023925302103</v>
      </c>
      <c r="V15" s="64">
        <f>IF(V5=0,0,V5/MBunk_act!V9*100)</f>
        <v>29465.716630002466</v>
      </c>
      <c r="W15" s="64">
        <f>IF(W5=0,0,W5/MBunk_act!W9*100)</f>
        <v>29994.652464790743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4.6865483567215769</v>
      </c>
      <c r="C17" s="62">
        <f>IF(C3=0,0,C3/MBunk_act!C3*1000)</f>
        <v>4.7481794305772826</v>
      </c>
      <c r="D17" s="62">
        <f>IF(D3=0,0,D3/MBunk_act!D3*1000)</f>
        <v>4.7381811773400688</v>
      </c>
      <c r="E17" s="62">
        <f>IF(E3=0,0,E3/MBunk_act!E3*1000)</f>
        <v>5.3794715443339172</v>
      </c>
      <c r="F17" s="62">
        <f>IF(F3=0,0,F3/MBunk_act!F3*1000)</f>
        <v>5.6182019866619131</v>
      </c>
      <c r="G17" s="62">
        <f>IF(G3=0,0,G3/MBunk_act!G3*1000)</f>
        <v>4.1840630165229005</v>
      </c>
      <c r="H17" s="62">
        <f>IF(H3=0,0,H3/MBunk_act!H3*1000)</f>
        <v>7.3556115131488058</v>
      </c>
      <c r="I17" s="62">
        <f>IF(I3=0,0,I3/MBunk_act!I3*1000)</f>
        <v>8.6136056252783373</v>
      </c>
      <c r="J17" s="62">
        <f>IF(J3=0,0,J3/MBunk_act!J3*1000)</f>
        <v>10.509928173596082</v>
      </c>
      <c r="K17" s="62">
        <f>IF(K3=0,0,K3/MBunk_act!K3*1000)</f>
        <v>8.1412074086218151</v>
      </c>
      <c r="L17" s="62">
        <f>IF(L3=0,0,L3/MBunk_act!L3*1000)</f>
        <v>6.4014890972398506</v>
      </c>
      <c r="M17" s="62">
        <f>IF(M3=0,0,M3/MBunk_act!M3*1000)</f>
        <v>5.4721899821238464</v>
      </c>
      <c r="N17" s="62">
        <f>IF(N3=0,0,N3/MBunk_act!N3*1000)</f>
        <v>11.042164722445987</v>
      </c>
      <c r="O17" s="62">
        <f>IF(O3=0,0,O3/MBunk_act!O3*1000)</f>
        <v>13.748161803244392</v>
      </c>
      <c r="P17" s="62">
        <f>IF(P3=0,0,P3/MBunk_act!P3*1000)</f>
        <v>11.614403760477749</v>
      </c>
      <c r="Q17" s="62">
        <f>IF(Q3=0,0,Q3/MBunk_act!Q3*1000)</f>
        <v>13.586219994423004</v>
      </c>
      <c r="R17" s="62">
        <f>IF(R3=0,0,R3/MBunk_act!R3*1000)</f>
        <v>13.703822865806735</v>
      </c>
      <c r="S17" s="62">
        <f>IF(S3=0,0,S3/MBunk_act!S3*1000)</f>
        <v>15.861953232149311</v>
      </c>
      <c r="T17" s="62">
        <f>IF(T3=0,0,T3/MBunk_act!T3*1000)</f>
        <v>14.610130773981735</v>
      </c>
      <c r="U17" s="62">
        <f>IF(U3=0,0,U3/MBunk_act!U3*1000)</f>
        <v>7.7612239032137804</v>
      </c>
      <c r="V17" s="62">
        <f>IF(V3=0,0,V3/MBunk_act!V3*1000)</f>
        <v>11.836017709106022</v>
      </c>
      <c r="W17" s="62">
        <f>IF(W3=0,0,W3/MBunk_act!W3*1000)</f>
        <v>12.163908241135719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5.7506404082602192</v>
      </c>
      <c r="C18" s="63">
        <f>IF(C4=0,0,C4/MBunk_act!C4*1000)</f>
        <v>5.8887424456004895</v>
      </c>
      <c r="D18" s="63">
        <f>IF(D4=0,0,D4/MBunk_act!D4*1000)</f>
        <v>5.864968064496658</v>
      </c>
      <c r="E18" s="63">
        <f>IF(E4=0,0,E4/MBunk_act!E4*1000)</f>
        <v>5.6828286852026242</v>
      </c>
      <c r="F18" s="63">
        <f>IF(F4=0,0,F4/MBunk_act!F4*1000)</f>
        <v>7.3198973215084528</v>
      </c>
      <c r="G18" s="63">
        <f>IF(G4=0,0,G4/MBunk_act!G4*1000)</f>
        <v>6.2360792004538013</v>
      </c>
      <c r="H18" s="63">
        <f>IF(H4=0,0,H4/MBunk_act!H4*1000)</f>
        <v>10.796200434749988</v>
      </c>
      <c r="I18" s="63">
        <f>IF(I4=0,0,I4/MBunk_act!I4*1000)</f>
        <v>15.373716967616506</v>
      </c>
      <c r="J18" s="63">
        <f>IF(J4=0,0,J4/MBunk_act!J4*1000)</f>
        <v>20.594099854021515</v>
      </c>
      <c r="K18" s="63">
        <f>IF(K4=0,0,K4/MBunk_act!K4*1000)</f>
        <v>16.366685373463508</v>
      </c>
      <c r="L18" s="63">
        <f>IF(L4=0,0,L4/MBunk_act!L4*1000)</f>
        <v>13.058867218075584</v>
      </c>
      <c r="M18" s="63">
        <f>IF(M4=0,0,M4/MBunk_act!M4*1000)</f>
        <v>10.647918695761756</v>
      </c>
      <c r="N18" s="63">
        <f>IF(N4=0,0,N4/MBunk_act!N4*1000)</f>
        <v>25.960130809462093</v>
      </c>
      <c r="O18" s="63">
        <f>IF(O4=0,0,O4/MBunk_act!O4*1000)</f>
        <v>25.367239031544738</v>
      </c>
      <c r="P18" s="63">
        <f>IF(P4=0,0,P4/MBunk_act!P4*1000)</f>
        <v>21.213993270645354</v>
      </c>
      <c r="Q18" s="63">
        <f>IF(Q4=0,0,Q4/MBunk_act!Q4*1000)</f>
        <v>26.391753088638804</v>
      </c>
      <c r="R18" s="63">
        <f>IF(R4=0,0,R4/MBunk_act!R4*1000)</f>
        <v>26.877853431149322</v>
      </c>
      <c r="S18" s="63">
        <f>IF(S4=0,0,S4/MBunk_act!S4*1000)</f>
        <v>31.232728321239154</v>
      </c>
      <c r="T18" s="63">
        <f>IF(T4=0,0,T4/MBunk_act!T4*1000)</f>
        <v>27.714604519279931</v>
      </c>
      <c r="U18" s="63">
        <f>IF(U4=0,0,U4/MBunk_act!U4*1000)</f>
        <v>15.821362417592709</v>
      </c>
      <c r="V18" s="63">
        <f>IF(V4=0,0,V4/MBunk_act!V4*1000)</f>
        <v>23.757511670999818</v>
      </c>
      <c r="W18" s="63">
        <f>IF(W4=0,0,W4/MBunk_act!W4*1000)</f>
        <v>23.107147305756897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3.980223927647462</v>
      </c>
      <c r="C19" s="64">
        <f>IF(C5=0,0,C5/MBunk_act!C5*1000)</f>
        <v>4.0070817285748479</v>
      </c>
      <c r="D19" s="64">
        <f>IF(D5=0,0,D5/MBunk_act!D5*1000)</f>
        <v>4.0064194317009623</v>
      </c>
      <c r="E19" s="64">
        <f>IF(E5=0,0,E5/MBunk_act!E5*1000)</f>
        <v>5.0997929898950014</v>
      </c>
      <c r="F19" s="64">
        <f>IF(F5=0,0,F5/MBunk_act!F5*1000)</f>
        <v>4.6879752118790332</v>
      </c>
      <c r="G19" s="64">
        <f>IF(G5=0,0,G5/MBunk_act!G5*1000)</f>
        <v>3.3967418989242506</v>
      </c>
      <c r="H19" s="64">
        <f>IF(H5=0,0,H5/MBunk_act!H5*1000)</f>
        <v>5.9729939643795555</v>
      </c>
      <c r="I19" s="64">
        <f>IF(I5=0,0,I5/MBunk_act!I5*1000)</f>
        <v>6.5490940708640348</v>
      </c>
      <c r="J19" s="64">
        <f>IF(J5=0,0,J5/MBunk_act!J5*1000)</f>
        <v>7.8546403267717011</v>
      </c>
      <c r="K19" s="64">
        <f>IF(K5=0,0,K5/MBunk_act!K5*1000)</f>
        <v>6.1519555529707031</v>
      </c>
      <c r="L19" s="64">
        <f>IF(L5=0,0,L5/MBunk_act!L5*1000)</f>
        <v>4.8740274092296518</v>
      </c>
      <c r="M19" s="64">
        <f>IF(M5=0,0,M5/MBunk_act!M5*1000)</f>
        <v>4.1738019275461609</v>
      </c>
      <c r="N19" s="64">
        <f>IF(N5=0,0,N5/MBunk_act!N5*1000)</f>
        <v>8.7749633715373818</v>
      </c>
      <c r="O19" s="64">
        <f>IF(O5=0,0,O5/MBunk_act!O5*1000)</f>
        <v>10.346786073509699</v>
      </c>
      <c r="P19" s="64">
        <f>IF(P5=0,0,P5/MBunk_act!P5*1000)</f>
        <v>8.777696283970565</v>
      </c>
      <c r="Q19" s="64">
        <f>IF(Q5=0,0,Q5/MBunk_act!Q5*1000)</f>
        <v>10.446381792901498</v>
      </c>
      <c r="R19" s="64">
        <f>IF(R5=0,0,R5/MBunk_act!R5*1000)</f>
        <v>10.612608773394051</v>
      </c>
      <c r="S19" s="64">
        <f>IF(S5=0,0,S5/MBunk_act!S5*1000)</f>
        <v>12.140476165229318</v>
      </c>
      <c r="T19" s="64">
        <f>IF(T5=0,0,T5/MBunk_act!T5*1000)</f>
        <v>11.270850667012478</v>
      </c>
      <c r="U19" s="64">
        <f>IF(U5=0,0,U5/MBunk_act!U5*1000)</f>
        <v>5.9900012948846486</v>
      </c>
      <c r="V19" s="64">
        <f>IF(V5=0,0,V5/MBunk_act!V5*1000)</f>
        <v>9.8456921917310236</v>
      </c>
      <c r="W19" s="64">
        <f>IF(W5=0,0,W5/MBunk_act!W5*1000)</f>
        <v>10.019834759236691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0.48954418086301699</v>
      </c>
      <c r="C22" s="77">
        <f t="shared" si="2"/>
        <v>0.48846065340928529</v>
      </c>
      <c r="D22" s="77">
        <f t="shared" si="2"/>
        <v>0.48735986440554924</v>
      </c>
      <c r="E22" s="77">
        <f t="shared" si="2"/>
        <v>0.50674441534031756</v>
      </c>
      <c r="F22" s="77">
        <f t="shared" si="2"/>
        <v>0.46049343534338366</v>
      </c>
      <c r="G22" s="77">
        <f t="shared" si="2"/>
        <v>0.41328373877857089</v>
      </c>
      <c r="H22" s="77">
        <f t="shared" si="2"/>
        <v>0.42074442121625566</v>
      </c>
      <c r="I22" s="77">
        <f t="shared" si="2"/>
        <v>0.41755631846679842</v>
      </c>
      <c r="J22" s="77">
        <f t="shared" si="2"/>
        <v>0.40841686791927562</v>
      </c>
      <c r="K22" s="77">
        <f t="shared" si="2"/>
        <v>0.39150273692270565</v>
      </c>
      <c r="L22" s="77">
        <f t="shared" si="2"/>
        <v>0.38070154378469384</v>
      </c>
      <c r="M22" s="77">
        <f t="shared" si="2"/>
        <v>0.39023618991373876</v>
      </c>
      <c r="N22" s="77">
        <f t="shared" si="2"/>
        <v>0.31016227877157643</v>
      </c>
      <c r="O22" s="77">
        <f t="shared" si="2"/>
        <v>0.41783050662543408</v>
      </c>
      <c r="P22" s="77">
        <f t="shared" si="2"/>
        <v>0.41662850055767048</v>
      </c>
      <c r="Q22" s="77">
        <f t="shared" si="2"/>
        <v>0.38250950328730393</v>
      </c>
      <c r="R22" s="77">
        <f t="shared" si="2"/>
        <v>0.37275315617696686</v>
      </c>
      <c r="S22" s="77">
        <f t="shared" si="2"/>
        <v>0.38380572090658954</v>
      </c>
      <c r="T22" s="77">
        <f t="shared" si="2"/>
        <v>0.38521790543856738</v>
      </c>
      <c r="U22" s="77">
        <f t="shared" si="2"/>
        <v>0.36725960657698409</v>
      </c>
      <c r="V22" s="77">
        <f t="shared" si="2"/>
        <v>0.28716765542901568</v>
      </c>
      <c r="W22" s="77">
        <f t="shared" si="2"/>
        <v>0.3112163384630755</v>
      </c>
      <c r="DA22" s="184"/>
    </row>
    <row r="23" spans="1:105" ht="11.45" customHeight="1" x14ac:dyDescent="0.25">
      <c r="A23" s="57" t="s">
        <v>171</v>
      </c>
      <c r="B23" s="78">
        <f t="shared" si="2"/>
        <v>0.51045581913698301</v>
      </c>
      <c r="C23" s="78">
        <f t="shared" si="2"/>
        <v>0.51153934659071476</v>
      </c>
      <c r="D23" s="78">
        <f t="shared" si="2"/>
        <v>0.51264013559445076</v>
      </c>
      <c r="E23" s="78">
        <f t="shared" si="2"/>
        <v>0.49325558465968244</v>
      </c>
      <c r="F23" s="78">
        <f t="shared" si="2"/>
        <v>0.53950656465661639</v>
      </c>
      <c r="G23" s="78">
        <f t="shared" si="2"/>
        <v>0.58671626122142917</v>
      </c>
      <c r="H23" s="78">
        <f t="shared" si="2"/>
        <v>0.57925557878374423</v>
      </c>
      <c r="I23" s="78">
        <f t="shared" si="2"/>
        <v>0.58244368153320158</v>
      </c>
      <c r="J23" s="78">
        <f t="shared" si="2"/>
        <v>0.59158313208072444</v>
      </c>
      <c r="K23" s="78">
        <f t="shared" si="2"/>
        <v>0.60849726307729446</v>
      </c>
      <c r="L23" s="78">
        <f t="shared" si="2"/>
        <v>0.61929845621530621</v>
      </c>
      <c r="M23" s="78">
        <f t="shared" si="2"/>
        <v>0.60976381008626124</v>
      </c>
      <c r="N23" s="78">
        <f t="shared" si="2"/>
        <v>0.68983772122842368</v>
      </c>
      <c r="O23" s="78">
        <f t="shared" si="2"/>
        <v>0.58216949337456592</v>
      </c>
      <c r="P23" s="78">
        <f t="shared" si="2"/>
        <v>0.58337149944232958</v>
      </c>
      <c r="Q23" s="78">
        <f t="shared" si="2"/>
        <v>0.61749049671269618</v>
      </c>
      <c r="R23" s="78">
        <f t="shared" si="2"/>
        <v>0.62724684382303308</v>
      </c>
      <c r="S23" s="78">
        <f t="shared" si="2"/>
        <v>0.61619427909341051</v>
      </c>
      <c r="T23" s="78">
        <f t="shared" si="2"/>
        <v>0.61478209456143262</v>
      </c>
      <c r="U23" s="78">
        <f t="shared" si="2"/>
        <v>0.63274039342301591</v>
      </c>
      <c r="V23" s="78">
        <f t="shared" si="2"/>
        <v>0.71283234457098421</v>
      </c>
      <c r="W23" s="78">
        <f t="shared" si="2"/>
        <v>0.6887836615369245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2024-05-20T16:48:54Z</dcterms:created>
  <dcterms:modified xsi:type="dcterms:W3CDTF">2024-05-20T16:48:54Z</dcterms:modified>
</cp:coreProperties>
</file>