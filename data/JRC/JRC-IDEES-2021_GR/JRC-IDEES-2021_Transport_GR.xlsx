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L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C90" i="3"/>
  <c r="B90" i="3"/>
  <c r="M15" i="20"/>
  <c r="G15" i="20"/>
  <c r="E15" i="20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B25" i="1"/>
  <c r="B24" i="1"/>
  <c r="B26" i="1"/>
  <c r="C242" i="3" l="1"/>
  <c r="C18" i="20"/>
  <c r="S242" i="3"/>
  <c r="W14" i="18"/>
  <c r="E3" i="20"/>
  <c r="E22" i="20" s="1"/>
  <c r="O14" i="18"/>
  <c r="I15" i="18"/>
  <c r="E3" i="18"/>
  <c r="E18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3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I21" i="18"/>
  <c r="N3" i="18"/>
  <c r="N17" i="18" s="1"/>
  <c r="U14" i="18"/>
  <c r="P14" i="18"/>
  <c r="J14" i="20"/>
  <c r="O3" i="20"/>
  <c r="O23" i="20" s="1"/>
  <c r="O3" i="18"/>
  <c r="O18" i="18" s="1"/>
  <c r="N3" i="20"/>
  <c r="N20" i="19"/>
  <c r="Q14" i="20"/>
  <c r="Q3" i="20"/>
  <c r="Q22" i="20" s="1"/>
  <c r="C19" i="20"/>
  <c r="E14" i="18"/>
  <c r="M14" i="18"/>
  <c r="E19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R22" i="18"/>
  <c r="H14" i="18"/>
  <c r="B15" i="18"/>
  <c r="R15" i="18"/>
  <c r="D10" i="19"/>
  <c r="L10" i="19"/>
  <c r="T10" i="19"/>
  <c r="W23" i="20"/>
  <c r="R14" i="20"/>
  <c r="M19" i="20"/>
  <c r="K15" i="20"/>
  <c r="K3" i="20"/>
  <c r="K22" i="20" s="1"/>
  <c r="Q3" i="18"/>
  <c r="Q18" i="18" s="1"/>
  <c r="C3" i="18"/>
  <c r="C19" i="18" s="1"/>
  <c r="Q7" i="18"/>
  <c r="Q21" i="18" s="1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R25" i="19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M22" i="18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R3" i="20"/>
  <c r="Q21" i="19" l="1"/>
  <c r="Q25" i="19"/>
  <c r="J11" i="20"/>
  <c r="G24" i="19"/>
  <c r="W24" i="19"/>
  <c r="T22" i="18"/>
  <c r="U24" i="19"/>
  <c r="L10" i="20"/>
  <c r="M24" i="19"/>
  <c r="W10" i="20"/>
  <c r="F19" i="18"/>
  <c r="H25" i="19"/>
  <c r="O11" i="20"/>
  <c r="P10" i="20"/>
  <c r="U19" i="18"/>
  <c r="O21" i="19"/>
  <c r="N29" i="3"/>
  <c r="N241" i="3" s="1"/>
  <c r="K23" i="18"/>
  <c r="N10" i="20"/>
  <c r="L20" i="19"/>
  <c r="K20" i="19"/>
  <c r="R23" i="18"/>
  <c r="R21" i="19"/>
  <c r="N22" i="18"/>
  <c r="F24" i="19"/>
  <c r="U18" i="18"/>
  <c r="G23" i="20"/>
  <c r="T23" i="18"/>
  <c r="T20" i="19"/>
  <c r="N13" i="20"/>
  <c r="F22" i="20"/>
  <c r="F20" i="19"/>
  <c r="T24" i="19"/>
  <c r="W3" i="19"/>
  <c r="W28" i="19" s="1"/>
  <c r="N23" i="18"/>
  <c r="F18" i="18"/>
  <c r="M22" i="20"/>
  <c r="L23" i="18"/>
  <c r="L21" i="20"/>
  <c r="H3" i="19"/>
  <c r="H19" i="19" s="1"/>
  <c r="Q11" i="20"/>
  <c r="M23" i="18"/>
  <c r="N24" i="19"/>
  <c r="D22" i="20"/>
  <c r="D21" i="20"/>
  <c r="M23" i="20"/>
  <c r="E21" i="20"/>
  <c r="E13" i="20"/>
  <c r="E17" i="20"/>
  <c r="Q24" i="19"/>
  <c r="P24" i="19"/>
  <c r="G25" i="19"/>
  <c r="H20" i="19"/>
  <c r="S10" i="20"/>
  <c r="Q10" i="20"/>
  <c r="J21" i="19"/>
  <c r="W17" i="20"/>
  <c r="G18" i="18"/>
  <c r="S22" i="18"/>
  <c r="R212" i="3"/>
  <c r="I22" i="18"/>
  <c r="E17" i="18"/>
  <c r="I213" i="3"/>
  <c r="U29" i="3"/>
  <c r="U121" i="3" s="1"/>
  <c r="E13" i="18"/>
  <c r="E22" i="18"/>
  <c r="E23" i="18"/>
  <c r="S23" i="18"/>
  <c r="R29" i="3"/>
  <c r="R123" i="3" s="1"/>
  <c r="F89" i="3"/>
  <c r="F181" i="3" s="1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8" i="19" s="1"/>
  <c r="G21" i="20"/>
  <c r="Q29" i="3"/>
  <c r="Q24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C122" i="3"/>
  <c r="C182" i="3"/>
  <c r="F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W122" i="3"/>
  <c r="M122" i="3"/>
  <c r="N123" i="3"/>
  <c r="N121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9" i="20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M27" i="19"/>
  <c r="M23" i="19"/>
  <c r="I21" i="20"/>
  <c r="I17" i="20"/>
  <c r="I13" i="20"/>
  <c r="M21" i="19"/>
  <c r="M29" i="19"/>
  <c r="M25" i="19"/>
  <c r="M9" i="20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9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G28" i="19" l="1"/>
  <c r="U123" i="3"/>
  <c r="H28" i="19"/>
  <c r="M182" i="3"/>
  <c r="H23" i="19"/>
  <c r="H9" i="20"/>
  <c r="M19" i="19"/>
  <c r="U122" i="3"/>
  <c r="H27" i="19"/>
  <c r="N9" i="20"/>
  <c r="H29" i="19"/>
  <c r="P27" i="19"/>
  <c r="E28" i="19"/>
  <c r="F152" i="3"/>
  <c r="F153" i="3"/>
  <c r="W29" i="19"/>
  <c r="W9" i="20"/>
  <c r="W27" i="19"/>
  <c r="W19" i="19"/>
  <c r="W23" i="19"/>
  <c r="F241" i="3"/>
  <c r="K183" i="3"/>
  <c r="F183" i="3"/>
  <c r="Q9" i="20"/>
  <c r="N19" i="19"/>
  <c r="G27" i="19"/>
  <c r="Q23" i="19"/>
  <c r="N27" i="19"/>
  <c r="E23" i="19"/>
  <c r="Q121" i="3"/>
  <c r="R122" i="3"/>
  <c r="Q123" i="3"/>
  <c r="Q122" i="3"/>
  <c r="R121" i="3"/>
  <c r="R241" i="3"/>
  <c r="D123" i="3"/>
  <c r="T123" i="3"/>
  <c r="L121" i="3"/>
  <c r="P121" i="3"/>
  <c r="P122" i="3"/>
  <c r="U182" i="3"/>
  <c r="E27" i="19"/>
  <c r="T241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U10" i="5" l="1"/>
  <c r="R10" i="5"/>
  <c r="Q10" i="5"/>
  <c r="P10" i="5"/>
  <c r="M10" i="5"/>
  <c r="J10" i="5"/>
  <c r="I10" i="5"/>
  <c r="H10" i="5"/>
  <c r="E10" i="5"/>
  <c r="B10" i="5" l="1"/>
  <c r="C10" i="5"/>
  <c r="K10" i="5"/>
  <c r="S10" i="5"/>
  <c r="D10" i="5"/>
  <c r="L10" i="5"/>
  <c r="T10" i="5"/>
  <c r="F10" i="5"/>
  <c r="N10" i="5"/>
  <c r="V10" i="5"/>
  <c r="G10" i="5"/>
  <c r="O10" i="5"/>
  <c r="W10" i="5"/>
  <c r="I15" i="17" l="1"/>
  <c r="Q15" i="17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22" i="13" s="1"/>
  <c r="W4" i="13"/>
  <c r="W15" i="14"/>
  <c r="W14" i="14"/>
  <c r="W20" i="14" s="1"/>
  <c r="W4" i="14"/>
  <c r="W14" i="15"/>
  <c r="W10" i="16"/>
  <c r="W58" i="3" s="1"/>
  <c r="W4" i="16"/>
  <c r="W57" i="3" s="1"/>
  <c r="W19" i="17"/>
  <c r="W85" i="4" l="1"/>
  <c r="W80" i="11"/>
  <c r="W53" i="11"/>
  <c r="W70" i="11"/>
  <c r="W73" i="4"/>
  <c r="W19" i="7" s="1"/>
  <c r="W26" i="4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20" i="3"/>
  <c r="W163" i="4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I100" i="4" s="1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10" i="9" l="1"/>
  <c r="W64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60" i="9"/>
  <c r="W58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Q84" i="4" s="1"/>
  <c r="F87" i="4"/>
  <c r="F85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Q75" i="7" s="1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R60" i="7" s="1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K4" i="6" l="1"/>
  <c r="H60" i="7"/>
  <c r="N84" i="4"/>
  <c r="F84" i="4"/>
  <c r="R75" i="7"/>
  <c r="R59" i="7" s="1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G60" i="7"/>
  <c r="I75" i="7"/>
  <c r="I59" i="7" s="1"/>
  <c r="V60" i="7"/>
  <c r="W23" i="9"/>
  <c r="W26" i="10"/>
  <c r="W232" i="3"/>
  <c r="R100" i="4"/>
  <c r="R31" i="4"/>
  <c r="R260" i="4" s="1"/>
  <c r="T4" i="6"/>
  <c r="J100" i="4"/>
  <c r="J84" i="4" s="1"/>
  <c r="K100" i="4"/>
  <c r="K84" i="4" s="1"/>
  <c r="V31" i="4"/>
  <c r="V260" i="4" s="1"/>
  <c r="U75" i="7"/>
  <c r="D84" i="4"/>
  <c r="L84" i="4"/>
  <c r="Q59" i="7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205" i="4" s="1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Q70" i="5" s="1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H216" i="4" s="1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64" i="6" s="1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E74" i="4"/>
  <c r="E125" i="6" s="1"/>
  <c r="E21" i="7"/>
  <c r="N74" i="4"/>
  <c r="N184" i="4" s="1"/>
  <c r="N21" i="7"/>
  <c r="V74" i="4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Q205" i="4" s="1"/>
  <c r="D15" i="4"/>
  <c r="Q16" i="4"/>
  <c r="Q207" i="4" s="1"/>
  <c r="D17" i="4"/>
  <c r="J4" i="5"/>
  <c r="H116" i="5"/>
  <c r="H62" i="5"/>
  <c r="H117" i="7" s="1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58" i="4" s="1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V131" i="5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83" i="5" s="1"/>
  <c r="B138" i="7" s="1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4" i="4" s="1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131" i="6" s="1"/>
  <c r="D27" i="7"/>
  <c r="M80" i="4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K70" i="5" s="1"/>
  <c r="K125" i="7" s="1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I15" i="4"/>
  <c r="I93" i="6" s="1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M205" i="4" s="1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98" i="4" s="1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95" i="5" s="1"/>
  <c r="S175" i="4"/>
  <c r="S62" i="6"/>
  <c r="S204" i="7" s="1"/>
  <c r="G176" i="4"/>
  <c r="G63" i="6"/>
  <c r="O12" i="4"/>
  <c r="O203" i="4" s="1"/>
  <c r="O176" i="4"/>
  <c r="O63" i="6"/>
  <c r="C40" i="4"/>
  <c r="C177" i="4" s="1"/>
  <c r="M40" i="4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H58" i="4" s="1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73" i="4" s="1"/>
  <c r="V19" i="7" s="1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V201" i="4" s="1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Q117" i="5"/>
  <c r="G21" i="5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5"/>
  <c r="F71" i="5"/>
  <c r="F126" i="7" s="1"/>
  <c r="O33" i="5"/>
  <c r="O70" i="5" s="1"/>
  <c r="O125" i="7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91" i="4"/>
  <c r="S78" i="6"/>
  <c r="S220" i="7" s="1"/>
  <c r="G28" i="4"/>
  <c r="G219" i="4" s="1"/>
  <c r="G192" i="4"/>
  <c r="G79" i="6"/>
  <c r="G221" i="7" s="1"/>
  <c r="O28" i="4"/>
  <c r="O219" i="4" s="1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1" i="7"/>
  <c r="O121" i="4"/>
  <c r="O112" i="4" s="1"/>
  <c r="O41" i="7"/>
  <c r="I128" i="4"/>
  <c r="I48" i="7"/>
  <c r="R128" i="4"/>
  <c r="R127" i="4" s="1"/>
  <c r="R46" i="7" s="1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H118" i="7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77" i="5" s="1"/>
  <c r="M132" i="7" s="1"/>
  <c r="M132" i="5"/>
  <c r="U43" i="5"/>
  <c r="U77" i="5" s="1"/>
  <c r="U132" i="7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E139" i="5"/>
  <c r="N139" i="5"/>
  <c r="V139" i="5"/>
  <c r="D79" i="5"/>
  <c r="D134" i="7" s="1"/>
  <c r="U79" i="5"/>
  <c r="U134" i="7" s="1"/>
  <c r="D150" i="5"/>
  <c r="T118" i="6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112" i="6"/>
  <c r="S20" i="6"/>
  <c r="S18" i="6" s="1"/>
  <c r="S112" i="6"/>
  <c r="F113" i="6"/>
  <c r="F20" i="6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63" i="5" s="1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77" i="5" s="1"/>
  <c r="B132" i="7" s="1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B47" i="6"/>
  <c r="F51" i="6"/>
  <c r="O51" i="6"/>
  <c r="D112" i="6"/>
  <c r="D20" i="6"/>
  <c r="M112" i="6"/>
  <c r="M20" i="6"/>
  <c r="M57" i="6" s="1"/>
  <c r="M199" i="7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77" i="6" s="1"/>
  <c r="R219" i="7" s="1"/>
  <c r="R132" i="6"/>
  <c r="E133" i="6"/>
  <c r="E40" i="6"/>
  <c r="E33" i="6" s="1"/>
  <c r="N133" i="6"/>
  <c r="N40" i="6"/>
  <c r="V133" i="6"/>
  <c r="J139" i="5"/>
  <c r="S139" i="5"/>
  <c r="F110" i="6"/>
  <c r="O110" i="6"/>
  <c r="C111" i="6"/>
  <c r="M17" i="4"/>
  <c r="M208" i="4" s="1"/>
  <c r="Q18" i="4"/>
  <c r="Q102" i="5" s="1"/>
  <c r="D21" i="4"/>
  <c r="M21" i="4"/>
  <c r="Q22" i="4"/>
  <c r="Q106" i="5" s="1"/>
  <c r="D23" i="4"/>
  <c r="D214" i="4" s="1"/>
  <c r="M23" i="4"/>
  <c r="M214" i="4" s="1"/>
  <c r="Q24" i="4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M126" i="6"/>
  <c r="M34" i="6"/>
  <c r="U126" i="6"/>
  <c r="U34" i="6"/>
  <c r="U71" i="6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70" i="5" s="1"/>
  <c r="E125" i="7" s="1"/>
  <c r="E125" i="5"/>
  <c r="N33" i="5"/>
  <c r="N70" i="5" s="1"/>
  <c r="N125" i="7" s="1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119" i="6"/>
  <c r="O27" i="6"/>
  <c r="O64" i="6" s="1"/>
  <c r="O206" i="7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99" i="7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T125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O4" i="6" s="1"/>
  <c r="O47" i="6" s="1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E57" i="6" s="1"/>
  <c r="N112" i="6"/>
  <c r="V112" i="6"/>
  <c r="V20" i="6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64" i="6" s="1"/>
  <c r="M206" i="7" s="1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O125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J18" i="6" s="1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71" i="6" s="1"/>
  <c r="H213" i="7" s="1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71" i="6" s="1"/>
  <c r="B213" i="7" s="1"/>
  <c r="B126" i="6"/>
  <c r="J34" i="6"/>
  <c r="J71" i="6" s="1"/>
  <c r="J126" i="6"/>
  <c r="S34" i="6"/>
  <c r="S126" i="6"/>
  <c r="F127" i="6"/>
  <c r="O127" i="6"/>
  <c r="B128" i="6"/>
  <c r="J128" i="6"/>
  <c r="S128" i="6"/>
  <c r="F129" i="6"/>
  <c r="O129" i="6"/>
  <c r="B40" i="6"/>
  <c r="B132" i="6"/>
  <c r="J40" i="6"/>
  <c r="J132" i="6"/>
  <c r="S40" i="6"/>
  <c r="S132" i="6"/>
  <c r="F133" i="6"/>
  <c r="O133" i="6"/>
  <c r="J50" i="6"/>
  <c r="J157" i="6"/>
  <c r="V59" i="7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F76" i="7"/>
  <c r="F75" i="7" s="1"/>
  <c r="O76" i="7"/>
  <c r="O75" i="7" s="1"/>
  <c r="F60" i="7"/>
  <c r="O60" i="7"/>
  <c r="S75" i="7"/>
  <c r="H84" i="4"/>
  <c r="G85" i="4"/>
  <c r="P60" i="7"/>
  <c r="R84" i="4"/>
  <c r="I270" i="4"/>
  <c r="I268" i="4"/>
  <c r="V257" i="4"/>
  <c r="V262" i="4"/>
  <c r="V250" i="4"/>
  <c r="V252" i="4"/>
  <c r="R206" i="4"/>
  <c r="R93" i="6"/>
  <c r="R99" i="5"/>
  <c r="I200" i="4"/>
  <c r="I87" i="6"/>
  <c r="I93" i="5"/>
  <c r="I219" i="4"/>
  <c r="I106" i="6"/>
  <c r="I112" i="5"/>
  <c r="E219" i="4"/>
  <c r="E106" i="6"/>
  <c r="E112" i="5"/>
  <c r="D206" i="4"/>
  <c r="D93" i="6"/>
  <c r="D99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218" i="4"/>
  <c r="R105" i="6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3" i="4"/>
  <c r="R261" i="4"/>
  <c r="R259" i="4"/>
  <c r="R256" i="4"/>
  <c r="F170" i="4"/>
  <c r="F57" i="6"/>
  <c r="F199" i="7" s="1"/>
  <c r="F251" i="4"/>
  <c r="P170" i="4"/>
  <c r="P57" i="6"/>
  <c r="P199" i="7" s="1"/>
  <c r="F258" i="4"/>
  <c r="R177" i="4"/>
  <c r="R70" i="5"/>
  <c r="O46" i="4"/>
  <c r="O265" i="4" s="1"/>
  <c r="O184" i="4"/>
  <c r="O71" i="6"/>
  <c r="O213" i="7" s="1"/>
  <c r="O77" i="5"/>
  <c r="O132" i="7" s="1"/>
  <c r="P190" i="4"/>
  <c r="P83" i="5"/>
  <c r="P138" i="7" s="1"/>
  <c r="M58" i="4"/>
  <c r="M4" i="7" s="1"/>
  <c r="N127" i="4"/>
  <c r="N46" i="7" s="1"/>
  <c r="N47" i="7"/>
  <c r="G216" i="4"/>
  <c r="G103" i="6"/>
  <c r="G109" i="5"/>
  <c r="Q170" i="4"/>
  <c r="Q63" i="5"/>
  <c r="Q118" i="7" s="1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177" i="4"/>
  <c r="T64" i="6"/>
  <c r="T206" i="7" s="1"/>
  <c r="P31" i="4"/>
  <c r="Q184" i="4"/>
  <c r="R190" i="4"/>
  <c r="R83" i="5"/>
  <c r="R138" i="7" s="1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212" i="4"/>
  <c r="D99" i="6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190" i="4"/>
  <c r="B77" i="6"/>
  <c r="B219" i="7" s="1"/>
  <c r="U170" i="4"/>
  <c r="K177" i="4"/>
  <c r="K64" i="6"/>
  <c r="K206" i="7" s="1"/>
  <c r="H184" i="4"/>
  <c r="H77" i="5"/>
  <c r="H132" i="7" s="1"/>
  <c r="R184" i="4"/>
  <c r="R77" i="5"/>
  <c r="R132" i="7" s="1"/>
  <c r="G77" i="6"/>
  <c r="G83" i="5"/>
  <c r="V77" i="6"/>
  <c r="N112" i="4"/>
  <c r="N31" i="7" s="1"/>
  <c r="N40" i="7"/>
  <c r="V112" i="4"/>
  <c r="V31" i="7" s="1"/>
  <c r="V40" i="7"/>
  <c r="E47" i="7"/>
  <c r="T205" i="4"/>
  <c r="T92" i="6"/>
  <c r="U218" i="4"/>
  <c r="U105" i="6"/>
  <c r="U111" i="5"/>
  <c r="K201" i="4"/>
  <c r="K88" i="6"/>
  <c r="K94" i="5"/>
  <c r="G170" i="4"/>
  <c r="G57" i="6"/>
  <c r="G199" i="7" s="1"/>
  <c r="G63" i="5"/>
  <c r="G118" i="7" s="1"/>
  <c r="O209" i="4"/>
  <c r="O96" i="6"/>
  <c r="O102" i="5"/>
  <c r="M212" i="4"/>
  <c r="M99" i="6"/>
  <c r="M105" i="5"/>
  <c r="R199" i="4"/>
  <c r="R86" i="6"/>
  <c r="R92" i="5"/>
  <c r="N219" i="4"/>
  <c r="N106" i="6"/>
  <c r="N112" i="5"/>
  <c r="B202" i="4"/>
  <c r="B89" i="6"/>
  <c r="B95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B184" i="4"/>
  <c r="J254" i="4"/>
  <c r="J57" i="6"/>
  <c r="J251" i="4"/>
  <c r="V57" i="6"/>
  <c r="V63" i="5"/>
  <c r="V251" i="4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I138" i="7" s="1"/>
  <c r="C111" i="5"/>
  <c r="S26" i="4"/>
  <c r="S218" i="4"/>
  <c r="S105" i="6"/>
  <c r="S111" i="5"/>
  <c r="O20" i="7"/>
  <c r="V20" i="7"/>
  <c r="B85" i="4"/>
  <c r="B100" i="4"/>
  <c r="F40" i="7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70" i="5"/>
  <c r="S125" i="7" s="1"/>
  <c r="S208" i="4"/>
  <c r="S95" i="6"/>
  <c r="S101" i="5"/>
  <c r="U196" i="4"/>
  <c r="U83" i="6"/>
  <c r="U89" i="5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E209" i="4"/>
  <c r="E96" i="6"/>
  <c r="I108" i="5"/>
  <c r="F218" i="4"/>
  <c r="E196" i="4"/>
  <c r="E83" i="6"/>
  <c r="E89" i="5"/>
  <c r="I89" i="6"/>
  <c r="C213" i="4"/>
  <c r="C100" i="6"/>
  <c r="C106" i="5"/>
  <c r="E215" i="4"/>
  <c r="E102" i="6"/>
  <c r="E108" i="5"/>
  <c r="H218" i="4"/>
  <c r="H105" i="6"/>
  <c r="H111" i="5"/>
  <c r="O92" i="5"/>
  <c r="M177" i="4"/>
  <c r="Q46" i="4"/>
  <c r="Q265" i="4" s="1"/>
  <c r="V184" i="4"/>
  <c r="V71" i="6"/>
  <c r="V213" i="7" s="1"/>
  <c r="V77" i="5"/>
  <c r="V132" i="7" s="1"/>
  <c r="D26" i="4"/>
  <c r="D218" i="4"/>
  <c r="D105" i="6"/>
  <c r="D111" i="5"/>
  <c r="P73" i="4"/>
  <c r="P19" i="7" s="1"/>
  <c r="P20" i="7"/>
  <c r="V127" i="4"/>
  <c r="V46" i="7" s="1"/>
  <c r="V47" i="7"/>
  <c r="R47" i="7"/>
  <c r="U198" i="4"/>
  <c r="U85" i="6"/>
  <c r="U91" i="5"/>
  <c r="M200" i="4"/>
  <c r="U202" i="4"/>
  <c r="U89" i="6"/>
  <c r="U95" i="5"/>
  <c r="Q203" i="4"/>
  <c r="Q90" i="6"/>
  <c r="Q219" i="4"/>
  <c r="Q106" i="6"/>
  <c r="E250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U263" i="4"/>
  <c r="U250" i="4"/>
  <c r="U256" i="4"/>
  <c r="O47" i="7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M203" i="4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E205" i="4"/>
  <c r="E92" i="6"/>
  <c r="E98" i="5"/>
  <c r="B207" i="4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R272" i="4"/>
  <c r="R270" i="4"/>
  <c r="R268" i="4"/>
  <c r="R266" i="4"/>
  <c r="M184" i="4"/>
  <c r="M71" i="6"/>
  <c r="M213" i="7" s="1"/>
  <c r="S212" i="4"/>
  <c r="S99" i="6"/>
  <c r="S105" i="5"/>
  <c r="O213" i="4"/>
  <c r="O100" i="6"/>
  <c r="O106" i="5"/>
  <c r="S214" i="4"/>
  <c r="S101" i="6"/>
  <c r="S107" i="5"/>
  <c r="N77" i="6"/>
  <c r="N271" i="4"/>
  <c r="N83" i="5"/>
  <c r="E190" i="4"/>
  <c r="U46" i="4"/>
  <c r="U265" i="4" s="1"/>
  <c r="U83" i="5"/>
  <c r="D26" i="7"/>
  <c r="M73" i="4"/>
  <c r="M26" i="7"/>
  <c r="U73" i="4"/>
  <c r="J47" i="7"/>
  <c r="S47" i="7"/>
  <c r="I199" i="4"/>
  <c r="I88" i="6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18" i="4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251" i="4"/>
  <c r="O170" i="4"/>
  <c r="E177" i="4"/>
  <c r="E64" i="6"/>
  <c r="E206" i="7" s="1"/>
  <c r="E258" i="4"/>
  <c r="Q177" i="4"/>
  <c r="Q64" i="6"/>
  <c r="Q206" i="7" s="1"/>
  <c r="V46" i="4"/>
  <c r="N71" i="6"/>
  <c r="N265" i="4"/>
  <c r="N77" i="5"/>
  <c r="T184" i="4"/>
  <c r="O77" i="6"/>
  <c r="O83" i="5"/>
  <c r="I13" i="7"/>
  <c r="R58" i="4"/>
  <c r="R13" i="7"/>
  <c r="R73" i="4"/>
  <c r="R19" i="7" s="1"/>
  <c r="R20" i="7"/>
  <c r="G112" i="4"/>
  <c r="M47" i="7"/>
  <c r="N250" i="4"/>
  <c r="E252" i="4"/>
  <c r="O109" i="5"/>
  <c r="V83" i="6"/>
  <c r="Q215" i="4"/>
  <c r="Q102" i="6"/>
  <c r="Q108" i="5"/>
  <c r="M216" i="4"/>
  <c r="L4" i="6"/>
  <c r="T42" i="5"/>
  <c r="Q4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E20" i="4"/>
  <c r="C15" i="4"/>
  <c r="K15" i="4"/>
  <c r="G16" i="4"/>
  <c r="K17" i="4"/>
  <c r="G18" i="4"/>
  <c r="K11" i="4"/>
  <c r="H16" i="4"/>
  <c r="P16" i="4"/>
  <c r="T17" i="4"/>
  <c r="H18" i="4"/>
  <c r="P18" i="4"/>
  <c r="J112" i="4"/>
  <c r="C100" i="4"/>
  <c r="B73" i="4"/>
  <c r="B19" i="7" s="1"/>
  <c r="T73" i="4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R26" i="4"/>
  <c r="H14" i="4"/>
  <c r="K33" i="4"/>
  <c r="S33" i="4"/>
  <c r="C47" i="4"/>
  <c r="S47" i="4"/>
  <c r="C53" i="4"/>
  <c r="K53" i="4"/>
  <c r="S53" i="4"/>
  <c r="R6" i="4"/>
  <c r="Q2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V138" i="7" l="1"/>
  <c r="N18" i="5"/>
  <c r="B63" i="5"/>
  <c r="S112" i="4"/>
  <c r="N26" i="4"/>
  <c r="U125" i="7"/>
  <c r="O271" i="4"/>
  <c r="N111" i="5"/>
  <c r="I206" i="4"/>
  <c r="R252" i="4"/>
  <c r="R262" i="4"/>
  <c r="G59" i="7"/>
  <c r="F125" i="7"/>
  <c r="Q125" i="7"/>
  <c r="J127" i="4"/>
  <c r="J46" i="7" s="1"/>
  <c r="N105" i="6"/>
  <c r="J77" i="6"/>
  <c r="J219" i="7" s="1"/>
  <c r="F177" i="4"/>
  <c r="R254" i="4"/>
  <c r="R255" i="4"/>
  <c r="R253" i="4"/>
  <c r="D73" i="4"/>
  <c r="M83" i="6"/>
  <c r="R251" i="4"/>
  <c r="R249" i="4"/>
  <c r="P106" i="5"/>
  <c r="R257" i="4"/>
  <c r="R61" i="5"/>
  <c r="F13" i="7"/>
  <c r="I58" i="4"/>
  <c r="I4" i="7" s="1"/>
  <c r="R258" i="4"/>
  <c r="S89" i="6"/>
  <c r="R250" i="4"/>
  <c r="F206" i="7"/>
  <c r="E58" i="4"/>
  <c r="E168" i="4" s="1"/>
  <c r="O26" i="4"/>
  <c r="B98" i="5"/>
  <c r="H86" i="6"/>
  <c r="S202" i="4"/>
  <c r="I202" i="4"/>
  <c r="O112" i="5"/>
  <c r="V219" i="7"/>
  <c r="Q18" i="5"/>
  <c r="B92" i="6"/>
  <c r="H199" i="4"/>
  <c r="O106" i="6"/>
  <c r="V190" i="4"/>
  <c r="Q100" i="6"/>
  <c r="I272" i="4"/>
  <c r="C118" i="6"/>
  <c r="S91" i="5"/>
  <c r="H109" i="5"/>
  <c r="Q213" i="4"/>
  <c r="D47" i="6"/>
  <c r="F229" i="4"/>
  <c r="V94" i="5"/>
  <c r="S85" i="6"/>
  <c r="M98" i="5"/>
  <c r="G184" i="4"/>
  <c r="H103" i="6"/>
  <c r="Q98" i="5"/>
  <c r="D71" i="6"/>
  <c r="D213" i="7" s="1"/>
  <c r="C58" i="4"/>
  <c r="C4" i="7" s="1"/>
  <c r="C64" i="6"/>
  <c r="C206" i="7" s="1"/>
  <c r="M92" i="6"/>
  <c r="G46" i="4"/>
  <c r="G271" i="4" s="1"/>
  <c r="Q92" i="6"/>
  <c r="G77" i="5"/>
  <c r="G132" i="7" s="1"/>
  <c r="U59" i="7"/>
  <c r="F95" i="5"/>
  <c r="V88" i="6"/>
  <c r="F89" i="6"/>
  <c r="I99" i="5"/>
  <c r="P70" i="5"/>
  <c r="P125" i="7" s="1"/>
  <c r="I95" i="5"/>
  <c r="T112" i="4"/>
  <c r="K112" i="4"/>
  <c r="I266" i="4"/>
  <c r="U213" i="7"/>
  <c r="J213" i="7"/>
  <c r="U118" i="7"/>
  <c r="T213" i="7"/>
  <c r="M13" i="4"/>
  <c r="M91" i="6" s="1"/>
  <c r="K184" i="4"/>
  <c r="B57" i="6"/>
  <c r="P71" i="6"/>
  <c r="P213" i="7" s="1"/>
  <c r="O6" i="4"/>
  <c r="O84" i="6" s="1"/>
  <c r="S42" i="5"/>
  <c r="W231" i="4"/>
  <c r="Q91" i="5"/>
  <c r="M196" i="4"/>
  <c r="U20" i="4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J91" i="6" s="1"/>
  <c r="K77" i="5"/>
  <c r="K132" i="7" s="1"/>
  <c r="J190" i="4"/>
  <c r="S206" i="7"/>
  <c r="M26" i="4"/>
  <c r="M163" i="4" s="1"/>
  <c r="O20" i="4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97" i="5" s="1"/>
  <c r="S58" i="4"/>
  <c r="S4" i="7" s="1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S216" i="4"/>
  <c r="G190" i="4"/>
  <c r="Q57" i="6"/>
  <c r="Q199" i="7" s="1"/>
  <c r="N200" i="4"/>
  <c r="V206" i="7"/>
  <c r="G137" i="5"/>
  <c r="V6" i="4"/>
  <c r="V84" i="6" s="1"/>
  <c r="U6" i="4"/>
  <c r="G213" i="7"/>
  <c r="Q96" i="6"/>
  <c r="O73" i="4"/>
  <c r="O19" i="7" s="1"/>
  <c r="R30" i="4"/>
  <c r="Q20" i="4"/>
  <c r="Q98" i="6" s="1"/>
  <c r="K13" i="4"/>
  <c r="K97" i="5" s="1"/>
  <c r="H206" i="7"/>
  <c r="J18" i="5"/>
  <c r="J61" i="5" s="1"/>
  <c r="F77" i="5"/>
  <c r="F132" i="7" s="1"/>
  <c r="S6" i="4"/>
  <c r="I20" i="4"/>
  <c r="I157" i="4" s="1"/>
  <c r="C70" i="5"/>
  <c r="C125" i="7" s="1"/>
  <c r="M83" i="5"/>
  <c r="M138" i="7" s="1"/>
  <c r="R47" i="6"/>
  <c r="S18" i="5"/>
  <c r="D57" i="6"/>
  <c r="D199" i="7" s="1"/>
  <c r="C31" i="4"/>
  <c r="C251" i="4" s="1"/>
  <c r="R13" i="4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42" i="5"/>
  <c r="O102" i="6"/>
  <c r="D63" i="5"/>
  <c r="D118" i="7" s="1"/>
  <c r="J205" i="4"/>
  <c r="F88" i="6"/>
  <c r="J170" i="4"/>
  <c r="J257" i="4"/>
  <c r="M40" i="7"/>
  <c r="J55" i="6"/>
  <c r="N47" i="6"/>
  <c r="H127" i="4"/>
  <c r="H46" i="7" s="1"/>
  <c r="J118" i="7"/>
  <c r="D127" i="4"/>
  <c r="D46" i="7" s="1"/>
  <c r="T125" i="7"/>
  <c r="D13" i="4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S19" i="4" s="1"/>
  <c r="S246" i="4" s="1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N204" i="4" s="1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K110" i="5" s="1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K84" i="6" s="1"/>
  <c r="B6" i="4"/>
  <c r="B143" i="4" s="1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B199" i="7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E84" i="6" s="1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F111" i="4" s="1"/>
  <c r="F30" i="7" s="1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Q47" i="6"/>
  <c r="F47" i="6"/>
  <c r="E118" i="7"/>
  <c r="B102" i="6"/>
  <c r="T75" i="7"/>
  <c r="T59" i="7" s="1"/>
  <c r="R111" i="6"/>
  <c r="R33" i="6"/>
  <c r="R17" i="6" s="1"/>
  <c r="R136" i="6" s="1"/>
  <c r="R125" i="6"/>
  <c r="C131" i="6"/>
  <c r="I112" i="4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Q17" i="5"/>
  <c r="Q157" i="5" s="1"/>
  <c r="T17" i="5"/>
  <c r="T151" i="5" s="1"/>
  <c r="N61" i="5"/>
  <c r="J131" i="6"/>
  <c r="Q33" i="6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131" i="5"/>
  <c r="G47" i="6"/>
  <c r="H111" i="6"/>
  <c r="U111" i="6"/>
  <c r="U18" i="5"/>
  <c r="U117" i="5"/>
  <c r="B111" i="6"/>
  <c r="M42" i="5"/>
  <c r="M76" i="5" s="1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J137" i="5"/>
  <c r="N131" i="5"/>
  <c r="N42" i="5"/>
  <c r="N17" i="5" s="1"/>
  <c r="V111" i="6"/>
  <c r="C137" i="5"/>
  <c r="E131" i="5"/>
  <c r="E42" i="5"/>
  <c r="E76" i="5" s="1"/>
  <c r="U33" i="6"/>
  <c r="U70" i="6" s="1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219" i="4"/>
  <c r="F106" i="6"/>
  <c r="F112" i="5"/>
  <c r="K190" i="4"/>
  <c r="K77" i="6"/>
  <c r="K219" i="7" s="1"/>
  <c r="K83" i="5"/>
  <c r="K138" i="7" s="1"/>
  <c r="C214" i="4"/>
  <c r="C101" i="6"/>
  <c r="C107" i="5"/>
  <c r="G98" i="6"/>
  <c r="C200" i="4"/>
  <c r="C87" i="6"/>
  <c r="C93" i="5"/>
  <c r="D150" i="4"/>
  <c r="D204" i="4"/>
  <c r="D91" i="6"/>
  <c r="D97" i="5"/>
  <c r="U211" i="4"/>
  <c r="U98" i="6"/>
  <c r="U104" i="5"/>
  <c r="C190" i="4"/>
  <c r="C77" i="6"/>
  <c r="C219" i="7" s="1"/>
  <c r="C83" i="5"/>
  <c r="C138" i="7" s="1"/>
  <c r="N211" i="4"/>
  <c r="N98" i="6"/>
  <c r="N104" i="5"/>
  <c r="O13" i="4"/>
  <c r="O205" i="4"/>
  <c r="O92" i="6"/>
  <c r="O98" i="5"/>
  <c r="J4" i="7"/>
  <c r="G209" i="4"/>
  <c r="G96" i="6"/>
  <c r="G102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T31" i="7"/>
  <c r="P20" i="4"/>
  <c r="P157" i="4" s="1"/>
  <c r="P215" i="4"/>
  <c r="P102" i="6"/>
  <c r="P108" i="5"/>
  <c r="S143" i="4"/>
  <c r="S197" i="4"/>
  <c r="S84" i="6"/>
  <c r="S90" i="5"/>
  <c r="O4" i="7"/>
  <c r="S4" i="4"/>
  <c r="S223" i="4" s="1"/>
  <c r="F204" i="4"/>
  <c r="J163" i="4"/>
  <c r="J217" i="4"/>
  <c r="J104" i="6"/>
  <c r="J110" i="5"/>
  <c r="B177" i="4"/>
  <c r="B64" i="6"/>
  <c r="B206" i="7" s="1"/>
  <c r="B70" i="5"/>
  <c r="B125" i="7" s="1"/>
  <c r="R150" i="4"/>
  <c r="R204" i="4"/>
  <c r="R91" i="6"/>
  <c r="R97" i="5"/>
  <c r="S46" i="4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E70" i="6"/>
  <c r="E269" i="4"/>
  <c r="E270" i="4"/>
  <c r="E268" i="4"/>
  <c r="E264" i="4"/>
  <c r="C258" i="4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U150" i="4"/>
  <c r="U204" i="4"/>
  <c r="U91" i="6"/>
  <c r="U97" i="5"/>
  <c r="O163" i="4"/>
  <c r="O217" i="4"/>
  <c r="O104" i="6"/>
  <c r="O110" i="5"/>
  <c r="U143" i="4"/>
  <c r="U197" i="4"/>
  <c r="U84" i="6"/>
  <c r="U90" i="5"/>
  <c r="B20" i="4"/>
  <c r="B213" i="4"/>
  <c r="B100" i="6"/>
  <c r="B106" i="5"/>
  <c r="H20" i="4"/>
  <c r="H19" i="4" s="1"/>
  <c r="H242" i="4" s="1"/>
  <c r="H212" i="4"/>
  <c r="H99" i="6"/>
  <c r="H105" i="5"/>
  <c r="F157" i="4"/>
  <c r="F211" i="4"/>
  <c r="F98" i="6"/>
  <c r="F104" i="5"/>
  <c r="O211" i="4"/>
  <c r="O98" i="6"/>
  <c r="O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6" i="5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207" i="4"/>
  <c r="E94" i="6"/>
  <c r="E100" i="5"/>
  <c r="D6" i="4"/>
  <c r="D198" i="4"/>
  <c r="D85" i="6"/>
  <c r="D91" i="5"/>
  <c r="K91" i="6"/>
  <c r="T190" i="4"/>
  <c r="T77" i="6"/>
  <c r="T219" i="7" s="1"/>
  <c r="T271" i="4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T208" i="4"/>
  <c r="T95" i="6"/>
  <c r="T101" i="5"/>
  <c r="S91" i="6"/>
  <c r="G199" i="4"/>
  <c r="G86" i="6"/>
  <c r="G92" i="5"/>
  <c r="Q143" i="4"/>
  <c r="Q197" i="4"/>
  <c r="Q84" i="6"/>
  <c r="Q9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P76" i="5"/>
  <c r="J168" i="4"/>
  <c r="E31" i="7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143" i="4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168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B84" i="4"/>
  <c r="C163" i="4"/>
  <c r="C217" i="4"/>
  <c r="C104" i="6"/>
  <c r="C110" i="5"/>
  <c r="B271" i="4"/>
  <c r="G270" i="4"/>
  <c r="G268" i="4"/>
  <c r="G273" i="4"/>
  <c r="G269" i="4"/>
  <c r="F168" i="4"/>
  <c r="Q150" i="4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04" i="6"/>
  <c r="M110" i="5"/>
  <c r="T31" i="4"/>
  <c r="T251" i="4" s="1"/>
  <c r="T170" i="4"/>
  <c r="T57" i="6"/>
  <c r="T199" i="7" s="1"/>
  <c r="T63" i="5"/>
  <c r="T118" i="7" s="1"/>
  <c r="O197" i="4"/>
  <c r="H205" i="4"/>
  <c r="H92" i="6"/>
  <c r="H98" i="5"/>
  <c r="G13" i="4"/>
  <c r="G205" i="4"/>
  <c r="G92" i="6"/>
  <c r="G98" i="5"/>
  <c r="P205" i="4"/>
  <c r="P92" i="6"/>
  <c r="P98" i="5"/>
  <c r="C262" i="4"/>
  <c r="C61" i="5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B204" i="4"/>
  <c r="Q183" i="4"/>
  <c r="Q70" i="6"/>
  <c r="Q272" i="4"/>
  <c r="Q270" i="4"/>
  <c r="Q268" i="4"/>
  <c r="Q266" i="4"/>
  <c r="Q264" i="4"/>
  <c r="Q76" i="5"/>
  <c r="Q267" i="4"/>
  <c r="Q273" i="4"/>
  <c r="Q269" i="4"/>
  <c r="S163" i="4"/>
  <c r="S217" i="4"/>
  <c r="S104" i="6"/>
  <c r="S110" i="5"/>
  <c r="S244" i="4"/>
  <c r="B265" i="4"/>
  <c r="V271" i="4"/>
  <c r="V150" i="4"/>
  <c r="V204" i="4"/>
  <c r="V91" i="6"/>
  <c r="V97" i="5"/>
  <c r="M111" i="4"/>
  <c r="M30" i="7" s="1"/>
  <c r="M31" i="7"/>
  <c r="P258" i="4"/>
  <c r="Q251" i="4"/>
  <c r="P271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76" i="5"/>
  <c r="T273" i="4"/>
  <c r="T269" i="4"/>
  <c r="T267" i="4"/>
  <c r="T272" i="4"/>
  <c r="T270" i="4"/>
  <c r="T268" i="4"/>
  <c r="T266" i="4"/>
  <c r="T264" i="4"/>
  <c r="H201" i="4"/>
  <c r="H88" i="6"/>
  <c r="H94" i="5"/>
  <c r="T265" i="4"/>
  <c r="F6" i="4"/>
  <c r="F4" i="4" s="1"/>
  <c r="F231" i="4" s="1"/>
  <c r="F199" i="4"/>
  <c r="F86" i="6"/>
  <c r="F92" i="5"/>
  <c r="K200" i="4"/>
  <c r="K87" i="6"/>
  <c r="K93" i="5"/>
  <c r="B31" i="4"/>
  <c r="B258" i="4" s="1"/>
  <c r="Q211" i="4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S242" i="4"/>
  <c r="V265" i="4"/>
  <c r="H249" i="4"/>
  <c r="H259" i="4"/>
  <c r="H261" i="4"/>
  <c r="H263" i="4"/>
  <c r="H257" i="4"/>
  <c r="R168" i="4"/>
  <c r="F183" i="4"/>
  <c r="C6" i="4"/>
  <c r="T20" i="4"/>
  <c r="R4" i="4"/>
  <c r="R143" i="4"/>
  <c r="B4" i="4"/>
  <c r="B231" i="4" s="1"/>
  <c r="P13" i="4"/>
  <c r="V19" i="4"/>
  <c r="V157" i="4"/>
  <c r="U4" i="4"/>
  <c r="H13" i="4"/>
  <c r="U19" i="4"/>
  <c r="U244" i="4" s="1"/>
  <c r="U157" i="4"/>
  <c r="N19" i="4"/>
  <c r="N244" i="4" s="1"/>
  <c r="N157" i="4"/>
  <c r="V4" i="4"/>
  <c r="V231" i="4" s="1"/>
  <c r="Q4" i="4"/>
  <c r="O19" i="4"/>
  <c r="O157" i="4"/>
  <c r="T6" i="4"/>
  <c r="C46" i="4"/>
  <c r="C271" i="4" s="1"/>
  <c r="R19" i="4"/>
  <c r="R244" i="4" s="1"/>
  <c r="I19" i="4"/>
  <c r="I244" i="4" s="1"/>
  <c r="D4" i="4"/>
  <c r="D225" i="4" s="1"/>
  <c r="F19" i="4"/>
  <c r="F238" i="4" s="1"/>
  <c r="E19" i="4"/>
  <c r="E238" i="4" s="1"/>
  <c r="E90" i="5" l="1"/>
  <c r="K104" i="6"/>
  <c r="K197" i="4"/>
  <c r="K217" i="4"/>
  <c r="K143" i="4"/>
  <c r="N97" i="5"/>
  <c r="E197" i="4"/>
  <c r="N150" i="4"/>
  <c r="K163" i="4"/>
  <c r="E143" i="4"/>
  <c r="B17" i="5"/>
  <c r="B144" i="5" s="1"/>
  <c r="V197" i="4"/>
  <c r="N183" i="4"/>
  <c r="M204" i="4"/>
  <c r="M4" i="4"/>
  <c r="M231" i="4" s="1"/>
  <c r="M150" i="4"/>
  <c r="K90" i="5"/>
  <c r="N91" i="6"/>
  <c r="F31" i="7"/>
  <c r="N57" i="4"/>
  <c r="E4" i="7"/>
  <c r="M97" i="5"/>
  <c r="M217" i="4"/>
  <c r="V90" i="5"/>
  <c r="E4" i="4"/>
  <c r="S156" i="4"/>
  <c r="J204" i="4"/>
  <c r="H253" i="4"/>
  <c r="O143" i="4"/>
  <c r="J111" i="4"/>
  <c r="J30" i="7" s="1"/>
  <c r="E266" i="4"/>
  <c r="E30" i="4"/>
  <c r="E54" i="6" s="1"/>
  <c r="I90" i="5"/>
  <c r="J150" i="4"/>
  <c r="H255" i="4"/>
  <c r="O183" i="4"/>
  <c r="I104" i="5"/>
  <c r="I98" i="6"/>
  <c r="H260" i="4"/>
  <c r="H262" i="4"/>
  <c r="I211" i="4"/>
  <c r="E272" i="4"/>
  <c r="O57" i="4"/>
  <c r="O3" i="7" s="1"/>
  <c r="H61" i="5"/>
  <c r="H252" i="4"/>
  <c r="H254" i="4"/>
  <c r="H168" i="4"/>
  <c r="C57" i="4"/>
  <c r="C3" i="7" s="1"/>
  <c r="E267" i="4"/>
  <c r="H250" i="4"/>
  <c r="O90" i="5"/>
  <c r="J97" i="5"/>
  <c r="O4" i="4"/>
  <c r="O232" i="4" s="1"/>
  <c r="E273" i="4"/>
  <c r="H251" i="4"/>
  <c r="G264" i="4"/>
  <c r="G30" i="4"/>
  <c r="G266" i="4"/>
  <c r="S150" i="4"/>
  <c r="K150" i="4"/>
  <c r="B90" i="5"/>
  <c r="S204" i="4"/>
  <c r="J57" i="4"/>
  <c r="J3" i="7" s="1"/>
  <c r="B84" i="6"/>
  <c r="H157" i="4"/>
  <c r="B197" i="4"/>
  <c r="G272" i="4"/>
  <c r="K204" i="4"/>
  <c r="K4" i="4"/>
  <c r="K223" i="4" s="1"/>
  <c r="G267" i="4"/>
  <c r="G70" i="6"/>
  <c r="S231" i="4"/>
  <c r="G183" i="4"/>
  <c r="J183" i="4"/>
  <c r="H57" i="4"/>
  <c r="H3" i="7" s="1"/>
  <c r="G76" i="5"/>
  <c r="C111" i="4"/>
  <c r="C30" i="7" s="1"/>
  <c r="D57" i="4"/>
  <c r="D3" i="7" s="1"/>
  <c r="I84" i="6"/>
  <c r="B110" i="5"/>
  <c r="I197" i="4"/>
  <c r="B104" i="6"/>
  <c r="B164" i="5"/>
  <c r="B217" i="4"/>
  <c r="S17" i="5"/>
  <c r="S147" i="5" s="1"/>
  <c r="O111" i="4"/>
  <c r="O30" i="7" s="1"/>
  <c r="B19" i="4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167" i="4" s="1"/>
  <c r="D255" i="4"/>
  <c r="S98" i="6"/>
  <c r="S239" i="4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S156" i="5"/>
  <c r="S160" i="5"/>
  <c r="S154" i="5"/>
  <c r="S162" i="5"/>
  <c r="S152" i="5"/>
  <c r="S163" i="5"/>
  <c r="S161" i="5"/>
  <c r="S158" i="5"/>
  <c r="S151" i="5"/>
  <c r="S141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C252" i="4"/>
  <c r="M267" i="4"/>
  <c r="D111" i="4"/>
  <c r="D30" i="7" s="1"/>
  <c r="D251" i="4"/>
  <c r="D254" i="4"/>
  <c r="H17" i="6"/>
  <c r="H153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V147" i="5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37" i="6"/>
  <c r="H135" i="6"/>
  <c r="H141" i="6"/>
  <c r="H149" i="6"/>
  <c r="H146" i="6"/>
  <c r="H145" i="6"/>
  <c r="H154" i="6"/>
  <c r="H148" i="6"/>
  <c r="H140" i="6"/>
  <c r="H139" i="6"/>
  <c r="H159" i="6"/>
  <c r="H156" i="6"/>
  <c r="H147" i="6"/>
  <c r="H142" i="6"/>
  <c r="H155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T157" i="5"/>
  <c r="J161" i="5"/>
  <c r="J152" i="5"/>
  <c r="J153" i="5"/>
  <c r="K17" i="6"/>
  <c r="K151" i="6" s="1"/>
  <c r="H136" i="6"/>
  <c r="N17" i="6"/>
  <c r="N136" i="6" s="1"/>
  <c r="N55" i="6"/>
  <c r="T57" i="4"/>
  <c r="T3" i="7" s="1"/>
  <c r="H158" i="6"/>
  <c r="F76" i="5"/>
  <c r="I70" i="6"/>
  <c r="H151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138" i="6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G54" i="6" s="1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43" i="4"/>
  <c r="D197" i="4"/>
  <c r="D84" i="6"/>
  <c r="D90" i="5"/>
  <c r="D224" i="4"/>
  <c r="C265" i="4"/>
  <c r="N141" i="4"/>
  <c r="N195" i="4"/>
  <c r="N82" i="6"/>
  <c r="N88" i="5"/>
  <c r="N234" i="4"/>
  <c r="N222" i="4"/>
  <c r="N230" i="4"/>
  <c r="N226" i="4"/>
  <c r="N225" i="4"/>
  <c r="N223" i="4"/>
  <c r="N235" i="4"/>
  <c r="N233" i="4"/>
  <c r="N232" i="4"/>
  <c r="N229" i="4"/>
  <c r="N227" i="4"/>
  <c r="N236" i="4"/>
  <c r="N228" i="4"/>
  <c r="B156" i="4"/>
  <c r="B210" i="4"/>
  <c r="B97" i="6"/>
  <c r="B103" i="5"/>
  <c r="B237" i="4"/>
  <c r="B245" i="4"/>
  <c r="B239" i="4"/>
  <c r="B243" i="4"/>
  <c r="B241" i="4"/>
  <c r="B246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U54" i="6"/>
  <c r="U60" i="5"/>
  <c r="H240" i="4"/>
  <c r="H239" i="4"/>
  <c r="P163" i="4"/>
  <c r="P217" i="4"/>
  <c r="P104" i="6"/>
  <c r="P110" i="5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156" i="4"/>
  <c r="G210" i="4"/>
  <c r="G97" i="6"/>
  <c r="G103" i="5"/>
  <c r="G237" i="4"/>
  <c r="G241" i="4"/>
  <c r="G243" i="4"/>
  <c r="G239" i="4"/>
  <c r="G246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P103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Q238" i="4"/>
  <c r="C243" i="4"/>
  <c r="D223" i="4"/>
  <c r="S251" i="4"/>
  <c r="J141" i="4"/>
  <c r="J195" i="4"/>
  <c r="J82" i="6"/>
  <c r="J88" i="5"/>
  <c r="J222" i="4"/>
  <c r="J229" i="4"/>
  <c r="J228" i="4"/>
  <c r="J233" i="4"/>
  <c r="J225" i="4"/>
  <c r="J235" i="4"/>
  <c r="J232" i="4"/>
  <c r="J223" i="4"/>
  <c r="J234" i="4"/>
  <c r="J227" i="4"/>
  <c r="J236" i="4"/>
  <c r="J230" i="4"/>
  <c r="J226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Q231" i="4"/>
  <c r="M224" i="4"/>
  <c r="D271" i="4"/>
  <c r="N3" i="7"/>
  <c r="N167" i="4"/>
  <c r="G238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56" i="4"/>
  <c r="D210" i="4"/>
  <c r="D97" i="6"/>
  <c r="D103" i="5"/>
  <c r="D237" i="4"/>
  <c r="D240" i="4"/>
  <c r="D245" i="4"/>
  <c r="D246" i="4"/>
  <c r="D241" i="4"/>
  <c r="D239" i="4"/>
  <c r="D242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P246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B244" i="4"/>
  <c r="G163" i="4"/>
  <c r="G217" i="4"/>
  <c r="G104" i="6"/>
  <c r="G110" i="5"/>
  <c r="G244" i="4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156" i="4"/>
  <c r="M239" i="4"/>
  <c r="M242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O224" i="4"/>
  <c r="J157" i="4"/>
  <c r="J211" i="4"/>
  <c r="J98" i="6"/>
  <c r="J104" i="5"/>
  <c r="J238" i="4"/>
  <c r="C244" i="4"/>
  <c r="Q167" i="4"/>
  <c r="Q60" i="5"/>
  <c r="H244" i="4"/>
  <c r="V238" i="4"/>
  <c r="K211" i="4"/>
  <c r="K98" i="6"/>
  <c r="K104" i="5"/>
  <c r="G245" i="4"/>
  <c r="V244" i="4"/>
  <c r="B240" i="4"/>
  <c r="U231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5" i="4"/>
  <c r="K240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167" i="4"/>
  <c r="K235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J144" i="5" l="1"/>
  <c r="J155" i="5"/>
  <c r="G222" i="4"/>
  <c r="J159" i="5"/>
  <c r="G88" i="5"/>
  <c r="J148" i="5"/>
  <c r="S142" i="5"/>
  <c r="G228" i="4"/>
  <c r="J142" i="5"/>
  <c r="J146" i="5"/>
  <c r="S159" i="5"/>
  <c r="S145" i="5"/>
  <c r="J141" i="5"/>
  <c r="S143" i="5"/>
  <c r="S166" i="5"/>
  <c r="J167" i="4"/>
  <c r="H152" i="6"/>
  <c r="H160" i="6"/>
  <c r="S155" i="5"/>
  <c r="S153" i="5"/>
  <c r="S150" i="5"/>
  <c r="S164" i="5"/>
  <c r="S144" i="5"/>
  <c r="S148" i="5"/>
  <c r="S157" i="5"/>
  <c r="S165" i="5"/>
  <c r="S146" i="5"/>
  <c r="S149" i="5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4" i="5" s="1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33" i="6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42" i="5" l="1"/>
  <c r="L137" i="5"/>
  <c r="L217" i="4"/>
  <c r="L60" i="7"/>
  <c r="L111" i="6"/>
  <c r="L131" i="6"/>
  <c r="L18" i="5"/>
  <c r="L17" i="5" s="1"/>
  <c r="L144" i="5" s="1"/>
  <c r="L18" i="6"/>
  <c r="L55" i="6" s="1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63" i="5"/>
  <c r="L118" i="7" s="1"/>
  <c r="L76" i="5"/>
  <c r="L265" i="4"/>
  <c r="L20" i="4"/>
  <c r="L211" i="4" s="1"/>
  <c r="L13" i="4"/>
  <c r="L6" i="4"/>
  <c r="L271" i="4"/>
  <c r="L163" i="4"/>
  <c r="L17" i="6" l="1"/>
  <c r="L151" i="6" s="1"/>
  <c r="L57" i="4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Q25" i="8" l="1"/>
  <c r="J36" i="8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G4" i="8" s="1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H61" i="8" l="1"/>
  <c r="E25" i="8"/>
  <c r="O14" i="8"/>
  <c r="O26" i="10" s="1"/>
  <c r="E36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R58" i="8"/>
  <c r="R80" i="8" s="1"/>
  <c r="Q58" i="8"/>
  <c r="Q80" i="8" s="1"/>
  <c r="P58" i="8"/>
  <c r="P80" i="8" s="1"/>
  <c r="O58" i="8"/>
  <c r="N58" i="8"/>
  <c r="N80" i="8" s="1"/>
  <c r="M58" i="8"/>
  <c r="M80" i="8" s="1"/>
  <c r="L58" i="8"/>
  <c r="L80" i="8" s="1"/>
  <c r="K58" i="8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N57" i="8"/>
  <c r="N79" i="8" s="1"/>
  <c r="M57" i="8"/>
  <c r="M79" i="8" s="1"/>
  <c r="L57" i="8"/>
  <c r="L79" i="8" s="1"/>
  <c r="K57" i="8"/>
  <c r="V55" i="8"/>
  <c r="V77" i="8" s="1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N55" i="8"/>
  <c r="N77" i="8" s="1"/>
  <c r="M55" i="8"/>
  <c r="M77" i="8" s="1"/>
  <c r="L55" i="8"/>
  <c r="L77" i="8" s="1"/>
  <c r="K55" i="8"/>
  <c r="V54" i="8"/>
  <c r="V76" i="8" s="1"/>
  <c r="U54" i="8"/>
  <c r="U76" i="8" s="1"/>
  <c r="T54" i="8"/>
  <c r="T76" i="8" s="1"/>
  <c r="S54" i="8"/>
  <c r="R54" i="8"/>
  <c r="Q54" i="8"/>
  <c r="Q76" i="8" s="1"/>
  <c r="P54" i="8"/>
  <c r="P76" i="8" s="1"/>
  <c r="O54" i="8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L75" i="8" s="1"/>
  <c r="K53" i="8"/>
  <c r="V51" i="8"/>
  <c r="V73" i="8" s="1"/>
  <c r="U51" i="8"/>
  <c r="U73" i="8" s="1"/>
  <c r="T51" i="8"/>
  <c r="T73" i="8" s="1"/>
  <c r="S51" i="8"/>
  <c r="S73" i="8" s="1"/>
  <c r="R51" i="8"/>
  <c r="R73" i="8" s="1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S80" i="8"/>
  <c r="O80" i="8"/>
  <c r="K80" i="8"/>
  <c r="R79" i="8"/>
  <c r="O79" i="8"/>
  <c r="K79" i="8"/>
  <c r="S77" i="8"/>
  <c r="O77" i="8"/>
  <c r="K77" i="8"/>
  <c r="S76" i="8"/>
  <c r="R76" i="8"/>
  <c r="O76" i="8"/>
  <c r="S75" i="8"/>
  <c r="N75" i="8"/>
  <c r="K75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T20" i="3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R220" i="3" s="1"/>
  <c r="V7" i="3"/>
  <c r="V219" i="3" s="1"/>
  <c r="U7" i="3"/>
  <c r="T7" i="3"/>
  <c r="S7" i="3"/>
  <c r="R7" i="3"/>
  <c r="V6" i="3"/>
  <c r="U6" i="3"/>
  <c r="T6" i="3"/>
  <c r="T218" i="3" s="1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22" i="1"/>
  <c r="B4" i="1"/>
  <c r="B7" i="1"/>
  <c r="B17" i="1"/>
  <c r="B21" i="1"/>
  <c r="B15" i="1"/>
  <c r="B8" i="1"/>
  <c r="B11" i="1"/>
  <c r="B16" i="1"/>
  <c r="B9" i="1"/>
  <c r="B6" i="1"/>
  <c r="B13" i="1"/>
  <c r="B18" i="1"/>
  <c r="B12" i="1"/>
  <c r="B20" i="1"/>
  <c r="T232" i="3" l="1"/>
  <c r="F218" i="3"/>
  <c r="N218" i="3"/>
  <c r="G222" i="3"/>
  <c r="O222" i="3"/>
  <c r="G218" i="3"/>
  <c r="O218" i="3"/>
  <c r="U232" i="3"/>
  <c r="E224" i="3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E219" i="3" s="1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Q219" i="3" s="1"/>
  <c r="I68" i="3"/>
  <c r="Q68" i="3"/>
  <c r="I79" i="3"/>
  <c r="Q79" i="3"/>
  <c r="I80" i="3"/>
  <c r="Q80" i="3"/>
  <c r="B67" i="3"/>
  <c r="J67" i="3"/>
  <c r="J219" i="3" s="1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Q218" i="3"/>
  <c r="N5" i="3"/>
  <c r="I220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E218" i="3"/>
  <c r="M218" i="3"/>
  <c r="I18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39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H193" i="3" s="1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F187" i="3" l="1"/>
  <c r="M223" i="3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P191" i="3" s="1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E221" i="3" l="1"/>
  <c r="K221" i="3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F234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77" i="3" s="1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77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V134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V186" i="3"/>
  <c r="F216" i="3"/>
  <c r="C21" i="12"/>
  <c r="C71" i="12" s="1"/>
  <c r="C27" i="14"/>
  <c r="C31" i="12"/>
  <c r="C41" i="12"/>
  <c r="C46" i="3"/>
  <c r="C6" i="12"/>
  <c r="P234" i="3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D234" i="3" l="1"/>
  <c r="V135" i="3"/>
  <c r="V131" i="3"/>
  <c r="V128" i="3"/>
  <c r="V132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50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C77" i="3"/>
  <c r="C234" i="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40" i="3" l="1"/>
  <c r="I143" i="3"/>
  <c r="I142" i="3"/>
  <c r="I199" i="3"/>
  <c r="I141" i="3"/>
  <c r="I144" i="3"/>
  <c r="I146" i="3"/>
  <c r="I145" i="3"/>
  <c r="I139" i="3"/>
  <c r="I148" i="3"/>
  <c r="I14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225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S47" i="3"/>
  <c r="S147" i="3" s="1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B64" i="3" l="1"/>
  <c r="B168" i="3" s="1"/>
  <c r="B53" i="12"/>
  <c r="B17" i="12"/>
  <c r="B67" i="12" s="1"/>
  <c r="R139" i="3"/>
  <c r="R144" i="3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<sst xmlns="http://schemas.openxmlformats.org/spreadsheetml/2006/main" count="2655" uniqueCount="1167">
  <si>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</si>
  <si>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</si>
  <si>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</si>
  <si>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</si>
  <si>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</si>
  <si>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</si>
  <si>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</si>
  <si>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</si>
  <si>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</si>
  <si>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</si>
  <si>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</si>
  <si>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</si>
  <si>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</si>
  <si>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</si>
  <si>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</si>
  <si>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</si>
  <si>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</si>
  <si>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</si>
  <si>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</si>
  <si>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</si>
  <si>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</si>
  <si>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</si>
  <si>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</si>
  <si>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</si>
  <si>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</si>
  <si>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</si>
  <si>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</si>
  <si>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</si>
  <si>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</si>
  <si>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</si>
  <si>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</si>
  <si>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</si>
  <si>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</si>
  <si>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</si>
  <si>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</si>
  <si>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</si>
  <si>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</si>
  <si>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</si>
  <si>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</si>
  <si>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</si>
  <si>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</si>
  <si>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</si>
  <si>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</si>
  <si>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</si>
  <si>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</si>
  <si>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</si>
  <si>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</si>
  <si>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</si>
  <si>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</si>
  <si>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</si>
  <si>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</si>
  <si>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</si>
  <si>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</si>
  <si>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</si>
  <si>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</si>
  <si>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</si>
  <si>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</si>
  <si>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</si>
  <si>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</si>
  <si>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</si>
  <si>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</si>
  <si>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</si>
  <si>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</si>
  <si>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</si>
  <si>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</si>
  <si>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</si>
  <si>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</si>
  <si>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</si>
  <si>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</si>
  <si>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</si>
  <si>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</si>
  <si>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</si>
  <si>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</si>
  <si>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</si>
  <si>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</si>
  <si>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</si>
  <si>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</si>
  <si>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</si>
  <si>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</si>
  <si>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</si>
  <si>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</si>
  <si>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</si>
  <si>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</si>
  <si>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</si>
  <si>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</si>
  <si>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</si>
  <si>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</si>
  <si>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</si>
  <si>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</si>
  <si>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</si>
  <si>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</si>
  <si>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</si>
  <si>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</si>
  <si>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</si>
  <si>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</si>
  <si>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</si>
  <si>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</si>
  <si>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</si>
  <si>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</si>
  <si>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</si>
  <si>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</si>
  <si>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</si>
  <si>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</si>
  <si>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</si>
  <si>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</si>
  <si>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</si>
  <si>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</si>
  <si>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</si>
  <si>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</si>
  <si>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</si>
  <si>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</si>
  <si>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</si>
  <si>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</si>
  <si>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</si>
  <si>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</si>
  <si>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</si>
  <si>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</si>
  <si>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</si>
  <si>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</si>
  <si>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</si>
  <si>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</si>
  <si>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</si>
  <si>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</si>
  <si>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</si>
  <si>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</si>
  <si>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</si>
  <si>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</si>
  <si>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</si>
  <si>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</si>
  <si>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</si>
  <si>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</si>
  <si>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</si>
  <si>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</si>
  <si>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</si>
  <si>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</si>
  <si>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</si>
  <si>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</si>
  <si>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</si>
  <si>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</si>
  <si>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</si>
  <si>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</si>
  <si>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</si>
  <si>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</si>
  <si>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</si>
  <si>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</si>
  <si>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</si>
  <si>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</si>
  <si>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</si>
  <si>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</si>
  <si>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</si>
  <si>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</si>
  <si>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</si>
  <si>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</si>
  <si>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</si>
  <si>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</si>
  <si>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</si>
  <si>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</si>
  <si>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</si>
  <si>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</si>
  <si>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</si>
  <si>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</si>
  <si>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</si>
  <si>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</si>
  <si>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</si>
  <si>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</si>
  <si>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</si>
  <si>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</si>
  <si>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</si>
  <si>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</si>
  <si>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</si>
  <si>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</si>
  <si>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</si>
  <si>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</si>
  <si>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</si>
  <si>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</si>
  <si>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</si>
  <si>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</si>
  <si>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</si>
  <si>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</si>
  <si>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</si>
  <si>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</si>
  <si>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</si>
  <si>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</si>
  <si>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</si>
  <si>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</si>
  <si>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</si>
  <si>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EL</t>
  </si>
  <si>
    <t>Greece</t>
  </si>
  <si>
    <t>Aviation - EL - Greece</t>
  </si>
  <si>
    <t>Activity.Mpkm.EL.Tr.Avia.Passenger</t>
  </si>
  <si>
    <t>Activity.Mpkm.EL.Tr.Avia.Passenger.Domestic</t>
  </si>
  <si>
    <t>Activity.Mpkm.EL.Tr.Avia.Passenger.IntraEEAwUK</t>
  </si>
  <si>
    <t>Activity.Mpkm.EL.Tr.Avia.Passenger.ExtraEEAwUK</t>
  </si>
  <si>
    <t>Activity.Mtkm.EL.Tr.Avia.Freight</t>
  </si>
  <si>
    <t>Activity.Mtkm.EL.Tr.Avia.Freight.Domestic</t>
  </si>
  <si>
    <t>Activity.Mtkm.EL.Tr.Avia.Freight.IntraEEAwUK</t>
  </si>
  <si>
    <t>Activity.Mtkm.EL.Tr.Avia.Freight.ExtraEEAwUK</t>
  </si>
  <si>
    <t>VehicleKm.Mkm.EL.Tr.Avia</t>
  </si>
  <si>
    <t>VehicleKm.Mkm.EL.Tr.Avia.Passenger</t>
  </si>
  <si>
    <t>VehicleKm.Mkm.EL.Tr.Avia.Passenger.Domestic</t>
  </si>
  <si>
    <t>VehicleKm.Mkm.EL.Tr.Avia.Passenger.IntraEEAwUK</t>
  </si>
  <si>
    <t>VehicleKm.Mkm.EL.Tr.Avia.Passenger.ExtraEEAwUK</t>
  </si>
  <si>
    <t>VehicleKm.Mkm.EL.Tr.Avia.Freight</t>
  </si>
  <si>
    <t>VehicleKm.Mkm.EL.Tr.Avia.Freight.Domestic</t>
  </si>
  <si>
    <t>VehicleKm.Mkm.EL.Tr.Avia.Freight.IntraEEAwUK</t>
  </si>
  <si>
    <t>VehicleKm.Mkm.EL.Tr.Avia.Freight.ExtraEEAwUK</t>
  </si>
  <si>
    <t>Flights.number.EL.Tr.Avia</t>
  </si>
  <si>
    <t>Flights.number.EL.Tr.Avia.Passenger</t>
  </si>
  <si>
    <t>Flights.number.EL.Tr.Avia.Passenger.Domestic</t>
  </si>
  <si>
    <t>Flights.number.EL.Tr.Avia.Passenger.IntraEEAwUK</t>
  </si>
  <si>
    <t>Flights.number.EL.Tr.Avia.Passenger.ExtraEEAwUK</t>
  </si>
  <si>
    <t>Flights.number.EL.Tr.Avia.Freight</t>
  </si>
  <si>
    <t>Flights.number.EL.Tr.Avia.Freight.Domestic</t>
  </si>
  <si>
    <t>Flights.number.EL.Tr.Avia.Freight.IntraEEAwUK</t>
  </si>
  <si>
    <t>Flights.number.EL.Tr.Avia.Freight.ExtraEEAwUK</t>
  </si>
  <si>
    <t>VolCarried.passenger.EL.Tr.Avia.Passenger</t>
  </si>
  <si>
    <t>VolCarried.passenger.EL.Tr.Avia.Passenger.Domestic</t>
  </si>
  <si>
    <t>VolCarried.passenger.EL.Tr.Avia.Passenger.IntraEEAwUK</t>
  </si>
  <si>
    <t>VolCarried.passenger.EL.Tr.Avia.Passenger.ExtraEEAwUK</t>
  </si>
  <si>
    <t>VolCarried.t.EL.Tr.Avia.Freight</t>
  </si>
  <si>
    <t>VolCarried.t.EL.Tr.Avia.Freight.Domestic</t>
  </si>
  <si>
    <t>VolCarried.t.EL.Tr.Avia.Freight.IntraEEAwUK</t>
  </si>
  <si>
    <t>VolCarried.t.EL.Tr.Avia.Freight.ExtraEEAwUK</t>
  </si>
  <si>
    <t>Stock.number.EL.Tr.Avia</t>
  </si>
  <si>
    <t>Stock.number.EL.Tr.Avia.Passenger</t>
  </si>
  <si>
    <t>Stock.number.EL.Tr.Avia.Passenger.Domestic</t>
  </si>
  <si>
    <t>Stock.number.EL.Tr.Avia.Passenger.IntraEEAwUK</t>
  </si>
  <si>
    <t>Stock.number.EL.Tr.Avia.Passenger.ExtraEEAwUK</t>
  </si>
  <si>
    <t>Stock.number.EL.Tr.Avia.Freight</t>
  </si>
  <si>
    <t>Stock.number.EL.Tr.Avia.Freight.Domestic</t>
  </si>
  <si>
    <t>Stock.number.EL.Tr.Avia.Freight.IntraEEAwUK</t>
  </si>
  <si>
    <t>Stock.number.EL.Tr.Avia.Freight.ExtraEEAwUK</t>
  </si>
  <si>
    <t>StockNew.number.EL.Tr.Avia</t>
  </si>
  <si>
    <t>StockNew.number.EL.Tr.Avia.Passenger</t>
  </si>
  <si>
    <t>StockNew.number.EL.Tr.Avia.Passenger.Domestic</t>
  </si>
  <si>
    <t>StockNew.number.EL.Tr.Avia.Passenger.IntraEEAwUK</t>
  </si>
  <si>
    <t>StockNew.number.EL.Tr.Avia.Passenger.ExtraEEAwUK</t>
  </si>
  <si>
    <t>StockNew.number.EL.Tr.Avia.Freight</t>
  </si>
  <si>
    <t>StockNew.number.EL.Tr.Avia.Freight.Domestic</t>
  </si>
  <si>
    <t>StockNew.number.EL.Tr.Avia.Freight.IntraEEAwUK</t>
  </si>
  <si>
    <t>StockNew.number.EL.Tr.Avia.Freight.ExtraEEAwUK</t>
  </si>
  <si>
    <t>Load.passenger_per_movement.EL.Tr.Avia.Passenger</t>
  </si>
  <si>
    <t>Load.passenger_per_movement.EL.Tr.Avia.Passenger.Domestic</t>
  </si>
  <si>
    <t>Load.passenger_per_movement.EL.Tr.Avia.Passenger.IntraEEAwUK</t>
  </si>
  <si>
    <t>Load.passenger_per_movement.EL.Tr.Avia.Passenger.ExtraEEAwUK</t>
  </si>
  <si>
    <t>Load.t_per_movement.EL.Tr.Avia.Freight</t>
  </si>
  <si>
    <t>Load.t_per_movement.EL.Tr.Avia.Freight.Domestic</t>
  </si>
  <si>
    <t>Load.t_per_movement.EL.Tr.Avia.Freight.IntraEEAwUK</t>
  </si>
  <si>
    <t>Load.t_per_movement.EL.Tr.Avia.Freight.ExtraEEAwUK</t>
  </si>
  <si>
    <t>VehicleKm_per_flight.km.EL.Tr.Avia</t>
  </si>
  <si>
    <t>VehicleKm_per_flight.km.EL.Tr.Avia.Passenger</t>
  </si>
  <si>
    <t>VehicleKm_per_flight.km.EL.Tr.Avia.Passenger.Domestic</t>
  </si>
  <si>
    <t>VehicleKm_per_flight.km.EL.Tr.Avia.Passenger.IntraEEAwUK</t>
  </si>
  <si>
    <t>VehicleKm_per_flight.km.EL.Tr.Avia.Passenger.ExtraEEAwUK</t>
  </si>
  <si>
    <t>VehicleKm_per_flight.km.EL.Tr.Avia.Freight</t>
  </si>
  <si>
    <t>VehicleKm_per_flight.km.EL.Tr.Avia.Freight.Domestic</t>
  </si>
  <si>
    <t>VehicleKm_per_flight.km.EL.Tr.Avia.Freight.IntraEEAwUK</t>
  </si>
  <si>
    <t>VehicleKm_per_flight.km.EL.Tr.Avia.Freight.ExtraEEAwUK</t>
  </si>
  <si>
    <t>Activity_per_flight.pkm.EL.Tr.Avia.Passenger</t>
  </si>
  <si>
    <t>Activity_per_flight.pkm.EL.Tr.Avia.Passenger.Domestic</t>
  </si>
  <si>
    <t>Activity_per_flight.pkm.EL.Tr.Avia.Passenger.IntraEEAwUK</t>
  </si>
  <si>
    <t>Activity_per_flight.pkm.EL.Tr.Avia.Passenger.ExtraEEAwUK</t>
  </si>
  <si>
    <t>Activity_per_flight.tkm.EL.Tr.Avia.Freight</t>
  </si>
  <si>
    <t>Activity_per_flight.tkm.EL.Tr.Avia.Freight.Domestic</t>
  </si>
  <si>
    <t>Activity_per_flight.tkm.EL.Tr.Avia.Freight.IntraEEAwUK</t>
  </si>
  <si>
    <t>Activity_per_flight.tkm.EL.Tr.Avia.Freight.ExtraEEAwUK</t>
  </si>
  <si>
    <t>Flights_per_vehicle.number.EL.Tr.Avia</t>
  </si>
  <si>
    <t>Flights_per_vehicle.number.EL.Tr.Avia.Passenger</t>
  </si>
  <si>
    <t>Flights_per_vehicle.number.EL.Tr.Avia.Passenger.Domestic</t>
  </si>
  <si>
    <t>Flights_per_vehicle.number.EL.Tr.Avia.Passenger.IntraEEAwUK</t>
  </si>
  <si>
    <t>Flights_per_vehicle.number.EL.Tr.Avia.Passenger.ExtraEEAwUK</t>
  </si>
  <si>
    <t>Flights_per_vehicle.number.EL.Tr.Avia.Freight</t>
  </si>
  <si>
    <t>Flights_per_vehicle.number.EL.Tr.Avia.Freight.Domestic</t>
  </si>
  <si>
    <t>Flights_per_vehicle.number.EL.Tr.Avia.Freight.IntraEEAwUK</t>
  </si>
  <si>
    <t>Flights_per_vehicle.number.EL.Tr.Avia.Freight.ExtraEEAwUK</t>
  </si>
  <si>
    <t>Aviation / energy consumption - EL - Greece</t>
  </si>
  <si>
    <t>FEC.ktoe.EL.Tr.Avia</t>
  </si>
  <si>
    <t>FEC.ktoe.EL.Tr.Avia.Domestic</t>
  </si>
  <si>
    <t>FEC.ktoe.EL.Tr.Avia.International</t>
  </si>
  <si>
    <t>FEC.ktoe.EL.Tr.Avia.Passenger</t>
  </si>
  <si>
    <t>FEC.ktoe.EL.Tr.Avia.Passenger.Domestic</t>
  </si>
  <si>
    <t>FEC.ktoe.EL.Tr.Avia.Passenger.IntraEEAwUK</t>
  </si>
  <si>
    <t>FEC.ktoe.EL.Tr.Avia.Passenger.ExtraEEAwUK</t>
  </si>
  <si>
    <t>FEC.ktoe.EL.Tr.Avia.Freight</t>
  </si>
  <si>
    <t>FEC.ktoe.EL.Tr.Avia.Freight.Domestic</t>
  </si>
  <si>
    <t>FEC.ktoe.EL.Tr.Avia.Freight.IntraEEAwUK</t>
  </si>
  <si>
    <t>FEC.ktoe.EL.Tr.Avia.Freight.ExtraEEAwUK</t>
  </si>
  <si>
    <t>Eff.kgoe_per_100km.EL.Tr.Avia</t>
  </si>
  <si>
    <t>Eff.kgoe_per_100km.EL.Tr.Avia.Passenger</t>
  </si>
  <si>
    <t>Eff.kgoe_per_100km.EL.Tr.Avia.Passenger.Domestic</t>
  </si>
  <si>
    <t>Eff.kgoe_per_100km.EL.Tr.Avia.Passenger.IntraEEAwUK</t>
  </si>
  <si>
    <t>Eff.kgoe_per_100km.EL.Tr.Avia.Passenger.ExtraEEAwUK</t>
  </si>
  <si>
    <t>Eff.kgoe_per_100km.EL.Tr.Avia.Freight</t>
  </si>
  <si>
    <t>Eff.kgoe_per_100km.EL.Tr.Avia.Freight.Domestic</t>
  </si>
  <si>
    <t>Eff.kgoe_per_100km.EL.Tr.Avia.Freight.IntraEEAwUK</t>
  </si>
  <si>
    <t>Eff.kgoe_per_100km.EL.Tr.Avia.Freight.ExtraEEAwUK</t>
  </si>
  <si>
    <t>Eff.kgoe_per_kpkm.EL.Tr.Avia.Passenger</t>
  </si>
  <si>
    <t>Eff.kgoe_per_kpkm.EL.Tr.Avia.Passenger.Domestic</t>
  </si>
  <si>
    <t>Eff.kgoe_per_kpkm.EL.Tr.Avia.Passenger.IntraEEAwUK</t>
  </si>
  <si>
    <t>Eff.kgoe_per_kpkm.EL.Tr.Avia.Passenger.ExtraEEAwUK</t>
  </si>
  <si>
    <t>Eff.kgoe_per_ktkm.EL.Tr.Avia.Freight</t>
  </si>
  <si>
    <t>Eff.kgoe_per_ktkm.EL.Tr.Avia.Freight.Domestic</t>
  </si>
  <si>
    <t>Eff.kgoe_per_ktkm.EL.Tr.Avia.Freight.IntraEEAwUK</t>
  </si>
  <si>
    <t>Eff.kgoe_per_ktkm.EL.Tr.Avia.Freight.ExtraEEAwUK</t>
  </si>
  <si>
    <t>FEC_per_flight.kgoe.EL.Tr.Avia</t>
  </si>
  <si>
    <t>FEC_per_flight.kgoe.EL.Tr.Avia.Passenger</t>
  </si>
  <si>
    <t>FEC_per_flight.kgoe.EL.Tr.Avia.Passenger.Domestic</t>
  </si>
  <si>
    <t>FEC_per_flight.kgoe.EL.Tr.Avia.Passenger.IntraEEAwUK</t>
  </si>
  <si>
    <t>FEC_per_flight.kgoe.EL.Tr.Avia.Passenger.ExtraEEAwUK</t>
  </si>
  <si>
    <t>FEC_per_flight.kgoe.EL.Tr.Avia.Freight</t>
  </si>
  <si>
    <t>FEC_per_flight.kgoe.EL.Tr.Avia.Freight.Domestic</t>
  </si>
  <si>
    <t>FEC_per_flight.kgoe.EL.Tr.Avia.Freight.IntraEEAwUK</t>
  </si>
  <si>
    <t>FEC_per_flight.kgoe.EL.Tr.Avia.Freight.ExtraEEAwUK</t>
  </si>
  <si>
    <t>Eff_theor.kgoe_per_100km.EL.Tr.Avia</t>
  </si>
  <si>
    <t>Eff_theor.kgoe_per_100km.EL.Tr.Avia.Passenger</t>
  </si>
  <si>
    <t>Eff_theor.kgoe_per_100km.EL.Tr.Avia.Passenger.Domestic</t>
  </si>
  <si>
    <t>Eff_theor.kgoe_per_100km.EL.Tr.Avia.Passenger.IntraEEAwUK</t>
  </si>
  <si>
    <t>Eff_theor.kgoe_per_100km.EL.Tr.Avia.Passenger.ExtraEEAwUK</t>
  </si>
  <si>
    <t>Eff_theor.kgoe_per_100km.EL.Tr.Avia.Freight</t>
  </si>
  <si>
    <t>Eff_theor.kgoe_per_100km.EL.Tr.Avia.Freight.Domestic</t>
  </si>
  <si>
    <t>Eff_theor.kgoe_per_100km.EL.Tr.Avia.Freight.IntraEEAwUK</t>
  </si>
  <si>
    <t>Eff_theor.kgoe_per_100km.EL.Tr.Avia.Freight.ExtraEEAwUK</t>
  </si>
  <si>
    <t>Aviation / CO2 emissions - EL - Greece</t>
  </si>
  <si>
    <t>EMI.ktCO2.EL.Tr.Avia</t>
  </si>
  <si>
    <t>EMI.ktCO2.EL.Tr.Avia.Domestic</t>
  </si>
  <si>
    <t>EMI.ktCO2.EL.Tr.Avia.International</t>
  </si>
  <si>
    <t>EMI.ktCO2.EL.Tr.Avia.Passenger</t>
  </si>
  <si>
    <t>EMI.ktCO2.EL.Tr.Avia.Passenger.Domestic</t>
  </si>
  <si>
    <t>EMI.ktCO2.EL.Tr.Avia.Passenger.IntraEEAwUK</t>
  </si>
  <si>
    <t>EMI.ktCO2.EL.Tr.Avia.Passenger.ExtraEEAwUK</t>
  </si>
  <si>
    <t>EMI.ktCO2.EL.Tr.Avia.Freight</t>
  </si>
  <si>
    <t>EMI.ktCO2.EL.Tr.Avia.Freight.Domestic</t>
  </si>
  <si>
    <t>EMI.ktCO2.EL.Tr.Avia.Freight.IntraEEAwUK</t>
  </si>
  <si>
    <t>EMI.ktCO2.EL.Tr.Avia.Freight.ExtraEEAwUK</t>
  </si>
  <si>
    <t>EMIint.gCO2_per_km.EL.Tr.Avia</t>
  </si>
  <si>
    <t>EMIint.gCO2_per_km.EL.Tr.Avia.Passenger</t>
  </si>
  <si>
    <t>EMIint.gCO2_per_km.EL.Tr.Avia.Passenger.Domestic</t>
  </si>
  <si>
    <t>EMIint.gCO2_per_km.EL.Tr.Avia.Passenger.IntraEEAwUK</t>
  </si>
  <si>
    <t>EMIint.gCO2_per_km.EL.Tr.Avia.Passenger.ExtraEEAwUK</t>
  </si>
  <si>
    <t>EMIint.gCO2_per_km.EL.Tr.Avia.Freight</t>
  </si>
  <si>
    <t>EMIint.gCO2_per_km.EL.Tr.Avia.Freight.Domestic</t>
  </si>
  <si>
    <t>EMIint.gCO2_per_km.EL.Tr.Avia.Freight.IntraEEAwUK</t>
  </si>
  <si>
    <t>EMIint.gCO2_per_km.EL.Tr.Avia.Freight.ExtraEEAwUK</t>
  </si>
  <si>
    <t>EMIint.gCO2_per_pkm.EL.Tr.Avia.Passenger</t>
  </si>
  <si>
    <t>EMIint.gCO2_per_pkm.EL.Tr.Avia.Passenger.Domestic</t>
  </si>
  <si>
    <t>EMIint.gCO2_per_pkm.EL.Tr.Avia.Passenger.IntraEEAwUK</t>
  </si>
  <si>
    <t>EMIint.gCO2_per_pkm.EL.Tr.Avia.Passenger.ExtraEEAwUK</t>
  </si>
  <si>
    <t>EMIint.gCO2_per_tkm.EL.Tr.Avia.Freight</t>
  </si>
  <si>
    <t>EMIint.gCO2_per_tkm.EL.Tr.Avia.Freight.Domestic</t>
  </si>
  <si>
    <t>EMIint.gCO2_per_tkm.EL.Tr.Avia.Freight.IntraEEAwUK</t>
  </si>
  <si>
    <t>EMIint.gCO2_per_tkm.EL.Tr.Avia.Freight.ExtraEEAwUK</t>
  </si>
  <si>
    <t>EMI_per_flight.kgCO2.EL.Tr.Avia</t>
  </si>
  <si>
    <t>EMI_per_flight.kgCO2.EL.Tr.Avia.Passenger</t>
  </si>
  <si>
    <t>EMI_per_flight.kgCO2.EL.Tr.Avia.Passenger.Domestic</t>
  </si>
  <si>
    <t>EMI_per_flight.kgCO2.EL.Tr.Avia.Passenger.IntraEEAwUK</t>
  </si>
  <si>
    <t>EMI_per_flight.kgCO2.EL.Tr.Avia.Passenger.ExtraEEAwUK</t>
  </si>
  <si>
    <t>EMI_per_flight.kgCO2.EL.Tr.Avia.Freight</t>
  </si>
  <si>
    <t>EMI_per_flight.kgCO2.EL.Tr.Avia.Freight.Domestic</t>
  </si>
  <si>
    <t>EMI_per_flight.kgCO2.EL.Tr.Avia.Freight.IntraEEAwUK</t>
  </si>
  <si>
    <t>EMI_per_flight.kgCO2.EL.Tr.Avia.Freight.ExtraEEAwUK</t>
  </si>
  <si>
    <t>Aviation / passenger transport specific data - EL - Greece</t>
  </si>
  <si>
    <t>TrCap.seats.EL.Tr.Avia.Passenger</t>
  </si>
  <si>
    <t>TrCap.seats.EL.Tr.Avia.Passenger.Domestic</t>
  </si>
  <si>
    <t>TrCap.seats.EL.Tr.Avia.Passenger.IntraEEAwUK</t>
  </si>
  <si>
    <t>TrCap.seats.EL.Tr.Avia.Passenger.ExtraEEAwUK</t>
  </si>
  <si>
    <t>TrCap_per_flight.seats.EL.Tr.Avia.Passenger</t>
  </si>
  <si>
    <t>TrCap_per_flight.seats.EL.Tr.Avia.Passenger.Domestic</t>
  </si>
  <si>
    <t>TrCap_per_flight.seats.EL.Tr.Avia.Passenger.IntraEEAwUK</t>
  </si>
  <si>
    <t>TrCap_per_flight.seats.EL.Tr.Avia.Passenger.ExtraEEAwUK</t>
  </si>
  <si>
    <t>Transport overview - EL - Greece</t>
  </si>
  <si>
    <t>Activity.Mpkm.EL.Tr</t>
  </si>
  <si>
    <t>Activity.Mpkm.EL.Tr.Road.Passenger</t>
  </si>
  <si>
    <t>Activity.Mpkm.EL.Tr.Road.Passenger.P2W</t>
  </si>
  <si>
    <t>Activity.Mpkm.EL.Tr.Road.Passenger.Car</t>
  </si>
  <si>
    <t>Activity.Mpkm.EL.Tr.Road.Passenger.Bus</t>
  </si>
  <si>
    <t>Activity.Mpkm.EL.Tr.Rail.Passenger</t>
  </si>
  <si>
    <t>Activity.Mpkm.EL.Tr.Rail.Passenger.MTU</t>
  </si>
  <si>
    <t>Activity.Mpkm.EL.Tr.Rail.Passenger.CPT</t>
  </si>
  <si>
    <t>Activity.Mpkm.EL.Tr.Rail.Passenger.HST</t>
  </si>
  <si>
    <t>Activity.Mtkm.EL.Tr</t>
  </si>
  <si>
    <t>Activity.Mtkm.EL.Tr.Road.Freight</t>
  </si>
  <si>
    <t>Activity.Mtkm.EL.Tr.Road.Freight.LCV</t>
  </si>
  <si>
    <t>Activity.Mtkm.EL.Tr.Road.Freight.HGV</t>
  </si>
  <si>
    <t>Activity.Mtkm.EL.Tr.Rail.Freight</t>
  </si>
  <si>
    <t>Activity.Mtkm.EL.Tr.DNavi.Freight</t>
  </si>
  <si>
    <t>Activity.Mtkm.EL.Tr.DNavi.Freight.DCS</t>
  </si>
  <si>
    <t>Activity.Mtkm.EL.Tr.DNavi.Freight.IWW</t>
  </si>
  <si>
    <t>Activity.Mtkm.EL.MBunk.Freight</t>
  </si>
  <si>
    <t>Activity.Mtkm.EL.MBunk.Freight.IntraEEA</t>
  </si>
  <si>
    <t>Activity.Mtkm.EL.MBunk.Freight.ExtraEEA</t>
  </si>
  <si>
    <t>FEC.ktoe.EL.Tr.Road.Passenger</t>
  </si>
  <si>
    <t>FEC.ktoe.EL.Tr.Road.Passenger.P2W</t>
  </si>
  <si>
    <t>FEC.ktoe.EL.Tr.Road.Passenger.Car</t>
  </si>
  <si>
    <t>FEC.ktoe.EL.Tr.Road.Passenger.Bus</t>
  </si>
  <si>
    <t>FEC.ktoe.EL.Tr.Rail.Passenger</t>
  </si>
  <si>
    <t>FEC.ktoe.EL.Tr.Rail.Passenger.MTU</t>
  </si>
  <si>
    <t>FEC.ktoe.EL.Tr.Rail.Passenger.CPT</t>
  </si>
  <si>
    <t>FEC.ktoe.EL.Tr.Rail.Passenger.HST</t>
  </si>
  <si>
    <t>FEC.ktoe.EL.Tr.Road.Freight</t>
  </si>
  <si>
    <t>FEC.ktoe.EL.Tr.Road.Freight.LCV</t>
  </si>
  <si>
    <t>FEC.ktoe.EL.Tr.Road.Freight.HGV</t>
  </si>
  <si>
    <t>FEC.ktoe.EL.Tr.Rail.Freight</t>
  </si>
  <si>
    <t>EMI.ktCO2.EL.Tr.Road.Passenger</t>
  </si>
  <si>
    <t>EMI.ktCO2.EL.Tr.Road.Passenger.P2W</t>
  </si>
  <si>
    <t>EMI.ktCO2.EL.Tr.Road.Passenger.Car</t>
  </si>
  <si>
    <t>EMI.ktCO2.EL.Tr.Road.Passenger.Bus</t>
  </si>
  <si>
    <t>EMI.ktCO2.EL.Tr.Rail.Passenger</t>
  </si>
  <si>
    <t>EMI.ktCO2.EL.Tr.Rail.Passenger.MTU</t>
  </si>
  <si>
    <t>EMI.ktCO2.EL.Tr.Rail.Passenger.CPT</t>
  </si>
  <si>
    <t>EMI.ktCO2.EL.Tr.Rail.Passenger.HST</t>
  </si>
  <si>
    <t>EMI.ktCO2.EL.Tr.Road.Freight</t>
  </si>
  <si>
    <t>EMI.ktCO2.EL.Tr.Road.Freight.LCV</t>
  </si>
  <si>
    <t>EMI.ktCO2.EL.Tr.Road.Freight.HGV</t>
  </si>
  <si>
    <t>EMI.ktCO2.EL.Tr.Rail.Freight</t>
  </si>
  <si>
    <t>Eff.kgoe_per_kpkm.EL.Tr</t>
  </si>
  <si>
    <t>Eff.kgoe_per_kpkm.EL.Tr.Road.Passenger</t>
  </si>
  <si>
    <t>Eff.kgoe_per_kpkm.EL.Tr.Road.Passenger.P2W</t>
  </si>
  <si>
    <t>Eff.kgoe_per_kpkm.EL.Tr.Road.Passenger.Car</t>
  </si>
  <si>
    <t>Eff.kgoe_per_kpkm.EL.Tr.Road.Passenger.Bus</t>
  </si>
  <si>
    <t>Eff.kgoe_per_kpkm.EL.Tr.Rail.Passenger</t>
  </si>
  <si>
    <t>Eff.kgoe_per_kpkm.EL.Tr.Rail.Passenger.MTU</t>
  </si>
  <si>
    <t>Eff.kgoe_per_kpkm.EL.Tr.Rail.Passenger.CPT</t>
  </si>
  <si>
    <t>Eff.kgoe_per_kpkm.EL.Tr.Rail.Passenger.HST</t>
  </si>
  <si>
    <t>Eff.kgoe_per_ktkm.EL.Tr</t>
  </si>
  <si>
    <t>Eff.kgoe_per_ktkm.EL.Tr.Road.Freight</t>
  </si>
  <si>
    <t>Eff.kgoe_per_ktkm.EL.Tr.Road.Freight.LCV</t>
  </si>
  <si>
    <t>Eff.kgoe_per_ktkm.EL.Tr.Road.Freight.HGV</t>
  </si>
  <si>
    <t>Eff.kgoe_per_ktkm.EL.Tr.Rail.Freight</t>
  </si>
  <si>
    <t>Eff.kgoe_per_ktkm.EL.Tr.DNavi.Freight</t>
  </si>
  <si>
    <t>Eff.kgoe_per_ktkm.EL.Tr.DNavi.Freight.DCS</t>
  </si>
  <si>
    <t>Eff.kgoe_per_ktkm.EL.Tr.DNavi.Freight.IWW</t>
  </si>
  <si>
    <t>Eff.kgoe_per_ktkm.EL.MBunk.Freight</t>
  </si>
  <si>
    <t>Eff.kgoe_per_ktkm.EL.MBunk.Freight.IntraEEA</t>
  </si>
  <si>
    <t>Eff.kgoe_per_ktkm.EL.MBunk.Freight.ExtraEEA</t>
  </si>
  <si>
    <t>EMIint.gCO2_per_pkm.EL.Tr</t>
  </si>
  <si>
    <t>EMIint.gCO2_per_pkm.EL.Tr.Road.Passenger</t>
  </si>
  <si>
    <t>EMIint.gCO2_per_pkm.EL.Tr.Road.Passenger.P2W</t>
  </si>
  <si>
    <t>EMIint.gCO2_per_pkm.EL.Tr.Road.Passenger.Car</t>
  </si>
  <si>
    <t>EMIint.gCO2_per_pkm.EL.Tr.Road.Passenger.Bus</t>
  </si>
  <si>
    <t>EMIint.gCO2_per_pkm.EL.Tr.Rail.Passenger</t>
  </si>
  <si>
    <t>EMIint.gCO2_per_pkm.EL.Tr.Rail.Passenger.MTU</t>
  </si>
  <si>
    <t>EMIint.gCO2_per_pkm.EL.Tr.Rail.Passenger.CPT</t>
  </si>
  <si>
    <t>EMIint.gCO2_per_pkm.EL.Tr.Rail.Passenger.HST</t>
  </si>
  <si>
    <t>EMIint.gCO2_per_tkm.EL.Tr</t>
  </si>
  <si>
    <t>EMIint.gCO2_per_tkm.EL.Tr.Road.Freight</t>
  </si>
  <si>
    <t>EMIint.gCO2_per_tkm.EL.Tr.Road.Freight.LCV</t>
  </si>
  <si>
    <t>EMIint.gCO2_per_tkm.EL.Tr.Road.Freight.HGV</t>
  </si>
  <si>
    <t>EMIint.gCO2_per_tkm.EL.Tr.Rail.Freight</t>
  </si>
  <si>
    <t>EMIint.gCO2_per_tkm.EL.Tr.DNavi.Freight</t>
  </si>
  <si>
    <t>EMIint.gCO2_per_tkm.EL.Tr.DNavi.Freight.DCS</t>
  </si>
  <si>
    <t>EMIint.gCO2_per_tkm.EL.Tr.DNavi.Freight.IWW</t>
  </si>
  <si>
    <t>EMIint.gCO2_per_tkm.EL.MBunk.Freight</t>
  </si>
  <si>
    <t>EMIint.gCO2_per_tkm.EL.MBunk.Freight.IntraEEA</t>
  </si>
  <si>
    <t>EMIint.gCO2_per_tkm.EL.MBunk.Freight.ExtraEEA</t>
  </si>
  <si>
    <t>Road transport - EL - Greece</t>
  </si>
  <si>
    <t>Activity.Mpkm.EL.Tr.Road.Passenger.Car.ICE.Gasoline</t>
  </si>
  <si>
    <t>Activity.Mpkm.EL.Tr.Road.Passenger.Car.ICE.Diesel</t>
  </si>
  <si>
    <t>Activity.Mpkm.EL.Tr.Road.Passenger.Car.ICE.LPG</t>
  </si>
  <si>
    <t>Activity.Mpkm.EL.Tr.Road.Passenger.Car.ICE.NGas</t>
  </si>
  <si>
    <t>Activity.Mpkm.EL.Tr.Road.Passenger.Car.PHEV</t>
  </si>
  <si>
    <t>Activity.Mpkm.EL.Tr.Road.Passenger.Car.BEV</t>
  </si>
  <si>
    <t>Activity.Mpkm.EL.Tr.Road.Passenger.Bus.ICE.Gasoline</t>
  </si>
  <si>
    <t>Activity.Mpkm.EL.Tr.Road.Passenger.Bus.ICE.Diesel</t>
  </si>
  <si>
    <t>Activity.Mpkm.EL.Tr.Road.Passenger.Bus.ICE.LPG</t>
  </si>
  <si>
    <t>Activity.Mpkm.EL.Tr.Road.Passenger.Bus.ICE.NGas</t>
  </si>
  <si>
    <t>Activity.Mpkm.EL.Tr.Road.Passenger.Bus.ICE.BEV</t>
  </si>
  <si>
    <t>Activity.Mtkm.EL.Tr.Road.Freight.LCV.ICE.Gasoline</t>
  </si>
  <si>
    <t>Activity.Mtkm.EL.Tr.Road.Freight.LCV.ICE.Diesel</t>
  </si>
  <si>
    <t>Activity.Mtkm.EL.Tr.Road.Freight.LCV.ICE.LPG</t>
  </si>
  <si>
    <t>Activity.Mtkm.EL.Tr.Road.Freight.LCV.ICE.NGas</t>
  </si>
  <si>
    <t>Activity.Mtkm.EL.Tr.Road.Freight.LCV.ICE.BEV</t>
  </si>
  <si>
    <t>Activity.Mtkm.EL.Tr.Road.Freight.HGV.Domestic</t>
  </si>
  <si>
    <t>Activity.Mtkm.EL.Tr.Road.Freight.HGV.International</t>
  </si>
  <si>
    <t>VehicleKm.Mkm.EL.Tr.Road</t>
  </si>
  <si>
    <t>VehicleKm.Mkm.EL.Tr.Road.Passenger</t>
  </si>
  <si>
    <t>VehicleKm.Mkm.EL.Tr.Road.Passenger.P2W</t>
  </si>
  <si>
    <t>VehicleKm.Mkm.EL.Tr.Road.Passenger.Car</t>
  </si>
  <si>
    <t>VehicleKm.Mkm.EL.Tr.Road.Passenger.Car.ICE.Gasoline</t>
  </si>
  <si>
    <t>VehicleKm.Mkm.EL.Tr.Road.Passenger.Car.ICE.Diesel</t>
  </si>
  <si>
    <t>VehicleKm.Mkm.EL.Tr.Road.Passenger.Car.ICE.LPG</t>
  </si>
  <si>
    <t>VehicleKm.Mkm.EL.Tr.Road.Passenger.Car.ICE.NGas</t>
  </si>
  <si>
    <t>VehicleKm.Mkm.EL.Tr.Road.Passenger.Car.PHEV</t>
  </si>
  <si>
    <t>VehicleKm.Mkm.EL.Tr.Road.Passenger.Car.BEV</t>
  </si>
  <si>
    <t>VehicleKm.Mkm.EL.Tr.Road.Passenger.Bus</t>
  </si>
  <si>
    <t>VehicleKm.Mkm.EL.Tr.Road.Passenger.Bus.ICE.Gasoline</t>
  </si>
  <si>
    <t>VehicleKm.Mkm.EL.Tr.Road.Passenger.Bus.ICE.Diesel</t>
  </si>
  <si>
    <t>VehicleKm.Mkm.EL.Tr.Road.Passenger.Bus.ICE.LPG</t>
  </si>
  <si>
    <t>VehicleKm.Mkm.EL.Tr.Road.Passenger.Bus.ICE.NGas</t>
  </si>
  <si>
    <t>VehicleKm.Mkm.EL.Tr.Road.Passenger.Bus.ICE.BEV</t>
  </si>
  <si>
    <t>VehicleKm.Mkm.EL.Tr.Road.Freight</t>
  </si>
  <si>
    <t>VehicleKm.Mkm.EL.Tr.Road.Freight.LCV</t>
  </si>
  <si>
    <t>VehicleKm.Mkm.EL.Tr.Road.Freight.LCV.ICE.Gasoline</t>
  </si>
  <si>
    <t>VehicleKm.Mkm.EL.Tr.Road.Freight.LCV.ICE.Diesel</t>
  </si>
  <si>
    <t>VehicleKm.Mkm.EL.Tr.Road.Freight.LCV.ICE.LPG</t>
  </si>
  <si>
    <t>VehicleKm.Mkm.EL.Tr.Road.Freight.LCV.ICE.NGas</t>
  </si>
  <si>
    <t>VehicleKm.Mkm.EL.Tr.Road.Freight.LCV.ICE.BEV</t>
  </si>
  <si>
    <t>VehicleKm.Mkm.EL.Tr.Road.Freight.HGV</t>
  </si>
  <si>
    <t>VehicleKm.Mkm.EL.Tr.Road.Freight.HGV.Domestic</t>
  </si>
  <si>
    <t>VehicleKm.Mkm.EL.Tr.Road.Freight.HGV.International</t>
  </si>
  <si>
    <t>Stock.number.EL.Tr.Road</t>
  </si>
  <si>
    <t>Stock.number.EL.Tr.Road.Passenger</t>
  </si>
  <si>
    <t>Stock.number.EL.Tr.Road.Passenger.P2W</t>
  </si>
  <si>
    <t>Stock.number.EL.Tr.Road.Passenger.Car</t>
  </si>
  <si>
    <t>Stock.number.EL.Tr.Road.Passenger.Car.ICE.Gasoline</t>
  </si>
  <si>
    <t>Stock.number.EL.Tr.Road.Passenger.Car.ICE.Diesel</t>
  </si>
  <si>
    <t>Stock.number.EL.Tr.Road.Passenger.Car.ICE.LPG</t>
  </si>
  <si>
    <t>Stock.number.EL.Tr.Road.Passenger.Car.ICE.NGas</t>
  </si>
  <si>
    <t>Stock.number.EL.Tr.Road.Passenger.Car.PHEV</t>
  </si>
  <si>
    <t>Stock.number.EL.Tr.Road.Passenger.Car.BEV</t>
  </si>
  <si>
    <t>Stock.number.EL.Tr.Road.Passenger.Bus</t>
  </si>
  <si>
    <t>Stock.number.EL.Tr.Road.Passenger.Bus.ICE.Gasoline</t>
  </si>
  <si>
    <t>Stock.number.EL.Tr.Road.Passenger.Bus.ICE.Diesel</t>
  </si>
  <si>
    <t>Stock.number.EL.Tr.Road.Passenger.Bus.ICE.LPG</t>
  </si>
  <si>
    <t>Stock.number.EL.Tr.Road.Passenger.Bus.ICE.NGas</t>
  </si>
  <si>
    <t>Stock.number.EL.Tr.Road.Passenger.Bus.ICE.BEV</t>
  </si>
  <si>
    <t>Stock.number.EL.Tr.Road.Freight</t>
  </si>
  <si>
    <t>Stock.number.EL.Tr.Road.Freight.LCV</t>
  </si>
  <si>
    <t>Stock.number.EL.Tr.Road.Freight.LCV.ICE.Gasoline</t>
  </si>
  <si>
    <t>Stock.number.EL.Tr.Road.Freight.LCV.ICE.Diesel</t>
  </si>
  <si>
    <t>Stock.number.EL.Tr.Road.Freight.LCV.ICE.LPG</t>
  </si>
  <si>
    <t>Stock.number.EL.Tr.Road.Freight.LCV.ICE.NGas</t>
  </si>
  <si>
    <t>Stock.number.EL.Tr.Road.Freight.LCV.ICE.BEV</t>
  </si>
  <si>
    <t>Stock.number.EL.Tr.Road.Freight.HGV</t>
  </si>
  <si>
    <t>Stock.number.EL.Tr.Road.Freight.HGV.Domestic</t>
  </si>
  <si>
    <t>Stock.number.EL.Tr.Road.Freight.HGV.International</t>
  </si>
  <si>
    <t>StockNew.number.EL.Tr.Road</t>
  </si>
  <si>
    <t>StockNew.number.EL.Tr.Road.Passenger</t>
  </si>
  <si>
    <t>StockNew.number.EL.Tr.Road.Passenger.P2W</t>
  </si>
  <si>
    <t>StockNew.number.EL.Tr.Road.Passenger.Car</t>
  </si>
  <si>
    <t>StockNew.number.EL.Tr.Road.Passenger.Car.ICE.Gasoline</t>
  </si>
  <si>
    <t>StockNew.number.EL.Tr.Road.Passenger.Car.ICE.Diesel</t>
  </si>
  <si>
    <t>StockNew.number.EL.Tr.Road.Passenger.Car.ICE.LPG</t>
  </si>
  <si>
    <t>StockNew.number.EL.Tr.Road.Passenger.Car.ICE.NGas</t>
  </si>
  <si>
    <t>StockNew.number.EL.Tr.Road.Passenger.Car.PHEV</t>
  </si>
  <si>
    <t>StockNew.number.EL.Tr.Road.Passenger.Car.BEV</t>
  </si>
  <si>
    <t>StockNew.number.EL.Tr.Road.Passenger.Bus</t>
  </si>
  <si>
    <t>StockNew.number.EL.Tr.Road.Passenger.Bus.ICE.Gasoline</t>
  </si>
  <si>
    <t>StockNew.number.EL.Tr.Road.Passenger.Bus.ICE.Diesel</t>
  </si>
  <si>
    <t>StockNew.number.EL.Tr.Road.Passenger.Bus.ICE.LPG</t>
  </si>
  <si>
    <t>StockNew.number.EL.Tr.Road.Passenger.Bus.ICE.NGas</t>
  </si>
  <si>
    <t>StockNew.number.EL.Tr.Road.Passenger.Bus.ICE.BEV</t>
  </si>
  <si>
    <t>StockNew.number.EL.Tr.Road.Freight</t>
  </si>
  <si>
    <t>StockNew.number.EL.Tr.Road.Freight.LCV</t>
  </si>
  <si>
    <t>StockNew.number.EL.Tr.Road.Freight.LCV.ICE.Gasoline</t>
  </si>
  <si>
    <t>StockNew.number.EL.Tr.Road.Freight.LCV.ICE.Diesel</t>
  </si>
  <si>
    <t>StockNew.number.EL.Tr.Road.Freight.LCV.ICE.LPG</t>
  </si>
  <si>
    <t>StockNew.number.EL.Tr.Road.Freight.LCV.ICE.NGas</t>
  </si>
  <si>
    <t>StockNew.number.EL.Tr.Road.Freight.LCV.ICE.BEV</t>
  </si>
  <si>
    <t>StockNew.number.EL.Tr.Road.Freight.HGV</t>
  </si>
  <si>
    <t>StockNew.number.EL.Tr.Road.Freight.HGV.Domestic</t>
  </si>
  <si>
    <t>StockNew.number.EL.Tr.Road.Freight.HGV.International</t>
  </si>
  <si>
    <t>Load.passenger_per_movement.EL.Tr.Road.Passenger</t>
  </si>
  <si>
    <t>Load.passenger_per_movement.EL.Tr.Road.Passenger.P2W</t>
  </si>
  <si>
    <t>Load.passenger_per_movement.EL.Tr.Road.Passenger.Car</t>
  </si>
  <si>
    <t>Load.passenger_per_movement.EL.Tr.Road.Passenger.Car.ICE.Gasoline</t>
  </si>
  <si>
    <t>Load.passenger_per_movement.EL.Tr.Road.Passenger.Car.ICE.Diesel</t>
  </si>
  <si>
    <t>Load.passenger_per_movement.EL.Tr.Road.Passenger.Car.ICE.LPG</t>
  </si>
  <si>
    <t>Load.passenger_per_movement.EL.Tr.Road.Passenger.Car.ICE.NGas</t>
  </si>
  <si>
    <t>Load.passenger_per_movement.EL.Tr.Road.Passenger.Car.PHEV</t>
  </si>
  <si>
    <t>Load.passenger_per_movement.EL.Tr.Road.Passenger.Car.BEV</t>
  </si>
  <si>
    <t>Load.passenger_per_movement.EL.Tr.Road.Passenger.Bus</t>
  </si>
  <si>
    <t>Load.passenger_per_movement.EL.Tr.Road.Passenger.Bus.ICE.Gasoline</t>
  </si>
  <si>
    <t>Load.passenger_per_movement.EL.Tr.Road.Passenger.Bus.ICE.Diesel</t>
  </si>
  <si>
    <t>Load.passenger_per_movement.EL.Tr.Road.Passenger.Bus.ICE.LPG</t>
  </si>
  <si>
    <t>Load.passenger_per_movement.EL.Tr.Road.Passenger.Bus.ICE.NGas</t>
  </si>
  <si>
    <t>Load.passenger_per_movement.EL.Tr.Road.Passenger.Bus.ICE.BEV</t>
  </si>
  <si>
    <t>Load.t_per_movement.EL.Tr.Road.Freight</t>
  </si>
  <si>
    <t>Load.t_per_movement.EL.Tr.Road.Freight.LCV</t>
  </si>
  <si>
    <t>Load.t_per_movement.EL.Tr.Road.Freight.LCV.ICE.Gasoline</t>
  </si>
  <si>
    <t>Load.t_per_movement.EL.Tr.Road.Freight.LCV.ICE.Diesel</t>
  </si>
  <si>
    <t>Load.t_per_movement.EL.Tr.Road.Freight.LCV.ICE.LPG</t>
  </si>
  <si>
    <t>Load.t_per_movement.EL.Tr.Road.Freight.LCV.ICE.NGas</t>
  </si>
  <si>
    <t>Load.t_per_movement.EL.Tr.Road.Freight.LCV.ICE.BEV</t>
  </si>
  <si>
    <t>Load.t_per_movement.EL.Tr.Road.Freight.HGV</t>
  </si>
  <si>
    <t>Load.t_per_movement.EL.Tr.Road.Freight.HGV.Domestic</t>
  </si>
  <si>
    <t>Load.t_per_movement.EL.Tr.Road.Freight.HGV.International</t>
  </si>
  <si>
    <t>VehicleKm_per_vehicle.km.EL.Tr.Road</t>
  </si>
  <si>
    <t>VehicleKm_per_vehicle.km.EL.Tr.Road.Passenger</t>
  </si>
  <si>
    <t>VehicleKm_per_vehicle.km.EL.Tr.Road.Passenger.P2W</t>
  </si>
  <si>
    <t>VehicleKm_per_vehicle.km.EL.Tr.Road.Passenger.Car</t>
  </si>
  <si>
    <t>VehicleKm_per_vehicle.km.EL.Tr.Road.Passenger.Car.ICE.Gasoline</t>
  </si>
  <si>
    <t>VehicleKm_per_vehicle.km.EL.Tr.Road.Passenger.Car.ICE.Diesel</t>
  </si>
  <si>
    <t>VehicleKm_per_vehicle.km.EL.Tr.Road.Passenger.Car.ICE.LPG</t>
  </si>
  <si>
    <t>VehicleKm_per_vehicle.km.EL.Tr.Road.Passenger.Car.ICE.NGas</t>
  </si>
  <si>
    <t>VehicleKm_per_vehicle.km.EL.Tr.Road.Passenger.Car.PHEV</t>
  </si>
  <si>
    <t>VehicleKm_per_vehicle.km.EL.Tr.Road.Passenger.Car.BEV</t>
  </si>
  <si>
    <t>VehicleKm_per_vehicle.km.EL.Tr.Road.Passenger.Bus</t>
  </si>
  <si>
    <t>VehicleKm_per_vehicle.km.EL.Tr.Road.Passenger.Bus.ICE.Gasoline</t>
  </si>
  <si>
    <t>VehicleKm_per_vehicle.km.EL.Tr.Road.Passenger.Bus.ICE.Diesel</t>
  </si>
  <si>
    <t>VehicleKm_per_vehicle.km.EL.Tr.Road.Passenger.Bus.ICE.LPG</t>
  </si>
  <si>
    <t>VehicleKm_per_vehicle.km.EL.Tr.Road.Passenger.Bus.ICE.NGas</t>
  </si>
  <si>
    <t>VehicleKm_per_vehicle.km.EL.Tr.Road.Passenger.Bus.ICE.BEV</t>
  </si>
  <si>
    <t>VehicleKm_per_vehicle.km.EL.Tr.Road.Freight</t>
  </si>
  <si>
    <t>VehicleKm_per_vehicle.km.EL.Tr.Road.Freight.LCV</t>
  </si>
  <si>
    <t>VehicleKm_per_vehicle.km.EL.Tr.Road.Freight.LCV.ICE.Gasoline</t>
  </si>
  <si>
    <t>VehicleKm_per_vehicle.km.EL.Tr.Road.Freight.LCV.ICE.Diesel</t>
  </si>
  <si>
    <t>VehicleKm_per_vehicle.km.EL.Tr.Road.Freight.LCV.ICE.LPG</t>
  </si>
  <si>
    <t>VehicleKm_per_vehicle.km.EL.Tr.Road.Freight.LCV.ICE.NGas</t>
  </si>
  <si>
    <t>VehicleKm_per_vehicle.km.EL.Tr.Road.Freight.LCV.ICE.BEV</t>
  </si>
  <si>
    <t>VehicleKm_per_vehicle.km.EL.Tr.Road.Freight.HGV</t>
  </si>
  <si>
    <t>VehicleKm_per_vehicle.km.EL.Tr.Road.Freight.HGV.Domestic</t>
  </si>
  <si>
    <t>VehicleKm_per_vehicle.km.EL.Tr.Road.Freight.HGV.International</t>
  </si>
  <si>
    <t>Activity_per_vehicle.pkm.EL.Tr.Road.Passenger</t>
  </si>
  <si>
    <t>Activity_per_vehicle.pkm.EL.Tr.Road.Passenger.P2W</t>
  </si>
  <si>
    <t>Activity_per_vehicle.pkm.EL.Tr.Road.Passenger.Car</t>
  </si>
  <si>
    <t>Activity_per_vehicle.pkm.EL.Tr.Road.Passenger.Car.ICE.Gasoline</t>
  </si>
  <si>
    <t>Activity_per_vehicle.pkm.EL.Tr.Road.Passenger.Car.ICE.Diesel</t>
  </si>
  <si>
    <t>Activity_per_vehicle.pkm.EL.Tr.Road.Passenger.Car.ICE.LPG</t>
  </si>
  <si>
    <t>Activity_per_vehicle.pkm.EL.Tr.Road.Passenger.Car.ICE.NGas</t>
  </si>
  <si>
    <t>Activity_per_vehicle.pkm.EL.Tr.Road.Passenger.Car.PHEV</t>
  </si>
  <si>
    <t>Activity_per_vehicle.pkm.EL.Tr.Road.Passenger.Car.BEV</t>
  </si>
  <si>
    <t>Activity_per_vehicle.pkm.EL.Tr.Road.Passenger.Bus</t>
  </si>
  <si>
    <t>Activity_per_vehicle.pkm.EL.Tr.Road.Passenger.Bus.ICE.Gasoline</t>
  </si>
  <si>
    <t>Activity_per_vehicle.pkm.EL.Tr.Road.Passenger.Bus.ICE.Diesel</t>
  </si>
  <si>
    <t>Activity_per_vehicle.pkm.EL.Tr.Road.Passenger.Bus.ICE.LPG</t>
  </si>
  <si>
    <t>Activity_per_vehicle.pkm.EL.Tr.Road.Passenger.Bus.ICE.NGas</t>
  </si>
  <si>
    <t>Activity_per_vehicle.pkm.EL.Tr.Road.Passenger.Bus.ICE.BEV</t>
  </si>
  <si>
    <t>Activity_per_vehicle.tkm.EL.Tr.Road.Freight</t>
  </si>
  <si>
    <t>Activity_per_vehicle.tkm.EL.Tr.Road.Freight.LCV</t>
  </si>
  <si>
    <t>Activity_per_vehicle.tkm.EL.Tr.Road.Freight.LCV.ICE.Gasoline</t>
  </si>
  <si>
    <t>Activity_per_vehicle.tkm.EL.Tr.Road.Freight.LCV.ICE.Diesel</t>
  </si>
  <si>
    <t>Activity_per_vehicle.tkm.EL.Tr.Road.Freight.LCV.ICE.LPG</t>
  </si>
  <si>
    <t>Activity_per_vehicle.tkm.EL.Tr.Road.Freight.LCV.ICE.NGas</t>
  </si>
  <si>
    <t>Activity_per_vehicle.tkm.EL.Tr.Road.Freight.LCV.ICE.BEV</t>
  </si>
  <si>
    <t>Activity_per_vehicle.tkm.EL.Tr.Road.Freight.HGV</t>
  </si>
  <si>
    <t>Activity_per_vehicle.tkm.EL.Tr.Road.Freight.HGV.Domestic</t>
  </si>
  <si>
    <t>Activity_per_vehicle.tkm.EL.Tr.Road.Freight.HGV.International</t>
  </si>
  <si>
    <t>Road transport / energy consumption - EL - Greece</t>
  </si>
  <si>
    <t>FEC.ktoe.EL.ES.Tr.Road</t>
  </si>
  <si>
    <t>FEC.ktoe.EL.ES.Tr.Road.LPG</t>
  </si>
  <si>
    <t>FEC.ktoe.EL.ES.Tr.Road.Gasoline</t>
  </si>
  <si>
    <t>FEC.ktoe.EL.ES.Tr.Road.Diesel</t>
  </si>
  <si>
    <t>FEC.ktoe.EL.ES.Tr.Road.NG</t>
  </si>
  <si>
    <t>FEC.ktoe.EL.ES.Tr.Road.Biogas</t>
  </si>
  <si>
    <t>FEC.ktoe.EL.ES.Tr.Road.Biogasoline</t>
  </si>
  <si>
    <t>FEC.ktoe.EL.ES.Tr.Road.Biodiesel</t>
  </si>
  <si>
    <t>FEC.ktoe.EL.ES.Tr.Road.OthLiqBio</t>
  </si>
  <si>
    <t>FEC.ktoe.EL.ES.Tr.Road.Elec</t>
  </si>
  <si>
    <t>FEC.ktoe.EL.Tr.Road</t>
  </si>
  <si>
    <t>FEC.ktoe.EL.Tr.Road.Passenger.P2W.Biogasoline</t>
  </si>
  <si>
    <t>FEC.ktoe.EL.Tr.Road.Passenger.Car.ICE.Gasoline</t>
  </si>
  <si>
    <t>FEC.ktoe.EL.Tr.Road.Passenger.Car.ICE.Gasoline.Biogasoline</t>
  </si>
  <si>
    <t>FEC.ktoe.EL.Tr.Road.Passenger.Car.ICE.Diesel</t>
  </si>
  <si>
    <t>FEC.ktoe.EL.Tr.Road.Passenger.Car.ICE.Diesel.BioDiesel_OthLiqBio</t>
  </si>
  <si>
    <t>FEC.ktoe.EL.Tr.Road.Passenger.Car.ICE.LPG</t>
  </si>
  <si>
    <t>FEC.ktoe.EL.Tr.Road.Passenger.Car.ICE.NGas</t>
  </si>
  <si>
    <t>FEC.ktoe.EL.Tr.Road.Passenger.Car.ICE.NGas.Biogas</t>
  </si>
  <si>
    <t>FEC.ktoe.EL.Tr.Road.Passenger.Car.PHEV</t>
  </si>
  <si>
    <t>FEC.ktoe.EL.Tr.Road.Passenger.Car.PHEV.Biogasoline</t>
  </si>
  <si>
    <t>FEC.ktoe.EL.Tr.Road.Passenger.Car.PHEV.Elec</t>
  </si>
  <si>
    <t>FEC.ktoe.EL.Tr.Road.Passenger.Car.BEV</t>
  </si>
  <si>
    <t>FEC.ktoe.EL.Tr.Road.Passenger.Bus.ICE.Gasoline</t>
  </si>
  <si>
    <t>FEC.ktoe.EL.Tr.Road.Passenger.Bus.ICE.Gasoline.Biogasoline</t>
  </si>
  <si>
    <t>FEC.ktoe.EL.Tr.Road.Passenger.Bus.ICE.Diesel</t>
  </si>
  <si>
    <t>FEC.ktoe.EL.Tr.Road.Passenger.Bus.ICE.Diesel.BioDiesel_OthLiqBio</t>
  </si>
  <si>
    <t>FEC.ktoe.EL.Tr.Road.Passenger.Bus.ICE.LPG</t>
  </si>
  <si>
    <t>FEC.ktoe.EL.Tr.Road.Passenger.Bus.ICE.NGas</t>
  </si>
  <si>
    <t>FEC.ktoe.EL.Tr.Road.Passenger.Bus.ICE.NGas.Biogas</t>
  </si>
  <si>
    <t>FEC.ktoe.EL.Tr.Road.Passenger.Bus.ICE.BEV</t>
  </si>
  <si>
    <t>FEC.ktoe.EL.Tr.Road.Freight.LCV.ICE.Gasoline</t>
  </si>
  <si>
    <t>FEC.ktoe.EL.Tr.Road.Freight.LCV.ICE.Gasoline.Biogasoline</t>
  </si>
  <si>
    <t>FEC.ktoe.EL.Tr.Road.Freight.LCV.ICE.Diesel</t>
  </si>
  <si>
    <t>FEC.ktoe.EL.Tr.Road.Freight.LCV.ICE.Diesel.BioDiesel_OthLiqBio</t>
  </si>
  <si>
    <t>FEC.ktoe.EL.Tr.Road.Freight.LCV.ICE.LPG</t>
  </si>
  <si>
    <t>FEC.ktoe.EL.Tr.Road.Freight.LCV.ICE.NGas</t>
  </si>
  <si>
    <t>FEC.ktoe.EL.Tr.Road.Freight.LCV.ICE.NGas.Biogas</t>
  </si>
  <si>
    <t>FEC.ktoe.EL.Tr.Road.Freight.LCV.ICE.BEV</t>
  </si>
  <si>
    <t>FEC.ktoe.EL.Tr.Road.Freight.HGV.Domestic</t>
  </si>
  <si>
    <t>FEC.ktoe.EL.Tr.Road.Freight.HGV.Domestic.BioDiesel_OthLiqBio</t>
  </si>
  <si>
    <t>FEC.ktoe.EL.Tr.Road.Freight.HGV.International</t>
  </si>
  <si>
    <t>FEC.ktoe.EL.Tr.Road.Freight.HGV.International.BioDiesel_OthLiqBio</t>
  </si>
  <si>
    <t>Eff.kgoe_per_100km.EL.Tr.Road</t>
  </si>
  <si>
    <t>Eff.kgoe_per_100km.EL.Tr.Road.Passenger</t>
  </si>
  <si>
    <t>Eff.kgoe_per_100km.EL.Tr.Road.Passenger.P2W</t>
  </si>
  <si>
    <t>Eff.kgoe_per_100km.EL.Tr.Road.Passenger.Car</t>
  </si>
  <si>
    <t>Eff.kgoe_per_100km.EL.Tr.Road.Passenger.Car.ICE.Gasoline</t>
  </si>
  <si>
    <t>Eff.kgoe_per_100km.EL.Tr.Road.Passenger.Car.ICE.Diesel</t>
  </si>
  <si>
    <t>Eff.kgoe_per_100km.EL.Tr.Road.Passenger.Car.ICE.LPG</t>
  </si>
  <si>
    <t>Eff.kgoe_per_100km.EL.Tr.Road.Passenger.Car.ICE.NGas</t>
  </si>
  <si>
    <t>Eff.kgoe_per_100km.EL.Tr.Road.Passenger.Car.PHEV</t>
  </si>
  <si>
    <t>Eff.kgoe_per_100km.EL.Tr.Road.Passenger.Car.BEV</t>
  </si>
  <si>
    <t>Eff.kgoe_per_100km.EL.Tr.Road.Passenger.Bus</t>
  </si>
  <si>
    <t>Eff.kgoe_per_100km.EL.Tr.Road.Passenger.Bus.ICE.Gasoline</t>
  </si>
  <si>
    <t>Eff.kgoe_per_100km.EL.Tr.Road.Passenger.Bus.ICE.Diesel</t>
  </si>
  <si>
    <t>Eff.kgoe_per_100km.EL.Tr.Road.Passenger.Bus.ICE.LPG</t>
  </si>
  <si>
    <t>Eff.kgoe_per_100km.EL.Tr.Road.Passenger.Bus.ICE.NGas</t>
  </si>
  <si>
    <t>Eff.kgoe_per_100km.EL.Tr.Road.Passenger.Bus.ICE.BEV</t>
  </si>
  <si>
    <t>Eff.kgoe_per_100km.EL.Tr.Road.Freight</t>
  </si>
  <si>
    <t>Eff.kgoe_per_100km.EL.Tr.Road.Freight.LCV</t>
  </si>
  <si>
    <t>Eff.kgoe_per_100km.EL.Tr.Road.Freight.LCV.ICE.Gasoline</t>
  </si>
  <si>
    <t>Eff.kgoe_per_100km.EL.Tr.Road.Freight.LCV.ICE.Diesel</t>
  </si>
  <si>
    <t>Eff.kgoe_per_100km.EL.Tr.Road.Freight.LCV.ICE.LPG</t>
  </si>
  <si>
    <t>Eff.kgoe_per_100km.EL.Tr.Road.Freight.LCV.ICE.NGas</t>
  </si>
  <si>
    <t>Eff.kgoe_per_100km.EL.Tr.Road.Freight.LCV.ICE.BEV</t>
  </si>
  <si>
    <t>Eff.kgoe_per_100km.EL.Tr.Road.Freight.HGV</t>
  </si>
  <si>
    <t>Eff.kgoe_per_100km.EL.Tr.Road.Freight.HGV.Domestic</t>
  </si>
  <si>
    <t>Eff.kgoe_per_100km.EL.Tr.Road.Freight.HGV.International</t>
  </si>
  <si>
    <t>Eff.kgoe_per_kpkm.EL.Tr.Road.Passenger.Car.ICE.Gasoline</t>
  </si>
  <si>
    <t>Eff.kgoe_per_kpkm.EL.Tr.Road.Passenger.Car.ICE.Diesel</t>
  </si>
  <si>
    <t>Eff.kgoe_per_kpkm.EL.Tr.Road.Passenger.Car.ICE.LPG</t>
  </si>
  <si>
    <t>Eff.kgoe_per_kpkm.EL.Tr.Road.Passenger.Car.ICE.NGas</t>
  </si>
  <si>
    <t>Eff.kgoe_per_kpkm.EL.Tr.Road.Passenger.Car.PHEV</t>
  </si>
  <si>
    <t>Eff.kgoe_per_kpkm.EL.Tr.Road.Passenger.Car.BEV</t>
  </si>
  <si>
    <t>Eff.kgoe_per_kpkm.EL.Tr.Road.Passenger.Bus.ICE.Gasoline</t>
  </si>
  <si>
    <t>Eff.kgoe_per_kpkm.EL.Tr.Road.Passenger.Bus.ICE.Diesel</t>
  </si>
  <si>
    <t>Eff.kgoe_per_kpkm.EL.Tr.Road.Passenger.Bus.ICE.LPG</t>
  </si>
  <si>
    <t>Eff.kgoe_per_kpkm.EL.Tr.Road.Passenger.Bus.ICE.NGas</t>
  </si>
  <si>
    <t>Eff.kgoe_per_kpkm.EL.Tr.Road.Passenger.Bus.ICE.BEV</t>
  </si>
  <si>
    <t>Eff.kgoe_per_ktkm.EL.Tr.Road.Freight.LCV.ICE.Gasoline</t>
  </si>
  <si>
    <t>Eff.kgoe_per_ktkm.EL.Tr.Road.Freight.LCV.ICE.Diesel</t>
  </si>
  <si>
    <t>Eff.kgoe_per_ktkm.EL.Tr.Road.Freight.LCV.ICE.LPG</t>
  </si>
  <si>
    <t>Eff.kgoe_per_ktkm.EL.Tr.Road.Freight.LCV.ICE.NGas</t>
  </si>
  <si>
    <t>Eff.kgoe_per_ktkm.EL.Tr.Road.Freight.LCV.ICE.BEV</t>
  </si>
  <si>
    <t>Eff.kgoe_per_ktkm.EL.Tr.Road.Freight.HGV.Domestic</t>
  </si>
  <si>
    <t>Eff.kgoe_per_ktkm.EL.Tr.Road.Freight.HGV.International</t>
  </si>
  <si>
    <t>FEC_per_vehicle.kgoe.EL.Tr.Road.Passenger.P2W</t>
  </si>
  <si>
    <t>FEC_per_vehicle.kgoe.EL.Tr.Road.Passenger.Car</t>
  </si>
  <si>
    <t>FEC_per_vehicle.kgoe.EL.Tr.Road.Passenger.Car.ICE.Gasoline</t>
  </si>
  <si>
    <t>FEC_per_vehicle.kgoe.EL.Tr.Road.Passenger.Car.ICE.Diesel</t>
  </si>
  <si>
    <t>FEC_per_vehicle.kgoe.EL.Tr.Road.Passenger.Car.ICE.LPG</t>
  </si>
  <si>
    <t>FEC_per_vehicle.kgoe.EL.Tr.Road.Passenger.Car.ICE.NGas</t>
  </si>
  <si>
    <t>FEC_per_vehicle.kgoe.EL.Tr.Road.Passenger.Car.PHEV</t>
  </si>
  <si>
    <t>FEC_per_vehicle.kgoe.EL.Tr.Road.Passenger.Car.BEV</t>
  </si>
  <si>
    <t>FEC_per_vehicle.kgoe.EL.Tr.Road.Passenger.Bus</t>
  </si>
  <si>
    <t>FEC_per_vehicle.kgoe.EL.Tr.Road.Passenger.Bus.ICE.Gasoline</t>
  </si>
  <si>
    <t>FEC_per_vehicle.kgoe.EL.Tr.Road.Passenger.Bus.ICE.Diesel</t>
  </si>
  <si>
    <t>FEC_per_vehicle.kgoe.EL.Tr.Road.Passenger.Bus.ICE.LPG</t>
  </si>
  <si>
    <t>FEC_per_vehicle.kgoe.EL.Tr.Road.Passenger.Bus.ICE.NGas</t>
  </si>
  <si>
    <t>FEC_per_vehicle.kgoe.EL.Tr.Road.Passenger.Bus.ICE.BEV</t>
  </si>
  <si>
    <t>FEC_per_vehicle.kgoe.EL.Tr.Road.Freight.LCV</t>
  </si>
  <si>
    <t>FEC_per_vehicle.kgoe.EL.Tr.Road.Freight.LCV.ICE.Gasoline</t>
  </si>
  <si>
    <t>FEC_per_vehicle.kgoe.EL.Tr.Road.Freight.LCV.ICE.Diesel</t>
  </si>
  <si>
    <t>FEC_per_vehicle.kgoe.EL.Tr.Road.Freight.LCV.ICE.LPG</t>
  </si>
  <si>
    <t>FEC_per_vehicle.kgoe.EL.Tr.Road.Freight.LCV.ICE.NGas</t>
  </si>
  <si>
    <t>FEC_per_vehicle.kgoe.EL.Tr.Road.Freight.LCV.ICE.BEV</t>
  </si>
  <si>
    <t>FEC_per_vehicle.kgoe.EL.Tr.Road.Freight.HGV</t>
  </si>
  <si>
    <t>FEC_per_vehicle.kgoe.EL.Tr.Road.Freight.HGV.Domestic</t>
  </si>
  <si>
    <t>FEC_per_vehicle.kgoe.EL.Tr.Road.Freight.HGV.International</t>
  </si>
  <si>
    <t>Road transport / CO2 emissions - EL - Greece</t>
  </si>
  <si>
    <t>EMI.ktCO2.EL.ES.Tr.Road</t>
  </si>
  <si>
    <t>EMI.ktCO2.EL.ES.Tr.Road.LPG</t>
  </si>
  <si>
    <t>EMI.ktCO2.EL.ES.Tr.Road.Gasoline</t>
  </si>
  <si>
    <t>EMI.ktCO2.EL.ES.Tr.Road.Diesel</t>
  </si>
  <si>
    <t>EMI.ktCO2.EL.ES.Tr.Road.NG</t>
  </si>
  <si>
    <t>EMI.ktCO2.EL.ES.Tr.Road.Biogas</t>
  </si>
  <si>
    <t>EMI.ktCO2.EL.ES.Tr.Road.Biogasoline</t>
  </si>
  <si>
    <t>EMI.ktCO2.EL.ES.Tr.Road.Biodiesel</t>
  </si>
  <si>
    <t>EMI.ktCO2.EL.ES.Tr.Road.OthLiqBio</t>
  </si>
  <si>
    <t>EMI.ktCO2.EL.ES.Tr.Road.Elec</t>
  </si>
  <si>
    <t>EMI.ktCO2.EL.Tr.Road</t>
  </si>
  <si>
    <t>EMI.ktCO2.EL.Tr.Road.Passenger.Car.ICE.Gasoline</t>
  </si>
  <si>
    <t>EMI.ktCO2.EL.Tr.Road.Passenger.Car.ICE.Diesel</t>
  </si>
  <si>
    <t>EMI.ktCO2.EL.Tr.Road.Passenger.Car.ICE.LPG</t>
  </si>
  <si>
    <t>EMI.ktCO2.EL.Tr.Road.Passenger.Car.ICE.NGas</t>
  </si>
  <si>
    <t>EMI.ktCO2.EL.Tr.Road.Passenger.Car.PHEV</t>
  </si>
  <si>
    <t>EMI.ktCO2.EL.Tr.Road.Passenger.Car.BEV</t>
  </si>
  <si>
    <t>EMI.ktCO2.EL.Tr.Road.Passenger.Bus.ICE.Gasoline</t>
  </si>
  <si>
    <t>EMI.ktCO2.EL.Tr.Road.Passenger.Bus.ICE.Diesel</t>
  </si>
  <si>
    <t>EMI.ktCO2.EL.Tr.Road.Passenger.Bus.ICE.LPG</t>
  </si>
  <si>
    <t>EMI.ktCO2.EL.Tr.Road.Passenger.Bus.ICE.NGas</t>
  </si>
  <si>
    <t>EMI.ktCO2.EL.Tr.Road.Passenger.Bus.ICE.BEV</t>
  </si>
  <si>
    <t>EMI.ktCO2.EL.Tr.Road.Freight.LCV.ICE.Gasoline</t>
  </si>
  <si>
    <t>EMI.ktCO2.EL.Tr.Road.Freight.LCV.ICE.Diesel</t>
  </si>
  <si>
    <t>EMI.ktCO2.EL.Tr.Road.Freight.LCV.ICE.LPG</t>
  </si>
  <si>
    <t>EMI.ktCO2.EL.Tr.Road.Freight.LCV.ICE.NGas</t>
  </si>
  <si>
    <t>EMI.ktCO2.EL.Tr.Road.Freight.LCV.ICE.BEV</t>
  </si>
  <si>
    <t>EMI.ktCO2.EL.Tr.Road.Freight.HGV.Domestic</t>
  </si>
  <si>
    <t>EMI.ktCO2.EL.Tr.Road.Freight.HGV.International</t>
  </si>
  <si>
    <t>EMIint.gCO2_per_km.EL.Tr.Road</t>
  </si>
  <si>
    <t>EMIint.gCO2_per_km.EL.Tr.Road.Passenger</t>
  </si>
  <si>
    <t>EMIint.gCO2_per_km.EL.Tr.Road.Passenger.P2W</t>
  </si>
  <si>
    <t>EMIint.gCO2_per_km.EL.Tr.Road.Passenger.Car</t>
  </si>
  <si>
    <t>EMIint.gCO2_per_km.EL.Tr.Road.Passenger.Car.ICE.Gasoline</t>
  </si>
  <si>
    <t>EMIint.gCO2_per_km.EL.Tr.Road.Passenger.Car.ICE.Diesel</t>
  </si>
  <si>
    <t>EMIint.gCO2_per_km.EL.Tr.Road.Passenger.Car.ICE.LPG</t>
  </si>
  <si>
    <t>EMIint.gCO2_per_km.EL.Tr.Road.Passenger.Car.ICE.NGas</t>
  </si>
  <si>
    <t>EMIint.gCO2_per_km.EL.Tr.Road.Passenger.Car.PHEV</t>
  </si>
  <si>
    <t>EMIint.gCO2_per_km.EL.Tr.Road.Passenger.Car.BEV</t>
  </si>
  <si>
    <t>EMIint.gCO2_per_km.EL.Tr.Road.Passenger.Bus</t>
  </si>
  <si>
    <t>EMIint.gCO2_per_km.EL.Tr.Road.Passenger.Bus.ICE.Gasoline</t>
  </si>
  <si>
    <t>EMIint.gCO2_per_km.EL.Tr.Road.Passenger.Bus.ICE.Diesel</t>
  </si>
  <si>
    <t>EMIint.gCO2_per_km.EL.Tr.Road.Passenger.Bus.ICE.LPG</t>
  </si>
  <si>
    <t>EMIint.gCO2_per_km.EL.Tr.Road.Passenger.Bus.ICE.NGas</t>
  </si>
  <si>
    <t>EMIint.gCO2_per_km.EL.Tr.Road.Passenger.Bus.ICE.BEV</t>
  </si>
  <si>
    <t>EMIint.gCO2_per_km.EL.Tr.Road.Freight</t>
  </si>
  <si>
    <t>EMIint.gCO2_per_km.EL.Tr.Road.Freight.LCV</t>
  </si>
  <si>
    <t>EMIint.gCO2_per_km.EL.Tr.Road.Freight.LCV.ICE.Gasoline</t>
  </si>
  <si>
    <t>EMIint.gCO2_per_km.EL.Tr.Road.Freight.LCV.ICE.Diesel</t>
  </si>
  <si>
    <t>EMIint.gCO2_per_km.EL.Tr.Road.Freight.LCV.ICE.LPG</t>
  </si>
  <si>
    <t>EMIint.gCO2_per_km.EL.Tr.Road.Freight.LCV.ICE.NGas</t>
  </si>
  <si>
    <t>EMIint.gCO2_per_km.EL.Tr.Road.Freight.LCV.ICE.BEV</t>
  </si>
  <si>
    <t>EMIint.gCO2_per_km.EL.Tr.Road.Freight.HGV</t>
  </si>
  <si>
    <t>EMIint.gCO2_per_km.EL.Tr.Road.Freight.HGV.Domestic</t>
  </si>
  <si>
    <t>EMIint.gCO2_per_km.EL.Tr.Road.Freight.HGV.International</t>
  </si>
  <si>
    <t>EMIint.gCO2_per_pkm.EL.Tr.Road.Passenger.Car.ICE.Gasoline</t>
  </si>
  <si>
    <t>EMIint.gCO2_per_pkm.EL.Tr.Road.Passenger.Car.ICE.Diesel</t>
  </si>
  <si>
    <t>EMIint.gCO2_per_pkm.EL.Tr.Road.Passenger.Car.ICE.LPG</t>
  </si>
  <si>
    <t>EMIint.gCO2_per_pkm.EL.Tr.Road.Passenger.Car.ICE.NGas</t>
  </si>
  <si>
    <t>EMIint.gCO2_per_pkm.EL.Tr.Road.Passenger.Car.PHEV</t>
  </si>
  <si>
    <t>EMIint.gCO2_per_pkm.EL.Tr.Road.Passenger.Car.BEV</t>
  </si>
  <si>
    <t>EMIint.gCO2_per_pkm.EL.Tr.Road.Passenger.Bus.ICE.Gasoline</t>
  </si>
  <si>
    <t>EMIint.gCO2_per_pkm.EL.Tr.Road.Passenger.Bus.ICE.Diesel</t>
  </si>
  <si>
    <t>EMIint.gCO2_per_pkm.EL.Tr.Road.Passenger.Bus.ICE.LPG</t>
  </si>
  <si>
    <t>EMIint.gCO2_per_pkm.EL.Tr.Road.Passenger.Bus.ICE.NGas</t>
  </si>
  <si>
    <t>EMIint.gCO2_per_pkm.EL.Tr.Road.Passenger.Bus.ICE.BEV</t>
  </si>
  <si>
    <t>EMIint.gCO2_per_tkm.EL.Tr.Road.Freight.LCV.ICE.Gasoline</t>
  </si>
  <si>
    <t>EMIint.gCO2_per_tkm.EL.Tr.Road.Freight.LCV.ICE.Diesel</t>
  </si>
  <si>
    <t>EMIint.gCO2_per_tkm.EL.Tr.Road.Freight.LCV.ICE.LPG</t>
  </si>
  <si>
    <t>EMIint.gCO2_per_tkm.EL.Tr.Road.Freight.LCV.ICE.NGas</t>
  </si>
  <si>
    <t>EMIint.gCO2_per_tkm.EL.Tr.Road.Freight.LCV.ICE.BEV</t>
  </si>
  <si>
    <t>EMIint.gCO2_per_tkm.EL.Tr.Road.Freight.HGV.Domestic</t>
  </si>
  <si>
    <t>EMIint.gCO2_per_tkm.EL.Tr.Road.Freight.HGV.International</t>
  </si>
  <si>
    <t>EMI_per_vehicle.kgCO2.EL.Tr.Road.Passenger.P2W</t>
  </si>
  <si>
    <t>EMI_per_vehicle.kgCO2.EL.Tr.Road.Passenger.Car</t>
  </si>
  <si>
    <t>EMI_per_vehicle.kgCO2.EL.Tr.Road.Passenger.Car.ICE.Gasoline</t>
  </si>
  <si>
    <t>EMI_per_vehicle.kgCO2.EL.Tr.Road.Passenger.Car.ICE.Diesel</t>
  </si>
  <si>
    <t>EMI_per_vehicle.kgCO2.EL.Tr.Road.Passenger.Car.ICE.LPG</t>
  </si>
  <si>
    <t>EMI_per_vehicle.kgCO2.EL.Tr.Road.Passenger.Car.ICE.NGas</t>
  </si>
  <si>
    <t>EMI_per_vehicle.kgCO2.EL.Tr.Road.Passenger.Car.PHEV</t>
  </si>
  <si>
    <t>EMI_per_vehicle.kgCO2.EL.Tr.Road.Passenger.Car.BEV</t>
  </si>
  <si>
    <t>EMI_per_vehicle.kgCO2.EL.Tr.Road.Passenger.Bus</t>
  </si>
  <si>
    <t>EMI_per_vehicle.kgCO2.EL.Tr.Road.Passenger.Bus.ICE.Gasoline</t>
  </si>
  <si>
    <t>EMI_per_vehicle.kgCO2.EL.Tr.Road.Passenger.Bus.ICE.Diesel</t>
  </si>
  <si>
    <t>EMI_per_vehicle.kgCO2.EL.Tr.Road.Passenger.Bus.ICE.LPG</t>
  </si>
  <si>
    <t>EMI_per_vehicle.kgCO2.EL.Tr.Road.Passenger.Bus.ICE.NGas</t>
  </si>
  <si>
    <t>EMI_per_vehicle.kgCO2.EL.Tr.Road.Passenger.Bus.ICE.BEV</t>
  </si>
  <si>
    <t>EMI_per_vehicle.kgCO2.EL.Tr.Road.Freight.LCV</t>
  </si>
  <si>
    <t>EMI_per_vehicle.kgCO2.EL.Tr.Road.Freight.LCV.ICE.Gasoline</t>
  </si>
  <si>
    <t>EMI_per_vehicle.kgCO2.EL.Tr.Road.Freight.LCV.ICE.Diesel</t>
  </si>
  <si>
    <t>EMI_per_vehicle.kgCO2.EL.Tr.Road.Freight.LCV.ICE.LPG</t>
  </si>
  <si>
    <t>EMI_per_vehicle.kgCO2.EL.Tr.Road.Freight.LCV.ICE.NGas</t>
  </si>
  <si>
    <t>EMI_per_vehicle.kgCO2.EL.Tr.Road.Freight.LCV.ICE.BEV</t>
  </si>
  <si>
    <t>EMI_per_vehicle.kgCO2.EL.Tr.Road.Freight.HGV</t>
  </si>
  <si>
    <t>EMI_per_vehicle.kgCO2.EL.Tr.Road.Freight.HGV.Domestic</t>
  </si>
  <si>
    <t>EMI_per_vehicle.kgCO2.EL.Tr.Road.Freight.HGV.International</t>
  </si>
  <si>
    <t>Road transport / technologies - EL - Greece</t>
  </si>
  <si>
    <t>StockVin.number.EL.Tr.Road</t>
  </si>
  <si>
    <t>StockVin.number.EL.Tr.Road.Passenger</t>
  </si>
  <si>
    <t>StockVin.number.EL.Tr.Road.Passenger.P2W</t>
  </si>
  <si>
    <t>StockVin.number.EL.Tr.Road.Passenger.Car</t>
  </si>
  <si>
    <t>StockVin.number.EL.Tr.Road.Passenger.Car.ICE.Gasoline</t>
  </si>
  <si>
    <t>StockVin.number.EL.Tr.Road.Passenger.Car.ICE.Diesel</t>
  </si>
  <si>
    <t>StockVin.number.EL.Tr.Road.Passenger.Car.ICE.LPG</t>
  </si>
  <si>
    <t>StockVin.number.EL.Tr.Road.Passenger.Car.ICE.NGas</t>
  </si>
  <si>
    <t>StockVin.number.EL.Tr.Road.Passenger.Car.PHEV</t>
  </si>
  <si>
    <t>StockVin.number.EL.Tr.Road.Passenger.Car.BEV</t>
  </si>
  <si>
    <t>StockVin.number.EL.Tr.Road.Passenger.Bus</t>
  </si>
  <si>
    <t>StockVin.number.EL.Tr.Road.Passenger.Bus.ICE.Gasoline</t>
  </si>
  <si>
    <t>StockVin.number.EL.Tr.Road.Passenger.Bus.ICE.Diesel</t>
  </si>
  <si>
    <t>StockVin.number.EL.Tr.Road.Passenger.Bus.ICE.LPG</t>
  </si>
  <si>
    <t>StockVin.number.EL.Tr.Road.Passenger.Bus.ICE.NGas</t>
  </si>
  <si>
    <t>StockVin.number.EL.Tr.Road.Passenger.Bus.ICE.BEV</t>
  </si>
  <si>
    <t>StockVin.number.EL.Tr.Road.Freight</t>
  </si>
  <si>
    <t>StockVin.number.EL.Tr.Road.Freight.LCV</t>
  </si>
  <si>
    <t>StockVin.number.EL.Tr.Road.Freight.LCV.ICE.Gasoline</t>
  </si>
  <si>
    <t>StockVin.number.EL.Tr.Road.Freight.LCV.ICE.Diesel</t>
  </si>
  <si>
    <t>StockVin.number.EL.Tr.Road.Freight.LCV.ICE.LPG</t>
  </si>
  <si>
    <t>StockVin.number.EL.Tr.Road.Freight.LCV.ICE.NGas</t>
  </si>
  <si>
    <t>StockVin.number.EL.Tr.Road.Freight.LCV.ICE.BEV</t>
  </si>
  <si>
    <t>StockVin.number.EL.Tr.Road.Freight.HGV</t>
  </si>
  <si>
    <t>StockVin.number.EL.Tr.Road.Freight.HGV.Domestic</t>
  </si>
  <si>
    <t>StockVin.number.EL.Tr.Road.Freight.HGV.International</t>
  </si>
  <si>
    <t>Eff_test_stock.kgoe_per_100km.EL.Tr.Road.Passenger.P2W</t>
  </si>
  <si>
    <t>Eff_test_stock.kgoe_per_100km.EL.Tr.Road.Passenger.Car</t>
  </si>
  <si>
    <t>Eff_test_stock.kgoe_per_100km.EL.Tr.Road.Passenger.Car.ICE.Gasoline</t>
  </si>
  <si>
    <t>Eff_test_stock.kgoe_per_100km.EL.Tr.Road.Passenger.Car.ICE.Diesel</t>
  </si>
  <si>
    <t>Eff_test_stock.kgoe_per_100km.EL.Tr.Road.Passenger.Car.ICE.LPG</t>
  </si>
  <si>
    <t>Eff_test_stock.kgoe_per_100km.EL.Tr.Road.Passenger.Car.ICE.NGas</t>
  </si>
  <si>
    <t>Eff_test_stock.kgoe_per_100km.EL.Tr.Road.Passenger.Car.PHEV</t>
  </si>
  <si>
    <t>Eff_test_stock.kgoe_per_100km.EL.Tr.Road.Passenger.Car.BEV</t>
  </si>
  <si>
    <t>Eff_test_stock.kgoe_per_100km.EL.Tr.Road.Passenger.Bus</t>
  </si>
  <si>
    <t>Eff_test_stock.kgoe_per_100km.EL.Tr.Road.Passenger.Bus.ICE.Gasoline</t>
  </si>
  <si>
    <t>Eff_test_stock.kgoe_per_100km.EL.Tr.Road.Passenger.Bus.ICE.Diesel</t>
  </si>
  <si>
    <t>Eff_test_stock.kgoe_per_100km.EL.Tr.Road.Passenger.Bus.ICE.LPG</t>
  </si>
  <si>
    <t>Eff_test_stock.kgoe_per_100km.EL.Tr.Road.Passenger.Bus.ICE.NGas</t>
  </si>
  <si>
    <t>Eff_test_stock.kgoe_per_100km.EL.Tr.Road.Passenger.Bus.ICE.BEV</t>
  </si>
  <si>
    <t>Eff_test_stock.kgoe_per_100km.EL.Tr.Road.Freight.LCV</t>
  </si>
  <si>
    <t>Eff_test_stock.kgoe_per_100km.EL.Tr.Road.Freight.LCV.ICE.Gasoline</t>
  </si>
  <si>
    <t>Eff_test_stock.kgoe_per_100km.EL.Tr.Road.Freight.LCV.ICE.Diesel</t>
  </si>
  <si>
    <t>Eff_test_stock.kgoe_per_100km.EL.Tr.Road.Freight.LCV.ICE.LPG</t>
  </si>
  <si>
    <t>Eff_test_stock.kgoe_per_100km.EL.Tr.Road.Freight.LCV.ICE.NGas</t>
  </si>
  <si>
    <t>Eff_test_stock.kgoe_per_100km.EL.Tr.Road.Freight.LCV.ICE.BEV</t>
  </si>
  <si>
    <t>Eff_test_stock.kgoe_per_100km.EL.Tr.Road.Freight.HGV</t>
  </si>
  <si>
    <t>Eff_test_stock.kgoe_per_100km.EL.Tr.Road.Freight.HGV.Domestic</t>
  </si>
  <si>
    <t>Eff_test_stock.kgoe_per_100km.EL.Tr.Road.Freight.HGV.International</t>
  </si>
  <si>
    <t>Eff_test_new.kgoe_per_100km.EL.Tr.Road.Passenger.P2W</t>
  </si>
  <si>
    <t>Eff_test_new.kgoe_per_100km.EL.Tr.Road.Passenger.Car</t>
  </si>
  <si>
    <t>Eff_test_new.kgoe_per_100km.EL.Tr.Road.Passenger.Car.ICE.Gasoline</t>
  </si>
  <si>
    <t>Eff_test_new.kgoe_per_100km.EL.Tr.Road.Passenger.Car.ICE.Diesel</t>
  </si>
  <si>
    <t>Eff_test_new.kgoe_per_100km.EL.Tr.Road.Passenger.Car.ICE.LPG</t>
  </si>
  <si>
    <t>Eff_test_new.kgoe_per_100km.EL.Tr.Road.Passenger.Car.ICE.NGas</t>
  </si>
  <si>
    <t>Eff_test_new.kgoe_per_100km.EL.Tr.Road.Passenger.Car.PHEV</t>
  </si>
  <si>
    <t>Eff_test_new.kgoe_per_100km.EL.Tr.Road.Passenger.Car.BEV</t>
  </si>
  <si>
    <t>Eff_test_new.kgoe_per_100km.EL.Tr.Road.Passenger.Bus</t>
  </si>
  <si>
    <t>Eff_test_new.kgoe_per_100km.EL.Tr.Road.Passenger.Bus.ICE.Gasoline</t>
  </si>
  <si>
    <t>Eff_test_new.kgoe_per_100km.EL.Tr.Road.Passenger.Bus.ICE.Diesel</t>
  </si>
  <si>
    <t>Eff_test_new.kgoe_per_100km.EL.Tr.Road.Passenger.Bus.ICE.LPG</t>
  </si>
  <si>
    <t>Eff_test_new.kgoe_per_100km.EL.Tr.Road.Passenger.Bus.ICE.NGas</t>
  </si>
  <si>
    <t>Eff_test_new.kgoe_per_100km.EL.Tr.Road.Passenger.Bus.ICE.BEV</t>
  </si>
  <si>
    <t>Eff_test_new.kgoe_per_100km.EL.Tr.Road.Freight.LCV</t>
  </si>
  <si>
    <t>Eff_test_new.kgoe_per_100km.EL.Tr.Road.Freight.LCV.ICE.Gasoline</t>
  </si>
  <si>
    <t>Eff_test_new.kgoe_per_100km.EL.Tr.Road.Freight.LCV.ICE.Diesel</t>
  </si>
  <si>
    <t>Eff_test_new.kgoe_per_100km.EL.Tr.Road.Freight.LCV.ICE.LPG</t>
  </si>
  <si>
    <t>Eff_test_new.kgoe_per_100km.EL.Tr.Road.Freight.LCV.ICE.NGas</t>
  </si>
  <si>
    <t>Eff_test_new.kgoe_per_100km.EL.Tr.Road.Freight.LCV.ICE.BEV</t>
  </si>
  <si>
    <t>Eff_test_new.kgoe_per_100km.EL.Tr.Road.Freight.HGV</t>
  </si>
  <si>
    <t>Eff_test_new.kgoe_per_100km.EL.Tr.Road.Freight.HGV.Domestic</t>
  </si>
  <si>
    <t>Eff_test_new.kgoe_per_100km.EL.Tr.Road.Freight.HGV.International</t>
  </si>
  <si>
    <t>EMIint_test_stock.gCO2_per_km.EL.Tr.Road.Passenger.P2W</t>
  </si>
  <si>
    <t>EMIint_test_stock.gCO2_per_km.EL.Tr.Road.Passenger.Car</t>
  </si>
  <si>
    <t>EMIint_test_stock.gCO2_per_km.EL.Tr.Road.Passenger.Car.ICE.Gasoline</t>
  </si>
  <si>
    <t>EMIint_test_stock.gCO2_per_km.EL.Tr.Road.Passenger.Car.ICE.Diesel</t>
  </si>
  <si>
    <t>EMIint_test_stock.gCO2_per_km.EL.Tr.Road.Passenger.Car.ICE.LPG</t>
  </si>
  <si>
    <t>EMIint_test_stock.gCO2_per_km.EL.Tr.Road.Passenger.Car.ICE.NGas</t>
  </si>
  <si>
    <t>EMIint_test_stock.gCO2_per_km.EL.Tr.Road.Passenger.Car.PHEV</t>
  </si>
  <si>
    <t>EMIint_test_stock.gCO2_per_km.EL.Tr.Road.Passenger.Car.BEV</t>
  </si>
  <si>
    <t>EMIint_test_stock.gCO2_per_km.EL.Tr.Road.Passenger.Bus</t>
  </si>
  <si>
    <t>EMIint_test_stock.gCO2_per_km.EL.Tr.Road.Passenger.Bus.ICE.Gasoline</t>
  </si>
  <si>
    <t>EMIint_test_stock.gCO2_per_km.EL.Tr.Road.Passenger.Bus.ICE.Diesel</t>
  </si>
  <si>
    <t>EMIint_test_stock.gCO2_per_km.EL.Tr.Road.Passenger.Bus.ICE.LPG</t>
  </si>
  <si>
    <t>EMIint_test_stock.gCO2_per_km.EL.Tr.Road.Passenger.Bus.ICE.NGas</t>
  </si>
  <si>
    <t>EMIint_test_stock.gCO2_per_km.EL.Tr.Road.Passenger.Bus.ICE.BEV</t>
  </si>
  <si>
    <t>EMIint_test_stock.gCO2_per_km.EL.Tr.Road.Freight.LCV</t>
  </si>
  <si>
    <t>EMIint_test_stock.gCO2_per_km.EL.Tr.Road.Freight.LCV.ICE.Gasoline</t>
  </si>
  <si>
    <t>EMIint_test_stock.gCO2_per_km.EL.Tr.Road.Freight.LCV.ICE.Diesel</t>
  </si>
  <si>
    <t>EMIint_test_stock.gCO2_per_km.EL.Tr.Road.Freight.LCV.ICE.LPG</t>
  </si>
  <si>
    <t>EMIint_test_stock.gCO2_per_km.EL.Tr.Road.Freight.LCV.ICE.NGas</t>
  </si>
  <si>
    <t>EMIint_test_stock.gCO2_per_km.EL.Tr.Road.Freight.LCV.ICE.BEV</t>
  </si>
  <si>
    <t>EMIint_test_stock.gCO2_per_km.EL.Tr.Road.Freight.HGV</t>
  </si>
  <si>
    <t>EMIint_test_stock.gCO2_per_km.EL.Tr.Road.Freight.HGV.Domestic</t>
  </si>
  <si>
    <t>EMIint_test_stock.gCO2_per_km.EL.Tr.Road.Freight.HGV.International</t>
  </si>
  <si>
    <t>EMIint_test_new.gCO2_per_km.EL.Tr.Road.Passenger.P2W</t>
  </si>
  <si>
    <t>EMIint_test_new.gCO2_per_km.EL.Tr.Road.Passenger.Car</t>
  </si>
  <si>
    <t>EMIint_test_new.gCO2_per_km.EL.Tr.Road.Passenger.Car.ICE.Gasoline</t>
  </si>
  <si>
    <t>EMIint_test_new.gCO2_per_km.EL.Tr.Road.Passenger.Car.ICE.Diesel</t>
  </si>
  <si>
    <t>EMIint_test_new.gCO2_per_km.EL.Tr.Road.Passenger.Car.ICE.LPG</t>
  </si>
  <si>
    <t>EMIint_test_new.gCO2_per_km.EL.Tr.Road.Passenger.Car.ICE.NGas</t>
  </si>
  <si>
    <t>EMIint_test_new.gCO2_per_km.EL.Tr.Road.Passenger.Car.PHEV</t>
  </si>
  <si>
    <t>EMIint_test_new.gCO2_per_km.EL.Tr.Road.Passenger.Car.BEV</t>
  </si>
  <si>
    <t>EMIint_test_new.gCO2_per_km.EL.Tr.Road.Passenger.Bus</t>
  </si>
  <si>
    <t>EMIint_test_new.gCO2_per_km.EL.Tr.Road.Passenger.Bus.ICE.Gasoline</t>
  </si>
  <si>
    <t>EMIint_test_new.gCO2_per_km.EL.Tr.Road.Passenger.Bus.ICE.Diesel</t>
  </si>
  <si>
    <t>EMIint_test_new.gCO2_per_km.EL.Tr.Road.Passenger.Bus.ICE.LPG</t>
  </si>
  <si>
    <t>EMIint_test_new.gCO2_per_km.EL.Tr.Road.Passenger.Bus.ICE.NGas</t>
  </si>
  <si>
    <t>EMIint_test_new.gCO2_per_km.EL.Tr.Road.Passenger.Bus.ICE.BEV</t>
  </si>
  <si>
    <t>EMIint_test_new.gCO2_per_km.EL.Tr.Road.Freight.LCV</t>
  </si>
  <si>
    <t>EMIint_test_new.gCO2_per_km.EL.Tr.Road.Freight.LCV.ICE.Gasoline</t>
  </si>
  <si>
    <t>EMIint_test_new.gCO2_per_km.EL.Tr.Road.Freight.LCV.ICE.Diesel</t>
  </si>
  <si>
    <t>EMIint_test_new.gCO2_per_km.EL.Tr.Road.Freight.LCV.ICE.LPG</t>
  </si>
  <si>
    <t>EMIint_test_new.gCO2_per_km.EL.Tr.Road.Freight.LCV.ICE.NGas</t>
  </si>
  <si>
    <t>EMIint_test_new.gCO2_per_km.EL.Tr.Road.Freight.LCV.ICE.BEV</t>
  </si>
  <si>
    <t>EMIint_test_new.gCO2_per_km.EL.Tr.Road.Freight.HGV</t>
  </si>
  <si>
    <t>EMIint_test_new.gCO2_per_km.EL.Tr.Road.Freight.HGV.Domestic</t>
  </si>
  <si>
    <t>EMIint_test_new.gCO2_per_km.EL.Tr.Road.Freight.HGV.International</t>
  </si>
  <si>
    <t>FEC.ktoe.EL.MBunk</t>
  </si>
  <si>
    <t>FEC.ktoe.EL.MBunk.IntraEEA</t>
  </si>
  <si>
    <t>FEC.ktoe.EL.MBunk.ExtraEEA</t>
  </si>
  <si>
    <t>EMI.ktCO2.EL.MBunk</t>
  </si>
  <si>
    <t>EMI.ktCO2.EL.MBunk.IntraEEA</t>
  </si>
  <si>
    <t>EMI.ktCO2.EL.MBunk.ExtraEEA</t>
  </si>
  <si>
    <t>International maritime bunkers - EL - Greece</t>
  </si>
  <si>
    <t>VehicleKm.Mkm.EL.MBunk.Freight</t>
  </si>
  <si>
    <t>VehicleKm.Mkm.EL.MBunk.Freight.IntraEEA</t>
  </si>
  <si>
    <t>VehicleKm.Mkm.EL.MBunk.Freight.ExtraEEA</t>
  </si>
  <si>
    <t>Load.t_per_movement.EL.MBunk.Freight</t>
  </si>
  <si>
    <t>Load.t_per_movement.EL.MBunk.Freight.IntraEEA</t>
  </si>
  <si>
    <t>Load.t_per_movement.EL.MBunk.Freight.ExtraEEA</t>
  </si>
  <si>
    <t>International maritime bunkers / energy consumption - EL - Greece</t>
  </si>
  <si>
    <t>FEC.ktoe.EL.ES.MBunk</t>
  </si>
  <si>
    <t>FEC.ktoe.EL.ES.MBunk.IntraEEA</t>
  </si>
  <si>
    <t>FEC.ktoe.EL.ES.MBunk.IntraEEA.Diesel</t>
  </si>
  <si>
    <t>FEC.ktoe.EL.ES.MBunk.IntraEEA.RFO_Other</t>
  </si>
  <si>
    <t>FEC.ktoe.EL.ES.MBunk.IntraEEA.LiqBio</t>
  </si>
  <si>
    <t>FEC.ktoe.EL.ES.MBunk.IntraEEA.NG</t>
  </si>
  <si>
    <t>FEC.ktoe.EL.ES.MBunk.IntraEEA.Biogas</t>
  </si>
  <si>
    <t>FEC.ktoe.EL.ES.MBunk.ExtraEEA</t>
  </si>
  <si>
    <t>FEC.ktoe.EL.ES.MBunk.ExtraEEA.Diesel</t>
  </si>
  <si>
    <t>FEC.ktoe.EL.ES.MBunk.ExtraEEA.RFO_Other</t>
  </si>
  <si>
    <t>FEC.ktoe.EL.ES.MBunk.ExtraEEA.LiqBio</t>
  </si>
  <si>
    <t>FEC.ktoe.EL.ES.MBunk.ExtraEEA.NG</t>
  </si>
  <si>
    <t>FEC.ktoe.EL.ES.MBunk.ExtraEEA.Biogas</t>
  </si>
  <si>
    <t>Eff.kgoe_per_100km.EL.MBunk.Freight</t>
  </si>
  <si>
    <t>Eff.kgoe_per_100km.EL.MBunk.Freight.IntraEEA</t>
  </si>
  <si>
    <t>Eff.kgoe_per_100km.EL.MBunk.Freight.ExtraEEA</t>
  </si>
  <si>
    <t>International maritime bunkers / CO2 emissions - EL - Greece</t>
  </si>
  <si>
    <t>EMI.ktCO2.EL.ES.MBunk</t>
  </si>
  <si>
    <t>EMI.ktCO2.EL.ES.MBunk.IntraEEA</t>
  </si>
  <si>
    <t>EMI.ktCO2.EL.ES.MBunk.ExtraEEA</t>
  </si>
  <si>
    <t>EMIint.gCO2_per_km.EL.MBunk.Freight</t>
  </si>
  <si>
    <t>EMIint.gCO2_per_km.EL.MBunk.Freight.IntraEEA</t>
  </si>
  <si>
    <t>EMIint.gCO2_per_km.EL.MBunk.Freight.ExtraEEA</t>
  </si>
  <si>
    <t>FEC.ktoe.EL.Tr.DNavi</t>
  </si>
  <si>
    <t>FEC.ktoe.EL.Tr.Dnavi.DCS</t>
  </si>
  <si>
    <t>FEC.ktoe.EL.Tr.Dnavi.IWW</t>
  </si>
  <si>
    <t>EMI.ktCO2.EL.Tr.DNavi</t>
  </si>
  <si>
    <t>EMI.ktCO2.EL.Tr.Dnavi.DCS</t>
  </si>
  <si>
    <t>EMI.ktCO2.EL.Tr.Dnavi.IWW</t>
  </si>
  <si>
    <t>Domestic navigation - EL - Greece</t>
  </si>
  <si>
    <t>VehicleKm.Mkm.EL.Tr.DNavi.Freight</t>
  </si>
  <si>
    <t>VehicleKm.Mkm.EL.Tr.DNavi.Freight.DCS</t>
  </si>
  <si>
    <t>VehicleKm.Mkm.EL.Tr.DNavi.Freight.IWW</t>
  </si>
  <si>
    <t>Load.t_per_movement.EL.Tr.DNavi.Freight</t>
  </si>
  <si>
    <t>Load.t_per_movement.EL.Tr.DNavi.Freight.DCS</t>
  </si>
  <si>
    <t>Load.t_per_movement.EL.Tr.DNavi.Freight.IWW</t>
  </si>
  <si>
    <t>Domestic navigation / energy consumption - EL - Greece</t>
  </si>
  <si>
    <t>FEC.ktoe.EL.ES.Tr.DNavi</t>
  </si>
  <si>
    <t>FEC.ktoe.EL.ES.Tr.DNavi.DCS</t>
  </si>
  <si>
    <t>FEC.ktoe.EL.ES.Tr.DNavi.DCS.Diesel</t>
  </si>
  <si>
    <t>FEC.ktoe.EL.ES.Tr.DNavi.DCS.RFO_Other</t>
  </si>
  <si>
    <t>FEC.ktoe.EL.ES.Tr.DNavi.DCS.LiqBio</t>
  </si>
  <si>
    <t>FEC.ktoe.EL.ES.Tr.DNavi.DCS.NG</t>
  </si>
  <si>
    <t>FEC.ktoe.EL.ES.Tr.DNavi.DCS.Biogas</t>
  </si>
  <si>
    <t>FEC.ktoe.EL.ES.Tr.DNavi.IWW</t>
  </si>
  <si>
    <t>FEC.ktoe.EL.ES.Tr.DNavi.IWW.Diesel</t>
  </si>
  <si>
    <t>FEC.ktoe.EL.ES.Tr.DNavi.IWW.RFO_Other</t>
  </si>
  <si>
    <t>FEC.ktoe.EL.ES.Tr.DNavi.IWW.LiqBio</t>
  </si>
  <si>
    <t>FEC.ktoe.EL.ES.Tr.DNavi.IWW.NG</t>
  </si>
  <si>
    <t>FEC.ktoe.EL.ES.Tr.DNavi.IWW.Biogas</t>
  </si>
  <si>
    <t>Eff.kgoe_per_100km.EL.Tr.DNavi.Freight</t>
  </si>
  <si>
    <t>Eff.kgoe_per_100km.EL.Tr.DNavi.Freight.DCS</t>
  </si>
  <si>
    <t>Eff.kgoe_per_100km.EL.Tr.DNavi.Freight.IWW</t>
  </si>
  <si>
    <t>Domestic navigation / CO2 emissions - EL - Greece</t>
  </si>
  <si>
    <t>EMI.ktCO2.EL.ES.Tr.DNavi</t>
  </si>
  <si>
    <t>EMI.ktCO2.EL.ES.Tr.DNavi.DCS</t>
  </si>
  <si>
    <t>EMI.ktCO2.EL.ES.Tr.DNavi.IWW</t>
  </si>
  <si>
    <t>EMIint.gCO2_per_km.EL.Tr.DNavi.Freight</t>
  </si>
  <si>
    <t>EMIint.gCO2_per_km.EL.Tr.DNavi.Freight.DCS</t>
  </si>
  <si>
    <t>EMIint.gCO2_per_km.EL.Tr.DNavi.Freight.IWW</t>
  </si>
  <si>
    <t>Rail, metro and tram - EL - Greece</t>
  </si>
  <si>
    <t>Activity.Mpkm.EL.Tr.Rail.Passenger.CPT.Diesel</t>
  </si>
  <si>
    <t>Activity.Mpkm.EL.Tr.Rail.Passenger.CPT.Elc</t>
  </si>
  <si>
    <t>Activity.Mtkm.EL.Tr.Rail.Freight.Diesel</t>
  </si>
  <si>
    <t>Activity.Mtkm.EL.Tr.Rail.Freight.Elc</t>
  </si>
  <si>
    <t>VehicleKm.Mkm.EL.Tr.Rail</t>
  </si>
  <si>
    <t>VehicleKm.Mkm.EL.Tr.Rail.Passenger</t>
  </si>
  <si>
    <t>VehicleKm.Mkm.EL.Tr.Rail.Passenger.MTU</t>
  </si>
  <si>
    <t>VehicleKm.Mkm.EL.Tr.Rail.Passenger.CPT</t>
  </si>
  <si>
    <t>VehicleKm.Mkm.EL.Tr.Rail.Passenger.CPT.Diesel</t>
  </si>
  <si>
    <t>VehicleKm.Mkm.EL.Tr.Rail.Passenger.CPT.Elc</t>
  </si>
  <si>
    <t>VehicleKm.Mkm.EL.Tr.Rail.Passenger.HST</t>
  </si>
  <si>
    <t>VehicleKm.Mkm.EL.Tr.Rail.Freight</t>
  </si>
  <si>
    <t>VehicleKm.Mkm.EL.Tr.Rail.Freight.Diesel</t>
  </si>
  <si>
    <t>VehicleKm.Mkm.EL.Tr.Rail.Freight.Elc</t>
  </si>
  <si>
    <t>Stock.number.EL.Tr.Rail</t>
  </si>
  <si>
    <t>Stock.number.EL.Tr.Rail.Passenger</t>
  </si>
  <si>
    <t>Stock.number.EL.Tr.Rail.Passenger.MTU</t>
  </si>
  <si>
    <t>Stock.number.EL.Tr.Rail.Passenger.CPT</t>
  </si>
  <si>
    <t>Stock.number.EL.Tr.Rail.Passenger.CPT.Diesel</t>
  </si>
  <si>
    <t>Stock.number.EL.Tr.Rail.Passenger.CPT.Elc</t>
  </si>
  <si>
    <t>Stock.number.EL.Tr.Rail.Passenger.HST</t>
  </si>
  <si>
    <t>Stock.number.EL.Tr.Rail.Freight</t>
  </si>
  <si>
    <t>Stock.number.EL.Tr.Rail.Freight.Diesel</t>
  </si>
  <si>
    <t>Stock.number.EL.Tr.Rail.Freight.Elc</t>
  </si>
  <si>
    <t>StockNew.number.EL.Tr.Rail</t>
  </si>
  <si>
    <t>StockNew.number.EL.Tr.Rail.Passenger</t>
  </si>
  <si>
    <t>StockNew.number.EL.Tr.Rail.Passenger.MTU</t>
  </si>
  <si>
    <t>StockNew.number.EL.Tr.Rail.Passenger.CPT</t>
  </si>
  <si>
    <t>StockNew.number.EL.Tr.Rail.Passenger.CPT.Diesel</t>
  </si>
  <si>
    <t>StockNew.number.EL.Tr.Rail.Passenger.CPT.Elc</t>
  </si>
  <si>
    <t>StockNew.number.EL.Tr.Rail.Passenger.HST</t>
  </si>
  <si>
    <t>StockNew.number.EL.Tr.Rail.Freight</t>
  </si>
  <si>
    <t>StockNew.number.EL.Tr.Rail.Freight.Diesel</t>
  </si>
  <si>
    <t>StockNew.number.EL.Tr.Rail.Freight.Elc</t>
  </si>
  <si>
    <t>Load.passenger_per_movement.EL.Tr.Rail.Passenger</t>
  </si>
  <si>
    <t>Load.passenger_per_movement.EL.Tr.Rail.Passenger.MTU</t>
  </si>
  <si>
    <t>Load.passenger_per_movement.EL.Tr.Rail.Passenger.CPT</t>
  </si>
  <si>
    <t>Load.passenger_per_movement.EL.Tr.Rail.Passenger.CPT.Diesel</t>
  </si>
  <si>
    <t>Load.passenger_per_movement.EL.Tr.Rail.Passenger.CPT.Elc</t>
  </si>
  <si>
    <t>Load.passenger_per_movement.EL.Tr.Rail.Passenger.HST</t>
  </si>
  <si>
    <t>Load.t_per_movement.EL.Tr.Rail.Freight</t>
  </si>
  <si>
    <t>Load.t_per_movement.EL.Tr.Rail.Freight.Diesel</t>
  </si>
  <si>
    <t>Load.t_per_movement.EL.Tr.Rail.Freight.Elc</t>
  </si>
  <si>
    <t>TrCap.seats.EL.Tr.Rail.Passenger</t>
  </si>
  <si>
    <t>TrCap.seats.EL.Tr.Rail.Passenger.MTU</t>
  </si>
  <si>
    <t>TrCap.seats.EL.Tr.Rail.Passenger.CPT</t>
  </si>
  <si>
    <t>TrCap.seats.EL.Tr.Rail.Passenger.CPT.Diesel</t>
  </si>
  <si>
    <t>TrCap.seats.EL.Tr.Rail.Passenger.CPT.Elc</t>
  </si>
  <si>
    <t>TrCap.seats.EL.Tr.Rail.Passenger.HST</t>
  </si>
  <si>
    <t>TrCap.t.EL.Tr.Rail.Freight</t>
  </si>
  <si>
    <t>TrCap.t.EL.Tr.Rail.Freight.Diesel</t>
  </si>
  <si>
    <t>TrCap.t.EL.Tr.Rail.Freight.Elc</t>
  </si>
  <si>
    <t>VehicleKm_per_vehicle.km.EL.Tr.Rail</t>
  </si>
  <si>
    <t>VehicleKm_per_vehicle.km.EL.Tr.Rail.Passenger</t>
  </si>
  <si>
    <t>VehicleKm_per_vehicle.km.EL.Tr.Rail.Passenger.MTU</t>
  </si>
  <si>
    <t>VehicleKm_per_vehicle.km.EL.Tr.Rail.Passenger.CPT</t>
  </si>
  <si>
    <t>VehicleKm_per_vehicle.km.EL.Tr.Rail.Passenger.CPT.Diesel</t>
  </si>
  <si>
    <t>VehicleKm_per_vehicle.km.EL.Tr.Rail.Passenger.CPT.Elc</t>
  </si>
  <si>
    <t>VehicleKm_per_vehicle.km.EL.Tr.Rail.Passenger.HST</t>
  </si>
  <si>
    <t>VehicleKm_per_vehicle.km.EL.Tr.Rail.Freight</t>
  </si>
  <si>
    <t>VehicleKm_per_vehicle.km.EL.Tr.Rail.Freight.Diesel</t>
  </si>
  <si>
    <t>VehicleKm_per_vehicle.km.EL.Tr.Rail.Freight.Elc</t>
  </si>
  <si>
    <t>Activity_per_vehicle.pkm.EL.Tr.Rail.Passenger</t>
  </si>
  <si>
    <t>Activity_per_vehicle.pkm.EL.Tr.Rail.Passenger.MTU</t>
  </si>
  <si>
    <t>Activity_per_vehicle.pkm.EL.Tr.Rail.Passenger.CPT</t>
  </si>
  <si>
    <t>Activity_per_vehicle.pkm.EL.Tr.Rail.Passenger.CPT.Diesel</t>
  </si>
  <si>
    <t>Activity_per_vehicle.pkm.EL.Tr.Rail.Passenger.CPT.Elc</t>
  </si>
  <si>
    <t>Activity_per_vehicle.pkm.EL.Tr.Rail.Passenger.HST</t>
  </si>
  <si>
    <t>Activity_per_vehicle.tkm.EL.Tr.Rail.Freight</t>
  </si>
  <si>
    <t>Activity_per_vehicle.tkm.EL.Tr.Rail.Freight.Diesel</t>
  </si>
  <si>
    <t>Activity_per_vehicle.tkm.EL.Tr.Rail.Freight.Elc</t>
  </si>
  <si>
    <t>Rail, metro and tram / energy consumption - EL - Greece</t>
  </si>
  <si>
    <t>FEC.ktoe.EL.ES.Tr.Rail</t>
  </si>
  <si>
    <t>FEC.ktoe.EL.ES.Tr.Rail.Diesel</t>
  </si>
  <si>
    <t>FEC.ktoe.EL.ES.Tr.Rail.LiqBio</t>
  </si>
  <si>
    <t>FEC.ktoe.EL.ES.Tr.Rail.Elec</t>
  </si>
  <si>
    <t>FEC.ktoe.EL.Tr.Rail</t>
  </si>
  <si>
    <t>FEC.ktoe.EL.Tr.Rail.Passenger.CPT.Diesel</t>
  </si>
  <si>
    <t>FEC.ktoe.EL.Tr.Rail.Passenger.CPT.Elc</t>
  </si>
  <si>
    <t>FEC.ktoe.EL.Tr.Rail.Freight.Diesel</t>
  </si>
  <si>
    <t>FEC.ktoe.EL.Tr.Rail.Freight.Elc</t>
  </si>
  <si>
    <t>Eff.kgoe_per_100km.EL.Tr.Rail</t>
  </si>
  <si>
    <t>Eff.kgoe_per_100km.EL.Tr.Rail.Passenger</t>
  </si>
  <si>
    <t>Eff.kgoe_per_100km.EL.Tr.Rail.Passenger.MTU</t>
  </si>
  <si>
    <t>Eff.kgoe_per_100km.EL.Tr.Rail.Passenger.CPT</t>
  </si>
  <si>
    <t>Eff.kgoe_per_100km.EL.Tr.Rail.Passenger.CPT.Diesel</t>
  </si>
  <si>
    <t>Eff.kgoe_per_100km.EL.Tr.Rail.Passenger.CPT.Elc</t>
  </si>
  <si>
    <t>Eff.kgoe_per_100km.EL.Tr.Rail.Passenger.HST</t>
  </si>
  <si>
    <t>Eff.kgoe_per_100km.EL.Tr.Rail.Freight</t>
  </si>
  <si>
    <t>Eff.kgoe_per_100km.EL.Tr.Rail.Freight.Diesel</t>
  </si>
  <si>
    <t>Eff.kgoe_per_100km.EL.Tr.Rail.Freight.Elc</t>
  </si>
  <si>
    <t>Eff.kgoe_per_kpkm.EL.Tr.Rail.Passenger.CPT.Diesel</t>
  </si>
  <si>
    <t>Eff.kgoe_per_kpkm.EL.Tr.Rail.Passenger.CPT.Elc</t>
  </si>
  <si>
    <t>Eff.kgoe_per_ktkm.EL.Tr.Rail.Freight.Diesel</t>
  </si>
  <si>
    <t>Eff.kgoe_per_ktkm.EL.Tr.Rail.Freight.Elc</t>
  </si>
  <si>
    <t>FEC_per_vehicle.kgoe.EL.Tr.Rail</t>
  </si>
  <si>
    <t>FEC_per_vehicle.kgoe.EL.Tr.Rail.Passenger</t>
  </si>
  <si>
    <t>FEC_per_vehicle.kgoe.EL.Tr.Rail.Passenger.MTU</t>
  </si>
  <si>
    <t>FEC_per_vehicle.kgoe.EL.Tr.Rail.Passenger.CPT</t>
  </si>
  <si>
    <t>FEC_per_vehicle.kgoe.EL.Tr.Rail.Passenger.CPT.Diesel</t>
  </si>
  <si>
    <t>FEC_per_vehicle.kgoe.EL.Tr.Rail.Passenger.CPT.Elc</t>
  </si>
  <si>
    <t>FEC_per_vehicle.kgoe.EL.Tr.Rail.Passenger.HST</t>
  </si>
  <si>
    <t>FEC_per_vehicle.kgoe.EL.Tr.Rail.Freight</t>
  </si>
  <si>
    <t>FEC_per_vehicle.kgoe.EL.Tr.Rail.Freight.Diesel</t>
  </si>
  <si>
    <t>FEC_per_vehicle.kgoe.EL.Tr.Rail.Freight.Elc</t>
  </si>
  <si>
    <t>Rail, metro and tram / CO2 emissions - EL - Greece</t>
  </si>
  <si>
    <t>EMI.ktCO2.EL.ES.Tr.Rail</t>
  </si>
  <si>
    <t>EMI.ktCO2.EL.ES.Tr.Rail.Diesel</t>
  </si>
  <si>
    <t>EMI.ktCO2.EL.ES.Tr.Rail.Elec</t>
  </si>
  <si>
    <t>EMI.ktCO2.EL.Tr.Rail</t>
  </si>
  <si>
    <t>EMI.ktCO2.EL.Tr.Rail.Passenger.CPT.Diesel</t>
  </si>
  <si>
    <t>EMI.ktCO2.EL.Tr.Rail.Passenger.CPT.Elc</t>
  </si>
  <si>
    <t>EMI.ktCO2.EL.Tr.Rail.Freight.Diesel</t>
  </si>
  <si>
    <t>EMI.ktCO2.EL.Tr.Rail.Freight.Elc</t>
  </si>
  <si>
    <t>EMIint.gCO2_per_km.EL.Tr.Rail</t>
  </si>
  <si>
    <t>EMIint.gCO2_per_km.EL.Tr.Rail.Passenger</t>
  </si>
  <si>
    <t>EMIint.gCO2_per_km.EL.Tr.Rail.Passenger.MTU</t>
  </si>
  <si>
    <t>EMIint.gCO2_per_km.EL.Tr.Rail.Passenger.CPT</t>
  </si>
  <si>
    <t>EMIint.gCO2_per_km.EL.Tr.Rail.Passenger.CPT.Diesel</t>
  </si>
  <si>
    <t>EMIint.gCO2_per_km.EL.Tr.Rail.Passenger.CPT.Elc</t>
  </si>
  <si>
    <t>EMIint.gCO2_per_km.EL.Tr.Rail.Passenger.HST</t>
  </si>
  <si>
    <t>EMIint.gCO2_per_km.EL.Tr.Rail.Freight</t>
  </si>
  <si>
    <t>EMIint.gCO2_per_km.EL.Tr.Rail.Freight.Diesel</t>
  </si>
  <si>
    <t>EMIint.gCO2_per_km.EL.Tr.Rail.Freight.Elc</t>
  </si>
  <si>
    <t>EMIint.gCO2_per_pkm.EL.Tr.Rail.Passenger.CPT.Diesel</t>
  </si>
  <si>
    <t>EMIint.gCO2_per_pkm.EL.Tr.Rail.Passenger.CPT.Elc</t>
  </si>
  <si>
    <t>EMIint.gCO2_per_tkm.EL.Tr.Rail.Freight.Diesel</t>
  </si>
  <si>
    <t>EMIint.gCO2_per_tkm.EL.Tr.Rail.Freight.Elc</t>
  </si>
  <si>
    <t>EMI_per_vehicle.tCO2.EL.Tr.Rail</t>
  </si>
  <si>
    <t>EMI_per_vehicle.tCO2.EL.Tr.Rail.Passenger</t>
  </si>
  <si>
    <t>EMI_per_vehicle.tCO2.EL.Tr.Rail.Passenger.MTU</t>
  </si>
  <si>
    <t>EMI_per_vehicle.tCO2.EL.Tr.Rail.Passenger.CPT</t>
  </si>
  <si>
    <t>EMI_per_vehicle.tCO2.EL.Tr.Rail.Passenger.CPT.Diesel</t>
  </si>
  <si>
    <t>EMI_per_vehicle.tCO2.EL.Tr.Rail.Passenger.CPT.Elc</t>
  </si>
  <si>
    <t>EMI_per_vehicle.tCO2.EL.Tr.Rail.Passenger.HST</t>
  </si>
  <si>
    <t>EMI_per_vehicle.tCO2.EL.Tr.Rail.Freight</t>
  </si>
  <si>
    <t>EMI_per_vehicle.tCO2.EL.Tr.Rail.Freight.Diesel</t>
  </si>
  <si>
    <t>EMI_per_vehicle.tCO2.EL.Tr.Rail.Freight.Elc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</si>
</sst>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45432.784259259257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125669.83474131662</v>
      </c>
      <c r="C4" s="28">
        <f t="shared" si="0"/>
        <v>128774.48000191226</v>
      </c>
      <c r="D4" s="28">
        <f t="shared" si="0"/>
        <v>133198.98288872355</v>
      </c>
      <c r="E4" s="28">
        <f t="shared" si="0"/>
        <v>137689.19651124868</v>
      </c>
      <c r="F4" s="28">
        <f t="shared" si="0"/>
        <v>143894.78797547991</v>
      </c>
      <c r="G4" s="28">
        <f t="shared" si="0"/>
        <v>150194.53603370639</v>
      </c>
      <c r="H4" s="28">
        <f t="shared" si="0"/>
        <v>156532.56911813541</v>
      </c>
      <c r="I4" s="28">
        <f t="shared" si="0"/>
        <v>162778.33740078154</v>
      </c>
      <c r="J4" s="28">
        <f t="shared" si="0"/>
        <v>166701.18666302453</v>
      </c>
      <c r="K4" s="28">
        <f t="shared" si="0"/>
        <v>164308.3760881421</v>
      </c>
      <c r="L4" s="28">
        <f t="shared" si="0"/>
        <v>163421.33155985098</v>
      </c>
      <c r="M4" s="28">
        <f t="shared" si="0"/>
        <v>163455.51610114373</v>
      </c>
      <c r="N4" s="28">
        <f t="shared" si="0"/>
        <v>159910.37240655566</v>
      </c>
      <c r="O4" s="28">
        <f t="shared" si="0"/>
        <v>160989.69299119659</v>
      </c>
      <c r="P4" s="28">
        <f t="shared" si="0"/>
        <v>166499.59568196401</v>
      </c>
      <c r="Q4" s="28">
        <f t="shared" si="0"/>
        <v>169537.92012075256</v>
      </c>
      <c r="R4" s="28">
        <f t="shared" ref="R4:V4" si="1">R5+R9+R13</f>
        <v>174525.88640188309</v>
      </c>
      <c r="S4" s="28">
        <f t="shared" si="1"/>
        <v>180541.54865675638</v>
      </c>
      <c r="T4" s="28">
        <f t="shared" si="1"/>
        <v>186084.78536390516</v>
      </c>
      <c r="U4" s="28">
        <f t="shared" si="1"/>
        <v>190498.48059373192</v>
      </c>
      <c r="V4" s="28">
        <f t="shared" si="1"/>
        <v>129386.89943175364</v>
      </c>
      <c r="W4" s="28">
        <f t="shared" ref="W4" si="2">W5+W9+W13</f>
        <v>151196.97427417175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89081.033687696428</v>
      </c>
      <c r="C5" s="137">
        <f t="shared" si="3"/>
        <v>94433.61652752696</v>
      </c>
      <c r="D5" s="137">
        <f t="shared" si="3"/>
        <v>99135.280132350381</v>
      </c>
      <c r="E5" s="137">
        <f t="shared" si="3"/>
        <v>103397.50953702383</v>
      </c>
      <c r="F5" s="137">
        <f t="shared" si="3"/>
        <v>107255.69052107683</v>
      </c>
      <c r="G5" s="137">
        <f t="shared" si="3"/>
        <v>112483.56888770049</v>
      </c>
      <c r="H5" s="137">
        <f t="shared" si="3"/>
        <v>117284.73761886568</v>
      </c>
      <c r="I5" s="137">
        <f t="shared" si="3"/>
        <v>122620.69964971418</v>
      </c>
      <c r="J5" s="137">
        <f t="shared" si="3"/>
        <v>128108.34182156908</v>
      </c>
      <c r="K5" s="137">
        <f t="shared" si="3"/>
        <v>128366.59142603923</v>
      </c>
      <c r="L5" s="137">
        <f t="shared" si="3"/>
        <v>128026.7719637641</v>
      </c>
      <c r="M5" s="137">
        <f t="shared" si="3"/>
        <v>127065.51332408059</v>
      </c>
      <c r="N5" s="137">
        <f t="shared" si="3"/>
        <v>125924.11353632176</v>
      </c>
      <c r="O5" s="137">
        <f t="shared" si="3"/>
        <v>124883.37127318948</v>
      </c>
      <c r="P5" s="137">
        <f t="shared" si="3"/>
        <v>126305.87703236123</v>
      </c>
      <c r="Q5" s="137">
        <f t="shared" si="3"/>
        <v>127938.38420213384</v>
      </c>
      <c r="R5" s="137">
        <f t="shared" ref="R5:V5" si="4">R6+R7+R8</f>
        <v>129597.33451912021</v>
      </c>
      <c r="S5" s="137">
        <f t="shared" si="4"/>
        <v>130577.28472203088</v>
      </c>
      <c r="T5" s="137">
        <f t="shared" si="4"/>
        <v>131643.50825034044</v>
      </c>
      <c r="U5" s="137">
        <f t="shared" si="4"/>
        <v>133816.09163567756</v>
      </c>
      <c r="V5" s="137">
        <f t="shared" si="4"/>
        <v>111667.6044267128</v>
      </c>
      <c r="W5" s="137">
        <f t="shared" ref="W5" si="5">W6+W7+W8</f>
        <v>119011.0304613154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4381.0336876964257</v>
      </c>
      <c r="C6" s="102">
        <f>TrRoad_act!C$5</f>
        <v>4633.6165275269523</v>
      </c>
      <c r="D6" s="102">
        <f>TrRoad_act!D$5</f>
        <v>5135.2801323503782</v>
      </c>
      <c r="E6" s="102">
        <f>TrRoad_act!E$5</f>
        <v>5447.5095370238259</v>
      </c>
      <c r="F6" s="102">
        <f>TrRoad_act!F$5</f>
        <v>5655.6905210768246</v>
      </c>
      <c r="G6" s="102">
        <f>TrRoad_act!G$5</f>
        <v>5783.5688877004877</v>
      </c>
      <c r="H6" s="102">
        <f>TrRoad_act!H$5</f>
        <v>5484.7376188656754</v>
      </c>
      <c r="I6" s="102">
        <f>TrRoad_act!I$5</f>
        <v>5620.6996497141872</v>
      </c>
      <c r="J6" s="102">
        <f>TrRoad_act!J$5</f>
        <v>6008.341821569079</v>
      </c>
      <c r="K6" s="102">
        <f>TrRoad_act!K$5</f>
        <v>6147.5484182387845</v>
      </c>
      <c r="L6" s="102">
        <f>TrRoad_act!L$5</f>
        <v>7326.7719637640957</v>
      </c>
      <c r="M6" s="102">
        <f>TrRoad_act!M$5</f>
        <v>7581.7104733309743</v>
      </c>
      <c r="N6" s="102">
        <f>TrRoad_act!N$5</f>
        <v>7893.5315545565281</v>
      </c>
      <c r="O6" s="102">
        <f>TrRoad_act!O$5</f>
        <v>8043.8635150545451</v>
      </c>
      <c r="P6" s="102">
        <f>TrRoad_act!P$5</f>
        <v>8429.7146217443515</v>
      </c>
      <c r="Q6" s="102">
        <f>TrRoad_act!Q$5</f>
        <v>8514.3277175809271</v>
      </c>
      <c r="R6" s="102">
        <f>TrRoad_act!R$5</f>
        <v>8772.254909032039</v>
      </c>
      <c r="S6" s="102">
        <f>TrRoad_act!S$5</f>
        <v>8235.2478066252388</v>
      </c>
      <c r="T6" s="102">
        <f>TrRoad_act!T$5</f>
        <v>7699.3908690823419</v>
      </c>
      <c r="U6" s="102">
        <f>TrRoad_act!U$5</f>
        <v>8175.4130243694099</v>
      </c>
      <c r="V6" s="102">
        <f>TrRoad_act!V$5</f>
        <v>7307.8063895468213</v>
      </c>
      <c r="W6" s="102">
        <f>TrRoad_act!W$5</f>
        <v>7595.585444314067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63000</v>
      </c>
      <c r="C7" s="102">
        <f>TrRoad_act!C$6</f>
        <v>68000.000000000015</v>
      </c>
      <c r="D7" s="102">
        <f>TrRoad_act!D$6</f>
        <v>72000</v>
      </c>
      <c r="E7" s="102">
        <f>TrRoad_act!E$6</f>
        <v>76000</v>
      </c>
      <c r="F7" s="102">
        <f>TrRoad_act!F$6</f>
        <v>80000</v>
      </c>
      <c r="G7" s="102">
        <f>TrRoad_act!G$6</f>
        <v>85000</v>
      </c>
      <c r="H7" s="102">
        <f>TrRoad_act!H$6</f>
        <v>90000</v>
      </c>
      <c r="I7" s="102">
        <f>TrRoad_act!I$6</f>
        <v>95000</v>
      </c>
      <c r="J7" s="102">
        <f>TrRoad_act!J$6</f>
        <v>100000</v>
      </c>
      <c r="K7" s="102">
        <f>TrRoad_act!K$6</f>
        <v>101300</v>
      </c>
      <c r="L7" s="102">
        <f>TrRoad_act!L$6</f>
        <v>99600</v>
      </c>
      <c r="M7" s="102">
        <f>TrRoad_act!M$6</f>
        <v>98322.079941260134</v>
      </c>
      <c r="N7" s="102">
        <f>TrRoad_act!N$6</f>
        <v>96934.481527791097</v>
      </c>
      <c r="O7" s="102">
        <f>TrRoad_act!O$6</f>
        <v>95811.379215017092</v>
      </c>
      <c r="P7" s="102">
        <f>TrRoad_act!P$6</f>
        <v>96870.041465995091</v>
      </c>
      <c r="Q7" s="102">
        <f>TrRoad_act!Q$6</f>
        <v>98275.784515578431</v>
      </c>
      <c r="R7" s="102">
        <f>TrRoad_act!R$6</f>
        <v>99922.362971391893</v>
      </c>
      <c r="S7" s="102">
        <f>TrRoad_act!S$6</f>
        <v>101877.08750292296</v>
      </c>
      <c r="T7" s="102">
        <f>TrRoad_act!T$6</f>
        <v>103395.3545725447</v>
      </c>
      <c r="U7" s="102">
        <f>TrRoad_act!U$6</f>
        <v>105305.16484643624</v>
      </c>
      <c r="V7" s="102">
        <f>TrRoad_act!V$6</f>
        <v>91046.951931119649</v>
      </c>
      <c r="W7" s="102">
        <f>TrRoad_act!W$6</f>
        <v>97646.14209748985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21700</v>
      </c>
      <c r="C8" s="102">
        <f>TrRoad_act!C$13</f>
        <v>21800</v>
      </c>
      <c r="D8" s="102">
        <f>TrRoad_act!D$13</f>
        <v>22000</v>
      </c>
      <c r="E8" s="102">
        <f>TrRoad_act!E$13</f>
        <v>21950</v>
      </c>
      <c r="F8" s="102">
        <f>TrRoad_act!F$13</f>
        <v>21600</v>
      </c>
      <c r="G8" s="102">
        <f>TrRoad_act!G$13</f>
        <v>21700</v>
      </c>
      <c r="H8" s="102">
        <f>TrRoad_act!H$13</f>
        <v>21800</v>
      </c>
      <c r="I8" s="102">
        <f>TrRoad_act!I$13</f>
        <v>22000</v>
      </c>
      <c r="J8" s="102">
        <f>TrRoad_act!J$13</f>
        <v>22100</v>
      </c>
      <c r="K8" s="102">
        <f>TrRoad_act!K$13</f>
        <v>20919.04300780045</v>
      </c>
      <c r="L8" s="102">
        <f>TrRoad_act!L$13</f>
        <v>21100</v>
      </c>
      <c r="M8" s="102">
        <f>TrRoad_act!M$13</f>
        <v>21161.722909489494</v>
      </c>
      <c r="N8" s="102">
        <f>TrRoad_act!N$13</f>
        <v>21096.100453974148</v>
      </c>
      <c r="O8" s="102">
        <f>TrRoad_act!O$13</f>
        <v>21028.128543117837</v>
      </c>
      <c r="P8" s="102">
        <f>TrRoad_act!P$13</f>
        <v>21006.120944621784</v>
      </c>
      <c r="Q8" s="102">
        <f>TrRoad_act!Q$13</f>
        <v>21148.271968974477</v>
      </c>
      <c r="R8" s="102">
        <f>TrRoad_act!R$13</f>
        <v>20902.716638696274</v>
      </c>
      <c r="S8" s="102">
        <f>TrRoad_act!S$13</f>
        <v>20464.949412482678</v>
      </c>
      <c r="T8" s="102">
        <f>TrRoad_act!T$13</f>
        <v>20548.762808713404</v>
      </c>
      <c r="U8" s="102">
        <f>TrRoad_act!U$13</f>
        <v>20335.513764871921</v>
      </c>
      <c r="V8" s="102">
        <f>TrRoad_act!V$13</f>
        <v>13312.846106046331</v>
      </c>
      <c r="W8" s="102">
        <f>TrRoad_act!W$13</f>
        <v>13769.302919511483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3076</v>
      </c>
      <c r="C9" s="110">
        <f t="shared" si="6"/>
        <v>3077</v>
      </c>
      <c r="D9" s="110">
        <f t="shared" si="6"/>
        <v>3186</v>
      </c>
      <c r="E9" s="110">
        <f t="shared" si="6"/>
        <v>2974</v>
      </c>
      <c r="F9" s="110">
        <f t="shared" si="6"/>
        <v>3168</v>
      </c>
      <c r="G9" s="110">
        <f t="shared" si="6"/>
        <v>3354</v>
      </c>
      <c r="H9" s="110">
        <f t="shared" si="6"/>
        <v>3361</v>
      </c>
      <c r="I9" s="110">
        <f t="shared" si="6"/>
        <v>3530</v>
      </c>
      <c r="J9" s="110">
        <f t="shared" si="6"/>
        <v>3317</v>
      </c>
      <c r="K9" s="110">
        <f t="shared" si="6"/>
        <v>3138</v>
      </c>
      <c r="L9" s="110">
        <f t="shared" si="6"/>
        <v>3075.7464982806518</v>
      </c>
      <c r="M9" s="110">
        <f t="shared" si="6"/>
        <v>2632.5821660935508</v>
      </c>
      <c r="N9" s="110">
        <f t="shared" si="6"/>
        <v>2501.3892905336879</v>
      </c>
      <c r="O9" s="110">
        <f t="shared" si="6"/>
        <v>2720.0104964628026</v>
      </c>
      <c r="P9" s="110">
        <f t="shared" si="6"/>
        <v>2734.2689779617967</v>
      </c>
      <c r="Q9" s="110">
        <f t="shared" si="6"/>
        <v>2936.9048608075291</v>
      </c>
      <c r="R9" s="110">
        <f t="shared" ref="R9:V9" si="7">R10+R11+R12</f>
        <v>2845.8180024778389</v>
      </c>
      <c r="S9" s="110">
        <f t="shared" si="7"/>
        <v>2800.5481805298732</v>
      </c>
      <c r="T9" s="110">
        <f t="shared" si="7"/>
        <v>2799.4635632585059</v>
      </c>
      <c r="U9" s="110">
        <f t="shared" si="7"/>
        <v>2929.8685388232807</v>
      </c>
      <c r="V9" s="110">
        <f t="shared" si="7"/>
        <v>1728.4600413566914</v>
      </c>
      <c r="W9" s="110">
        <f t="shared" ref="W9" si="8">W10+W11+W12</f>
        <v>1778.7800102126505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1190</v>
      </c>
      <c r="C10" s="102">
        <f>TrRail_act!C$5</f>
        <v>1330</v>
      </c>
      <c r="D10" s="102">
        <f>TrRail_act!D$5</f>
        <v>1350</v>
      </c>
      <c r="E10" s="102">
        <f>TrRail_act!E$5</f>
        <v>1400</v>
      </c>
      <c r="F10" s="102">
        <f>TrRail_act!F$5</f>
        <v>1500</v>
      </c>
      <c r="G10" s="102">
        <f>TrRail_act!G$5</f>
        <v>1500</v>
      </c>
      <c r="H10" s="102">
        <f>TrRail_act!H$5</f>
        <v>1550</v>
      </c>
      <c r="I10" s="102">
        <f>TrRail_act!I$5</f>
        <v>1600</v>
      </c>
      <c r="J10" s="102">
        <f>TrRail_act!J$5</f>
        <v>1660</v>
      </c>
      <c r="K10" s="102">
        <f>TrRail_act!K$5</f>
        <v>1671</v>
      </c>
      <c r="L10" s="102">
        <f>TrRail_act!L$5</f>
        <v>1692.7464982806518</v>
      </c>
      <c r="M10" s="102">
        <f>TrRail_act!M$5</f>
        <v>1674.5821660935505</v>
      </c>
      <c r="N10" s="102">
        <f>TrRail_act!N$5</f>
        <v>1669.3892905336882</v>
      </c>
      <c r="O10" s="102">
        <f>TrRail_act!O$5</f>
        <v>1664.0104964628028</v>
      </c>
      <c r="P10" s="102">
        <f>TrRail_act!P$5</f>
        <v>1662.268977961797</v>
      </c>
      <c r="Q10" s="102">
        <f>TrRail_act!Q$5</f>
        <v>1673.9048608075293</v>
      </c>
      <c r="R10" s="102">
        <f>TrRail_act!R$5</f>
        <v>1653.8180024778389</v>
      </c>
      <c r="S10" s="102">
        <f>TrRail_act!S$5</f>
        <v>1688.5481805298734</v>
      </c>
      <c r="T10" s="102">
        <f>TrRail_act!T$5</f>
        <v>1695.4635632585057</v>
      </c>
      <c r="U10" s="102">
        <f>TrRail_act!U$5</f>
        <v>1677.8685388232809</v>
      </c>
      <c r="V10" s="102">
        <f>TrRail_act!V$5</f>
        <v>1088.4600413566914</v>
      </c>
      <c r="W10" s="102">
        <f>TrRail_act!W$5</f>
        <v>1125.7800102126505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1886</v>
      </c>
      <c r="C11" s="102">
        <f>TrRail_act!C$6</f>
        <v>1747</v>
      </c>
      <c r="D11" s="102">
        <f>TrRail_act!D$6</f>
        <v>1836</v>
      </c>
      <c r="E11" s="102">
        <f>TrRail_act!E$6</f>
        <v>1574</v>
      </c>
      <c r="F11" s="102">
        <f>TrRail_act!F$6</f>
        <v>1668</v>
      </c>
      <c r="G11" s="102">
        <f>TrRail_act!G$6</f>
        <v>1854</v>
      </c>
      <c r="H11" s="102">
        <f>TrRail_act!H$6</f>
        <v>1811</v>
      </c>
      <c r="I11" s="102">
        <f>TrRail_act!I$6</f>
        <v>1930</v>
      </c>
      <c r="J11" s="102">
        <f>TrRail_act!J$6</f>
        <v>1657</v>
      </c>
      <c r="K11" s="102">
        <f>TrRail_act!K$6</f>
        <v>1467</v>
      </c>
      <c r="L11" s="102">
        <f>TrRail_act!L$6</f>
        <v>1383</v>
      </c>
      <c r="M11" s="102">
        <f>TrRail_act!M$6</f>
        <v>958</v>
      </c>
      <c r="N11" s="102">
        <f>TrRail_act!N$6</f>
        <v>832</v>
      </c>
      <c r="O11" s="102">
        <f>TrRail_act!O$6</f>
        <v>1056</v>
      </c>
      <c r="P11" s="102">
        <f>TrRail_act!P$6</f>
        <v>1072</v>
      </c>
      <c r="Q11" s="102">
        <f>TrRail_act!Q$6</f>
        <v>1263</v>
      </c>
      <c r="R11" s="102">
        <f>TrRail_act!R$6</f>
        <v>1192</v>
      </c>
      <c r="S11" s="102">
        <f>TrRail_act!S$6</f>
        <v>1112</v>
      </c>
      <c r="T11" s="102">
        <f>TrRail_act!T$6</f>
        <v>1104</v>
      </c>
      <c r="U11" s="102">
        <f>TrRail_act!U$6</f>
        <v>1252</v>
      </c>
      <c r="V11" s="102">
        <f>TrRail_act!V$6</f>
        <v>640</v>
      </c>
      <c r="W11" s="102">
        <f>TrRail_act!W$6</f>
        <v>653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33512.801053620191</v>
      </c>
      <c r="C13" s="110">
        <f t="shared" ref="C13:V13" si="10">C14+C15+C16</f>
        <v>31263.863474385304</v>
      </c>
      <c r="D13" s="110">
        <f t="shared" si="10"/>
        <v>30877.702756373154</v>
      </c>
      <c r="E13" s="110">
        <f t="shared" si="10"/>
        <v>31317.686974224864</v>
      </c>
      <c r="F13" s="110">
        <f t="shared" si="10"/>
        <v>33471.097454403076</v>
      </c>
      <c r="G13" s="110">
        <f t="shared" si="10"/>
        <v>34356.967146005903</v>
      </c>
      <c r="H13" s="110">
        <f t="shared" si="10"/>
        <v>35886.831499269734</v>
      </c>
      <c r="I13" s="110">
        <f t="shared" si="10"/>
        <v>36627.637751067356</v>
      </c>
      <c r="J13" s="110">
        <f t="shared" si="10"/>
        <v>35275.844841455473</v>
      </c>
      <c r="K13" s="110">
        <f t="shared" si="10"/>
        <v>32803.784662102858</v>
      </c>
      <c r="L13" s="110">
        <f t="shared" si="10"/>
        <v>32318.813097806236</v>
      </c>
      <c r="M13" s="110">
        <f t="shared" si="10"/>
        <v>33757.420610969581</v>
      </c>
      <c r="N13" s="110">
        <f t="shared" si="10"/>
        <v>31484.869579700226</v>
      </c>
      <c r="O13" s="110">
        <f t="shared" si="10"/>
        <v>33386.311221544296</v>
      </c>
      <c r="P13" s="110">
        <f t="shared" si="10"/>
        <v>37459.449671640992</v>
      </c>
      <c r="Q13" s="110">
        <f t="shared" si="10"/>
        <v>38662.631057811195</v>
      </c>
      <c r="R13" s="110">
        <f t="shared" si="10"/>
        <v>42082.733880285057</v>
      </c>
      <c r="S13" s="110">
        <f t="shared" si="10"/>
        <v>47163.71575419564</v>
      </c>
      <c r="T13" s="110">
        <f t="shared" si="10"/>
        <v>51641.813550306222</v>
      </c>
      <c r="U13" s="110">
        <f t="shared" si="10"/>
        <v>53752.520419231107</v>
      </c>
      <c r="V13" s="110">
        <f t="shared" si="10"/>
        <v>15990.834963684139</v>
      </c>
      <c r="W13" s="110">
        <f t="shared" ref="W13" si="11">W14+W15+W16</f>
        <v>30407.163802643692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2488.4994358538756</v>
      </c>
      <c r="C14" s="102">
        <f>TrAvia_act!C$5</f>
        <v>2371.6997311843506</v>
      </c>
      <c r="D14" s="102">
        <f>TrAvia_act!D$5</f>
        <v>2186.3134820959672</v>
      </c>
      <c r="E14" s="102">
        <f>TrAvia_act!E$5</f>
        <v>2103.3315914289124</v>
      </c>
      <c r="F14" s="102">
        <f>TrAvia_act!F$5</f>
        <v>2447.2823035056058</v>
      </c>
      <c r="G14" s="102">
        <f>TrAvia_act!G$5</f>
        <v>2500.1986759714196</v>
      </c>
      <c r="H14" s="102">
        <f>TrAvia_act!H$5</f>
        <v>2628.2753061787571</v>
      </c>
      <c r="I14" s="102">
        <f>TrAvia_act!I$5</f>
        <v>2814.9848275215622</v>
      </c>
      <c r="J14" s="102">
        <f>TrAvia_act!J$5</f>
        <v>2773.7820833300061</v>
      </c>
      <c r="K14" s="102">
        <f>TrAvia_act!K$5</f>
        <v>2822.8819278819524</v>
      </c>
      <c r="L14" s="102">
        <f>TrAvia_act!L$5</f>
        <v>2518.346732898297</v>
      </c>
      <c r="M14" s="102">
        <f>TrAvia_act!M$5</f>
        <v>2112.7297660140348</v>
      </c>
      <c r="N14" s="102">
        <f>TrAvia_act!N$5</f>
        <v>1927.8941127530379</v>
      </c>
      <c r="O14" s="102">
        <f>TrAvia_act!O$5</f>
        <v>1863.2655650237718</v>
      </c>
      <c r="P14" s="102">
        <f>TrAvia_act!P$5</f>
        <v>2263.1055060039303</v>
      </c>
      <c r="Q14" s="102">
        <f>TrAvia_act!Q$5</f>
        <v>2709.3657201810329</v>
      </c>
      <c r="R14" s="102">
        <f>TrAvia_act!R$5</f>
        <v>2909.6572246752298</v>
      </c>
      <c r="S14" s="102">
        <f>TrAvia_act!S$5</f>
        <v>2897.4105677939174</v>
      </c>
      <c r="T14" s="102">
        <f>TrAvia_act!T$5</f>
        <v>2905.7054341795638</v>
      </c>
      <c r="U14" s="102">
        <f>TrAvia_act!U$5</f>
        <v>2874.8653443847461</v>
      </c>
      <c r="V14" s="102">
        <f>TrAvia_act!V$5</f>
        <v>1281.2525611786973</v>
      </c>
      <c r="W14" s="102">
        <f>TrAvia_act!W$5</f>
        <v>2002.2976197160847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27566.526082824385</v>
      </c>
      <c r="C15" s="102">
        <f>TrAvia_act!C$6</f>
        <v>25651.465443732319</v>
      </c>
      <c r="D15" s="102">
        <f>TrAvia_act!D$6</f>
        <v>25417.927548380638</v>
      </c>
      <c r="E15" s="102">
        <f>TrAvia_act!E$6</f>
        <v>25798.425386908875</v>
      </c>
      <c r="F15" s="102">
        <f>TrAvia_act!F$6</f>
        <v>27120.570837817511</v>
      </c>
      <c r="G15" s="102">
        <f>TrAvia_act!G$6</f>
        <v>27604.906258174433</v>
      </c>
      <c r="H15" s="102">
        <f>TrAvia_act!H$6</f>
        <v>28073.165213347675</v>
      </c>
      <c r="I15" s="102">
        <f>TrAvia_act!I$6</f>
        <v>27774.00053012983</v>
      </c>
      <c r="J15" s="102">
        <f>TrAvia_act!J$6</f>
        <v>25975.447755853693</v>
      </c>
      <c r="K15" s="102">
        <f>TrAvia_act!K$6</f>
        <v>24259.533970974284</v>
      </c>
      <c r="L15" s="102">
        <f>TrAvia_act!L$6</f>
        <v>23590.503977206285</v>
      </c>
      <c r="M15" s="102">
        <f>TrAvia_act!M$6</f>
        <v>24793.324966544616</v>
      </c>
      <c r="N15" s="102">
        <f>TrAvia_act!N$6</f>
        <v>23099.997027753812</v>
      </c>
      <c r="O15" s="102">
        <f>TrAvia_act!O$6</f>
        <v>23826.430267415843</v>
      </c>
      <c r="P15" s="102">
        <f>TrAvia_act!P$6</f>
        <v>27224.519836920645</v>
      </c>
      <c r="Q15" s="102">
        <f>TrAvia_act!Q$6</f>
        <v>28741.694209666715</v>
      </c>
      <c r="R15" s="102">
        <f>TrAvia_act!R$6</f>
        <v>31124.791746738003</v>
      </c>
      <c r="S15" s="102">
        <f>TrAvia_act!S$6</f>
        <v>34680.983473008186</v>
      </c>
      <c r="T15" s="102">
        <f>TrAvia_act!T$6</f>
        <v>37835.956993073785</v>
      </c>
      <c r="U15" s="102">
        <f>TrAvia_act!U$6</f>
        <v>39005.065501651537</v>
      </c>
      <c r="V15" s="102">
        <f>TrAvia_act!V$6</f>
        <v>12711.99167300012</v>
      </c>
      <c r="W15" s="102">
        <f>TrAvia_act!W$6</f>
        <v>22613.230545867558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3457.7755349419349</v>
      </c>
      <c r="C16" s="102">
        <f>TrAvia_act!C$7</f>
        <v>3240.6982994686346</v>
      </c>
      <c r="D16" s="102">
        <f>TrAvia_act!D$7</f>
        <v>3273.4617258965495</v>
      </c>
      <c r="E16" s="102">
        <f>TrAvia_act!E$7</f>
        <v>3415.9299958870752</v>
      </c>
      <c r="F16" s="102">
        <f>TrAvia_act!F$7</f>
        <v>3903.2443130799584</v>
      </c>
      <c r="G16" s="102">
        <f>TrAvia_act!G$7</f>
        <v>4251.8622118600542</v>
      </c>
      <c r="H16" s="102">
        <f>TrAvia_act!H$7</f>
        <v>5185.3909797433025</v>
      </c>
      <c r="I16" s="102">
        <f>TrAvia_act!I$7</f>
        <v>6038.6523934159659</v>
      </c>
      <c r="J16" s="102">
        <f>TrAvia_act!J$7</f>
        <v>6526.6150022717748</v>
      </c>
      <c r="K16" s="102">
        <f>TrAvia_act!K$7</f>
        <v>5721.3687632466235</v>
      </c>
      <c r="L16" s="102">
        <f>TrAvia_act!L$7</f>
        <v>6209.9623877016538</v>
      </c>
      <c r="M16" s="102">
        <f>TrAvia_act!M$7</f>
        <v>6851.3658784109257</v>
      </c>
      <c r="N16" s="102">
        <f>TrAvia_act!N$7</f>
        <v>6456.9784391933754</v>
      </c>
      <c r="O16" s="102">
        <f>TrAvia_act!O$7</f>
        <v>7696.6153891046779</v>
      </c>
      <c r="P16" s="102">
        <f>TrAvia_act!P$7</f>
        <v>7971.8243287164223</v>
      </c>
      <c r="Q16" s="102">
        <f>TrAvia_act!Q$7</f>
        <v>7211.5711279634515</v>
      </c>
      <c r="R16" s="102">
        <f>TrAvia_act!R$7</f>
        <v>8048.2849088718194</v>
      </c>
      <c r="S16" s="102">
        <f>TrAvia_act!S$7</f>
        <v>9585.3217133935377</v>
      </c>
      <c r="T16" s="102">
        <f>TrAvia_act!T$7</f>
        <v>10900.151123052874</v>
      </c>
      <c r="U16" s="102">
        <f>TrAvia_act!U$7</f>
        <v>11872.589573194829</v>
      </c>
      <c r="V16" s="102">
        <f>TrAvia_act!V$7</f>
        <v>1997.5907295053223</v>
      </c>
      <c r="W16" s="102">
        <f>TrAvia_act!W$7</f>
        <v>5791.6356370600497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37659.934879560431</v>
      </c>
      <c r="C17" s="28">
        <f t="shared" si="12"/>
        <v>31693.886112952361</v>
      </c>
      <c r="D17" s="28">
        <f t="shared" si="12"/>
        <v>33616.059491830863</v>
      </c>
      <c r="E17" s="28">
        <f t="shared" si="12"/>
        <v>26266.234738015512</v>
      </c>
      <c r="F17" s="28">
        <f t="shared" si="12"/>
        <v>42969.151105180565</v>
      </c>
      <c r="G17" s="28">
        <f t="shared" si="12"/>
        <v>30468.149430159312</v>
      </c>
      <c r="H17" s="28">
        <f t="shared" si="12"/>
        <v>37867.777443859035</v>
      </c>
      <c r="I17" s="28">
        <f t="shared" si="12"/>
        <v>33518.431943090771</v>
      </c>
      <c r="J17" s="28">
        <f t="shared" si="12"/>
        <v>35071.022922973949</v>
      </c>
      <c r="K17" s="28">
        <f t="shared" si="12"/>
        <v>33836.510246664693</v>
      </c>
      <c r="L17" s="28">
        <f t="shared" si="12"/>
        <v>35081.012900388348</v>
      </c>
      <c r="M17" s="28">
        <f t="shared" si="12"/>
        <v>25705.391835448219</v>
      </c>
      <c r="N17" s="28">
        <f t="shared" si="12"/>
        <v>25334.195067302375</v>
      </c>
      <c r="O17" s="28">
        <f t="shared" si="12"/>
        <v>22233.314454601532</v>
      </c>
      <c r="P17" s="28">
        <f t="shared" si="12"/>
        <v>24655.376388087509</v>
      </c>
      <c r="Q17" s="28">
        <f t="shared" si="12"/>
        <v>25768.682974107272</v>
      </c>
      <c r="R17" s="28">
        <f t="shared" ref="R17:V17" si="13">R18+R21+R22+R26</f>
        <v>27454.095182210323</v>
      </c>
      <c r="S17" s="28">
        <f t="shared" si="13"/>
        <v>27660.971410930295</v>
      </c>
      <c r="T17" s="28">
        <f t="shared" si="13"/>
        <v>27460.239080792468</v>
      </c>
      <c r="U17" s="28">
        <f t="shared" si="13"/>
        <v>27254.587725762452</v>
      </c>
      <c r="V17" s="28">
        <f t="shared" si="13"/>
        <v>24001.331065268401</v>
      </c>
      <c r="W17" s="28">
        <f t="shared" ref="W17" si="14">W18+W21+W22+W26</f>
        <v>27227.383609261968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25980.033103545898</v>
      </c>
      <c r="C18" s="137">
        <f t="shared" si="15"/>
        <v>26665.249220601938</v>
      </c>
      <c r="D18" s="137">
        <f t="shared" si="15"/>
        <v>27360.150448473341</v>
      </c>
      <c r="E18" s="137">
        <f t="shared" si="15"/>
        <v>18787.847796381404</v>
      </c>
      <c r="F18" s="137">
        <f t="shared" si="15"/>
        <v>35600.570093889743</v>
      </c>
      <c r="G18" s="137">
        <f t="shared" si="15"/>
        <v>23589.424736984452</v>
      </c>
      <c r="H18" s="137">
        <f t="shared" si="15"/>
        <v>30749.178381915335</v>
      </c>
      <c r="I18" s="137">
        <f t="shared" si="15"/>
        <v>26102.110661258917</v>
      </c>
      <c r="J18" s="137">
        <f t="shared" si="15"/>
        <v>28413.754007327734</v>
      </c>
      <c r="K18" s="137">
        <f t="shared" si="15"/>
        <v>28063.892528767192</v>
      </c>
      <c r="L18" s="137">
        <f t="shared" si="15"/>
        <v>29731.98565867998</v>
      </c>
      <c r="M18" s="137">
        <f t="shared" si="15"/>
        <v>20589.042813228403</v>
      </c>
      <c r="N18" s="137">
        <f t="shared" si="15"/>
        <v>20204.00586452584</v>
      </c>
      <c r="O18" s="137">
        <f t="shared" si="15"/>
        <v>17047.582168411776</v>
      </c>
      <c r="P18" s="137">
        <f t="shared" si="15"/>
        <v>19401.555743017529</v>
      </c>
      <c r="Q18" s="137">
        <f t="shared" si="15"/>
        <v>19953.040596018338</v>
      </c>
      <c r="R18" s="137">
        <f t="shared" ref="R18:V18" si="16">R19+R20</f>
        <v>21830.085276806149</v>
      </c>
      <c r="S18" s="137">
        <f t="shared" si="16"/>
        <v>21897.564168721383</v>
      </c>
      <c r="T18" s="137">
        <f t="shared" si="16"/>
        <v>21500.465764557975</v>
      </c>
      <c r="U18" s="137">
        <f t="shared" si="16"/>
        <v>21110.28763820128</v>
      </c>
      <c r="V18" s="137">
        <f t="shared" si="16"/>
        <v>18663.407882900974</v>
      </c>
      <c r="W18" s="137">
        <f t="shared" ref="W18" si="17">W19+W20</f>
        <v>21706.015798613538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1312.1663412330745</v>
      </c>
      <c r="C19" s="102">
        <f>TrRoad_act!C$20</f>
        <v>1378.897061869498</v>
      </c>
      <c r="D19" s="102">
        <f>TrRoad_act!D$20</f>
        <v>1468.7122404917318</v>
      </c>
      <c r="E19" s="102">
        <f>TrRoad_act!E$20</f>
        <v>1591.2658083409483</v>
      </c>
      <c r="F19" s="102">
        <f>TrRoad_act!F$20</f>
        <v>1624.6819806162507</v>
      </c>
      <c r="G19" s="102">
        <f>TrRoad_act!G$20</f>
        <v>1672.8258816729697</v>
      </c>
      <c r="H19" s="102">
        <f>TrRoad_act!H$20</f>
        <v>1778.2382669931735</v>
      </c>
      <c r="I19" s="102">
        <f>TrRoad_act!I$20</f>
        <v>1958.9204863213949</v>
      </c>
      <c r="J19" s="102">
        <f>TrRoad_act!J$20</f>
        <v>1968.5934717812288</v>
      </c>
      <c r="K19" s="102">
        <f>TrRoad_act!K$20</f>
        <v>1988.2450152949655</v>
      </c>
      <c r="L19" s="102">
        <f>TrRoad_act!L$20</f>
        <v>2086.4409968351206</v>
      </c>
      <c r="M19" s="102">
        <f>TrRoad_act!M$20</f>
        <v>1854.1960829526467</v>
      </c>
      <c r="N19" s="102">
        <f>TrRoad_act!N$20</f>
        <v>1574.2593815858384</v>
      </c>
      <c r="O19" s="102">
        <f>TrRoad_act!O$20</f>
        <v>1859.8833758023934</v>
      </c>
      <c r="P19" s="102">
        <f>TrRoad_act!P$20</f>
        <v>1871.2760833429832</v>
      </c>
      <c r="Q19" s="102">
        <f>TrRoad_act!Q$20</f>
        <v>2300.3175131766939</v>
      </c>
      <c r="R19" s="102">
        <f>TrRoad_act!R$20</f>
        <v>2488.1968882790325</v>
      </c>
      <c r="S19" s="102">
        <f>TrRoad_act!S$20</f>
        <v>2180.5342062630707</v>
      </c>
      <c r="T19" s="102">
        <f>TrRoad_act!T$20</f>
        <v>2121.4657645579764</v>
      </c>
      <c r="U19" s="102">
        <f>TrRoad_act!U$20</f>
        <v>2133.2876382012805</v>
      </c>
      <c r="V19" s="102">
        <f>TrRoad_act!V$20</f>
        <v>1880.4078829009752</v>
      </c>
      <c r="W19" s="102">
        <f>TrRoad_act!W$20</f>
        <v>2009.0157986135364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24667.866762312824</v>
      </c>
      <c r="C20" s="102">
        <f>TrRoad_act!C$26</f>
        <v>25286.352158732439</v>
      </c>
      <c r="D20" s="102">
        <f>TrRoad_act!D$26</f>
        <v>25891.43820798161</v>
      </c>
      <c r="E20" s="102">
        <f>TrRoad_act!E$26</f>
        <v>17196.581988040456</v>
      </c>
      <c r="F20" s="102">
        <f>TrRoad_act!F$26</f>
        <v>33975.88811327349</v>
      </c>
      <c r="G20" s="102">
        <f>TrRoad_act!G$26</f>
        <v>21916.598855311484</v>
      </c>
      <c r="H20" s="102">
        <f>TrRoad_act!H$26</f>
        <v>28970.940114922163</v>
      </c>
      <c r="I20" s="102">
        <f>TrRoad_act!I$26</f>
        <v>24143.190174937521</v>
      </c>
      <c r="J20" s="102">
        <f>TrRoad_act!J$26</f>
        <v>26445.160535546504</v>
      </c>
      <c r="K20" s="102">
        <f>TrRoad_act!K$26</f>
        <v>26075.647513472228</v>
      </c>
      <c r="L20" s="102">
        <f>TrRoad_act!L$26</f>
        <v>27645.544661844859</v>
      </c>
      <c r="M20" s="102">
        <f>TrRoad_act!M$26</f>
        <v>18734.846730275756</v>
      </c>
      <c r="N20" s="102">
        <f>TrRoad_act!N$26</f>
        <v>18629.746482940001</v>
      </c>
      <c r="O20" s="102">
        <f>TrRoad_act!O$26</f>
        <v>15187.698792609384</v>
      </c>
      <c r="P20" s="102">
        <f>TrRoad_act!P$26</f>
        <v>17530.279659674547</v>
      </c>
      <c r="Q20" s="102">
        <f>TrRoad_act!Q$26</f>
        <v>17652.723082841643</v>
      </c>
      <c r="R20" s="102">
        <f>TrRoad_act!R$26</f>
        <v>19341.888388527117</v>
      </c>
      <c r="S20" s="102">
        <f>TrRoad_act!S$26</f>
        <v>19717.029962458313</v>
      </c>
      <c r="T20" s="102">
        <f>TrRoad_act!T$26</f>
        <v>19379</v>
      </c>
      <c r="U20" s="102">
        <f>TrRoad_act!U$26</f>
        <v>18977</v>
      </c>
      <c r="V20" s="102">
        <f>TrRoad_act!V$26</f>
        <v>16783</v>
      </c>
      <c r="W20" s="102">
        <f>TrRoad_act!W$26</f>
        <v>19697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427</v>
      </c>
      <c r="C21" s="110">
        <f>TrRail_act!C$10</f>
        <v>380</v>
      </c>
      <c r="D21" s="110">
        <f>TrRail_act!D$10</f>
        <v>327</v>
      </c>
      <c r="E21" s="110">
        <f>TrRail_act!E$10</f>
        <v>456</v>
      </c>
      <c r="F21" s="110">
        <f>TrRail_act!F$10</f>
        <v>592</v>
      </c>
      <c r="G21" s="110">
        <f>TrRail_act!G$10</f>
        <v>613</v>
      </c>
      <c r="H21" s="110">
        <f>TrRail_act!H$10</f>
        <v>662</v>
      </c>
      <c r="I21" s="110">
        <f>TrRail_act!I$10</f>
        <v>835</v>
      </c>
      <c r="J21" s="110">
        <f>TrRail_act!J$10</f>
        <v>786</v>
      </c>
      <c r="K21" s="110">
        <f>TrRail_act!K$10</f>
        <v>552</v>
      </c>
      <c r="L21" s="110">
        <f>TrRail_act!L$10</f>
        <v>614</v>
      </c>
      <c r="M21" s="110">
        <f>TrRail_act!M$10</f>
        <v>352</v>
      </c>
      <c r="N21" s="110">
        <f>TrRail_act!N$10</f>
        <v>283</v>
      </c>
      <c r="O21" s="110">
        <f>TrRail_act!O$10</f>
        <v>237</v>
      </c>
      <c r="P21" s="110">
        <f>TrRail_act!P$10</f>
        <v>311</v>
      </c>
      <c r="Q21" s="110">
        <f>TrRail_act!Q$10</f>
        <v>294</v>
      </c>
      <c r="R21" s="110">
        <f>TrRail_act!R$10</f>
        <v>254</v>
      </c>
      <c r="S21" s="110">
        <f>TrRail_act!S$10</f>
        <v>358</v>
      </c>
      <c r="T21" s="110">
        <f>TrRail_act!T$10</f>
        <v>408</v>
      </c>
      <c r="U21" s="110">
        <f>TrRail_act!U$10</f>
        <v>491</v>
      </c>
      <c r="V21" s="110">
        <f>TrRail_act!V$10</f>
        <v>555</v>
      </c>
      <c r="W21" s="110">
        <f>TrRail_act!W$10</f>
        <v>578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147.93977601453028</v>
      </c>
      <c r="C22" s="110">
        <f t="shared" ref="C22:V22" si="19">C23+C24+C25</f>
        <v>172.352892350422</v>
      </c>
      <c r="D22" s="110">
        <f t="shared" si="19"/>
        <v>160.85504335752029</v>
      </c>
      <c r="E22" s="110">
        <f t="shared" si="19"/>
        <v>142.20694163410641</v>
      </c>
      <c r="F22" s="110">
        <f t="shared" si="19"/>
        <v>99.751011290822703</v>
      </c>
      <c r="G22" s="110">
        <f t="shared" si="19"/>
        <v>94.860693174858952</v>
      </c>
      <c r="H22" s="110">
        <f t="shared" si="19"/>
        <v>97.016061943696144</v>
      </c>
      <c r="I22" s="110">
        <f t="shared" si="19"/>
        <v>90.617281831851614</v>
      </c>
      <c r="J22" s="110">
        <f t="shared" si="19"/>
        <v>92.102915646215649</v>
      </c>
      <c r="K22" s="110">
        <f t="shared" si="19"/>
        <v>82.984717897503657</v>
      </c>
      <c r="L22" s="110">
        <f t="shared" si="19"/>
        <v>72.432241708366021</v>
      </c>
      <c r="M22" s="110">
        <f t="shared" si="19"/>
        <v>72.307022219813845</v>
      </c>
      <c r="N22" s="110">
        <f t="shared" si="19"/>
        <v>67.918202776533676</v>
      </c>
      <c r="O22" s="110">
        <f t="shared" si="19"/>
        <v>62.415286189757495</v>
      </c>
      <c r="P22" s="110">
        <f t="shared" si="19"/>
        <v>58.911645069978512</v>
      </c>
      <c r="Q22" s="110">
        <f t="shared" si="19"/>
        <v>58.983378088934991</v>
      </c>
      <c r="R22" s="110">
        <f t="shared" si="19"/>
        <v>64.029905404175423</v>
      </c>
      <c r="S22" s="110">
        <f t="shared" si="19"/>
        <v>64.795242208911475</v>
      </c>
      <c r="T22" s="110">
        <f t="shared" si="19"/>
        <v>98.559316234491376</v>
      </c>
      <c r="U22" s="110">
        <f t="shared" si="19"/>
        <v>108.78208756117357</v>
      </c>
      <c r="V22" s="110">
        <f t="shared" si="19"/>
        <v>64.953182367426365</v>
      </c>
      <c r="W22" s="110">
        <f t="shared" ref="W22" si="20">W23+W24+W25</f>
        <v>105.01781064842959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14.195741506427828</v>
      </c>
      <c r="C23" s="102">
        <f>TrAvia_act!C$9</f>
        <v>16.572042717580796</v>
      </c>
      <c r="D23" s="102">
        <f>TrAvia_act!D$9</f>
        <v>16.242013045159073</v>
      </c>
      <c r="E23" s="102">
        <f>TrAvia_act!E$9</f>
        <v>14.258365928972728</v>
      </c>
      <c r="F23" s="102">
        <f>TrAvia_act!F$9</f>
        <v>8.0384950750719604</v>
      </c>
      <c r="G23" s="102">
        <f>TrAvia_act!G$9</f>
        <v>7.4111825843336074</v>
      </c>
      <c r="H23" s="102">
        <f>TrAvia_act!H$9</f>
        <v>7.3494469052613303</v>
      </c>
      <c r="I23" s="102">
        <f>TrAvia_act!I$9</f>
        <v>6.0370836907755052</v>
      </c>
      <c r="J23" s="102">
        <f>TrAvia_act!J$9</f>
        <v>6.2566848592419042</v>
      </c>
      <c r="K23" s="102">
        <f>TrAvia_act!K$9</f>
        <v>5.1703000990261776</v>
      </c>
      <c r="L23" s="102">
        <f>TrAvia_act!L$9</f>
        <v>4.7864545883627194</v>
      </c>
      <c r="M23" s="102">
        <f>TrAvia_act!M$9</f>
        <v>3.9233524305683254</v>
      </c>
      <c r="N23" s="102">
        <f>TrAvia_act!N$9</f>
        <v>3.4107048546344698</v>
      </c>
      <c r="O23" s="102">
        <f>TrAvia_act!O$9</f>
        <v>3.2139194614113054</v>
      </c>
      <c r="P23" s="102">
        <f>TrAvia_act!P$9</f>
        <v>2.3334250142146433</v>
      </c>
      <c r="Q23" s="102">
        <f>TrAvia_act!Q$9</f>
        <v>2.287769456884492</v>
      </c>
      <c r="R23" s="102">
        <f>TrAvia_act!R$9</f>
        <v>2.1512007658059749</v>
      </c>
      <c r="S23" s="102">
        <f>TrAvia_act!S$9</f>
        <v>1.3229296994779347</v>
      </c>
      <c r="T23" s="102">
        <f>TrAvia_act!T$9</f>
        <v>2.4715513179715818</v>
      </c>
      <c r="U23" s="102">
        <f>TrAvia_act!U$9</f>
        <v>2.4437892292730314</v>
      </c>
      <c r="V23" s="102">
        <f>TrAvia_act!V$9</f>
        <v>1.4729390502530346</v>
      </c>
      <c r="W23" s="102">
        <f>TrAvia_act!W$9</f>
        <v>1.725078953302845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98.971288113615657</v>
      </c>
      <c r="C24" s="102">
        <f>TrAvia_act!C$10</f>
        <v>120.46911208402591</v>
      </c>
      <c r="D24" s="102">
        <f>TrAvia_act!D$10</f>
        <v>110.79579416574796</v>
      </c>
      <c r="E24" s="102">
        <f>TrAvia_act!E$10</f>
        <v>94.238845674597954</v>
      </c>
      <c r="F24" s="102">
        <f>TrAvia_act!F$10</f>
        <v>67.145661229589535</v>
      </c>
      <c r="G24" s="102">
        <f>TrAvia_act!G$10</f>
        <v>64.783533810555753</v>
      </c>
      <c r="H24" s="102">
        <f>TrAvia_act!H$10</f>
        <v>64.873288513582523</v>
      </c>
      <c r="I24" s="102">
        <f>TrAvia_act!I$10</f>
        <v>59.969211595372293</v>
      </c>
      <c r="J24" s="102">
        <f>TrAvia_act!J$10</f>
        <v>58.744964822550401</v>
      </c>
      <c r="K24" s="102">
        <f>TrAvia_act!K$10</f>
        <v>53.115030898536673</v>
      </c>
      <c r="L24" s="102">
        <f>TrAvia_act!L$10</f>
        <v>51.752423738897726</v>
      </c>
      <c r="M24" s="102">
        <f>TrAvia_act!M$10</f>
        <v>52.15407618562854</v>
      </c>
      <c r="N24" s="102">
        <f>TrAvia_act!N$10</f>
        <v>50.394513051775242</v>
      </c>
      <c r="O24" s="102">
        <f>TrAvia_act!O$10</f>
        <v>46.940482107766769</v>
      </c>
      <c r="P24" s="102">
        <f>TrAvia_act!P$10</f>
        <v>45.407221572577278</v>
      </c>
      <c r="Q24" s="102">
        <f>TrAvia_act!Q$10</f>
        <v>42.680168058964419</v>
      </c>
      <c r="R24" s="102">
        <f>TrAvia_act!R$10</f>
        <v>45.438196815583368</v>
      </c>
      <c r="S24" s="102">
        <f>TrAvia_act!S$10</f>
        <v>41.298502503124006</v>
      </c>
      <c r="T24" s="102">
        <f>TrAvia_act!T$10</f>
        <v>55.663199429748019</v>
      </c>
      <c r="U24" s="102">
        <f>TrAvia_act!U$10</f>
        <v>56.577817547119828</v>
      </c>
      <c r="V24" s="102">
        <f>TrAvia_act!V$10</f>
        <v>45.902404764648523</v>
      </c>
      <c r="W24" s="102">
        <f>TrAvia_act!W$10</f>
        <v>46.671743557463579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34.772746394486809</v>
      </c>
      <c r="C25" s="102">
        <f>TrAvia_act!C$11</f>
        <v>35.311737548815287</v>
      </c>
      <c r="D25" s="102">
        <f>TrAvia_act!D$11</f>
        <v>33.817236146613247</v>
      </c>
      <c r="E25" s="102">
        <f>TrAvia_act!E$11</f>
        <v>33.709730030535731</v>
      </c>
      <c r="F25" s="102">
        <f>TrAvia_act!F$11</f>
        <v>24.566854986161211</v>
      </c>
      <c r="G25" s="102">
        <f>TrAvia_act!G$11</f>
        <v>22.665976779969593</v>
      </c>
      <c r="H25" s="102">
        <f>TrAvia_act!H$11</f>
        <v>24.793326524852286</v>
      </c>
      <c r="I25" s="102">
        <f>TrAvia_act!I$11</f>
        <v>24.610986545703803</v>
      </c>
      <c r="J25" s="102">
        <f>TrAvia_act!J$11</f>
        <v>27.101265964423352</v>
      </c>
      <c r="K25" s="102">
        <f>TrAvia_act!K$11</f>
        <v>24.699386899940805</v>
      </c>
      <c r="L25" s="102">
        <f>TrAvia_act!L$11</f>
        <v>15.893363381105567</v>
      </c>
      <c r="M25" s="102">
        <f>TrAvia_act!M$11</f>
        <v>16.22959360361698</v>
      </c>
      <c r="N25" s="102">
        <f>TrAvia_act!N$11</f>
        <v>14.112984870123963</v>
      </c>
      <c r="O25" s="102">
        <f>TrAvia_act!O$11</f>
        <v>12.26088462057942</v>
      </c>
      <c r="P25" s="102">
        <f>TrAvia_act!P$11</f>
        <v>11.170998483186596</v>
      </c>
      <c r="Q25" s="102">
        <f>TrAvia_act!Q$11</f>
        <v>14.015440573086082</v>
      </c>
      <c r="R25" s="102">
        <f>TrAvia_act!R$11</f>
        <v>16.440507822786088</v>
      </c>
      <c r="S25" s="102">
        <f>TrAvia_act!S$11</f>
        <v>22.173810006309544</v>
      </c>
      <c r="T25" s="102">
        <f>TrAvia_act!T$11</f>
        <v>40.424565486771769</v>
      </c>
      <c r="U25" s="102">
        <f>TrAvia_act!U$11</f>
        <v>49.760480784780718</v>
      </c>
      <c r="V25" s="102">
        <f>TrAvia_act!V$11</f>
        <v>17.577838552524813</v>
      </c>
      <c r="W25" s="102">
        <f>TrAvia_act!W$11</f>
        <v>56.620988137663161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11104.962</v>
      </c>
      <c r="C26" s="110">
        <f t="shared" si="21"/>
        <v>4476.2839999999997</v>
      </c>
      <c r="D26" s="110">
        <f t="shared" si="21"/>
        <v>5768.0540000000001</v>
      </c>
      <c r="E26" s="110">
        <f t="shared" si="21"/>
        <v>6880.18</v>
      </c>
      <c r="F26" s="110">
        <f t="shared" si="21"/>
        <v>6676.83</v>
      </c>
      <c r="G26" s="110">
        <f t="shared" si="21"/>
        <v>6170.8639999999996</v>
      </c>
      <c r="H26" s="110">
        <f t="shared" si="21"/>
        <v>6359.5829999999996</v>
      </c>
      <c r="I26" s="110">
        <f t="shared" si="21"/>
        <v>6490.7039999999997</v>
      </c>
      <c r="J26" s="110">
        <f t="shared" si="21"/>
        <v>5779.1660000000002</v>
      </c>
      <c r="K26" s="110">
        <f t="shared" si="21"/>
        <v>5137.6329999999998</v>
      </c>
      <c r="L26" s="110">
        <f t="shared" si="21"/>
        <v>4662.5950000000003</v>
      </c>
      <c r="M26" s="110">
        <f t="shared" si="21"/>
        <v>4692.0420000000004</v>
      </c>
      <c r="N26" s="110">
        <f t="shared" si="21"/>
        <v>4779.2709999999997</v>
      </c>
      <c r="O26" s="110">
        <f t="shared" si="21"/>
        <v>4886.317</v>
      </c>
      <c r="P26" s="110">
        <f t="shared" si="21"/>
        <v>4883.9089999999997</v>
      </c>
      <c r="Q26" s="110">
        <f t="shared" si="21"/>
        <v>5462.6589999999997</v>
      </c>
      <c r="R26" s="110">
        <f t="shared" ref="R26:V26" si="22">R27+R28</f>
        <v>5305.98</v>
      </c>
      <c r="S26" s="110">
        <f t="shared" si="22"/>
        <v>5340.6120000000001</v>
      </c>
      <c r="T26" s="110">
        <f t="shared" si="22"/>
        <v>5453.2139999999999</v>
      </c>
      <c r="U26" s="110">
        <f t="shared" si="22"/>
        <v>5544.518</v>
      </c>
      <c r="V26" s="110">
        <f t="shared" si="22"/>
        <v>4717.97</v>
      </c>
      <c r="W26" s="110">
        <f t="shared" ref="W26" si="23">W27+W28</f>
        <v>4838.3500000000004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11104.962</v>
      </c>
      <c r="C27" s="102">
        <f>TrNavi_act!C4</f>
        <v>4476.2839999999997</v>
      </c>
      <c r="D27" s="102">
        <f>TrNavi_act!D4</f>
        <v>5768.0540000000001</v>
      </c>
      <c r="E27" s="102">
        <f>TrNavi_act!E4</f>
        <v>6880.18</v>
      </c>
      <c r="F27" s="102">
        <f>TrNavi_act!F4</f>
        <v>6676.83</v>
      </c>
      <c r="G27" s="102">
        <f>TrNavi_act!G4</f>
        <v>6170.8639999999996</v>
      </c>
      <c r="H27" s="102">
        <f>TrNavi_act!H4</f>
        <v>6359.5829999999996</v>
      </c>
      <c r="I27" s="102">
        <f>TrNavi_act!I4</f>
        <v>6490.7039999999997</v>
      </c>
      <c r="J27" s="102">
        <f>TrNavi_act!J4</f>
        <v>5779.1660000000002</v>
      </c>
      <c r="K27" s="102">
        <f>TrNavi_act!K4</f>
        <v>5137.6329999999998</v>
      </c>
      <c r="L27" s="102">
        <f>TrNavi_act!L4</f>
        <v>4662.5950000000003</v>
      </c>
      <c r="M27" s="102">
        <f>TrNavi_act!M4</f>
        <v>4692.0420000000004</v>
      </c>
      <c r="N27" s="102">
        <f>TrNavi_act!N4</f>
        <v>4779.2709999999997</v>
      </c>
      <c r="O27" s="102">
        <f>TrNavi_act!O4</f>
        <v>4886.317</v>
      </c>
      <c r="P27" s="102">
        <f>TrNavi_act!P4</f>
        <v>4883.9089999999997</v>
      </c>
      <c r="Q27" s="102">
        <f>TrNavi_act!Q4</f>
        <v>5462.6589999999997</v>
      </c>
      <c r="R27" s="102">
        <f>TrNavi_act!R4</f>
        <v>5305.98</v>
      </c>
      <c r="S27" s="102">
        <f>TrNavi_act!S4</f>
        <v>5340.6120000000001</v>
      </c>
      <c r="T27" s="102">
        <f>TrNavi_act!T4</f>
        <v>5453.2139999999999</v>
      </c>
      <c r="U27" s="102">
        <f>TrNavi_act!U4</f>
        <v>5544.518</v>
      </c>
      <c r="V27" s="102">
        <f>TrNavi_act!V4</f>
        <v>4717.97</v>
      </c>
      <c r="W27" s="102">
        <f>TrNavi_act!W4</f>
        <v>4838.3500000000004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0</v>
      </c>
      <c r="C28" s="169">
        <f>TrNavi_act!C5</f>
        <v>0</v>
      </c>
      <c r="D28" s="169">
        <f>TrNavi_act!D5</f>
        <v>0</v>
      </c>
      <c r="E28" s="169">
        <f>TrNavi_act!E5</f>
        <v>0</v>
      </c>
      <c r="F28" s="169">
        <f>TrNavi_act!F5</f>
        <v>0</v>
      </c>
      <c r="G28" s="169">
        <f>TrNavi_act!G5</f>
        <v>0</v>
      </c>
      <c r="H28" s="169">
        <f>TrNavi_act!H5</f>
        <v>0</v>
      </c>
      <c r="I28" s="169">
        <f>TrNavi_act!I5</f>
        <v>0</v>
      </c>
      <c r="J28" s="169">
        <f>TrNavi_act!J5</f>
        <v>0</v>
      </c>
      <c r="K28" s="169">
        <f>TrNavi_act!K5</f>
        <v>0</v>
      </c>
      <c r="L28" s="169">
        <f>TrNavi_act!L5</f>
        <v>0</v>
      </c>
      <c r="M28" s="169">
        <f>TrNavi_act!M5</f>
        <v>0</v>
      </c>
      <c r="N28" s="169">
        <f>TrNavi_act!N5</f>
        <v>0</v>
      </c>
      <c r="O28" s="169">
        <f>TrNavi_act!O5</f>
        <v>0</v>
      </c>
      <c r="P28" s="169">
        <f>TrNavi_act!P5</f>
        <v>0</v>
      </c>
      <c r="Q28" s="169">
        <f>TrNavi_act!Q5</f>
        <v>0</v>
      </c>
      <c r="R28" s="169">
        <f>TrNavi_act!R5</f>
        <v>0</v>
      </c>
      <c r="S28" s="169">
        <f>TrNavi_act!S5</f>
        <v>0</v>
      </c>
      <c r="T28" s="169">
        <f>TrNavi_act!T5</f>
        <v>0</v>
      </c>
      <c r="U28" s="169">
        <f>TrNavi_act!U5</f>
        <v>0</v>
      </c>
      <c r="V28" s="169">
        <f>TrNavi_act!V5</f>
        <v>0</v>
      </c>
      <c r="W28" s="169">
        <f>TrNavi_act!W5</f>
        <v>0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76319.078676000005</v>
      </c>
      <c r="C29" s="28">
        <f t="shared" si="24"/>
        <v>107675.05111900001</v>
      </c>
      <c r="D29" s="28">
        <f t="shared" si="24"/>
        <v>113285.97455599999</v>
      </c>
      <c r="E29" s="28">
        <f t="shared" si="24"/>
        <v>128164.97952399999</v>
      </c>
      <c r="F29" s="28">
        <f t="shared" si="24"/>
        <v>129305.38149699999</v>
      </c>
      <c r="G29" s="28">
        <f t="shared" si="24"/>
        <v>128433.737788</v>
      </c>
      <c r="H29" s="28">
        <f t="shared" si="24"/>
        <v>127172.196205</v>
      </c>
      <c r="I29" s="28">
        <f t="shared" si="24"/>
        <v>132434.087486</v>
      </c>
      <c r="J29" s="28">
        <f t="shared" si="24"/>
        <v>110262.345714</v>
      </c>
      <c r="K29" s="28">
        <f t="shared" si="24"/>
        <v>99718.654808000007</v>
      </c>
      <c r="L29" s="28">
        <f t="shared" si="24"/>
        <v>103618.624423</v>
      </c>
      <c r="M29" s="28">
        <f t="shared" si="24"/>
        <v>131568.88694900001</v>
      </c>
      <c r="N29" s="28">
        <f t="shared" si="24"/>
        <v>171151.44077400002</v>
      </c>
      <c r="O29" s="28">
        <f t="shared" si="24"/>
        <v>183469.47256200001</v>
      </c>
      <c r="P29" s="28">
        <f t="shared" si="24"/>
        <v>205875.90151499998</v>
      </c>
      <c r="Q29" s="28">
        <f t="shared" si="24"/>
        <v>207400.26730400001</v>
      </c>
      <c r="R29" s="28">
        <f t="shared" si="24"/>
        <v>230327.25884999998</v>
      </c>
      <c r="S29" s="28">
        <f t="shared" si="24"/>
        <v>237025.21445300002</v>
      </c>
      <c r="T29" s="28">
        <f t="shared" si="24"/>
        <v>251975.365548</v>
      </c>
      <c r="U29" s="28">
        <f t="shared" si="24"/>
        <v>268143.911097</v>
      </c>
      <c r="V29" s="28">
        <f t="shared" si="24"/>
        <v>260218.24799499998</v>
      </c>
      <c r="W29" s="28">
        <f t="shared" si="24"/>
        <v>265285.889302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42664.711851</v>
      </c>
      <c r="C30" s="102">
        <f>MBunk_act!C$4</f>
        <v>34945.89183</v>
      </c>
      <c r="D30" s="102">
        <f>MBunk_act!D$4</f>
        <v>32645.760199</v>
      </c>
      <c r="E30" s="102">
        <f>MBunk_act!E$4</f>
        <v>39228.227635000003</v>
      </c>
      <c r="F30" s="102">
        <f>MBunk_act!F$4</f>
        <v>35441.027677999999</v>
      </c>
      <c r="G30" s="102">
        <f>MBunk_act!G$4</f>
        <v>32943.818490999998</v>
      </c>
      <c r="H30" s="102">
        <f>MBunk_act!H$4</f>
        <v>29876.122778000001</v>
      </c>
      <c r="I30" s="102">
        <f>MBunk_act!I$4</f>
        <v>36134.745738000005</v>
      </c>
      <c r="J30" s="102">
        <f>MBunk_act!J$4</f>
        <v>33632.609439</v>
      </c>
      <c r="K30" s="102">
        <f>MBunk_act!K$4</f>
        <v>31069.483886000002</v>
      </c>
      <c r="L30" s="102">
        <f>MBunk_act!L$4</f>
        <v>29151.649155999999</v>
      </c>
      <c r="M30" s="102">
        <f>MBunk_act!M$4</f>
        <v>30706.255432000002</v>
      </c>
      <c r="N30" s="102">
        <f>MBunk_act!N$4</f>
        <v>35510.680774</v>
      </c>
      <c r="O30" s="102">
        <f>MBunk_act!O$4</f>
        <v>34505.919642000001</v>
      </c>
      <c r="P30" s="102">
        <f>MBunk_act!P$4</f>
        <v>35867.444308999999</v>
      </c>
      <c r="Q30" s="102">
        <f>MBunk_act!Q$4</f>
        <v>37308.703419999998</v>
      </c>
      <c r="R30" s="102">
        <f>MBunk_act!R$4</f>
        <v>39080.819460999999</v>
      </c>
      <c r="S30" s="102">
        <f>MBunk_act!S$4</f>
        <v>40706.587770000006</v>
      </c>
      <c r="T30" s="102">
        <f>MBunk_act!T$4</f>
        <v>43638.737887999996</v>
      </c>
      <c r="U30" s="102">
        <f>MBunk_act!U$4</f>
        <v>48078.052691999997</v>
      </c>
      <c r="V30" s="102">
        <f>MBunk_act!V$4</f>
        <v>45774.340607000006</v>
      </c>
      <c r="W30" s="102">
        <f>MBunk_act!W$4</f>
        <v>46498.824658999998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33654.366824999997</v>
      </c>
      <c r="C31" s="86">
        <f>MBunk_act!C$5</f>
        <v>72729.159289000003</v>
      </c>
      <c r="D31" s="86">
        <f>MBunk_act!D$5</f>
        <v>80640.21435699999</v>
      </c>
      <c r="E31" s="86">
        <f>MBunk_act!E$5</f>
        <v>88936.751888999992</v>
      </c>
      <c r="F31" s="86">
        <f>MBunk_act!F$5</f>
        <v>93864.353818999996</v>
      </c>
      <c r="G31" s="86">
        <f>MBunk_act!G$5</f>
        <v>95489.919297</v>
      </c>
      <c r="H31" s="86">
        <f>MBunk_act!H$5</f>
        <v>97296.073426999996</v>
      </c>
      <c r="I31" s="86">
        <f>MBunk_act!I$5</f>
        <v>96299.341748000006</v>
      </c>
      <c r="J31" s="86">
        <f>MBunk_act!J$5</f>
        <v>76629.736275000003</v>
      </c>
      <c r="K31" s="86">
        <f>MBunk_act!K$5</f>
        <v>68649.170922000005</v>
      </c>
      <c r="L31" s="86">
        <f>MBunk_act!L$5</f>
        <v>74466.975267000002</v>
      </c>
      <c r="M31" s="86">
        <f>MBunk_act!M$5</f>
        <v>100862.631517</v>
      </c>
      <c r="N31" s="86">
        <f>MBunk_act!N$5</f>
        <v>135640.76</v>
      </c>
      <c r="O31" s="86">
        <f>MBunk_act!O$5</f>
        <v>148963.55292000002</v>
      </c>
      <c r="P31" s="86">
        <f>MBunk_act!P$5</f>
        <v>170008.45720599999</v>
      </c>
      <c r="Q31" s="86">
        <f>MBunk_act!Q$5</f>
        <v>170091.563884</v>
      </c>
      <c r="R31" s="86">
        <f>MBunk_act!R$5</f>
        <v>191246.43938899998</v>
      </c>
      <c r="S31" s="86">
        <f>MBunk_act!S$5</f>
        <v>196318.62668300001</v>
      </c>
      <c r="T31" s="86">
        <f>MBunk_act!T$5</f>
        <v>208336.62766</v>
      </c>
      <c r="U31" s="86">
        <f>MBunk_act!U$5</f>
        <v>220065.85840500001</v>
      </c>
      <c r="V31" s="86">
        <f>MBunk_act!V$5</f>
        <v>214443.90738799999</v>
      </c>
      <c r="W31" s="86">
        <f>MBunk_act!W$5</f>
        <v>218787.06464300002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4860.7398725474559</v>
      </c>
      <c r="C34" s="28">
        <f t="shared" si="25"/>
        <v>4835.4046073702284</v>
      </c>
      <c r="D34" s="28">
        <f t="shared" si="25"/>
        <v>4959.2268511192133</v>
      </c>
      <c r="E34" s="28">
        <f t="shared" si="25"/>
        <v>5306.5050681764778</v>
      </c>
      <c r="F34" s="28">
        <f t="shared" si="25"/>
        <v>5291.8287533708053</v>
      </c>
      <c r="G34" s="28">
        <f t="shared" si="25"/>
        <v>5515.7738998565364</v>
      </c>
      <c r="H34" s="28">
        <f t="shared" si="25"/>
        <v>5713.8805914450713</v>
      </c>
      <c r="I34" s="28">
        <f t="shared" si="25"/>
        <v>5938.6246457800489</v>
      </c>
      <c r="J34" s="28">
        <f t="shared" si="25"/>
        <v>5824.1403572636063</v>
      </c>
      <c r="K34" s="28">
        <f t="shared" si="25"/>
        <v>5820.1770321221093</v>
      </c>
      <c r="L34" s="28">
        <f t="shared" si="25"/>
        <v>5171.298820500786</v>
      </c>
      <c r="M34" s="28">
        <f t="shared" si="25"/>
        <v>5090.0318790786187</v>
      </c>
      <c r="N34" s="28">
        <f t="shared" si="25"/>
        <v>4373.6620339661131</v>
      </c>
      <c r="O34" s="28">
        <f t="shared" si="25"/>
        <v>4241.6672960168198</v>
      </c>
      <c r="P34" s="28">
        <f t="shared" si="25"/>
        <v>4302.6936023354911</v>
      </c>
      <c r="Q34" s="28">
        <f t="shared" si="25"/>
        <v>4416.2904225021948</v>
      </c>
      <c r="R34" s="28">
        <f t="shared" ref="R34:V34" si="26">R35+R39+R43</f>
        <v>4532.1375235405303</v>
      </c>
      <c r="S34" s="28">
        <f t="shared" si="26"/>
        <v>4641.7569821056759</v>
      </c>
      <c r="T34" s="28">
        <f t="shared" si="26"/>
        <v>4761.5112569828379</v>
      </c>
      <c r="U34" s="28">
        <f t="shared" si="26"/>
        <v>4869.2362214414661</v>
      </c>
      <c r="V34" s="28">
        <f t="shared" si="26"/>
        <v>3483.2496835981942</v>
      </c>
      <c r="W34" s="28">
        <f t="shared" ref="W34" si="27">W35+W39+W43</f>
        <v>4029.1226965745968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3489.3261808551579</v>
      </c>
      <c r="C35" s="137">
        <f t="shared" si="28"/>
        <v>3602.8229498767805</v>
      </c>
      <c r="D35" s="137">
        <f t="shared" si="28"/>
        <v>3763.5729099069772</v>
      </c>
      <c r="E35" s="137">
        <f t="shared" si="28"/>
        <v>4098.6117632582509</v>
      </c>
      <c r="F35" s="137">
        <f t="shared" si="28"/>
        <v>4027.1830670380973</v>
      </c>
      <c r="G35" s="137">
        <f t="shared" si="28"/>
        <v>4281.6241412388845</v>
      </c>
      <c r="H35" s="137">
        <f t="shared" si="28"/>
        <v>4363.7098101539623</v>
      </c>
      <c r="I35" s="137">
        <f t="shared" si="28"/>
        <v>4571.0325487981463</v>
      </c>
      <c r="J35" s="137">
        <f t="shared" si="28"/>
        <v>4438.5863051899978</v>
      </c>
      <c r="K35" s="137">
        <f t="shared" si="28"/>
        <v>4657.5379023963014</v>
      </c>
      <c r="L35" s="137">
        <f t="shared" si="28"/>
        <v>4243.1986540453127</v>
      </c>
      <c r="M35" s="137">
        <f t="shared" si="28"/>
        <v>4122.4110599219639</v>
      </c>
      <c r="N35" s="137">
        <f t="shared" si="28"/>
        <v>3510.2699766931382</v>
      </c>
      <c r="O35" s="137">
        <f t="shared" si="28"/>
        <v>3375.2894686520726</v>
      </c>
      <c r="P35" s="137">
        <f t="shared" si="28"/>
        <v>3297.3381282400114</v>
      </c>
      <c r="Q35" s="137">
        <f t="shared" si="28"/>
        <v>3375.3804271177232</v>
      </c>
      <c r="R35" s="137">
        <f t="shared" ref="R35:V35" si="29">R36+R37+R38</f>
        <v>3416.2118718255242</v>
      </c>
      <c r="S35" s="137">
        <f t="shared" si="29"/>
        <v>3413.7454304172365</v>
      </c>
      <c r="T35" s="137">
        <f t="shared" si="29"/>
        <v>3407.6918278630806</v>
      </c>
      <c r="U35" s="137">
        <f t="shared" si="29"/>
        <v>3499.4574863289226</v>
      </c>
      <c r="V35" s="137">
        <f t="shared" si="29"/>
        <v>3026.5450782284934</v>
      </c>
      <c r="W35" s="137">
        <f t="shared" ref="W35" si="30">W36+W37+W38</f>
        <v>3171.8300345634925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169.12613630501815</v>
      </c>
      <c r="C36" s="102">
        <f>TrRoad_ene!C$19</f>
        <v>183.28186231972487</v>
      </c>
      <c r="D36" s="102">
        <f>TrRoad_ene!D$19</f>
        <v>201.62988306851202</v>
      </c>
      <c r="E36" s="102">
        <f>TrRoad_ene!E$19</f>
        <v>211.32153798493738</v>
      </c>
      <c r="F36" s="102">
        <f>TrRoad_ene!F$19</f>
        <v>212.7974655393098</v>
      </c>
      <c r="G36" s="102">
        <f>TrRoad_ene!G$19</f>
        <v>219.16179676446617</v>
      </c>
      <c r="H36" s="102">
        <f>TrRoad_ene!H$19</f>
        <v>200.05889410906664</v>
      </c>
      <c r="I36" s="102">
        <f>TrRoad_ene!I$19</f>
        <v>200.25704370551344</v>
      </c>
      <c r="J36" s="102">
        <f>TrRoad_ene!J$19</f>
        <v>214.65443739189141</v>
      </c>
      <c r="K36" s="102">
        <f>TrRoad_ene!K$19</f>
        <v>220.15018560252608</v>
      </c>
      <c r="L36" s="102">
        <f>TrRoad_ene!L$19</f>
        <v>260.32986246540059</v>
      </c>
      <c r="M36" s="102">
        <f>TrRoad_ene!M$19</f>
        <v>266.29532727829229</v>
      </c>
      <c r="N36" s="102">
        <f>TrRoad_ene!N$19</f>
        <v>273.80394809097936</v>
      </c>
      <c r="O36" s="102">
        <f>TrRoad_ene!O$19</f>
        <v>274.02632057896244</v>
      </c>
      <c r="P36" s="102">
        <f>TrRoad_ene!P$19</f>
        <v>280.3501480844559</v>
      </c>
      <c r="Q36" s="102">
        <f>TrRoad_ene!Q$19</f>
        <v>288.13718496435104</v>
      </c>
      <c r="R36" s="102">
        <f>TrRoad_ene!R$19</f>
        <v>278.79098577267757</v>
      </c>
      <c r="S36" s="102">
        <f>TrRoad_ene!S$19</f>
        <v>273.85666726859881</v>
      </c>
      <c r="T36" s="102">
        <f>TrRoad_ene!T$19</f>
        <v>251.56861384238718</v>
      </c>
      <c r="U36" s="102">
        <f>TrRoad_ene!U$19</f>
        <v>263.47289862263364</v>
      </c>
      <c r="V36" s="102">
        <f>TrRoad_ene!V$19</f>
        <v>222.18886329199728</v>
      </c>
      <c r="W36" s="102">
        <f>TrRoad_ene!W$19</f>
        <v>229.96148860022839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2753.778466124802</v>
      </c>
      <c r="C37" s="102">
        <f>TrRoad_ene!C$21</f>
        <v>2871.0488557706076</v>
      </c>
      <c r="D37" s="102">
        <f>TrRoad_ene!D$21</f>
        <v>3015.7548361032964</v>
      </c>
      <c r="E37" s="102">
        <f>TrRoad_ene!E$21</f>
        <v>3184.1534050932805</v>
      </c>
      <c r="F37" s="102">
        <f>TrRoad_ene!F$21</f>
        <v>3282.837977977636</v>
      </c>
      <c r="G37" s="102">
        <f>TrRoad_ene!G$21</f>
        <v>3461.8738750919315</v>
      </c>
      <c r="H37" s="102">
        <f>TrRoad_ene!H$21</f>
        <v>3575.7978189416117</v>
      </c>
      <c r="I37" s="102">
        <f>TrRoad_ene!I$21</f>
        <v>3765.0146524789416</v>
      </c>
      <c r="J37" s="102">
        <f>TrRoad_ene!J$21</f>
        <v>3669.3459775073684</v>
      </c>
      <c r="K37" s="102">
        <f>TrRoad_ene!K$21</f>
        <v>3780.1681676164653</v>
      </c>
      <c r="L37" s="102">
        <f>TrRoad_ene!L$21</f>
        <v>3405.8288820391022</v>
      </c>
      <c r="M37" s="102">
        <f>TrRoad_ene!M$21</f>
        <v>3242.2660223158132</v>
      </c>
      <c r="N37" s="102">
        <f>TrRoad_ene!N$21</f>
        <v>2731.2646428477133</v>
      </c>
      <c r="O37" s="102">
        <f>TrRoad_ene!O$21</f>
        <v>2525.2007647919932</v>
      </c>
      <c r="P37" s="102">
        <f>TrRoad_ene!P$21</f>
        <v>2459.3117998232165</v>
      </c>
      <c r="Q37" s="102">
        <f>TrRoad_ene!Q$21</f>
        <v>2552.012818178724</v>
      </c>
      <c r="R37" s="102">
        <f>TrRoad_ene!R$21</f>
        <v>2595.0274607964998</v>
      </c>
      <c r="S37" s="102">
        <f>TrRoad_ene!S$21</f>
        <v>2596.7844761185888</v>
      </c>
      <c r="T37" s="102">
        <f>TrRoad_ene!T$21</f>
        <v>2600.7635310074697</v>
      </c>
      <c r="U37" s="102">
        <f>TrRoad_ene!U$21</f>
        <v>2659.9788674025822</v>
      </c>
      <c r="V37" s="102">
        <f>TrRoad_ene!V$21</f>
        <v>2247.3397129148138</v>
      </c>
      <c r="W37" s="102">
        <f>TrRoad_ene!W$21</f>
        <v>2376.8338612261796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566.421578425338</v>
      </c>
      <c r="C38" s="102">
        <f>TrRoad_ene!C$33</f>
        <v>548.49223178644797</v>
      </c>
      <c r="D38" s="102">
        <f>TrRoad_ene!D$33</f>
        <v>546.18819073516909</v>
      </c>
      <c r="E38" s="102">
        <f>TrRoad_ene!E$33</f>
        <v>703.13682018003294</v>
      </c>
      <c r="F38" s="102">
        <f>TrRoad_ene!F$33</f>
        <v>531.54762352115142</v>
      </c>
      <c r="G38" s="102">
        <f>TrRoad_ene!G$33</f>
        <v>600.58846938248701</v>
      </c>
      <c r="H38" s="102">
        <f>TrRoad_ene!H$33</f>
        <v>587.8530971032834</v>
      </c>
      <c r="I38" s="102">
        <f>TrRoad_ene!I$33</f>
        <v>605.7608526136911</v>
      </c>
      <c r="J38" s="102">
        <f>TrRoad_ene!J$33</f>
        <v>554.58589029073812</v>
      </c>
      <c r="K38" s="102">
        <f>TrRoad_ene!K$33</f>
        <v>657.21954917731023</v>
      </c>
      <c r="L38" s="102">
        <f>TrRoad_ene!L$33</f>
        <v>577.03990954081019</v>
      </c>
      <c r="M38" s="102">
        <f>TrRoad_ene!M$33</f>
        <v>613.84971032785813</v>
      </c>
      <c r="N38" s="102">
        <f>TrRoad_ene!N$33</f>
        <v>505.20138575444594</v>
      </c>
      <c r="O38" s="102">
        <f>TrRoad_ene!O$33</f>
        <v>576.06238328111715</v>
      </c>
      <c r="P38" s="102">
        <f>TrRoad_ene!P$33</f>
        <v>557.67618033233907</v>
      </c>
      <c r="Q38" s="102">
        <f>TrRoad_ene!Q$33</f>
        <v>535.23042397464792</v>
      </c>
      <c r="R38" s="102">
        <f>TrRoad_ene!R$33</f>
        <v>542.39342525634675</v>
      </c>
      <c r="S38" s="102">
        <f>TrRoad_ene!S$33</f>
        <v>543.10428703004891</v>
      </c>
      <c r="T38" s="102">
        <f>TrRoad_ene!T$33</f>
        <v>555.35968301322373</v>
      </c>
      <c r="U38" s="102">
        <f>TrRoad_ene!U$33</f>
        <v>576.00572030370699</v>
      </c>
      <c r="V38" s="102">
        <f>TrRoad_ene!V$33</f>
        <v>557.01650202168253</v>
      </c>
      <c r="W38" s="102">
        <f>TrRoad_ene!W$33</f>
        <v>565.0346847370846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46.185353891968248</v>
      </c>
      <c r="C39" s="110">
        <f t="shared" si="31"/>
        <v>47.37889236418583</v>
      </c>
      <c r="D39" s="110">
        <f t="shared" si="31"/>
        <v>47.15853741434438</v>
      </c>
      <c r="E39" s="110">
        <f t="shared" si="31"/>
        <v>46.517173864461824</v>
      </c>
      <c r="F39" s="110">
        <f t="shared" si="31"/>
        <v>45.753406903228715</v>
      </c>
      <c r="G39" s="110">
        <f t="shared" si="31"/>
        <v>42.320721303173457</v>
      </c>
      <c r="H39" s="110">
        <f t="shared" si="31"/>
        <v>44.980934065137198</v>
      </c>
      <c r="I39" s="110">
        <f t="shared" si="31"/>
        <v>42.567322188335559</v>
      </c>
      <c r="J39" s="110">
        <f t="shared" si="31"/>
        <v>38.209476137661454</v>
      </c>
      <c r="K39" s="110">
        <f t="shared" si="31"/>
        <v>35.484875409236324</v>
      </c>
      <c r="L39" s="110">
        <f t="shared" si="31"/>
        <v>21.332741390057578</v>
      </c>
      <c r="M39" s="110">
        <f t="shared" si="31"/>
        <v>18.593533846903739</v>
      </c>
      <c r="N39" s="110">
        <f t="shared" si="31"/>
        <v>28.691420061947159</v>
      </c>
      <c r="O39" s="110">
        <f t="shared" si="31"/>
        <v>25.978980133041674</v>
      </c>
      <c r="P39" s="110">
        <f t="shared" si="31"/>
        <v>56.174996804607844</v>
      </c>
      <c r="Q39" s="110">
        <f t="shared" si="31"/>
        <v>57.385958593648894</v>
      </c>
      <c r="R39" s="110">
        <f t="shared" ref="R39:V39" si="32">R40+R41+R42</f>
        <v>55.111727809493715</v>
      </c>
      <c r="S39" s="110">
        <f t="shared" si="32"/>
        <v>53.59584277323502</v>
      </c>
      <c r="T39" s="110">
        <f t="shared" si="32"/>
        <v>52.532292522796752</v>
      </c>
      <c r="U39" s="110">
        <f t="shared" si="32"/>
        <v>24.444212556512287</v>
      </c>
      <c r="V39" s="110">
        <f t="shared" si="32"/>
        <v>18.161081263047052</v>
      </c>
      <c r="W39" s="110">
        <f t="shared" ref="W39" si="33">W40+W41+W42</f>
        <v>19.39293354919948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6.3868449216908427</v>
      </c>
      <c r="C40" s="102">
        <f>TrRail_ene!C$12</f>
        <v>7.0782011059166887</v>
      </c>
      <c r="D40" s="102">
        <f>TrRail_ene!D$12</f>
        <v>7.1672254278843441</v>
      </c>
      <c r="E40" s="102">
        <f>TrRail_ene!E$12</f>
        <v>7.51099639605519</v>
      </c>
      <c r="F40" s="102">
        <f>TrRail_ene!F$12</f>
        <v>7.929635339295305</v>
      </c>
      <c r="G40" s="102">
        <f>TrRail_ene!G$12</f>
        <v>3.9245082507562237</v>
      </c>
      <c r="H40" s="102">
        <f>TrRail_ene!H$12</f>
        <v>6.5000833995550584</v>
      </c>
      <c r="I40" s="102">
        <f>TrRail_ene!I$12</f>
        <v>7.7806673962993766</v>
      </c>
      <c r="J40" s="102">
        <f>TrRail_ene!J$12</f>
        <v>5.1846150159068722</v>
      </c>
      <c r="K40" s="102">
        <f>TrRail_ene!K$12</f>
        <v>5.9639066283912561</v>
      </c>
      <c r="L40" s="102">
        <f>TrRail_ene!L$12</f>
        <v>3.509690514767752</v>
      </c>
      <c r="M40" s="102">
        <f>TrRail_ene!M$12</f>
        <v>4.4985378652250976</v>
      </c>
      <c r="N40" s="102">
        <f>TrRail_ene!N$12</f>
        <v>4.0070328534278019</v>
      </c>
      <c r="O40" s="102">
        <f>TrRail_ene!O$12</f>
        <v>6.3950253609356817</v>
      </c>
      <c r="P40" s="102">
        <f>TrRail_ene!P$12</f>
        <v>8.1955716151250098</v>
      </c>
      <c r="Q40" s="102">
        <f>TrRail_ene!Q$12</f>
        <v>7.5813342045070176</v>
      </c>
      <c r="R40" s="102">
        <f>TrRail_ene!R$12</f>
        <v>7.2868495174609516</v>
      </c>
      <c r="S40" s="102">
        <f>TrRail_ene!S$12</f>
        <v>7.5058881826350277</v>
      </c>
      <c r="T40" s="102">
        <f>TrRail_ene!T$12</f>
        <v>7.4663698076742548</v>
      </c>
      <c r="U40" s="102">
        <f>TrRail_ene!U$12</f>
        <v>6.4840247496996826</v>
      </c>
      <c r="V40" s="102">
        <f>TrRail_ene!V$12</f>
        <v>6.3581134236903809</v>
      </c>
      <c r="W40" s="102">
        <f>TrRail_ene!W$12</f>
        <v>6.3416966647401951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39.798508970277403</v>
      </c>
      <c r="C41" s="102">
        <f>TrRail_ene!C$13</f>
        <v>40.30069125826914</v>
      </c>
      <c r="D41" s="102">
        <f>TrRail_ene!D$13</f>
        <v>39.991311986460033</v>
      </c>
      <c r="E41" s="102">
        <f>TrRail_ene!E$13</f>
        <v>39.006177468406634</v>
      </c>
      <c r="F41" s="102">
        <f>TrRail_ene!F$13</f>
        <v>37.823771563933413</v>
      </c>
      <c r="G41" s="102">
        <f>TrRail_ene!G$13</f>
        <v>38.396213052417231</v>
      </c>
      <c r="H41" s="102">
        <f>TrRail_ene!H$13</f>
        <v>38.480850665582139</v>
      </c>
      <c r="I41" s="102">
        <f>TrRail_ene!I$13</f>
        <v>34.786654792036181</v>
      </c>
      <c r="J41" s="102">
        <f>TrRail_ene!J$13</f>
        <v>33.024861121754583</v>
      </c>
      <c r="K41" s="102">
        <f>TrRail_ene!K$13</f>
        <v>29.52096878084507</v>
      </c>
      <c r="L41" s="102">
        <f>TrRail_ene!L$13</f>
        <v>17.823050875289827</v>
      </c>
      <c r="M41" s="102">
        <f>TrRail_ene!M$13</f>
        <v>14.09499598167864</v>
      </c>
      <c r="N41" s="102">
        <f>TrRail_ene!N$13</f>
        <v>24.684387208519357</v>
      </c>
      <c r="O41" s="102">
        <f>TrRail_ene!O$13</f>
        <v>19.583954772105994</v>
      </c>
      <c r="P41" s="102">
        <f>TrRail_ene!P$13</f>
        <v>47.979425189482832</v>
      </c>
      <c r="Q41" s="102">
        <f>TrRail_ene!Q$13</f>
        <v>49.804624389141878</v>
      </c>
      <c r="R41" s="102">
        <f>TrRail_ene!R$13</f>
        <v>47.824878292032764</v>
      </c>
      <c r="S41" s="102">
        <f>TrRail_ene!S$13</f>
        <v>46.089954590599994</v>
      </c>
      <c r="T41" s="102">
        <f>TrRail_ene!T$13</f>
        <v>45.065922715122497</v>
      </c>
      <c r="U41" s="102">
        <f>TrRail_ene!U$13</f>
        <v>17.960187806812606</v>
      </c>
      <c r="V41" s="102">
        <f>TrRail_ene!V$13</f>
        <v>11.802967839356672</v>
      </c>
      <c r="W41" s="102">
        <f>TrRail_ene!W$13</f>
        <v>13.051236884459286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1325.2283378003301</v>
      </c>
      <c r="C43" s="110">
        <f t="shared" si="34"/>
        <v>1185.2027651292615</v>
      </c>
      <c r="D43" s="110">
        <f t="shared" si="34"/>
        <v>1148.4954037978919</v>
      </c>
      <c r="E43" s="110">
        <f t="shared" si="34"/>
        <v>1161.376131053765</v>
      </c>
      <c r="F43" s="110">
        <f t="shared" si="34"/>
        <v>1218.8922794294792</v>
      </c>
      <c r="G43" s="110">
        <f t="shared" si="34"/>
        <v>1191.8290373144778</v>
      </c>
      <c r="H43" s="110">
        <f t="shared" si="34"/>
        <v>1305.1898472259713</v>
      </c>
      <c r="I43" s="110">
        <f t="shared" si="34"/>
        <v>1325.0247747935671</v>
      </c>
      <c r="J43" s="110">
        <f t="shared" si="34"/>
        <v>1347.3445759359472</v>
      </c>
      <c r="K43" s="110">
        <f t="shared" si="34"/>
        <v>1127.1542543165717</v>
      </c>
      <c r="L43" s="110">
        <f t="shared" si="34"/>
        <v>906.76742506541575</v>
      </c>
      <c r="M43" s="110">
        <f t="shared" si="34"/>
        <v>949.02728530975128</v>
      </c>
      <c r="N43" s="110">
        <f t="shared" si="34"/>
        <v>834.70063721102747</v>
      </c>
      <c r="O43" s="110">
        <f t="shared" si="34"/>
        <v>840.39884723170553</v>
      </c>
      <c r="P43" s="110">
        <f t="shared" si="34"/>
        <v>949.18047729087198</v>
      </c>
      <c r="Q43" s="110">
        <f t="shared" si="34"/>
        <v>983.52403679082261</v>
      </c>
      <c r="R43" s="110">
        <f t="shared" ref="R43:V43" si="35">R44+R45+R46</f>
        <v>1060.8139239055117</v>
      </c>
      <c r="S43" s="110">
        <f t="shared" si="35"/>
        <v>1174.4157089152045</v>
      </c>
      <c r="T43" s="110">
        <f t="shared" si="35"/>
        <v>1301.2871365969602</v>
      </c>
      <c r="U43" s="110">
        <f t="shared" si="35"/>
        <v>1345.3345225560313</v>
      </c>
      <c r="V43" s="110">
        <f t="shared" si="35"/>
        <v>438.54352410665371</v>
      </c>
      <c r="W43" s="110">
        <f t="shared" ref="W43" si="36">W44+W45+W46</f>
        <v>837.89972846190483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507.78469107467771</v>
      </c>
      <c r="C44" s="102">
        <f>TrAvia_ene!C$7</f>
        <v>429.05997316269395</v>
      </c>
      <c r="D44" s="102">
        <f>TrAvia_ene!D$7</f>
        <v>391.95348172725431</v>
      </c>
      <c r="E44" s="102">
        <f>TrAvia_ene!E$7</f>
        <v>376.75398176740214</v>
      </c>
      <c r="F44" s="102">
        <f>TrAvia_ene!F$7</f>
        <v>405.60303071247887</v>
      </c>
      <c r="G44" s="102">
        <f>TrAvia_ene!G$7</f>
        <v>406.72328136423977</v>
      </c>
      <c r="H44" s="102">
        <f>TrAvia_ene!H$7</f>
        <v>365.37877180743044</v>
      </c>
      <c r="I44" s="102">
        <f>TrAvia_ene!I$7</f>
        <v>362.39887626665097</v>
      </c>
      <c r="J44" s="102">
        <f>TrAvia_ene!J$7</f>
        <v>347.17397269078594</v>
      </c>
      <c r="K44" s="102">
        <f>TrAvia_ene!K$7</f>
        <v>287.18619709710464</v>
      </c>
      <c r="L44" s="102">
        <f>TrAvia_ene!L$7</f>
        <v>234.45638596924061</v>
      </c>
      <c r="M44" s="102">
        <f>TrAvia_ene!M$7</f>
        <v>219.56811103647067</v>
      </c>
      <c r="N44" s="102">
        <f>TrAvia_ene!N$7</f>
        <v>185.27215132428353</v>
      </c>
      <c r="O44" s="102">
        <f>TrAvia_ene!O$7</f>
        <v>175.09210204889413</v>
      </c>
      <c r="P44" s="102">
        <f>TrAvia_ene!P$7</f>
        <v>178.78135559097163</v>
      </c>
      <c r="Q44" s="102">
        <f>TrAvia_ene!Q$7</f>
        <v>166.6257362633113</v>
      </c>
      <c r="R44" s="102">
        <f>TrAvia_ene!R$7</f>
        <v>188.30235730190117</v>
      </c>
      <c r="S44" s="102">
        <f>TrAvia_ene!S$7</f>
        <v>194.65952058302594</v>
      </c>
      <c r="T44" s="102">
        <f>TrAvia_ene!T$7</f>
        <v>221.13384967654437</v>
      </c>
      <c r="U44" s="102">
        <f>TrAvia_ene!U$7</f>
        <v>223.76444346776836</v>
      </c>
      <c r="V44" s="102">
        <f>TrAvia_ene!V$7</f>
        <v>90.198382199265922</v>
      </c>
      <c r="W44" s="102">
        <f>TrAvia_ene!W$7</f>
        <v>150.88211656807255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675.46313229858458</v>
      </c>
      <c r="C45" s="102">
        <f>TrAvia_ene!C$8</f>
        <v>624.80819635887929</v>
      </c>
      <c r="D45" s="102">
        <f>TrAvia_ene!D$8</f>
        <v>625.14106544995911</v>
      </c>
      <c r="E45" s="102">
        <f>TrAvia_ene!E$8</f>
        <v>648.3469994642079</v>
      </c>
      <c r="F45" s="102">
        <f>TrAvia_ene!F$8</f>
        <v>659.15656168055261</v>
      </c>
      <c r="G45" s="102">
        <f>TrAvia_ene!G$8</f>
        <v>635.19995629967184</v>
      </c>
      <c r="H45" s="102">
        <f>TrAvia_ene!H$8</f>
        <v>763.86658818324031</v>
      </c>
      <c r="I45" s="102">
        <f>TrAvia_ene!I$8</f>
        <v>784.24137698849847</v>
      </c>
      <c r="J45" s="102">
        <f>TrAvia_ene!J$8</f>
        <v>809.67637086266984</v>
      </c>
      <c r="K45" s="102">
        <f>TrAvia_ene!K$8</f>
        <v>672.96930565558171</v>
      </c>
      <c r="L45" s="102">
        <f>TrAvia_ene!L$8</f>
        <v>535.22404876114797</v>
      </c>
      <c r="M45" s="102">
        <f>TrAvia_ene!M$8</f>
        <v>581.27714464754945</v>
      </c>
      <c r="N45" s="102">
        <f>TrAvia_ene!N$8</f>
        <v>515.30617469602953</v>
      </c>
      <c r="O45" s="102">
        <f>TrAvia_ene!O$8</f>
        <v>527.85164639423272</v>
      </c>
      <c r="P45" s="102">
        <f>TrAvia_ene!P$8</f>
        <v>616.95399721312128</v>
      </c>
      <c r="Q45" s="102">
        <f>TrAvia_ene!Q$8</f>
        <v>656.04274742062785</v>
      </c>
      <c r="R45" s="102">
        <f>TrAvia_ene!R$8</f>
        <v>709.12140808427819</v>
      </c>
      <c r="S45" s="102">
        <f>TrAvia_ene!S$8</f>
        <v>802.81286442145563</v>
      </c>
      <c r="T45" s="102">
        <f>TrAvia_ene!T$8</f>
        <v>885.82560246557114</v>
      </c>
      <c r="U45" s="102">
        <f>TrAvia_ene!U$8</f>
        <v>914.90462266375664</v>
      </c>
      <c r="V45" s="102">
        <f>TrAvia_ene!V$8</f>
        <v>262.21849514834844</v>
      </c>
      <c r="W45" s="102">
        <f>TrAvia_ene!W$8</f>
        <v>541.14507651942949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141.98051442706782</v>
      </c>
      <c r="C46" s="102">
        <f>TrAvia_ene!C$9</f>
        <v>131.33459560768836</v>
      </c>
      <c r="D46" s="102">
        <f>TrAvia_ene!D$9</f>
        <v>131.40085662067858</v>
      </c>
      <c r="E46" s="102">
        <f>TrAvia_ene!E$9</f>
        <v>136.27514982215484</v>
      </c>
      <c r="F46" s="102">
        <f>TrAvia_ene!F$9</f>
        <v>154.13268703644781</v>
      </c>
      <c r="G46" s="102">
        <f>TrAvia_ene!G$9</f>
        <v>149.90579965056617</v>
      </c>
      <c r="H46" s="102">
        <f>TrAvia_ene!H$9</f>
        <v>175.9444872353007</v>
      </c>
      <c r="I46" s="102">
        <f>TrAvia_ene!I$9</f>
        <v>178.38452153841763</v>
      </c>
      <c r="J46" s="102">
        <f>TrAvia_ene!J$9</f>
        <v>190.49423238249139</v>
      </c>
      <c r="K46" s="102">
        <f>TrAvia_ene!K$9</f>
        <v>166.99875156388538</v>
      </c>
      <c r="L46" s="102">
        <f>TrAvia_ene!L$9</f>
        <v>137.0869903350272</v>
      </c>
      <c r="M46" s="102">
        <f>TrAvia_ene!M$9</f>
        <v>148.18202962573119</v>
      </c>
      <c r="N46" s="102">
        <f>TrAvia_ene!N$9</f>
        <v>134.12231119071436</v>
      </c>
      <c r="O46" s="102">
        <f>TrAvia_ene!O$9</f>
        <v>137.45509878857865</v>
      </c>
      <c r="P46" s="102">
        <f>TrAvia_ene!P$9</f>
        <v>153.44512448677898</v>
      </c>
      <c r="Q46" s="102">
        <f>TrAvia_ene!Q$9</f>
        <v>160.85555310688346</v>
      </c>
      <c r="R46" s="102">
        <f>TrAvia_ene!R$9</f>
        <v>163.39015851933243</v>
      </c>
      <c r="S46" s="102">
        <f>TrAvia_ene!S$9</f>
        <v>176.94332391072297</v>
      </c>
      <c r="T46" s="102">
        <f>TrAvia_ene!T$9</f>
        <v>194.32768445484467</v>
      </c>
      <c r="U46" s="102">
        <f>TrAvia_ene!U$9</f>
        <v>206.66545642450635</v>
      </c>
      <c r="V46" s="102">
        <f>TrAvia_ene!V$9</f>
        <v>86.12664675903936</v>
      </c>
      <c r="W46" s="102">
        <f>TrAvia_ene!W$9</f>
        <v>145.87253537440276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2421.1244438755871</v>
      </c>
      <c r="C47" s="28">
        <f t="shared" si="37"/>
        <v>2614.5857623632182</v>
      </c>
      <c r="D47" s="28">
        <f t="shared" si="37"/>
        <v>2586.2615409702098</v>
      </c>
      <c r="E47" s="28">
        <f t="shared" si="37"/>
        <v>2582.4841837581744</v>
      </c>
      <c r="F47" s="28">
        <f t="shared" si="37"/>
        <v>2758.9356490367604</v>
      </c>
      <c r="G47" s="28">
        <f t="shared" si="37"/>
        <v>2641.5469083979769</v>
      </c>
      <c r="H47" s="28">
        <f t="shared" si="37"/>
        <v>2812.7484713236308</v>
      </c>
      <c r="I47" s="28">
        <f t="shared" si="37"/>
        <v>2852.6955605828048</v>
      </c>
      <c r="J47" s="28">
        <f t="shared" si="37"/>
        <v>2760.9485507329555</v>
      </c>
      <c r="K47" s="28">
        <f t="shared" si="37"/>
        <v>3373.7681097523528</v>
      </c>
      <c r="L47" s="28">
        <f t="shared" si="37"/>
        <v>2975.4383248130562</v>
      </c>
      <c r="M47" s="28">
        <f t="shared" si="37"/>
        <v>2344.0395740598146</v>
      </c>
      <c r="N47" s="28">
        <f t="shared" si="37"/>
        <v>1888.8655482140393</v>
      </c>
      <c r="O47" s="28">
        <f t="shared" si="37"/>
        <v>2026.9108424871031</v>
      </c>
      <c r="P47" s="28">
        <f t="shared" si="37"/>
        <v>2095.3187687058503</v>
      </c>
      <c r="Q47" s="28">
        <f t="shared" si="37"/>
        <v>2143.0975026689612</v>
      </c>
      <c r="R47" s="28">
        <f t="shared" ref="R47:V47" si="38">R48+R51+R52+R56</f>
        <v>2242.106243669843</v>
      </c>
      <c r="S47" s="28">
        <f t="shared" si="38"/>
        <v>2158.0778554667413</v>
      </c>
      <c r="T47" s="28">
        <f t="shared" si="38"/>
        <v>2223.1223834849461</v>
      </c>
      <c r="U47" s="28">
        <f t="shared" si="38"/>
        <v>2304.97987721349</v>
      </c>
      <c r="V47" s="28">
        <f t="shared" si="38"/>
        <v>2012.8500448572727</v>
      </c>
      <c r="W47" s="28">
        <f t="shared" ref="W47" si="39">W48+W51+W52+W56</f>
        <v>2197.7579165380012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1886.3425207785476</v>
      </c>
      <c r="C48" s="137">
        <f t="shared" si="40"/>
        <v>1897.3728368816019</v>
      </c>
      <c r="D48" s="137">
        <f t="shared" si="40"/>
        <v>1935.9710281841662</v>
      </c>
      <c r="E48" s="137">
        <f t="shared" si="40"/>
        <v>1944.3829057013359</v>
      </c>
      <c r="F48" s="137">
        <f t="shared" si="40"/>
        <v>2056.1503809412657</v>
      </c>
      <c r="G48" s="137">
        <f t="shared" si="40"/>
        <v>1967.0743110397043</v>
      </c>
      <c r="H48" s="137">
        <f t="shared" si="40"/>
        <v>2071.7159852028735</v>
      </c>
      <c r="I48" s="137">
        <f t="shared" si="40"/>
        <v>2161.4432035664272</v>
      </c>
      <c r="J48" s="137">
        <f t="shared" si="40"/>
        <v>2133.7099974755233</v>
      </c>
      <c r="K48" s="137">
        <f t="shared" si="40"/>
        <v>2474.369406288135</v>
      </c>
      <c r="L48" s="137">
        <f t="shared" si="40"/>
        <v>2242.9099444069648</v>
      </c>
      <c r="M48" s="137">
        <f t="shared" si="40"/>
        <v>1814.5646924426092</v>
      </c>
      <c r="N48" s="137">
        <f t="shared" si="40"/>
        <v>1351.4169348077362</v>
      </c>
      <c r="O48" s="137">
        <f t="shared" si="40"/>
        <v>1585.1200542026675</v>
      </c>
      <c r="P48" s="137">
        <f t="shared" si="40"/>
        <v>1636.458249680092</v>
      </c>
      <c r="Q48" s="137">
        <f t="shared" si="40"/>
        <v>1599.6233192056252</v>
      </c>
      <c r="R48" s="137">
        <f t="shared" ref="R48:V48" si="41">R49+R50</f>
        <v>1676.5521017477031</v>
      </c>
      <c r="S48" s="137">
        <f t="shared" si="41"/>
        <v>1578.3469308009251</v>
      </c>
      <c r="T48" s="137">
        <f t="shared" si="41"/>
        <v>1595.1259914525108</v>
      </c>
      <c r="U48" s="137">
        <f t="shared" si="41"/>
        <v>1652.234278706085</v>
      </c>
      <c r="V48" s="137">
        <f t="shared" si="41"/>
        <v>1488.023523829725</v>
      </c>
      <c r="W48" s="137">
        <f t="shared" ref="W48" si="42">W49+W50</f>
        <v>1610.6952905009539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797.28471499988768</v>
      </c>
      <c r="C49" s="102">
        <f>TrRoad_ene!C$43</f>
        <v>789.63336551220846</v>
      </c>
      <c r="D49" s="102">
        <f>TrRoad_ene!D$43</f>
        <v>805.57100521871325</v>
      </c>
      <c r="E49" s="102">
        <f>TrRoad_ene!E$43</f>
        <v>825.04284326004802</v>
      </c>
      <c r="F49" s="102">
        <f>TrRoad_ene!F$43</f>
        <v>808.29294171560377</v>
      </c>
      <c r="G49" s="102">
        <f>TrRoad_ene!G$43</f>
        <v>808.14867511776743</v>
      </c>
      <c r="H49" s="102">
        <f>TrRoad_ene!H$43</f>
        <v>809.67809718171316</v>
      </c>
      <c r="I49" s="102">
        <f>TrRoad_ene!I$43</f>
        <v>856.58796887838139</v>
      </c>
      <c r="J49" s="102">
        <f>TrRoad_ene!J$43</f>
        <v>838.64364305821573</v>
      </c>
      <c r="K49" s="102">
        <f>TrRoad_ene!K$43</f>
        <v>787.84357494636799</v>
      </c>
      <c r="L49" s="102">
        <f>TrRoad_ene!L$43</f>
        <v>792.07566799135088</v>
      </c>
      <c r="M49" s="102">
        <f>TrRoad_ene!M$43</f>
        <v>679.48446828669626</v>
      </c>
      <c r="N49" s="102">
        <f>TrRoad_ene!N$43</f>
        <v>556.13009027879843</v>
      </c>
      <c r="O49" s="102">
        <f>TrRoad_ene!O$43</f>
        <v>646.20454132839541</v>
      </c>
      <c r="P49" s="102">
        <f>TrRoad_ene!P$43</f>
        <v>645.67866306918154</v>
      </c>
      <c r="Q49" s="102">
        <f>TrRoad_ene!Q$43</f>
        <v>769.78550780100772</v>
      </c>
      <c r="R49" s="102">
        <f>TrRoad_ene!R$43</f>
        <v>810.81663066686792</v>
      </c>
      <c r="S49" s="102">
        <f>TrRoad_ene!S$43</f>
        <v>714.91257864191425</v>
      </c>
      <c r="T49" s="102">
        <f>TrRoad_ene!T$43</f>
        <v>709.14417097174066</v>
      </c>
      <c r="U49" s="102">
        <f>TrRoad_ene!U$43</f>
        <v>710.59719989390601</v>
      </c>
      <c r="V49" s="102">
        <f>TrRoad_ene!V$43</f>
        <v>612.92721993085252</v>
      </c>
      <c r="W49" s="102">
        <f>TrRoad_ene!W$43</f>
        <v>667.43649238019498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1089.0578057786599</v>
      </c>
      <c r="C50" s="102">
        <f>TrRoad_ene!C$52</f>
        <v>1107.7394713693934</v>
      </c>
      <c r="D50" s="102">
        <f>TrRoad_ene!D$52</f>
        <v>1130.400022965453</v>
      </c>
      <c r="E50" s="102">
        <f>TrRoad_ene!E$52</f>
        <v>1119.340062441288</v>
      </c>
      <c r="F50" s="102">
        <f>TrRoad_ene!F$52</f>
        <v>1247.8574392256619</v>
      </c>
      <c r="G50" s="102">
        <f>TrRoad_ene!G$52</f>
        <v>1158.9256359219369</v>
      </c>
      <c r="H50" s="102">
        <f>TrRoad_ene!H$52</f>
        <v>1262.0378880211601</v>
      </c>
      <c r="I50" s="102">
        <f>TrRoad_ene!I$52</f>
        <v>1304.8552346880458</v>
      </c>
      <c r="J50" s="102">
        <f>TrRoad_ene!J$52</f>
        <v>1295.0663544173076</v>
      </c>
      <c r="K50" s="102">
        <f>TrRoad_ene!K$52</f>
        <v>1686.5258313417671</v>
      </c>
      <c r="L50" s="102">
        <f>TrRoad_ene!L$52</f>
        <v>1450.8342764156139</v>
      </c>
      <c r="M50" s="102">
        <f>TrRoad_ene!M$52</f>
        <v>1135.0802241559129</v>
      </c>
      <c r="N50" s="102">
        <f>TrRoad_ene!N$52</f>
        <v>795.28684452893765</v>
      </c>
      <c r="O50" s="102">
        <f>TrRoad_ene!O$52</f>
        <v>938.91551287427205</v>
      </c>
      <c r="P50" s="102">
        <f>TrRoad_ene!P$52</f>
        <v>990.77958661091043</v>
      </c>
      <c r="Q50" s="102">
        <f>TrRoad_ene!Q$52</f>
        <v>829.83781140461758</v>
      </c>
      <c r="R50" s="102">
        <f>TrRoad_ene!R$52</f>
        <v>865.73547108083517</v>
      </c>
      <c r="S50" s="102">
        <f>TrRoad_ene!S$52</f>
        <v>863.43435215901081</v>
      </c>
      <c r="T50" s="102">
        <f>TrRoad_ene!T$52</f>
        <v>885.98182048077001</v>
      </c>
      <c r="U50" s="102">
        <f>TrRoad_ene!U$52</f>
        <v>941.63707881217897</v>
      </c>
      <c r="V50" s="102">
        <f>TrRoad_ene!V$52</f>
        <v>875.09630389887252</v>
      </c>
      <c r="W50" s="102">
        <f>TrRoad_ene!W$52</f>
        <v>943.2587981207588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3.3226426686508406</v>
      </c>
      <c r="C51" s="110">
        <f>TrRail_ene!C$17</f>
        <v>2.9029649015063477</v>
      </c>
      <c r="D51" s="110">
        <f>TrRail_ene!D$17</f>
        <v>2.779381760204203</v>
      </c>
      <c r="E51" s="110">
        <f>TrRail_ene!E$17</f>
        <v>3.6786988784444548</v>
      </c>
      <c r="F51" s="110">
        <f>TrRail_ene!F$17</f>
        <v>4.7004194080352484</v>
      </c>
      <c r="G51" s="110">
        <f>TrRail_ene!G$17</f>
        <v>3.4899407776519946</v>
      </c>
      <c r="H51" s="110">
        <f>TrRail_ene!H$17</f>
        <v>3.8343711799186866</v>
      </c>
      <c r="I51" s="110">
        <f>TrRail_ene!I$17</f>
        <v>4.8053347334185244</v>
      </c>
      <c r="J51" s="110">
        <f>TrRail_ene!J$17</f>
        <v>6.1585376198621873</v>
      </c>
      <c r="K51" s="110">
        <f>TrRail_ene!K$17</f>
        <v>2.7782372304885179</v>
      </c>
      <c r="L51" s="110">
        <f>TrRail_ene!L$17</f>
        <v>2.9722457122640065</v>
      </c>
      <c r="M51" s="110">
        <f>TrRail_ene!M$17</f>
        <v>1.5698367463894705</v>
      </c>
      <c r="N51" s="110">
        <f>TrRail_ene!N$17</f>
        <v>1.6467570661697799</v>
      </c>
      <c r="O51" s="110">
        <f>TrRail_ene!O$17</f>
        <v>1.225577046665977</v>
      </c>
      <c r="P51" s="110">
        <f>TrRail_ene!P$17</f>
        <v>1.6925870303018691</v>
      </c>
      <c r="Q51" s="110">
        <f>TrRail_ene!Q$17</f>
        <v>1.599424037477492</v>
      </c>
      <c r="R51" s="110">
        <f>TrRail_ene!R$17</f>
        <v>1.3609291122603675</v>
      </c>
      <c r="S51" s="110">
        <f>TrRail_ene!S$17</f>
        <v>1.8756103652000609</v>
      </c>
      <c r="T51" s="110">
        <f>TrRail_ene!T$17</f>
        <v>2.1129353361886265</v>
      </c>
      <c r="U51" s="110">
        <f>TrRail_ene!U$17</f>
        <v>2.0777134967981188</v>
      </c>
      <c r="V51" s="110">
        <f>TrRail_ene!V$17</f>
        <v>2.5807931995496771</v>
      </c>
      <c r="W51" s="110">
        <f>TrRail_ene!W$17</f>
        <v>2.4381068635262229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33.623252913341432</v>
      </c>
      <c r="C52" s="110">
        <f t="shared" si="43"/>
        <v>36.728103314418142</v>
      </c>
      <c r="D52" s="110">
        <f t="shared" si="43"/>
        <v>35.511474963930667</v>
      </c>
      <c r="E52" s="110">
        <f t="shared" si="43"/>
        <v>30.013464818978402</v>
      </c>
      <c r="F52" s="110">
        <f t="shared" si="43"/>
        <v>19.905828911019277</v>
      </c>
      <c r="G52" s="110">
        <f t="shared" si="43"/>
        <v>19.544823390595049</v>
      </c>
      <c r="H52" s="110">
        <f t="shared" si="43"/>
        <v>23.106197485980314</v>
      </c>
      <c r="I52" s="110">
        <f t="shared" si="43"/>
        <v>20.066970692245398</v>
      </c>
      <c r="J52" s="110">
        <f t="shared" si="43"/>
        <v>21.963764562763174</v>
      </c>
      <c r="K52" s="110">
        <f t="shared" si="43"/>
        <v>15.93835101446858</v>
      </c>
      <c r="L52" s="110">
        <f t="shared" si="43"/>
        <v>12.430941228651051</v>
      </c>
      <c r="M52" s="110">
        <f t="shared" si="43"/>
        <v>12.27967943659436</v>
      </c>
      <c r="N52" s="110">
        <f t="shared" si="43"/>
        <v>10.589302599806569</v>
      </c>
      <c r="O52" s="110">
        <f t="shared" si="43"/>
        <v>10.035890515499936</v>
      </c>
      <c r="P52" s="110">
        <f t="shared" si="43"/>
        <v>8.0660403359552113</v>
      </c>
      <c r="Q52" s="110">
        <f t="shared" si="43"/>
        <v>7.5908385316193092</v>
      </c>
      <c r="R52" s="110">
        <f t="shared" si="43"/>
        <v>7.3526281151244834</v>
      </c>
      <c r="S52" s="110">
        <f t="shared" si="43"/>
        <v>7.304669416695627</v>
      </c>
      <c r="T52" s="110">
        <f t="shared" si="43"/>
        <v>10.225073205275166</v>
      </c>
      <c r="U52" s="110">
        <f t="shared" si="43"/>
        <v>9.9435513906582695</v>
      </c>
      <c r="V52" s="110">
        <f t="shared" si="43"/>
        <v>7.4485653172500008</v>
      </c>
      <c r="W52" s="110">
        <f t="shared" ref="W52" si="44">W53+W54+W55</f>
        <v>9.9706068777340384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15.791749166078899</v>
      </c>
      <c r="C53" s="102">
        <f>TrAvia_ene!C$11</f>
        <v>16.581127439197633</v>
      </c>
      <c r="D53" s="102">
        <f>TrAvia_ene!D$11</f>
        <v>15.763629192780035</v>
      </c>
      <c r="E53" s="102">
        <f>TrAvia_ene!E$11</f>
        <v>13.066396564498159</v>
      </c>
      <c r="F53" s="102">
        <f>TrAvia_ene!F$11</f>
        <v>7.3997207922502888</v>
      </c>
      <c r="G53" s="102">
        <f>TrAvia_ene!G$11</f>
        <v>7.294603416499605</v>
      </c>
      <c r="H53" s="102">
        <f>TrAvia_ene!H$11</f>
        <v>6.5114259569719914</v>
      </c>
      <c r="I53" s="102">
        <f>TrAvia_ene!I$11</f>
        <v>5.2208141890669379</v>
      </c>
      <c r="J53" s="102">
        <f>TrAvia_ene!J$11</f>
        <v>5.689827825121224</v>
      </c>
      <c r="K53" s="102">
        <f>TrAvia_ene!K$11</f>
        <v>3.4653936165669132</v>
      </c>
      <c r="L53" s="102">
        <f>TrAvia_ene!L$11</f>
        <v>2.7891858278358899</v>
      </c>
      <c r="M53" s="102">
        <f>TrAvia_ene!M$11</f>
        <v>2.2719577511475815</v>
      </c>
      <c r="N53" s="102">
        <f>TrAvia_ene!N$11</f>
        <v>1.6868340583475179</v>
      </c>
      <c r="O53" s="102">
        <f>TrAvia_ene!O$11</f>
        <v>1.6060922761273664</v>
      </c>
      <c r="P53" s="102">
        <f>TrAvia_ene!P$11</f>
        <v>0.99792213903697879</v>
      </c>
      <c r="Q53" s="102">
        <f>TrAvia_ene!Q$11</f>
        <v>0.80521816489164189</v>
      </c>
      <c r="R53" s="102">
        <f>TrAvia_ene!R$11</f>
        <v>0.72025662759153297</v>
      </c>
      <c r="S53" s="102">
        <f>TrAvia_ene!S$11</f>
        <v>0.50350607217615961</v>
      </c>
      <c r="T53" s="102">
        <f>TrAvia_ene!T$11</f>
        <v>1.0207504954246427</v>
      </c>
      <c r="U53" s="102">
        <f>TrAvia_ene!U$11</f>
        <v>0.8886949673132819</v>
      </c>
      <c r="V53" s="102">
        <f>TrAvia_ene!V$11</f>
        <v>0.3759084284210808</v>
      </c>
      <c r="W53" s="102">
        <f>TrAvia_ene!W$11</f>
        <v>0.51693760217682949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16.13549727196159</v>
      </c>
      <c r="C54" s="102">
        <f>TrAvia_ene!C$12</f>
        <v>18.512271431419983</v>
      </c>
      <c r="D54" s="102">
        <f>TrAvia_ene!D$12</f>
        <v>18.090973248328613</v>
      </c>
      <c r="E54" s="102">
        <f>TrAvia_ene!E$12</f>
        <v>15.12346315498708</v>
      </c>
      <c r="F54" s="102">
        <f>TrAvia_ene!F$12</f>
        <v>11.186300446606644</v>
      </c>
      <c r="G54" s="102">
        <f>TrAvia_ene!G$12</f>
        <v>10.943605384386085</v>
      </c>
      <c r="H54" s="102">
        <f>TrAvia_ene!H$12</f>
        <v>15.206490755093238</v>
      </c>
      <c r="I54" s="102">
        <f>TrAvia_ene!I$12</f>
        <v>13.676436196090743</v>
      </c>
      <c r="J54" s="102">
        <f>TrAvia_ene!J$12</f>
        <v>15.013309625977342</v>
      </c>
      <c r="K54" s="102">
        <f>TrAvia_ene!K$12</f>
        <v>11.476033586283764</v>
      </c>
      <c r="L54" s="102">
        <f>TrAvia_ene!L$12</f>
        <v>9.1211748999423818</v>
      </c>
      <c r="M54" s="102">
        <f>TrAvia_ene!M$12</f>
        <v>9.3867513820714645</v>
      </c>
      <c r="N54" s="102">
        <f>TrAvia_ene!N$12</f>
        <v>8.2965782070519101</v>
      </c>
      <c r="O54" s="102">
        <f>TrAvia_ene!O$12</f>
        <v>7.9616786042632031</v>
      </c>
      <c r="P54" s="102">
        <f>TrAvia_ene!P$12</f>
        <v>6.6909623306064914</v>
      </c>
      <c r="Q54" s="102">
        <f>TrAvia_ene!Q$12</f>
        <v>6.2592182240328968</v>
      </c>
      <c r="R54" s="102">
        <f>TrAvia_ene!R$12</f>
        <v>6.1478307283853075</v>
      </c>
      <c r="S54" s="102">
        <f>TrAvia_ene!S$12</f>
        <v>6.2269456075544261</v>
      </c>
      <c r="T54" s="102">
        <f>TrAvia_ene!T$12</f>
        <v>8.2553334042562518</v>
      </c>
      <c r="U54" s="102">
        <f>TrAvia_ene!U$12</f>
        <v>7.9271003156268849</v>
      </c>
      <c r="V54" s="102">
        <f>TrAvia_ene!V$12</f>
        <v>5.9979704564004468</v>
      </c>
      <c r="W54" s="102">
        <f>TrAvia_ene!W$12</f>
        <v>7.3470930973468986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1.6960064753009401</v>
      </c>
      <c r="C55" s="102">
        <f>TrAvia_ene!C$13</f>
        <v>1.6347044438005254</v>
      </c>
      <c r="D55" s="102">
        <f>TrAvia_ene!D$13</f>
        <v>1.6568725228220167</v>
      </c>
      <c r="E55" s="102">
        <f>TrAvia_ene!E$13</f>
        <v>1.8236050994931596</v>
      </c>
      <c r="F55" s="102">
        <f>TrAvia_ene!F$13</f>
        <v>1.3198076721623442</v>
      </c>
      <c r="G55" s="102">
        <f>TrAvia_ene!G$13</f>
        <v>1.3066145897093595</v>
      </c>
      <c r="H55" s="102">
        <f>TrAvia_ene!H$13</f>
        <v>1.388280773915086</v>
      </c>
      <c r="I55" s="102">
        <f>TrAvia_ene!I$13</f>
        <v>1.1697203070877173</v>
      </c>
      <c r="J55" s="102">
        <f>TrAvia_ene!J$13</f>
        <v>1.2606271116646064</v>
      </c>
      <c r="K55" s="102">
        <f>TrAvia_ene!K$13</f>
        <v>0.99692381161790278</v>
      </c>
      <c r="L55" s="102">
        <f>TrAvia_ene!L$13</f>
        <v>0.52058050087277774</v>
      </c>
      <c r="M55" s="102">
        <f>TrAvia_ene!M$13</f>
        <v>0.62097030337531467</v>
      </c>
      <c r="N55" s="102">
        <f>TrAvia_ene!N$13</f>
        <v>0.60589033440714113</v>
      </c>
      <c r="O55" s="102">
        <f>TrAvia_ene!O$13</f>
        <v>0.46811963510936716</v>
      </c>
      <c r="P55" s="102">
        <f>TrAvia_ene!P$13</f>
        <v>0.37715586631174097</v>
      </c>
      <c r="Q55" s="102">
        <f>TrAvia_ene!Q$13</f>
        <v>0.52640214269477104</v>
      </c>
      <c r="R55" s="102">
        <f>TrAvia_ene!R$13</f>
        <v>0.48454075914764311</v>
      </c>
      <c r="S55" s="102">
        <f>TrAvia_ene!S$13</f>
        <v>0.5742177369650413</v>
      </c>
      <c r="T55" s="102">
        <f>TrAvia_ene!T$13</f>
        <v>0.94898930559427097</v>
      </c>
      <c r="U55" s="102">
        <f>TrAvia_ene!U$13</f>
        <v>1.1277561077181031</v>
      </c>
      <c r="V55" s="102">
        <f>TrAvia_ene!V$13</f>
        <v>1.0746864324284733</v>
      </c>
      <c r="W55" s="102">
        <f>TrAvia_ene!W$13</f>
        <v>2.1065761782103105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497.83602751504731</v>
      </c>
      <c r="C56" s="110">
        <f t="shared" si="45"/>
        <v>677.58185726569207</v>
      </c>
      <c r="D56" s="110">
        <f t="shared" si="45"/>
        <v>611.99965606190881</v>
      </c>
      <c r="E56" s="110">
        <f t="shared" si="45"/>
        <v>604.4091143594153</v>
      </c>
      <c r="F56" s="110">
        <f t="shared" si="45"/>
        <v>678.17901977644021</v>
      </c>
      <c r="G56" s="110">
        <f t="shared" si="45"/>
        <v>651.43783319002569</v>
      </c>
      <c r="H56" s="110">
        <f t="shared" si="45"/>
        <v>714.09191745485805</v>
      </c>
      <c r="I56" s="110">
        <f t="shared" si="45"/>
        <v>666.38005159071372</v>
      </c>
      <c r="J56" s="110">
        <f t="shared" si="45"/>
        <v>599.11625107480654</v>
      </c>
      <c r="K56" s="110">
        <f t="shared" si="45"/>
        <v>880.6821152192606</v>
      </c>
      <c r="L56" s="110">
        <f t="shared" si="45"/>
        <v>717.12519346517615</v>
      </c>
      <c r="M56" s="110">
        <f t="shared" si="45"/>
        <v>515.62536543422175</v>
      </c>
      <c r="N56" s="110">
        <f t="shared" si="45"/>
        <v>525.21255374032671</v>
      </c>
      <c r="O56" s="110">
        <f t="shared" si="45"/>
        <v>430.52932072226992</v>
      </c>
      <c r="P56" s="110">
        <f t="shared" si="45"/>
        <v>449.10189165950123</v>
      </c>
      <c r="Q56" s="110">
        <f t="shared" si="45"/>
        <v>534.28392089423915</v>
      </c>
      <c r="R56" s="110">
        <f t="shared" ref="R56:V56" si="46">R57+R58</f>
        <v>556.84058469475485</v>
      </c>
      <c r="S56" s="110">
        <f t="shared" si="46"/>
        <v>570.55064488392077</v>
      </c>
      <c r="T56" s="110">
        <f t="shared" si="46"/>
        <v>615.65838349097157</v>
      </c>
      <c r="U56" s="110">
        <f t="shared" si="46"/>
        <v>640.72433361994854</v>
      </c>
      <c r="V56" s="110">
        <f t="shared" si="46"/>
        <v>514.79716251074797</v>
      </c>
      <c r="W56" s="110">
        <f t="shared" ref="W56" si="47">W57+W58</f>
        <v>574.65391229578688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497.83602751504731</v>
      </c>
      <c r="C57" s="102">
        <f>TrNavi_ene!C4</f>
        <v>677.58185726569207</v>
      </c>
      <c r="D57" s="102">
        <f>TrNavi_ene!D4</f>
        <v>611.99965606190881</v>
      </c>
      <c r="E57" s="102">
        <f>TrNavi_ene!E4</f>
        <v>604.4091143594153</v>
      </c>
      <c r="F57" s="102">
        <f>TrNavi_ene!F4</f>
        <v>678.17901977644021</v>
      </c>
      <c r="G57" s="102">
        <f>TrNavi_ene!G4</f>
        <v>651.43783319002569</v>
      </c>
      <c r="H57" s="102">
        <f>TrNavi_ene!H4</f>
        <v>714.09191745485805</v>
      </c>
      <c r="I57" s="102">
        <f>TrNavi_ene!I4</f>
        <v>666.38005159071372</v>
      </c>
      <c r="J57" s="102">
        <f>TrNavi_ene!J4</f>
        <v>599.11625107480654</v>
      </c>
      <c r="K57" s="102">
        <f>TrNavi_ene!K4</f>
        <v>880.6821152192606</v>
      </c>
      <c r="L57" s="102">
        <f>TrNavi_ene!L4</f>
        <v>717.12519346517615</v>
      </c>
      <c r="M57" s="102">
        <f>TrNavi_ene!M4</f>
        <v>515.62536543422175</v>
      </c>
      <c r="N57" s="102">
        <f>TrNavi_ene!N4</f>
        <v>525.21255374032671</v>
      </c>
      <c r="O57" s="102">
        <f>TrNavi_ene!O4</f>
        <v>430.52932072226992</v>
      </c>
      <c r="P57" s="102">
        <f>TrNavi_ene!P4</f>
        <v>449.10189165950123</v>
      </c>
      <c r="Q57" s="102">
        <f>TrNavi_ene!Q4</f>
        <v>534.28392089423915</v>
      </c>
      <c r="R57" s="102">
        <f>TrNavi_ene!R4</f>
        <v>556.84058469475485</v>
      </c>
      <c r="S57" s="102">
        <f>TrNavi_ene!S4</f>
        <v>570.55064488392077</v>
      </c>
      <c r="T57" s="102">
        <f>TrNavi_ene!T4</f>
        <v>615.65838349097157</v>
      </c>
      <c r="U57" s="102">
        <f>TrNavi_ene!U4</f>
        <v>640.72433361994854</v>
      </c>
      <c r="V57" s="102">
        <f>TrNavi_ene!V4</f>
        <v>514.79716251074797</v>
      </c>
      <c r="W57" s="102">
        <f>TrNavi_ene!W4</f>
        <v>574.65391229578688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0</v>
      </c>
      <c r="C58" s="169">
        <f>TrNavi_ene!C10</f>
        <v>0</v>
      </c>
      <c r="D58" s="169">
        <f>TrNavi_ene!D10</f>
        <v>0</v>
      </c>
      <c r="E58" s="169">
        <f>TrNavi_ene!E10</f>
        <v>0</v>
      </c>
      <c r="F58" s="169">
        <f>TrNavi_ene!F10</f>
        <v>0</v>
      </c>
      <c r="G58" s="169">
        <f>TrNavi_ene!G10</f>
        <v>0</v>
      </c>
      <c r="H58" s="169">
        <f>TrNavi_ene!H10</f>
        <v>0</v>
      </c>
      <c r="I58" s="169">
        <f>TrNavi_ene!I10</f>
        <v>0</v>
      </c>
      <c r="J58" s="169">
        <f>TrNavi_ene!J10</f>
        <v>0</v>
      </c>
      <c r="K58" s="169">
        <f>TrNavi_ene!K10</f>
        <v>0</v>
      </c>
      <c r="L58" s="169">
        <f>TrNavi_ene!L10</f>
        <v>0</v>
      </c>
      <c r="M58" s="169">
        <f>TrNavi_ene!M10</f>
        <v>0</v>
      </c>
      <c r="N58" s="169">
        <f>TrNavi_ene!N10</f>
        <v>0</v>
      </c>
      <c r="O58" s="169">
        <f>TrNavi_ene!O10</f>
        <v>0</v>
      </c>
      <c r="P58" s="169">
        <f>TrNavi_ene!P10</f>
        <v>0</v>
      </c>
      <c r="Q58" s="169">
        <f>TrNavi_ene!Q10</f>
        <v>0</v>
      </c>
      <c r="R58" s="169">
        <f>TrNavi_ene!R10</f>
        <v>0</v>
      </c>
      <c r="S58" s="169">
        <f>TrNavi_ene!S10</f>
        <v>0</v>
      </c>
      <c r="T58" s="169">
        <f>TrNavi_ene!T10</f>
        <v>0</v>
      </c>
      <c r="U58" s="169">
        <f>TrNavi_ene!U10</f>
        <v>0</v>
      </c>
      <c r="V58" s="169">
        <f>TrNavi_ene!V10</f>
        <v>0</v>
      </c>
      <c r="W58" s="169">
        <f>TrNavi_ene!W10</f>
        <v>0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3603.1527085124681</v>
      </c>
      <c r="C59" s="28">
        <f t="shared" ref="C59:W59" si="48">C60+C61</f>
        <v>3496.154600171968</v>
      </c>
      <c r="D59" s="28">
        <f t="shared" si="48"/>
        <v>3142.8871883061047</v>
      </c>
      <c r="E59" s="28">
        <f t="shared" si="48"/>
        <v>3212.0570077386069</v>
      </c>
      <c r="F59" s="28">
        <f t="shared" si="48"/>
        <v>3244.2390369733448</v>
      </c>
      <c r="G59" s="28">
        <f t="shared" si="48"/>
        <v>2869.3369733447971</v>
      </c>
      <c r="H59" s="28">
        <f t="shared" si="48"/>
        <v>3096.9571797076524</v>
      </c>
      <c r="I59" s="28">
        <f t="shared" si="48"/>
        <v>3227.7252794496985</v>
      </c>
      <c r="J59" s="28">
        <f t="shared" si="48"/>
        <v>3087.5084264832321</v>
      </c>
      <c r="K59" s="28">
        <f t="shared" si="48"/>
        <v>2598.3758383490981</v>
      </c>
      <c r="L59" s="28">
        <f t="shared" si="48"/>
        <v>2710.0507308684437</v>
      </c>
      <c r="M59" s="28">
        <f t="shared" si="48"/>
        <v>2752.3073086844361</v>
      </c>
      <c r="N59" s="28">
        <f t="shared" si="48"/>
        <v>2248.5525365434223</v>
      </c>
      <c r="O59" s="28">
        <f t="shared" si="48"/>
        <v>2120.6314703353391</v>
      </c>
      <c r="P59" s="28">
        <f t="shared" si="48"/>
        <v>1864.9183147033536</v>
      </c>
      <c r="Q59" s="28">
        <f t="shared" si="48"/>
        <v>1783.0563198624243</v>
      </c>
      <c r="R59" s="28">
        <f t="shared" si="48"/>
        <v>1719.1983662940672</v>
      </c>
      <c r="S59" s="28">
        <f t="shared" si="48"/>
        <v>2134.2343078245913</v>
      </c>
      <c r="T59" s="28">
        <f t="shared" si="48"/>
        <v>2185.1139294926907</v>
      </c>
      <c r="U59" s="28">
        <f t="shared" si="48"/>
        <v>2518.2967325881336</v>
      </c>
      <c r="V59" s="28">
        <f t="shared" si="48"/>
        <v>1626.8252794496993</v>
      </c>
      <c r="W59" s="28">
        <f t="shared" si="48"/>
        <v>1810.7943250214967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1929.9969958515417</v>
      </c>
      <c r="C60" s="102">
        <f>MBunk_ene!C$4</f>
        <v>1610.7760488624515</v>
      </c>
      <c r="D60" s="102">
        <f>MBunk_ene!D$4</f>
        <v>1375.4498769002687</v>
      </c>
      <c r="E60" s="102">
        <f>MBunk_ene!E$4</f>
        <v>1466.2646651502696</v>
      </c>
      <c r="F60" s="102">
        <f>MBunk_ene!F$4</f>
        <v>1421.9207330186709</v>
      </c>
      <c r="G60" s="102">
        <f>MBunk_ene!G$4</f>
        <v>1234.1318658947202</v>
      </c>
      <c r="H60" s="102">
        <f>MBunk_ene!H$4</f>
        <v>1269.4436429653017</v>
      </c>
      <c r="I60" s="102">
        <f>MBunk_ene!I$4</f>
        <v>1404.4409410049861</v>
      </c>
      <c r="J60" s="102">
        <f>MBunk_ene!J$4</f>
        <v>1418.33460890794</v>
      </c>
      <c r="K60" s="102">
        <f>MBunk_ene!K$4</f>
        <v>1214.2785203714084</v>
      </c>
      <c r="L60" s="102">
        <f>MBunk_ene!L$4</f>
        <v>1209.6779959550554</v>
      </c>
      <c r="M60" s="102">
        <f>MBunk_ene!M$4</f>
        <v>1166.060938398678</v>
      </c>
      <c r="N60" s="102">
        <f>MBunk_ene!N$4</f>
        <v>915.53704041245214</v>
      </c>
      <c r="O60" s="102">
        <f>MBunk_ene!O$4</f>
        <v>821.15289805029317</v>
      </c>
      <c r="P60" s="102">
        <f>MBunk_ene!P$4</f>
        <v>699.43335848889217</v>
      </c>
      <c r="Q60" s="102">
        <f>MBunk_ene!Q$4</f>
        <v>685.3531726432002</v>
      </c>
      <c r="R60" s="102">
        <f>MBunk_ene!R$4</f>
        <v>631.85563682420207</v>
      </c>
      <c r="S60" s="102">
        <f>MBunk_ene!S$4</f>
        <v>797.69705178716094</v>
      </c>
      <c r="T60" s="102">
        <f>MBunk_ene!T$4</f>
        <v>817.52552719526113</v>
      </c>
      <c r="U60" s="102">
        <f>MBunk_ene!U$4</f>
        <v>962.04543310310214</v>
      </c>
      <c r="V60" s="102">
        <f>MBunk_ene!V$4</f>
        <v>555.69419995982025</v>
      </c>
      <c r="W60" s="102">
        <f>MBunk_ene!W$4</f>
        <v>624.31128315472017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1673.1557126609262</v>
      </c>
      <c r="C61" s="86">
        <f>MBunk_ene!C$10</f>
        <v>1885.3785513095163</v>
      </c>
      <c r="D61" s="86">
        <f>MBunk_ene!D$10</f>
        <v>1767.4373114058358</v>
      </c>
      <c r="E61" s="86">
        <f>MBunk_ene!E$10</f>
        <v>1745.7923425883373</v>
      </c>
      <c r="F61" s="86">
        <f>MBunk_ene!F$10</f>
        <v>1822.3183039546739</v>
      </c>
      <c r="G61" s="86">
        <f>MBunk_ene!G$10</f>
        <v>1635.2051074500771</v>
      </c>
      <c r="H61" s="86">
        <f>MBunk_ene!H$10</f>
        <v>1827.5135367423507</v>
      </c>
      <c r="I61" s="86">
        <f>MBunk_ene!I$10</f>
        <v>1823.2843384447124</v>
      </c>
      <c r="J61" s="86">
        <f>MBunk_ene!J$10</f>
        <v>1669.1738175752921</v>
      </c>
      <c r="K61" s="86">
        <f>MBunk_ene!K$10</f>
        <v>1384.0973179776897</v>
      </c>
      <c r="L61" s="86">
        <f>MBunk_ene!L$10</f>
        <v>1500.3727349133885</v>
      </c>
      <c r="M61" s="86">
        <f>MBunk_ene!M$10</f>
        <v>1586.2463702857583</v>
      </c>
      <c r="N61" s="86">
        <f>MBunk_ene!N$10</f>
        <v>1333.0154961309702</v>
      </c>
      <c r="O61" s="86">
        <f>MBunk_ene!O$10</f>
        <v>1299.4785722850461</v>
      </c>
      <c r="P61" s="86">
        <f>MBunk_ene!P$10</f>
        <v>1165.4849562144614</v>
      </c>
      <c r="Q61" s="86">
        <f>MBunk_ene!Q$10</f>
        <v>1097.7031472192241</v>
      </c>
      <c r="R61" s="86">
        <f>MBunk_ene!R$10</f>
        <v>1087.3427294698652</v>
      </c>
      <c r="S61" s="86">
        <f>MBunk_ene!S$10</f>
        <v>1336.5372560374303</v>
      </c>
      <c r="T61" s="86">
        <f>MBunk_ene!T$10</f>
        <v>1367.5884022974294</v>
      </c>
      <c r="U61" s="86">
        <f>MBunk_ene!U$10</f>
        <v>1556.2512994850315</v>
      </c>
      <c r="V61" s="86">
        <f>MBunk_ene!V$10</f>
        <v>1071.1310794898791</v>
      </c>
      <c r="W61" s="86">
        <f>MBunk_ene!W$10</f>
        <v>1186.4830418667764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14372.106348032214</v>
      </c>
      <c r="C64" s="28">
        <f t="shared" si="49"/>
        <v>14271.856528211958</v>
      </c>
      <c r="D64" s="28">
        <f t="shared" si="49"/>
        <v>14624.674555395872</v>
      </c>
      <c r="E64" s="28">
        <f t="shared" si="49"/>
        <v>15666.431019327767</v>
      </c>
      <c r="F64" s="28">
        <f t="shared" si="49"/>
        <v>15592.197134670534</v>
      </c>
      <c r="G64" s="28">
        <f t="shared" si="49"/>
        <v>16266.040980029442</v>
      </c>
      <c r="H64" s="28">
        <f t="shared" si="49"/>
        <v>16801.594699330592</v>
      </c>
      <c r="I64" s="28">
        <f t="shared" si="49"/>
        <v>17415.425945071693</v>
      </c>
      <c r="J64" s="28">
        <f t="shared" si="49"/>
        <v>17096.649639998905</v>
      </c>
      <c r="K64" s="28">
        <f t="shared" si="49"/>
        <v>17079.782749994487</v>
      </c>
      <c r="L64" s="28">
        <f t="shared" si="49"/>
        <v>15113.282025679591</v>
      </c>
      <c r="M64" s="28">
        <f t="shared" si="49"/>
        <v>14845.807809156149</v>
      </c>
      <c r="N64" s="28">
        <f t="shared" si="49"/>
        <v>12752.273949328834</v>
      </c>
      <c r="O64" s="28">
        <f t="shared" si="49"/>
        <v>12320.821705157299</v>
      </c>
      <c r="P64" s="28">
        <f t="shared" si="49"/>
        <v>12483.892842727706</v>
      </c>
      <c r="Q64" s="28">
        <f t="shared" si="49"/>
        <v>12800.713967104482</v>
      </c>
      <c r="R64" s="28">
        <f t="shared" ref="R64:V64" si="50">R65+R69+R73</f>
        <v>13150.749953504162</v>
      </c>
      <c r="S64" s="28">
        <f t="shared" si="50"/>
        <v>13467.0865335694</v>
      </c>
      <c r="T64" s="28">
        <f t="shared" si="50"/>
        <v>13840.298041265229</v>
      </c>
      <c r="U64" s="28">
        <f t="shared" si="50"/>
        <v>14101.563611736072</v>
      </c>
      <c r="V64" s="28">
        <f t="shared" si="50"/>
        <v>9926.4744640330864</v>
      </c>
      <c r="W64" s="28">
        <f t="shared" ref="W64" si="51">W65+W69+W73</f>
        <v>11527.332220850027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10264.410344570928</v>
      </c>
      <c r="C65" s="137">
        <f t="shared" si="52"/>
        <v>10584.235069724778</v>
      </c>
      <c r="D65" s="137">
        <f t="shared" si="52"/>
        <v>11047.699428563088</v>
      </c>
      <c r="E65" s="137">
        <f t="shared" si="52"/>
        <v>12053.138303894189</v>
      </c>
      <c r="F65" s="137">
        <f t="shared" si="52"/>
        <v>11808.648208996363</v>
      </c>
      <c r="G65" s="137">
        <f t="shared" si="52"/>
        <v>12560.932923157841</v>
      </c>
      <c r="H65" s="137">
        <f t="shared" si="52"/>
        <v>12753.338654130052</v>
      </c>
      <c r="I65" s="137">
        <f t="shared" si="52"/>
        <v>13321.514083778429</v>
      </c>
      <c r="J65" s="137">
        <f t="shared" si="52"/>
        <v>12943.855614219221</v>
      </c>
      <c r="K65" s="137">
        <f t="shared" si="52"/>
        <v>13599.98908408128</v>
      </c>
      <c r="L65" s="137">
        <f t="shared" si="52"/>
        <v>12328.97650937911</v>
      </c>
      <c r="M65" s="137">
        <f t="shared" si="52"/>
        <v>11945.627604290665</v>
      </c>
      <c r="N65" s="137">
        <f t="shared" si="52"/>
        <v>10164.897777683283</v>
      </c>
      <c r="O65" s="137">
        <f t="shared" si="52"/>
        <v>9740.0441191823757</v>
      </c>
      <c r="P65" s="137">
        <f t="shared" si="52"/>
        <v>9504.1032180419479</v>
      </c>
      <c r="Q65" s="137">
        <f t="shared" si="52"/>
        <v>9717.2266175058267</v>
      </c>
      <c r="R65" s="137">
        <f t="shared" ref="R65:V65" si="53">R66+R67+R68</f>
        <v>9834.2651873760315</v>
      </c>
      <c r="S65" s="137">
        <f t="shared" si="53"/>
        <v>9812.8437593839353</v>
      </c>
      <c r="T65" s="137">
        <f t="shared" si="53"/>
        <v>9811.0004179685729</v>
      </c>
      <c r="U65" s="137">
        <f t="shared" si="53"/>
        <v>10020.910741700694</v>
      </c>
      <c r="V65" s="137">
        <f t="shared" si="53"/>
        <v>8586.6573678594159</v>
      </c>
      <c r="W65" s="137">
        <f t="shared" ref="W65" si="54">W66+W67+W68</f>
        <v>8987.3362188067149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490.71143408492213</v>
      </c>
      <c r="C66" s="102">
        <f>TrRoad_emi!C$19</f>
        <v>531.78359930403531</v>
      </c>
      <c r="D66" s="102">
        <f>TrRoad_emi!D$19</f>
        <v>585.01950814085353</v>
      </c>
      <c r="E66" s="102">
        <f>TrRoad_emi!E$19</f>
        <v>613.13938355808773</v>
      </c>
      <c r="F66" s="102">
        <f>TrRoad_emi!F$19</f>
        <v>617.4217171029477</v>
      </c>
      <c r="G66" s="102">
        <f>TrRoad_emi!G$19</f>
        <v>635.88752121057269</v>
      </c>
      <c r="H66" s="102">
        <f>TrRoad_emi!H$19</f>
        <v>580.46135845409731</v>
      </c>
      <c r="I66" s="102">
        <f>TrRoad_emi!I$19</f>
        <v>581.03628007626685</v>
      </c>
      <c r="J66" s="102">
        <f>TrRoad_emi!J$19</f>
        <v>622.80963254135304</v>
      </c>
      <c r="K66" s="102">
        <f>TrRoad_emi!K$19</f>
        <v>638.75528437689479</v>
      </c>
      <c r="L66" s="102">
        <f>TrRoad_emi!L$19</f>
        <v>755.33470424190648</v>
      </c>
      <c r="M66" s="102">
        <f>TrRoad_emi!M$19</f>
        <v>772.64321644038671</v>
      </c>
      <c r="N66" s="102">
        <f>TrRoad_emi!N$19</f>
        <v>794.42912231804758</v>
      </c>
      <c r="O66" s="102">
        <f>TrRoad_emi!O$19</f>
        <v>795.07432550700003</v>
      </c>
      <c r="P66" s="102">
        <f>TrRoad_emi!P$19</f>
        <v>813.42260999999996</v>
      </c>
      <c r="Q66" s="102">
        <f>TrRoad_emi!Q$19</f>
        <v>836.01632684406025</v>
      </c>
      <c r="R66" s="102">
        <f>TrRoad_emi!R$19</f>
        <v>808.8987747685012</v>
      </c>
      <c r="S66" s="102">
        <f>TrRoad_emi!S$19</f>
        <v>794.58208450247753</v>
      </c>
      <c r="T66" s="102">
        <f>TrRoad_emi!T$19</f>
        <v>729.91482680476122</v>
      </c>
      <c r="U66" s="102">
        <f>TrRoad_emi!U$19</f>
        <v>756.34274767467275</v>
      </c>
      <c r="V66" s="102">
        <f>TrRoad_emi!V$19</f>
        <v>623.88211989561762</v>
      </c>
      <c r="W66" s="102">
        <f>TrRoad_emi!W$19</f>
        <v>645.44299287085312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8016.4219568535627</v>
      </c>
      <c r="C67" s="102">
        <f>TrRoad_emi!C$20</f>
        <v>8354.6946273004924</v>
      </c>
      <c r="D67" s="102">
        <f>TrRoad_emi!D$20</f>
        <v>8774.3114610055527</v>
      </c>
      <c r="E67" s="102">
        <f>TrRoad_emi!E$20</f>
        <v>9265.3434410388891</v>
      </c>
      <c r="F67" s="102">
        <f>TrRoad_emi!F$20</f>
        <v>9548.8903254132019</v>
      </c>
      <c r="G67" s="102">
        <f>TrRoad_emi!G$20</f>
        <v>10069.339638416042</v>
      </c>
      <c r="H67" s="102">
        <f>TrRoad_emi!H$20</f>
        <v>10392.961476304512</v>
      </c>
      <c r="I67" s="102">
        <f>TrRoad_emi!I$20</f>
        <v>10935.22707221426</v>
      </c>
      <c r="J67" s="102">
        <f>TrRoad_emi!J$20</f>
        <v>10659.204931616274</v>
      </c>
      <c r="K67" s="102">
        <f>TrRoad_emi!K$20</f>
        <v>10984.743744173715</v>
      </c>
      <c r="L67" s="102">
        <f>TrRoad_emi!L$20</f>
        <v>9877.3663284709655</v>
      </c>
      <c r="M67" s="102">
        <f>TrRoad_emi!M$20</f>
        <v>9364.1845011359364</v>
      </c>
      <c r="N67" s="102">
        <f>TrRoad_emi!N$20</f>
        <v>7903.5871294217595</v>
      </c>
      <c r="O67" s="102">
        <f>TrRoad_emi!O$20</f>
        <v>7273.2008968521823</v>
      </c>
      <c r="P67" s="102">
        <f>TrRoad_emi!P$20</f>
        <v>7076.8360707975553</v>
      </c>
      <c r="Q67" s="102">
        <f>TrRoad_emi!Q$20</f>
        <v>7335.7021846188882</v>
      </c>
      <c r="R67" s="102">
        <f>TrRoad_emi!R$20</f>
        <v>7460.0319841654982</v>
      </c>
      <c r="S67" s="102">
        <f>TrRoad_emi!S$20</f>
        <v>7459.4464061800063</v>
      </c>
      <c r="T67" s="102">
        <f>TrRoad_emi!T$20</f>
        <v>7479.9313944475107</v>
      </c>
      <c r="U67" s="102">
        <f>TrRoad_emi!U$20</f>
        <v>7599.6693840662574</v>
      </c>
      <c r="V67" s="102">
        <f>TrRoad_emi!V$20</f>
        <v>6343.1671823962779</v>
      </c>
      <c r="W67" s="102">
        <f>TrRoad_emi!W$20</f>
        <v>6703.2087118421032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1757.2769536324431</v>
      </c>
      <c r="C68" s="102">
        <f>TrRoad_emi!C$27</f>
        <v>1697.7568431202503</v>
      </c>
      <c r="D68" s="102">
        <f>TrRoad_emi!D$27</f>
        <v>1688.3684594166823</v>
      </c>
      <c r="E68" s="102">
        <f>TrRoad_emi!E$27</f>
        <v>2174.6554792972133</v>
      </c>
      <c r="F68" s="102">
        <f>TrRoad_emi!F$27</f>
        <v>1642.3361664802121</v>
      </c>
      <c r="G68" s="102">
        <f>TrRoad_emi!G$27</f>
        <v>1855.7057635312271</v>
      </c>
      <c r="H68" s="102">
        <f>TrRoad_emi!H$27</f>
        <v>1779.9158193714434</v>
      </c>
      <c r="I68" s="102">
        <f>TrRoad_emi!I$27</f>
        <v>1805.2507314879015</v>
      </c>
      <c r="J68" s="102">
        <f>TrRoad_emi!J$27</f>
        <v>1661.8410500615942</v>
      </c>
      <c r="K68" s="102">
        <f>TrRoad_emi!K$27</f>
        <v>1976.490055530671</v>
      </c>
      <c r="L68" s="102">
        <f>TrRoad_emi!L$27</f>
        <v>1696.2754766662379</v>
      </c>
      <c r="M68" s="102">
        <f>TrRoad_emi!M$27</f>
        <v>1808.7998867143422</v>
      </c>
      <c r="N68" s="102">
        <f>TrRoad_emi!N$27</f>
        <v>1466.8815259434753</v>
      </c>
      <c r="O68" s="102">
        <f>TrRoad_emi!O$27</f>
        <v>1671.7688968231932</v>
      </c>
      <c r="P68" s="102">
        <f>TrRoad_emi!P$27</f>
        <v>1613.8445372443937</v>
      </c>
      <c r="Q68" s="102">
        <f>TrRoad_emi!Q$27</f>
        <v>1545.5081060428784</v>
      </c>
      <c r="R68" s="102">
        <f>TrRoad_emi!R$27</f>
        <v>1565.3344284420323</v>
      </c>
      <c r="S68" s="102">
        <f>TrRoad_emi!S$27</f>
        <v>1558.8152687014517</v>
      </c>
      <c r="T68" s="102">
        <f>TrRoad_emi!T$27</f>
        <v>1601.1541967163018</v>
      </c>
      <c r="U68" s="102">
        <f>TrRoad_emi!U$27</f>
        <v>1664.8986099597637</v>
      </c>
      <c r="V68" s="102">
        <f>TrRoad_emi!V$27</f>
        <v>1619.608065567521</v>
      </c>
      <c r="W68" s="102">
        <f>TrRoad_emi!W$27</f>
        <v>1638.6845140937592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118.34894608024219</v>
      </c>
      <c r="C69" s="110">
        <f t="shared" si="55"/>
        <v>119.79467075312287</v>
      </c>
      <c r="D69" s="110">
        <f t="shared" si="55"/>
        <v>119.64884662227415</v>
      </c>
      <c r="E69" s="110">
        <f t="shared" si="55"/>
        <v>117.19146346202432</v>
      </c>
      <c r="F69" s="110">
        <f t="shared" si="55"/>
        <v>114.30628309863761</v>
      </c>
      <c r="G69" s="110">
        <f t="shared" si="55"/>
        <v>117.3341410166842</v>
      </c>
      <c r="H69" s="110">
        <f t="shared" si="55"/>
        <v>119.23104034960228</v>
      </c>
      <c r="I69" s="110">
        <f t="shared" si="55"/>
        <v>105.17759150425856</v>
      </c>
      <c r="J69" s="110">
        <f t="shared" si="55"/>
        <v>96.870253269603836</v>
      </c>
      <c r="K69" s="110">
        <f t="shared" si="55"/>
        <v>87.11447234118009</v>
      </c>
      <c r="L69" s="110">
        <f t="shared" si="55"/>
        <v>54.897410585867405</v>
      </c>
      <c r="M69" s="110">
        <f t="shared" si="55"/>
        <v>43.476364150383965</v>
      </c>
      <c r="N69" s="110">
        <f t="shared" si="55"/>
        <v>74.834100242018081</v>
      </c>
      <c r="O69" s="110">
        <f t="shared" si="55"/>
        <v>51.082881712797779</v>
      </c>
      <c r="P69" s="110">
        <f t="shared" si="55"/>
        <v>122.62917031667635</v>
      </c>
      <c r="Q69" s="110">
        <f t="shared" si="55"/>
        <v>122.85908965969148</v>
      </c>
      <c r="R69" s="110">
        <f t="shared" ref="R69:V69" si="56">R70+R71+R72</f>
        <v>123.27341137567468</v>
      </c>
      <c r="S69" s="110">
        <f t="shared" si="56"/>
        <v>119.08647697843118</v>
      </c>
      <c r="T69" s="110">
        <f t="shared" si="56"/>
        <v>112.2049317715958</v>
      </c>
      <c r="U69" s="110">
        <f t="shared" si="56"/>
        <v>30.968212383462205</v>
      </c>
      <c r="V69" s="110">
        <f t="shared" si="56"/>
        <v>19.852331462752925</v>
      </c>
      <c r="W69" s="110">
        <f t="shared" ref="W69" si="57">W70+W71+W72</f>
        <v>17.850729180915533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118.34894608024219</v>
      </c>
      <c r="C71" s="102">
        <f>TrRail_emi!C$11</f>
        <v>119.79467075312287</v>
      </c>
      <c r="D71" s="102">
        <f>TrRail_emi!D$11</f>
        <v>119.64884662227415</v>
      </c>
      <c r="E71" s="102">
        <f>TrRail_emi!E$11</f>
        <v>117.19146346202432</v>
      </c>
      <c r="F71" s="102">
        <f>TrRail_emi!F$11</f>
        <v>114.30628309863761</v>
      </c>
      <c r="G71" s="102">
        <f>TrRail_emi!G$11</f>
        <v>117.3341410166842</v>
      </c>
      <c r="H71" s="102">
        <f>TrRail_emi!H$11</f>
        <v>119.23104034960228</v>
      </c>
      <c r="I71" s="102">
        <f>TrRail_emi!I$11</f>
        <v>105.17759150425856</v>
      </c>
      <c r="J71" s="102">
        <f>TrRail_emi!J$11</f>
        <v>96.870253269603836</v>
      </c>
      <c r="K71" s="102">
        <f>TrRail_emi!K$11</f>
        <v>87.11447234118009</v>
      </c>
      <c r="L71" s="102">
        <f>TrRail_emi!L$11</f>
        <v>54.897410585867405</v>
      </c>
      <c r="M71" s="102">
        <f>TrRail_emi!M$11</f>
        <v>43.476364150383965</v>
      </c>
      <c r="N71" s="102">
        <f>TrRail_emi!N$11</f>
        <v>74.834100242018081</v>
      </c>
      <c r="O71" s="102">
        <f>TrRail_emi!O$11</f>
        <v>51.082881712797779</v>
      </c>
      <c r="P71" s="102">
        <f>TrRail_emi!P$11</f>
        <v>122.62917031667635</v>
      </c>
      <c r="Q71" s="102">
        <f>TrRail_emi!Q$11</f>
        <v>122.85908965969148</v>
      </c>
      <c r="R71" s="102">
        <f>TrRail_emi!R$11</f>
        <v>123.27341137567468</v>
      </c>
      <c r="S71" s="102">
        <f>TrRail_emi!S$11</f>
        <v>119.08647697843118</v>
      </c>
      <c r="T71" s="102">
        <f>TrRail_emi!T$11</f>
        <v>112.2049317715958</v>
      </c>
      <c r="U71" s="102">
        <f>TrRail_emi!U$11</f>
        <v>30.968212383462205</v>
      </c>
      <c r="V71" s="102">
        <f>TrRail_emi!V$11</f>
        <v>19.852331462752925</v>
      </c>
      <c r="W71" s="102">
        <f>TrRail_emi!W$11</f>
        <v>17.850729180915533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3989.3470573810423</v>
      </c>
      <c r="C73" s="110">
        <f t="shared" si="58"/>
        <v>3567.8267877340563</v>
      </c>
      <c r="D73" s="110">
        <f t="shared" si="58"/>
        <v>3457.3262802105091</v>
      </c>
      <c r="E73" s="110">
        <f t="shared" si="58"/>
        <v>3496.1012519715537</v>
      </c>
      <c r="F73" s="110">
        <f t="shared" si="58"/>
        <v>3669.242642575533</v>
      </c>
      <c r="G73" s="110">
        <f t="shared" si="58"/>
        <v>3587.7739158549161</v>
      </c>
      <c r="H73" s="110">
        <f t="shared" si="58"/>
        <v>3929.025004850937</v>
      </c>
      <c r="I73" s="110">
        <f t="shared" si="58"/>
        <v>3988.7342697890035</v>
      </c>
      <c r="J73" s="110">
        <f t="shared" si="58"/>
        <v>4055.9237725100807</v>
      </c>
      <c r="K73" s="110">
        <f t="shared" si="58"/>
        <v>3392.6791935720275</v>
      </c>
      <c r="L73" s="110">
        <f t="shared" si="58"/>
        <v>2729.4081057146145</v>
      </c>
      <c r="M73" s="110">
        <f t="shared" si="58"/>
        <v>2856.7038407151008</v>
      </c>
      <c r="N73" s="110">
        <f t="shared" si="58"/>
        <v>2512.5420714035317</v>
      </c>
      <c r="O73" s="110">
        <f t="shared" si="58"/>
        <v>2529.6947042621255</v>
      </c>
      <c r="P73" s="110">
        <f t="shared" si="58"/>
        <v>2857.1604543690801</v>
      </c>
      <c r="Q73" s="110">
        <f t="shared" si="58"/>
        <v>2960.6282599389651</v>
      </c>
      <c r="R73" s="110">
        <f t="shared" ref="R73:V73" si="59">R74+R75+R76</f>
        <v>3193.2113547524568</v>
      </c>
      <c r="S73" s="110">
        <f t="shared" si="59"/>
        <v>3535.1562972070324</v>
      </c>
      <c r="T73" s="110">
        <f t="shared" si="59"/>
        <v>3917.0926915250611</v>
      </c>
      <c r="U73" s="110">
        <f t="shared" si="59"/>
        <v>4049.6846576519142</v>
      </c>
      <c r="V73" s="110">
        <f t="shared" si="59"/>
        <v>1319.9647647109182</v>
      </c>
      <c r="W73" s="110">
        <f t="shared" ref="W73" si="60">W74+W75+W76</f>
        <v>2522.1452728623972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1528.5889271612609</v>
      </c>
      <c r="C74" s="102">
        <f>TrAvia_emi!C$7</f>
        <v>1291.6031845634107</v>
      </c>
      <c r="D74" s="102">
        <f>TrAvia_emi!D$7</f>
        <v>1179.9011720155856</v>
      </c>
      <c r="E74" s="102">
        <f>TrAvia_emi!E$7</f>
        <v>1134.1459774510431</v>
      </c>
      <c r="F74" s="102">
        <f>TrAvia_emi!F$7</f>
        <v>1220.9905349016578</v>
      </c>
      <c r="G74" s="102">
        <f>TrAvia_emi!G$7</f>
        <v>1224.3628357449597</v>
      </c>
      <c r="H74" s="102">
        <f>TrAvia_emi!H$7</f>
        <v>1099.9030782566085</v>
      </c>
      <c r="I74" s="102">
        <f>TrAvia_emi!I$7</f>
        <v>1090.9326712951611</v>
      </c>
      <c r="J74" s="102">
        <f>TrAvia_emi!J$7</f>
        <v>1045.1010039916218</v>
      </c>
      <c r="K74" s="102">
        <f>TrAvia_emi!K$7</f>
        <v>864.1156232181379</v>
      </c>
      <c r="L74" s="102">
        <f>TrAvia_emi!L$7</f>
        <v>705.54399946183764</v>
      </c>
      <c r="M74" s="102">
        <f>TrAvia_emi!M$7</f>
        <v>660.80617737584032</v>
      </c>
      <c r="N74" s="102">
        <f>TrAvia_emi!N$7</f>
        <v>557.5615255965962</v>
      </c>
      <c r="O74" s="102">
        <f>TrAvia_emi!O$7</f>
        <v>526.91568841625235</v>
      </c>
      <c r="P74" s="102">
        <f>TrAvia_emi!P$7</f>
        <v>538.02089064395057</v>
      </c>
      <c r="Q74" s="102">
        <f>TrAvia_emi!Q$7</f>
        <v>501.5117903966327</v>
      </c>
      <c r="R74" s="102">
        <f>TrAvia_emi!R$7</f>
        <v>566.68175869919514</v>
      </c>
      <c r="S74" s="102">
        <f>TrAvia_emi!S$7</f>
        <v>585.80164699346153</v>
      </c>
      <c r="T74" s="102">
        <f>TrAvia_emi!T$7</f>
        <v>665.51932704254591</v>
      </c>
      <c r="U74" s="102">
        <f>TrAvia_emi!U$7</f>
        <v>673.42113231507483</v>
      </c>
      <c r="V74" s="102">
        <f>TrAvia_emi!V$7</f>
        <v>271.36434064167332</v>
      </c>
      <c r="W74" s="102">
        <f>TrAvia_emi!W$7</f>
        <v>454.03919209263074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2033.3528814192462</v>
      </c>
      <c r="C75" s="102">
        <f>TrAvia_emi!C$8</f>
        <v>1880.8658617345418</v>
      </c>
      <c r="D75" s="102">
        <f>TrAvia_emi!D$8</f>
        <v>1881.8679006218138</v>
      </c>
      <c r="E75" s="102">
        <f>TrAvia_emi!E$8</f>
        <v>1951.7249372794993</v>
      </c>
      <c r="F75" s="102">
        <f>TrAvia_emi!F$8</f>
        <v>1984.2650618673356</v>
      </c>
      <c r="G75" s="102">
        <f>TrAvia_emi!G$8</f>
        <v>1912.1482722885003</v>
      </c>
      <c r="H75" s="102">
        <f>TrAvia_emi!H$8</f>
        <v>2299.4746179806198</v>
      </c>
      <c r="I75" s="102">
        <f>TrAvia_emi!I$8</f>
        <v>2360.8090321691457</v>
      </c>
      <c r="J75" s="102">
        <f>TrAvia_emi!J$8</f>
        <v>2437.376228230507</v>
      </c>
      <c r="K75" s="102">
        <f>TrAvia_emi!K$8</f>
        <v>2025.8456921326108</v>
      </c>
      <c r="L75" s="102">
        <f>TrAvia_emi!L$8</f>
        <v>1611.1898780469332</v>
      </c>
      <c r="M75" s="102">
        <f>TrAvia_emi!M$8</f>
        <v>1749.8239362822492</v>
      </c>
      <c r="N75" s="102">
        <f>TrAvia_emi!N$8</f>
        <v>1551.2309185042652</v>
      </c>
      <c r="O75" s="102">
        <f>TrAvia_emi!O$8</f>
        <v>1588.9966673757058</v>
      </c>
      <c r="P75" s="102">
        <f>TrAvia_emi!P$8</f>
        <v>1857.2222937874335</v>
      </c>
      <c r="Q75" s="102">
        <f>TrAvia_emi!Q$8</f>
        <v>1974.8915181535922</v>
      </c>
      <c r="R75" s="102">
        <f>TrAvia_emi!R$8</f>
        <v>2134.6746986730568</v>
      </c>
      <c r="S75" s="102">
        <f>TrAvia_emi!S$8</f>
        <v>2416.7031381177867</v>
      </c>
      <c r="T75" s="102">
        <f>TrAvia_emi!T$8</f>
        <v>2666.5909083753472</v>
      </c>
      <c r="U75" s="102">
        <f>TrAvia_emi!U$8</f>
        <v>2754.1382961756217</v>
      </c>
      <c r="V75" s="102">
        <f>TrAvia_emi!V$8</f>
        <v>789.33905524211332</v>
      </c>
      <c r="W75" s="102">
        <f>TrAvia_emi!W$8</f>
        <v>1628.9908787686202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427.40524880053505</v>
      </c>
      <c r="C76" s="102">
        <f>TrAvia_emi!C$9</f>
        <v>395.35774143610399</v>
      </c>
      <c r="D76" s="102">
        <f>TrAvia_emi!D$9</f>
        <v>395.55720757310968</v>
      </c>
      <c r="E76" s="102">
        <f>TrAvia_emi!E$9</f>
        <v>410.23033724101094</v>
      </c>
      <c r="F76" s="102">
        <f>TrAvia_emi!F$9</f>
        <v>463.9870458065397</v>
      </c>
      <c r="G76" s="102">
        <f>TrAvia_emi!G$9</f>
        <v>451.26280782145614</v>
      </c>
      <c r="H76" s="102">
        <f>TrAvia_emi!H$9</f>
        <v>529.64730861370833</v>
      </c>
      <c r="I76" s="102">
        <f>TrAvia_emi!I$9</f>
        <v>536.99256632469678</v>
      </c>
      <c r="J76" s="102">
        <f>TrAvia_emi!J$9</f>
        <v>573.44654028795173</v>
      </c>
      <c r="K76" s="102">
        <f>TrAvia_emi!K$9</f>
        <v>502.71787822127862</v>
      </c>
      <c r="L76" s="102">
        <f>TrAvia_emi!L$9</f>
        <v>412.67422820584358</v>
      </c>
      <c r="M76" s="102">
        <f>TrAvia_emi!M$9</f>
        <v>446.0737270570113</v>
      </c>
      <c r="N76" s="102">
        <f>TrAvia_emi!N$9</f>
        <v>403.74962730267043</v>
      </c>
      <c r="O76" s="102">
        <f>TrAvia_emi!O$9</f>
        <v>413.78234847016722</v>
      </c>
      <c r="P76" s="102">
        <f>TrAvia_emi!P$9</f>
        <v>461.91726993769612</v>
      </c>
      <c r="Q76" s="102">
        <f>TrAvia_emi!Q$9</f>
        <v>484.22495138873995</v>
      </c>
      <c r="R76" s="102">
        <f>TrAvia_emi!R$9</f>
        <v>491.85489738020482</v>
      </c>
      <c r="S76" s="102">
        <f>TrAvia_emi!S$9</f>
        <v>532.65151209578426</v>
      </c>
      <c r="T76" s="102">
        <f>TrAvia_emi!T$9</f>
        <v>584.98245610716845</v>
      </c>
      <c r="U76" s="102">
        <f>TrAvia_emi!U$9</f>
        <v>622.12522916121782</v>
      </c>
      <c r="V76" s="102">
        <f>TrAvia_emi!V$9</f>
        <v>259.26136882713149</v>
      </c>
      <c r="W76" s="102">
        <f>TrAvia_emi!W$9</f>
        <v>439.11520200114614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7404.8124854077896</v>
      </c>
      <c r="C77" s="28">
        <f t="shared" si="61"/>
        <v>8022.4083404280391</v>
      </c>
      <c r="D77" s="28">
        <f t="shared" si="61"/>
        <v>7927.9554894441262</v>
      </c>
      <c r="E77" s="28">
        <f t="shared" si="61"/>
        <v>7920.8998727122325</v>
      </c>
      <c r="F77" s="28">
        <f t="shared" si="61"/>
        <v>8484.6014897694658</v>
      </c>
      <c r="G77" s="28">
        <f t="shared" si="61"/>
        <v>8117.1856476905541</v>
      </c>
      <c r="H77" s="28">
        <f t="shared" si="61"/>
        <v>8565.4189864694054</v>
      </c>
      <c r="I77" s="28">
        <f t="shared" si="61"/>
        <v>8604.3266050483107</v>
      </c>
      <c r="J77" s="28">
        <f t="shared" si="61"/>
        <v>8345.2965449610983</v>
      </c>
      <c r="K77" s="28">
        <f t="shared" si="61"/>
        <v>10287.983251005513</v>
      </c>
      <c r="L77" s="28">
        <f t="shared" si="61"/>
        <v>8929.4021207204041</v>
      </c>
      <c r="M77" s="28">
        <f t="shared" si="61"/>
        <v>7023.5074132438476</v>
      </c>
      <c r="N77" s="28">
        <f t="shared" si="61"/>
        <v>5647.7060972711697</v>
      </c>
      <c r="O77" s="28">
        <f t="shared" si="61"/>
        <v>6016.1372252826995</v>
      </c>
      <c r="P77" s="28">
        <f t="shared" si="61"/>
        <v>6206.6503747122933</v>
      </c>
      <c r="Q77" s="28">
        <f t="shared" si="61"/>
        <v>6366.2558236155201</v>
      </c>
      <c r="R77" s="28">
        <f t="shared" ref="R77:V77" si="62">R78+R81+R82+R86+R92</f>
        <v>6657.9111828158366</v>
      </c>
      <c r="S77" s="28">
        <f t="shared" si="62"/>
        <v>6389.4374379505989</v>
      </c>
      <c r="T77" s="28">
        <f t="shared" si="62"/>
        <v>6611.6177046547655</v>
      </c>
      <c r="U77" s="28">
        <f t="shared" si="62"/>
        <v>6856.3588199039305</v>
      </c>
      <c r="V77" s="28">
        <f t="shared" si="62"/>
        <v>5981.0032069669105</v>
      </c>
      <c r="W77" s="28">
        <f t="shared" ref="W77" si="63">W78+W81+W82+W86+W92</f>
        <v>6523.4949792699699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5718.533618829073</v>
      </c>
      <c r="C78" s="137">
        <f t="shared" si="64"/>
        <v>5757.3831173552189</v>
      </c>
      <c r="D78" s="137">
        <f t="shared" si="64"/>
        <v>5876.8429571169108</v>
      </c>
      <c r="E78" s="137">
        <f t="shared" si="64"/>
        <v>5904.3633483458098</v>
      </c>
      <c r="F78" s="137">
        <f t="shared" si="64"/>
        <v>6257.5426769236356</v>
      </c>
      <c r="G78" s="137">
        <f t="shared" si="64"/>
        <v>5983.7364723221554</v>
      </c>
      <c r="H78" s="137">
        <f t="shared" si="64"/>
        <v>6221.180914949945</v>
      </c>
      <c r="I78" s="137">
        <f t="shared" si="64"/>
        <v>6417.1514259815713</v>
      </c>
      <c r="J78" s="137">
        <f t="shared" si="64"/>
        <v>6363.7033136607824</v>
      </c>
      <c r="K78" s="137">
        <f t="shared" si="64"/>
        <v>7417.0186780387194</v>
      </c>
      <c r="L78" s="137">
        <f t="shared" si="64"/>
        <v>6597.9414689408859</v>
      </c>
      <c r="M78" s="137">
        <f t="shared" si="64"/>
        <v>5347.8720861093316</v>
      </c>
      <c r="N78" s="137">
        <f t="shared" si="64"/>
        <v>3937.3069110367187</v>
      </c>
      <c r="O78" s="137">
        <f t="shared" si="64"/>
        <v>4613.3449243776231</v>
      </c>
      <c r="P78" s="137">
        <f t="shared" si="64"/>
        <v>4752.5175555180504</v>
      </c>
      <c r="Q78" s="137">
        <f t="shared" si="64"/>
        <v>4639.3937550941755</v>
      </c>
      <c r="R78" s="137">
        <f t="shared" ref="R78:V78" si="65">R79+R80</f>
        <v>4865.5873543439684</v>
      </c>
      <c r="S78" s="137">
        <f t="shared" si="65"/>
        <v>4551.3234379360611</v>
      </c>
      <c r="T78" s="137">
        <f t="shared" si="65"/>
        <v>4620.1683939114228</v>
      </c>
      <c r="U78" s="137">
        <f t="shared" si="65"/>
        <v>4789.5863423793062</v>
      </c>
      <c r="V78" s="137">
        <f t="shared" si="65"/>
        <v>4319.1707116205816</v>
      </c>
      <c r="W78" s="137">
        <f t="shared" ref="W78" si="66">W79+W80</f>
        <v>4667.8081064332819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2339.8202078946092</v>
      </c>
      <c r="C79" s="102">
        <f>TrRoad_emi!C$34</f>
        <v>2320.711355876751</v>
      </c>
      <c r="D79" s="102">
        <f>TrRoad_emi!D$34</f>
        <v>2369.8686743484573</v>
      </c>
      <c r="E79" s="102">
        <f>TrRoad_emi!E$34</f>
        <v>2431.7016950347843</v>
      </c>
      <c r="F79" s="102">
        <f>TrRoad_emi!F$34</f>
        <v>2386.1662977500841</v>
      </c>
      <c r="G79" s="102">
        <f>TrRoad_emi!G$34</f>
        <v>2388.2637916359827</v>
      </c>
      <c r="H79" s="102">
        <f>TrRoad_emi!H$34</f>
        <v>2384.200547152765</v>
      </c>
      <c r="I79" s="102">
        <f>TrRoad_emi!I$34</f>
        <v>2511.5618852421126</v>
      </c>
      <c r="J79" s="102">
        <f>TrRoad_emi!J$34</f>
        <v>2464.2522620546133</v>
      </c>
      <c r="K79" s="102">
        <f>TrRoad_emi!K$34</f>
        <v>2324.2057030953601</v>
      </c>
      <c r="L79" s="102">
        <f>TrRoad_emi!L$34</f>
        <v>2316.0678707170327</v>
      </c>
      <c r="M79" s="102">
        <f>TrRoad_emi!M$34</f>
        <v>1989.8095493395067</v>
      </c>
      <c r="N79" s="102">
        <f>TrRoad_emi!N$34</f>
        <v>1617.6876943938703</v>
      </c>
      <c r="O79" s="102">
        <f>TrRoad_emi!O$34</f>
        <v>1878.873002713673</v>
      </c>
      <c r="P79" s="102">
        <f>TrRoad_emi!P$34</f>
        <v>1874.5942846033308</v>
      </c>
      <c r="Q79" s="102">
        <f>TrRoad_emi!Q$34</f>
        <v>2232.81840116284</v>
      </c>
      <c r="R79" s="102">
        <f>TrRoad_emi!R$34</f>
        <v>2352.9809801296069</v>
      </c>
      <c r="S79" s="102">
        <f>TrRoad_emi!S$34</f>
        <v>2064.6840857357502</v>
      </c>
      <c r="T79" s="102">
        <f>TrRoad_emi!T$34</f>
        <v>2054.9970468891897</v>
      </c>
      <c r="U79" s="102">
        <f>TrRoad_emi!U$34</f>
        <v>2054.1614046576574</v>
      </c>
      <c r="V79" s="102">
        <f>TrRoad_emi!V$34</f>
        <v>1761.3525998522064</v>
      </c>
      <c r="W79" s="102">
        <f>TrRoad_emi!W$34</f>
        <v>1915.5086051466533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3378.7134109344634</v>
      </c>
      <c r="C80" s="102">
        <f>TrRoad_emi!C$40</f>
        <v>3436.6717614784679</v>
      </c>
      <c r="D80" s="102">
        <f>TrRoad_emi!D$40</f>
        <v>3506.9742827684531</v>
      </c>
      <c r="E80" s="102">
        <f>TrRoad_emi!E$40</f>
        <v>3472.6616533110255</v>
      </c>
      <c r="F80" s="102">
        <f>TrRoad_emi!F$40</f>
        <v>3871.3763791735514</v>
      </c>
      <c r="G80" s="102">
        <f>TrRoad_emi!G$40</f>
        <v>3595.4726806861727</v>
      </c>
      <c r="H80" s="102">
        <f>TrRoad_emi!H$40</f>
        <v>3836.98036779718</v>
      </c>
      <c r="I80" s="102">
        <f>TrRoad_emi!I$40</f>
        <v>3905.5895407394587</v>
      </c>
      <c r="J80" s="102">
        <f>TrRoad_emi!J$40</f>
        <v>3899.4510516061687</v>
      </c>
      <c r="K80" s="102">
        <f>TrRoad_emi!K$40</f>
        <v>5092.8129749433592</v>
      </c>
      <c r="L80" s="102">
        <f>TrRoad_emi!L$40</f>
        <v>4281.8735982238532</v>
      </c>
      <c r="M80" s="102">
        <f>TrRoad_emi!M$40</f>
        <v>3358.0625367698244</v>
      </c>
      <c r="N80" s="102">
        <f>TrRoad_emi!N$40</f>
        <v>2319.6192166428482</v>
      </c>
      <c r="O80" s="102">
        <f>TrRoad_emi!O$40</f>
        <v>2734.4719216639496</v>
      </c>
      <c r="P80" s="102">
        <f>TrRoad_emi!P$40</f>
        <v>2877.9232709147191</v>
      </c>
      <c r="Q80" s="102">
        <f>TrRoad_emi!Q$40</f>
        <v>2406.5753539313359</v>
      </c>
      <c r="R80" s="102">
        <f>TrRoad_emi!R$40</f>
        <v>2512.6063742143615</v>
      </c>
      <c r="S80" s="102">
        <f>TrRoad_emi!S$40</f>
        <v>2486.6393522003109</v>
      </c>
      <c r="T80" s="102">
        <f>TrRoad_emi!T$40</f>
        <v>2565.1713470222335</v>
      </c>
      <c r="U80" s="102">
        <f>TrRoad_emi!U$40</f>
        <v>2735.4249377216488</v>
      </c>
      <c r="V80" s="102">
        <f>TrRoad_emi!V$40</f>
        <v>2557.8181117683753</v>
      </c>
      <c r="W80" s="102">
        <f>TrRoad_emi!W$40</f>
        <v>2752.299501286629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9.1031131997578019</v>
      </c>
      <c r="C81" s="110">
        <f>TrRail_emi!C$15</f>
        <v>7.6573885268771296</v>
      </c>
      <c r="D81" s="110">
        <f>TrRail_emi!D$15</f>
        <v>7.8032126577258554</v>
      </c>
      <c r="E81" s="110">
        <f>TrRail_emi!E$15</f>
        <v>10.260595817975695</v>
      </c>
      <c r="F81" s="110">
        <f>TrRail_emi!F$15</f>
        <v>13.145776181362388</v>
      </c>
      <c r="G81" s="110">
        <f>TrRail_emi!G$15</f>
        <v>10.117918263315806</v>
      </c>
      <c r="H81" s="110">
        <f>TrRail_emi!H$15</f>
        <v>11.40720037039771</v>
      </c>
      <c r="I81" s="110">
        <f>TrRail_emi!I$15</f>
        <v>12.715389935741431</v>
      </c>
      <c r="J81" s="110">
        <f>TrRail_emi!J$15</f>
        <v>17.836546730396158</v>
      </c>
      <c r="K81" s="110">
        <f>TrRail_emi!K$15</f>
        <v>7.585327658819903</v>
      </c>
      <c r="L81" s="110">
        <f>TrRail_emi!L$15</f>
        <v>8.2358783341326038</v>
      </c>
      <c r="M81" s="110">
        <f>TrRail_emi!M$15</f>
        <v>3.873535849616033</v>
      </c>
      <c r="N81" s="110">
        <f>TrRail_emi!N$15</f>
        <v>4.082310837981928</v>
      </c>
      <c r="O81" s="110">
        <f>TrRail_emi!O$15</f>
        <v>2.5804272072022125</v>
      </c>
      <c r="P81" s="110">
        <f>TrRail_emi!P$15</f>
        <v>3.6371407633236603</v>
      </c>
      <c r="Q81" s="110">
        <f>TrRail_emi!Q$15</f>
        <v>3.4072214203085314</v>
      </c>
      <c r="R81" s="110">
        <f>TrRail_emi!R$15</f>
        <v>2.9928997043253096</v>
      </c>
      <c r="S81" s="110">
        <f>TrRail_emi!S$15</f>
        <v>4.0990228615688125</v>
      </c>
      <c r="T81" s="110">
        <f>TrRail_emi!T$15</f>
        <v>4.5092559484041939</v>
      </c>
      <c r="U81" s="110">
        <f>TrRail_emi!U$15</f>
        <v>2.9289948565378077</v>
      </c>
      <c r="V81" s="110">
        <f>TrRail_emi!V$15</f>
        <v>3.1471822172470727</v>
      </c>
      <c r="W81" s="110">
        <f>TrRail_emi!W$15</f>
        <v>2.9610857390844671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101.21638757895853</v>
      </c>
      <c r="C82" s="110">
        <f t="shared" si="67"/>
        <v>110.56294730594345</v>
      </c>
      <c r="D82" s="110">
        <f t="shared" si="67"/>
        <v>106.90051978949015</v>
      </c>
      <c r="E82" s="110">
        <f t="shared" si="67"/>
        <v>90.349809268447004</v>
      </c>
      <c r="F82" s="110">
        <f t="shared" si="67"/>
        <v>59.922699904467322</v>
      </c>
      <c r="G82" s="110">
        <f t="shared" si="67"/>
        <v>58.835961665083488</v>
      </c>
      <c r="H82" s="110">
        <f t="shared" si="67"/>
        <v>69.556798869063428</v>
      </c>
      <c r="I82" s="110">
        <f t="shared" si="67"/>
        <v>60.407786490996699</v>
      </c>
      <c r="J82" s="110">
        <f t="shared" si="67"/>
        <v>66.117722529919959</v>
      </c>
      <c r="K82" s="110">
        <f t="shared" si="67"/>
        <v>47.974494227973615</v>
      </c>
      <c r="L82" s="110">
        <f t="shared" si="67"/>
        <v>37.418095245385899</v>
      </c>
      <c r="M82" s="110">
        <f t="shared" si="67"/>
        <v>36.963958524899773</v>
      </c>
      <c r="N82" s="110">
        <f t="shared" si="67"/>
        <v>31.875573356468408</v>
      </c>
      <c r="O82" s="110">
        <f t="shared" si="67"/>
        <v>30.209613817874938</v>
      </c>
      <c r="P82" s="110">
        <f t="shared" si="67"/>
        <v>24.280347350919936</v>
      </c>
      <c r="Q82" s="110">
        <f t="shared" si="67"/>
        <v>22.850369021035096</v>
      </c>
      <c r="R82" s="110">
        <f t="shared" si="67"/>
        <v>22.133046967543141</v>
      </c>
      <c r="S82" s="110">
        <f t="shared" si="67"/>
        <v>21.988738312967648</v>
      </c>
      <c r="T82" s="110">
        <f t="shared" si="67"/>
        <v>30.779696874937823</v>
      </c>
      <c r="U82" s="110">
        <f t="shared" si="67"/>
        <v>29.932378908086125</v>
      </c>
      <c r="V82" s="110">
        <f t="shared" si="67"/>
        <v>22.421283889081849</v>
      </c>
      <c r="W82" s="110">
        <f t="shared" ref="W82" si="68">W83+W84+W85</f>
        <v>30.013648457603498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47.538047798739655</v>
      </c>
      <c r="C83" s="102">
        <f>TrAvia_emi!C$11</f>
        <v>49.914320476589076</v>
      </c>
      <c r="D83" s="102">
        <f>TrAvia_emi!D$11</f>
        <v>47.453397984414316</v>
      </c>
      <c r="E83" s="102">
        <f>TrAvia_emi!E$11</f>
        <v>39.333893788957212</v>
      </c>
      <c r="F83" s="102">
        <f>TrAvia_emi!F$11</f>
        <v>22.275447578342337</v>
      </c>
      <c r="G83" s="102">
        <f>TrAvia_emi!G$11</f>
        <v>21.959011775040199</v>
      </c>
      <c r="H83" s="102">
        <f>TrAvia_emi!H$11</f>
        <v>19.601405463391593</v>
      </c>
      <c r="I83" s="102">
        <f>TrAvia_emi!I$11</f>
        <v>15.716264984838745</v>
      </c>
      <c r="J83" s="102">
        <f>TrAvia_emi!J$11</f>
        <v>17.128141048378417</v>
      </c>
      <c r="K83" s="102">
        <f>TrAvia_emi!K$11</f>
        <v>10.427035821862153</v>
      </c>
      <c r="L83" s="102">
        <f>TrAvia_emi!L$11</f>
        <v>8.393430258162331</v>
      </c>
      <c r="M83" s="102">
        <f>TrAvia_emi!M$11</f>
        <v>6.8376218641598259</v>
      </c>
      <c r="N83" s="102">
        <f>TrAvia_emi!N$11</f>
        <v>5.0763904034036402</v>
      </c>
      <c r="O83" s="102">
        <f>TrAvia_emi!O$11</f>
        <v>4.8333146237478841</v>
      </c>
      <c r="P83" s="102">
        <f>TrAvia_emi!P$11</f>
        <v>3.003126116049569</v>
      </c>
      <c r="Q83" s="102">
        <f>TrAvia_emi!Q$11</f>
        <v>2.4235536033674254</v>
      </c>
      <c r="R83" s="102">
        <f>TrAvia_emi!R$11</f>
        <v>2.1675580608050109</v>
      </c>
      <c r="S83" s="102">
        <f>TrAvia_emi!S$11</f>
        <v>1.5152338065386293</v>
      </c>
      <c r="T83" s="102">
        <f>TrAvia_emi!T$11</f>
        <v>3.0720271174540579</v>
      </c>
      <c r="U83" s="102">
        <f>TrAvia_emi!U$11</f>
        <v>2.6745356049252007</v>
      </c>
      <c r="V83" s="102">
        <f>TrAvia_emi!V$11</f>
        <v>1.1309309583267053</v>
      </c>
      <c r="W83" s="102">
        <f>TrAvia_emi!W$11</f>
        <v>1.5555848273693644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48.572835884360885</v>
      </c>
      <c r="C84" s="102">
        <f>TrAvia_emi!C$12</f>
        <v>55.727661002900767</v>
      </c>
      <c r="D84" s="102">
        <f>TrAvia_emi!D$12</f>
        <v>54.45942320639751</v>
      </c>
      <c r="E84" s="102">
        <f>TrAvia_emi!E$12</f>
        <v>45.526300271318611</v>
      </c>
      <c r="F84" s="102">
        <f>TrAvia_emi!F$12</f>
        <v>33.674223148384094</v>
      </c>
      <c r="G84" s="102">
        <f>TrAvia_emi!G$12</f>
        <v>32.943635969786975</v>
      </c>
      <c r="H84" s="102">
        <f>TrAvia_emi!H$12</f>
        <v>45.776239019772127</v>
      </c>
      <c r="I84" s="102">
        <f>TrAvia_emi!I$12</f>
        <v>41.170301704304975</v>
      </c>
      <c r="J84" s="102">
        <f>TrAvia_emi!J$12</f>
        <v>45.194704089528152</v>
      </c>
      <c r="K84" s="102">
        <f>TrAvia_emi!K$12</f>
        <v>34.546409484299019</v>
      </c>
      <c r="L84" s="102">
        <f>TrAvia_emi!L$12</f>
        <v>27.457556716105639</v>
      </c>
      <c r="M84" s="102">
        <f>TrAvia_emi!M$12</f>
        <v>28.257024043562449</v>
      </c>
      <c r="N84" s="102">
        <f>TrAvia_emi!N$12</f>
        <v>24.975265705207875</v>
      </c>
      <c r="O84" s="102">
        <f>TrAvia_emi!O$12</f>
        <v>23.967114349856683</v>
      </c>
      <c r="P84" s="102">
        <f>TrAvia_emi!P$12</f>
        <v>20.141865460678165</v>
      </c>
      <c r="Q84" s="102">
        <f>TrAvia_emi!Q$12</f>
        <v>18.842182204613891</v>
      </c>
      <c r="R84" s="102">
        <f>TrAvia_emi!R$12</f>
        <v>18.506871401700995</v>
      </c>
      <c r="S84" s="102">
        <f>TrAvia_emi!S$12</f>
        <v>18.744940019752089</v>
      </c>
      <c r="T84" s="102">
        <f>TrAvia_emi!T$12</f>
        <v>24.850937859693001</v>
      </c>
      <c r="U84" s="102">
        <f>TrAvia_emi!U$12</f>
        <v>23.862957969682952</v>
      </c>
      <c r="V84" s="102">
        <f>TrAvia_emi!V$12</f>
        <v>18.055295187117753</v>
      </c>
      <c r="W84" s="102">
        <f>TrAvia_emi!W$12</f>
        <v>22.116707996348687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5.1055038958579937</v>
      </c>
      <c r="C85" s="102">
        <f>TrAvia_emi!C$13</f>
        <v>4.9209658264536067</v>
      </c>
      <c r="D85" s="102">
        <f>TrAvia_emi!D$13</f>
        <v>4.9876985986783273</v>
      </c>
      <c r="E85" s="102">
        <f>TrAvia_emi!E$13</f>
        <v>5.4896152081711724</v>
      </c>
      <c r="F85" s="102">
        <f>TrAvia_emi!F$13</f>
        <v>3.9730291777408895</v>
      </c>
      <c r="G85" s="102">
        <f>TrAvia_emi!G$13</f>
        <v>3.9333139202563103</v>
      </c>
      <c r="H85" s="102">
        <f>TrAvia_emi!H$13</f>
        <v>4.1791543858997038</v>
      </c>
      <c r="I85" s="102">
        <f>TrAvia_emi!I$13</f>
        <v>3.5212198018529812</v>
      </c>
      <c r="J85" s="102">
        <f>TrAvia_emi!J$13</f>
        <v>3.794877392013392</v>
      </c>
      <c r="K85" s="102">
        <f>TrAvia_emi!K$13</f>
        <v>3.0010489218124401</v>
      </c>
      <c r="L85" s="102">
        <f>TrAvia_emi!L$13</f>
        <v>1.5671082711179314</v>
      </c>
      <c r="M85" s="102">
        <f>TrAvia_emi!M$13</f>
        <v>1.8693126171775012</v>
      </c>
      <c r="N85" s="102">
        <f>TrAvia_emi!N$13</f>
        <v>1.8239172478568937</v>
      </c>
      <c r="O85" s="102">
        <f>TrAvia_emi!O$13</f>
        <v>1.4091848442703714</v>
      </c>
      <c r="P85" s="102">
        <f>TrAvia_emi!P$13</f>
        <v>1.135355774192204</v>
      </c>
      <c r="Q85" s="102">
        <f>TrAvia_emi!Q$13</f>
        <v>1.5846332130537821</v>
      </c>
      <c r="R85" s="102">
        <f>TrAvia_emi!R$13</f>
        <v>1.4586175050371344</v>
      </c>
      <c r="S85" s="102">
        <f>TrAvia_emi!S$13</f>
        <v>1.7285644866769301</v>
      </c>
      <c r="T85" s="102">
        <f>TrAvia_emi!T$13</f>
        <v>2.8567318977907625</v>
      </c>
      <c r="U85" s="102">
        <f>TrAvia_emi!U$13</f>
        <v>3.3948853334779741</v>
      </c>
      <c r="V85" s="102">
        <f>TrAvia_emi!V$13</f>
        <v>3.2350577436373915</v>
      </c>
      <c r="W85" s="102">
        <f>TrAvia_emi!W$13</f>
        <v>6.3413556338854455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1575.9593658000001</v>
      </c>
      <c r="C86" s="110">
        <f t="shared" si="69"/>
        <v>2146.80488724</v>
      </c>
      <c r="D86" s="110">
        <f t="shared" si="69"/>
        <v>1936.4087998800001</v>
      </c>
      <c r="E86" s="110">
        <f t="shared" si="69"/>
        <v>1915.9261192800002</v>
      </c>
      <c r="F86" s="110">
        <f t="shared" si="69"/>
        <v>2153.99033676</v>
      </c>
      <c r="G86" s="110">
        <f t="shared" si="69"/>
        <v>2064.4952954399996</v>
      </c>
      <c r="H86" s="110">
        <f t="shared" si="69"/>
        <v>2263.2740722799999</v>
      </c>
      <c r="I86" s="110">
        <f t="shared" si="69"/>
        <v>2114.0520026400004</v>
      </c>
      <c r="J86" s="110">
        <f t="shared" si="69"/>
        <v>1897.6389620400003</v>
      </c>
      <c r="K86" s="110">
        <f t="shared" si="69"/>
        <v>2815.4047510800006</v>
      </c>
      <c r="L86" s="110">
        <f t="shared" si="69"/>
        <v>2285.8066782000001</v>
      </c>
      <c r="M86" s="110">
        <f t="shared" si="69"/>
        <v>1634.7978327599999</v>
      </c>
      <c r="N86" s="110">
        <f t="shared" si="69"/>
        <v>1674.4413020400002</v>
      </c>
      <c r="O86" s="110">
        <f t="shared" si="69"/>
        <v>1370.0022598799999</v>
      </c>
      <c r="P86" s="110">
        <f t="shared" si="69"/>
        <v>1426.2153310799999</v>
      </c>
      <c r="Q86" s="110">
        <f t="shared" si="69"/>
        <v>1700.6044780800003</v>
      </c>
      <c r="R86" s="110">
        <f t="shared" ref="R86:V86" si="70">R87+R88</f>
        <v>1767.1978817999998</v>
      </c>
      <c r="S86" s="110">
        <f t="shared" si="70"/>
        <v>1812.0262388400004</v>
      </c>
      <c r="T86" s="110">
        <f t="shared" si="70"/>
        <v>1956.1603579199998</v>
      </c>
      <c r="U86" s="110">
        <f t="shared" si="70"/>
        <v>2033.9111037600005</v>
      </c>
      <c r="V86" s="110">
        <f t="shared" si="70"/>
        <v>1636.2640292399997</v>
      </c>
      <c r="W86" s="110">
        <f t="shared" ref="W86" si="71">W87+W88</f>
        <v>1822.7121386400001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1575.9593658000001</v>
      </c>
      <c r="C87" s="102">
        <f>TrNavi_emi!C$4</f>
        <v>2146.80488724</v>
      </c>
      <c r="D87" s="102">
        <f>TrNavi_emi!D$4</f>
        <v>1936.4087998800001</v>
      </c>
      <c r="E87" s="102">
        <f>TrNavi_emi!E$4</f>
        <v>1915.9261192800002</v>
      </c>
      <c r="F87" s="102">
        <f>TrNavi_emi!F$4</f>
        <v>2153.99033676</v>
      </c>
      <c r="G87" s="102">
        <f>TrNavi_emi!G$4</f>
        <v>2064.4952954399996</v>
      </c>
      <c r="H87" s="102">
        <f>TrNavi_emi!H$4</f>
        <v>2263.2740722799999</v>
      </c>
      <c r="I87" s="102">
        <f>TrNavi_emi!I$4</f>
        <v>2114.0520026400004</v>
      </c>
      <c r="J87" s="102">
        <f>TrNavi_emi!J$4</f>
        <v>1897.6389620400003</v>
      </c>
      <c r="K87" s="102">
        <f>TrNavi_emi!K$4</f>
        <v>2815.4047510800006</v>
      </c>
      <c r="L87" s="102">
        <f>TrNavi_emi!L$4</f>
        <v>2285.8066782000001</v>
      </c>
      <c r="M87" s="102">
        <f>TrNavi_emi!M$4</f>
        <v>1634.7978327599999</v>
      </c>
      <c r="N87" s="102">
        <f>TrNavi_emi!N$4</f>
        <v>1674.4413020400002</v>
      </c>
      <c r="O87" s="102">
        <f>TrNavi_emi!O$4</f>
        <v>1370.0022598799999</v>
      </c>
      <c r="P87" s="102">
        <f>TrNavi_emi!P$4</f>
        <v>1426.2153310799999</v>
      </c>
      <c r="Q87" s="102">
        <f>TrNavi_emi!Q$4</f>
        <v>1700.6044780800003</v>
      </c>
      <c r="R87" s="102">
        <f>TrNavi_emi!R$4</f>
        <v>1767.1978817999998</v>
      </c>
      <c r="S87" s="102">
        <f>TrNavi_emi!S$4</f>
        <v>1812.0262388400004</v>
      </c>
      <c r="T87" s="102">
        <f>TrNavi_emi!T$4</f>
        <v>1956.1603579199998</v>
      </c>
      <c r="U87" s="102">
        <f>TrNavi_emi!U$4</f>
        <v>2033.9111037600005</v>
      </c>
      <c r="V87" s="102">
        <f>TrNavi_emi!V$4</f>
        <v>1636.2640292399997</v>
      </c>
      <c r="W87" s="102">
        <f>TrNavi_emi!W$4</f>
        <v>1822.7121386400001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0</v>
      </c>
      <c r="C88" s="169">
        <f>TrNavi_emi!C$5</f>
        <v>0</v>
      </c>
      <c r="D88" s="169">
        <f>TrNavi_emi!D$5</f>
        <v>0</v>
      </c>
      <c r="E88" s="169">
        <f>TrNavi_emi!E$5</f>
        <v>0</v>
      </c>
      <c r="F88" s="169">
        <f>TrNavi_emi!F$5</f>
        <v>0</v>
      </c>
      <c r="G88" s="169">
        <f>TrNavi_emi!G$5</f>
        <v>0</v>
      </c>
      <c r="H88" s="169">
        <f>TrNavi_emi!H$5</f>
        <v>0</v>
      </c>
      <c r="I88" s="169">
        <f>TrNavi_emi!I$5</f>
        <v>0</v>
      </c>
      <c r="J88" s="169">
        <f>TrNavi_emi!J$5</f>
        <v>0</v>
      </c>
      <c r="K88" s="169">
        <f>TrNavi_emi!K$5</f>
        <v>0</v>
      </c>
      <c r="L88" s="169">
        <f>TrNavi_emi!L$5</f>
        <v>0</v>
      </c>
      <c r="M88" s="169">
        <f>TrNavi_emi!M$5</f>
        <v>0</v>
      </c>
      <c r="N88" s="169">
        <f>TrNavi_emi!N$5</f>
        <v>0</v>
      </c>
      <c r="O88" s="169">
        <f>TrNavi_emi!O$5</f>
        <v>0</v>
      </c>
      <c r="P88" s="169">
        <f>TrNavi_emi!P$5</f>
        <v>0</v>
      </c>
      <c r="Q88" s="169">
        <f>TrNavi_emi!Q$5</f>
        <v>0</v>
      </c>
      <c r="R88" s="169">
        <f>TrNavi_emi!R$5</f>
        <v>0</v>
      </c>
      <c r="S88" s="169">
        <f>TrNavi_emi!S$5</f>
        <v>0</v>
      </c>
      <c r="T88" s="169">
        <f>TrNavi_emi!T$5</f>
        <v>0</v>
      </c>
      <c r="U88" s="169">
        <f>TrNavi_emi!U$5</f>
        <v>0</v>
      </c>
      <c r="V88" s="169">
        <f>TrNavi_emi!V$5</f>
        <v>0</v>
      </c>
      <c r="W88" s="169">
        <f>TrNavi_emi!W$5</f>
        <v>0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11563.627983120003</v>
      </c>
      <c r="C89" s="28">
        <f t="shared" si="72"/>
        <v>11236.309081919997</v>
      </c>
      <c r="D89" s="28">
        <f t="shared" si="72"/>
        <v>10098.808137</v>
      </c>
      <c r="E89" s="28">
        <f t="shared" si="72"/>
        <v>10331.326410480004</v>
      </c>
      <c r="F89" s="28">
        <f t="shared" si="72"/>
        <v>10437.843897360002</v>
      </c>
      <c r="G89" s="28">
        <f t="shared" si="72"/>
        <v>9240.0447319200011</v>
      </c>
      <c r="H89" s="28">
        <f t="shared" si="72"/>
        <v>9975.3507014400002</v>
      </c>
      <c r="I89" s="28">
        <f t="shared" si="72"/>
        <v>10391.931272519998</v>
      </c>
      <c r="J89" s="28">
        <f t="shared" si="72"/>
        <v>9953.2681527599998</v>
      </c>
      <c r="K89" s="28">
        <f t="shared" si="72"/>
        <v>8371.9324490400031</v>
      </c>
      <c r="L89" s="28">
        <f t="shared" si="72"/>
        <v>8729.4803407200015</v>
      </c>
      <c r="M89" s="28">
        <f t="shared" si="72"/>
        <v>8872.7915408400004</v>
      </c>
      <c r="N89" s="28">
        <f t="shared" si="72"/>
        <v>7248.1308591600018</v>
      </c>
      <c r="O89" s="28">
        <f t="shared" si="72"/>
        <v>6831.202137119999</v>
      </c>
      <c r="P89" s="28">
        <f t="shared" si="72"/>
        <v>6003.3824449200019</v>
      </c>
      <c r="Q89" s="28">
        <f t="shared" si="72"/>
        <v>5733.5434459200005</v>
      </c>
      <c r="R89" s="28">
        <f t="shared" si="72"/>
        <v>5526.3885282000019</v>
      </c>
      <c r="S89" s="28">
        <f t="shared" si="72"/>
        <v>6867.1262318400004</v>
      </c>
      <c r="T89" s="28">
        <f t="shared" si="72"/>
        <v>7034.3287822799984</v>
      </c>
      <c r="U89" s="28">
        <f t="shared" si="72"/>
        <v>8105.5124323199998</v>
      </c>
      <c r="V89" s="28">
        <f t="shared" si="72"/>
        <v>5222.4896235600017</v>
      </c>
      <c r="W89" s="28">
        <f t="shared" si="72"/>
        <v>5812.9823473200022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6160.6911994364727</v>
      </c>
      <c r="C90" s="102">
        <f>MBunk_emi!C$4</f>
        <v>5146.8095222740076</v>
      </c>
      <c r="D90" s="102">
        <f>MBunk_emi!D$4</f>
        <v>4392.3089982610854</v>
      </c>
      <c r="E90" s="102">
        <f>MBunk_emi!E$4</f>
        <v>4691.5028264256598</v>
      </c>
      <c r="F90" s="102">
        <f>MBunk_emi!F$4</f>
        <v>4551.3041419666351</v>
      </c>
      <c r="G90" s="102">
        <f>MBunk_emi!G$4</f>
        <v>3954.6538563626623</v>
      </c>
      <c r="H90" s="102">
        <f>MBunk_emi!H$4</f>
        <v>4068.3006416724861</v>
      </c>
      <c r="I90" s="102">
        <f>MBunk_emi!I$4</f>
        <v>4503.8549302380225</v>
      </c>
      <c r="J90" s="102">
        <f>MBunk_emi!J$4</f>
        <v>4555.120643673019</v>
      </c>
      <c r="K90" s="102">
        <f>MBunk_emi!K$4</f>
        <v>3896.7894572991318</v>
      </c>
      <c r="L90" s="102">
        <f>MBunk_emi!L$4</f>
        <v>3879.2813355301473</v>
      </c>
      <c r="M90" s="102">
        <f>MBunk_emi!M$4</f>
        <v>3743.6138264683627</v>
      </c>
      <c r="N90" s="102">
        <f>MBunk_emi!N$4</f>
        <v>2937.2941300343937</v>
      </c>
      <c r="O90" s="102">
        <f>MBunk_emi!O$4</f>
        <v>2630.4814133402765</v>
      </c>
      <c r="P90" s="102">
        <f>MBunk_emi!P$4</f>
        <v>2237.6539083756752</v>
      </c>
      <c r="Q90" s="102">
        <f>MBunk_emi!Q$4</f>
        <v>2187.7300903664113</v>
      </c>
      <c r="R90" s="102">
        <f>MBunk_emi!R$4</f>
        <v>2014.7644226276566</v>
      </c>
      <c r="S90" s="102">
        <f>MBunk_emi!S$4</f>
        <v>2548.7897997265532</v>
      </c>
      <c r="T90" s="102">
        <f>MBunk_emi!T$4</f>
        <v>2614.7986973787356</v>
      </c>
      <c r="U90" s="102">
        <f>MBunk_emi!U$4</f>
        <v>3076.0264412101187</v>
      </c>
      <c r="V90" s="102">
        <f>MBunk_emi!V$4</f>
        <v>1765.5477240876774</v>
      </c>
      <c r="W90" s="102">
        <f>MBunk_emi!W$4</f>
        <v>1982.8782263687472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5402.9367836835299</v>
      </c>
      <c r="C91" s="86">
        <f>MBunk_emi!C$5</f>
        <v>6089.4995596459894</v>
      </c>
      <c r="D91" s="86">
        <f>MBunk_emi!D$5</f>
        <v>5706.4991387389136</v>
      </c>
      <c r="E91" s="86">
        <f>MBunk_emi!E$5</f>
        <v>5639.8235840543439</v>
      </c>
      <c r="F91" s="86">
        <f>MBunk_emi!F$5</f>
        <v>5886.5397553933662</v>
      </c>
      <c r="G91" s="86">
        <f>MBunk_emi!G$5</f>
        <v>5285.3908755573393</v>
      </c>
      <c r="H91" s="86">
        <f>MBunk_emi!H$5</f>
        <v>5907.0500597675145</v>
      </c>
      <c r="I91" s="86">
        <f>MBunk_emi!I$5</f>
        <v>5888.0763422819755</v>
      </c>
      <c r="J91" s="86">
        <f>MBunk_emi!J$5</f>
        <v>5398.1475090869799</v>
      </c>
      <c r="K91" s="86">
        <f>MBunk_emi!K$5</f>
        <v>4475.1429917408705</v>
      </c>
      <c r="L91" s="86">
        <f>MBunk_emi!L$5</f>
        <v>4850.1990051898547</v>
      </c>
      <c r="M91" s="86">
        <f>MBunk_emi!M$5</f>
        <v>5129.1777143716372</v>
      </c>
      <c r="N91" s="86">
        <f>MBunk_emi!N$5</f>
        <v>4310.8367291256081</v>
      </c>
      <c r="O91" s="86">
        <f>MBunk_emi!O$5</f>
        <v>4200.7207237797229</v>
      </c>
      <c r="P91" s="86">
        <f>MBunk_emi!P$5</f>
        <v>3765.7285365443267</v>
      </c>
      <c r="Q91" s="86">
        <f>MBunk_emi!Q$5</f>
        <v>3545.8133555535887</v>
      </c>
      <c r="R91" s="86">
        <f>MBunk_emi!R$5</f>
        <v>3511.6241055723453</v>
      </c>
      <c r="S91" s="86">
        <f>MBunk_emi!S$5</f>
        <v>4318.3364321134477</v>
      </c>
      <c r="T91" s="86">
        <f>MBunk_emi!T$5</f>
        <v>4419.5300849012629</v>
      </c>
      <c r="U91" s="86">
        <f>MBunk_emi!U$5</f>
        <v>5029.4859911098811</v>
      </c>
      <c r="V91" s="86">
        <f>MBunk_emi!V$5</f>
        <v>3456.9418994723242</v>
      </c>
      <c r="W91" s="86">
        <f>MBunk_emi!W$5</f>
        <v>3830.104120951255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0.70884977187297238</v>
      </c>
      <c r="C97" s="139">
        <f t="shared" si="76"/>
        <v>0.7333255511971366</v>
      </c>
      <c r="D97" s="139">
        <f t="shared" si="76"/>
        <v>0.74426454303460787</v>
      </c>
      <c r="E97" s="139">
        <f t="shared" si="76"/>
        <v>0.75094860132019614</v>
      </c>
      <c r="F97" s="139">
        <f t="shared" si="76"/>
        <v>0.74537578483630351</v>
      </c>
      <c r="G97" s="139">
        <f t="shared" si="76"/>
        <v>0.74891918080466735</v>
      </c>
      <c r="H97" s="139">
        <f t="shared" si="76"/>
        <v>0.7492673140140611</v>
      </c>
      <c r="I97" s="139">
        <f t="shared" si="76"/>
        <v>0.75329863670867947</v>
      </c>
      <c r="J97" s="139">
        <f t="shared" si="76"/>
        <v>0.76849088111491159</v>
      </c>
      <c r="K97" s="139">
        <f t="shared" si="76"/>
        <v>0.78125409356597775</v>
      </c>
      <c r="L97" s="139">
        <f t="shared" si="76"/>
        <v>0.78341530289683092</v>
      </c>
      <c r="M97" s="139">
        <f t="shared" si="76"/>
        <v>0.77737060427776827</v>
      </c>
      <c r="N97" s="139">
        <f t="shared" si="76"/>
        <v>0.78746682683079916</v>
      </c>
      <c r="O97" s="139">
        <f t="shared" si="76"/>
        <v>0.77572277425250125</v>
      </c>
      <c r="P97" s="139">
        <f t="shared" si="76"/>
        <v>0.75859569817588002</v>
      </c>
      <c r="Q97" s="139">
        <f t="shared" si="76"/>
        <v>0.75462990292089427</v>
      </c>
      <c r="R97" s="139">
        <f t="shared" ref="R97:V97" si="77">IF(R5=0,0,R5/R$4)</f>
        <v>0.7425679776849532</v>
      </c>
      <c r="S97" s="139">
        <f t="shared" si="77"/>
        <v>0.72325337681844626</v>
      </c>
      <c r="T97" s="139">
        <f t="shared" si="77"/>
        <v>0.7074383216924478</v>
      </c>
      <c r="U97" s="139">
        <f t="shared" si="77"/>
        <v>0.70245227793213483</v>
      </c>
      <c r="V97" s="139">
        <f t="shared" si="77"/>
        <v>0.86305186164239878</v>
      </c>
      <c r="W97" s="139">
        <f t="shared" ref="W97" si="78">IF(W5=0,0,W5/W$4)</f>
        <v>0.78712574132275792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3.4861458175022716E-2</v>
      </c>
      <c r="C98" s="140">
        <f t="shared" si="79"/>
        <v>3.5982413032909506E-2</v>
      </c>
      <c r="D98" s="140">
        <f t="shared" si="79"/>
        <v>3.855344853977203E-2</v>
      </c>
      <c r="E98" s="140">
        <f t="shared" si="79"/>
        <v>3.956381237636742E-2</v>
      </c>
      <c r="F98" s="140">
        <f t="shared" si="79"/>
        <v>3.9304345908905129E-2</v>
      </c>
      <c r="G98" s="140">
        <f t="shared" si="79"/>
        <v>3.85071856835228E-2</v>
      </c>
      <c r="H98" s="140">
        <f t="shared" si="79"/>
        <v>3.5038954830712156E-2</v>
      </c>
      <c r="I98" s="140">
        <f t="shared" si="79"/>
        <v>3.4529776747106652E-2</v>
      </c>
      <c r="J98" s="140">
        <f t="shared" si="79"/>
        <v>3.6042585789833312E-2</v>
      </c>
      <c r="K98" s="140">
        <f t="shared" si="79"/>
        <v>3.7414698900931104E-2</v>
      </c>
      <c r="L98" s="140">
        <f t="shared" si="79"/>
        <v>4.4833632756692839E-2</v>
      </c>
      <c r="M98" s="140">
        <f t="shared" si="79"/>
        <v>4.6383937686382694E-2</v>
      </c>
      <c r="N98" s="140">
        <f t="shared" si="79"/>
        <v>4.9362223574140877E-2</v>
      </c>
      <c r="O98" s="140">
        <f t="shared" si="79"/>
        <v>4.9965083885801363E-2</v>
      </c>
      <c r="P98" s="140">
        <f t="shared" si="79"/>
        <v>5.062903959146068E-2</v>
      </c>
      <c r="Q98" s="140">
        <f t="shared" si="79"/>
        <v>5.0220786662456628E-2</v>
      </c>
      <c r="R98" s="140">
        <f t="shared" ref="R98:V98" si="80">IF(R6=0,0,R6/R$4)</f>
        <v>5.0263345397553519E-2</v>
      </c>
      <c r="S98" s="140">
        <f t="shared" si="80"/>
        <v>4.5614141829934125E-2</v>
      </c>
      <c r="T98" s="140">
        <f t="shared" si="80"/>
        <v>4.1375714054351656E-2</v>
      </c>
      <c r="U98" s="140">
        <f t="shared" si="80"/>
        <v>4.2915896225990215E-2</v>
      </c>
      <c r="V98" s="140">
        <f t="shared" si="80"/>
        <v>5.6480265170906221E-2</v>
      </c>
      <c r="W98" s="140">
        <f t="shared" ref="W98" si="81">IF(W6=0,0,W6/W$4)</f>
        <v>5.0236358768269242E-2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0.50131362175880556</v>
      </c>
      <c r="C99" s="140">
        <f t="shared" si="82"/>
        <v>0.52805493758538369</v>
      </c>
      <c r="D99" s="140">
        <f t="shared" si="82"/>
        <v>0.54054466812370405</v>
      </c>
      <c r="E99" s="140">
        <f t="shared" si="82"/>
        <v>0.55196777906820804</v>
      </c>
      <c r="F99" s="140">
        <f t="shared" si="82"/>
        <v>0.55596176293495936</v>
      </c>
      <c r="G99" s="140">
        <f t="shared" si="82"/>
        <v>0.56593270464196144</v>
      </c>
      <c r="H99" s="140">
        <f t="shared" si="82"/>
        <v>0.57496021758945792</v>
      </c>
      <c r="I99" s="140">
        <f t="shared" si="82"/>
        <v>0.58361574099443947</v>
      </c>
      <c r="J99" s="140">
        <f t="shared" si="82"/>
        <v>0.59987575374699287</v>
      </c>
      <c r="K99" s="140">
        <f t="shared" si="82"/>
        <v>0.6165236515128012</v>
      </c>
      <c r="L99" s="140">
        <f t="shared" si="82"/>
        <v>0.60946755879003944</v>
      </c>
      <c r="M99" s="140">
        <f t="shared" si="82"/>
        <v>0.60152194484779553</v>
      </c>
      <c r="N99" s="140">
        <f t="shared" si="82"/>
        <v>0.6061800749318822</v>
      </c>
      <c r="O99" s="140">
        <f t="shared" si="82"/>
        <v>0.5951398343262656</v>
      </c>
      <c r="P99" s="140">
        <f t="shared" si="82"/>
        <v>0.58180346366143454</v>
      </c>
      <c r="Q99" s="140">
        <f t="shared" si="82"/>
        <v>0.57966845674160672</v>
      </c>
      <c r="R99" s="140">
        <f t="shared" ref="R99:V99" si="83">IF(R7=0,0,R7/R$4)</f>
        <v>0.5725360577244073</v>
      </c>
      <c r="S99" s="140">
        <f t="shared" si="83"/>
        <v>0.56428610622262121</v>
      </c>
      <c r="T99" s="140">
        <f t="shared" si="83"/>
        <v>0.55563572470659539</v>
      </c>
      <c r="U99" s="140">
        <f t="shared" si="83"/>
        <v>0.5527874265360474</v>
      </c>
      <c r="V99" s="140">
        <f t="shared" si="83"/>
        <v>0.70367983413300073</v>
      </c>
      <c r="W99" s="140">
        <f t="shared" ref="W99" si="84">IF(W7=0,0,W7/W$4)</f>
        <v>0.64582074189146177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0.17267469193914414</v>
      </c>
      <c r="C100" s="140">
        <f t="shared" si="85"/>
        <v>0.16928820057884356</v>
      </c>
      <c r="D100" s="140">
        <f t="shared" si="85"/>
        <v>0.16516642637113177</v>
      </c>
      <c r="E100" s="140">
        <f t="shared" si="85"/>
        <v>0.15941700987562063</v>
      </c>
      <c r="F100" s="140">
        <f t="shared" si="85"/>
        <v>0.15010967599243902</v>
      </c>
      <c r="G100" s="140">
        <f t="shared" si="85"/>
        <v>0.14447929047918312</v>
      </c>
      <c r="H100" s="140">
        <f t="shared" si="85"/>
        <v>0.13926814159389092</v>
      </c>
      <c r="I100" s="140">
        <f t="shared" si="85"/>
        <v>0.13515311896713336</v>
      </c>
      <c r="J100" s="140">
        <f t="shared" si="85"/>
        <v>0.13257254157808543</v>
      </c>
      <c r="K100" s="140">
        <f t="shared" si="85"/>
        <v>0.12731574315224548</v>
      </c>
      <c r="L100" s="140">
        <f t="shared" si="85"/>
        <v>0.1291141113500987</v>
      </c>
      <c r="M100" s="140">
        <f t="shared" si="85"/>
        <v>0.12946472174359017</v>
      </c>
      <c r="N100" s="140">
        <f t="shared" si="85"/>
        <v>0.13192452832477611</v>
      </c>
      <c r="O100" s="140">
        <f t="shared" si="85"/>
        <v>0.13061785604043433</v>
      </c>
      <c r="P100" s="140">
        <f t="shared" si="85"/>
        <v>0.12616319492298481</v>
      </c>
      <c r="Q100" s="140">
        <f t="shared" si="85"/>
        <v>0.12474065951683094</v>
      </c>
      <c r="R100" s="140">
        <f t="shared" ref="R100:V100" si="86">IF(R8=0,0,R8/R$4)</f>
        <v>0.11976857456299239</v>
      </c>
      <c r="S100" s="140">
        <f t="shared" si="86"/>
        <v>0.11335312876589099</v>
      </c>
      <c r="T100" s="140">
        <f t="shared" si="86"/>
        <v>0.11042688293150077</v>
      </c>
      <c r="U100" s="140">
        <f t="shared" si="86"/>
        <v>0.10674895517009721</v>
      </c>
      <c r="V100" s="140">
        <f t="shared" si="86"/>
        <v>0.10289176233849176</v>
      </c>
      <c r="W100" s="140">
        <f t="shared" ref="W100" si="87">IF(W8=0,0,W8/W$4)</f>
        <v>9.1068640663026987E-2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2.4476836516350568E-2</v>
      </c>
      <c r="C101" s="124">
        <f t="shared" si="88"/>
        <v>2.3894485925738604E-2</v>
      </c>
      <c r="D101" s="124">
        <f t="shared" si="88"/>
        <v>2.3919101564473903E-2</v>
      </c>
      <c r="E101" s="124">
        <f t="shared" si="88"/>
        <v>2.1599370723011196E-2</v>
      </c>
      <c r="F101" s="124">
        <f t="shared" si="88"/>
        <v>2.201608581222439E-2</v>
      </c>
      <c r="G101" s="124">
        <f t="shared" si="88"/>
        <v>2.2331038721989868E-2</v>
      </c>
      <c r="H101" s="124">
        <f t="shared" si="88"/>
        <v>2.1471569903535201E-2</v>
      </c>
      <c r="I101" s="124">
        <f t="shared" si="88"/>
        <v>2.1685932270635488E-2</v>
      </c>
      <c r="J101" s="124">
        <f t="shared" si="88"/>
        <v>1.9897878751787754E-2</v>
      </c>
      <c r="K101" s="124">
        <f t="shared" si="88"/>
        <v>1.909823512781017E-2</v>
      </c>
      <c r="L101" s="124">
        <f t="shared" si="88"/>
        <v>1.8820960941406839E-2</v>
      </c>
      <c r="M101" s="124">
        <f t="shared" si="88"/>
        <v>1.6105801926345208E-2</v>
      </c>
      <c r="N101" s="124">
        <f t="shared" si="88"/>
        <v>1.5642445533014977E-2</v>
      </c>
      <c r="O101" s="124">
        <f t="shared" si="88"/>
        <v>1.6895556764690154E-2</v>
      </c>
      <c r="P101" s="124">
        <f t="shared" si="88"/>
        <v>1.6422075782001343E-2</v>
      </c>
      <c r="Q101" s="124">
        <f t="shared" si="88"/>
        <v>1.732299687713364E-2</v>
      </c>
      <c r="R101" s="124">
        <f t="shared" ref="R101:V101" si="89">IF(R9=0,0,R9/R$4)</f>
        <v>1.6305993690384334E-2</v>
      </c>
      <c r="S101" s="124">
        <f t="shared" si="89"/>
        <v>1.5511931748487683E-2</v>
      </c>
      <c r="T101" s="124">
        <f t="shared" si="89"/>
        <v>1.5044021776331197E-2</v>
      </c>
      <c r="U101" s="124">
        <f t="shared" si="89"/>
        <v>1.5380010012109691E-2</v>
      </c>
      <c r="V101" s="124">
        <f t="shared" si="89"/>
        <v>1.3358848917068178E-2</v>
      </c>
      <c r="W101" s="124">
        <f t="shared" ref="W101" si="90">IF(W9=0,0,W9/W$4)</f>
        <v>1.1764653484315863E-2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9.4692572998885498E-3</v>
      </c>
      <c r="C102" s="140">
        <f t="shared" si="91"/>
        <v>1.032813333806706E-2</v>
      </c>
      <c r="D102" s="140">
        <f t="shared" si="91"/>
        <v>1.013521252731945E-2</v>
      </c>
      <c r="E102" s="140">
        <f t="shared" si="91"/>
        <v>1.0167827509151201E-2</v>
      </c>
      <c r="F102" s="140">
        <f t="shared" si="91"/>
        <v>1.0424283055030488E-2</v>
      </c>
      <c r="G102" s="140">
        <f t="shared" si="91"/>
        <v>9.9870477289757901E-3</v>
      </c>
      <c r="H102" s="140">
        <f t="shared" si="91"/>
        <v>9.9020926362628874E-3</v>
      </c>
      <c r="I102" s="140">
        <f t="shared" si="91"/>
        <v>9.8293177430642444E-3</v>
      </c>
      <c r="J102" s="140">
        <f t="shared" si="91"/>
        <v>9.957937512200081E-3</v>
      </c>
      <c r="K102" s="140">
        <f t="shared" si="91"/>
        <v>1.0169901497313828E-2</v>
      </c>
      <c r="L102" s="140">
        <f t="shared" si="91"/>
        <v>1.0358173453388519E-2</v>
      </c>
      <c r="M102" s="140">
        <f t="shared" si="91"/>
        <v>1.024488011195257E-2</v>
      </c>
      <c r="N102" s="140">
        <f t="shared" si="91"/>
        <v>1.0439531003588921E-2</v>
      </c>
      <c r="O102" s="140">
        <f t="shared" si="91"/>
        <v>1.0336130627653263E-2</v>
      </c>
      <c r="P102" s="140">
        <f t="shared" si="91"/>
        <v>9.98362170882954E-3</v>
      </c>
      <c r="Q102" s="140">
        <f t="shared" si="91"/>
        <v>9.8733360631963561E-3</v>
      </c>
      <c r="R102" s="140">
        <f t="shared" ref="R102:V102" si="92">IF(R10=0,0,R10/R$4)</f>
        <v>9.4760613257655665E-3</v>
      </c>
      <c r="S102" s="140">
        <f t="shared" si="92"/>
        <v>9.3526847038413463E-3</v>
      </c>
      <c r="T102" s="140">
        <f t="shared" si="92"/>
        <v>9.1112422756265514E-3</v>
      </c>
      <c r="U102" s="140">
        <f t="shared" si="92"/>
        <v>8.8077791150555189E-3</v>
      </c>
      <c r="V102" s="140">
        <f t="shared" si="92"/>
        <v>8.4124439656335526E-3</v>
      </c>
      <c r="W102" s="140">
        <f t="shared" ref="W102" si="93">IF(W10=0,0,W10/W$4)</f>
        <v>7.4457839888464094E-3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1.500757921646202E-2</v>
      </c>
      <c r="C103" s="140">
        <f t="shared" si="94"/>
        <v>1.3566352587671545E-2</v>
      </c>
      <c r="D103" s="140">
        <f t="shared" si="94"/>
        <v>1.3783889037154452E-2</v>
      </c>
      <c r="E103" s="140">
        <f t="shared" si="94"/>
        <v>1.1431543213859995E-2</v>
      </c>
      <c r="F103" s="140">
        <f t="shared" si="94"/>
        <v>1.1591802757193903E-2</v>
      </c>
      <c r="G103" s="140">
        <f t="shared" si="94"/>
        <v>1.2343990993014078E-2</v>
      </c>
      <c r="H103" s="140">
        <f t="shared" si="94"/>
        <v>1.1569477267272315E-2</v>
      </c>
      <c r="I103" s="140">
        <f t="shared" si="94"/>
        <v>1.1856614527571243E-2</v>
      </c>
      <c r="J103" s="140">
        <f t="shared" si="94"/>
        <v>9.9399412395876716E-3</v>
      </c>
      <c r="K103" s="140">
        <f t="shared" si="94"/>
        <v>8.928333630496341E-3</v>
      </c>
      <c r="L103" s="140">
        <f t="shared" si="94"/>
        <v>8.4627874880183179E-3</v>
      </c>
      <c r="M103" s="140">
        <f t="shared" si="94"/>
        <v>5.8609218143926356E-3</v>
      </c>
      <c r="N103" s="140">
        <f t="shared" si="94"/>
        <v>5.2029145294260563E-3</v>
      </c>
      <c r="O103" s="140">
        <f t="shared" si="94"/>
        <v>6.5594261370368933E-3</v>
      </c>
      <c r="P103" s="140">
        <f t="shared" si="94"/>
        <v>6.438454073171806E-3</v>
      </c>
      <c r="Q103" s="140">
        <f t="shared" si="94"/>
        <v>7.4496608139372851E-3</v>
      </c>
      <c r="R103" s="140">
        <f t="shared" ref="R103:V103" si="95">IF(R11=0,0,R11/R$4)</f>
        <v>6.8299323646187687E-3</v>
      </c>
      <c r="S103" s="140">
        <f t="shared" si="95"/>
        <v>6.1592470446463392E-3</v>
      </c>
      <c r="T103" s="140">
        <f t="shared" si="95"/>
        <v>5.9327795007046435E-3</v>
      </c>
      <c r="U103" s="140">
        <f t="shared" si="95"/>
        <v>6.572230897054175E-3</v>
      </c>
      <c r="V103" s="140">
        <f t="shared" si="95"/>
        <v>4.9464049514346244E-3</v>
      </c>
      <c r="W103" s="140">
        <f t="shared" ref="W103" si="96">IF(W11=0,0,W11/W$4)</f>
        <v>4.3188694954694531E-3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0</v>
      </c>
      <c r="C104" s="140">
        <f t="shared" si="97"/>
        <v>0</v>
      </c>
      <c r="D104" s="140">
        <f t="shared" si="97"/>
        <v>0</v>
      </c>
      <c r="E104" s="140">
        <f t="shared" si="97"/>
        <v>0</v>
      </c>
      <c r="F104" s="140">
        <f t="shared" si="97"/>
        <v>0</v>
      </c>
      <c r="G104" s="140">
        <f t="shared" si="97"/>
        <v>0</v>
      </c>
      <c r="H104" s="140">
        <f t="shared" si="97"/>
        <v>0</v>
      </c>
      <c r="I104" s="140">
        <f t="shared" si="97"/>
        <v>0</v>
      </c>
      <c r="J104" s="140">
        <f t="shared" si="97"/>
        <v>0</v>
      </c>
      <c r="K104" s="140">
        <f t="shared" si="97"/>
        <v>0</v>
      </c>
      <c r="L104" s="140">
        <f t="shared" si="97"/>
        <v>0</v>
      </c>
      <c r="M104" s="140">
        <f t="shared" si="97"/>
        <v>0</v>
      </c>
      <c r="N104" s="140">
        <f t="shared" si="97"/>
        <v>0</v>
      </c>
      <c r="O104" s="140">
        <f t="shared" si="97"/>
        <v>0</v>
      </c>
      <c r="P104" s="140">
        <f t="shared" si="97"/>
        <v>0</v>
      </c>
      <c r="Q104" s="140">
        <f t="shared" si="97"/>
        <v>0</v>
      </c>
      <c r="R104" s="140">
        <f t="shared" ref="R104:V104" si="98">IF(R12=0,0,R12/R$4)</f>
        <v>0</v>
      </c>
      <c r="S104" s="140">
        <f t="shared" si="98"/>
        <v>0</v>
      </c>
      <c r="T104" s="140">
        <f t="shared" si="98"/>
        <v>0</v>
      </c>
      <c r="U104" s="140">
        <f t="shared" si="98"/>
        <v>0</v>
      </c>
      <c r="V104" s="140">
        <f t="shared" si="98"/>
        <v>0</v>
      </c>
      <c r="W104" s="140">
        <f t="shared" ref="W104" si="99">IF(W12=0,0,W12/W$4)</f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0.26667339161067705</v>
      </c>
      <c r="C105" s="124">
        <f t="shared" si="100"/>
        <v>0.24277996287712475</v>
      </c>
      <c r="D105" s="124">
        <f t="shared" si="100"/>
        <v>0.23181635540091816</v>
      </c>
      <c r="E105" s="124">
        <f t="shared" si="100"/>
        <v>0.22745202795679273</v>
      </c>
      <c r="F105" s="124">
        <f t="shared" si="100"/>
        <v>0.23260812935147204</v>
      </c>
      <c r="G105" s="124">
        <f t="shared" si="100"/>
        <v>0.22874978047334274</v>
      </c>
      <c r="H105" s="124">
        <f t="shared" si="100"/>
        <v>0.22926111608240379</v>
      </c>
      <c r="I105" s="124">
        <f t="shared" si="100"/>
        <v>0.22501543102068505</v>
      </c>
      <c r="J105" s="124">
        <f t="shared" si="100"/>
        <v>0.21161124013330074</v>
      </c>
      <c r="K105" s="124">
        <f t="shared" si="100"/>
        <v>0.199647671306212</v>
      </c>
      <c r="L105" s="124">
        <f t="shared" si="100"/>
        <v>0.19776373616176224</v>
      </c>
      <c r="M105" s="124">
        <f t="shared" si="100"/>
        <v>0.20652359379588642</v>
      </c>
      <c r="N105" s="124">
        <f t="shared" si="100"/>
        <v>0.19689072763618601</v>
      </c>
      <c r="O105" s="124">
        <f t="shared" si="100"/>
        <v>0.20738166898280849</v>
      </c>
      <c r="P105" s="124">
        <f t="shared" si="100"/>
        <v>0.22498222604211868</v>
      </c>
      <c r="Q105" s="124">
        <f t="shared" si="100"/>
        <v>0.22804710020197205</v>
      </c>
      <c r="R105" s="124">
        <f t="shared" ref="R105:V105" si="101">IF(R13=0,0,R13/R$4)</f>
        <v>0.24112602862466248</v>
      </c>
      <c r="S105" s="124">
        <f t="shared" si="101"/>
        <v>0.2612346914330661</v>
      </c>
      <c r="T105" s="124">
        <f t="shared" si="101"/>
        <v>0.27751765653122107</v>
      </c>
      <c r="U105" s="124">
        <f t="shared" si="101"/>
        <v>0.28216771205575569</v>
      </c>
      <c r="V105" s="124">
        <f t="shared" si="101"/>
        <v>0.12358928944053303</v>
      </c>
      <c r="W105" s="124">
        <f t="shared" ref="W105" si="102">IF(W13=0,0,W13/W$4)</f>
        <v>0.20110960519292614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1.9801883570359537E-2</v>
      </c>
      <c r="C106" s="140">
        <f t="shared" si="103"/>
        <v>1.8417466963556225E-2</v>
      </c>
      <c r="D106" s="140">
        <f t="shared" si="103"/>
        <v>1.6413890216582558E-2</v>
      </c>
      <c r="E106" s="140">
        <f t="shared" si="103"/>
        <v>1.527593772585548E-2</v>
      </c>
      <c r="F106" s="140">
        <f t="shared" si="103"/>
        <v>1.7007442298206311E-2</v>
      </c>
      <c r="G106" s="140">
        <f t="shared" si="103"/>
        <v>1.6646402339232431E-2</v>
      </c>
      <c r="H106" s="140">
        <f t="shared" si="103"/>
        <v>1.6790597132505972E-2</v>
      </c>
      <c r="I106" s="140">
        <f t="shared" si="103"/>
        <v>1.7293362694758958E-2</v>
      </c>
      <c r="J106" s="140">
        <f t="shared" si="103"/>
        <v>1.6639246179674917E-2</v>
      </c>
      <c r="K106" s="140">
        <f t="shared" si="103"/>
        <v>1.7180389673911917E-2</v>
      </c>
      <c r="L106" s="140">
        <f t="shared" si="103"/>
        <v>1.5410146942634503E-2</v>
      </c>
      <c r="M106" s="140">
        <f t="shared" si="103"/>
        <v>1.2925411245875058E-2</v>
      </c>
      <c r="N106" s="140">
        <f t="shared" si="103"/>
        <v>1.2056091695237664E-2</v>
      </c>
      <c r="O106" s="140">
        <f t="shared" si="103"/>
        <v>1.1573818984334985E-2</v>
      </c>
      <c r="P106" s="140">
        <f t="shared" si="103"/>
        <v>1.3592258267862449E-2</v>
      </c>
      <c r="Q106" s="140">
        <f t="shared" si="103"/>
        <v>1.5980883322452583E-2</v>
      </c>
      <c r="R106" s="140">
        <f t="shared" ref="R106:V106" si="104">IF(R14=0,0,R14/R$4)</f>
        <v>1.6671780242245113E-2</v>
      </c>
      <c r="S106" s="140">
        <f t="shared" si="104"/>
        <v>1.6048441975550141E-2</v>
      </c>
      <c r="T106" s="140">
        <f t="shared" si="104"/>
        <v>1.5614954379516849E-2</v>
      </c>
      <c r="U106" s="140">
        <f t="shared" si="104"/>
        <v>1.5091277029740989E-2</v>
      </c>
      <c r="V106" s="140">
        <f t="shared" si="104"/>
        <v>9.9024906447696907E-3</v>
      </c>
      <c r="W106" s="140">
        <f t="shared" ref="W106" si="105">IF(W14=0,0,W14/W$4)</f>
        <v>1.3242974135747156E-2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0.2193567465061789</v>
      </c>
      <c r="C107" s="140">
        <f t="shared" si="106"/>
        <v>0.19919680858623076</v>
      </c>
      <c r="D107" s="140">
        <f t="shared" si="106"/>
        <v>0.19082673904210784</v>
      </c>
      <c r="E107" s="140">
        <f t="shared" si="106"/>
        <v>0.18736709952985486</v>
      </c>
      <c r="F107" s="140">
        <f t="shared" si="106"/>
        <v>0.18847500468494338</v>
      </c>
      <c r="G107" s="140">
        <f t="shared" si="106"/>
        <v>0.1837943442361937</v>
      </c>
      <c r="H107" s="140">
        <f t="shared" si="106"/>
        <v>0.17934392421656867</v>
      </c>
      <c r="I107" s="140">
        <f t="shared" si="106"/>
        <v>0.17062467262917552</v>
      </c>
      <c r="J107" s="140">
        <f t="shared" si="106"/>
        <v>0.15582041301458369</v>
      </c>
      <c r="K107" s="140">
        <f t="shared" si="106"/>
        <v>0.14764636197220052</v>
      </c>
      <c r="L107" s="140">
        <f t="shared" si="106"/>
        <v>0.1443538842330786</v>
      </c>
      <c r="M107" s="140">
        <f t="shared" si="106"/>
        <v>0.15168239994545607</v>
      </c>
      <c r="N107" s="140">
        <f t="shared" si="106"/>
        <v>0.14445590164110461</v>
      </c>
      <c r="O107" s="140">
        <f t="shared" si="106"/>
        <v>0.14799972485641516</v>
      </c>
      <c r="P107" s="140">
        <f t="shared" si="106"/>
        <v>0.16351102671097795</v>
      </c>
      <c r="Q107" s="140">
        <f t="shared" si="106"/>
        <v>0.16952959072044521</v>
      </c>
      <c r="R107" s="140">
        <f t="shared" ref="R107:V107" si="107">IF(R15=0,0,R15/R$4)</f>
        <v>0.17833911282975254</v>
      </c>
      <c r="S107" s="140">
        <f t="shared" si="107"/>
        <v>0.19209419510931133</v>
      </c>
      <c r="T107" s="140">
        <f t="shared" si="107"/>
        <v>0.20332644025185748</v>
      </c>
      <c r="U107" s="140">
        <f t="shared" si="107"/>
        <v>0.2047526330923132</v>
      </c>
      <c r="V107" s="140">
        <f t="shared" si="107"/>
        <v>9.8247903990505481E-2</v>
      </c>
      <c r="W107" s="140">
        <f t="shared" ref="W107" si="108">IF(W15=0,0,W15/W$4)</f>
        <v>0.14956139601617985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2.7514761534138614E-2</v>
      </c>
      <c r="C108" s="140">
        <f t="shared" si="109"/>
        <v>2.5165687327337771E-2</v>
      </c>
      <c r="D108" s="140">
        <f t="shared" si="109"/>
        <v>2.4575726142227746E-2</v>
      </c>
      <c r="E108" s="140">
        <f t="shared" si="109"/>
        <v>2.4808990701082397E-2</v>
      </c>
      <c r="F108" s="140">
        <f t="shared" si="109"/>
        <v>2.712568236832235E-2</v>
      </c>
      <c r="G108" s="140">
        <f t="shared" si="109"/>
        <v>2.8309033897916624E-2</v>
      </c>
      <c r="H108" s="140">
        <f t="shared" si="109"/>
        <v>3.3126594733329129E-2</v>
      </c>
      <c r="I108" s="140">
        <f t="shared" si="109"/>
        <v>3.7097395696750572E-2</v>
      </c>
      <c r="J108" s="140">
        <f t="shared" si="109"/>
        <v>3.9151580939042127E-2</v>
      </c>
      <c r="K108" s="140">
        <f t="shared" si="109"/>
        <v>3.4820919660099585E-2</v>
      </c>
      <c r="L108" s="140">
        <f t="shared" si="109"/>
        <v>3.7999704986049106E-2</v>
      </c>
      <c r="M108" s="140">
        <f t="shared" si="109"/>
        <v>4.1915782604555279E-2</v>
      </c>
      <c r="N108" s="140">
        <f t="shared" si="109"/>
        <v>4.037873429984374E-2</v>
      </c>
      <c r="O108" s="140">
        <f t="shared" si="109"/>
        <v>4.7808125142058337E-2</v>
      </c>
      <c r="P108" s="140">
        <f t="shared" si="109"/>
        <v>4.7878941063278307E-2</v>
      </c>
      <c r="Q108" s="140">
        <f t="shared" si="109"/>
        <v>4.2536626159074296E-2</v>
      </c>
      <c r="R108" s="140">
        <f t="shared" ref="R108:V108" si="110">IF(R16=0,0,R16/R$4)</f>
        <v>4.6115135552664811E-2</v>
      </c>
      <c r="S108" s="140">
        <f t="shared" si="110"/>
        <v>5.3092054348204618E-2</v>
      </c>
      <c r="T108" s="140">
        <f t="shared" si="110"/>
        <v>5.8576261899846729E-2</v>
      </c>
      <c r="U108" s="140">
        <f t="shared" si="110"/>
        <v>6.232380193370151E-2</v>
      </c>
      <c r="V108" s="140">
        <f t="shared" si="110"/>
        <v>1.5438894805257859E-2</v>
      </c>
      <c r="W108" s="140">
        <f t="shared" ref="W108" si="111">IF(W16=0,0,W16/W$4)</f>
        <v>3.8305235040999142E-2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0.68985868368153536</v>
      </c>
      <c r="C110" s="139">
        <f t="shared" si="115"/>
        <v>0.84133732056620958</v>
      </c>
      <c r="D110" s="139">
        <f t="shared" si="115"/>
        <v>0.81390117884346946</v>
      </c>
      <c r="E110" s="139">
        <f t="shared" si="115"/>
        <v>0.71528515540103177</v>
      </c>
      <c r="F110" s="139">
        <f t="shared" si="115"/>
        <v>0.82851462452088254</v>
      </c>
      <c r="G110" s="139">
        <f t="shared" si="115"/>
        <v>0.77423227790901339</v>
      </c>
      <c r="H110" s="139">
        <f t="shared" si="115"/>
        <v>0.81201434194289868</v>
      </c>
      <c r="I110" s="139">
        <f t="shared" si="115"/>
        <v>0.77873901456894978</v>
      </c>
      <c r="J110" s="139">
        <f t="shared" si="115"/>
        <v>0.81017750949929546</v>
      </c>
      <c r="K110" s="139">
        <f t="shared" si="115"/>
        <v>0.82939677656425825</v>
      </c>
      <c r="L110" s="139">
        <f t="shared" si="115"/>
        <v>0.84752358043660836</v>
      </c>
      <c r="M110" s="139">
        <f t="shared" si="115"/>
        <v>0.80096202948502526</v>
      </c>
      <c r="N110" s="139">
        <f t="shared" si="115"/>
        <v>0.79749941969153681</v>
      </c>
      <c r="O110" s="139">
        <f t="shared" si="115"/>
        <v>0.76675846973789874</v>
      </c>
      <c r="P110" s="139">
        <f t="shared" si="115"/>
        <v>0.78690973674981435</v>
      </c>
      <c r="Q110" s="139">
        <f t="shared" si="115"/>
        <v>0.77431355789767864</v>
      </c>
      <c r="R110" s="139">
        <f t="shared" ref="R110:V110" si="116">IF(R18=0,0,R18/R$17)</f>
        <v>0.79514859739218746</v>
      </c>
      <c r="S110" s="139">
        <f t="shared" si="116"/>
        <v>0.79164118437534381</v>
      </c>
      <c r="T110" s="139">
        <f t="shared" si="116"/>
        <v>0.78296717305701979</v>
      </c>
      <c r="U110" s="139">
        <f t="shared" si="116"/>
        <v>0.77455905224523869</v>
      </c>
      <c r="V110" s="139">
        <f t="shared" si="116"/>
        <v>0.77759886866892258</v>
      </c>
      <c r="W110" s="139">
        <f t="shared" ref="W110" si="117">IF(W18=0,0,W18/W$17)</f>
        <v>0.79721269256403249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3.4842501598303086E-2</v>
      </c>
      <c r="C111" s="140">
        <f t="shared" si="118"/>
        <v>4.3506721042516246E-2</v>
      </c>
      <c r="D111" s="140">
        <f t="shared" si="118"/>
        <v>4.369079132694443E-2</v>
      </c>
      <c r="E111" s="140">
        <f t="shared" si="118"/>
        <v>6.0582181809175933E-2</v>
      </c>
      <c r="F111" s="140">
        <f t="shared" si="118"/>
        <v>3.7810427686582139E-2</v>
      </c>
      <c r="G111" s="140">
        <f t="shared" si="118"/>
        <v>5.4904085510920471E-2</v>
      </c>
      <c r="H111" s="140">
        <f t="shared" si="118"/>
        <v>4.6959140119313972E-2</v>
      </c>
      <c r="I111" s="140">
        <f t="shared" si="118"/>
        <v>5.8443082589524048E-2</v>
      </c>
      <c r="J111" s="140">
        <f t="shared" si="118"/>
        <v>5.6131623993540943E-2</v>
      </c>
      <c r="K111" s="140">
        <f t="shared" si="118"/>
        <v>5.8760344988323651E-2</v>
      </c>
      <c r="L111" s="140">
        <f t="shared" si="118"/>
        <v>5.9474935993425196E-2</v>
      </c>
      <c r="M111" s="140">
        <f t="shared" si="118"/>
        <v>7.2132574162735594E-2</v>
      </c>
      <c r="N111" s="140">
        <f t="shared" si="118"/>
        <v>6.2139703961530603E-2</v>
      </c>
      <c r="O111" s="140">
        <f t="shared" si="118"/>
        <v>8.3652996479679678E-2</v>
      </c>
      <c r="P111" s="140">
        <f t="shared" si="118"/>
        <v>7.5897283168108884E-2</v>
      </c>
      <c r="Q111" s="140">
        <f t="shared" si="118"/>
        <v>8.926795038334262E-2</v>
      </c>
      <c r="R111" s="140">
        <f t="shared" ref="R111:V111" si="119">IF(R19=0,0,R19/R$17)</f>
        <v>9.0631174393659558E-2</v>
      </c>
      <c r="S111" s="140">
        <f t="shared" si="119"/>
        <v>7.8830716892373046E-2</v>
      </c>
      <c r="T111" s="140">
        <f t="shared" si="119"/>
        <v>7.7255910202248451E-2</v>
      </c>
      <c r="U111" s="140">
        <f t="shared" si="119"/>
        <v>7.8272607153942977E-2</v>
      </c>
      <c r="V111" s="140">
        <f t="shared" si="119"/>
        <v>7.8345983303486716E-2</v>
      </c>
      <c r="W111" s="140">
        <f t="shared" ref="W111" si="120">IF(W19=0,0,W19/W$17)</f>
        <v>7.3786590274143249E-2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0.6550161820832322</v>
      </c>
      <c r="C112" s="140">
        <f t="shared" si="121"/>
        <v>0.79783059952369328</v>
      </c>
      <c r="D112" s="140">
        <f t="shared" si="121"/>
        <v>0.77021038751652504</v>
      </c>
      <c r="E112" s="140">
        <f t="shared" si="121"/>
        <v>0.65470297359185581</v>
      </c>
      <c r="F112" s="140">
        <f t="shared" si="121"/>
        <v>0.79070419683430038</v>
      </c>
      <c r="G112" s="140">
        <f t="shared" si="121"/>
        <v>0.71932819239809298</v>
      </c>
      <c r="H112" s="140">
        <f t="shared" si="121"/>
        <v>0.76505520182358477</v>
      </c>
      <c r="I112" s="140">
        <f t="shared" si="121"/>
        <v>0.72029593197942576</v>
      </c>
      <c r="J112" s="140">
        <f t="shared" si="121"/>
        <v>0.75404588550575447</v>
      </c>
      <c r="K112" s="140">
        <f t="shared" si="121"/>
        <v>0.77063643157593464</v>
      </c>
      <c r="L112" s="140">
        <f t="shared" si="121"/>
        <v>0.78804864444318312</v>
      </c>
      <c r="M112" s="140">
        <f t="shared" si="121"/>
        <v>0.7288294553222896</v>
      </c>
      <c r="N112" s="140">
        <f t="shared" si="121"/>
        <v>0.73535971573000625</v>
      </c>
      <c r="O112" s="140">
        <f t="shared" si="121"/>
        <v>0.68310547325821913</v>
      </c>
      <c r="P112" s="140">
        <f t="shared" si="121"/>
        <v>0.71101245358170551</v>
      </c>
      <c r="Q112" s="140">
        <f t="shared" si="121"/>
        <v>0.68504560751433596</v>
      </c>
      <c r="R112" s="140">
        <f t="shared" ref="R112:V112" si="122">IF(R20=0,0,R20/R$17)</f>
        <v>0.70451742299852793</v>
      </c>
      <c r="S112" s="140">
        <f t="shared" si="122"/>
        <v>0.71281046748297072</v>
      </c>
      <c r="T112" s="140">
        <f t="shared" si="122"/>
        <v>0.70571126285477148</v>
      </c>
      <c r="U112" s="140">
        <f t="shared" si="122"/>
        <v>0.69628644509129567</v>
      </c>
      <c r="V112" s="140">
        <f t="shared" si="122"/>
        <v>0.69925288536543584</v>
      </c>
      <c r="W112" s="140">
        <f t="shared" ref="W112" si="123">IF(W20=0,0,W20/W$17)</f>
        <v>0.72342610228988913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1.1338309568659137E-2</v>
      </c>
      <c r="C113" s="124">
        <f t="shared" si="124"/>
        <v>1.1989694120996578E-2</v>
      </c>
      <c r="D113" s="124">
        <f t="shared" si="124"/>
        <v>9.727493493979127E-3</v>
      </c>
      <c r="E113" s="124">
        <f t="shared" si="124"/>
        <v>1.7360691570308111E-2</v>
      </c>
      <c r="F113" s="124">
        <f t="shared" si="124"/>
        <v>1.3777325936714296E-2</v>
      </c>
      <c r="G113" s="124">
        <f t="shared" si="124"/>
        <v>2.0119370932099132E-2</v>
      </c>
      <c r="H113" s="124">
        <f t="shared" si="124"/>
        <v>1.74818815543492E-2</v>
      </c>
      <c r="I113" s="124">
        <f t="shared" si="124"/>
        <v>2.491166655461997E-2</v>
      </c>
      <c r="J113" s="124">
        <f t="shared" si="124"/>
        <v>2.2411664516495056E-2</v>
      </c>
      <c r="K113" s="124">
        <f t="shared" si="124"/>
        <v>1.6313739093540572E-2</v>
      </c>
      <c r="L113" s="124">
        <f t="shared" si="124"/>
        <v>1.750234526418714E-2</v>
      </c>
      <c r="M113" s="124">
        <f t="shared" si="124"/>
        <v>1.3693625145001111E-2</v>
      </c>
      <c r="N113" s="124">
        <f t="shared" si="124"/>
        <v>1.1170672652049423E-2</v>
      </c>
      <c r="O113" s="124">
        <f t="shared" si="124"/>
        <v>1.0659679216247001E-2</v>
      </c>
      <c r="P113" s="124">
        <f t="shared" si="124"/>
        <v>1.2613881658292702E-2</v>
      </c>
      <c r="Q113" s="124">
        <f t="shared" si="124"/>
        <v>1.1409197757425759E-2</v>
      </c>
      <c r="R113" s="124">
        <f t="shared" ref="R113:V113" si="125">IF(R21=0,0,R21/R$17)</f>
        <v>9.2518073647747338E-3</v>
      </c>
      <c r="S113" s="124">
        <f t="shared" si="125"/>
        <v>1.2942423267844292E-2</v>
      </c>
      <c r="T113" s="124">
        <f t="shared" si="125"/>
        <v>1.4857845876709156E-2</v>
      </c>
      <c r="U113" s="124">
        <f t="shared" si="125"/>
        <v>1.8015315621005754E-2</v>
      </c>
      <c r="V113" s="124">
        <f t="shared" si="125"/>
        <v>2.312371753427974E-2</v>
      </c>
      <c r="W113" s="124">
        <f t="shared" ref="W113" si="126">IF(W21=0,0,W21/W$17)</f>
        <v>2.1228628071460424E-2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3.9283067399785432E-3</v>
      </c>
      <c r="C114" s="124">
        <f t="shared" si="127"/>
        <v>5.4380485793437119E-3</v>
      </c>
      <c r="D114" s="124">
        <f t="shared" si="127"/>
        <v>4.7850654059144009E-3</v>
      </c>
      <c r="E114" s="124">
        <f t="shared" si="127"/>
        <v>5.4140588878651948E-3</v>
      </c>
      <c r="F114" s="124">
        <f t="shared" si="127"/>
        <v>2.3214564105921154E-3</v>
      </c>
      <c r="G114" s="124">
        <f t="shared" si="127"/>
        <v>3.1134379655155492E-3</v>
      </c>
      <c r="H114" s="124">
        <f t="shared" si="127"/>
        <v>2.5619687368113311E-3</v>
      </c>
      <c r="I114" s="124">
        <f t="shared" si="127"/>
        <v>2.7035059988995327E-3</v>
      </c>
      <c r="J114" s="124">
        <f t="shared" si="127"/>
        <v>2.6261827563028354E-3</v>
      </c>
      <c r="K114" s="124">
        <f t="shared" si="127"/>
        <v>2.4525199937154738E-3</v>
      </c>
      <c r="L114" s="124">
        <f t="shared" si="127"/>
        <v>2.064713522213157E-3</v>
      </c>
      <c r="M114" s="124">
        <f t="shared" si="127"/>
        <v>2.8129126637198775E-3</v>
      </c>
      <c r="N114" s="124">
        <f t="shared" si="127"/>
        <v>2.6808904958733988E-3</v>
      </c>
      <c r="O114" s="124">
        <f t="shared" si="127"/>
        <v>2.8072866201395213E-3</v>
      </c>
      <c r="P114" s="124">
        <f t="shared" si="127"/>
        <v>2.3894035987397158E-3</v>
      </c>
      <c r="Q114" s="124">
        <f t="shared" si="127"/>
        <v>2.2889558674070499E-3</v>
      </c>
      <c r="R114" s="124">
        <f t="shared" ref="R114:V114" si="128">IF(R22=0,0,R22/R$17)</f>
        <v>2.3322533479692114E-3</v>
      </c>
      <c r="S114" s="124">
        <f t="shared" si="128"/>
        <v>2.3424789117603979E-3</v>
      </c>
      <c r="T114" s="124">
        <f t="shared" si="128"/>
        <v>3.5891645351125282E-3</v>
      </c>
      <c r="U114" s="124">
        <f t="shared" si="128"/>
        <v>3.9913312450640037E-3</v>
      </c>
      <c r="V114" s="124">
        <f t="shared" si="128"/>
        <v>2.706232508138607E-3</v>
      </c>
      <c r="W114" s="124">
        <f t="shared" ref="W114" si="129">IF(W22=0,0,W22/W$17)</f>
        <v>3.8570658185719162E-3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3.769454607881553E-4</v>
      </c>
      <c r="C115" s="140">
        <f t="shared" si="130"/>
        <v>5.228782187996911E-4</v>
      </c>
      <c r="D115" s="140">
        <f t="shared" si="130"/>
        <v>4.831623126174587E-4</v>
      </c>
      <c r="E115" s="140">
        <f t="shared" si="130"/>
        <v>5.4284011664360791E-4</v>
      </c>
      <c r="F115" s="140">
        <f t="shared" si="130"/>
        <v>1.8707595724651868E-4</v>
      </c>
      <c r="G115" s="140">
        <f t="shared" si="130"/>
        <v>2.4324360760150229E-4</v>
      </c>
      <c r="H115" s="140">
        <f t="shared" si="130"/>
        <v>1.9408181312349979E-4</v>
      </c>
      <c r="I115" s="140">
        <f t="shared" si="130"/>
        <v>1.8011235433165729E-4</v>
      </c>
      <c r="J115" s="140">
        <f t="shared" si="130"/>
        <v>1.7840040973379599E-4</v>
      </c>
      <c r="K115" s="140">
        <f t="shared" si="130"/>
        <v>1.5280240371525372E-4</v>
      </c>
      <c r="L115" s="140">
        <f t="shared" si="130"/>
        <v>1.3644003387113527E-4</v>
      </c>
      <c r="M115" s="140">
        <f t="shared" si="130"/>
        <v>1.5262760652253309E-4</v>
      </c>
      <c r="N115" s="140">
        <f t="shared" si="130"/>
        <v>1.3462850686882499E-4</v>
      </c>
      <c r="O115" s="140">
        <f t="shared" si="130"/>
        <v>1.4455422145779684E-4</v>
      </c>
      <c r="P115" s="140">
        <f t="shared" si="130"/>
        <v>9.4641630185863268E-5</v>
      </c>
      <c r="Q115" s="140">
        <f t="shared" si="130"/>
        <v>8.8781000533992138E-5</v>
      </c>
      <c r="R115" s="140">
        <f t="shared" ref="R115:V116" si="131">IF(R23=0,0,R23/R$17)</f>
        <v>7.8356279874774662E-5</v>
      </c>
      <c r="S115" s="140">
        <f t="shared" si="131"/>
        <v>4.7826581352641E-5</v>
      </c>
      <c r="T115" s="140">
        <f t="shared" si="131"/>
        <v>9.0004726859801827E-5</v>
      </c>
      <c r="U115" s="140">
        <f t="shared" si="131"/>
        <v>8.9665242925800518E-5</v>
      </c>
      <c r="V115" s="140">
        <f t="shared" si="131"/>
        <v>6.1369056834705306E-5</v>
      </c>
      <c r="W115" s="140">
        <f t="shared" ref="W115" si="132">IF(W23=0,0,W23/W$17)</f>
        <v>6.3358234417941763E-5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2.6280260024382405E-3</v>
      </c>
      <c r="C116" s="140">
        <f t="shared" si="133"/>
        <v>3.8010205392513771E-3</v>
      </c>
      <c r="D116" s="140">
        <f t="shared" si="133"/>
        <v>3.29591855323414E-3</v>
      </c>
      <c r="E116" s="140">
        <f t="shared" si="133"/>
        <v>3.5878323107424556E-3</v>
      </c>
      <c r="F116" s="140">
        <f t="shared" si="133"/>
        <v>1.5626480743179993E-3</v>
      </c>
      <c r="G116" s="140">
        <f t="shared" si="133"/>
        <v>2.1262707129310878E-3</v>
      </c>
      <c r="H116" s="140">
        <f t="shared" si="133"/>
        <v>1.7131527882712572E-3</v>
      </c>
      <c r="I116" s="140">
        <f t="shared" si="133"/>
        <v>1.7891413207273821E-3</v>
      </c>
      <c r="J116" s="140">
        <f t="shared" si="133"/>
        <v>1.6750285542446604E-3</v>
      </c>
      <c r="K116" s="140">
        <f t="shared" si="133"/>
        <v>1.5697549927972342E-3</v>
      </c>
      <c r="L116" s="140">
        <f t="shared" si="133"/>
        <v>1.4752260399620567E-3</v>
      </c>
      <c r="M116" s="140">
        <f t="shared" si="133"/>
        <v>2.0289158212210981E-3</v>
      </c>
      <c r="N116" s="140">
        <f t="shared" si="133"/>
        <v>1.9891894302502236E-3</v>
      </c>
      <c r="O116" s="140">
        <f t="shared" si="133"/>
        <v>2.1112678545349185E-3</v>
      </c>
      <c r="P116" s="140">
        <f t="shared" si="133"/>
        <v>1.8416762680011744E-3</v>
      </c>
      <c r="Q116" s="140">
        <f t="shared" si="133"/>
        <v>1.656280536411195E-3</v>
      </c>
      <c r="R116" s="140">
        <f t="shared" si="131"/>
        <v>1.6550608029153467E-3</v>
      </c>
      <c r="S116" s="140">
        <f t="shared" si="131"/>
        <v>1.4930243009037929E-3</v>
      </c>
      <c r="T116" s="140">
        <f t="shared" si="131"/>
        <v>2.0270471522836303E-3</v>
      </c>
      <c r="U116" s="140">
        <f t="shared" si="131"/>
        <v>2.0759006929919376E-3</v>
      </c>
      <c r="V116" s="140">
        <f t="shared" si="131"/>
        <v>1.9124941295890253E-3</v>
      </c>
      <c r="W116" s="140">
        <f t="shared" ref="W116" si="134">IF(W24=0,0,W24/W$17)</f>
        <v>1.7141472066227914E-3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9.2333527675214817E-4</v>
      </c>
      <c r="C117" s="140">
        <f t="shared" si="135"/>
        <v>1.1141498212926442E-3</v>
      </c>
      <c r="D117" s="140">
        <f t="shared" si="135"/>
        <v>1.0059845400628017E-3</v>
      </c>
      <c r="E117" s="140">
        <f t="shared" si="135"/>
        <v>1.2833864604791312E-3</v>
      </c>
      <c r="F117" s="140">
        <f t="shared" si="135"/>
        <v>5.7173237902759765E-4</v>
      </c>
      <c r="G117" s="140">
        <f t="shared" si="135"/>
        <v>7.4392364498295947E-4</v>
      </c>
      <c r="H117" s="140">
        <f t="shared" si="135"/>
        <v>6.5473413541657392E-4</v>
      </c>
      <c r="I117" s="140">
        <f t="shared" si="135"/>
        <v>7.3425232384049274E-4</v>
      </c>
      <c r="J117" s="140">
        <f t="shared" si="135"/>
        <v>7.7275379232437911E-4</v>
      </c>
      <c r="K117" s="140">
        <f t="shared" si="135"/>
        <v>7.2996259720298586E-4</v>
      </c>
      <c r="L117" s="140">
        <f t="shared" si="135"/>
        <v>4.5304744837996476E-4</v>
      </c>
      <c r="M117" s="140">
        <f t="shared" si="135"/>
        <v>6.3136923597624625E-4</v>
      </c>
      <c r="N117" s="140">
        <f t="shared" si="135"/>
        <v>5.570725587543499E-4</v>
      </c>
      <c r="O117" s="140">
        <f t="shared" si="135"/>
        <v>5.5146454414680573E-4</v>
      </c>
      <c r="P117" s="140">
        <f t="shared" si="135"/>
        <v>4.5308570055267847E-4</v>
      </c>
      <c r="Q117" s="140">
        <f t="shared" si="135"/>
        <v>5.4389433046186291E-4</v>
      </c>
      <c r="R117" s="140">
        <f t="shared" ref="R117:V117" si="136">IF(R25=0,0,R25/R$17)</f>
        <v>5.9883626517909033E-4</v>
      </c>
      <c r="S117" s="140">
        <f t="shared" si="136"/>
        <v>8.0162802950396435E-4</v>
      </c>
      <c r="T117" s="140">
        <f t="shared" si="136"/>
        <v>1.4721126559690961E-3</v>
      </c>
      <c r="U117" s="140">
        <f t="shared" si="136"/>
        <v>1.8257653091462663E-3</v>
      </c>
      <c r="V117" s="140">
        <f t="shared" si="136"/>
        <v>7.3236932171487649E-4</v>
      </c>
      <c r="W117" s="140">
        <f t="shared" ref="W117" si="137">IF(W25=0,0,W25/W$17)</f>
        <v>2.0795603775311828E-3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0.29487470000982691</v>
      </c>
      <c r="C118" s="124">
        <f t="shared" si="138"/>
        <v>0.14123493673345011</v>
      </c>
      <c r="D118" s="124">
        <f t="shared" si="138"/>
        <v>0.17158626225663695</v>
      </c>
      <c r="E118" s="124">
        <f t="shared" si="138"/>
        <v>0.26194009414079489</v>
      </c>
      <c r="F118" s="124">
        <f t="shared" si="138"/>
        <v>0.15538659313181102</v>
      </c>
      <c r="G118" s="124">
        <f t="shared" si="138"/>
        <v>0.20253491319337188</v>
      </c>
      <c r="H118" s="124">
        <f t="shared" si="138"/>
        <v>0.1679418077659407</v>
      </c>
      <c r="I118" s="124">
        <f t="shared" si="138"/>
        <v>0.1936458128775306</v>
      </c>
      <c r="J118" s="124">
        <f t="shared" si="138"/>
        <v>0.1647846432279067</v>
      </c>
      <c r="K118" s="124">
        <f t="shared" si="138"/>
        <v>0.15183696434848576</v>
      </c>
      <c r="L118" s="124">
        <f t="shared" si="138"/>
        <v>0.13290936077699128</v>
      </c>
      <c r="M118" s="124">
        <f t="shared" si="138"/>
        <v>0.18253143270625372</v>
      </c>
      <c r="N118" s="124">
        <f t="shared" si="138"/>
        <v>0.18864901716054025</v>
      </c>
      <c r="O118" s="124">
        <f t="shared" si="138"/>
        <v>0.21977456442571477</v>
      </c>
      <c r="P118" s="124">
        <f t="shared" si="138"/>
        <v>0.19808697799315322</v>
      </c>
      <c r="Q118" s="124">
        <f t="shared" si="138"/>
        <v>0.21198828847748855</v>
      </c>
      <c r="R118" s="124">
        <f t="shared" ref="R118:V118" si="139">IF(R26=0,0,R26/R$17)</f>
        <v>0.19326734189506864</v>
      </c>
      <c r="S118" s="124">
        <f t="shared" si="139"/>
        <v>0.19307391344505151</v>
      </c>
      <c r="T118" s="124">
        <f t="shared" si="139"/>
        <v>0.19858581653115845</v>
      </c>
      <c r="U118" s="124">
        <f t="shared" si="139"/>
        <v>0.2034343008886916</v>
      </c>
      <c r="V118" s="124">
        <f t="shared" si="139"/>
        <v>0.19657118128865911</v>
      </c>
      <c r="W118" s="124">
        <f t="shared" ref="W118" si="140">IF(W26=0,0,W26/W$17)</f>
        <v>0.17770161354593519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0.29487470000982691</v>
      </c>
      <c r="C119" s="140">
        <f t="shared" si="141"/>
        <v>0.14123493673345011</v>
      </c>
      <c r="D119" s="140">
        <f t="shared" si="141"/>
        <v>0.17158626225663695</v>
      </c>
      <c r="E119" s="140">
        <f t="shared" si="141"/>
        <v>0.26194009414079489</v>
      </c>
      <c r="F119" s="140">
        <f t="shared" si="141"/>
        <v>0.15538659313181102</v>
      </c>
      <c r="G119" s="140">
        <f t="shared" si="141"/>
        <v>0.20253491319337188</v>
      </c>
      <c r="H119" s="140">
        <f t="shared" si="141"/>
        <v>0.1679418077659407</v>
      </c>
      <c r="I119" s="140">
        <f t="shared" si="141"/>
        <v>0.1936458128775306</v>
      </c>
      <c r="J119" s="140">
        <f t="shared" si="141"/>
        <v>0.1647846432279067</v>
      </c>
      <c r="K119" s="140">
        <f t="shared" si="141"/>
        <v>0.15183696434848576</v>
      </c>
      <c r="L119" s="140">
        <f t="shared" si="141"/>
        <v>0.13290936077699128</v>
      </c>
      <c r="M119" s="140">
        <f t="shared" si="141"/>
        <v>0.18253143270625372</v>
      </c>
      <c r="N119" s="140">
        <f t="shared" si="141"/>
        <v>0.18864901716054025</v>
      </c>
      <c r="O119" s="140">
        <f t="shared" si="141"/>
        <v>0.21977456442571477</v>
      </c>
      <c r="P119" s="140">
        <f t="shared" si="141"/>
        <v>0.19808697799315322</v>
      </c>
      <c r="Q119" s="140">
        <f t="shared" si="141"/>
        <v>0.21198828847748855</v>
      </c>
      <c r="R119" s="140">
        <f t="shared" ref="R119:V119" si="142">IF(R27=0,0,R27/R$17)</f>
        <v>0.19326734189506864</v>
      </c>
      <c r="S119" s="140">
        <f t="shared" si="142"/>
        <v>0.19307391344505151</v>
      </c>
      <c r="T119" s="140">
        <f t="shared" si="142"/>
        <v>0.19858581653115845</v>
      </c>
      <c r="U119" s="140">
        <f t="shared" si="142"/>
        <v>0.2034343008886916</v>
      </c>
      <c r="V119" s="140">
        <f t="shared" si="142"/>
        <v>0.19657118128865911</v>
      </c>
      <c r="W119" s="140">
        <f t="shared" ref="W119" si="143">IF(W27=0,0,W27/W$17)</f>
        <v>0.17770161354593519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0</v>
      </c>
      <c r="C120" s="127">
        <f t="shared" si="144"/>
        <v>0</v>
      </c>
      <c r="D120" s="127">
        <f t="shared" si="144"/>
        <v>0</v>
      </c>
      <c r="E120" s="127">
        <f t="shared" si="144"/>
        <v>0</v>
      </c>
      <c r="F120" s="127">
        <f t="shared" si="144"/>
        <v>0</v>
      </c>
      <c r="G120" s="127">
        <f t="shared" si="144"/>
        <v>0</v>
      </c>
      <c r="H120" s="127">
        <f t="shared" si="144"/>
        <v>0</v>
      </c>
      <c r="I120" s="127">
        <f t="shared" si="144"/>
        <v>0</v>
      </c>
      <c r="J120" s="127">
        <f t="shared" si="144"/>
        <v>0</v>
      </c>
      <c r="K120" s="127">
        <f t="shared" si="144"/>
        <v>0</v>
      </c>
      <c r="L120" s="127">
        <f t="shared" si="144"/>
        <v>0</v>
      </c>
      <c r="M120" s="127">
        <f t="shared" si="144"/>
        <v>0</v>
      </c>
      <c r="N120" s="127">
        <f t="shared" si="144"/>
        <v>0</v>
      </c>
      <c r="O120" s="127">
        <f t="shared" si="144"/>
        <v>0</v>
      </c>
      <c r="P120" s="127">
        <f t="shared" si="144"/>
        <v>0</v>
      </c>
      <c r="Q120" s="127">
        <f t="shared" si="144"/>
        <v>0</v>
      </c>
      <c r="R120" s="127">
        <f t="shared" ref="R120:V120" si="145">IF(R28=0,0,R28/R$17)</f>
        <v>0</v>
      </c>
      <c r="S120" s="127">
        <f t="shared" si="145"/>
        <v>0</v>
      </c>
      <c r="T120" s="127">
        <f t="shared" si="145"/>
        <v>0</v>
      </c>
      <c r="U120" s="127">
        <f t="shared" si="145"/>
        <v>0</v>
      </c>
      <c r="V120" s="127">
        <f t="shared" si="145"/>
        <v>0</v>
      </c>
      <c r="W120" s="127">
        <f t="shared" ref="W120" si="146">IF(W28=0,0,W28/W$17)</f>
        <v>0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0.55903075077892328</v>
      </c>
      <c r="C122" s="140">
        <f>IF(C30=0,0,C30/C$29)</f>
        <v>0.32454957268957874</v>
      </c>
      <c r="D122" s="140">
        <f t="shared" ref="D122:W122" si="150">IF(D30=0,0,D30/D$29)</f>
        <v>0.28817124385386661</v>
      </c>
      <c r="E122" s="140">
        <f t="shared" si="150"/>
        <v>0.3060760262334703</v>
      </c>
      <c r="F122" s="140">
        <f t="shared" si="150"/>
        <v>0.2740878010465656</v>
      </c>
      <c r="G122" s="140">
        <f t="shared" si="150"/>
        <v>0.25650439719646662</v>
      </c>
      <c r="H122" s="140">
        <f t="shared" si="150"/>
        <v>0.23492653008712738</v>
      </c>
      <c r="I122" s="140">
        <f t="shared" si="150"/>
        <v>0.27285079260141326</v>
      </c>
      <c r="J122" s="140">
        <f t="shared" si="150"/>
        <v>0.30502352567608826</v>
      </c>
      <c r="K122" s="140">
        <f t="shared" si="150"/>
        <v>0.31157143009822702</v>
      </c>
      <c r="L122" s="140">
        <f t="shared" si="150"/>
        <v>0.28133599841081536</v>
      </c>
      <c r="M122" s="140">
        <f t="shared" si="150"/>
        <v>0.23338538574019141</v>
      </c>
      <c r="N122" s="140">
        <f t="shared" si="150"/>
        <v>0.20748105077824447</v>
      </c>
      <c r="O122" s="140">
        <f t="shared" si="150"/>
        <v>0.18807444726445913</v>
      </c>
      <c r="P122" s="140">
        <f t="shared" si="150"/>
        <v>0.17421876016113874</v>
      </c>
      <c r="Q122" s="140">
        <f t="shared" si="150"/>
        <v>0.17988744134699794</v>
      </c>
      <c r="R122" s="140">
        <f t="shared" si="150"/>
        <v>0.16967518154875139</v>
      </c>
      <c r="S122" s="140">
        <f t="shared" si="150"/>
        <v>0.17173948292354255</v>
      </c>
      <c r="T122" s="140">
        <f t="shared" si="150"/>
        <v>0.17318652477433172</v>
      </c>
      <c r="U122" s="140">
        <f t="shared" si="150"/>
        <v>0.17929943848177834</v>
      </c>
      <c r="V122" s="140">
        <f t="shared" si="150"/>
        <v>0.17590749672513184</v>
      </c>
      <c r="W122" s="140">
        <f t="shared" si="150"/>
        <v>0.1752781679468296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0.44096924922107655</v>
      </c>
      <c r="C123" s="127">
        <f>IF(C31=0,0,C31/C$29)</f>
        <v>0.67545042731042115</v>
      </c>
      <c r="D123" s="127">
        <f t="shared" ref="D123:W123" si="152">IF(D31=0,0,D31/D$29)</f>
        <v>0.71182875614613339</v>
      </c>
      <c r="E123" s="127">
        <f t="shared" si="152"/>
        <v>0.6939239737665297</v>
      </c>
      <c r="F123" s="127">
        <f t="shared" si="152"/>
        <v>0.7259121989534344</v>
      </c>
      <c r="G123" s="127">
        <f t="shared" si="152"/>
        <v>0.74349560280353333</v>
      </c>
      <c r="H123" s="127">
        <f t="shared" si="152"/>
        <v>0.76507346991287262</v>
      </c>
      <c r="I123" s="127">
        <f t="shared" si="152"/>
        <v>0.72714920739858679</v>
      </c>
      <c r="J123" s="127">
        <f t="shared" si="152"/>
        <v>0.69497647432391174</v>
      </c>
      <c r="K123" s="127">
        <f t="shared" si="152"/>
        <v>0.68842856990177304</v>
      </c>
      <c r="L123" s="127">
        <f t="shared" si="152"/>
        <v>0.71866400158918464</v>
      </c>
      <c r="M123" s="127">
        <f t="shared" si="152"/>
        <v>0.76661461425980859</v>
      </c>
      <c r="N123" s="127">
        <f t="shared" si="152"/>
        <v>0.79251894922175548</v>
      </c>
      <c r="O123" s="127">
        <f t="shared" si="152"/>
        <v>0.8119255527355409</v>
      </c>
      <c r="P123" s="127">
        <f t="shared" si="152"/>
        <v>0.82578123983886131</v>
      </c>
      <c r="Q123" s="127">
        <f t="shared" si="152"/>
        <v>0.82011255865300203</v>
      </c>
      <c r="R123" s="127">
        <f t="shared" si="152"/>
        <v>0.83032481845124861</v>
      </c>
      <c r="S123" s="127">
        <f t="shared" si="152"/>
        <v>0.82826051707645743</v>
      </c>
      <c r="T123" s="127">
        <f t="shared" si="152"/>
        <v>0.82681347522566828</v>
      </c>
      <c r="U123" s="127">
        <f t="shared" si="152"/>
        <v>0.82070056151822168</v>
      </c>
      <c r="V123" s="127">
        <f t="shared" si="152"/>
        <v>0.82409250327486816</v>
      </c>
      <c r="W123" s="127">
        <f t="shared" si="152"/>
        <v>0.82472183205317051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0.71785906515224474</v>
      </c>
      <c r="C127" s="139">
        <f t="shared" ref="C127:W127" si="155">IF(C35=0,0,C35/C$34)</f>
        <v>0.74509234333467766</v>
      </c>
      <c r="D127" s="139">
        <f t="shared" si="155"/>
        <v>0.75890315625662552</v>
      </c>
      <c r="E127" s="139">
        <f t="shared" si="155"/>
        <v>0.77237498327061693</v>
      </c>
      <c r="F127" s="139">
        <f t="shared" si="155"/>
        <v>0.76101915891984406</v>
      </c>
      <c r="G127" s="139">
        <f t="shared" si="155"/>
        <v>0.77625084330419136</v>
      </c>
      <c r="H127" s="139">
        <f t="shared" si="155"/>
        <v>0.76370336067004796</v>
      </c>
      <c r="I127" s="139">
        <f t="shared" si="155"/>
        <v>0.76971231917246941</v>
      </c>
      <c r="J127" s="139">
        <f t="shared" si="155"/>
        <v>0.76210153480494203</v>
      </c>
      <c r="K127" s="139">
        <f t="shared" si="155"/>
        <v>0.80023990278833579</v>
      </c>
      <c r="L127" s="139">
        <f t="shared" si="155"/>
        <v>0.82052861405413879</v>
      </c>
      <c r="M127" s="139">
        <f t="shared" si="155"/>
        <v>0.80989886858394089</v>
      </c>
      <c r="N127" s="139">
        <f t="shared" si="155"/>
        <v>0.80259287284481018</v>
      </c>
      <c r="O127" s="139">
        <f t="shared" si="155"/>
        <v>0.79574592562261359</v>
      </c>
      <c r="P127" s="139">
        <f t="shared" si="155"/>
        <v>0.76634276873682683</v>
      </c>
      <c r="Q127" s="139">
        <f t="shared" si="155"/>
        <v>0.7643021867219707</v>
      </c>
      <c r="R127" s="139">
        <f t="shared" si="155"/>
        <v>0.75377498014596012</v>
      </c>
      <c r="S127" s="139">
        <f t="shared" si="155"/>
        <v>0.73544251531854932</v>
      </c>
      <c r="T127" s="139">
        <f t="shared" si="155"/>
        <v>0.71567442434702677</v>
      </c>
      <c r="U127" s="139">
        <f t="shared" si="155"/>
        <v>0.71868714664513844</v>
      </c>
      <c r="V127" s="139">
        <f t="shared" si="155"/>
        <v>0.86888548141690336</v>
      </c>
      <c r="W127" s="139">
        <f t="shared" si="155"/>
        <v>0.78722597285509788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3.4794319535635047E-2</v>
      </c>
      <c r="C128" s="140">
        <f t="shared" ref="C128:W128" si="156">IF(C36=0,0,C36/C$34)</f>
        <v>3.7904141887188235E-2</v>
      </c>
      <c r="D128" s="140">
        <f t="shared" si="156"/>
        <v>4.0657523666820683E-2</v>
      </c>
      <c r="E128" s="140">
        <f t="shared" si="156"/>
        <v>3.982311055392164E-2</v>
      </c>
      <c r="F128" s="140">
        <f t="shared" si="156"/>
        <v>4.0212462544968297E-2</v>
      </c>
      <c r="G128" s="140">
        <f t="shared" si="156"/>
        <v>3.9733644044069046E-2</v>
      </c>
      <c r="H128" s="140">
        <f t="shared" si="156"/>
        <v>3.5012788753163403E-2</v>
      </c>
      <c r="I128" s="140">
        <f t="shared" si="156"/>
        <v>3.3721114845642733E-2</v>
      </c>
      <c r="J128" s="140">
        <f t="shared" si="156"/>
        <v>3.6855986330100031E-2</v>
      </c>
      <c r="K128" s="140">
        <f t="shared" si="156"/>
        <v>3.7825341804466825E-2</v>
      </c>
      <c r="L128" s="140">
        <f t="shared" si="156"/>
        <v>5.0341291714445999E-2</v>
      </c>
      <c r="M128" s="140">
        <f t="shared" si="156"/>
        <v>5.2317025434130721E-2</v>
      </c>
      <c r="N128" s="140">
        <f t="shared" si="156"/>
        <v>6.2602904834576159E-2</v>
      </c>
      <c r="O128" s="140">
        <f t="shared" si="156"/>
        <v>6.4603445167962514E-2</v>
      </c>
      <c r="P128" s="140">
        <f t="shared" si="156"/>
        <v>6.5156893331257085E-2</v>
      </c>
      <c r="Q128" s="140">
        <f t="shared" si="156"/>
        <v>6.5244165894573894E-2</v>
      </c>
      <c r="R128" s="140">
        <f t="shared" si="156"/>
        <v>6.1514237889869802E-2</v>
      </c>
      <c r="S128" s="140">
        <f t="shared" si="156"/>
        <v>5.8998493097406214E-2</v>
      </c>
      <c r="T128" s="140">
        <f t="shared" si="156"/>
        <v>5.2833774880497758E-2</v>
      </c>
      <c r="U128" s="140">
        <f t="shared" si="156"/>
        <v>5.4109697422861189E-2</v>
      </c>
      <c r="V128" s="140">
        <f t="shared" si="156"/>
        <v>6.3787808361322057E-2</v>
      </c>
      <c r="W128" s="140">
        <f t="shared" si="156"/>
        <v>5.7074828918894101E-2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0.5665348359161585</v>
      </c>
      <c r="C129" s="140">
        <f t="shared" ref="C129:W129" si="157">IF(C37=0,0,C37/C$34)</f>
        <v>0.59375566036283556</v>
      </c>
      <c r="D129" s="140">
        <f t="shared" si="157"/>
        <v>0.60810987814011608</v>
      </c>
      <c r="E129" s="140">
        <f t="shared" si="157"/>
        <v>0.60004718061778461</v>
      </c>
      <c r="F129" s="140">
        <f t="shared" si="157"/>
        <v>0.62035982851609173</v>
      </c>
      <c r="G129" s="140">
        <f t="shared" si="157"/>
        <v>0.62763157771604339</v>
      </c>
      <c r="H129" s="140">
        <f t="shared" si="157"/>
        <v>0.62580898597974954</v>
      </c>
      <c r="I129" s="140">
        <f t="shared" si="157"/>
        <v>0.63398764479151559</v>
      </c>
      <c r="J129" s="140">
        <f t="shared" si="157"/>
        <v>0.63002361763674275</v>
      </c>
      <c r="K129" s="140">
        <f t="shared" si="157"/>
        <v>0.64949367463452723</v>
      </c>
      <c r="L129" s="140">
        <f t="shared" si="157"/>
        <v>0.6586022197242285</v>
      </c>
      <c r="M129" s="140">
        <f t="shared" si="157"/>
        <v>0.63698344123194728</v>
      </c>
      <c r="N129" s="140">
        <f t="shared" si="157"/>
        <v>0.62448004021265324</v>
      </c>
      <c r="O129" s="140">
        <f t="shared" si="157"/>
        <v>0.59533211554883336</v>
      </c>
      <c r="P129" s="140">
        <f t="shared" si="157"/>
        <v>0.57157493122176029</v>
      </c>
      <c r="Q129" s="140">
        <f t="shared" si="157"/>
        <v>0.57786344964441838</v>
      </c>
      <c r="R129" s="140">
        <f t="shared" si="157"/>
        <v>0.57258356510974762</v>
      </c>
      <c r="S129" s="140">
        <f t="shared" si="157"/>
        <v>0.55943998923885707</v>
      </c>
      <c r="T129" s="140">
        <f t="shared" si="157"/>
        <v>0.54620547776578399</v>
      </c>
      <c r="U129" s="140">
        <f t="shared" si="157"/>
        <v>0.54628256803181641</v>
      </c>
      <c r="V129" s="140">
        <f t="shared" si="157"/>
        <v>0.64518478922054012</v>
      </c>
      <c r="W129" s="140">
        <f t="shared" si="157"/>
        <v>0.58991349735933118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0.11652990970045125</v>
      </c>
      <c r="C130" s="140">
        <f t="shared" ref="C130:W130" si="158">IF(C38=0,0,C38/C$34)</f>
        <v>0.11343254108465385</v>
      </c>
      <c r="D130" s="140">
        <f t="shared" si="158"/>
        <v>0.1101357544496888</v>
      </c>
      <c r="E130" s="140">
        <f t="shared" si="158"/>
        <v>0.13250469209891064</v>
      </c>
      <c r="F130" s="140">
        <f t="shared" si="158"/>
        <v>0.10044686785878409</v>
      </c>
      <c r="G130" s="140">
        <f t="shared" si="158"/>
        <v>0.10888562154407891</v>
      </c>
      <c r="H130" s="140">
        <f t="shared" si="158"/>
        <v>0.10288158593713492</v>
      </c>
      <c r="I130" s="140">
        <f t="shared" si="158"/>
        <v>0.10200355953531111</v>
      </c>
      <c r="J130" s="140">
        <f t="shared" si="158"/>
        <v>9.5221930838099308E-2</v>
      </c>
      <c r="K130" s="140">
        <f t="shared" si="158"/>
        <v>0.11292088634934182</v>
      </c>
      <c r="L130" s="140">
        <f t="shared" si="158"/>
        <v>0.11158510261546439</v>
      </c>
      <c r="M130" s="140">
        <f t="shared" si="158"/>
        <v>0.12059840191786289</v>
      </c>
      <c r="N130" s="140">
        <f t="shared" si="158"/>
        <v>0.11550992779758076</v>
      </c>
      <c r="O130" s="140">
        <f t="shared" si="158"/>
        <v>0.13581036490581766</v>
      </c>
      <c r="P130" s="140">
        <f t="shared" si="158"/>
        <v>0.12961094418380939</v>
      </c>
      <c r="Q130" s="140">
        <f t="shared" si="158"/>
        <v>0.12119457118297838</v>
      </c>
      <c r="R130" s="140">
        <f t="shared" si="158"/>
        <v>0.11967717714634266</v>
      </c>
      <c r="S130" s="140">
        <f t="shared" si="158"/>
        <v>0.11700403298228602</v>
      </c>
      <c r="T130" s="140">
        <f t="shared" si="158"/>
        <v>0.11663517170074506</v>
      </c>
      <c r="U130" s="140">
        <f t="shared" si="158"/>
        <v>0.1182948811904609</v>
      </c>
      <c r="V130" s="140">
        <f t="shared" si="158"/>
        <v>0.15991288383504135</v>
      </c>
      <c r="W130" s="140">
        <f t="shared" si="158"/>
        <v>0.14023764657687271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9.5017127233683989E-3</v>
      </c>
      <c r="C131" s="124">
        <f t="shared" ref="C131:W131" si="159">IF(C39=0,0,C39/C$34)</f>
        <v>9.7983304834449413E-3</v>
      </c>
      <c r="D131" s="124">
        <f t="shared" si="159"/>
        <v>9.5092519116566528E-3</v>
      </c>
      <c r="E131" s="124">
        <f t="shared" si="159"/>
        <v>8.7660660391015027E-3</v>
      </c>
      <c r="F131" s="124">
        <f t="shared" si="159"/>
        <v>8.646048282285131E-3</v>
      </c>
      <c r="G131" s="124">
        <f t="shared" si="159"/>
        <v>7.6726715183655743E-3</v>
      </c>
      <c r="H131" s="124">
        <f t="shared" si="159"/>
        <v>7.8722215743331232E-3</v>
      </c>
      <c r="I131" s="124">
        <f t="shared" si="159"/>
        <v>7.167875514507158E-3</v>
      </c>
      <c r="J131" s="124">
        <f t="shared" si="159"/>
        <v>6.5605349105311841E-3</v>
      </c>
      <c r="K131" s="124">
        <f t="shared" si="159"/>
        <v>6.0968721764633497E-3</v>
      </c>
      <c r="L131" s="124">
        <f t="shared" si="159"/>
        <v>4.1252192399880939E-3</v>
      </c>
      <c r="M131" s="124">
        <f t="shared" si="159"/>
        <v>3.6529307259013633E-3</v>
      </c>
      <c r="N131" s="124">
        <f t="shared" si="159"/>
        <v>6.5600450695842355E-3</v>
      </c>
      <c r="O131" s="124">
        <f t="shared" si="159"/>
        <v>6.1247095351956281E-3</v>
      </c>
      <c r="P131" s="124">
        <f t="shared" si="159"/>
        <v>1.3055774358210447E-2</v>
      </c>
      <c r="Q131" s="124">
        <f t="shared" si="159"/>
        <v>1.2994154166413491E-2</v>
      </c>
      <c r="R131" s="124">
        <f t="shared" si="159"/>
        <v>1.2160206419870537E-2</v>
      </c>
      <c r="S131" s="124">
        <f t="shared" si="159"/>
        <v>1.1546456003588952E-2</v>
      </c>
      <c r="T131" s="124">
        <f t="shared" si="159"/>
        <v>1.1032693127787369E-2</v>
      </c>
      <c r="U131" s="124">
        <f t="shared" si="159"/>
        <v>5.0201328185462187E-3</v>
      </c>
      <c r="V131" s="124">
        <f t="shared" si="159"/>
        <v>5.2138327460599003E-3</v>
      </c>
      <c r="W131" s="124">
        <f t="shared" si="159"/>
        <v>4.8131901184559596E-3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1.3139655873712849E-3</v>
      </c>
      <c r="C132" s="140">
        <f t="shared" ref="C132:W132" si="160">IF(C40=0,0,C40/C$34)</f>
        <v>1.463828093129568E-3</v>
      </c>
      <c r="D132" s="140">
        <f t="shared" si="160"/>
        <v>1.4452304044665395E-3</v>
      </c>
      <c r="E132" s="140">
        <f t="shared" si="160"/>
        <v>1.415431870799336E-3</v>
      </c>
      <c r="F132" s="140">
        <f t="shared" si="160"/>
        <v>1.4984678659989254E-3</v>
      </c>
      <c r="G132" s="140">
        <f t="shared" si="160"/>
        <v>7.1150636737635296E-4</v>
      </c>
      <c r="H132" s="140">
        <f t="shared" si="160"/>
        <v>1.1375952464402397E-3</v>
      </c>
      <c r="I132" s="140">
        <f t="shared" si="160"/>
        <v>1.3101800265871782E-3</v>
      </c>
      <c r="J132" s="140">
        <f t="shared" si="160"/>
        <v>8.9019403686603352E-4</v>
      </c>
      <c r="K132" s="140">
        <f t="shared" si="160"/>
        <v>1.0246950557475983E-3</v>
      </c>
      <c r="L132" s="140">
        <f t="shared" si="160"/>
        <v>6.7868646477247578E-4</v>
      </c>
      <c r="M132" s="140">
        <f t="shared" si="160"/>
        <v>8.8379365239641848E-4</v>
      </c>
      <c r="N132" s="140">
        <f t="shared" si="160"/>
        <v>9.1617340853247288E-4</v>
      </c>
      <c r="O132" s="140">
        <f t="shared" si="160"/>
        <v>1.5076678378195749E-3</v>
      </c>
      <c r="P132" s="140">
        <f t="shared" si="160"/>
        <v>1.9047537130407043E-3</v>
      </c>
      <c r="Q132" s="140">
        <f t="shared" si="160"/>
        <v>1.7166747381191392E-3</v>
      </c>
      <c r="R132" s="140">
        <f t="shared" si="160"/>
        <v>1.6078173885086403E-3</v>
      </c>
      <c r="S132" s="140">
        <f t="shared" si="160"/>
        <v>1.6170360084706704E-3</v>
      </c>
      <c r="T132" s="140">
        <f t="shared" si="160"/>
        <v>1.5680672384686049E-3</v>
      </c>
      <c r="U132" s="140">
        <f t="shared" si="160"/>
        <v>1.3316307640092642E-3</v>
      </c>
      <c r="V132" s="140">
        <f t="shared" si="160"/>
        <v>1.8253395539312746E-3</v>
      </c>
      <c r="W132" s="140">
        <f t="shared" si="160"/>
        <v>1.5739646425093131E-3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8.1877471359971133E-3</v>
      </c>
      <c r="C133" s="140">
        <f t="shared" ref="C133:W133" si="161">IF(C41=0,0,C41/C$34)</f>
        <v>8.3345023903153743E-3</v>
      </c>
      <c r="D133" s="140">
        <f t="shared" si="161"/>
        <v>8.0640215071901122E-3</v>
      </c>
      <c r="E133" s="140">
        <f t="shared" si="161"/>
        <v>7.3506341683021665E-3</v>
      </c>
      <c r="F133" s="140">
        <f t="shared" si="161"/>
        <v>7.1475804162862058E-3</v>
      </c>
      <c r="G133" s="140">
        <f t="shared" si="161"/>
        <v>6.9611651509892212E-3</v>
      </c>
      <c r="H133" s="140">
        <f t="shared" si="161"/>
        <v>6.7346263278928835E-3</v>
      </c>
      <c r="I133" s="140">
        <f t="shared" si="161"/>
        <v>5.85769548791998E-3</v>
      </c>
      <c r="J133" s="140">
        <f t="shared" si="161"/>
        <v>5.6703408736651509E-3</v>
      </c>
      <c r="K133" s="140">
        <f t="shared" si="161"/>
        <v>5.0721771207157523E-3</v>
      </c>
      <c r="L133" s="140">
        <f t="shared" si="161"/>
        <v>3.4465327752156182E-3</v>
      </c>
      <c r="M133" s="140">
        <f t="shared" si="161"/>
        <v>2.7691370735049444E-3</v>
      </c>
      <c r="N133" s="140">
        <f t="shared" si="161"/>
        <v>5.6438716610517628E-3</v>
      </c>
      <c r="O133" s="140">
        <f t="shared" si="161"/>
        <v>4.6170416973760533E-3</v>
      </c>
      <c r="P133" s="140">
        <f t="shared" si="161"/>
        <v>1.1151020645169743E-2</v>
      </c>
      <c r="Q133" s="140">
        <f t="shared" si="161"/>
        <v>1.1277479428294353E-2</v>
      </c>
      <c r="R133" s="140">
        <f t="shared" si="161"/>
        <v>1.0552389031361898E-2</v>
      </c>
      <c r="S133" s="140">
        <f t="shared" si="161"/>
        <v>9.929419995118283E-3</v>
      </c>
      <c r="T133" s="140">
        <f t="shared" si="161"/>
        <v>9.4646258893187635E-3</v>
      </c>
      <c r="U133" s="140">
        <f t="shared" si="161"/>
        <v>3.6885020545369546E-3</v>
      </c>
      <c r="V133" s="140">
        <f t="shared" si="161"/>
        <v>3.3884931921286262E-3</v>
      </c>
      <c r="W133" s="140">
        <f t="shared" si="161"/>
        <v>3.2392254759466468E-3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0</v>
      </c>
      <c r="C134" s="140">
        <f t="shared" ref="C134:W134" si="162">IF(C42=0,0,C42/C$34)</f>
        <v>0</v>
      </c>
      <c r="D134" s="140">
        <f t="shared" si="162"/>
        <v>0</v>
      </c>
      <c r="E134" s="140">
        <f t="shared" si="162"/>
        <v>0</v>
      </c>
      <c r="F134" s="140">
        <f t="shared" si="162"/>
        <v>0</v>
      </c>
      <c r="G134" s="140">
        <f t="shared" si="162"/>
        <v>0</v>
      </c>
      <c r="H134" s="140">
        <f t="shared" si="162"/>
        <v>0</v>
      </c>
      <c r="I134" s="140">
        <f t="shared" si="162"/>
        <v>0</v>
      </c>
      <c r="J134" s="140">
        <f t="shared" si="162"/>
        <v>0</v>
      </c>
      <c r="K134" s="140">
        <f t="shared" si="162"/>
        <v>0</v>
      </c>
      <c r="L134" s="140">
        <f t="shared" si="162"/>
        <v>0</v>
      </c>
      <c r="M134" s="140">
        <f t="shared" si="162"/>
        <v>0</v>
      </c>
      <c r="N134" s="140">
        <f t="shared" si="162"/>
        <v>0</v>
      </c>
      <c r="O134" s="140">
        <f t="shared" si="162"/>
        <v>0</v>
      </c>
      <c r="P134" s="140">
        <f t="shared" si="162"/>
        <v>0</v>
      </c>
      <c r="Q134" s="140">
        <f t="shared" si="162"/>
        <v>0</v>
      </c>
      <c r="R134" s="140">
        <f t="shared" si="162"/>
        <v>0</v>
      </c>
      <c r="S134" s="140">
        <f t="shared" si="162"/>
        <v>0</v>
      </c>
      <c r="T134" s="140">
        <f t="shared" si="162"/>
        <v>0</v>
      </c>
      <c r="U134" s="140">
        <f t="shared" si="162"/>
        <v>0</v>
      </c>
      <c r="V134" s="140">
        <f t="shared" si="162"/>
        <v>0</v>
      </c>
      <c r="W134" s="140">
        <f t="shared" si="162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0.27263922212438696</v>
      </c>
      <c r="C135" s="124">
        <f t="shared" ref="C135:W135" si="163">IF(C43=0,0,C43/C$34)</f>
        <v>0.24510932618187725</v>
      </c>
      <c r="D135" s="124">
        <f t="shared" si="163"/>
        <v>0.23158759183171787</v>
      </c>
      <c r="E135" s="124">
        <f t="shared" si="163"/>
        <v>0.21885895069028158</v>
      </c>
      <c r="F135" s="124">
        <f t="shared" si="163"/>
        <v>0.23033479279787078</v>
      </c>
      <c r="G135" s="124">
        <f t="shared" si="163"/>
        <v>0.21607648517744299</v>
      </c>
      <c r="H135" s="124">
        <f t="shared" si="163"/>
        <v>0.22842441775561884</v>
      </c>
      <c r="I135" s="124">
        <f t="shared" si="163"/>
        <v>0.22311980531302339</v>
      </c>
      <c r="J135" s="124">
        <f t="shared" si="163"/>
        <v>0.23133793028452682</v>
      </c>
      <c r="K135" s="124">
        <f t="shared" si="163"/>
        <v>0.19366322503520089</v>
      </c>
      <c r="L135" s="124">
        <f t="shared" si="163"/>
        <v>0.17534616670587311</v>
      </c>
      <c r="M135" s="124">
        <f t="shared" si="163"/>
        <v>0.1864482006901578</v>
      </c>
      <c r="N135" s="124">
        <f t="shared" si="163"/>
        <v>0.19084708208560558</v>
      </c>
      <c r="O135" s="124">
        <f t="shared" si="163"/>
        <v>0.19812936484219082</v>
      </c>
      <c r="P135" s="124">
        <f t="shared" si="163"/>
        <v>0.2206014569049628</v>
      </c>
      <c r="Q135" s="124">
        <f t="shared" si="163"/>
        <v>0.22270365911161583</v>
      </c>
      <c r="R135" s="124">
        <f t="shared" si="163"/>
        <v>0.23406481343416918</v>
      </c>
      <c r="S135" s="124">
        <f t="shared" si="163"/>
        <v>0.25301102867786185</v>
      </c>
      <c r="T135" s="124">
        <f t="shared" si="163"/>
        <v>0.27329288252518574</v>
      </c>
      <c r="U135" s="124">
        <f t="shared" si="163"/>
        <v>0.27629272053631537</v>
      </c>
      <c r="V135" s="124">
        <f t="shared" si="163"/>
        <v>0.1259006858370367</v>
      </c>
      <c r="W135" s="124">
        <f t="shared" si="163"/>
        <v>0.2079608370264461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0.10446654303443599</v>
      </c>
      <c r="C136" s="140">
        <f t="shared" ref="C136:W136" si="164">IF(C44=0,0,C44/C$34)</f>
        <v>8.8733003337241198E-2</v>
      </c>
      <c r="D136" s="140">
        <f t="shared" si="164"/>
        <v>7.9035199133670825E-2</v>
      </c>
      <c r="E136" s="140">
        <f t="shared" si="164"/>
        <v>7.0998515393271733E-2</v>
      </c>
      <c r="F136" s="140">
        <f t="shared" si="164"/>
        <v>7.664704388896118E-2</v>
      </c>
      <c r="G136" s="140">
        <f t="shared" si="164"/>
        <v>7.3738207683751958E-2</v>
      </c>
      <c r="H136" s="140">
        <f t="shared" si="164"/>
        <v>6.3945818600844126E-2</v>
      </c>
      <c r="I136" s="140">
        <f t="shared" si="164"/>
        <v>6.1024041403958652E-2</v>
      </c>
      <c r="J136" s="140">
        <f t="shared" si="164"/>
        <v>5.9609479063773965E-2</v>
      </c>
      <c r="K136" s="140">
        <f t="shared" si="164"/>
        <v>4.9343206488753996E-2</v>
      </c>
      <c r="L136" s="140">
        <f t="shared" si="164"/>
        <v>4.5338007743775284E-2</v>
      </c>
      <c r="M136" s="140">
        <f t="shared" si="164"/>
        <v>4.313688327551618E-2</v>
      </c>
      <c r="N136" s="140">
        <f t="shared" si="164"/>
        <v>4.2360875139745423E-2</v>
      </c>
      <c r="O136" s="140">
        <f t="shared" si="164"/>
        <v>4.1279074908424834E-2</v>
      </c>
      <c r="P136" s="140">
        <f t="shared" si="164"/>
        <v>4.1551031078283049E-2</v>
      </c>
      <c r="Q136" s="140">
        <f t="shared" si="164"/>
        <v>3.7729795897096824E-2</v>
      </c>
      <c r="R136" s="140">
        <f t="shared" si="164"/>
        <v>4.1548244360157534E-2</v>
      </c>
      <c r="S136" s="140">
        <f t="shared" si="164"/>
        <v>4.1936603172775547E-2</v>
      </c>
      <c r="T136" s="140">
        <f t="shared" si="164"/>
        <v>4.6441946210301989E-2</v>
      </c>
      <c r="U136" s="140">
        <f t="shared" si="164"/>
        <v>4.5954731561888812E-2</v>
      </c>
      <c r="V136" s="140">
        <f t="shared" si="164"/>
        <v>2.5894894248893196E-2</v>
      </c>
      <c r="W136" s="140">
        <f t="shared" si="164"/>
        <v>3.7447883306295594E-2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0.13896302826519749</v>
      </c>
      <c r="C137" s="140">
        <f t="shared" ref="C137:W137" si="165">IF(C45=0,0,C45/C$34)</f>
        <v>0.12921528746664407</v>
      </c>
      <c r="D137" s="140">
        <f t="shared" si="165"/>
        <v>0.12605615435980216</v>
      </c>
      <c r="E137" s="140">
        <f t="shared" si="165"/>
        <v>0.12217966272234339</v>
      </c>
      <c r="F137" s="140">
        <f t="shared" si="165"/>
        <v>0.12456120415096218</v>
      </c>
      <c r="G137" s="140">
        <f t="shared" si="165"/>
        <v>0.11516062257667835</v>
      </c>
      <c r="H137" s="140">
        <f t="shared" si="165"/>
        <v>0.13368613081045405</v>
      </c>
      <c r="I137" s="140">
        <f t="shared" si="165"/>
        <v>0.13205774464055001</v>
      </c>
      <c r="J137" s="140">
        <f t="shared" si="165"/>
        <v>0.13902075176688999</v>
      </c>
      <c r="K137" s="140">
        <f t="shared" si="165"/>
        <v>0.11562694776145128</v>
      </c>
      <c r="L137" s="140">
        <f t="shared" si="165"/>
        <v>0.10349895980470862</v>
      </c>
      <c r="M137" s="140">
        <f t="shared" si="165"/>
        <v>0.11419911671609616</v>
      </c>
      <c r="N137" s="140">
        <f t="shared" si="165"/>
        <v>0.11782030040138719</v>
      </c>
      <c r="O137" s="140">
        <f t="shared" si="165"/>
        <v>0.12444437754227379</v>
      </c>
      <c r="P137" s="140">
        <f t="shared" si="165"/>
        <v>0.14338785287389283</v>
      </c>
      <c r="Q137" s="140">
        <f t="shared" si="165"/>
        <v>0.1485506351842063</v>
      </c>
      <c r="R137" s="140">
        <f t="shared" si="165"/>
        <v>0.15646511263195489</v>
      </c>
      <c r="S137" s="140">
        <f t="shared" si="165"/>
        <v>0.17295452293525057</v>
      </c>
      <c r="T137" s="140">
        <f t="shared" si="165"/>
        <v>0.18603875002216841</v>
      </c>
      <c r="U137" s="140">
        <f t="shared" si="165"/>
        <v>0.18789489378950536</v>
      </c>
      <c r="V137" s="140">
        <f t="shared" si="165"/>
        <v>7.5279844675813459E-2</v>
      </c>
      <c r="W137" s="140">
        <f t="shared" si="165"/>
        <v>0.1343084133375958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2.920965082475346E-2</v>
      </c>
      <c r="C138" s="140">
        <f t="shared" ref="C138:W138" si="166">IF(C46=0,0,C46/C$34)</f>
        <v>2.7161035377992013E-2</v>
      </c>
      <c r="D138" s="140">
        <f t="shared" si="166"/>
        <v>2.649623833824493E-2</v>
      </c>
      <c r="E138" s="140">
        <f t="shared" si="166"/>
        <v>2.568077257466642E-2</v>
      </c>
      <c r="F138" s="140">
        <f t="shared" si="166"/>
        <v>2.912654475794741E-2</v>
      </c>
      <c r="G138" s="140">
        <f t="shared" si="166"/>
        <v>2.7177654917012673E-2</v>
      </c>
      <c r="H138" s="140">
        <f t="shared" si="166"/>
        <v>3.0792468344320683E-2</v>
      </c>
      <c r="I138" s="140">
        <f t="shared" si="166"/>
        <v>3.0038019268514741E-2</v>
      </c>
      <c r="J138" s="140">
        <f t="shared" si="166"/>
        <v>3.2707699453862843E-2</v>
      </c>
      <c r="K138" s="140">
        <f t="shared" si="166"/>
        <v>2.8693070784995615E-2</v>
      </c>
      <c r="L138" s="140">
        <f t="shared" si="166"/>
        <v>2.65091991573892E-2</v>
      </c>
      <c r="M138" s="140">
        <f t="shared" si="166"/>
        <v>2.9112200698545452E-2</v>
      </c>
      <c r="N138" s="140">
        <f t="shared" si="166"/>
        <v>3.0665906544472963E-2</v>
      </c>
      <c r="O138" s="140">
        <f t="shared" si="166"/>
        <v>3.2405912391492195E-2</v>
      </c>
      <c r="P138" s="140">
        <f t="shared" si="166"/>
        <v>3.5662572952786915E-2</v>
      </c>
      <c r="Q138" s="140">
        <f t="shared" si="166"/>
        <v>3.6423228030312699E-2</v>
      </c>
      <c r="R138" s="140">
        <f t="shared" si="166"/>
        <v>3.6051456442056762E-2</v>
      </c>
      <c r="S138" s="140">
        <f t="shared" si="166"/>
        <v>3.8119902569835704E-2</v>
      </c>
      <c r="T138" s="140">
        <f t="shared" si="166"/>
        <v>4.0812186292715318E-2</v>
      </c>
      <c r="U138" s="140">
        <f t="shared" si="166"/>
        <v>4.2443095184921231E-2</v>
      </c>
      <c r="V138" s="140">
        <f t="shared" si="166"/>
        <v>2.472594691233004E-2</v>
      </c>
      <c r="W138" s="140">
        <f t="shared" si="166"/>
        <v>3.6204540382554717E-2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0.77911836607580842</v>
      </c>
      <c r="C140" s="139">
        <f t="shared" ref="C140:W140" si="169">IF(C48=0,0,C48/C$47)</f>
        <v>0.72568774151307369</v>
      </c>
      <c r="D140" s="139">
        <f t="shared" si="169"/>
        <v>0.74855964778330442</v>
      </c>
      <c r="E140" s="139">
        <f t="shared" si="169"/>
        <v>0.75291183501916437</v>
      </c>
      <c r="F140" s="139">
        <f t="shared" si="169"/>
        <v>0.74526942361237702</v>
      </c>
      <c r="G140" s="139">
        <f t="shared" si="169"/>
        <v>0.74466756762335096</v>
      </c>
      <c r="H140" s="139">
        <f t="shared" si="169"/>
        <v>0.73654505773420964</v>
      </c>
      <c r="I140" s="139">
        <f t="shared" si="169"/>
        <v>0.75768449792968617</v>
      </c>
      <c r="J140" s="139">
        <f t="shared" si="169"/>
        <v>0.7728177321193046</v>
      </c>
      <c r="K140" s="139">
        <f t="shared" si="169"/>
        <v>0.73341419024491372</v>
      </c>
      <c r="L140" s="139">
        <f t="shared" si="169"/>
        <v>0.7538082458986558</v>
      </c>
      <c r="M140" s="139">
        <f t="shared" si="169"/>
        <v>0.77411862518166918</v>
      </c>
      <c r="N140" s="139">
        <f t="shared" si="169"/>
        <v>0.71546486518615804</v>
      </c>
      <c r="O140" s="139">
        <f t="shared" si="169"/>
        <v>0.78203738466249451</v>
      </c>
      <c r="P140" s="139">
        <f t="shared" si="169"/>
        <v>0.78100682059505044</v>
      </c>
      <c r="Q140" s="139">
        <f t="shared" si="169"/>
        <v>0.74640715936325508</v>
      </c>
      <c r="R140" s="139">
        <f t="shared" si="169"/>
        <v>0.74775765264519756</v>
      </c>
      <c r="S140" s="139">
        <f t="shared" si="169"/>
        <v>0.73136700179872138</v>
      </c>
      <c r="T140" s="139">
        <f t="shared" si="169"/>
        <v>0.71751605008447894</v>
      </c>
      <c r="U140" s="139">
        <f t="shared" si="169"/>
        <v>0.71681071710850908</v>
      </c>
      <c r="V140" s="139">
        <f t="shared" si="169"/>
        <v>0.73926198706731672</v>
      </c>
      <c r="W140" s="139">
        <f t="shared" si="169"/>
        <v>0.73288112324863675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0.32930348417929456</v>
      </c>
      <c r="C141" s="140">
        <f t="shared" ref="C141:W141" si="170">IF(C49=0,0,C49/C$47)</f>
        <v>0.30201088710836199</v>
      </c>
      <c r="D141" s="140">
        <f t="shared" si="170"/>
        <v>0.31148087401729352</v>
      </c>
      <c r="E141" s="140">
        <f t="shared" si="170"/>
        <v>0.3194764360800072</v>
      </c>
      <c r="F141" s="140">
        <f t="shared" si="170"/>
        <v>0.29297274186072686</v>
      </c>
      <c r="G141" s="140">
        <f t="shared" si="170"/>
        <v>0.30593765817616564</v>
      </c>
      <c r="H141" s="140">
        <f t="shared" si="170"/>
        <v>0.28786011455929889</v>
      </c>
      <c r="I141" s="140">
        <f t="shared" si="170"/>
        <v>0.30027318046633084</v>
      </c>
      <c r="J141" s="140">
        <f t="shared" si="170"/>
        <v>0.30375199959288596</v>
      </c>
      <c r="K141" s="140">
        <f t="shared" si="170"/>
        <v>0.23352036930724285</v>
      </c>
      <c r="L141" s="140">
        <f t="shared" si="170"/>
        <v>0.26620470045908823</v>
      </c>
      <c r="M141" s="140">
        <f t="shared" si="170"/>
        <v>0.28987755829985717</v>
      </c>
      <c r="N141" s="140">
        <f t="shared" si="170"/>
        <v>0.29442545066515224</v>
      </c>
      <c r="O141" s="140">
        <f t="shared" si="170"/>
        <v>0.31881251399073668</v>
      </c>
      <c r="P141" s="140">
        <f t="shared" si="170"/>
        <v>0.30815295157594452</v>
      </c>
      <c r="Q141" s="140">
        <f t="shared" si="170"/>
        <v>0.35919294705086247</v>
      </c>
      <c r="R141" s="140">
        <f t="shared" si="170"/>
        <v>0.36163167243124772</v>
      </c>
      <c r="S141" s="140">
        <f t="shared" si="170"/>
        <v>0.33127283931436086</v>
      </c>
      <c r="T141" s="140">
        <f t="shared" si="170"/>
        <v>0.31898566459489863</v>
      </c>
      <c r="U141" s="140">
        <f t="shared" si="170"/>
        <v>0.30828781063067373</v>
      </c>
      <c r="V141" s="140">
        <f t="shared" si="170"/>
        <v>0.30450714473085055</v>
      </c>
      <c r="W141" s="140">
        <f t="shared" si="170"/>
        <v>0.30368972276599437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0.44981488189651386</v>
      </c>
      <c r="C142" s="140">
        <f t="shared" ref="C142:W142" si="171">IF(C50=0,0,C50/C$47)</f>
        <v>0.4236768544047117</v>
      </c>
      <c r="D142" s="140">
        <f t="shared" si="171"/>
        <v>0.4370787737660109</v>
      </c>
      <c r="E142" s="140">
        <f t="shared" si="171"/>
        <v>0.43343539893915717</v>
      </c>
      <c r="F142" s="140">
        <f t="shared" si="171"/>
        <v>0.45229668175165011</v>
      </c>
      <c r="G142" s="140">
        <f t="shared" si="171"/>
        <v>0.43872990944718537</v>
      </c>
      <c r="H142" s="140">
        <f t="shared" si="171"/>
        <v>0.44868494317491064</v>
      </c>
      <c r="I142" s="140">
        <f t="shared" si="171"/>
        <v>0.45741131746335534</v>
      </c>
      <c r="J142" s="140">
        <f t="shared" si="171"/>
        <v>0.46906573252641859</v>
      </c>
      <c r="K142" s="140">
        <f t="shared" si="171"/>
        <v>0.49989382093767093</v>
      </c>
      <c r="L142" s="140">
        <f t="shared" si="171"/>
        <v>0.48760354543956758</v>
      </c>
      <c r="M142" s="140">
        <f t="shared" si="171"/>
        <v>0.48424106688181201</v>
      </c>
      <c r="N142" s="140">
        <f t="shared" si="171"/>
        <v>0.42103941452100574</v>
      </c>
      <c r="O142" s="140">
        <f t="shared" si="171"/>
        <v>0.46322487067175783</v>
      </c>
      <c r="P142" s="140">
        <f t="shared" si="171"/>
        <v>0.47285386901910592</v>
      </c>
      <c r="Q142" s="140">
        <f t="shared" si="171"/>
        <v>0.38721421231239261</v>
      </c>
      <c r="R142" s="140">
        <f t="shared" si="171"/>
        <v>0.38612598021394984</v>
      </c>
      <c r="S142" s="140">
        <f t="shared" si="171"/>
        <v>0.40009416248436058</v>
      </c>
      <c r="T142" s="140">
        <f t="shared" si="171"/>
        <v>0.39853038548958025</v>
      </c>
      <c r="U142" s="140">
        <f t="shared" si="171"/>
        <v>0.40852290647783535</v>
      </c>
      <c r="V142" s="140">
        <f t="shared" si="171"/>
        <v>0.43475484233646622</v>
      </c>
      <c r="W142" s="140">
        <f t="shared" si="171"/>
        <v>0.42919140048264232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1.3723551786260762E-3</v>
      </c>
      <c r="C143" s="124">
        <f t="shared" ref="C143:W143" si="172">IF(C51=0,0,C51/C$47)</f>
        <v>1.1102963013469771E-3</v>
      </c>
      <c r="D143" s="124">
        <f t="shared" si="172"/>
        <v>1.0746715736883851E-3</v>
      </c>
      <c r="E143" s="124">
        <f t="shared" si="172"/>
        <v>1.424480700242279E-3</v>
      </c>
      <c r="F143" s="124">
        <f t="shared" si="172"/>
        <v>1.7037075183962073E-3</v>
      </c>
      <c r="G143" s="124">
        <f t="shared" si="172"/>
        <v>1.3211731226717243E-3</v>
      </c>
      <c r="H143" s="124">
        <f t="shared" si="172"/>
        <v>1.3632115416684584E-3</v>
      </c>
      <c r="I143" s="124">
        <f t="shared" si="172"/>
        <v>1.6844891546845594E-3</v>
      </c>
      <c r="J143" s="124">
        <f t="shared" si="172"/>
        <v>2.2305876066496299E-3</v>
      </c>
      <c r="K143" s="124">
        <f t="shared" si="172"/>
        <v>8.2348197626790976E-4</v>
      </c>
      <c r="L143" s="124">
        <f t="shared" si="172"/>
        <v>9.9892701101467109E-4</v>
      </c>
      <c r="M143" s="124">
        <f t="shared" si="172"/>
        <v>6.6971426752431256E-4</v>
      </c>
      <c r="N143" s="124">
        <f t="shared" si="172"/>
        <v>8.7182333741373072E-4</v>
      </c>
      <c r="O143" s="124">
        <f t="shared" si="172"/>
        <v>6.0465266699256666E-4</v>
      </c>
      <c r="P143" s="124">
        <f t="shared" si="172"/>
        <v>8.0779452538731191E-4</v>
      </c>
      <c r="Q143" s="124">
        <f t="shared" si="172"/>
        <v>7.4631417165369677E-4</v>
      </c>
      <c r="R143" s="124">
        <f t="shared" si="172"/>
        <v>6.0698689729922028E-4</v>
      </c>
      <c r="S143" s="124">
        <f t="shared" si="172"/>
        <v>8.6911153851509709E-4</v>
      </c>
      <c r="T143" s="124">
        <f t="shared" si="172"/>
        <v>9.5043590577159707E-4</v>
      </c>
      <c r="U143" s="124">
        <f t="shared" si="172"/>
        <v>9.0140201107086649E-4</v>
      </c>
      <c r="V143" s="124">
        <f t="shared" si="172"/>
        <v>1.2821587013615195E-3</v>
      </c>
      <c r="W143" s="124">
        <f t="shared" si="172"/>
        <v>1.1093609742818397E-3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1.388745340967249E-2</v>
      </c>
      <c r="C144" s="124">
        <f t="shared" ref="C144:W144" si="173">IF(C52=0,0,C52/C$47)</f>
        <v>1.4047389014013867E-2</v>
      </c>
      <c r="D144" s="124">
        <f t="shared" si="173"/>
        <v>1.3730813531955819E-2</v>
      </c>
      <c r="E144" s="124">
        <f t="shared" si="173"/>
        <v>1.1621935579601941E-2</v>
      </c>
      <c r="F144" s="124">
        <f t="shared" si="173"/>
        <v>7.215039219189142E-3</v>
      </c>
      <c r="G144" s="124">
        <f t="shared" si="173"/>
        <v>7.3990067442900069E-3</v>
      </c>
      <c r="H144" s="124">
        <f t="shared" si="173"/>
        <v>8.2148111434603103E-3</v>
      </c>
      <c r="I144" s="124">
        <f t="shared" si="173"/>
        <v>7.0343891474159695E-3</v>
      </c>
      <c r="J144" s="124">
        <f t="shared" si="173"/>
        <v>7.9551517020961509E-3</v>
      </c>
      <c r="K144" s="124">
        <f t="shared" si="173"/>
        <v>4.7241987285363586E-3</v>
      </c>
      <c r="L144" s="124">
        <f t="shared" si="173"/>
        <v>4.177852091567744E-3</v>
      </c>
      <c r="M144" s="124">
        <f t="shared" si="173"/>
        <v>5.2386826453302065E-3</v>
      </c>
      <c r="N144" s="124">
        <f t="shared" si="173"/>
        <v>5.6061706508538783E-3</v>
      </c>
      <c r="O144" s="124">
        <f t="shared" si="173"/>
        <v>4.9513231194646358E-3</v>
      </c>
      <c r="P144" s="124">
        <f t="shared" si="173"/>
        <v>3.8495528491529281E-3</v>
      </c>
      <c r="Q144" s="124">
        <f t="shared" si="173"/>
        <v>3.5419940166818657E-3</v>
      </c>
      <c r="R144" s="124">
        <f t="shared" si="173"/>
        <v>3.2793397439943887E-3</v>
      </c>
      <c r="S144" s="124">
        <f t="shared" si="173"/>
        <v>3.3848034713816195E-3</v>
      </c>
      <c r="T144" s="124">
        <f t="shared" si="173"/>
        <v>4.5994198435654427E-3</v>
      </c>
      <c r="U144" s="124">
        <f t="shared" si="173"/>
        <v>4.3139428196132951E-3</v>
      </c>
      <c r="V144" s="124">
        <f t="shared" si="173"/>
        <v>3.7005068193135889E-3</v>
      </c>
      <c r="W144" s="124">
        <f t="shared" si="173"/>
        <v>4.5367175350414157E-3</v>
      </c>
      <c r="DA144" s="176"/>
    </row>
    <row r="145" spans="1:105" ht="11.45" customHeight="1" x14ac:dyDescent="0.25">
      <c r="A145" s="128" t="s">
        <v>27</v>
      </c>
      <c r="B145" s="140">
        <f t="shared" si="167"/>
        <v>6.5224855360183137E-3</v>
      </c>
      <c r="C145" s="140">
        <f t="shared" ref="C145:W145" si="174">IF(C53=0,0,C53/C$47)</f>
        <v>6.3417799017656332E-3</v>
      </c>
      <c r="D145" s="140">
        <f t="shared" si="174"/>
        <v>6.0951411692362987E-3</v>
      </c>
      <c r="E145" s="140">
        <f t="shared" si="174"/>
        <v>5.0596230740446255E-3</v>
      </c>
      <c r="F145" s="140">
        <f t="shared" si="174"/>
        <v>2.6820925652375352E-3</v>
      </c>
      <c r="G145" s="140">
        <f t="shared" si="174"/>
        <v>2.7614892596866942E-3</v>
      </c>
      <c r="H145" s="140">
        <f t="shared" si="174"/>
        <v>2.3149691568076212E-3</v>
      </c>
      <c r="I145" s="140">
        <f t="shared" si="174"/>
        <v>1.8301336676810782E-3</v>
      </c>
      <c r="J145" s="140">
        <f t="shared" si="174"/>
        <v>2.0608235613846309E-3</v>
      </c>
      <c r="K145" s="140">
        <f t="shared" si="174"/>
        <v>1.0271582111852039E-3</v>
      </c>
      <c r="L145" s="140">
        <f t="shared" si="174"/>
        <v>9.3740334140891043E-4</v>
      </c>
      <c r="M145" s="140">
        <f t="shared" si="174"/>
        <v>9.6924888823980509E-4</v>
      </c>
      <c r="N145" s="140">
        <f t="shared" si="174"/>
        <v>8.9304083074756362E-4</v>
      </c>
      <c r="O145" s="140">
        <f t="shared" si="174"/>
        <v>7.9238427387197017E-4</v>
      </c>
      <c r="P145" s="140">
        <f t="shared" si="174"/>
        <v>4.7626268324477139E-4</v>
      </c>
      <c r="Q145" s="140">
        <f t="shared" si="174"/>
        <v>3.7572633251116335E-4</v>
      </c>
      <c r="R145" s="140">
        <f t="shared" si="174"/>
        <v>3.2124107839449597E-4</v>
      </c>
      <c r="S145" s="140">
        <f t="shared" si="174"/>
        <v>2.333122833825025E-4</v>
      </c>
      <c r="T145" s="140">
        <f t="shared" si="174"/>
        <v>4.59151733169329E-4</v>
      </c>
      <c r="U145" s="140">
        <f t="shared" si="174"/>
        <v>3.8555432787015602E-4</v>
      </c>
      <c r="V145" s="140">
        <f t="shared" si="174"/>
        <v>1.8675431355729023E-4</v>
      </c>
      <c r="W145" s="140">
        <f t="shared" si="174"/>
        <v>2.3521134802286637E-4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6.6644642380021069E-3</v>
      </c>
      <c r="C146" s="140">
        <f t="shared" ref="C146:W146" si="175">IF(C54=0,0,C54/C$47)</f>
        <v>7.0803840890984928E-3</v>
      </c>
      <c r="D146" s="140">
        <f t="shared" si="175"/>
        <v>6.9950285235042264E-3</v>
      </c>
      <c r="E146" s="140">
        <f t="shared" si="175"/>
        <v>5.8561687425239435E-3</v>
      </c>
      <c r="F146" s="140">
        <f t="shared" si="175"/>
        <v>4.0545709902701675E-3</v>
      </c>
      <c r="G146" s="140">
        <f t="shared" si="175"/>
        <v>4.1428775501181885E-3</v>
      </c>
      <c r="H146" s="140">
        <f t="shared" si="175"/>
        <v>5.4062746492000852E-3</v>
      </c>
      <c r="I146" s="140">
        <f t="shared" si="175"/>
        <v>4.7942151223794279E-3</v>
      </c>
      <c r="J146" s="140">
        <f t="shared" si="175"/>
        <v>5.4377361077560553E-3</v>
      </c>
      <c r="K146" s="140">
        <f t="shared" si="175"/>
        <v>3.4015478281126288E-3</v>
      </c>
      <c r="L146" s="140">
        <f t="shared" si="175"/>
        <v>3.0654894856593797E-3</v>
      </c>
      <c r="M146" s="140">
        <f t="shared" si="175"/>
        <v>4.0045191582725112E-3</v>
      </c>
      <c r="N146" s="140">
        <f t="shared" si="175"/>
        <v>4.3923603852569033E-3</v>
      </c>
      <c r="O146" s="140">
        <f t="shared" si="175"/>
        <v>3.9279865879516904E-3</v>
      </c>
      <c r="P146" s="140">
        <f t="shared" si="175"/>
        <v>3.1932908875431341E-3</v>
      </c>
      <c r="Q146" s="140">
        <f t="shared" si="175"/>
        <v>2.9206409023564348E-3</v>
      </c>
      <c r="R146" s="140">
        <f t="shared" si="175"/>
        <v>2.7419890318500866E-3</v>
      </c>
      <c r="S146" s="140">
        <f t="shared" si="175"/>
        <v>2.8854128648698285E-3</v>
      </c>
      <c r="T146" s="140">
        <f t="shared" si="175"/>
        <v>3.7133958371267295E-3</v>
      </c>
      <c r="U146" s="140">
        <f t="shared" si="175"/>
        <v>3.4391190977380785E-3</v>
      </c>
      <c r="V146" s="140">
        <f t="shared" si="175"/>
        <v>2.9798396913495616E-3</v>
      </c>
      <c r="W146" s="140">
        <f t="shared" si="175"/>
        <v>3.3429947138674592E-3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7.0050363565206798E-4</v>
      </c>
      <c r="C147" s="140">
        <f t="shared" ref="C147:W147" si="176">IF(C55=0,0,C55/C$47)</f>
        <v>6.2522502314974067E-4</v>
      </c>
      <c r="D147" s="140">
        <f t="shared" si="176"/>
        <v>6.4064383921529371E-4</v>
      </c>
      <c r="E147" s="140">
        <f t="shared" si="176"/>
        <v>7.0614376303337054E-4</v>
      </c>
      <c r="F147" s="140">
        <f t="shared" si="176"/>
        <v>4.7837566368143984E-4</v>
      </c>
      <c r="G147" s="140">
        <f t="shared" si="176"/>
        <v>4.9463993448512487E-4</v>
      </c>
      <c r="H147" s="140">
        <f t="shared" si="176"/>
        <v>4.9356733745260382E-4</v>
      </c>
      <c r="I147" s="140">
        <f t="shared" si="176"/>
        <v>4.1004035735546344E-4</v>
      </c>
      <c r="J147" s="140">
        <f t="shared" si="176"/>
        <v>4.5659203295546553E-4</v>
      </c>
      <c r="K147" s="140">
        <f t="shared" si="176"/>
        <v>2.9549268923852645E-4</v>
      </c>
      <c r="L147" s="140">
        <f t="shared" si="176"/>
        <v>1.7495926449945329E-4</v>
      </c>
      <c r="M147" s="140">
        <f t="shared" si="176"/>
        <v>2.649145988178905E-4</v>
      </c>
      <c r="N147" s="140">
        <f t="shared" si="176"/>
        <v>3.2076943484941146E-4</v>
      </c>
      <c r="O147" s="140">
        <f t="shared" si="176"/>
        <v>2.3095225764097502E-4</v>
      </c>
      <c r="P147" s="140">
        <f t="shared" si="176"/>
        <v>1.7999927836502271E-4</v>
      </c>
      <c r="Q147" s="140">
        <f t="shared" si="176"/>
        <v>2.4562678181426777E-4</v>
      </c>
      <c r="R147" s="140">
        <f t="shared" si="176"/>
        <v>2.1610963374980603E-4</v>
      </c>
      <c r="S147" s="140">
        <f t="shared" si="176"/>
        <v>2.660783231292884E-4</v>
      </c>
      <c r="T147" s="140">
        <f t="shared" si="176"/>
        <v>4.2687227326938435E-4</v>
      </c>
      <c r="U147" s="140">
        <f t="shared" si="176"/>
        <v>4.8926939400506053E-4</v>
      </c>
      <c r="V147" s="140">
        <f t="shared" si="176"/>
        <v>5.3391281440673703E-4</v>
      </c>
      <c r="W147" s="140">
        <f t="shared" si="176"/>
        <v>9.5851147315109035E-4</v>
      </c>
      <c r="DA147" s="175"/>
    </row>
    <row r="148" spans="1:105" ht="11.45" customHeight="1" x14ac:dyDescent="0.25">
      <c r="A148" s="109" t="s">
        <v>142</v>
      </c>
      <c r="B148" s="124">
        <f t="shared" si="167"/>
        <v>0.2056218253358931</v>
      </c>
      <c r="C148" s="124">
        <f t="shared" ref="C148:W148" si="177">IF(C56=0,0,C56/C$47)</f>
        <v>0.25915457317156554</v>
      </c>
      <c r="D148" s="124">
        <f t="shared" si="177"/>
        <v>0.23663486711105147</v>
      </c>
      <c r="E148" s="124">
        <f t="shared" si="177"/>
        <v>0.23404174870099131</v>
      </c>
      <c r="F148" s="124">
        <f t="shared" si="177"/>
        <v>0.24581182965003764</v>
      </c>
      <c r="G148" s="124">
        <f t="shared" si="177"/>
        <v>0.2466122525096873</v>
      </c>
      <c r="H148" s="124">
        <f t="shared" si="177"/>
        <v>0.2538769195806615</v>
      </c>
      <c r="I148" s="124">
        <f t="shared" si="177"/>
        <v>0.23359662376821327</v>
      </c>
      <c r="J148" s="124">
        <f t="shared" si="177"/>
        <v>0.21699652857194957</v>
      </c>
      <c r="K148" s="124">
        <f t="shared" si="177"/>
        <v>0.26103812905028201</v>
      </c>
      <c r="L148" s="124">
        <f t="shared" si="177"/>
        <v>0.24101497499876171</v>
      </c>
      <c r="M148" s="124">
        <f t="shared" si="177"/>
        <v>0.21997297790547632</v>
      </c>
      <c r="N148" s="124">
        <f t="shared" si="177"/>
        <v>0.27805714082557431</v>
      </c>
      <c r="O148" s="124">
        <f t="shared" si="177"/>
        <v>0.21240663955104838</v>
      </c>
      <c r="P148" s="124">
        <f t="shared" si="177"/>
        <v>0.21433583203040935</v>
      </c>
      <c r="Q148" s="124">
        <f t="shared" si="177"/>
        <v>0.24930453244840939</v>
      </c>
      <c r="R148" s="124">
        <f t="shared" si="177"/>
        <v>0.24835602071350876</v>
      </c>
      <c r="S148" s="124">
        <f t="shared" si="177"/>
        <v>0.26437908319138198</v>
      </c>
      <c r="T148" s="124">
        <f t="shared" si="177"/>
        <v>0.27693409416618403</v>
      </c>
      <c r="U148" s="124">
        <f t="shared" si="177"/>
        <v>0.27797393806080672</v>
      </c>
      <c r="V148" s="124">
        <f t="shared" si="177"/>
        <v>0.25575534741200817</v>
      </c>
      <c r="W148" s="124">
        <f t="shared" si="177"/>
        <v>0.26147279824203995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0.2056218253358931</v>
      </c>
      <c r="C149" s="140">
        <f t="shared" ref="C149:W149" si="178">IF(C57=0,0,C57/C$47)</f>
        <v>0.25915457317156554</v>
      </c>
      <c r="D149" s="140">
        <f t="shared" si="178"/>
        <v>0.23663486711105147</v>
      </c>
      <c r="E149" s="140">
        <f t="shared" si="178"/>
        <v>0.23404174870099131</v>
      </c>
      <c r="F149" s="140">
        <f t="shared" si="178"/>
        <v>0.24581182965003764</v>
      </c>
      <c r="G149" s="140">
        <f t="shared" si="178"/>
        <v>0.2466122525096873</v>
      </c>
      <c r="H149" s="140">
        <f t="shared" si="178"/>
        <v>0.2538769195806615</v>
      </c>
      <c r="I149" s="140">
        <f t="shared" si="178"/>
        <v>0.23359662376821327</v>
      </c>
      <c r="J149" s="140">
        <f t="shared" si="178"/>
        <v>0.21699652857194957</v>
      </c>
      <c r="K149" s="140">
        <f t="shared" si="178"/>
        <v>0.26103812905028201</v>
      </c>
      <c r="L149" s="140">
        <f t="shared" si="178"/>
        <v>0.24101497499876171</v>
      </c>
      <c r="M149" s="140">
        <f t="shared" si="178"/>
        <v>0.21997297790547632</v>
      </c>
      <c r="N149" s="140">
        <f t="shared" si="178"/>
        <v>0.27805714082557431</v>
      </c>
      <c r="O149" s="140">
        <f t="shared" si="178"/>
        <v>0.21240663955104838</v>
      </c>
      <c r="P149" s="140">
        <f t="shared" si="178"/>
        <v>0.21433583203040935</v>
      </c>
      <c r="Q149" s="140">
        <f t="shared" si="178"/>
        <v>0.24930453244840939</v>
      </c>
      <c r="R149" s="140">
        <f t="shared" si="178"/>
        <v>0.24835602071350876</v>
      </c>
      <c r="S149" s="140">
        <f t="shared" si="178"/>
        <v>0.26437908319138198</v>
      </c>
      <c r="T149" s="140">
        <f t="shared" si="178"/>
        <v>0.27693409416618403</v>
      </c>
      <c r="U149" s="140">
        <f t="shared" si="178"/>
        <v>0.27797393806080672</v>
      </c>
      <c r="V149" s="140">
        <f t="shared" si="178"/>
        <v>0.25575534741200817</v>
      </c>
      <c r="W149" s="140">
        <f t="shared" si="178"/>
        <v>0.26147279824203995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0</v>
      </c>
      <c r="C150" s="127">
        <f t="shared" ref="C150:W150" si="179">IF(C58=0,0,C58/C$47)</f>
        <v>0</v>
      </c>
      <c r="D150" s="127">
        <f t="shared" si="179"/>
        <v>0</v>
      </c>
      <c r="E150" s="127">
        <f t="shared" si="179"/>
        <v>0</v>
      </c>
      <c r="F150" s="127">
        <f t="shared" si="179"/>
        <v>0</v>
      </c>
      <c r="G150" s="127">
        <f t="shared" si="179"/>
        <v>0</v>
      </c>
      <c r="H150" s="127">
        <f t="shared" si="179"/>
        <v>0</v>
      </c>
      <c r="I150" s="127">
        <f t="shared" si="179"/>
        <v>0</v>
      </c>
      <c r="J150" s="127">
        <f t="shared" si="179"/>
        <v>0</v>
      </c>
      <c r="K150" s="127">
        <f t="shared" si="179"/>
        <v>0</v>
      </c>
      <c r="L150" s="127">
        <f t="shared" si="179"/>
        <v>0</v>
      </c>
      <c r="M150" s="127">
        <f t="shared" si="179"/>
        <v>0</v>
      </c>
      <c r="N150" s="127">
        <f t="shared" si="179"/>
        <v>0</v>
      </c>
      <c r="O150" s="127">
        <f t="shared" si="179"/>
        <v>0</v>
      </c>
      <c r="P150" s="127">
        <f t="shared" si="179"/>
        <v>0</v>
      </c>
      <c r="Q150" s="127">
        <f t="shared" si="179"/>
        <v>0</v>
      </c>
      <c r="R150" s="127">
        <f t="shared" si="179"/>
        <v>0</v>
      </c>
      <c r="S150" s="127">
        <f t="shared" si="179"/>
        <v>0</v>
      </c>
      <c r="T150" s="127">
        <f t="shared" si="179"/>
        <v>0</v>
      </c>
      <c r="U150" s="127">
        <f t="shared" si="179"/>
        <v>0</v>
      </c>
      <c r="V150" s="127">
        <f t="shared" si="179"/>
        <v>0</v>
      </c>
      <c r="W150" s="127">
        <f t="shared" si="179"/>
        <v>0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0.53564118758883383</v>
      </c>
      <c r="C152" s="140">
        <f t="shared" ref="C152:W152" si="181">IF(C60=0,0,C60/C$59)</f>
        <v>0.46072792341140206</v>
      </c>
      <c r="D152" s="140">
        <f t="shared" si="181"/>
        <v>0.43763895885858484</v>
      </c>
      <c r="E152" s="140">
        <f t="shared" si="181"/>
        <v>0.45648774651810053</v>
      </c>
      <c r="F152" s="140">
        <f t="shared" si="181"/>
        <v>0.43829098806024686</v>
      </c>
      <c r="G152" s="140">
        <f t="shared" si="181"/>
        <v>0.4301104671076984</v>
      </c>
      <c r="H152" s="140">
        <f t="shared" si="181"/>
        <v>0.40990028899435255</v>
      </c>
      <c r="I152" s="140">
        <f t="shared" si="181"/>
        <v>0.43511786766574884</v>
      </c>
      <c r="J152" s="140">
        <f t="shared" si="181"/>
        <v>0.45937837666842163</v>
      </c>
      <c r="K152" s="140">
        <f t="shared" si="181"/>
        <v>0.46732212578720383</v>
      </c>
      <c r="L152" s="140">
        <f t="shared" si="181"/>
        <v>0.44636728832283173</v>
      </c>
      <c r="M152" s="140">
        <f t="shared" si="181"/>
        <v>0.42366669402045753</v>
      </c>
      <c r="N152" s="140">
        <f t="shared" si="181"/>
        <v>0.40716728897064486</v>
      </c>
      <c r="O152" s="140">
        <f t="shared" si="181"/>
        <v>0.38722093373463085</v>
      </c>
      <c r="P152" s="140">
        <f t="shared" si="181"/>
        <v>0.37504771816247012</v>
      </c>
      <c r="Q152" s="140">
        <f t="shared" si="181"/>
        <v>0.38436989623304785</v>
      </c>
      <c r="R152" s="140">
        <f t="shared" si="181"/>
        <v>0.36752922129994847</v>
      </c>
      <c r="S152" s="140">
        <f t="shared" si="181"/>
        <v>0.3737626411789095</v>
      </c>
      <c r="T152" s="140">
        <f t="shared" si="181"/>
        <v>0.37413405139248862</v>
      </c>
      <c r="U152" s="140">
        <f t="shared" si="181"/>
        <v>0.38202226951800772</v>
      </c>
      <c r="V152" s="140">
        <f t="shared" si="181"/>
        <v>0.34158197993320649</v>
      </c>
      <c r="W152" s="140">
        <f t="shared" si="181"/>
        <v>0.34477205639978398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0.46435881241116611</v>
      </c>
      <c r="C153" s="127">
        <f t="shared" ref="C153:W153" si="182">IF(C61=0,0,C61/C$59)</f>
        <v>0.53927207658859788</v>
      </c>
      <c r="D153" s="127">
        <f t="shared" si="182"/>
        <v>0.56236104114141505</v>
      </c>
      <c r="E153" s="127">
        <f t="shared" si="182"/>
        <v>0.54351225348189947</v>
      </c>
      <c r="F153" s="127">
        <f t="shared" si="182"/>
        <v>0.5617090119397532</v>
      </c>
      <c r="G153" s="127">
        <f t="shared" si="182"/>
        <v>0.56988953289230171</v>
      </c>
      <c r="H153" s="127">
        <f t="shared" si="182"/>
        <v>0.59009971100564751</v>
      </c>
      <c r="I153" s="127">
        <f t="shared" si="182"/>
        <v>0.56488213233425111</v>
      </c>
      <c r="J153" s="127">
        <f t="shared" si="182"/>
        <v>0.54062162333157837</v>
      </c>
      <c r="K153" s="127">
        <f t="shared" si="182"/>
        <v>0.53267787421279622</v>
      </c>
      <c r="L153" s="127">
        <f t="shared" si="182"/>
        <v>0.55363271167716843</v>
      </c>
      <c r="M153" s="127">
        <f t="shared" si="182"/>
        <v>0.57633330597954258</v>
      </c>
      <c r="N153" s="127">
        <f t="shared" si="182"/>
        <v>0.59283271102935509</v>
      </c>
      <c r="O153" s="127">
        <f t="shared" si="182"/>
        <v>0.61277906626536915</v>
      </c>
      <c r="P153" s="127">
        <f t="shared" si="182"/>
        <v>0.62495228183752982</v>
      </c>
      <c r="Q153" s="127">
        <f t="shared" si="182"/>
        <v>0.61563010376695215</v>
      </c>
      <c r="R153" s="127">
        <f t="shared" si="182"/>
        <v>0.63247077870005153</v>
      </c>
      <c r="S153" s="127">
        <f t="shared" si="182"/>
        <v>0.62623735882109055</v>
      </c>
      <c r="T153" s="127">
        <f t="shared" si="182"/>
        <v>0.62586594860751132</v>
      </c>
      <c r="U153" s="127">
        <f t="shared" si="182"/>
        <v>0.61797773048199234</v>
      </c>
      <c r="V153" s="127">
        <f t="shared" si="182"/>
        <v>0.65841802006679351</v>
      </c>
      <c r="W153" s="127">
        <f t="shared" si="182"/>
        <v>0.65522794360021597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0.71418970163523043</v>
      </c>
      <c r="C157" s="139">
        <f t="shared" ref="C157:W157" si="185">IF(C65=0,0,C65/C$64)</f>
        <v>0.74161585416741982</v>
      </c>
      <c r="D157" s="139">
        <f t="shared" si="185"/>
        <v>0.75541506149187887</v>
      </c>
      <c r="E157" s="139">
        <f t="shared" si="185"/>
        <v>0.76936082564204722</v>
      </c>
      <c r="F157" s="139">
        <f t="shared" si="185"/>
        <v>0.75734343960665185</v>
      </c>
      <c r="G157" s="139">
        <f t="shared" si="185"/>
        <v>0.77221820223983639</v>
      </c>
      <c r="H157" s="139">
        <f t="shared" si="185"/>
        <v>0.75905524935904856</v>
      </c>
      <c r="I157" s="139">
        <f t="shared" si="185"/>
        <v>0.76492611353833817</v>
      </c>
      <c r="J157" s="139">
        <f t="shared" si="185"/>
        <v>0.75709895720949283</v>
      </c>
      <c r="K157" s="139">
        <f t="shared" si="185"/>
        <v>0.79626241639904172</v>
      </c>
      <c r="L157" s="139">
        <f t="shared" si="185"/>
        <v>0.81577095487468876</v>
      </c>
      <c r="M157" s="139">
        <f t="shared" si="185"/>
        <v>0.80464652094736144</v>
      </c>
      <c r="N157" s="139">
        <f t="shared" si="185"/>
        <v>0.7971047217204954</v>
      </c>
      <c r="O157" s="139">
        <f t="shared" si="185"/>
        <v>0.79053527047675309</v>
      </c>
      <c r="P157" s="139">
        <f t="shared" si="185"/>
        <v>0.76130925968163954</v>
      </c>
      <c r="Q157" s="139">
        <f t="shared" si="185"/>
        <v>0.75911598700489202</v>
      </c>
      <c r="R157" s="139">
        <f t="shared" si="185"/>
        <v>0.74781021783138557</v>
      </c>
      <c r="S157" s="139">
        <f t="shared" si="185"/>
        <v>0.72865379864631186</v>
      </c>
      <c r="T157" s="139">
        <f t="shared" si="185"/>
        <v>0.70887204803804127</v>
      </c>
      <c r="U157" s="139">
        <f t="shared" si="185"/>
        <v>0.71062408521568199</v>
      </c>
      <c r="V157" s="139">
        <f t="shared" si="185"/>
        <v>0.86502588597509888</v>
      </c>
      <c r="W157" s="139">
        <f t="shared" si="185"/>
        <v>0.77965448089983025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3.414332055454828E-2</v>
      </c>
      <c r="C158" s="140">
        <f t="shared" ref="C158:W158" si="186">IF(C66=0,0,C66/C$64)</f>
        <v>3.7260996721262554E-2</v>
      </c>
      <c r="D158" s="140">
        <f t="shared" si="186"/>
        <v>4.000222404436389E-2</v>
      </c>
      <c r="E158" s="140">
        <f t="shared" si="186"/>
        <v>3.9137145071628257E-2</v>
      </c>
      <c r="F158" s="140">
        <f t="shared" si="186"/>
        <v>3.9598121532856946E-2</v>
      </c>
      <c r="G158" s="140">
        <f t="shared" si="186"/>
        <v>3.9092949660663019E-2</v>
      </c>
      <c r="H158" s="140">
        <f t="shared" si="186"/>
        <v>3.4547991952051077E-2</v>
      </c>
      <c r="I158" s="140">
        <f t="shared" si="186"/>
        <v>3.3363311463575858E-2</v>
      </c>
      <c r="J158" s="140">
        <f t="shared" si="186"/>
        <v>3.6428753332129055E-2</v>
      </c>
      <c r="K158" s="140">
        <f t="shared" si="186"/>
        <v>3.739832606343315E-2</v>
      </c>
      <c r="L158" s="140">
        <f t="shared" si="186"/>
        <v>4.997820479750769E-2</v>
      </c>
      <c r="M158" s="140">
        <f t="shared" si="186"/>
        <v>5.2044538523788458E-2</v>
      </c>
      <c r="N158" s="140">
        <f t="shared" si="186"/>
        <v>6.2297055840763151E-2</v>
      </c>
      <c r="O158" s="140">
        <f t="shared" si="186"/>
        <v>6.4530949682860411E-2</v>
      </c>
      <c r="P158" s="140">
        <f t="shared" si="186"/>
        <v>6.5157769315029521E-2</v>
      </c>
      <c r="Q158" s="140">
        <f t="shared" si="186"/>
        <v>6.5310132621701475E-2</v>
      </c>
      <c r="R158" s="140">
        <f t="shared" si="186"/>
        <v>6.1509706870592672E-2</v>
      </c>
      <c r="S158" s="140">
        <f t="shared" si="186"/>
        <v>5.9001780564921981E-2</v>
      </c>
      <c r="T158" s="140">
        <f t="shared" si="186"/>
        <v>5.2738374898322282E-2</v>
      </c>
      <c r="U158" s="140">
        <f t="shared" si="186"/>
        <v>5.3635381756190786E-2</v>
      </c>
      <c r="V158" s="140">
        <f t="shared" si="186"/>
        <v>6.2850322353233234E-2</v>
      </c>
      <c r="W158" s="140">
        <f t="shared" si="186"/>
        <v>5.5992399672788996E-2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0.55777641514259657</v>
      </c>
      <c r="C159" s="140">
        <f t="shared" ref="C159:W159" si="187">IF(C67=0,0,C67/C$64)</f>
        <v>0.58539648368698993</v>
      </c>
      <c r="D159" s="140">
        <f t="shared" si="187"/>
        <v>0.59996627123358526</v>
      </c>
      <c r="E159" s="140">
        <f t="shared" si="187"/>
        <v>0.59141379613571088</v>
      </c>
      <c r="F159" s="140">
        <f t="shared" si="187"/>
        <v>0.61241467401540595</v>
      </c>
      <c r="G159" s="140">
        <f t="shared" si="187"/>
        <v>0.61904059203949069</v>
      </c>
      <c r="H159" s="140">
        <f t="shared" si="187"/>
        <v>0.61856994304942903</v>
      </c>
      <c r="I159" s="140">
        <f t="shared" si="187"/>
        <v>0.62790465801433737</v>
      </c>
      <c r="J159" s="140">
        <f t="shared" si="187"/>
        <v>0.62346747205243402</v>
      </c>
      <c r="K159" s="140">
        <f t="shared" si="187"/>
        <v>0.64314306012921973</v>
      </c>
      <c r="L159" s="140">
        <f t="shared" si="187"/>
        <v>0.65355535029968548</v>
      </c>
      <c r="M159" s="140">
        <f t="shared" si="187"/>
        <v>0.63076288077504128</v>
      </c>
      <c r="N159" s="140">
        <f t="shared" si="187"/>
        <v>0.61977864973938501</v>
      </c>
      <c r="O159" s="140">
        <f t="shared" si="187"/>
        <v>0.59031784331460102</v>
      </c>
      <c r="P159" s="140">
        <f t="shared" si="187"/>
        <v>0.56687734827202185</v>
      </c>
      <c r="Q159" s="140">
        <f t="shared" si="187"/>
        <v>0.57306976809811661</v>
      </c>
      <c r="R159" s="140">
        <f t="shared" si="187"/>
        <v>0.56727046066127129</v>
      </c>
      <c r="S159" s="140">
        <f t="shared" si="187"/>
        <v>0.55390201790014848</v>
      </c>
      <c r="T159" s="140">
        <f t="shared" si="187"/>
        <v>0.54044583231848686</v>
      </c>
      <c r="U159" s="140">
        <f t="shared" si="187"/>
        <v>0.53892388059302931</v>
      </c>
      <c r="V159" s="140">
        <f t="shared" si="187"/>
        <v>0.63901511109303499</v>
      </c>
      <c r="W159" s="140">
        <f t="shared" si="187"/>
        <v>0.5815056409771634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0.12226996593808563</v>
      </c>
      <c r="C160" s="140">
        <f t="shared" ref="C160:W160" si="188">IF(C68=0,0,C68/C$64)</f>
        <v>0.11895837375916733</v>
      </c>
      <c r="D160" s="140">
        <f t="shared" si="188"/>
        <v>0.11544656621392969</v>
      </c>
      <c r="E160" s="140">
        <f t="shared" si="188"/>
        <v>0.1388098844347081</v>
      </c>
      <c r="F160" s="140">
        <f t="shared" si="188"/>
        <v>0.10533064405838882</v>
      </c>
      <c r="G160" s="140">
        <f t="shared" si="188"/>
        <v>0.11408466053968273</v>
      </c>
      <c r="H160" s="140">
        <f t="shared" si="188"/>
        <v>0.10593731435756862</v>
      </c>
      <c r="I160" s="140">
        <f t="shared" si="188"/>
        <v>0.10365814406042481</v>
      </c>
      <c r="J160" s="140">
        <f t="shared" si="188"/>
        <v>9.7202731824929681E-2</v>
      </c>
      <c r="K160" s="140">
        <f t="shared" si="188"/>
        <v>0.11572103020638884</v>
      </c>
      <c r="L160" s="140">
        <f t="shared" si="188"/>
        <v>0.11223739977749554</v>
      </c>
      <c r="M160" s="140">
        <f t="shared" si="188"/>
        <v>0.12183910164853173</v>
      </c>
      <c r="N160" s="140">
        <f t="shared" si="188"/>
        <v>0.11502901614034718</v>
      </c>
      <c r="O160" s="140">
        <f t="shared" si="188"/>
        <v>0.13568647747929161</v>
      </c>
      <c r="P160" s="140">
        <f t="shared" si="188"/>
        <v>0.12927414209458818</v>
      </c>
      <c r="Q160" s="140">
        <f t="shared" si="188"/>
        <v>0.12073608628507397</v>
      </c>
      <c r="R160" s="140">
        <f t="shared" si="188"/>
        <v>0.11903005029952164</v>
      </c>
      <c r="S160" s="140">
        <f t="shared" si="188"/>
        <v>0.1157500001812414</v>
      </c>
      <c r="T160" s="140">
        <f t="shared" si="188"/>
        <v>0.11568784082123207</v>
      </c>
      <c r="U160" s="140">
        <f t="shared" si="188"/>
        <v>0.11806482286646187</v>
      </c>
      <c r="V160" s="140">
        <f t="shared" si="188"/>
        <v>0.16316045252883074</v>
      </c>
      <c r="W160" s="140">
        <f t="shared" si="188"/>
        <v>0.14215644024987789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8.234627772319968E-3</v>
      </c>
      <c r="C161" s="124">
        <f t="shared" ref="C161:W161" si="189">IF(C69=0,0,C69/C$64)</f>
        <v>8.3937692700538444E-3</v>
      </c>
      <c r="D161" s="124">
        <f t="shared" si="189"/>
        <v>8.1812997731377825E-3</v>
      </c>
      <c r="E161" s="124">
        <f t="shared" si="189"/>
        <v>7.4804186937946831E-3</v>
      </c>
      <c r="F161" s="124">
        <f t="shared" si="189"/>
        <v>7.3309926825173453E-3</v>
      </c>
      <c r="G161" s="124">
        <f t="shared" si="189"/>
        <v>7.2134418670616075E-3</v>
      </c>
      <c r="H161" s="124">
        <f t="shared" si="189"/>
        <v>7.096412125353356E-3</v>
      </c>
      <c r="I161" s="124">
        <f t="shared" si="189"/>
        <v>6.0393350031167203E-3</v>
      </c>
      <c r="J161" s="124">
        <f t="shared" si="189"/>
        <v>5.6660372242154713E-3</v>
      </c>
      <c r="K161" s="124">
        <f t="shared" si="189"/>
        <v>5.1004438180695362E-3</v>
      </c>
      <c r="L161" s="124">
        <f t="shared" si="189"/>
        <v>3.632395034552322E-3</v>
      </c>
      <c r="M161" s="124">
        <f t="shared" si="189"/>
        <v>2.9285280201168931E-3</v>
      </c>
      <c r="N161" s="124">
        <f t="shared" si="189"/>
        <v>5.8682945911742029E-3</v>
      </c>
      <c r="O161" s="124">
        <f t="shared" si="189"/>
        <v>4.1460612721483745E-3</v>
      </c>
      <c r="P161" s="124">
        <f t="shared" si="189"/>
        <v>9.8229912625461234E-3</v>
      </c>
      <c r="Q161" s="124">
        <f t="shared" si="189"/>
        <v>9.597831025317579E-3</v>
      </c>
      <c r="R161" s="124">
        <f t="shared" si="189"/>
        <v>9.3738693087101945E-3</v>
      </c>
      <c r="S161" s="124">
        <f t="shared" si="189"/>
        <v>8.8427795189096308E-3</v>
      </c>
      <c r="T161" s="124">
        <f t="shared" si="189"/>
        <v>8.1071181731096915E-3</v>
      </c>
      <c r="U161" s="124">
        <f t="shared" si="189"/>
        <v>2.196083585914459E-3</v>
      </c>
      <c r="V161" s="124">
        <f t="shared" si="189"/>
        <v>1.9999377961112492E-3</v>
      </c>
      <c r="W161" s="124">
        <f t="shared" si="189"/>
        <v>1.5485568420269939E-3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8.234627772319968E-3</v>
      </c>
      <c r="C163" s="140">
        <f t="shared" ref="C163:W163" si="191">IF(C71=0,0,C71/C$64)</f>
        <v>8.3937692700538444E-3</v>
      </c>
      <c r="D163" s="140">
        <f t="shared" si="191"/>
        <v>8.1812997731377825E-3</v>
      </c>
      <c r="E163" s="140">
        <f t="shared" si="191"/>
        <v>7.4804186937946831E-3</v>
      </c>
      <c r="F163" s="140">
        <f t="shared" si="191"/>
        <v>7.3309926825173453E-3</v>
      </c>
      <c r="G163" s="140">
        <f t="shared" si="191"/>
        <v>7.2134418670616075E-3</v>
      </c>
      <c r="H163" s="140">
        <f t="shared" si="191"/>
        <v>7.096412125353356E-3</v>
      </c>
      <c r="I163" s="140">
        <f t="shared" si="191"/>
        <v>6.0393350031167203E-3</v>
      </c>
      <c r="J163" s="140">
        <f t="shared" si="191"/>
        <v>5.6660372242154713E-3</v>
      </c>
      <c r="K163" s="140">
        <f t="shared" si="191"/>
        <v>5.1004438180695362E-3</v>
      </c>
      <c r="L163" s="140">
        <f t="shared" si="191"/>
        <v>3.632395034552322E-3</v>
      </c>
      <c r="M163" s="140">
        <f t="shared" si="191"/>
        <v>2.9285280201168931E-3</v>
      </c>
      <c r="N163" s="140">
        <f t="shared" si="191"/>
        <v>5.8682945911742029E-3</v>
      </c>
      <c r="O163" s="140">
        <f t="shared" si="191"/>
        <v>4.1460612721483745E-3</v>
      </c>
      <c r="P163" s="140">
        <f t="shared" si="191"/>
        <v>9.8229912625461234E-3</v>
      </c>
      <c r="Q163" s="140">
        <f t="shared" si="191"/>
        <v>9.597831025317579E-3</v>
      </c>
      <c r="R163" s="140">
        <f t="shared" si="191"/>
        <v>9.3738693087101945E-3</v>
      </c>
      <c r="S163" s="140">
        <f t="shared" si="191"/>
        <v>8.8427795189096308E-3</v>
      </c>
      <c r="T163" s="140">
        <f t="shared" si="191"/>
        <v>8.1071181731096915E-3</v>
      </c>
      <c r="U163" s="140">
        <f t="shared" si="191"/>
        <v>2.196083585914459E-3</v>
      </c>
      <c r="V163" s="140">
        <f t="shared" si="191"/>
        <v>1.9999377961112492E-3</v>
      </c>
      <c r="W163" s="140">
        <f t="shared" si="191"/>
        <v>1.5485568420269939E-3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0.27757567059244953</v>
      </c>
      <c r="C165" s="124">
        <f t="shared" ref="C165:W165" si="193">IF(C73=0,0,C73/C$64)</f>
        <v>0.24999037656252629</v>
      </c>
      <c r="D165" s="124">
        <f t="shared" si="193"/>
        <v>0.23640363873498338</v>
      </c>
      <c r="E165" s="124">
        <f t="shared" si="193"/>
        <v>0.22315875566415819</v>
      </c>
      <c r="F165" s="124">
        <f t="shared" si="193"/>
        <v>0.23532556771083082</v>
      </c>
      <c r="G165" s="124">
        <f t="shared" si="193"/>
        <v>0.22056835589310203</v>
      </c>
      <c r="H165" s="124">
        <f t="shared" si="193"/>
        <v>0.233848338515598</v>
      </c>
      <c r="I165" s="124">
        <f t="shared" si="193"/>
        <v>0.22903455145854507</v>
      </c>
      <c r="J165" s="124">
        <f t="shared" si="193"/>
        <v>0.23723500556629179</v>
      </c>
      <c r="K165" s="124">
        <f t="shared" si="193"/>
        <v>0.1986371397828888</v>
      </c>
      <c r="L165" s="124">
        <f t="shared" si="193"/>
        <v>0.18059665009075901</v>
      </c>
      <c r="M165" s="124">
        <f t="shared" si="193"/>
        <v>0.19242495103252175</v>
      </c>
      <c r="N165" s="124">
        <f t="shared" si="193"/>
        <v>0.19702698368833033</v>
      </c>
      <c r="O165" s="124">
        <f t="shared" si="193"/>
        <v>0.20531866825109851</v>
      </c>
      <c r="P165" s="124">
        <f t="shared" si="193"/>
        <v>0.22886774905581425</v>
      </c>
      <c r="Q165" s="124">
        <f t="shared" si="193"/>
        <v>0.23128618196979042</v>
      </c>
      <c r="R165" s="124">
        <f t="shared" si="193"/>
        <v>0.24281591285990428</v>
      </c>
      <c r="S165" s="124">
        <f t="shared" si="193"/>
        <v>0.26250342183477843</v>
      </c>
      <c r="T165" s="124">
        <f t="shared" si="193"/>
        <v>0.28302083378884918</v>
      </c>
      <c r="U165" s="124">
        <f t="shared" si="193"/>
        <v>0.28717983119840351</v>
      </c>
      <c r="V165" s="124">
        <f t="shared" si="193"/>
        <v>0.13297417622878988</v>
      </c>
      <c r="W165" s="124">
        <f t="shared" si="193"/>
        <v>0.21879696225814285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0.1063580306285829</v>
      </c>
      <c r="C166" s="140">
        <f t="shared" ref="C166:W166" si="194">IF(C74=0,0,C74/C$64)</f>
        <v>9.0500011824686449E-2</v>
      </c>
      <c r="D166" s="140">
        <f t="shared" si="194"/>
        <v>8.0678798529588688E-2</v>
      </c>
      <c r="E166" s="140">
        <f t="shared" si="194"/>
        <v>7.2393385325083978E-2</v>
      </c>
      <c r="F166" s="140">
        <f t="shared" si="194"/>
        <v>7.8307792311494373E-2</v>
      </c>
      <c r="G166" s="140">
        <f t="shared" si="194"/>
        <v>7.5271102368927117E-2</v>
      </c>
      <c r="H166" s="140">
        <f t="shared" si="194"/>
        <v>6.5464207293396429E-2</v>
      </c>
      <c r="I166" s="140">
        <f t="shared" si="194"/>
        <v>6.2641745010197633E-2</v>
      </c>
      <c r="J166" s="140">
        <f t="shared" si="194"/>
        <v>6.1128994627492925E-2</v>
      </c>
      <c r="K166" s="140">
        <f t="shared" si="194"/>
        <v>5.059289312204026E-2</v>
      </c>
      <c r="L166" s="140">
        <f t="shared" si="194"/>
        <v>4.6683704986317277E-2</v>
      </c>
      <c r="M166" s="140">
        <f t="shared" si="194"/>
        <v>4.4511298130121842E-2</v>
      </c>
      <c r="N166" s="140">
        <f t="shared" si="194"/>
        <v>4.3722517867171545E-2</v>
      </c>
      <c r="O166" s="140">
        <f t="shared" si="194"/>
        <v>4.2766278177347038E-2</v>
      </c>
      <c r="P166" s="140">
        <f t="shared" si="194"/>
        <v>4.3097205128395995E-2</v>
      </c>
      <c r="Q166" s="140">
        <f t="shared" si="194"/>
        <v>3.9178423303999073E-2</v>
      </c>
      <c r="R166" s="140">
        <f t="shared" si="194"/>
        <v>4.3091212341711094E-2</v>
      </c>
      <c r="S166" s="140">
        <f t="shared" si="194"/>
        <v>4.3498766086728119E-2</v>
      </c>
      <c r="T166" s="140">
        <f t="shared" si="194"/>
        <v>4.8085621065260424E-2</v>
      </c>
      <c r="U166" s="140">
        <f t="shared" si="194"/>
        <v>4.7755068221981986E-2</v>
      </c>
      <c r="V166" s="140">
        <f t="shared" si="194"/>
        <v>2.7337434012943512E-2</v>
      </c>
      <c r="W166" s="140">
        <f t="shared" si="194"/>
        <v>3.9388054702838245E-2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0.14147911462523005</v>
      </c>
      <c r="C167" s="140">
        <f t="shared" ref="C167:W167" si="195">IF(C75=0,0,C75/C$64)</f>
        <v>0.13178845078890272</v>
      </c>
      <c r="D167" s="140">
        <f t="shared" si="195"/>
        <v>0.1286775916615174</v>
      </c>
      <c r="E167" s="140">
        <f t="shared" si="195"/>
        <v>0.12458006133443188</v>
      </c>
      <c r="F167" s="140">
        <f t="shared" si="195"/>
        <v>0.12726013176521214</v>
      </c>
      <c r="G167" s="140">
        <f t="shared" si="195"/>
        <v>0.11755462036743493</v>
      </c>
      <c r="H167" s="140">
        <f t="shared" si="195"/>
        <v>0.13686049801405073</v>
      </c>
      <c r="I167" s="140">
        <f t="shared" si="195"/>
        <v>0.13555850081503287</v>
      </c>
      <c r="J167" s="140">
        <f t="shared" si="195"/>
        <v>0.14256455384849678</v>
      </c>
      <c r="K167" s="140">
        <f t="shared" si="195"/>
        <v>0.1186107412363465</v>
      </c>
      <c r="L167" s="140">
        <f t="shared" si="195"/>
        <v>0.10660754396757072</v>
      </c>
      <c r="M167" s="140">
        <f t="shared" si="195"/>
        <v>0.11786653571003698</v>
      </c>
      <c r="N167" s="140">
        <f t="shared" si="195"/>
        <v>0.12164347509064516</v>
      </c>
      <c r="O167" s="140">
        <f t="shared" si="195"/>
        <v>0.12896840043635865</v>
      </c>
      <c r="P167" s="140">
        <f t="shared" si="195"/>
        <v>0.14876948378080071</v>
      </c>
      <c r="Q167" s="140">
        <f t="shared" si="195"/>
        <v>0.15427979433246503</v>
      </c>
      <c r="R167" s="140">
        <f t="shared" si="195"/>
        <v>0.16232341928942609</v>
      </c>
      <c r="S167" s="140">
        <f t="shared" si="195"/>
        <v>0.17945255880651484</v>
      </c>
      <c r="T167" s="140">
        <f t="shared" si="195"/>
        <v>0.19266860442057196</v>
      </c>
      <c r="U167" s="140">
        <f t="shared" si="195"/>
        <v>0.19530729868023156</v>
      </c>
      <c r="V167" s="140">
        <f t="shared" si="195"/>
        <v>7.9518570072602393E-2</v>
      </c>
      <c r="W167" s="140">
        <f t="shared" si="195"/>
        <v>0.14131551408071574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2.9738525338636541E-2</v>
      </c>
      <c r="C168" s="140">
        <f t="shared" ref="C168:W168" si="196">IF(C76=0,0,C76/C$64)</f>
        <v>2.7701913948937111E-2</v>
      </c>
      <c r="D168" s="140">
        <f t="shared" si="196"/>
        <v>2.7047248543877252E-2</v>
      </c>
      <c r="E168" s="140">
        <f t="shared" si="196"/>
        <v>2.6185309004642308E-2</v>
      </c>
      <c r="F168" s="140">
        <f t="shared" si="196"/>
        <v>2.9757643634124295E-2</v>
      </c>
      <c r="G168" s="140">
        <f t="shared" si="196"/>
        <v>2.7742633156739985E-2</v>
      </c>
      <c r="H168" s="140">
        <f t="shared" si="196"/>
        <v>3.1523633208150804E-2</v>
      </c>
      <c r="I168" s="140">
        <f t="shared" si="196"/>
        <v>3.0834305633314567E-2</v>
      </c>
      <c r="J168" s="140">
        <f t="shared" si="196"/>
        <v>3.3541457090302075E-2</v>
      </c>
      <c r="K168" s="140">
        <f t="shared" si="196"/>
        <v>2.9433505424502012E-2</v>
      </c>
      <c r="L168" s="140">
        <f t="shared" si="196"/>
        <v>2.7305401136871001E-2</v>
      </c>
      <c r="M168" s="140">
        <f t="shared" si="196"/>
        <v>3.0047117192362912E-2</v>
      </c>
      <c r="N168" s="140">
        <f t="shared" si="196"/>
        <v>3.1660990730513615E-2</v>
      </c>
      <c r="O168" s="140">
        <f t="shared" si="196"/>
        <v>3.3583989637392814E-2</v>
      </c>
      <c r="P168" s="140">
        <f t="shared" si="196"/>
        <v>3.7001060146617547E-2</v>
      </c>
      <c r="Q168" s="140">
        <f t="shared" si="196"/>
        <v>3.7827964333326282E-2</v>
      </c>
      <c r="R168" s="140">
        <f t="shared" si="196"/>
        <v>3.7401281228767083E-2</v>
      </c>
      <c r="S168" s="140">
        <f t="shared" si="196"/>
        <v>3.9552096941535504E-2</v>
      </c>
      <c r="T168" s="140">
        <f t="shared" si="196"/>
        <v>4.2266608303016824E-2</v>
      </c>
      <c r="U168" s="140">
        <f t="shared" si="196"/>
        <v>4.411746429618997E-2</v>
      </c>
      <c r="V168" s="140">
        <f t="shared" si="196"/>
        <v>2.611817214324396E-2</v>
      </c>
      <c r="W168" s="140">
        <f t="shared" si="196"/>
        <v>3.8093393474588844E-2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0.77227257680032235</v>
      </c>
      <c r="C170" s="139">
        <f t="shared" ref="C170:W170" si="199">IF(C78=0,0,C78/C$77)</f>
        <v>0.71766268594700222</v>
      </c>
      <c r="D170" s="139">
        <f t="shared" si="199"/>
        <v>0.7412810232022341</v>
      </c>
      <c r="E170" s="139">
        <f t="shared" si="199"/>
        <v>0.74541572841824966</v>
      </c>
      <c r="F170" s="139">
        <f t="shared" si="199"/>
        <v>0.73751757044439081</v>
      </c>
      <c r="G170" s="139">
        <f t="shared" si="199"/>
        <v>0.73716885778319075</v>
      </c>
      <c r="H170" s="139">
        <f t="shared" si="199"/>
        <v>0.72631367184458817</v>
      </c>
      <c r="I170" s="139">
        <f t="shared" si="199"/>
        <v>0.74580518854508793</v>
      </c>
      <c r="J170" s="139">
        <f t="shared" si="199"/>
        <v>0.76254969243761572</v>
      </c>
      <c r="K170" s="139">
        <f t="shared" si="199"/>
        <v>0.72094000321334162</v>
      </c>
      <c r="L170" s="139">
        <f t="shared" si="199"/>
        <v>0.73890069903230859</v>
      </c>
      <c r="M170" s="139">
        <f t="shared" si="199"/>
        <v>0.76142470868972656</v>
      </c>
      <c r="N170" s="139">
        <f t="shared" si="199"/>
        <v>0.69715152368483324</v>
      </c>
      <c r="O170" s="139">
        <f t="shared" si="199"/>
        <v>0.76682840693695131</v>
      </c>
      <c r="P170" s="139">
        <f t="shared" si="199"/>
        <v>0.76571375357007299</v>
      </c>
      <c r="Q170" s="139">
        <f t="shared" si="199"/>
        <v>0.72874761612381667</v>
      </c>
      <c r="R170" s="139">
        <f t="shared" si="199"/>
        <v>0.73079787650248607</v>
      </c>
      <c r="S170" s="139">
        <f t="shared" si="199"/>
        <v>0.7123199001688465</v>
      </c>
      <c r="T170" s="139">
        <f t="shared" si="199"/>
        <v>0.69879545374480645</v>
      </c>
      <c r="U170" s="139">
        <f t="shared" si="199"/>
        <v>0.69856121422280182</v>
      </c>
      <c r="V170" s="139">
        <f t="shared" si="199"/>
        <v>0.72214820192529572</v>
      </c>
      <c r="W170" s="139">
        <f t="shared" si="199"/>
        <v>0.71553793193164161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0.31598642268194493</v>
      </c>
      <c r="C171" s="140">
        <f t="shared" ref="C171:W171" si="200">IF(C79=0,0,C79/C$77)</f>
        <v>0.28927863771054668</v>
      </c>
      <c r="D171" s="140">
        <f t="shared" si="200"/>
        <v>0.29892557766045458</v>
      </c>
      <c r="E171" s="140">
        <f t="shared" si="200"/>
        <v>0.30699816108168199</v>
      </c>
      <c r="F171" s="140">
        <f t="shared" si="200"/>
        <v>0.28123492902138864</v>
      </c>
      <c r="G171" s="140">
        <f t="shared" si="200"/>
        <v>0.29422313290511903</v>
      </c>
      <c r="H171" s="140">
        <f t="shared" si="200"/>
        <v>0.27835188808849065</v>
      </c>
      <c r="I171" s="140">
        <f t="shared" si="200"/>
        <v>0.29189522905471005</v>
      </c>
      <c r="J171" s="140">
        <f t="shared" si="200"/>
        <v>0.29528636265688274</v>
      </c>
      <c r="K171" s="140">
        <f t="shared" si="200"/>
        <v>0.2259146079838534</v>
      </c>
      <c r="L171" s="140">
        <f t="shared" si="200"/>
        <v>0.25937546986966442</v>
      </c>
      <c r="M171" s="140">
        <f t="shared" si="200"/>
        <v>0.28330710459384306</v>
      </c>
      <c r="N171" s="140">
        <f t="shared" si="200"/>
        <v>0.28643269790109943</v>
      </c>
      <c r="O171" s="140">
        <f t="shared" si="200"/>
        <v>0.31230554296829299</v>
      </c>
      <c r="P171" s="140">
        <f t="shared" si="200"/>
        <v>0.30202994714201647</v>
      </c>
      <c r="Q171" s="140">
        <f t="shared" si="200"/>
        <v>0.35072709344796316</v>
      </c>
      <c r="R171" s="140">
        <f t="shared" si="200"/>
        <v>0.35341129004584565</v>
      </c>
      <c r="S171" s="140">
        <f t="shared" si="200"/>
        <v>0.32314019908425523</v>
      </c>
      <c r="T171" s="140">
        <f t="shared" si="200"/>
        <v>0.31081607235736175</v>
      </c>
      <c r="U171" s="140">
        <f t="shared" si="200"/>
        <v>0.29959946067794041</v>
      </c>
      <c r="V171" s="140">
        <f t="shared" si="200"/>
        <v>0.29449116459267449</v>
      </c>
      <c r="W171" s="140">
        <f t="shared" si="200"/>
        <v>0.29363226479573584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0.45628615411837731</v>
      </c>
      <c r="C172" s="140">
        <f t="shared" ref="C172:W172" si="201">IF(C80=0,0,C80/C$77)</f>
        <v>0.42838404823645548</v>
      </c>
      <c r="D172" s="140">
        <f t="shared" si="201"/>
        <v>0.44235544554177952</v>
      </c>
      <c r="E172" s="140">
        <f t="shared" si="201"/>
        <v>0.43841756733656767</v>
      </c>
      <c r="F172" s="140">
        <f t="shared" si="201"/>
        <v>0.45628264142300218</v>
      </c>
      <c r="G172" s="140">
        <f t="shared" si="201"/>
        <v>0.44294572487807171</v>
      </c>
      <c r="H172" s="140">
        <f t="shared" si="201"/>
        <v>0.44796178375609752</v>
      </c>
      <c r="I172" s="140">
        <f t="shared" si="201"/>
        <v>0.45390995949037782</v>
      </c>
      <c r="J172" s="140">
        <f t="shared" si="201"/>
        <v>0.46726332978073293</v>
      </c>
      <c r="K172" s="140">
        <f t="shared" si="201"/>
        <v>0.49502539522948824</v>
      </c>
      <c r="L172" s="140">
        <f t="shared" si="201"/>
        <v>0.47952522916264423</v>
      </c>
      <c r="M172" s="140">
        <f t="shared" si="201"/>
        <v>0.47811760409588344</v>
      </c>
      <c r="N172" s="140">
        <f t="shared" si="201"/>
        <v>0.4107188257837337</v>
      </c>
      <c r="O172" s="140">
        <f t="shared" si="201"/>
        <v>0.45452286396865826</v>
      </c>
      <c r="P172" s="140">
        <f t="shared" si="201"/>
        <v>0.46368380642805646</v>
      </c>
      <c r="Q172" s="140">
        <f t="shared" si="201"/>
        <v>0.37802052267585362</v>
      </c>
      <c r="R172" s="140">
        <f t="shared" si="201"/>
        <v>0.37738658645664036</v>
      </c>
      <c r="S172" s="140">
        <f t="shared" si="201"/>
        <v>0.38917970108459127</v>
      </c>
      <c r="T172" s="140">
        <f t="shared" si="201"/>
        <v>0.38797938138744476</v>
      </c>
      <c r="U172" s="140">
        <f t="shared" si="201"/>
        <v>0.39896175354486141</v>
      </c>
      <c r="V172" s="140">
        <f t="shared" si="201"/>
        <v>0.42765703733262123</v>
      </c>
      <c r="W172" s="140">
        <f t="shared" si="201"/>
        <v>0.42190566713590588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1.229350941390717E-3</v>
      </c>
      <c r="C173" s="124">
        <f t="shared" ref="C173:W173" si="202">IF(C81=0,0,C81/C$77)</f>
        <v>9.5449997082404391E-4</v>
      </c>
      <c r="D173" s="124">
        <f t="shared" si="202"/>
        <v>9.8426544751867447E-4</v>
      </c>
      <c r="E173" s="124">
        <f t="shared" si="202"/>
        <v>1.2953825932485012E-3</v>
      </c>
      <c r="F173" s="124">
        <f t="shared" si="202"/>
        <v>1.5493687237065003E-3</v>
      </c>
      <c r="G173" s="124">
        <f t="shared" si="202"/>
        <v>1.2464810714529471E-3</v>
      </c>
      <c r="H173" s="124">
        <f t="shared" si="202"/>
        <v>1.3317737741046177E-3</v>
      </c>
      <c r="I173" s="124">
        <f t="shared" si="202"/>
        <v>1.47779024662791E-3</v>
      </c>
      <c r="J173" s="124">
        <f t="shared" si="202"/>
        <v>2.1373173061376579E-3</v>
      </c>
      <c r="K173" s="124">
        <f t="shared" si="202"/>
        <v>7.3729976748149726E-4</v>
      </c>
      <c r="L173" s="124">
        <f t="shared" si="202"/>
        <v>9.2233256188804628E-4</v>
      </c>
      <c r="M173" s="124">
        <f t="shared" si="202"/>
        <v>5.5151018169524767E-4</v>
      </c>
      <c r="N173" s="124">
        <f t="shared" si="202"/>
        <v>7.2282635952929607E-4</v>
      </c>
      <c r="O173" s="124">
        <f t="shared" si="202"/>
        <v>4.2891761118047929E-4</v>
      </c>
      <c r="P173" s="124">
        <f t="shared" si="202"/>
        <v>5.8600703177070102E-4</v>
      </c>
      <c r="Q173" s="124">
        <f t="shared" si="202"/>
        <v>5.3520020475292555E-4</v>
      </c>
      <c r="R173" s="124">
        <f t="shared" si="202"/>
        <v>4.4952532741049871E-4</v>
      </c>
      <c r="S173" s="124">
        <f t="shared" si="202"/>
        <v>6.4153110526168119E-4</v>
      </c>
      <c r="T173" s="124">
        <f t="shared" si="202"/>
        <v>6.8202006677269781E-4</v>
      </c>
      <c r="U173" s="124">
        <f t="shared" si="202"/>
        <v>4.2719392807082519E-4</v>
      </c>
      <c r="V173" s="124">
        <f t="shared" si="202"/>
        <v>5.2619637681870985E-4</v>
      </c>
      <c r="W173" s="124">
        <f t="shared" si="202"/>
        <v>4.5391094014696947E-4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1.3669000771919541E-2</v>
      </c>
      <c r="C174" s="124">
        <f t="shared" ref="C174:W174" si="203">IF(C82=0,0,C82/C$77)</f>
        <v>1.3781765102727783E-2</v>
      </c>
      <c r="D174" s="124">
        <f t="shared" si="203"/>
        <v>1.3483995959844314E-2</v>
      </c>
      <c r="E174" s="124">
        <f t="shared" si="203"/>
        <v>1.1406508189770855E-2</v>
      </c>
      <c r="F174" s="124">
        <f t="shared" si="203"/>
        <v>7.0625237940427389E-3</v>
      </c>
      <c r="G174" s="124">
        <f t="shared" si="203"/>
        <v>7.2483203192258011E-3</v>
      </c>
      <c r="H174" s="124">
        <f t="shared" si="203"/>
        <v>8.1206534063238116E-3</v>
      </c>
      <c r="I174" s="124">
        <f t="shared" si="203"/>
        <v>7.0206291861996941E-3</v>
      </c>
      <c r="J174" s="124">
        <f t="shared" si="203"/>
        <v>7.9227529152144909E-3</v>
      </c>
      <c r="K174" s="124">
        <f t="shared" si="203"/>
        <v>4.6631582748042234E-3</v>
      </c>
      <c r="L174" s="124">
        <f t="shared" si="203"/>
        <v>4.1904367996327945E-3</v>
      </c>
      <c r="M174" s="124">
        <f t="shared" si="203"/>
        <v>5.2628916508579227E-3</v>
      </c>
      <c r="N174" s="124">
        <f t="shared" si="203"/>
        <v>5.6439858603601709E-3</v>
      </c>
      <c r="O174" s="124">
        <f t="shared" si="203"/>
        <v>5.021430310950958E-3</v>
      </c>
      <c r="P174" s="124">
        <f t="shared" si="203"/>
        <v>3.9119888965947177E-3</v>
      </c>
      <c r="Q174" s="124">
        <f t="shared" si="203"/>
        <v>3.5892948153720171E-3</v>
      </c>
      <c r="R174" s="124">
        <f t="shared" si="203"/>
        <v>3.3243229535216464E-3</v>
      </c>
      <c r="S174" s="124">
        <f t="shared" si="203"/>
        <v>3.4414200822068769E-3</v>
      </c>
      <c r="T174" s="124">
        <f t="shared" si="203"/>
        <v>4.6553957366996654E-3</v>
      </c>
      <c r="U174" s="124">
        <f t="shared" si="203"/>
        <v>4.3656377523872839E-3</v>
      </c>
      <c r="V174" s="124">
        <f t="shared" si="203"/>
        <v>3.7487496851639612E-3</v>
      </c>
      <c r="W174" s="124">
        <f t="shared" si="203"/>
        <v>4.6008540748447482E-3</v>
      </c>
      <c r="DA174" s="176"/>
    </row>
    <row r="175" spans="1:105" ht="11.45" customHeight="1" x14ac:dyDescent="0.25">
      <c r="A175" s="128" t="s">
        <v>27</v>
      </c>
      <c r="B175" s="140">
        <f t="shared" si="197"/>
        <v>6.4198854315919507E-3</v>
      </c>
      <c r="C175" s="140">
        <f t="shared" ref="C175:W175" si="204">IF(C83=0,0,C83/C$77)</f>
        <v>6.2218623583458572E-3</v>
      </c>
      <c r="D175" s="140">
        <f t="shared" si="204"/>
        <v>5.9855782550239248E-3</v>
      </c>
      <c r="E175" s="140">
        <f t="shared" si="204"/>
        <v>4.9658365111347772E-3</v>
      </c>
      <c r="F175" s="140">
        <f t="shared" si="204"/>
        <v>2.6253970331077485E-3</v>
      </c>
      <c r="G175" s="140">
        <f t="shared" si="204"/>
        <v>2.7052494211818141E-3</v>
      </c>
      <c r="H175" s="140">
        <f t="shared" si="204"/>
        <v>2.2884351009980343E-3</v>
      </c>
      <c r="I175" s="140">
        <f t="shared" si="204"/>
        <v>1.8265537451376769E-3</v>
      </c>
      <c r="J175" s="140">
        <f t="shared" si="204"/>
        <v>2.0524304865739509E-3</v>
      </c>
      <c r="K175" s="140">
        <f t="shared" si="204"/>
        <v>1.0135160183938918E-3</v>
      </c>
      <c r="L175" s="140">
        <f t="shared" si="204"/>
        <v>9.3997673580917956E-4</v>
      </c>
      <c r="M175" s="140">
        <f t="shared" si="204"/>
        <v>9.7353380040099229E-4</v>
      </c>
      <c r="N175" s="140">
        <f t="shared" si="204"/>
        <v>8.9884110751733786E-4</v>
      </c>
      <c r="O175" s="140">
        <f t="shared" si="204"/>
        <v>8.0339168518895709E-4</v>
      </c>
      <c r="P175" s="140">
        <f t="shared" si="204"/>
        <v>4.838561759955389E-4</v>
      </c>
      <c r="Q175" s="140">
        <f t="shared" si="204"/>
        <v>3.8068743552172279E-4</v>
      </c>
      <c r="R175" s="140">
        <f t="shared" si="204"/>
        <v>3.2556127609504752E-4</v>
      </c>
      <c r="S175" s="140">
        <f t="shared" si="204"/>
        <v>2.3714666921046461E-4</v>
      </c>
      <c r="T175" s="140">
        <f t="shared" si="204"/>
        <v>4.6464076640294311E-4</v>
      </c>
      <c r="U175" s="140">
        <f t="shared" si="204"/>
        <v>3.9008104376933345E-4</v>
      </c>
      <c r="V175" s="140">
        <f t="shared" si="204"/>
        <v>1.890871680204672E-4</v>
      </c>
      <c r="W175" s="140">
        <f t="shared" si="204"/>
        <v>2.3845880656191547E-4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6.5596307779677608E-3</v>
      </c>
      <c r="C176" s="140">
        <f t="shared" ref="C176:W176" si="205">IF(C84=0,0,C84/C$77)</f>
        <v>6.946500182752776E-3</v>
      </c>
      <c r="D176" s="140">
        <f t="shared" si="205"/>
        <v>6.8692897278382634E-3</v>
      </c>
      <c r="E176" s="140">
        <f t="shared" si="205"/>
        <v>5.7476171903344279E-3</v>
      </c>
      <c r="F176" s="140">
        <f t="shared" si="205"/>
        <v>3.968863262345048E-3</v>
      </c>
      <c r="G176" s="140">
        <f t="shared" si="205"/>
        <v>4.0585046837212438E-3</v>
      </c>
      <c r="H176" s="140">
        <f t="shared" si="205"/>
        <v>5.3443082109682896E-3</v>
      </c>
      <c r="I176" s="140">
        <f t="shared" si="205"/>
        <v>4.7848371632185169E-3</v>
      </c>
      <c r="J176" s="140">
        <f t="shared" si="205"/>
        <v>5.4155899489056235E-3</v>
      </c>
      <c r="K176" s="140">
        <f t="shared" si="205"/>
        <v>3.3579379594074056E-3</v>
      </c>
      <c r="L176" s="140">
        <f t="shared" si="205"/>
        <v>3.0749602655245215E-3</v>
      </c>
      <c r="M176" s="140">
        <f t="shared" si="205"/>
        <v>4.0232069792194864E-3</v>
      </c>
      <c r="N176" s="140">
        <f t="shared" si="205"/>
        <v>4.4221964236551368E-3</v>
      </c>
      <c r="O176" s="140">
        <f t="shared" si="205"/>
        <v>3.9838044666161126E-3</v>
      </c>
      <c r="P176" s="140">
        <f t="shared" si="205"/>
        <v>3.2452070351412106E-3</v>
      </c>
      <c r="Q176" s="140">
        <f t="shared" si="205"/>
        <v>2.9596960484558491E-3</v>
      </c>
      <c r="R176" s="140">
        <f t="shared" si="205"/>
        <v>2.7796813285024726E-3</v>
      </c>
      <c r="S176" s="140">
        <f t="shared" si="205"/>
        <v>2.9337387214115203E-3</v>
      </c>
      <c r="T176" s="140">
        <f t="shared" si="205"/>
        <v>3.7586773721349979E-3</v>
      </c>
      <c r="U176" s="140">
        <f t="shared" si="205"/>
        <v>3.4804126499927428E-3</v>
      </c>
      <c r="V176" s="140">
        <f t="shared" si="205"/>
        <v>3.0187737010550718E-3</v>
      </c>
      <c r="W176" s="140">
        <f t="shared" si="205"/>
        <v>3.3903157841969735E-3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6.8948456235982979E-4</v>
      </c>
      <c r="C177" s="140">
        <f t="shared" ref="C177:W177" si="206">IF(C85=0,0,C85/C$77)</f>
        <v>6.1340256162914866E-4</v>
      </c>
      <c r="D177" s="140">
        <f t="shared" si="206"/>
        <v>6.2912797698212643E-4</v>
      </c>
      <c r="E177" s="140">
        <f t="shared" si="206"/>
        <v>6.9305448830164892E-4</v>
      </c>
      <c r="F177" s="140">
        <f t="shared" si="206"/>
        <v>4.6826349858994262E-4</v>
      </c>
      <c r="G177" s="140">
        <f t="shared" si="206"/>
        <v>4.8456621432274246E-4</v>
      </c>
      <c r="H177" s="140">
        <f t="shared" si="206"/>
        <v>4.8791009435748763E-4</v>
      </c>
      <c r="I177" s="140">
        <f t="shared" si="206"/>
        <v>4.0923827784350019E-4</v>
      </c>
      <c r="J177" s="140">
        <f t="shared" si="206"/>
        <v>4.5473247973491657E-4</v>
      </c>
      <c r="K177" s="140">
        <f t="shared" si="206"/>
        <v>2.9170429700292599E-4</v>
      </c>
      <c r="L177" s="140">
        <f t="shared" si="206"/>
        <v>1.7549979829909382E-4</v>
      </c>
      <c r="M177" s="140">
        <f t="shared" si="206"/>
        <v>2.6615087123744465E-4</v>
      </c>
      <c r="N177" s="140">
        <f t="shared" si="206"/>
        <v>3.2294832918769711E-4</v>
      </c>
      <c r="O177" s="140">
        <f t="shared" si="206"/>
        <v>2.3423415914588841E-4</v>
      </c>
      <c r="P177" s="140">
        <f t="shared" si="206"/>
        <v>1.8292568545796861E-4</v>
      </c>
      <c r="Q177" s="140">
        <f t="shared" si="206"/>
        <v>2.4891133139444562E-4</v>
      </c>
      <c r="R177" s="140">
        <f t="shared" si="206"/>
        <v>2.1908034892412608E-4</v>
      </c>
      <c r="S177" s="140">
        <f t="shared" si="206"/>
        <v>2.7053469158489234E-4</v>
      </c>
      <c r="T177" s="140">
        <f t="shared" si="206"/>
        <v>4.3207759816172409E-4</v>
      </c>
      <c r="U177" s="140">
        <f t="shared" si="206"/>
        <v>4.9514405862520808E-4</v>
      </c>
      <c r="V177" s="140">
        <f t="shared" si="206"/>
        <v>5.4088881608842264E-4</v>
      </c>
      <c r="W177" s="140">
        <f t="shared" si="206"/>
        <v>9.7207948408585922E-4</v>
      </c>
      <c r="DA177" s="175"/>
    </row>
    <row r="178" spans="1:105" ht="11.45" customHeight="1" x14ac:dyDescent="0.25">
      <c r="A178" s="109" t="s">
        <v>142</v>
      </c>
      <c r="B178" s="124">
        <f t="shared" si="197"/>
        <v>0.21282907148636737</v>
      </c>
      <c r="C178" s="124">
        <f t="shared" ref="C178:W178" si="207">IF(C86=0,0,C86/C$77)</f>
        <v>0.26760104897944603</v>
      </c>
      <c r="D178" s="124">
        <f t="shared" si="207"/>
        <v>0.24425071539040297</v>
      </c>
      <c r="E178" s="124">
        <f t="shared" si="207"/>
        <v>0.24188238079873101</v>
      </c>
      <c r="F178" s="124">
        <f t="shared" si="207"/>
        <v>0.25387053703785983</v>
      </c>
      <c r="G178" s="124">
        <f t="shared" si="207"/>
        <v>0.25433634082613049</v>
      </c>
      <c r="H178" s="124">
        <f t="shared" si="207"/>
        <v>0.26423390097498345</v>
      </c>
      <c r="I178" s="124">
        <f t="shared" si="207"/>
        <v>0.2456963920220844</v>
      </c>
      <c r="J178" s="124">
        <f t="shared" si="207"/>
        <v>0.22739023734103223</v>
      </c>
      <c r="K178" s="124">
        <f t="shared" si="207"/>
        <v>0.27365953874437271</v>
      </c>
      <c r="L178" s="124">
        <f t="shared" si="207"/>
        <v>0.25598653160617058</v>
      </c>
      <c r="M178" s="124">
        <f t="shared" si="207"/>
        <v>0.23276088947772022</v>
      </c>
      <c r="N178" s="124">
        <f t="shared" si="207"/>
        <v>0.29648166409527726</v>
      </c>
      <c r="O178" s="124">
        <f t="shared" si="207"/>
        <v>0.22772124514091735</v>
      </c>
      <c r="P178" s="124">
        <f t="shared" si="207"/>
        <v>0.22978825050156165</v>
      </c>
      <c r="Q178" s="124">
        <f t="shared" si="207"/>
        <v>0.26712788885605826</v>
      </c>
      <c r="R178" s="124">
        <f t="shared" si="207"/>
        <v>0.26542827521658185</v>
      </c>
      <c r="S178" s="124">
        <f t="shared" si="207"/>
        <v>0.28359714864368479</v>
      </c>
      <c r="T178" s="124">
        <f t="shared" si="207"/>
        <v>0.29586713045172103</v>
      </c>
      <c r="U178" s="124">
        <f t="shared" si="207"/>
        <v>0.29664595409674011</v>
      </c>
      <c r="V178" s="124">
        <f t="shared" si="207"/>
        <v>0.27357685201272158</v>
      </c>
      <c r="W178" s="124">
        <f t="shared" si="207"/>
        <v>0.27940730305336664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0.21282907148636737</v>
      </c>
      <c r="C179" s="140">
        <f t="shared" ref="C179:W179" si="208">IF(C87=0,0,C87/C$77)</f>
        <v>0.26760104897944603</v>
      </c>
      <c r="D179" s="140">
        <f t="shared" si="208"/>
        <v>0.24425071539040297</v>
      </c>
      <c r="E179" s="140">
        <f t="shared" si="208"/>
        <v>0.24188238079873101</v>
      </c>
      <c r="F179" s="140">
        <f t="shared" si="208"/>
        <v>0.25387053703785983</v>
      </c>
      <c r="G179" s="140">
        <f t="shared" si="208"/>
        <v>0.25433634082613049</v>
      </c>
      <c r="H179" s="140">
        <f t="shared" si="208"/>
        <v>0.26423390097498345</v>
      </c>
      <c r="I179" s="140">
        <f t="shared" si="208"/>
        <v>0.2456963920220844</v>
      </c>
      <c r="J179" s="140">
        <f t="shared" si="208"/>
        <v>0.22739023734103223</v>
      </c>
      <c r="K179" s="140">
        <f t="shared" si="208"/>
        <v>0.27365953874437271</v>
      </c>
      <c r="L179" s="140">
        <f t="shared" si="208"/>
        <v>0.25598653160617058</v>
      </c>
      <c r="M179" s="140">
        <f t="shared" si="208"/>
        <v>0.23276088947772022</v>
      </c>
      <c r="N179" s="140">
        <f t="shared" si="208"/>
        <v>0.29648166409527726</v>
      </c>
      <c r="O179" s="140">
        <f t="shared" si="208"/>
        <v>0.22772124514091735</v>
      </c>
      <c r="P179" s="140">
        <f t="shared" si="208"/>
        <v>0.22978825050156165</v>
      </c>
      <c r="Q179" s="140">
        <f t="shared" si="208"/>
        <v>0.26712788885605826</v>
      </c>
      <c r="R179" s="140">
        <f t="shared" si="208"/>
        <v>0.26542827521658185</v>
      </c>
      <c r="S179" s="140">
        <f t="shared" si="208"/>
        <v>0.28359714864368479</v>
      </c>
      <c r="T179" s="140">
        <f t="shared" si="208"/>
        <v>0.29586713045172103</v>
      </c>
      <c r="U179" s="140">
        <f t="shared" si="208"/>
        <v>0.29664595409674011</v>
      </c>
      <c r="V179" s="140">
        <f t="shared" si="208"/>
        <v>0.27357685201272158</v>
      </c>
      <c r="W179" s="140">
        <f t="shared" si="208"/>
        <v>0.27940730305336664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0</v>
      </c>
      <c r="C180" s="127">
        <f t="shared" ref="C180:W180" si="209">IF(C88=0,0,C88/C$77)</f>
        <v>0</v>
      </c>
      <c r="D180" s="127">
        <f t="shared" si="209"/>
        <v>0</v>
      </c>
      <c r="E180" s="127">
        <f t="shared" si="209"/>
        <v>0</v>
      </c>
      <c r="F180" s="127">
        <f t="shared" si="209"/>
        <v>0</v>
      </c>
      <c r="G180" s="127">
        <f t="shared" si="209"/>
        <v>0</v>
      </c>
      <c r="H180" s="127">
        <f t="shared" si="209"/>
        <v>0</v>
      </c>
      <c r="I180" s="127">
        <f t="shared" si="209"/>
        <v>0</v>
      </c>
      <c r="J180" s="127">
        <f t="shared" si="209"/>
        <v>0</v>
      </c>
      <c r="K180" s="127">
        <f t="shared" si="209"/>
        <v>0</v>
      </c>
      <c r="L180" s="127">
        <f t="shared" si="209"/>
        <v>0</v>
      </c>
      <c r="M180" s="127">
        <f t="shared" si="209"/>
        <v>0</v>
      </c>
      <c r="N180" s="127">
        <f t="shared" si="209"/>
        <v>0</v>
      </c>
      <c r="O180" s="127">
        <f t="shared" si="209"/>
        <v>0</v>
      </c>
      <c r="P180" s="127">
        <f t="shared" si="209"/>
        <v>0</v>
      </c>
      <c r="Q180" s="127">
        <f t="shared" si="209"/>
        <v>0</v>
      </c>
      <c r="R180" s="127">
        <f t="shared" si="209"/>
        <v>0</v>
      </c>
      <c r="S180" s="127">
        <f t="shared" si="209"/>
        <v>0</v>
      </c>
      <c r="T180" s="127">
        <f t="shared" si="209"/>
        <v>0</v>
      </c>
      <c r="U180" s="127">
        <f t="shared" si="209"/>
        <v>0</v>
      </c>
      <c r="V180" s="127">
        <f t="shared" si="209"/>
        <v>0</v>
      </c>
      <c r="W180" s="127">
        <f t="shared" si="209"/>
        <v>0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0.53276456216245771</v>
      </c>
      <c r="C182" s="140">
        <f t="shared" ref="C182:W182" si="211">IF(C90=0,0,C90/C$89)</f>
        <v>0.45805161505886149</v>
      </c>
      <c r="D182" s="140">
        <f t="shared" si="211"/>
        <v>0.43493340389036106</v>
      </c>
      <c r="E182" s="140">
        <f t="shared" si="211"/>
        <v>0.45410459799882441</v>
      </c>
      <c r="F182" s="140">
        <f t="shared" si="211"/>
        <v>0.43603872473296679</v>
      </c>
      <c r="G182" s="140">
        <f t="shared" si="211"/>
        <v>0.4279907696443499</v>
      </c>
      <c r="H182" s="140">
        <f t="shared" si="211"/>
        <v>0.40783534969704904</v>
      </c>
      <c r="I182" s="140">
        <f t="shared" si="211"/>
        <v>0.4333992221588141</v>
      </c>
      <c r="J182" s="140">
        <f t="shared" si="211"/>
        <v>0.45765075086517215</v>
      </c>
      <c r="K182" s="140">
        <f t="shared" si="211"/>
        <v>0.46545877920287937</v>
      </c>
      <c r="L182" s="140">
        <f t="shared" si="211"/>
        <v>0.44438857573624901</v>
      </c>
      <c r="M182" s="140">
        <f t="shared" si="211"/>
        <v>0.42192063334714042</v>
      </c>
      <c r="N182" s="140">
        <f t="shared" si="211"/>
        <v>0.40524849607569058</v>
      </c>
      <c r="O182" s="140">
        <f t="shared" si="211"/>
        <v>0.38506859562045903</v>
      </c>
      <c r="P182" s="140">
        <f t="shared" si="211"/>
        <v>0.37273219371008987</v>
      </c>
      <c r="Q182" s="140">
        <f t="shared" si="211"/>
        <v>0.38156684622721465</v>
      </c>
      <c r="R182" s="140">
        <f t="shared" si="211"/>
        <v>0.36457162075137067</v>
      </c>
      <c r="S182" s="140">
        <f t="shared" si="211"/>
        <v>0.37115814005411429</v>
      </c>
      <c r="T182" s="140">
        <f t="shared" si="211"/>
        <v>0.37171971602544501</v>
      </c>
      <c r="U182" s="140">
        <f t="shared" si="211"/>
        <v>0.37949808440793215</v>
      </c>
      <c r="V182" s="140">
        <f t="shared" si="211"/>
        <v>0.33806629622064444</v>
      </c>
      <c r="W182" s="140">
        <f t="shared" si="211"/>
        <v>0.34111203301398751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0.46723543783754223</v>
      </c>
      <c r="C183" s="127">
        <f t="shared" ref="C183:W183" si="212">IF(C91=0,0,C91/C$89)</f>
        <v>0.54194838494113851</v>
      </c>
      <c r="D183" s="127">
        <f t="shared" si="212"/>
        <v>0.56506659610963883</v>
      </c>
      <c r="E183" s="127">
        <f t="shared" si="212"/>
        <v>0.54589540200117559</v>
      </c>
      <c r="F183" s="127">
        <f t="shared" si="212"/>
        <v>0.5639612752670331</v>
      </c>
      <c r="G183" s="127">
        <f t="shared" si="212"/>
        <v>0.5720092303556501</v>
      </c>
      <c r="H183" s="127">
        <f t="shared" si="212"/>
        <v>0.59216465030295096</v>
      </c>
      <c r="I183" s="127">
        <f t="shared" si="212"/>
        <v>0.5666007778411859</v>
      </c>
      <c r="J183" s="127">
        <f t="shared" si="212"/>
        <v>0.54234924913482774</v>
      </c>
      <c r="K183" s="127">
        <f t="shared" si="212"/>
        <v>0.53454122079712052</v>
      </c>
      <c r="L183" s="127">
        <f t="shared" si="212"/>
        <v>0.55561142426375099</v>
      </c>
      <c r="M183" s="127">
        <f t="shared" si="212"/>
        <v>0.57807936665285953</v>
      </c>
      <c r="N183" s="127">
        <f t="shared" si="212"/>
        <v>0.59475150392430942</v>
      </c>
      <c r="O183" s="127">
        <f t="shared" si="212"/>
        <v>0.61493140437954097</v>
      </c>
      <c r="P183" s="127">
        <f t="shared" si="212"/>
        <v>0.62726780628991008</v>
      </c>
      <c r="Q183" s="127">
        <f t="shared" si="212"/>
        <v>0.61843315377278529</v>
      </c>
      <c r="R183" s="127">
        <f t="shared" si="212"/>
        <v>0.63542837924862938</v>
      </c>
      <c r="S183" s="127">
        <f t="shared" si="212"/>
        <v>0.62884185994588571</v>
      </c>
      <c r="T183" s="127">
        <f t="shared" si="212"/>
        <v>0.62828028397455493</v>
      </c>
      <c r="U183" s="127">
        <f t="shared" si="212"/>
        <v>0.6205019155920678</v>
      </c>
      <c r="V183" s="127">
        <f t="shared" si="212"/>
        <v>0.66193370377935556</v>
      </c>
      <c r="W183" s="127">
        <f t="shared" si="212"/>
        <v>0.65888796698601249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38.67865253863809</v>
      </c>
      <c r="C186" s="32">
        <f t="shared" si="213"/>
        <v>37.549401149190615</v>
      </c>
      <c r="D186" s="32">
        <f t="shared" si="213"/>
        <v>37.231717116505514</v>
      </c>
      <c r="E186" s="32">
        <f t="shared" si="213"/>
        <v>38.539734435467906</v>
      </c>
      <c r="F186" s="32">
        <f t="shared" si="213"/>
        <v>36.775680535924259</v>
      </c>
      <c r="G186" s="32">
        <f t="shared" si="213"/>
        <v>36.724198133404109</v>
      </c>
      <c r="H186" s="32">
        <f t="shared" si="213"/>
        <v>36.502822534860428</v>
      </c>
      <c r="I186" s="32">
        <f t="shared" si="213"/>
        <v>36.482892875102777</v>
      </c>
      <c r="J186" s="32">
        <f t="shared" si="213"/>
        <v>34.937605867417865</v>
      </c>
      <c r="K186" s="32">
        <f t="shared" si="213"/>
        <v>35.422278344470499</v>
      </c>
      <c r="L186" s="32">
        <f t="shared" si="213"/>
        <v>31.643964537193018</v>
      </c>
      <c r="M186" s="32">
        <f t="shared" si="213"/>
        <v>31.14016584138394</v>
      </c>
      <c r="N186" s="32">
        <f t="shared" si="213"/>
        <v>27.350708826107461</v>
      </c>
      <c r="O186" s="32">
        <f t="shared" si="213"/>
        <v>26.347446331541033</v>
      </c>
      <c r="P186" s="32">
        <f t="shared" si="213"/>
        <v>25.842066370864938</v>
      </c>
      <c r="Q186" s="32">
        <f t="shared" si="213"/>
        <v>26.04898313814817</v>
      </c>
      <c r="R186" s="32">
        <f t="shared" si="213"/>
        <v>25.968282510849519</v>
      </c>
      <c r="S186" s="32">
        <f t="shared" si="213"/>
        <v>25.710187026979224</v>
      </c>
      <c r="T186" s="32">
        <f t="shared" si="213"/>
        <v>25.587859037864291</v>
      </c>
      <c r="U186" s="32">
        <f t="shared" si="213"/>
        <v>25.56049899330106</v>
      </c>
      <c r="V186" s="32">
        <f t="shared" si="213"/>
        <v>26.921192940676871</v>
      </c>
      <c r="W186" s="32">
        <f t="shared" ref="W186" si="214">IF(W34=0,0,W34/W4*1000)</f>
        <v>26.648170149677874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39.170247991151136</v>
      </c>
      <c r="C187" s="141">
        <f t="shared" si="215"/>
        <v>38.151911176954393</v>
      </c>
      <c r="D187" s="141">
        <f t="shared" si="215"/>
        <v>37.964011448622792</v>
      </c>
      <c r="E187" s="141">
        <f t="shared" si="215"/>
        <v>39.639366379425702</v>
      </c>
      <c r="F187" s="141">
        <f t="shared" si="215"/>
        <v>37.54750025358063</v>
      </c>
      <c r="G187" s="141">
        <f t="shared" si="215"/>
        <v>38.064440731903723</v>
      </c>
      <c r="H187" s="141">
        <f t="shared" si="215"/>
        <v>37.206118193609221</v>
      </c>
      <c r="I187" s="141">
        <f t="shared" si="215"/>
        <v>37.277821459639675</v>
      </c>
      <c r="J187" s="141">
        <f t="shared" si="215"/>
        <v>34.647129469305888</v>
      </c>
      <c r="K187" s="141">
        <f t="shared" si="215"/>
        <v>36.283100226119409</v>
      </c>
      <c r="L187" s="141">
        <f t="shared" si="215"/>
        <v>33.143057416508803</v>
      </c>
      <c r="M187" s="141">
        <f t="shared" si="215"/>
        <v>32.443193688658504</v>
      </c>
      <c r="N187" s="141">
        <f t="shared" si="215"/>
        <v>27.876074550889175</v>
      </c>
      <c r="O187" s="141">
        <f t="shared" si="215"/>
        <v>27.02753324354477</v>
      </c>
      <c r="P187" s="141">
        <f t="shared" si="215"/>
        <v>26.105975475671571</v>
      </c>
      <c r="Q187" s="141">
        <f t="shared" si="215"/>
        <v>26.382859594231348</v>
      </c>
      <c r="R187" s="141">
        <f t="shared" si="215"/>
        <v>26.360201654622081</v>
      </c>
      <c r="S187" s="141">
        <f t="shared" si="215"/>
        <v>26.143486117698945</v>
      </c>
      <c r="T187" s="141">
        <f t="shared" si="215"/>
        <v>25.88575671641042</v>
      </c>
      <c r="U187" s="141">
        <f t="shared" si="215"/>
        <v>26.151245665255331</v>
      </c>
      <c r="V187" s="141">
        <f t="shared" si="215"/>
        <v>27.103161151941858</v>
      </c>
      <c r="W187" s="141">
        <f t="shared" ref="W187" si="216">IF(W35=0,0,W35/W5*1000)</f>
        <v>26.65156349179329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38.604162478820314</v>
      </c>
      <c r="C188" s="97">
        <f t="shared" si="217"/>
        <v>39.554818839863259</v>
      </c>
      <c r="D188" s="97">
        <f t="shared" si="217"/>
        <v>39.263658042395356</v>
      </c>
      <c r="E188" s="97">
        <f t="shared" si="217"/>
        <v>38.792320885112225</v>
      </c>
      <c r="F188" s="97">
        <f t="shared" si="217"/>
        <v>37.625373019666903</v>
      </c>
      <c r="G188" s="97">
        <f t="shared" si="217"/>
        <v>37.893868132277682</v>
      </c>
      <c r="H188" s="97">
        <f t="shared" si="217"/>
        <v>36.475563283270013</v>
      </c>
      <c r="I188" s="97">
        <f t="shared" si="217"/>
        <v>35.628490434584336</v>
      </c>
      <c r="J188" s="97">
        <f t="shared" si="217"/>
        <v>35.726069482484</v>
      </c>
      <c r="K188" s="97">
        <f t="shared" si="217"/>
        <v>35.811053549310159</v>
      </c>
      <c r="L188" s="97">
        <f t="shared" si="217"/>
        <v>35.531317714391825</v>
      </c>
      <c r="M188" s="97">
        <f t="shared" si="217"/>
        <v>35.123383861069172</v>
      </c>
      <c r="N188" s="97">
        <f t="shared" si="217"/>
        <v>34.687129100399488</v>
      </c>
      <c r="O188" s="97">
        <f t="shared" si="217"/>
        <v>34.066505487830156</v>
      </c>
      <c r="P188" s="97">
        <f t="shared" si="217"/>
        <v>33.257371176160092</v>
      </c>
      <c r="Q188" s="97">
        <f t="shared" si="217"/>
        <v>33.84144873462963</v>
      </c>
      <c r="R188" s="97">
        <f t="shared" si="217"/>
        <v>31.780994586195892</v>
      </c>
      <c r="S188" s="97">
        <f t="shared" si="217"/>
        <v>33.254210887046014</v>
      </c>
      <c r="T188" s="97">
        <f t="shared" si="217"/>
        <v>32.673833309669412</v>
      </c>
      <c r="U188" s="97">
        <f t="shared" si="217"/>
        <v>32.227472524907199</v>
      </c>
      <c r="V188" s="97">
        <f t="shared" si="217"/>
        <v>30.404317170993888</v>
      </c>
      <c r="W188" s="97">
        <f t="shared" ref="W188" si="218">IF(W36=0,0,W36/W6*1000)</f>
        <v>30.275676613232473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43.710769303568284</v>
      </c>
      <c r="C189" s="97">
        <f t="shared" si="219"/>
        <v>42.221306702508926</v>
      </c>
      <c r="D189" s="97">
        <f t="shared" si="219"/>
        <v>41.885483834768003</v>
      </c>
      <c r="E189" s="97">
        <f t="shared" si="219"/>
        <v>41.896755330174742</v>
      </c>
      <c r="F189" s="97">
        <f t="shared" si="219"/>
        <v>41.035474724720451</v>
      </c>
      <c r="G189" s="97">
        <f t="shared" si="219"/>
        <v>40.72792794225802</v>
      </c>
      <c r="H189" s="97">
        <f t="shared" si="219"/>
        <v>39.731086877129023</v>
      </c>
      <c r="I189" s="97">
        <f t="shared" si="219"/>
        <v>39.631733183988864</v>
      </c>
      <c r="J189" s="97">
        <f t="shared" si="219"/>
        <v>36.693459775073684</v>
      </c>
      <c r="K189" s="97">
        <f t="shared" si="219"/>
        <v>37.316566314081591</v>
      </c>
      <c r="L189" s="97">
        <f t="shared" si="219"/>
        <v>34.195069096778134</v>
      </c>
      <c r="M189" s="97">
        <f t="shared" si="219"/>
        <v>32.975970649246001</v>
      </c>
      <c r="N189" s="97">
        <f t="shared" si="219"/>
        <v>28.176399149199145</v>
      </c>
      <c r="O189" s="97">
        <f t="shared" si="219"/>
        <v>26.35595881701078</v>
      </c>
      <c r="P189" s="97">
        <f t="shared" si="219"/>
        <v>25.387743853568232</v>
      </c>
      <c r="Q189" s="97">
        <f t="shared" si="219"/>
        <v>25.96787022111419</v>
      </c>
      <c r="R189" s="97">
        <f t="shared" si="219"/>
        <v>25.970437283788662</v>
      </c>
      <c r="S189" s="97">
        <f t="shared" si="219"/>
        <v>25.489386669442077</v>
      </c>
      <c r="T189" s="97">
        <f t="shared" si="219"/>
        <v>25.153582013036289</v>
      </c>
      <c r="U189" s="97">
        <f t="shared" si="219"/>
        <v>25.259718944285019</v>
      </c>
      <c r="V189" s="97">
        <f t="shared" si="219"/>
        <v>24.683305319380803</v>
      </c>
      <c r="W189" s="97">
        <f t="shared" ref="W189" si="220">IF(W37=0,0,W37/W7*1000)</f>
        <v>24.341298183118695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26.102376885960279</v>
      </c>
      <c r="C190" s="97">
        <f t="shared" si="221"/>
        <v>25.160194118644405</v>
      </c>
      <c r="D190" s="97">
        <f t="shared" si="221"/>
        <v>24.826735942507685</v>
      </c>
      <c r="E190" s="97">
        <f t="shared" si="221"/>
        <v>32.033568117541364</v>
      </c>
      <c r="F190" s="97">
        <f t="shared" si="221"/>
        <v>24.608686274127383</v>
      </c>
      <c r="G190" s="97">
        <f t="shared" si="221"/>
        <v>27.676887989976358</v>
      </c>
      <c r="H190" s="97">
        <f t="shared" si="221"/>
        <v>26.965738399233185</v>
      </c>
      <c r="I190" s="97">
        <f t="shared" si="221"/>
        <v>27.534584209713231</v>
      </c>
      <c r="J190" s="97">
        <f t="shared" si="221"/>
        <v>25.094384176051499</v>
      </c>
      <c r="K190" s="97">
        <f t="shared" si="221"/>
        <v>31.417285624980135</v>
      </c>
      <c r="L190" s="97">
        <f t="shared" si="221"/>
        <v>27.347863011412805</v>
      </c>
      <c r="M190" s="97">
        <f t="shared" si="221"/>
        <v>29.00754881600832</v>
      </c>
      <c r="N190" s="97">
        <f t="shared" si="221"/>
        <v>23.947619459655851</v>
      </c>
      <c r="O190" s="97">
        <f t="shared" si="221"/>
        <v>27.3948479104981</v>
      </c>
      <c r="P190" s="97">
        <f t="shared" si="221"/>
        <v>26.548270468523668</v>
      </c>
      <c r="Q190" s="97">
        <f t="shared" si="221"/>
        <v>25.308470817845375</v>
      </c>
      <c r="R190" s="97">
        <f t="shared" si="221"/>
        <v>25.948465677051651</v>
      </c>
      <c r="S190" s="97">
        <f t="shared" si="221"/>
        <v>26.53826677425258</v>
      </c>
      <c r="T190" s="97">
        <f t="shared" si="221"/>
        <v>27.026429191042663</v>
      </c>
      <c r="U190" s="97">
        <f t="shared" si="221"/>
        <v>28.325112754156908</v>
      </c>
      <c r="V190" s="97">
        <f t="shared" si="221"/>
        <v>41.840527381196189</v>
      </c>
      <c r="W190" s="97">
        <f t="shared" ref="W190" si="222">IF(W38=0,0,W38/W8*1000)</f>
        <v>41.035823530065187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15.014744438221147</v>
      </c>
      <c r="C191" s="130">
        <f t="shared" si="223"/>
        <v>15.397755074483532</v>
      </c>
      <c r="D191" s="130">
        <f t="shared" si="223"/>
        <v>14.801800820572623</v>
      </c>
      <c r="E191" s="130">
        <f t="shared" si="223"/>
        <v>15.641282402307271</v>
      </c>
      <c r="F191" s="130">
        <f t="shared" si="223"/>
        <v>14.442363290160579</v>
      </c>
      <c r="G191" s="130">
        <f t="shared" si="223"/>
        <v>12.6179848846671</v>
      </c>
      <c r="H191" s="130">
        <f t="shared" si="223"/>
        <v>13.383199662343706</v>
      </c>
      <c r="I191" s="130">
        <f t="shared" si="223"/>
        <v>12.058731498112056</v>
      </c>
      <c r="J191" s="130">
        <f t="shared" si="223"/>
        <v>11.519287349310057</v>
      </c>
      <c r="K191" s="130">
        <f t="shared" si="223"/>
        <v>11.308118358583915</v>
      </c>
      <c r="L191" s="130">
        <f t="shared" si="223"/>
        <v>6.9357931162345858</v>
      </c>
      <c r="M191" s="130">
        <f t="shared" si="223"/>
        <v>7.062850340012143</v>
      </c>
      <c r="N191" s="130">
        <f t="shared" si="223"/>
        <v>11.470193852083558</v>
      </c>
      <c r="O191" s="130">
        <f t="shared" si="223"/>
        <v>9.5510587796722302</v>
      </c>
      <c r="P191" s="130">
        <f t="shared" si="223"/>
        <v>20.544795430653757</v>
      </c>
      <c r="Q191" s="130">
        <f t="shared" si="223"/>
        <v>19.539604213760636</v>
      </c>
      <c r="R191" s="130">
        <f t="shared" si="223"/>
        <v>19.365865196406876</v>
      </c>
      <c r="S191" s="130">
        <f t="shared" si="223"/>
        <v>19.137625678375048</v>
      </c>
      <c r="T191" s="130">
        <f t="shared" si="223"/>
        <v>18.765128152498782</v>
      </c>
      <c r="U191" s="130">
        <f t="shared" si="223"/>
        <v>8.3431089936648775</v>
      </c>
      <c r="V191" s="130">
        <f t="shared" si="223"/>
        <v>10.507087713055938</v>
      </c>
      <c r="W191" s="130">
        <f t="shared" ref="W191" si="224">IF(W39=0,0,W39/W9*1000)</f>
        <v>10.902378842722145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5.367096572849448</v>
      </c>
      <c r="C192" s="97">
        <f t="shared" si="225"/>
        <v>5.321955718734352</v>
      </c>
      <c r="D192" s="97">
        <f t="shared" si="225"/>
        <v>5.3090558725069217</v>
      </c>
      <c r="E192" s="97">
        <f t="shared" si="225"/>
        <v>5.3649974257537076</v>
      </c>
      <c r="F192" s="97">
        <f t="shared" si="225"/>
        <v>5.2864235595302036</v>
      </c>
      <c r="G192" s="97">
        <f t="shared" si="225"/>
        <v>2.6163388338374824</v>
      </c>
      <c r="H192" s="97">
        <f t="shared" si="225"/>
        <v>4.1936021932613281</v>
      </c>
      <c r="I192" s="97">
        <f t="shared" si="225"/>
        <v>4.8629171226871097</v>
      </c>
      <c r="J192" s="97">
        <f t="shared" si="225"/>
        <v>3.1232620577752241</v>
      </c>
      <c r="K192" s="97">
        <f t="shared" si="225"/>
        <v>3.5690644095698718</v>
      </c>
      <c r="L192" s="97">
        <f t="shared" si="225"/>
        <v>2.0733704180351857</v>
      </c>
      <c r="M192" s="97">
        <f t="shared" si="225"/>
        <v>2.6863643697575283</v>
      </c>
      <c r="N192" s="97">
        <f t="shared" si="225"/>
        <v>2.4002986458280149</v>
      </c>
      <c r="O192" s="97">
        <f t="shared" si="225"/>
        <v>3.8431400369947339</v>
      </c>
      <c r="P192" s="97">
        <f t="shared" si="225"/>
        <v>4.9303522617465125</v>
      </c>
      <c r="Q192" s="97">
        <f t="shared" si="225"/>
        <v>4.529130885520944</v>
      </c>
      <c r="R192" s="97">
        <f t="shared" si="225"/>
        <v>4.4060770329887582</v>
      </c>
      <c r="S192" s="97">
        <f t="shared" si="225"/>
        <v>4.44517264546141</v>
      </c>
      <c r="T192" s="97">
        <f t="shared" si="225"/>
        <v>4.4037335684906509</v>
      </c>
      <c r="U192" s="97">
        <f t="shared" si="225"/>
        <v>3.8644414622894381</v>
      </c>
      <c r="V192" s="97">
        <f t="shared" si="225"/>
        <v>5.8413843247432631</v>
      </c>
      <c r="W192" s="97">
        <f t="shared" ref="W192" si="226">IF(W40=0,0,W40/W10*1000)</f>
        <v>5.6331579946443542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21.102072624749418</v>
      </c>
      <c r="C193" s="97">
        <f t="shared" si="227"/>
        <v>23.068512454647475</v>
      </c>
      <c r="D193" s="97">
        <f t="shared" si="227"/>
        <v>21.781760341209168</v>
      </c>
      <c r="E193" s="97">
        <f t="shared" si="227"/>
        <v>24.781561288695446</v>
      </c>
      <c r="F193" s="97">
        <f t="shared" si="227"/>
        <v>22.676122040727467</v>
      </c>
      <c r="G193" s="97">
        <f t="shared" si="227"/>
        <v>20.709931527733136</v>
      </c>
      <c r="H193" s="97">
        <f t="shared" si="227"/>
        <v>21.248399042287211</v>
      </c>
      <c r="I193" s="97">
        <f t="shared" si="227"/>
        <v>18.024173467376261</v>
      </c>
      <c r="J193" s="97">
        <f t="shared" si="227"/>
        <v>19.930513652235717</v>
      </c>
      <c r="K193" s="97">
        <f t="shared" si="227"/>
        <v>20.123359768810548</v>
      </c>
      <c r="L193" s="97">
        <f t="shared" si="227"/>
        <v>12.887238521540004</v>
      </c>
      <c r="M193" s="97">
        <f t="shared" si="227"/>
        <v>14.712939438077912</v>
      </c>
      <c r="N193" s="97">
        <f t="shared" si="227"/>
        <v>29.668734625624229</v>
      </c>
      <c r="O193" s="97">
        <f t="shared" si="227"/>
        <v>18.545411716009465</v>
      </c>
      <c r="P193" s="97">
        <f t="shared" si="227"/>
        <v>44.75692648272652</v>
      </c>
      <c r="Q193" s="97">
        <f t="shared" si="227"/>
        <v>39.43359017350901</v>
      </c>
      <c r="R193" s="97">
        <f t="shared" si="227"/>
        <v>40.121542191302659</v>
      </c>
      <c r="S193" s="97">
        <f t="shared" si="227"/>
        <v>41.447800890827338</v>
      </c>
      <c r="T193" s="97">
        <f t="shared" si="227"/>
        <v>40.820582169495019</v>
      </c>
      <c r="U193" s="97">
        <f t="shared" si="227"/>
        <v>14.345197928764062</v>
      </c>
      <c r="V193" s="97">
        <f t="shared" si="227"/>
        <v>18.442137248994801</v>
      </c>
      <c r="W193" s="97">
        <f t="shared" ref="W193" si="228">IF(W41=0,0,W41/W11*1000)</f>
        <v>19.98658022122402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0</v>
      </c>
      <c r="C194" s="97">
        <f t="shared" si="229"/>
        <v>0</v>
      </c>
      <c r="D194" s="97">
        <f t="shared" si="229"/>
        <v>0</v>
      </c>
      <c r="E194" s="97">
        <f t="shared" si="229"/>
        <v>0</v>
      </c>
      <c r="F194" s="97">
        <f t="shared" si="229"/>
        <v>0</v>
      </c>
      <c r="G194" s="97">
        <f t="shared" si="229"/>
        <v>0</v>
      </c>
      <c r="H194" s="97">
        <f t="shared" si="229"/>
        <v>0</v>
      </c>
      <c r="I194" s="97">
        <f t="shared" si="229"/>
        <v>0</v>
      </c>
      <c r="J194" s="97">
        <f t="shared" si="229"/>
        <v>0</v>
      </c>
      <c r="K194" s="97">
        <f t="shared" si="229"/>
        <v>0</v>
      </c>
      <c r="L194" s="97">
        <f t="shared" si="229"/>
        <v>0</v>
      </c>
      <c r="M194" s="97">
        <f t="shared" si="229"/>
        <v>0</v>
      </c>
      <c r="N194" s="97">
        <f t="shared" si="229"/>
        <v>0</v>
      </c>
      <c r="O194" s="97">
        <f t="shared" si="229"/>
        <v>0</v>
      </c>
      <c r="P194" s="97">
        <f t="shared" si="229"/>
        <v>0</v>
      </c>
      <c r="Q194" s="97">
        <f t="shared" si="229"/>
        <v>0</v>
      </c>
      <c r="R194" s="97">
        <f t="shared" si="229"/>
        <v>0</v>
      </c>
      <c r="S194" s="97">
        <f t="shared" si="229"/>
        <v>0</v>
      </c>
      <c r="T194" s="97">
        <f t="shared" si="229"/>
        <v>0</v>
      </c>
      <c r="U194" s="97">
        <f t="shared" si="229"/>
        <v>0</v>
      </c>
      <c r="V194" s="97">
        <f t="shared" si="229"/>
        <v>0</v>
      </c>
      <c r="W194" s="97">
        <f t="shared" ref="W194" si="230">IF(W42=0,0,W42/W12*1000)</f>
        <v>0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39.543944288034183</v>
      </c>
      <c r="C195" s="130">
        <f t="shared" si="231"/>
        <v>37.909670572234496</v>
      </c>
      <c r="D195" s="130">
        <f t="shared" si="231"/>
        <v>37.194975703328275</v>
      </c>
      <c r="E195" s="130">
        <f t="shared" si="231"/>
        <v>37.083713494218223</v>
      </c>
      <c r="F195" s="130">
        <f t="shared" si="231"/>
        <v>36.416262749972532</v>
      </c>
      <c r="G195" s="130">
        <f t="shared" si="231"/>
        <v>34.689588060831824</v>
      </c>
      <c r="H195" s="130">
        <f t="shared" si="231"/>
        <v>36.36960391035165</v>
      </c>
      <c r="I195" s="130">
        <f t="shared" si="231"/>
        <v>36.175545466481935</v>
      </c>
      <c r="J195" s="130">
        <f t="shared" si="231"/>
        <v>38.194537423312809</v>
      </c>
      <c r="K195" s="130">
        <f t="shared" si="231"/>
        <v>34.360494251711643</v>
      </c>
      <c r="L195" s="130">
        <f t="shared" si="231"/>
        <v>28.056953153609655</v>
      </c>
      <c r="M195" s="130">
        <f t="shared" si="231"/>
        <v>28.113145736062602</v>
      </c>
      <c r="N195" s="130">
        <f t="shared" si="231"/>
        <v>26.51116705749984</v>
      </c>
      <c r="O195" s="130">
        <f t="shared" si="231"/>
        <v>25.171958700528538</v>
      </c>
      <c r="P195" s="130">
        <f t="shared" si="231"/>
        <v>25.338879391211595</v>
      </c>
      <c r="Q195" s="130">
        <f t="shared" si="231"/>
        <v>25.438621477161902</v>
      </c>
      <c r="R195" s="130">
        <f t="shared" si="231"/>
        <v>25.207818648932463</v>
      </c>
      <c r="S195" s="130">
        <f t="shared" si="231"/>
        <v>24.900830864046789</v>
      </c>
      <c r="T195" s="130">
        <f t="shared" si="231"/>
        <v>25.198323744562686</v>
      </c>
      <c r="U195" s="130">
        <f t="shared" si="231"/>
        <v>25.028305874094588</v>
      </c>
      <c r="V195" s="130">
        <f t="shared" si="231"/>
        <v>27.424679518149272</v>
      </c>
      <c r="W195" s="130">
        <f t="shared" ref="W195" si="232">IF(W43=0,0,W43/W13*1000)</f>
        <v>27.555997458370491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204.05256427170627</v>
      </c>
      <c r="C196" s="97">
        <f t="shared" si="233"/>
        <v>180.90821849038841</v>
      </c>
      <c r="D196" s="97">
        <f t="shared" si="233"/>
        <v>179.275975260189</v>
      </c>
      <c r="E196" s="97">
        <f t="shared" si="233"/>
        <v>179.12248515767874</v>
      </c>
      <c r="F196" s="97">
        <f t="shared" si="233"/>
        <v>165.7361025050005</v>
      </c>
      <c r="G196" s="97">
        <f t="shared" si="233"/>
        <v>162.67638459020174</v>
      </c>
      <c r="H196" s="97">
        <f t="shared" si="233"/>
        <v>139.01845478229362</v>
      </c>
      <c r="I196" s="97">
        <f t="shared" si="233"/>
        <v>128.73919344912528</v>
      </c>
      <c r="J196" s="97">
        <f t="shared" si="233"/>
        <v>125.16267041208712</v>
      </c>
      <c r="K196" s="97">
        <f t="shared" si="233"/>
        <v>101.73510774947093</v>
      </c>
      <c r="L196" s="97">
        <f t="shared" si="233"/>
        <v>93.099326993551486</v>
      </c>
      <c r="M196" s="97">
        <f t="shared" si="233"/>
        <v>103.92626381684256</v>
      </c>
      <c r="N196" s="97">
        <f t="shared" si="233"/>
        <v>96.100792101965808</v>
      </c>
      <c r="O196" s="97">
        <f t="shared" si="233"/>
        <v>93.970556498026767</v>
      </c>
      <c r="P196" s="97">
        <f t="shared" si="233"/>
        <v>78.998241627123306</v>
      </c>
      <c r="Q196" s="97">
        <f t="shared" si="233"/>
        <v>61.499905687216632</v>
      </c>
      <c r="R196" s="97">
        <f t="shared" si="233"/>
        <v>64.716336929659846</v>
      </c>
      <c r="S196" s="97">
        <f t="shared" si="233"/>
        <v>67.183961688674074</v>
      </c>
      <c r="T196" s="97">
        <f t="shared" si="233"/>
        <v>76.103326605431462</v>
      </c>
      <c r="U196" s="97">
        <f t="shared" si="233"/>
        <v>77.834756297309809</v>
      </c>
      <c r="V196" s="97">
        <f t="shared" si="233"/>
        <v>70.398596601662419</v>
      </c>
      <c r="W196" s="97">
        <f t="shared" ref="W196" si="234">IF(W44=0,0,W44/W14*1000)</f>
        <v>75.354490302728735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24.503019722874658</v>
      </c>
      <c r="C197" s="97">
        <f t="shared" si="235"/>
        <v>24.35760240401957</v>
      </c>
      <c r="D197" s="97">
        <f t="shared" si="235"/>
        <v>24.594493955499001</v>
      </c>
      <c r="E197" s="97">
        <f t="shared" si="235"/>
        <v>25.131262460429248</v>
      </c>
      <c r="F197" s="97">
        <f t="shared" si="235"/>
        <v>24.30467137370908</v>
      </c>
      <c r="G197" s="97">
        <f t="shared" si="235"/>
        <v>23.010400772926911</v>
      </c>
      <c r="H197" s="97">
        <f t="shared" si="235"/>
        <v>27.209849063263167</v>
      </c>
      <c r="I197" s="97">
        <f t="shared" si="235"/>
        <v>28.236529200672283</v>
      </c>
      <c r="J197" s="97">
        <f t="shared" si="235"/>
        <v>31.170834030385688</v>
      </c>
      <c r="K197" s="97">
        <f t="shared" si="235"/>
        <v>27.740405337578487</v>
      </c>
      <c r="L197" s="97">
        <f t="shared" si="235"/>
        <v>22.688114220802337</v>
      </c>
      <c r="M197" s="97">
        <f t="shared" si="235"/>
        <v>23.444904845635175</v>
      </c>
      <c r="N197" s="97">
        <f t="shared" si="235"/>
        <v>22.307629480510659</v>
      </c>
      <c r="O197" s="97">
        <f t="shared" si="235"/>
        <v>22.154038203368778</v>
      </c>
      <c r="P197" s="97">
        <f t="shared" si="235"/>
        <v>22.661703527143079</v>
      </c>
      <c r="Q197" s="97">
        <f t="shared" si="235"/>
        <v>22.825472382904294</v>
      </c>
      <c r="R197" s="97">
        <f t="shared" si="235"/>
        <v>22.783169566382622</v>
      </c>
      <c r="S197" s="97">
        <f t="shared" si="235"/>
        <v>23.14850341675794</v>
      </c>
      <c r="T197" s="97">
        <f t="shared" si="235"/>
        <v>23.412268986026426</v>
      </c>
      <c r="U197" s="97">
        <f t="shared" si="235"/>
        <v>23.456046308267783</v>
      </c>
      <c r="V197" s="97">
        <f t="shared" si="235"/>
        <v>20.627648435712278</v>
      </c>
      <c r="W197" s="97">
        <f t="shared" ref="W197" si="236">IF(W45=0,0,W45/W15*1000)</f>
        <v>23.930462983685484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41.061229392223126</v>
      </c>
      <c r="C198" s="97">
        <f t="shared" si="237"/>
        <v>40.526634530966</v>
      </c>
      <c r="D198" s="97">
        <f t="shared" si="237"/>
        <v>40.14125339580378</v>
      </c>
      <c r="E198" s="97">
        <f t="shared" si="237"/>
        <v>39.894011290113063</v>
      </c>
      <c r="F198" s="97">
        <f t="shared" si="237"/>
        <v>39.488352425171492</v>
      </c>
      <c r="G198" s="97">
        <f t="shared" si="237"/>
        <v>35.256504604599392</v>
      </c>
      <c r="H198" s="97">
        <f t="shared" si="237"/>
        <v>33.930804431647822</v>
      </c>
      <c r="I198" s="97">
        <f t="shared" si="237"/>
        <v>29.540452060614214</v>
      </c>
      <c r="J198" s="97">
        <f t="shared" si="237"/>
        <v>29.187294227740477</v>
      </c>
      <c r="K198" s="97">
        <f t="shared" si="237"/>
        <v>29.188601272594948</v>
      </c>
      <c r="L198" s="97">
        <f t="shared" si="237"/>
        <v>22.075333436240658</v>
      </c>
      <c r="M198" s="97">
        <f t="shared" si="237"/>
        <v>21.628100477404345</v>
      </c>
      <c r="N198" s="97">
        <f t="shared" si="237"/>
        <v>20.771683296416473</v>
      </c>
      <c r="O198" s="97">
        <f t="shared" si="237"/>
        <v>17.859161701539609</v>
      </c>
      <c r="P198" s="97">
        <f t="shared" si="237"/>
        <v>19.248432750083676</v>
      </c>
      <c r="Q198" s="97">
        <f t="shared" si="237"/>
        <v>22.305202327292179</v>
      </c>
      <c r="R198" s="97">
        <f t="shared" si="237"/>
        <v>20.301239378246102</v>
      </c>
      <c r="S198" s="97">
        <f t="shared" si="237"/>
        <v>18.459821089101336</v>
      </c>
      <c r="T198" s="97">
        <f t="shared" si="237"/>
        <v>17.827980755593238</v>
      </c>
      <c r="U198" s="97">
        <f t="shared" si="237"/>
        <v>17.406940175132672</v>
      </c>
      <c r="V198" s="97">
        <f t="shared" si="237"/>
        <v>43.115261543272943</v>
      </c>
      <c r="W198" s="97">
        <f t="shared" ref="W198" si="238">IF(W46=0,0,W46/W16*1000)</f>
        <v>25.186759754184152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64.289129856929975</v>
      </c>
      <c r="C199" s="32">
        <f t="shared" si="239"/>
        <v>82.494956694335869</v>
      </c>
      <c r="D199" s="32">
        <f t="shared" si="239"/>
        <v>76.935297594850596</v>
      </c>
      <c r="E199" s="32">
        <f t="shared" si="239"/>
        <v>98.319542542597731</v>
      </c>
      <c r="F199" s="32">
        <f t="shared" si="239"/>
        <v>64.207357559459211</v>
      </c>
      <c r="G199" s="32">
        <f t="shared" si="239"/>
        <v>86.698633090699161</v>
      </c>
      <c r="H199" s="32">
        <f t="shared" si="239"/>
        <v>74.278150480145754</v>
      </c>
      <c r="I199" s="32">
        <f t="shared" si="239"/>
        <v>85.108264176147927</v>
      </c>
      <c r="J199" s="32">
        <f t="shared" si="239"/>
        <v>78.724494486425229</v>
      </c>
      <c r="K199" s="32">
        <f t="shared" si="239"/>
        <v>99.707921566317836</v>
      </c>
      <c r="L199" s="32">
        <f t="shared" si="239"/>
        <v>84.816203376502799</v>
      </c>
      <c r="M199" s="32">
        <f t="shared" si="239"/>
        <v>91.188634239270371</v>
      </c>
      <c r="N199" s="32">
        <f t="shared" si="239"/>
        <v>74.557946017077413</v>
      </c>
      <c r="O199" s="32">
        <f t="shared" si="239"/>
        <v>91.16548261960115</v>
      </c>
      <c r="P199" s="32">
        <f t="shared" si="239"/>
        <v>84.984253970595418</v>
      </c>
      <c r="Q199" s="32">
        <f t="shared" si="239"/>
        <v>83.166745651004945</v>
      </c>
      <c r="R199" s="32">
        <f t="shared" si="239"/>
        <v>81.667460857449086</v>
      </c>
      <c r="S199" s="32">
        <f t="shared" si="239"/>
        <v>78.018874442492347</v>
      </c>
      <c r="T199" s="32">
        <f t="shared" si="239"/>
        <v>80.957867007062845</v>
      </c>
      <c r="U199" s="32">
        <f t="shared" si="239"/>
        <v>84.572179201768037</v>
      </c>
      <c r="V199" s="32">
        <f t="shared" si="239"/>
        <v>83.86410067773312</v>
      </c>
      <c r="W199" s="32">
        <f t="shared" ref="W199" si="240">IF(W47=0,0,W47/W17*1000)</f>
        <v>80.718659863828691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72.607394812021596</v>
      </c>
      <c r="C200" s="141">
        <f t="shared" si="241"/>
        <v>71.155263586123382</v>
      </c>
      <c r="D200" s="141">
        <f t="shared" si="241"/>
        <v>70.758785914943346</v>
      </c>
      <c r="E200" s="141">
        <f t="shared" si="241"/>
        <v>103.49151892085425</v>
      </c>
      <c r="F200" s="141">
        <f t="shared" si="241"/>
        <v>57.75610827350684</v>
      </c>
      <c r="G200" s="141">
        <f t="shared" si="241"/>
        <v>83.387972914644493</v>
      </c>
      <c r="H200" s="141">
        <f t="shared" si="241"/>
        <v>67.374677770945652</v>
      </c>
      <c r="I200" s="141">
        <f t="shared" si="241"/>
        <v>82.807219370748768</v>
      </c>
      <c r="J200" s="141">
        <f t="shared" si="241"/>
        <v>75.094265858895398</v>
      </c>
      <c r="K200" s="141">
        <f t="shared" si="241"/>
        <v>88.169144880802136</v>
      </c>
      <c r="L200" s="141">
        <f t="shared" si="241"/>
        <v>75.437610193793688</v>
      </c>
      <c r="M200" s="141">
        <f t="shared" si="241"/>
        <v>88.132542581180914</v>
      </c>
      <c r="N200" s="141">
        <f t="shared" si="241"/>
        <v>66.888563776382185</v>
      </c>
      <c r="O200" s="141">
        <f t="shared" si="241"/>
        <v>92.982103769519114</v>
      </c>
      <c r="P200" s="141">
        <f t="shared" si="241"/>
        <v>84.34675401064375</v>
      </c>
      <c r="Q200" s="141">
        <f t="shared" si="241"/>
        <v>80.16940132547181</v>
      </c>
      <c r="R200" s="141">
        <f t="shared" si="241"/>
        <v>76.800071116945773</v>
      </c>
      <c r="S200" s="141">
        <f t="shared" si="241"/>
        <v>72.078653070255442</v>
      </c>
      <c r="T200" s="141">
        <f t="shared" si="241"/>
        <v>74.190299360024341</v>
      </c>
      <c r="U200" s="141">
        <f t="shared" si="241"/>
        <v>78.266781913297748</v>
      </c>
      <c r="V200" s="141">
        <f t="shared" si="241"/>
        <v>79.729464906193328</v>
      </c>
      <c r="W200" s="141">
        <f t="shared" ref="W200" si="242">IF(W48=0,0,W48/W18*1000)</f>
        <v>74.205017882822901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607.60948512873745</v>
      </c>
      <c r="C201" s="97">
        <f t="shared" si="243"/>
        <v>572.65577492900707</v>
      </c>
      <c r="D201" s="97">
        <f t="shared" si="243"/>
        <v>548.48797675234482</v>
      </c>
      <c r="E201" s="97">
        <f t="shared" si="243"/>
        <v>518.48210332643089</v>
      </c>
      <c r="F201" s="97">
        <f t="shared" si="243"/>
        <v>497.50840555824584</v>
      </c>
      <c r="G201" s="97">
        <f t="shared" si="243"/>
        <v>483.10388066781303</v>
      </c>
      <c r="H201" s="97">
        <f t="shared" si="243"/>
        <v>455.32598876684813</v>
      </c>
      <c r="I201" s="97">
        <f t="shared" si="243"/>
        <v>437.27551723497737</v>
      </c>
      <c r="J201" s="97">
        <f t="shared" si="243"/>
        <v>426.01159410499906</v>
      </c>
      <c r="K201" s="97">
        <f t="shared" si="243"/>
        <v>396.25074821549981</v>
      </c>
      <c r="L201" s="97">
        <f t="shared" si="243"/>
        <v>379.63003468242533</v>
      </c>
      <c r="M201" s="97">
        <f t="shared" si="243"/>
        <v>366.4577196197481</v>
      </c>
      <c r="N201" s="97">
        <f t="shared" si="243"/>
        <v>353.26458700762379</v>
      </c>
      <c r="O201" s="97">
        <f t="shared" si="243"/>
        <v>347.44358153618583</v>
      </c>
      <c r="P201" s="97">
        <f t="shared" si="243"/>
        <v>345.04724814079515</v>
      </c>
      <c r="Q201" s="97">
        <f t="shared" si="243"/>
        <v>334.64315399570592</v>
      </c>
      <c r="R201" s="97">
        <f t="shared" si="243"/>
        <v>325.86514133440272</v>
      </c>
      <c r="S201" s="97">
        <f t="shared" si="243"/>
        <v>327.86120785837539</v>
      </c>
      <c r="T201" s="97">
        <f t="shared" si="243"/>
        <v>334.27085311437787</v>
      </c>
      <c r="U201" s="97">
        <f t="shared" si="243"/>
        <v>333.09957230758562</v>
      </c>
      <c r="V201" s="97">
        <f t="shared" si="243"/>
        <v>325.95439824750514</v>
      </c>
      <c r="W201" s="97">
        <f t="shared" ref="W201" si="244">IF(W49=0,0,W49/W19*1000)</f>
        <v>332.22062904672367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44.148844173364239</v>
      </c>
      <c r="C202" s="97">
        <f t="shared" si="245"/>
        <v>43.807800524791965</v>
      </c>
      <c r="D202" s="97">
        <f t="shared" si="245"/>
        <v>43.659221009089492</v>
      </c>
      <c r="E202" s="97">
        <f t="shared" si="245"/>
        <v>65.090845565691183</v>
      </c>
      <c r="F202" s="97">
        <f t="shared" si="245"/>
        <v>36.727735712614283</v>
      </c>
      <c r="G202" s="97">
        <f t="shared" si="245"/>
        <v>52.878899849967887</v>
      </c>
      <c r="H202" s="97">
        <f t="shared" si="245"/>
        <v>43.562200018877462</v>
      </c>
      <c r="I202" s="97">
        <f t="shared" si="245"/>
        <v>54.046512711587937</v>
      </c>
      <c r="J202" s="97">
        <f t="shared" si="245"/>
        <v>48.971771325665891</v>
      </c>
      <c r="K202" s="97">
        <f t="shared" si="245"/>
        <v>64.678195640986772</v>
      </c>
      <c r="L202" s="97">
        <f t="shared" si="245"/>
        <v>52.479858659395134</v>
      </c>
      <c r="M202" s="97">
        <f t="shared" si="245"/>
        <v>60.586576474181051</v>
      </c>
      <c r="N202" s="97">
        <f t="shared" si="245"/>
        <v>42.689085718757006</v>
      </c>
      <c r="O202" s="97">
        <f t="shared" si="245"/>
        <v>61.820788369279867</v>
      </c>
      <c r="P202" s="97">
        <f t="shared" si="245"/>
        <v>56.518184869008785</v>
      </c>
      <c r="Q202" s="97">
        <f t="shared" si="245"/>
        <v>47.009053929544486</v>
      </c>
      <c r="R202" s="97">
        <f t="shared" si="245"/>
        <v>44.759614660704848</v>
      </c>
      <c r="S202" s="97">
        <f t="shared" si="245"/>
        <v>43.79129888238797</v>
      </c>
      <c r="T202" s="97">
        <f t="shared" si="245"/>
        <v>45.718655270177507</v>
      </c>
      <c r="U202" s="97">
        <f t="shared" si="245"/>
        <v>49.619912463096327</v>
      </c>
      <c r="V202" s="97">
        <f t="shared" si="245"/>
        <v>52.141828272589677</v>
      </c>
      <c r="W202" s="97">
        <f t="shared" ref="W202" si="246">IF(W50=0,0,W50/W20*1000)</f>
        <v>47.888449922361723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7.7813645635851065</v>
      </c>
      <c r="C203" s="130">
        <f t="shared" si="247"/>
        <v>7.6393813197535465</v>
      </c>
      <c r="D203" s="130">
        <f t="shared" si="247"/>
        <v>8.499638410410407</v>
      </c>
      <c r="E203" s="130">
        <f t="shared" si="247"/>
        <v>8.0673221018518735</v>
      </c>
      <c r="F203" s="130">
        <f t="shared" si="247"/>
        <v>7.9398976487081896</v>
      </c>
      <c r="G203" s="130">
        <f t="shared" si="247"/>
        <v>5.6932149716998284</v>
      </c>
      <c r="H203" s="130">
        <f t="shared" si="247"/>
        <v>5.7921014802397082</v>
      </c>
      <c r="I203" s="130">
        <f t="shared" si="247"/>
        <v>5.7548918963096094</v>
      </c>
      <c r="J203" s="130">
        <f t="shared" si="247"/>
        <v>7.8352895926999837</v>
      </c>
      <c r="K203" s="130">
        <f t="shared" si="247"/>
        <v>5.0330384610299239</v>
      </c>
      <c r="L203" s="130">
        <f t="shared" si="247"/>
        <v>4.8407910623192283</v>
      </c>
      <c r="M203" s="130">
        <f t="shared" si="247"/>
        <v>4.4597634840609954</v>
      </c>
      <c r="N203" s="130">
        <f t="shared" si="247"/>
        <v>5.8189295624373845</v>
      </c>
      <c r="O203" s="130">
        <f t="shared" si="247"/>
        <v>5.1712111673669909</v>
      </c>
      <c r="P203" s="130">
        <f t="shared" si="247"/>
        <v>5.4424020266941131</v>
      </c>
      <c r="Q203" s="130">
        <f t="shared" si="247"/>
        <v>5.4402178145492925</v>
      </c>
      <c r="R203" s="130">
        <f t="shared" si="247"/>
        <v>5.3579886309463287</v>
      </c>
      <c r="S203" s="130">
        <f t="shared" si="247"/>
        <v>5.2391350983241924</v>
      </c>
      <c r="T203" s="130">
        <f t="shared" si="247"/>
        <v>5.1787630788936925</v>
      </c>
      <c r="U203" s="130">
        <f t="shared" si="247"/>
        <v>4.2315957164931133</v>
      </c>
      <c r="V203" s="130">
        <f t="shared" si="247"/>
        <v>4.6500778370264451</v>
      </c>
      <c r="W203" s="130">
        <f t="shared" ref="W203" si="248">IF(W51=0,0,W51/W21*1000)</f>
        <v>4.2181779645782402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227.2766244423612</v>
      </c>
      <c r="C204" s="130">
        <f t="shared" si="249"/>
        <v>213.09827072552875</v>
      </c>
      <c r="D204" s="130">
        <f t="shared" si="249"/>
        <v>220.76693538916282</v>
      </c>
      <c r="E204" s="130">
        <f t="shared" si="249"/>
        <v>211.05485058670357</v>
      </c>
      <c r="F204" s="130">
        <f t="shared" si="249"/>
        <v>199.55515892449557</v>
      </c>
      <c r="G204" s="130">
        <f t="shared" si="249"/>
        <v>206.03711333384015</v>
      </c>
      <c r="H204" s="130">
        <f t="shared" si="249"/>
        <v>238.16878383901147</v>
      </c>
      <c r="I204" s="130">
        <f t="shared" si="249"/>
        <v>221.44750191780679</v>
      </c>
      <c r="J204" s="130">
        <f t="shared" si="249"/>
        <v>238.46980748286038</v>
      </c>
      <c r="K204" s="130">
        <f t="shared" si="249"/>
        <v>192.0636885716043</v>
      </c>
      <c r="L204" s="130">
        <f t="shared" si="249"/>
        <v>171.62165543214522</v>
      </c>
      <c r="M204" s="130">
        <f t="shared" si="249"/>
        <v>169.8269277258307</v>
      </c>
      <c r="N204" s="130">
        <f t="shared" si="249"/>
        <v>155.91258553539441</v>
      </c>
      <c r="O204" s="130">
        <f t="shared" si="249"/>
        <v>160.79218935227524</v>
      </c>
      <c r="P204" s="130">
        <f t="shared" si="249"/>
        <v>136.9175877939569</v>
      </c>
      <c r="Q204" s="130">
        <f t="shared" si="249"/>
        <v>128.69453696215672</v>
      </c>
      <c r="R204" s="130">
        <f t="shared" si="249"/>
        <v>114.83115692132532</v>
      </c>
      <c r="S204" s="130">
        <f t="shared" si="249"/>
        <v>112.73465717041482</v>
      </c>
      <c r="T204" s="130">
        <f t="shared" si="249"/>
        <v>103.74537482532619</v>
      </c>
      <c r="U204" s="130">
        <f t="shared" si="249"/>
        <v>91.40798465617344</v>
      </c>
      <c r="V204" s="130">
        <f t="shared" si="249"/>
        <v>114.67591033669525</v>
      </c>
      <c r="W204" s="130">
        <f t="shared" ref="W204" si="250">IF(W52=0,0,W52/W22*1000)</f>
        <v>94.942056172860589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1112.4286222687558</v>
      </c>
      <c r="C205" s="97">
        <f t="shared" si="251"/>
        <v>1000.548195643208</v>
      </c>
      <c r="D205" s="97">
        <f t="shared" si="251"/>
        <v>970.54651716822627</v>
      </c>
      <c r="E205" s="97">
        <f t="shared" si="251"/>
        <v>916.4021059346984</v>
      </c>
      <c r="F205" s="97">
        <f t="shared" si="251"/>
        <v>920.53558820946921</v>
      </c>
      <c r="G205" s="97">
        <f t="shared" si="251"/>
        <v>984.26982920641603</v>
      </c>
      <c r="H205" s="97">
        <f t="shared" si="251"/>
        <v>885.97496395416977</v>
      </c>
      <c r="I205" s="97">
        <f t="shared" si="251"/>
        <v>864.79075932708963</v>
      </c>
      <c r="J205" s="97">
        <f t="shared" si="251"/>
        <v>909.39977849717627</v>
      </c>
      <c r="K205" s="97">
        <f t="shared" si="251"/>
        <v>670.24999520233223</v>
      </c>
      <c r="L205" s="97">
        <f t="shared" si="251"/>
        <v>582.72480733802888</v>
      </c>
      <c r="M205" s="97">
        <f t="shared" si="251"/>
        <v>579.08581789540438</v>
      </c>
      <c r="N205" s="97">
        <f t="shared" si="251"/>
        <v>494.57051555060406</v>
      </c>
      <c r="O205" s="97">
        <f t="shared" si="251"/>
        <v>499.73009448783597</v>
      </c>
      <c r="P205" s="97">
        <f t="shared" si="251"/>
        <v>427.66411303465333</v>
      </c>
      <c r="Q205" s="97">
        <f t="shared" si="251"/>
        <v>351.96648091814126</v>
      </c>
      <c r="R205" s="97">
        <f t="shared" si="251"/>
        <v>334.81608924663971</v>
      </c>
      <c r="S205" s="97">
        <f t="shared" si="251"/>
        <v>380.59926568649666</v>
      </c>
      <c r="T205" s="97">
        <f t="shared" si="251"/>
        <v>412.99991952519088</v>
      </c>
      <c r="U205" s="97">
        <f t="shared" si="251"/>
        <v>363.65450697139187</v>
      </c>
      <c r="V205" s="97">
        <f t="shared" si="251"/>
        <v>255.20976469223484</v>
      </c>
      <c r="W205" s="97">
        <f t="shared" ref="W205" si="252">IF(W53=0,0,W53/W23*1000)</f>
        <v>299.66025681728837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163.03210334535194</v>
      </c>
      <c r="C206" s="97">
        <f t="shared" si="253"/>
        <v>153.66819852135936</v>
      </c>
      <c r="D206" s="97">
        <f t="shared" si="253"/>
        <v>163.2821298366699</v>
      </c>
      <c r="E206" s="97">
        <f t="shared" si="253"/>
        <v>160.48014008159277</v>
      </c>
      <c r="F206" s="97">
        <f t="shared" si="253"/>
        <v>166.59751712560544</v>
      </c>
      <c r="G206" s="97">
        <f t="shared" si="253"/>
        <v>168.92572449641435</v>
      </c>
      <c r="H206" s="97">
        <f t="shared" si="253"/>
        <v>234.40295849823389</v>
      </c>
      <c r="I206" s="97">
        <f t="shared" si="253"/>
        <v>228.0576287773996</v>
      </c>
      <c r="J206" s="97">
        <f t="shared" si="253"/>
        <v>255.56759922025162</v>
      </c>
      <c r="K206" s="97">
        <f t="shared" si="253"/>
        <v>216.06000019478347</v>
      </c>
      <c r="L206" s="97">
        <f t="shared" si="253"/>
        <v>176.24633284734065</v>
      </c>
      <c r="M206" s="97">
        <f t="shared" si="253"/>
        <v>179.98116482136166</v>
      </c>
      <c r="N206" s="97">
        <f t="shared" si="253"/>
        <v>164.63257018731423</v>
      </c>
      <c r="O206" s="97">
        <f t="shared" si="253"/>
        <v>169.61220351304965</v>
      </c>
      <c r="P206" s="97">
        <f t="shared" si="253"/>
        <v>147.35458587599103</v>
      </c>
      <c r="Q206" s="97">
        <f t="shared" si="253"/>
        <v>146.65402009161556</v>
      </c>
      <c r="R206" s="97">
        <f t="shared" si="253"/>
        <v>135.30093972120088</v>
      </c>
      <c r="S206" s="97">
        <f t="shared" si="253"/>
        <v>150.7789684888306</v>
      </c>
      <c r="T206" s="97">
        <f t="shared" si="253"/>
        <v>148.30863997811028</v>
      </c>
      <c r="U206" s="97">
        <f t="shared" si="253"/>
        <v>140.10968714063492</v>
      </c>
      <c r="V206" s="97">
        <f t="shared" si="253"/>
        <v>130.66789174016759</v>
      </c>
      <c r="W206" s="97">
        <f t="shared" ref="W206" si="254">IF(W54=0,0,W54/W24*1000)</f>
        <v>157.42058336219964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48.774015605791796</v>
      </c>
      <c r="C207" s="97">
        <f t="shared" si="255"/>
        <v>46.293514770851878</v>
      </c>
      <c r="D207" s="97">
        <f t="shared" si="255"/>
        <v>48.994912406168076</v>
      </c>
      <c r="E207" s="97">
        <f t="shared" si="255"/>
        <v>54.097291726788058</v>
      </c>
      <c r="F207" s="97">
        <f t="shared" si="255"/>
        <v>53.723102648092592</v>
      </c>
      <c r="G207" s="97">
        <f t="shared" si="255"/>
        <v>57.646515850313705</v>
      </c>
      <c r="H207" s="97">
        <f t="shared" si="255"/>
        <v>55.994131022454923</v>
      </c>
      <c r="I207" s="97">
        <f t="shared" si="255"/>
        <v>47.528379446126216</v>
      </c>
      <c r="J207" s="97">
        <f t="shared" si="255"/>
        <v>46.515432648772553</v>
      </c>
      <c r="K207" s="97">
        <f t="shared" si="255"/>
        <v>40.362289787051033</v>
      </c>
      <c r="L207" s="97">
        <f t="shared" si="255"/>
        <v>32.754583683127578</v>
      </c>
      <c r="M207" s="97">
        <f t="shared" si="255"/>
        <v>38.261605222013891</v>
      </c>
      <c r="N207" s="97">
        <f t="shared" si="255"/>
        <v>42.931409619077925</v>
      </c>
      <c r="O207" s="97">
        <f t="shared" si="255"/>
        <v>38.179923357540325</v>
      </c>
      <c r="P207" s="97">
        <f t="shared" si="255"/>
        <v>33.762055100033905</v>
      </c>
      <c r="Q207" s="97">
        <f t="shared" si="255"/>
        <v>37.558729598955573</v>
      </c>
      <c r="R207" s="97">
        <f t="shared" si="255"/>
        <v>29.472371800832274</v>
      </c>
      <c r="S207" s="97">
        <f t="shared" si="255"/>
        <v>25.896214353854749</v>
      </c>
      <c r="T207" s="97">
        <f t="shared" si="255"/>
        <v>23.475559827719387</v>
      </c>
      <c r="U207" s="97">
        <f t="shared" si="255"/>
        <v>22.66368993892495</v>
      </c>
      <c r="V207" s="97">
        <f t="shared" si="255"/>
        <v>61.13871334164174</v>
      </c>
      <c r="W207" s="97">
        <f t="shared" ref="W207" si="256">IF(W55=0,0,W55/W25*1000)</f>
        <v>37.204864264971341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44.83005232391136</v>
      </c>
      <c r="C208" s="130">
        <f t="shared" si="257"/>
        <v>151.37150754190128</v>
      </c>
      <c r="D208" s="130">
        <f t="shared" si="257"/>
        <v>106.10158227747327</v>
      </c>
      <c r="E208" s="130">
        <f t="shared" si="257"/>
        <v>87.847863625575968</v>
      </c>
      <c r="F208" s="130">
        <f t="shared" si="257"/>
        <v>101.57200644264422</v>
      </c>
      <c r="G208" s="130">
        <f t="shared" si="257"/>
        <v>105.56671370330406</v>
      </c>
      <c r="H208" s="130">
        <f t="shared" si="257"/>
        <v>112.2859655192578</v>
      </c>
      <c r="I208" s="130">
        <f t="shared" si="257"/>
        <v>102.66683730928321</v>
      </c>
      <c r="J208" s="130">
        <f t="shared" si="257"/>
        <v>103.6682890013553</v>
      </c>
      <c r="K208" s="130">
        <f t="shared" si="257"/>
        <v>171.41787185251664</v>
      </c>
      <c r="L208" s="130">
        <f t="shared" si="257"/>
        <v>153.80387819769382</v>
      </c>
      <c r="M208" s="130">
        <f t="shared" si="257"/>
        <v>109.89359546104271</v>
      </c>
      <c r="N208" s="130">
        <f t="shared" si="257"/>
        <v>109.89386325661941</v>
      </c>
      <c r="O208" s="130">
        <f t="shared" si="257"/>
        <v>88.109167031584306</v>
      </c>
      <c r="P208" s="130">
        <f t="shared" si="257"/>
        <v>91.955417609030235</v>
      </c>
      <c r="Q208" s="130">
        <f t="shared" si="257"/>
        <v>97.80656652634535</v>
      </c>
      <c r="R208" s="130">
        <f t="shared" si="257"/>
        <v>104.9458506618485</v>
      </c>
      <c r="S208" s="130">
        <f t="shared" si="257"/>
        <v>106.83244633459999</v>
      </c>
      <c r="T208" s="130">
        <f t="shared" si="257"/>
        <v>112.89826210579149</v>
      </c>
      <c r="U208" s="130">
        <f t="shared" si="257"/>
        <v>115.55996997754332</v>
      </c>
      <c r="V208" s="130">
        <f t="shared" si="257"/>
        <v>109.11412376737196</v>
      </c>
      <c r="W208" s="130">
        <f t="shared" ref="W208" si="258">IF(W56=0,0,W56/W26*1000)</f>
        <v>118.7706371584914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44.83005232391136</v>
      </c>
      <c r="C209" s="97">
        <f t="shared" si="259"/>
        <v>151.37150754190128</v>
      </c>
      <c r="D209" s="97">
        <f t="shared" si="259"/>
        <v>106.10158227747327</v>
      </c>
      <c r="E209" s="97">
        <f t="shared" si="259"/>
        <v>87.847863625575968</v>
      </c>
      <c r="F209" s="97">
        <f t="shared" si="259"/>
        <v>101.57200644264422</v>
      </c>
      <c r="G209" s="97">
        <f t="shared" si="259"/>
        <v>105.56671370330406</v>
      </c>
      <c r="H209" s="97">
        <f t="shared" si="259"/>
        <v>112.2859655192578</v>
      </c>
      <c r="I209" s="97">
        <f t="shared" si="259"/>
        <v>102.66683730928321</v>
      </c>
      <c r="J209" s="97">
        <f t="shared" si="259"/>
        <v>103.6682890013553</v>
      </c>
      <c r="K209" s="97">
        <f t="shared" si="259"/>
        <v>171.41787185251664</v>
      </c>
      <c r="L209" s="97">
        <f t="shared" si="259"/>
        <v>153.80387819769382</v>
      </c>
      <c r="M209" s="97">
        <f t="shared" si="259"/>
        <v>109.89359546104271</v>
      </c>
      <c r="N209" s="97">
        <f t="shared" si="259"/>
        <v>109.89386325661941</v>
      </c>
      <c r="O209" s="97">
        <f t="shared" si="259"/>
        <v>88.109167031584306</v>
      </c>
      <c r="P209" s="97">
        <f t="shared" si="259"/>
        <v>91.955417609030235</v>
      </c>
      <c r="Q209" s="97">
        <f t="shared" si="259"/>
        <v>97.80656652634535</v>
      </c>
      <c r="R209" s="97">
        <f t="shared" si="259"/>
        <v>104.9458506618485</v>
      </c>
      <c r="S209" s="97">
        <f t="shared" si="259"/>
        <v>106.83244633459999</v>
      </c>
      <c r="T209" s="97">
        <f t="shared" si="259"/>
        <v>112.89826210579149</v>
      </c>
      <c r="U209" s="97">
        <f t="shared" si="259"/>
        <v>115.55996997754332</v>
      </c>
      <c r="V209" s="97">
        <f t="shared" si="259"/>
        <v>109.11412376737196</v>
      </c>
      <c r="W209" s="97">
        <f t="shared" ref="W209" si="260">IF(W57=0,0,W57/W27*1000)</f>
        <v>118.7706371584914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0</v>
      </c>
      <c r="C210" s="98">
        <f t="shared" si="261"/>
        <v>0</v>
      </c>
      <c r="D210" s="98">
        <f t="shared" si="261"/>
        <v>0</v>
      </c>
      <c r="E210" s="98">
        <f t="shared" si="261"/>
        <v>0</v>
      </c>
      <c r="F210" s="98">
        <f t="shared" si="261"/>
        <v>0</v>
      </c>
      <c r="G210" s="98">
        <f t="shared" si="261"/>
        <v>0</v>
      </c>
      <c r="H210" s="98">
        <f t="shared" si="261"/>
        <v>0</v>
      </c>
      <c r="I210" s="98">
        <f t="shared" si="261"/>
        <v>0</v>
      </c>
      <c r="J210" s="98">
        <f t="shared" si="261"/>
        <v>0</v>
      </c>
      <c r="K210" s="98">
        <f t="shared" si="261"/>
        <v>0</v>
      </c>
      <c r="L210" s="98">
        <f t="shared" si="261"/>
        <v>0</v>
      </c>
      <c r="M210" s="98">
        <f t="shared" si="261"/>
        <v>0</v>
      </c>
      <c r="N210" s="98">
        <f t="shared" si="261"/>
        <v>0</v>
      </c>
      <c r="O210" s="98">
        <f t="shared" si="261"/>
        <v>0</v>
      </c>
      <c r="P210" s="98">
        <f t="shared" si="261"/>
        <v>0</v>
      </c>
      <c r="Q210" s="98">
        <f t="shared" si="261"/>
        <v>0</v>
      </c>
      <c r="R210" s="98">
        <f t="shared" si="261"/>
        <v>0</v>
      </c>
      <c r="S210" s="98">
        <f t="shared" si="261"/>
        <v>0</v>
      </c>
      <c r="T210" s="98">
        <f t="shared" si="261"/>
        <v>0</v>
      </c>
      <c r="U210" s="98">
        <f t="shared" si="261"/>
        <v>0</v>
      </c>
      <c r="V210" s="98">
        <f t="shared" si="261"/>
        <v>0</v>
      </c>
      <c r="W210" s="98">
        <f t="shared" ref="W210:W213" si="262">IF(W58=0,0,W58/W28*1000)</f>
        <v>0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47.211690327251667</v>
      </c>
      <c r="C211" s="32">
        <f t="shared" si="263"/>
        <v>32.469495615173635</v>
      </c>
      <c r="D211" s="32">
        <f t="shared" si="263"/>
        <v>27.742950534026608</v>
      </c>
      <c r="E211" s="32">
        <f t="shared" si="263"/>
        <v>25.061893035586383</v>
      </c>
      <c r="F211" s="32">
        <f t="shared" si="263"/>
        <v>25.08974490786073</v>
      </c>
      <c r="G211" s="32">
        <f t="shared" si="263"/>
        <v>22.340990948041139</v>
      </c>
      <c r="H211" s="32">
        <f t="shared" si="263"/>
        <v>24.352470682470528</v>
      </c>
      <c r="I211" s="32">
        <f t="shared" si="263"/>
        <v>24.372314867884075</v>
      </c>
      <c r="J211" s="32">
        <f t="shared" si="263"/>
        <v>28.001475993369983</v>
      </c>
      <c r="K211" s="32">
        <f t="shared" si="263"/>
        <v>26.057068693436101</v>
      </c>
      <c r="L211" s="32">
        <f t="shared" si="263"/>
        <v>26.154089054543551</v>
      </c>
      <c r="M211" s="32">
        <f t="shared" si="263"/>
        <v>20.91913500606957</v>
      </c>
      <c r="N211" s="32">
        <f t="shared" si="263"/>
        <v>13.137794963190311</v>
      </c>
      <c r="O211" s="32">
        <f t="shared" si="263"/>
        <v>11.558497665701374</v>
      </c>
      <c r="P211" s="32">
        <f t="shared" si="263"/>
        <v>9.0584585227303887</v>
      </c>
      <c r="Q211" s="32">
        <f t="shared" si="263"/>
        <v>8.5971746470745067</v>
      </c>
      <c r="R211" s="32">
        <f t="shared" si="263"/>
        <v>7.4641550239335359</v>
      </c>
      <c r="S211" s="32">
        <f t="shared" si="263"/>
        <v>9.0042500868522186</v>
      </c>
      <c r="T211" s="32">
        <f t="shared" si="263"/>
        <v>8.671934753385397</v>
      </c>
      <c r="U211" s="32">
        <f t="shared" si="263"/>
        <v>9.3915864890817886</v>
      </c>
      <c r="V211" s="32">
        <f t="shared" si="263"/>
        <v>6.2517724717021315</v>
      </c>
      <c r="W211" s="32">
        <f t="shared" si="262"/>
        <v>6.8258222470328924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45.236377139772131</v>
      </c>
      <c r="C212" s="97">
        <f t="shared" si="264"/>
        <v>46.093430858721099</v>
      </c>
      <c r="D212" s="97">
        <f t="shared" si="264"/>
        <v>42.132573066636731</v>
      </c>
      <c r="E212" s="97">
        <f t="shared" si="264"/>
        <v>37.377795366978212</v>
      </c>
      <c r="F212" s="97">
        <f t="shared" si="264"/>
        <v>40.120753436879809</v>
      </c>
      <c r="G212" s="97">
        <f t="shared" si="264"/>
        <v>37.46171277114933</v>
      </c>
      <c r="H212" s="97">
        <f t="shared" si="264"/>
        <v>42.490240530812351</v>
      </c>
      <c r="I212" s="97">
        <f t="shared" si="264"/>
        <v>38.866772474008265</v>
      </c>
      <c r="J212" s="97">
        <f t="shared" si="264"/>
        <v>42.171411394063732</v>
      </c>
      <c r="K212" s="97">
        <f t="shared" si="264"/>
        <v>39.082674331727986</v>
      </c>
      <c r="L212" s="97">
        <f t="shared" si="264"/>
        <v>41.496039880339978</v>
      </c>
      <c r="M212" s="97">
        <f t="shared" si="264"/>
        <v>37.974703264647744</v>
      </c>
      <c r="N212" s="97">
        <f t="shared" si="264"/>
        <v>25.782018830874811</v>
      </c>
      <c r="O212" s="97">
        <f t="shared" si="264"/>
        <v>23.797450019294669</v>
      </c>
      <c r="P212" s="97">
        <f t="shared" si="264"/>
        <v>19.500507269579494</v>
      </c>
      <c r="Q212" s="97">
        <f t="shared" si="264"/>
        <v>18.369793367726746</v>
      </c>
      <c r="R212" s="97">
        <f t="shared" si="264"/>
        <v>16.16792189976341</v>
      </c>
      <c r="S212" s="97">
        <f t="shared" si="264"/>
        <v>19.596264277770018</v>
      </c>
      <c r="T212" s="97">
        <f t="shared" si="264"/>
        <v>18.733940685760953</v>
      </c>
      <c r="U212" s="97">
        <f t="shared" si="264"/>
        <v>20.010074851953867</v>
      </c>
      <c r="V212" s="97">
        <f t="shared" si="264"/>
        <v>12.139862477338257</v>
      </c>
      <c r="W212" s="97">
        <f t="shared" si="262"/>
        <v>13.426388467517592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49.715857717995448</v>
      </c>
      <c r="C213" s="98">
        <f t="shared" si="265"/>
        <v>25.923282624754226</v>
      </c>
      <c r="D213" s="98">
        <f t="shared" si="265"/>
        <v>21.917567128247754</v>
      </c>
      <c r="E213" s="98">
        <f t="shared" si="265"/>
        <v>19.629594127377423</v>
      </c>
      <c r="F213" s="98">
        <f t="shared" si="265"/>
        <v>19.414380750638063</v>
      </c>
      <c r="G213" s="98">
        <f t="shared" si="265"/>
        <v>17.124374169425547</v>
      </c>
      <c r="H213" s="98">
        <f t="shared" si="265"/>
        <v>18.783014281799471</v>
      </c>
      <c r="I213" s="98">
        <f t="shared" si="265"/>
        <v>18.93350780336543</v>
      </c>
      <c r="J213" s="98">
        <f t="shared" si="265"/>
        <v>21.782324965665453</v>
      </c>
      <c r="K213" s="98">
        <f t="shared" si="265"/>
        <v>20.161894155288739</v>
      </c>
      <c r="L213" s="98">
        <f t="shared" si="265"/>
        <v>20.148162719565676</v>
      </c>
      <c r="M213" s="98">
        <f t="shared" si="265"/>
        <v>15.726799374834899</v>
      </c>
      <c r="N213" s="98">
        <f t="shared" si="265"/>
        <v>9.8275436980076645</v>
      </c>
      <c r="O213" s="98">
        <f t="shared" si="265"/>
        <v>8.7234665581783162</v>
      </c>
      <c r="P213" s="98">
        <f t="shared" si="265"/>
        <v>6.8554528131635131</v>
      </c>
      <c r="Q213" s="98">
        <f t="shared" si="265"/>
        <v>6.4536013553725793</v>
      </c>
      <c r="R213" s="98">
        <f t="shared" si="265"/>
        <v>5.6855580315311558</v>
      </c>
      <c r="S213" s="98">
        <f t="shared" si="265"/>
        <v>6.8080002321713788</v>
      </c>
      <c r="T213" s="98">
        <f t="shared" si="265"/>
        <v>6.5643205309500283</v>
      </c>
      <c r="U213" s="98">
        <f t="shared" si="265"/>
        <v>7.0717525688195195</v>
      </c>
      <c r="V213" s="98">
        <f t="shared" si="265"/>
        <v>4.9949242789716957</v>
      </c>
      <c r="W213" s="98">
        <f t="shared" si="262"/>
        <v>5.4230036122235497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114.36401088309125</v>
      </c>
      <c r="C216" s="32">
        <f t="shared" si="266"/>
        <v>110.82829865047815</v>
      </c>
      <c r="D216" s="32">
        <f t="shared" si="266"/>
        <v>109.79569241616166</v>
      </c>
      <c r="E216" s="32">
        <f t="shared" si="266"/>
        <v>113.78112020610041</v>
      </c>
      <c r="F216" s="32">
        <f t="shared" si="266"/>
        <v>108.35831758776065</v>
      </c>
      <c r="G216" s="32">
        <f t="shared" si="266"/>
        <v>108.29981841935346</v>
      </c>
      <c r="H216" s="32">
        <f t="shared" si="266"/>
        <v>107.33609493530001</v>
      </c>
      <c r="I216" s="32">
        <f t="shared" si="266"/>
        <v>106.98859702807161</v>
      </c>
      <c r="J216" s="32">
        <f t="shared" si="266"/>
        <v>102.55865589342596</v>
      </c>
      <c r="K216" s="32">
        <f t="shared" si="266"/>
        <v>103.94955605204298</v>
      </c>
      <c r="L216" s="32">
        <f t="shared" si="266"/>
        <v>92.480472906589569</v>
      </c>
      <c r="M216" s="32">
        <f t="shared" si="266"/>
        <v>90.824758706642825</v>
      </c>
      <c r="N216" s="32">
        <f t="shared" si="266"/>
        <v>79.74638391127931</v>
      </c>
      <c r="O216" s="32">
        <f t="shared" si="266"/>
        <v>76.531742350928269</v>
      </c>
      <c r="P216" s="32">
        <f t="shared" si="266"/>
        <v>74.978517464832606</v>
      </c>
      <c r="Q216" s="32">
        <f t="shared" si="266"/>
        <v>75.50354491778144</v>
      </c>
      <c r="R216" s="32">
        <f t="shared" si="266"/>
        <v>75.351285844334612</v>
      </c>
      <c r="S216" s="32">
        <f t="shared" si="266"/>
        <v>74.592727456730074</v>
      </c>
      <c r="T216" s="32">
        <f t="shared" si="266"/>
        <v>74.376301180127697</v>
      </c>
      <c r="U216" s="32">
        <f t="shared" si="266"/>
        <v>74.02454637845581</v>
      </c>
      <c r="V216" s="32">
        <f t="shared" si="266"/>
        <v>76.71931631122284</v>
      </c>
      <c r="W216" s="32">
        <f t="shared" ref="W216" si="267">IF(W4=0,0,W64/W4*1000)</f>
        <v>76.240495394749345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115.22554150590884</v>
      </c>
      <c r="C217" s="141">
        <f t="shared" si="268"/>
        <v>112.08122127398904</v>
      </c>
      <c r="D217" s="141">
        <f t="shared" si="268"/>
        <v>111.44064367210015</v>
      </c>
      <c r="E217" s="141">
        <f t="shared" si="268"/>
        <v>116.57087639599568</v>
      </c>
      <c r="F217" s="141">
        <f t="shared" si="268"/>
        <v>110.09810436748663</v>
      </c>
      <c r="G217" s="141">
        <f t="shared" si="268"/>
        <v>111.66904684272795</v>
      </c>
      <c r="H217" s="141">
        <f t="shared" si="268"/>
        <v>108.73826307711012</v>
      </c>
      <c r="I217" s="141">
        <f t="shared" si="268"/>
        <v>108.64001038840493</v>
      </c>
      <c r="J217" s="141">
        <f t="shared" si="268"/>
        <v>101.03835105638623</v>
      </c>
      <c r="K217" s="141">
        <f t="shared" si="268"/>
        <v>105.94648446295439</v>
      </c>
      <c r="L217" s="141">
        <f t="shared" si="268"/>
        <v>96.299987262575257</v>
      </c>
      <c r="M217" s="141">
        <f t="shared" si="268"/>
        <v>94.01156373423953</v>
      </c>
      <c r="N217" s="141">
        <f t="shared" si="268"/>
        <v>80.722408855801106</v>
      </c>
      <c r="O217" s="141">
        <f t="shared" si="268"/>
        <v>77.993122862414367</v>
      </c>
      <c r="P217" s="141">
        <f t="shared" si="268"/>
        <v>75.246722016006203</v>
      </c>
      <c r="Q217" s="141">
        <f t="shared" si="268"/>
        <v>75.952394413183129</v>
      </c>
      <c r="R217" s="141">
        <f t="shared" si="268"/>
        <v>75.883236517685688</v>
      </c>
      <c r="S217" s="141">
        <f t="shared" si="268"/>
        <v>75.149699890553194</v>
      </c>
      <c r="T217" s="141">
        <f t="shared" si="268"/>
        <v>74.527035539887336</v>
      </c>
      <c r="U217" s="141">
        <f t="shared" si="268"/>
        <v>74.885692887991624</v>
      </c>
      <c r="V217" s="141">
        <f t="shared" si="268"/>
        <v>76.894793364129342</v>
      </c>
      <c r="W217" s="141">
        <f t="shared" ref="W217" si="269">IF(W5=0,0,W65/W5*1000)</f>
        <v>75.516833893208357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112.00813987416316</v>
      </c>
      <c r="C218" s="97">
        <f t="shared" si="270"/>
        <v>114.76642405448648</v>
      </c>
      <c r="D218" s="97">
        <f t="shared" si="270"/>
        <v>113.92163485988731</v>
      </c>
      <c r="E218" s="97">
        <f t="shared" si="270"/>
        <v>112.55407253367898</v>
      </c>
      <c r="F218" s="97">
        <f t="shared" si="270"/>
        <v>109.16822884880779</v>
      </c>
      <c r="G218" s="97">
        <f t="shared" si="270"/>
        <v>109.9472546376806</v>
      </c>
      <c r="H218" s="97">
        <f t="shared" si="270"/>
        <v>105.83211062959568</v>
      </c>
      <c r="I218" s="97">
        <f t="shared" si="270"/>
        <v>103.37436907980175</v>
      </c>
      <c r="J218" s="97">
        <f t="shared" si="270"/>
        <v>103.65749004251997</v>
      </c>
      <c r="K218" s="97">
        <f t="shared" si="270"/>
        <v>103.9040672671745</v>
      </c>
      <c r="L218" s="97">
        <f t="shared" si="270"/>
        <v>103.09242705758467</v>
      </c>
      <c r="M218" s="97">
        <f t="shared" si="270"/>
        <v>101.90882639982044</v>
      </c>
      <c r="N218" s="97">
        <f t="shared" si="270"/>
        <v>100.64305397746395</v>
      </c>
      <c r="O218" s="97">
        <f t="shared" si="270"/>
        <v>98.842344107277995</v>
      </c>
      <c r="P218" s="97">
        <f t="shared" si="270"/>
        <v>96.494679416760533</v>
      </c>
      <c r="Q218" s="97">
        <f t="shared" si="270"/>
        <v>98.189352650568097</v>
      </c>
      <c r="R218" s="97">
        <f t="shared" si="270"/>
        <v>92.211043016505087</v>
      </c>
      <c r="S218" s="97">
        <f t="shared" si="270"/>
        <v>96.485509988325788</v>
      </c>
      <c r="T218" s="97">
        <f t="shared" si="270"/>
        <v>94.801632910443047</v>
      </c>
      <c r="U218" s="97">
        <f t="shared" si="270"/>
        <v>92.514316453511697</v>
      </c>
      <c r="V218" s="97">
        <f t="shared" si="270"/>
        <v>85.372009962938606</v>
      </c>
      <c r="W218" s="97">
        <f t="shared" ref="W218" si="271">IF(W6=0,0,W66/W6*1000)</f>
        <v>84.976069007823654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127.24479296592955</v>
      </c>
      <c r="C219" s="97">
        <f t="shared" si="272"/>
        <v>122.86315628383073</v>
      </c>
      <c r="D219" s="97">
        <f t="shared" si="272"/>
        <v>121.86543695841046</v>
      </c>
      <c r="E219" s="97">
        <f t="shared" si="272"/>
        <v>121.91241369788013</v>
      </c>
      <c r="F219" s="97">
        <f t="shared" si="272"/>
        <v>119.36112906766502</v>
      </c>
      <c r="G219" s="97">
        <f t="shared" si="272"/>
        <v>118.46281927548286</v>
      </c>
      <c r="H219" s="97">
        <f t="shared" si="272"/>
        <v>115.4773497367168</v>
      </c>
      <c r="I219" s="97">
        <f t="shared" si="272"/>
        <v>115.10765339172906</v>
      </c>
      <c r="J219" s="97">
        <f t="shared" si="272"/>
        <v>106.59204931616274</v>
      </c>
      <c r="K219" s="97">
        <f t="shared" si="272"/>
        <v>108.43774673419264</v>
      </c>
      <c r="L219" s="97">
        <f t="shared" si="272"/>
        <v>99.17034466336311</v>
      </c>
      <c r="M219" s="97">
        <f t="shared" si="272"/>
        <v>95.239894301771429</v>
      </c>
      <c r="N219" s="97">
        <f t="shared" si="272"/>
        <v>81.535352589220821</v>
      </c>
      <c r="O219" s="97">
        <f t="shared" si="272"/>
        <v>75.911660561005789</v>
      </c>
      <c r="P219" s="97">
        <f t="shared" si="272"/>
        <v>73.054950361322824</v>
      </c>
      <c r="Q219" s="97">
        <f t="shared" si="272"/>
        <v>74.64404604631828</v>
      </c>
      <c r="R219" s="97">
        <f t="shared" si="272"/>
        <v>74.658282313653146</v>
      </c>
      <c r="S219" s="97">
        <f t="shared" si="272"/>
        <v>73.22005947574803</v>
      </c>
      <c r="T219" s="97">
        <f t="shared" si="272"/>
        <v>72.343012172751031</v>
      </c>
      <c r="U219" s="97">
        <f t="shared" si="272"/>
        <v>72.168059326896795</v>
      </c>
      <c r="V219" s="97">
        <f t="shared" si="272"/>
        <v>69.669187686756558</v>
      </c>
      <c r="W219" s="97">
        <f t="shared" ref="W219" si="273">IF(W7=0,0,W67/W7*1000)</f>
        <v>68.64796261125835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80.980504775688615</v>
      </c>
      <c r="C220" s="97">
        <f t="shared" si="274"/>
        <v>77.878754271571125</v>
      </c>
      <c r="D220" s="97">
        <f t="shared" si="274"/>
        <v>76.744020882576464</v>
      </c>
      <c r="E220" s="97">
        <f t="shared" si="274"/>
        <v>99.073142564793315</v>
      </c>
      <c r="F220" s="97">
        <f t="shared" si="274"/>
        <v>76.034081781491309</v>
      </c>
      <c r="G220" s="97">
        <f t="shared" si="274"/>
        <v>85.516394632775445</v>
      </c>
      <c r="H220" s="97">
        <f t="shared" si="274"/>
        <v>81.647514650066213</v>
      </c>
      <c r="I220" s="97">
        <f t="shared" si="274"/>
        <v>82.056851431268242</v>
      </c>
      <c r="J220" s="97">
        <f t="shared" si="274"/>
        <v>75.196427604597019</v>
      </c>
      <c r="K220" s="97">
        <f t="shared" si="274"/>
        <v>94.482814285226269</v>
      </c>
      <c r="L220" s="97">
        <f t="shared" si="274"/>
        <v>80.392202685603692</v>
      </c>
      <c r="M220" s="97">
        <f t="shared" si="274"/>
        <v>85.475076601784011</v>
      </c>
      <c r="N220" s="97">
        <f t="shared" si="274"/>
        <v>69.533302097409162</v>
      </c>
      <c r="O220" s="97">
        <f t="shared" si="274"/>
        <v>79.501553996840869</v>
      </c>
      <c r="P220" s="97">
        <f t="shared" si="274"/>
        <v>76.827346729029841</v>
      </c>
      <c r="Q220" s="97">
        <f t="shared" si="274"/>
        <v>73.079640185742477</v>
      </c>
      <c r="R220" s="97">
        <f t="shared" si="274"/>
        <v>74.886650166045783</v>
      </c>
      <c r="S220" s="97">
        <f t="shared" si="274"/>
        <v>76.17000351589661</v>
      </c>
      <c r="T220" s="97">
        <f t="shared" si="274"/>
        <v>77.91973714531153</v>
      </c>
      <c r="U220" s="97">
        <f t="shared" si="274"/>
        <v>81.871480072254258</v>
      </c>
      <c r="V220" s="97">
        <f t="shared" si="274"/>
        <v>121.65753683819266</v>
      </c>
      <c r="W220" s="97">
        <f t="shared" ref="W220" si="275">IF(W8=0,0,W68/W8*1000)</f>
        <v>119.00998356072898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38.474949961067033</v>
      </c>
      <c r="C221" s="130">
        <f t="shared" si="276"/>
        <v>38.93229468739775</v>
      </c>
      <c r="D221" s="130">
        <f t="shared" si="276"/>
        <v>37.55456579481298</v>
      </c>
      <c r="E221" s="130">
        <f t="shared" si="276"/>
        <v>39.405334049100304</v>
      </c>
      <c r="F221" s="130">
        <f t="shared" si="276"/>
        <v>36.081528755883078</v>
      </c>
      <c r="G221" s="130">
        <f t="shared" si="276"/>
        <v>34.983345562517648</v>
      </c>
      <c r="H221" s="130">
        <f t="shared" si="276"/>
        <v>35.4748706782512</v>
      </c>
      <c r="I221" s="130">
        <f t="shared" si="276"/>
        <v>29.795351700923106</v>
      </c>
      <c r="J221" s="130">
        <f t="shared" si="276"/>
        <v>29.204176445463926</v>
      </c>
      <c r="K221" s="130">
        <f t="shared" si="276"/>
        <v>27.761144786864275</v>
      </c>
      <c r="L221" s="130">
        <f t="shared" si="276"/>
        <v>17.84848348735995</v>
      </c>
      <c r="M221" s="130">
        <f t="shared" si="276"/>
        <v>16.514722583150327</v>
      </c>
      <c r="N221" s="130">
        <f t="shared" si="276"/>
        <v>29.917014726664849</v>
      </c>
      <c r="O221" s="130">
        <f t="shared" si="276"/>
        <v>18.780398744500342</v>
      </c>
      <c r="P221" s="130">
        <f t="shared" si="276"/>
        <v>44.84897839424989</v>
      </c>
      <c r="Q221" s="130">
        <f t="shared" si="276"/>
        <v>41.832846306744251</v>
      </c>
      <c r="R221" s="130">
        <f t="shared" si="276"/>
        <v>43.317391086970837</v>
      </c>
      <c r="S221" s="130">
        <f t="shared" si="276"/>
        <v>42.522559621130888</v>
      </c>
      <c r="T221" s="130">
        <f t="shared" si="276"/>
        <v>40.080868793659903</v>
      </c>
      <c r="U221" s="130">
        <f t="shared" si="276"/>
        <v>10.569830001963135</v>
      </c>
      <c r="V221" s="130">
        <f t="shared" si="276"/>
        <v>11.485559971158237</v>
      </c>
      <c r="W221" s="130">
        <f t="shared" ref="W221" si="277">IF(W9=0,0,W69/W9*1000)</f>
        <v>10.035377662458387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62.751296967254611</v>
      </c>
      <c r="C223" s="97">
        <f t="shared" si="280"/>
        <v>68.571648971449832</v>
      </c>
      <c r="D223" s="97">
        <f t="shared" si="280"/>
        <v>65.168217114528403</v>
      </c>
      <c r="E223" s="97">
        <f t="shared" si="280"/>
        <v>74.454551119456369</v>
      </c>
      <c r="F223" s="97">
        <f t="shared" si="280"/>
        <v>68.528946701821113</v>
      </c>
      <c r="G223" s="97">
        <f t="shared" si="280"/>
        <v>63.287023202095035</v>
      </c>
      <c r="H223" s="97">
        <f t="shared" si="280"/>
        <v>65.837128851243662</v>
      </c>
      <c r="I223" s="97">
        <f t="shared" si="280"/>
        <v>54.496161401170234</v>
      </c>
      <c r="J223" s="97">
        <f t="shared" si="280"/>
        <v>58.461227078819455</v>
      </c>
      <c r="K223" s="97">
        <f t="shared" si="280"/>
        <v>59.382735065562436</v>
      </c>
      <c r="L223" s="97">
        <f t="shared" si="280"/>
        <v>39.694440047626472</v>
      </c>
      <c r="M223" s="97">
        <f t="shared" si="280"/>
        <v>45.382426044242138</v>
      </c>
      <c r="N223" s="97">
        <f t="shared" si="280"/>
        <v>89.944832021656339</v>
      </c>
      <c r="O223" s="97">
        <f t="shared" si="280"/>
        <v>48.373941015906986</v>
      </c>
      <c r="P223" s="97">
        <f t="shared" si="280"/>
        <v>114.39288275809362</v>
      </c>
      <c r="Q223" s="97">
        <f t="shared" si="280"/>
        <v>97.275605431267991</v>
      </c>
      <c r="R223" s="97">
        <f t="shared" si="280"/>
        <v>103.41729142254589</v>
      </c>
      <c r="S223" s="97">
        <f t="shared" si="280"/>
        <v>107.09215555614314</v>
      </c>
      <c r="T223" s="97">
        <f t="shared" si="280"/>
        <v>101.63490196702519</v>
      </c>
      <c r="U223" s="97">
        <f t="shared" si="280"/>
        <v>24.73499391650336</v>
      </c>
      <c r="V223" s="97">
        <f t="shared" si="280"/>
        <v>31.019267910551445</v>
      </c>
      <c r="W223" s="97">
        <f t="shared" ref="W223" si="281">IF(W11=0,0,W71/W11*1000)</f>
        <v>27.33649185438826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119.03949929455678</v>
      </c>
      <c r="C225" s="130">
        <f t="shared" si="284"/>
        <v>114.1198300925668</v>
      </c>
      <c r="D225" s="130">
        <f t="shared" si="284"/>
        <v>111.96837755350558</v>
      </c>
      <c r="E225" s="130">
        <f t="shared" si="284"/>
        <v>111.63344390180926</v>
      </c>
      <c r="F225" s="130">
        <f t="shared" si="284"/>
        <v>109.62421078585965</v>
      </c>
      <c r="G225" s="130">
        <f t="shared" si="284"/>
        <v>104.42638608373223</v>
      </c>
      <c r="H225" s="130">
        <f t="shared" si="284"/>
        <v>109.48375325168757</v>
      </c>
      <c r="I225" s="130">
        <f t="shared" si="284"/>
        <v>108.89957733276886</v>
      </c>
      <c r="J225" s="130">
        <f t="shared" si="284"/>
        <v>114.97736739514285</v>
      </c>
      <c r="K225" s="130">
        <f t="shared" si="284"/>
        <v>103.42340765001664</v>
      </c>
      <c r="L225" s="130">
        <f t="shared" si="284"/>
        <v>84.452609613311679</v>
      </c>
      <c r="M225" s="130">
        <f t="shared" si="284"/>
        <v>84.624470383463063</v>
      </c>
      <c r="N225" s="130">
        <f t="shared" si="284"/>
        <v>79.801571514956692</v>
      </c>
      <c r="O225" s="130">
        <f t="shared" si="284"/>
        <v>75.770416428326627</v>
      </c>
      <c r="P225" s="130">
        <f t="shared" si="284"/>
        <v>76.273423112569617</v>
      </c>
      <c r="Q225" s="130">
        <f t="shared" si="284"/>
        <v>76.575964411527437</v>
      </c>
      <c r="R225" s="130">
        <f t="shared" si="284"/>
        <v>75.879370476175595</v>
      </c>
      <c r="S225" s="130">
        <f t="shared" si="284"/>
        <v>74.954999636400544</v>
      </c>
      <c r="T225" s="130">
        <f t="shared" si="284"/>
        <v>75.851183803010215</v>
      </c>
      <c r="U225" s="130">
        <f t="shared" si="284"/>
        <v>75.339437594130999</v>
      </c>
      <c r="V225" s="130">
        <f t="shared" si="284"/>
        <v>82.545080835904685</v>
      </c>
      <c r="W225" s="130">
        <f t="shared" ref="W225" si="285">IF(W13=0,0,W73/W13*1000)</f>
        <v>82.9457587439679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614.26131151070899</v>
      </c>
      <c r="C226" s="97">
        <f t="shared" si="286"/>
        <v>544.58967447722625</v>
      </c>
      <c r="D226" s="97">
        <f t="shared" si="286"/>
        <v>539.67611766471941</v>
      </c>
      <c r="E226" s="97">
        <f t="shared" si="286"/>
        <v>539.2140649970238</v>
      </c>
      <c r="F226" s="97">
        <f t="shared" si="286"/>
        <v>498.91691414294615</v>
      </c>
      <c r="G226" s="97">
        <f t="shared" si="286"/>
        <v>489.70621715462255</v>
      </c>
      <c r="H226" s="97">
        <f t="shared" si="286"/>
        <v>418.48853340092245</v>
      </c>
      <c r="I226" s="97">
        <f t="shared" si="286"/>
        <v>387.54477844048159</v>
      </c>
      <c r="J226" s="97">
        <f t="shared" si="286"/>
        <v>376.77833823807373</v>
      </c>
      <c r="K226" s="97">
        <f t="shared" si="286"/>
        <v>306.1111464433427</v>
      </c>
      <c r="L226" s="97">
        <f t="shared" si="286"/>
        <v>280.16157991471101</v>
      </c>
      <c r="M226" s="97">
        <f t="shared" si="286"/>
        <v>312.7736391117096</v>
      </c>
      <c r="N226" s="97">
        <f t="shared" si="286"/>
        <v>289.20754615532121</v>
      </c>
      <c r="O226" s="97">
        <f t="shared" si="286"/>
        <v>282.79151308714808</v>
      </c>
      <c r="P226" s="97">
        <f t="shared" si="286"/>
        <v>237.73566420858515</v>
      </c>
      <c r="Q226" s="97">
        <f t="shared" si="286"/>
        <v>185.10302491135195</v>
      </c>
      <c r="R226" s="97">
        <f t="shared" si="286"/>
        <v>194.75894063859948</v>
      </c>
      <c r="S226" s="97">
        <f t="shared" si="286"/>
        <v>202.18109697842709</v>
      </c>
      <c r="T226" s="97">
        <f t="shared" si="286"/>
        <v>229.03881419434302</v>
      </c>
      <c r="U226" s="97">
        <f t="shared" si="286"/>
        <v>234.24440857044544</v>
      </c>
      <c r="V226" s="97">
        <f t="shared" si="286"/>
        <v>211.79613517574535</v>
      </c>
      <c r="W226" s="97">
        <f t="shared" ref="W226" si="287">IF(W14=0,0,W74/W14*1000)</f>
        <v>226.75909296491653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73.761665699551031</v>
      </c>
      <c r="C227" s="97">
        <f t="shared" si="288"/>
        <v>73.323914606762273</v>
      </c>
      <c r="D227" s="97">
        <f t="shared" si="288"/>
        <v>74.037031423583016</v>
      </c>
      <c r="E227" s="97">
        <f t="shared" si="288"/>
        <v>75.652870592244767</v>
      </c>
      <c r="F227" s="97">
        <f t="shared" si="288"/>
        <v>73.164575839253104</v>
      </c>
      <c r="G227" s="97">
        <f t="shared" si="288"/>
        <v>69.268421142428991</v>
      </c>
      <c r="H227" s="97">
        <f t="shared" si="288"/>
        <v>81.910058965752498</v>
      </c>
      <c r="I227" s="97">
        <f t="shared" si="288"/>
        <v>85.000683628852443</v>
      </c>
      <c r="J227" s="97">
        <f t="shared" si="288"/>
        <v>93.833848453343109</v>
      </c>
      <c r="K227" s="97">
        <f t="shared" si="288"/>
        <v>83.507197399441679</v>
      </c>
      <c r="L227" s="97">
        <f t="shared" si="288"/>
        <v>68.29823896953215</v>
      </c>
      <c r="M227" s="97">
        <f t="shared" si="288"/>
        <v>70.576412749940161</v>
      </c>
      <c r="N227" s="97">
        <f t="shared" si="288"/>
        <v>67.152862255372469</v>
      </c>
      <c r="O227" s="97">
        <f t="shared" si="288"/>
        <v>66.690505020752511</v>
      </c>
      <c r="P227" s="97">
        <f t="shared" si="288"/>
        <v>68.218734615431259</v>
      </c>
      <c r="Q227" s="97">
        <f t="shared" si="288"/>
        <v>68.711729508602716</v>
      </c>
      <c r="R227" s="97">
        <f t="shared" si="288"/>
        <v>68.584384950841596</v>
      </c>
      <c r="S227" s="97">
        <f t="shared" si="288"/>
        <v>69.683812167514773</v>
      </c>
      <c r="T227" s="97">
        <f t="shared" si="288"/>
        <v>70.477691600703821</v>
      </c>
      <c r="U227" s="97">
        <f t="shared" si="288"/>
        <v>70.609759546718536</v>
      </c>
      <c r="V227" s="97">
        <f t="shared" si="288"/>
        <v>62.094050684334945</v>
      </c>
      <c r="W227" s="97">
        <f t="shared" ref="W227" si="289">IF(W15=0,0,W75/W15*1000)</f>
        <v>72.037070309987584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123.6069966027197</v>
      </c>
      <c r="C228" s="97">
        <f t="shared" si="290"/>
        <v>121.99770077360468</v>
      </c>
      <c r="D228" s="97">
        <f t="shared" si="290"/>
        <v>120.83758439691938</v>
      </c>
      <c r="E228" s="97">
        <f t="shared" si="290"/>
        <v>120.09330921153118</v>
      </c>
      <c r="F228" s="97">
        <f t="shared" si="290"/>
        <v>118.87215059833609</v>
      </c>
      <c r="G228" s="97">
        <f t="shared" si="290"/>
        <v>106.13298017106793</v>
      </c>
      <c r="H228" s="97">
        <f t="shared" si="290"/>
        <v>102.14221274399023</v>
      </c>
      <c r="I228" s="97">
        <f t="shared" si="290"/>
        <v>88.925894610225924</v>
      </c>
      <c r="J228" s="97">
        <f t="shared" si="290"/>
        <v>87.862780336874053</v>
      </c>
      <c r="K228" s="97">
        <f t="shared" si="290"/>
        <v>87.866714946024302</v>
      </c>
      <c r="L228" s="97">
        <f t="shared" si="290"/>
        <v>66.453579336182884</v>
      </c>
      <c r="M228" s="97">
        <f t="shared" si="290"/>
        <v>65.107269845654727</v>
      </c>
      <c r="N228" s="97">
        <f t="shared" si="290"/>
        <v>62.529189326688858</v>
      </c>
      <c r="O228" s="97">
        <f t="shared" si="290"/>
        <v>53.76159877443235</v>
      </c>
      <c r="P228" s="97">
        <f t="shared" si="290"/>
        <v>57.943734193158193</v>
      </c>
      <c r="Q228" s="97">
        <f t="shared" si="290"/>
        <v>67.145555773709063</v>
      </c>
      <c r="R228" s="97">
        <f t="shared" si="290"/>
        <v>61.113007671736526</v>
      </c>
      <c r="S228" s="97">
        <f t="shared" si="290"/>
        <v>55.569497615454274</v>
      </c>
      <c r="T228" s="97">
        <f t="shared" si="290"/>
        <v>53.667371167908058</v>
      </c>
      <c r="U228" s="97">
        <f t="shared" si="290"/>
        <v>52.400129333689108</v>
      </c>
      <c r="V228" s="97">
        <f t="shared" si="290"/>
        <v>129.78703044508734</v>
      </c>
      <c r="W228" s="97">
        <f t="shared" ref="W228" si="291">IF(W16=0,0,W76/W16*1000)</f>
        <v>75.818858353466766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196.6230825700838</v>
      </c>
      <c r="C229" s="32">
        <f t="shared" si="292"/>
        <v>253.12163714595781</v>
      </c>
      <c r="D229" s="32">
        <f t="shared" si="292"/>
        <v>235.83833469151023</v>
      </c>
      <c r="E229" s="32">
        <f t="shared" si="292"/>
        <v>301.56206063475844</v>
      </c>
      <c r="F229" s="32">
        <f t="shared" si="292"/>
        <v>197.45797325622573</v>
      </c>
      <c r="G229" s="32">
        <f t="shared" si="292"/>
        <v>266.41544693409071</v>
      </c>
      <c r="H229" s="32">
        <f t="shared" si="292"/>
        <v>226.19280994687603</v>
      </c>
      <c r="I229" s="32">
        <f t="shared" si="292"/>
        <v>256.70432971498059</v>
      </c>
      <c r="J229" s="32">
        <f t="shared" si="292"/>
        <v>237.9541812421545</v>
      </c>
      <c r="K229" s="32">
        <f t="shared" si="292"/>
        <v>304.04977274568711</v>
      </c>
      <c r="L229" s="32">
        <f t="shared" si="292"/>
        <v>254.53661061826281</v>
      </c>
      <c r="M229" s="32">
        <f t="shared" si="292"/>
        <v>273.23090261391383</v>
      </c>
      <c r="N229" s="32">
        <f t="shared" si="292"/>
        <v>222.92818391378032</v>
      </c>
      <c r="O229" s="32">
        <f t="shared" si="292"/>
        <v>270.59110946175485</v>
      </c>
      <c r="P229" s="32">
        <f t="shared" si="292"/>
        <v>251.73618431195794</v>
      </c>
      <c r="Q229" s="32">
        <f t="shared" si="292"/>
        <v>247.05398525847914</v>
      </c>
      <c r="R229" s="32">
        <f t="shared" si="292"/>
        <v>242.51067604406148</v>
      </c>
      <c r="S229" s="32">
        <f t="shared" si="292"/>
        <v>230.99107197029957</v>
      </c>
      <c r="T229" s="32">
        <f t="shared" si="292"/>
        <v>240.77058051833839</v>
      </c>
      <c r="U229" s="32">
        <f t="shared" si="292"/>
        <v>251.56714491127462</v>
      </c>
      <c r="V229" s="32">
        <f t="shared" si="292"/>
        <v>249.19464635950291</v>
      </c>
      <c r="W229" s="32">
        <f t="shared" ref="W229" si="293">IF(W17=0,0,W77/W17*1000)</f>
        <v>239.59316373868791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220.11263788761593</v>
      </c>
      <c r="C230" s="141">
        <f t="shared" si="294"/>
        <v>215.91334360779143</v>
      </c>
      <c r="D230" s="141">
        <f t="shared" si="294"/>
        <v>214.79571057858823</v>
      </c>
      <c r="E230" s="141">
        <f t="shared" si="294"/>
        <v>314.26501919410947</v>
      </c>
      <c r="F230" s="141">
        <f t="shared" si="294"/>
        <v>175.77085592788416</v>
      </c>
      <c r="G230" s="141">
        <f t="shared" si="294"/>
        <v>253.66182257681814</v>
      </c>
      <c r="H230" s="141">
        <f t="shared" si="294"/>
        <v>202.32023235485337</v>
      </c>
      <c r="I230" s="141">
        <f t="shared" si="294"/>
        <v>245.84798943121442</v>
      </c>
      <c r="J230" s="141">
        <f t="shared" si="294"/>
        <v>223.96559469120561</v>
      </c>
      <c r="K230" s="141">
        <f t="shared" si="294"/>
        <v>264.29044618225453</v>
      </c>
      <c r="L230" s="141">
        <f t="shared" si="294"/>
        <v>221.91391939591756</v>
      </c>
      <c r="M230" s="141">
        <f t="shared" si="294"/>
        <v>259.74359928346638</v>
      </c>
      <c r="N230" s="141">
        <f t="shared" si="294"/>
        <v>194.87753752585448</v>
      </c>
      <c r="O230" s="141">
        <f t="shared" si="294"/>
        <v>270.61579048587288</v>
      </c>
      <c r="P230" s="141">
        <f t="shared" si="294"/>
        <v>244.95548802721376</v>
      </c>
      <c r="Q230" s="141">
        <f t="shared" si="294"/>
        <v>232.51562751894437</v>
      </c>
      <c r="R230" s="141">
        <f t="shared" si="294"/>
        <v>222.88448682852916</v>
      </c>
      <c r="S230" s="141">
        <f t="shared" si="294"/>
        <v>207.84610575258412</v>
      </c>
      <c r="T230" s="141">
        <f t="shared" si="294"/>
        <v>214.88689800978403</v>
      </c>
      <c r="U230" s="141">
        <f t="shared" si="294"/>
        <v>226.88399250951215</v>
      </c>
      <c r="V230" s="141">
        <f t="shared" si="294"/>
        <v>231.42454683089878</v>
      </c>
      <c r="W230" s="141">
        <f t="shared" ref="W230" si="295">IF(W18=0,0,W78/W18*1000)</f>
        <v>215.0467478574044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1783.1734699853857</v>
      </c>
      <c r="C231" s="97">
        <f t="shared" si="296"/>
        <v>1683.020016541589</v>
      </c>
      <c r="D231" s="97">
        <f t="shared" si="296"/>
        <v>1613.5690906715763</v>
      </c>
      <c r="E231" s="97">
        <f t="shared" si="296"/>
        <v>1528.1555616217718</v>
      </c>
      <c r="F231" s="97">
        <f t="shared" si="296"/>
        <v>1468.6974596991579</v>
      </c>
      <c r="G231" s="97">
        <f t="shared" si="296"/>
        <v>1427.6822338781089</v>
      </c>
      <c r="H231" s="97">
        <f t="shared" si="296"/>
        <v>1340.7655157394706</v>
      </c>
      <c r="I231" s="97">
        <f t="shared" si="296"/>
        <v>1282.1152786852051</v>
      </c>
      <c r="J231" s="97">
        <f t="shared" si="296"/>
        <v>1251.783213435581</v>
      </c>
      <c r="K231" s="97">
        <f t="shared" si="296"/>
        <v>1168.9734842617238</v>
      </c>
      <c r="L231" s="97">
        <f t="shared" si="296"/>
        <v>1110.0567302071943</v>
      </c>
      <c r="M231" s="97">
        <f t="shared" si="296"/>
        <v>1073.1386866975295</v>
      </c>
      <c r="N231" s="97">
        <f t="shared" si="296"/>
        <v>1027.5865040513745</v>
      </c>
      <c r="O231" s="97">
        <f t="shared" si="296"/>
        <v>1010.2101170204219</v>
      </c>
      <c r="P231" s="97">
        <f t="shared" si="296"/>
        <v>1001.7732291295144</v>
      </c>
      <c r="Q231" s="97">
        <f t="shared" si="296"/>
        <v>970.65661082559041</v>
      </c>
      <c r="R231" s="97">
        <f t="shared" si="296"/>
        <v>945.65707047284832</v>
      </c>
      <c r="S231" s="97">
        <f t="shared" si="296"/>
        <v>946.8707621304136</v>
      </c>
      <c r="T231" s="97">
        <f t="shared" si="296"/>
        <v>968.66849384079694</v>
      </c>
      <c r="U231" s="97">
        <f t="shared" si="296"/>
        <v>962.90878354766085</v>
      </c>
      <c r="V231" s="97">
        <f t="shared" si="296"/>
        <v>936.68645822463918</v>
      </c>
      <c r="W231" s="97">
        <f t="shared" ref="W231" si="297">IF(W19=0,0,W79/W19*1000)</f>
        <v>953.45621794939871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136.96820416171568</v>
      </c>
      <c r="C232" s="97">
        <f t="shared" si="298"/>
        <v>135.91014393476448</v>
      </c>
      <c r="D232" s="97">
        <f t="shared" si="298"/>
        <v>135.4491880519542</v>
      </c>
      <c r="E232" s="97">
        <f t="shared" si="298"/>
        <v>201.93906299089696</v>
      </c>
      <c r="F232" s="97">
        <f t="shared" si="298"/>
        <v>113.94481775624597</v>
      </c>
      <c r="G232" s="97">
        <f t="shared" si="298"/>
        <v>164.05249301785756</v>
      </c>
      <c r="H232" s="97">
        <f t="shared" si="298"/>
        <v>132.44238373268576</v>
      </c>
      <c r="I232" s="97">
        <f t="shared" si="298"/>
        <v>161.76774951612484</v>
      </c>
      <c r="J232" s="97">
        <f t="shared" si="298"/>
        <v>147.45424011946105</v>
      </c>
      <c r="K232" s="97">
        <f t="shared" si="298"/>
        <v>195.30916623689248</v>
      </c>
      <c r="L232" s="97">
        <f t="shared" si="298"/>
        <v>154.88476174367088</v>
      </c>
      <c r="M232" s="97">
        <f t="shared" si="298"/>
        <v>179.24152703865741</v>
      </c>
      <c r="N232" s="97">
        <f t="shared" si="298"/>
        <v>124.51158252566752</v>
      </c>
      <c r="O232" s="97">
        <f t="shared" si="298"/>
        <v>180.04517728482963</v>
      </c>
      <c r="P232" s="97">
        <f t="shared" si="298"/>
        <v>164.1687027694656</v>
      </c>
      <c r="Q232" s="97">
        <f t="shared" si="298"/>
        <v>136.32884527999619</v>
      </c>
      <c r="R232" s="97">
        <f t="shared" si="298"/>
        <v>129.90491537034953</v>
      </c>
      <c r="S232" s="97">
        <f t="shared" si="298"/>
        <v>126.1163246662875</v>
      </c>
      <c r="T232" s="97">
        <f t="shared" si="298"/>
        <v>132.36861277786434</v>
      </c>
      <c r="U232" s="97">
        <f t="shared" si="298"/>
        <v>144.14422394064653</v>
      </c>
      <c r="V232" s="97">
        <f t="shared" si="298"/>
        <v>152.40529772796134</v>
      </c>
      <c r="W232" s="97">
        <f t="shared" ref="W232" si="299">IF(W20=0,0,W80/W20*1000)</f>
        <v>139.73191355468492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21.318766275779396</v>
      </c>
      <c r="C233" s="130">
        <f t="shared" si="300"/>
        <v>20.151022439150342</v>
      </c>
      <c r="D233" s="130">
        <f t="shared" si="300"/>
        <v>23.863035650537785</v>
      </c>
      <c r="E233" s="130">
        <f t="shared" si="300"/>
        <v>22.501306618367753</v>
      </c>
      <c r="F233" s="130">
        <f t="shared" si="300"/>
        <v>22.205703009058087</v>
      </c>
      <c r="G233" s="130">
        <f t="shared" si="300"/>
        <v>16.505576285996423</v>
      </c>
      <c r="H233" s="130">
        <f t="shared" si="300"/>
        <v>17.231420499090198</v>
      </c>
      <c r="I233" s="130">
        <f t="shared" si="300"/>
        <v>15.228011899091534</v>
      </c>
      <c r="J233" s="130">
        <f t="shared" si="300"/>
        <v>22.692807545033283</v>
      </c>
      <c r="K233" s="130">
        <f t="shared" si="300"/>
        <v>13.741535613804171</v>
      </c>
      <c r="L233" s="130">
        <f t="shared" si="300"/>
        <v>13.413482628880462</v>
      </c>
      <c r="M233" s="130">
        <f t="shared" si="300"/>
        <v>11.004363209136457</v>
      </c>
      <c r="N233" s="130">
        <f t="shared" si="300"/>
        <v>14.425126635978543</v>
      </c>
      <c r="O233" s="130">
        <f t="shared" si="300"/>
        <v>10.887878511401741</v>
      </c>
      <c r="P233" s="130">
        <f t="shared" si="300"/>
        <v>11.694986377246495</v>
      </c>
      <c r="Q233" s="130">
        <f t="shared" si="300"/>
        <v>11.589188504450787</v>
      </c>
      <c r="R233" s="130">
        <f t="shared" si="300"/>
        <v>11.783069702068149</v>
      </c>
      <c r="S233" s="130">
        <f t="shared" si="300"/>
        <v>11.449784529521823</v>
      </c>
      <c r="T233" s="130">
        <f t="shared" si="300"/>
        <v>11.052097912755377</v>
      </c>
      <c r="U233" s="130">
        <f t="shared" si="300"/>
        <v>5.965366306594313</v>
      </c>
      <c r="V233" s="130">
        <f t="shared" si="300"/>
        <v>5.6705985896343654</v>
      </c>
      <c r="W233" s="130">
        <f t="shared" ref="W233" si="301">IF(W21=0,0,W81/W21*1000)</f>
        <v>5.1229857077585939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684.1729135037848</v>
      </c>
      <c r="C234" s="130">
        <f t="shared" si="302"/>
        <v>641.49168486915005</v>
      </c>
      <c r="D234" s="130">
        <f t="shared" si="302"/>
        <v>664.57673665780237</v>
      </c>
      <c r="E234" s="130">
        <f t="shared" si="302"/>
        <v>635.34035842577896</v>
      </c>
      <c r="F234" s="130">
        <f t="shared" si="302"/>
        <v>600.72273081787125</v>
      </c>
      <c r="G234" s="130">
        <f t="shared" si="302"/>
        <v>620.23541781030178</v>
      </c>
      <c r="H234" s="130">
        <f t="shared" si="302"/>
        <v>716.96168114338775</v>
      </c>
      <c r="I234" s="130">
        <f t="shared" si="302"/>
        <v>666.6254523401916</v>
      </c>
      <c r="J234" s="130">
        <f t="shared" si="302"/>
        <v>717.86785538788342</v>
      </c>
      <c r="K234" s="130">
        <f t="shared" si="302"/>
        <v>578.11239760106218</v>
      </c>
      <c r="L234" s="130">
        <f t="shared" si="302"/>
        <v>516.5944662605142</v>
      </c>
      <c r="M234" s="130">
        <f t="shared" si="302"/>
        <v>511.2084191840882</v>
      </c>
      <c r="N234" s="130">
        <f t="shared" si="302"/>
        <v>469.32298048795974</v>
      </c>
      <c r="O234" s="130">
        <f t="shared" si="302"/>
        <v>484.00985819452046</v>
      </c>
      <c r="P234" s="130">
        <f t="shared" si="302"/>
        <v>412.14852041694633</v>
      </c>
      <c r="Q234" s="130">
        <f t="shared" si="302"/>
        <v>387.40353234060905</v>
      </c>
      <c r="R234" s="130">
        <f t="shared" si="302"/>
        <v>345.66733822005358</v>
      </c>
      <c r="S234" s="130">
        <f t="shared" si="302"/>
        <v>339.35729790270733</v>
      </c>
      <c r="T234" s="130">
        <f t="shared" si="302"/>
        <v>312.29616895583024</v>
      </c>
      <c r="U234" s="130">
        <f t="shared" si="302"/>
        <v>275.15907792497234</v>
      </c>
      <c r="V234" s="130">
        <f t="shared" si="302"/>
        <v>345.19146055461005</v>
      </c>
      <c r="W234" s="130">
        <f t="shared" ref="W234" si="303">IF(W22=0,0,W82/W22*1000)</f>
        <v>285.79579284966093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3348.7541159589614</v>
      </c>
      <c r="C235" s="97">
        <f t="shared" si="304"/>
        <v>3011.9594383881495</v>
      </c>
      <c r="D235" s="97">
        <f t="shared" si="304"/>
        <v>2921.6451096594697</v>
      </c>
      <c r="E235" s="97">
        <f t="shared" si="304"/>
        <v>2758.6536903945976</v>
      </c>
      <c r="F235" s="97">
        <f t="shared" si="304"/>
        <v>2771.0967501143773</v>
      </c>
      <c r="G235" s="97">
        <f t="shared" si="304"/>
        <v>2962.9565221425041</v>
      </c>
      <c r="H235" s="97">
        <f t="shared" si="304"/>
        <v>2667.058584960906</v>
      </c>
      <c r="I235" s="97">
        <f t="shared" si="304"/>
        <v>2603.287578877324</v>
      </c>
      <c r="J235" s="97">
        <f t="shared" si="304"/>
        <v>2737.5745196880125</v>
      </c>
      <c r="K235" s="97">
        <f t="shared" si="304"/>
        <v>2016.7177189242996</v>
      </c>
      <c r="L235" s="97">
        <f t="shared" si="304"/>
        <v>1753.5798372702066</v>
      </c>
      <c r="M235" s="97">
        <f t="shared" si="304"/>
        <v>1742.8008279055746</v>
      </c>
      <c r="N235" s="97">
        <f t="shared" si="304"/>
        <v>1488.3698882668884</v>
      </c>
      <c r="O235" s="97">
        <f t="shared" si="304"/>
        <v>1503.8692418339151</v>
      </c>
      <c r="P235" s="97">
        <f t="shared" si="304"/>
        <v>1287.0034810440764</v>
      </c>
      <c r="Q235" s="97">
        <f t="shared" si="304"/>
        <v>1059.3521983057881</v>
      </c>
      <c r="R235" s="97">
        <f t="shared" si="304"/>
        <v>1007.6037974972121</v>
      </c>
      <c r="S235" s="97">
        <f t="shared" si="304"/>
        <v>1145.3623024236158</v>
      </c>
      <c r="T235" s="97">
        <f t="shared" si="304"/>
        <v>1242.9550198355948</v>
      </c>
      <c r="U235" s="97">
        <f t="shared" si="304"/>
        <v>1094.4215535808753</v>
      </c>
      <c r="V235" s="97">
        <f t="shared" si="304"/>
        <v>767.80567270072982</v>
      </c>
      <c r="W235" s="97">
        <f t="shared" ref="W235" si="305">IF(W23=0,0,W83/W23*1000)</f>
        <v>901.74703273205773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490.77704059586381</v>
      </c>
      <c r="C236" s="97">
        <f t="shared" si="306"/>
        <v>462.58879175627459</v>
      </c>
      <c r="D236" s="97">
        <f t="shared" si="306"/>
        <v>491.52969764292192</v>
      </c>
      <c r="E236" s="97">
        <f t="shared" si="306"/>
        <v>483.09484210490717</v>
      </c>
      <c r="F236" s="97">
        <f t="shared" si="306"/>
        <v>501.51003850036767</v>
      </c>
      <c r="G236" s="97">
        <f t="shared" si="306"/>
        <v>508.51866256822154</v>
      </c>
      <c r="H236" s="97">
        <f t="shared" si="306"/>
        <v>705.62538247445184</v>
      </c>
      <c r="I236" s="97">
        <f t="shared" si="306"/>
        <v>686.52397803879091</v>
      </c>
      <c r="J236" s="97">
        <f t="shared" si="306"/>
        <v>769.33749515463637</v>
      </c>
      <c r="K236" s="97">
        <f t="shared" si="306"/>
        <v>650.40740633835867</v>
      </c>
      <c r="L236" s="97">
        <f t="shared" si="306"/>
        <v>530.5559572366119</v>
      </c>
      <c r="M236" s="97">
        <f t="shared" si="306"/>
        <v>541.79895628846157</v>
      </c>
      <c r="N236" s="97">
        <f t="shared" si="306"/>
        <v>495.59494065451781</v>
      </c>
      <c r="O236" s="97">
        <f t="shared" si="306"/>
        <v>510.58517666760571</v>
      </c>
      <c r="P236" s="97">
        <f t="shared" si="306"/>
        <v>443.58286552468593</v>
      </c>
      <c r="Q236" s="97">
        <f t="shared" si="306"/>
        <v>441.47394589877518</v>
      </c>
      <c r="R236" s="97">
        <f t="shared" si="306"/>
        <v>407.29766361137655</v>
      </c>
      <c r="S236" s="97">
        <f t="shared" si="306"/>
        <v>453.88909727015255</v>
      </c>
      <c r="T236" s="97">
        <f t="shared" si="306"/>
        <v>446.4518409700313</v>
      </c>
      <c r="U236" s="97">
        <f t="shared" si="306"/>
        <v>421.7723306454709</v>
      </c>
      <c r="V236" s="97">
        <f t="shared" si="306"/>
        <v>393.3409432401445</v>
      </c>
      <c r="W236" s="97">
        <f t="shared" ref="W236" si="307">IF(W24=0,0,W84/W24*1000)</f>
        <v>473.87790364244626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146.82486789905866</v>
      </c>
      <c r="C237" s="97">
        <f t="shared" si="308"/>
        <v>139.35779341503135</v>
      </c>
      <c r="D237" s="97">
        <f t="shared" si="308"/>
        <v>147.4898355694819</v>
      </c>
      <c r="E237" s="97">
        <f t="shared" si="308"/>
        <v>162.84957498023394</v>
      </c>
      <c r="F237" s="97">
        <f t="shared" si="308"/>
        <v>161.72315015409754</v>
      </c>
      <c r="G237" s="97">
        <f t="shared" si="308"/>
        <v>173.53383701214517</v>
      </c>
      <c r="H237" s="97">
        <f t="shared" si="308"/>
        <v>168.55964776290151</v>
      </c>
      <c r="I237" s="97">
        <f t="shared" si="308"/>
        <v>143.07511790776468</v>
      </c>
      <c r="J237" s="97">
        <f t="shared" si="308"/>
        <v>140.0258348445804</v>
      </c>
      <c r="K237" s="97">
        <f t="shared" si="308"/>
        <v>121.50297227902577</v>
      </c>
      <c r="L237" s="97">
        <f t="shared" si="308"/>
        <v>98.601424603488866</v>
      </c>
      <c r="M237" s="97">
        <f t="shared" si="308"/>
        <v>115.17926220659648</v>
      </c>
      <c r="N237" s="97">
        <f t="shared" si="308"/>
        <v>129.23681734527878</v>
      </c>
      <c r="O237" s="97">
        <f t="shared" si="308"/>
        <v>114.93337453849857</v>
      </c>
      <c r="P237" s="97">
        <f t="shared" si="308"/>
        <v>101.63422507853898</v>
      </c>
      <c r="Q237" s="97">
        <f t="shared" si="308"/>
        <v>113.06338925204827</v>
      </c>
      <c r="R237" s="97">
        <f t="shared" si="308"/>
        <v>88.72095197786598</v>
      </c>
      <c r="S237" s="97">
        <f t="shared" si="308"/>
        <v>77.955231247362008</v>
      </c>
      <c r="T237" s="97">
        <f t="shared" si="308"/>
        <v>70.668215313917926</v>
      </c>
      <c r="U237" s="97">
        <f t="shared" si="308"/>
        <v>68.224528379482678</v>
      </c>
      <c r="V237" s="97">
        <f t="shared" si="308"/>
        <v>184.04183961359232</v>
      </c>
      <c r="W237" s="97">
        <f t="shared" ref="W237" si="309">IF(W25=0,0,W85/W25*1000)</f>
        <v>111.99655538450946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141.91488145569522</v>
      </c>
      <c r="C238" s="130">
        <f t="shared" si="310"/>
        <v>479.59532666828113</v>
      </c>
      <c r="D238" s="130">
        <f t="shared" si="310"/>
        <v>335.71266841121803</v>
      </c>
      <c r="E238" s="130">
        <f t="shared" si="310"/>
        <v>278.47034805484742</v>
      </c>
      <c r="F238" s="130">
        <f t="shared" si="310"/>
        <v>322.60673654413847</v>
      </c>
      <c r="G238" s="130">
        <f t="shared" si="310"/>
        <v>334.55530626505458</v>
      </c>
      <c r="H238" s="130">
        <f t="shared" si="310"/>
        <v>355.884037094885</v>
      </c>
      <c r="I238" s="130">
        <f t="shared" si="310"/>
        <v>325.70457729084558</v>
      </c>
      <c r="J238" s="130">
        <f t="shared" si="310"/>
        <v>328.35861818816073</v>
      </c>
      <c r="K238" s="130">
        <f t="shared" si="310"/>
        <v>547.99647056922913</v>
      </c>
      <c r="L238" s="130">
        <f t="shared" si="310"/>
        <v>490.243454170907</v>
      </c>
      <c r="M238" s="130">
        <f t="shared" si="310"/>
        <v>348.41926665618081</v>
      </c>
      <c r="N238" s="130">
        <f t="shared" si="310"/>
        <v>350.35496041969589</v>
      </c>
      <c r="O238" s="130">
        <f t="shared" si="310"/>
        <v>280.37523146369745</v>
      </c>
      <c r="P238" s="130">
        <f t="shared" si="310"/>
        <v>292.02332211349557</v>
      </c>
      <c r="Q238" s="130">
        <f t="shared" si="310"/>
        <v>311.31441264776004</v>
      </c>
      <c r="R238" s="130">
        <f t="shared" si="310"/>
        <v>333.05777289021069</v>
      </c>
      <c r="S238" s="130">
        <f t="shared" si="310"/>
        <v>339.29187120127813</v>
      </c>
      <c r="T238" s="130">
        <f t="shared" si="310"/>
        <v>358.71696176236617</v>
      </c>
      <c r="U238" s="130">
        <f t="shared" si="310"/>
        <v>366.83280742528035</v>
      </c>
      <c r="V238" s="130">
        <f t="shared" si="310"/>
        <v>346.81526784612868</v>
      </c>
      <c r="W238" s="130">
        <f t="shared" ref="W238" si="311">IF(W26=0,0,W86/W26*1000)</f>
        <v>376.72184497607657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141.91488145569522</v>
      </c>
      <c r="C239" s="97">
        <f t="shared" si="312"/>
        <v>479.59532666828113</v>
      </c>
      <c r="D239" s="97">
        <f t="shared" si="312"/>
        <v>335.71266841121803</v>
      </c>
      <c r="E239" s="97">
        <f t="shared" si="312"/>
        <v>278.47034805484742</v>
      </c>
      <c r="F239" s="97">
        <f t="shared" si="312"/>
        <v>322.60673654413847</v>
      </c>
      <c r="G239" s="97">
        <f t="shared" si="312"/>
        <v>334.55530626505458</v>
      </c>
      <c r="H239" s="97">
        <f t="shared" si="312"/>
        <v>355.884037094885</v>
      </c>
      <c r="I239" s="97">
        <f t="shared" si="312"/>
        <v>325.70457729084558</v>
      </c>
      <c r="J239" s="97">
        <f t="shared" si="312"/>
        <v>328.35861818816073</v>
      </c>
      <c r="K239" s="97">
        <f t="shared" si="312"/>
        <v>547.99647056922913</v>
      </c>
      <c r="L239" s="97">
        <f t="shared" si="312"/>
        <v>490.243454170907</v>
      </c>
      <c r="M239" s="97">
        <f t="shared" si="312"/>
        <v>348.41926665618081</v>
      </c>
      <c r="N239" s="97">
        <f t="shared" si="312"/>
        <v>350.35496041969589</v>
      </c>
      <c r="O239" s="97">
        <f t="shared" si="312"/>
        <v>280.37523146369745</v>
      </c>
      <c r="P239" s="97">
        <f t="shared" si="312"/>
        <v>292.02332211349557</v>
      </c>
      <c r="Q239" s="97">
        <f t="shared" si="312"/>
        <v>311.31441264776004</v>
      </c>
      <c r="R239" s="97">
        <f t="shared" si="312"/>
        <v>333.05777289021069</v>
      </c>
      <c r="S239" s="97">
        <f t="shared" si="312"/>
        <v>339.29187120127813</v>
      </c>
      <c r="T239" s="97">
        <f t="shared" si="312"/>
        <v>358.71696176236617</v>
      </c>
      <c r="U239" s="97">
        <f t="shared" si="312"/>
        <v>366.83280742528035</v>
      </c>
      <c r="V239" s="97">
        <f t="shared" si="312"/>
        <v>346.81526784612868</v>
      </c>
      <c r="W239" s="97">
        <f t="shared" ref="W239" si="313">IF(W27=0,0,W87/W27*1000)</f>
        <v>376.72184497607657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0</v>
      </c>
      <c r="C240" s="98">
        <f t="shared" si="314"/>
        <v>0</v>
      </c>
      <c r="D240" s="98">
        <f t="shared" si="314"/>
        <v>0</v>
      </c>
      <c r="E240" s="98">
        <f t="shared" si="314"/>
        <v>0</v>
      </c>
      <c r="F240" s="98">
        <f t="shared" si="314"/>
        <v>0</v>
      </c>
      <c r="G240" s="98">
        <f t="shared" si="314"/>
        <v>0</v>
      </c>
      <c r="H240" s="98">
        <f t="shared" si="314"/>
        <v>0</v>
      </c>
      <c r="I240" s="98">
        <f t="shared" si="314"/>
        <v>0</v>
      </c>
      <c r="J240" s="98">
        <f t="shared" si="314"/>
        <v>0</v>
      </c>
      <c r="K240" s="98">
        <f t="shared" si="314"/>
        <v>0</v>
      </c>
      <c r="L240" s="98">
        <f t="shared" si="314"/>
        <v>0</v>
      </c>
      <c r="M240" s="98">
        <f t="shared" si="314"/>
        <v>0</v>
      </c>
      <c r="N240" s="98">
        <f t="shared" si="314"/>
        <v>0</v>
      </c>
      <c r="O240" s="98">
        <f t="shared" si="314"/>
        <v>0</v>
      </c>
      <c r="P240" s="98">
        <f t="shared" si="314"/>
        <v>0</v>
      </c>
      <c r="Q240" s="98">
        <f t="shared" si="314"/>
        <v>0</v>
      </c>
      <c r="R240" s="98">
        <f t="shared" si="314"/>
        <v>0</v>
      </c>
      <c r="S240" s="98">
        <f t="shared" si="314"/>
        <v>0</v>
      </c>
      <c r="T240" s="98">
        <f t="shared" si="314"/>
        <v>0</v>
      </c>
      <c r="U240" s="98">
        <f t="shared" si="314"/>
        <v>0</v>
      </c>
      <c r="V240" s="98">
        <f t="shared" si="314"/>
        <v>0</v>
      </c>
      <c r="W240" s="98">
        <f t="shared" ref="W240:W243" si="315">IF(W28=0,0,W88/W28*1000)</f>
        <v>0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151.51687079729393</v>
      </c>
      <c r="C241" s="32">
        <f t="shared" si="316"/>
        <v>104.35387738522533</v>
      </c>
      <c r="D241" s="32">
        <f t="shared" si="316"/>
        <v>89.144381522779909</v>
      </c>
      <c r="E241" s="32">
        <f t="shared" si="316"/>
        <v>80.60958967769642</v>
      </c>
      <c r="F241" s="32">
        <f t="shared" si="316"/>
        <v>80.72242451565846</v>
      </c>
      <c r="G241" s="32">
        <f t="shared" si="316"/>
        <v>71.944061514211654</v>
      </c>
      <c r="H241" s="32">
        <f t="shared" si="316"/>
        <v>78.439714018619753</v>
      </c>
      <c r="I241" s="32">
        <f t="shared" si="316"/>
        <v>78.468704468693218</v>
      </c>
      <c r="J241" s="32">
        <f t="shared" si="316"/>
        <v>90.268967962797788</v>
      </c>
      <c r="K241" s="32">
        <f t="shared" si="316"/>
        <v>83.955529335603899</v>
      </c>
      <c r="L241" s="32">
        <f t="shared" si="316"/>
        <v>84.246248098062352</v>
      </c>
      <c r="M241" s="32">
        <f t="shared" si="316"/>
        <v>67.438371993519695</v>
      </c>
      <c r="N241" s="32">
        <f t="shared" si="316"/>
        <v>42.349224910884189</v>
      </c>
      <c r="O241" s="32">
        <f t="shared" si="316"/>
        <v>37.233453836912979</v>
      </c>
      <c r="P241" s="32">
        <f t="shared" si="316"/>
        <v>29.16019991044265</v>
      </c>
      <c r="Q241" s="32">
        <f t="shared" si="316"/>
        <v>27.644821872461591</v>
      </c>
      <c r="R241" s="32">
        <f t="shared" si="316"/>
        <v>23.993636514378213</v>
      </c>
      <c r="S241" s="32">
        <f t="shared" si="316"/>
        <v>28.972133819972516</v>
      </c>
      <c r="T241" s="32">
        <f t="shared" si="316"/>
        <v>27.916732125704549</v>
      </c>
      <c r="U241" s="32">
        <f t="shared" si="316"/>
        <v>30.228217374616658</v>
      </c>
      <c r="V241" s="32">
        <f t="shared" si="316"/>
        <v>20.069651778073418</v>
      </c>
      <c r="W241" s="32">
        <f t="shared" si="315"/>
        <v>21.912143019045146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144.39781571598905</v>
      </c>
      <c r="C242" s="97">
        <f t="shared" si="317"/>
        <v>147.27938686789003</v>
      </c>
      <c r="D242" s="97">
        <f t="shared" si="317"/>
        <v>134.54454641235864</v>
      </c>
      <c r="E242" s="97">
        <f t="shared" si="317"/>
        <v>119.59507500766698</v>
      </c>
      <c r="F242" s="97">
        <f t="shared" si="317"/>
        <v>128.41907924673004</v>
      </c>
      <c r="G242" s="97">
        <f t="shared" si="317"/>
        <v>120.04236416743991</v>
      </c>
      <c r="H242" s="97">
        <f t="shared" si="317"/>
        <v>136.17230963678716</v>
      </c>
      <c r="I242" s="97">
        <f t="shared" si="317"/>
        <v>124.64055961245302</v>
      </c>
      <c r="J242" s="97">
        <f t="shared" si="317"/>
        <v>135.4376219881099</v>
      </c>
      <c r="K242" s="97">
        <f t="shared" si="317"/>
        <v>125.42176341252443</v>
      </c>
      <c r="L242" s="97">
        <f t="shared" si="317"/>
        <v>133.07244865533491</v>
      </c>
      <c r="M242" s="97">
        <f t="shared" si="317"/>
        <v>121.91697664857627</v>
      </c>
      <c r="N242" s="97">
        <f t="shared" si="317"/>
        <v>82.715793277187871</v>
      </c>
      <c r="O242" s="97">
        <f t="shared" si="317"/>
        <v>76.232757759584544</v>
      </c>
      <c r="P242" s="97">
        <f t="shared" si="317"/>
        <v>62.386767484690687</v>
      </c>
      <c r="Q242" s="97">
        <f t="shared" si="317"/>
        <v>58.638598767108036</v>
      </c>
      <c r="R242" s="97">
        <f t="shared" si="317"/>
        <v>51.553791614790846</v>
      </c>
      <c r="S242" s="97">
        <f t="shared" si="317"/>
        <v>62.613693246108035</v>
      </c>
      <c r="T242" s="97">
        <f t="shared" si="317"/>
        <v>59.919209948044042</v>
      </c>
      <c r="U242" s="97">
        <f t="shared" si="317"/>
        <v>63.979846707101714</v>
      </c>
      <c r="V242" s="97">
        <f t="shared" si="317"/>
        <v>38.570686124043959</v>
      </c>
      <c r="W242" s="97">
        <f t="shared" si="315"/>
        <v>42.643620369121621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160.54192348286827</v>
      </c>
      <c r="C243" s="98">
        <f t="shared" si="318"/>
        <v>83.728447010482654</v>
      </c>
      <c r="D243" s="98">
        <f t="shared" si="318"/>
        <v>70.764930180813181</v>
      </c>
      <c r="E243" s="98">
        <f t="shared" si="318"/>
        <v>63.41386956759208</v>
      </c>
      <c r="F243" s="98">
        <f t="shared" si="318"/>
        <v>62.713261380826921</v>
      </c>
      <c r="G243" s="98">
        <f t="shared" si="318"/>
        <v>55.350249685710963</v>
      </c>
      <c r="H243" s="98">
        <f t="shared" si="318"/>
        <v>60.712111513929685</v>
      </c>
      <c r="I243" s="98">
        <f t="shared" si="318"/>
        <v>61.143474455828894</v>
      </c>
      <c r="J243" s="98">
        <f t="shared" si="318"/>
        <v>70.444552878463881</v>
      </c>
      <c r="K243" s="98">
        <f t="shared" si="318"/>
        <v>65.188594875028869</v>
      </c>
      <c r="L243" s="98">
        <f t="shared" si="318"/>
        <v>65.132214485677096</v>
      </c>
      <c r="M243" s="98">
        <f t="shared" si="318"/>
        <v>50.853102256281453</v>
      </c>
      <c r="N243" s="98">
        <f t="shared" si="318"/>
        <v>31.781278202257255</v>
      </c>
      <c r="O243" s="98">
        <f t="shared" si="318"/>
        <v>28.199654488878195</v>
      </c>
      <c r="P243" s="98">
        <f t="shared" si="318"/>
        <v>22.150242396361357</v>
      </c>
      <c r="Q243" s="98">
        <f t="shared" si="318"/>
        <v>20.846497466339851</v>
      </c>
      <c r="R243" s="98">
        <f t="shared" si="318"/>
        <v>18.361775083454575</v>
      </c>
      <c r="S243" s="98">
        <f t="shared" si="318"/>
        <v>21.996570091570376</v>
      </c>
      <c r="T243" s="98">
        <f t="shared" si="318"/>
        <v>21.213408964811613</v>
      </c>
      <c r="U243" s="98">
        <f t="shared" si="318"/>
        <v>22.854458331531941</v>
      </c>
      <c r="V243" s="98">
        <f t="shared" si="318"/>
        <v>16.120494825798769</v>
      </c>
      <c r="W243" s="98">
        <f t="shared" si="315"/>
        <v>17.506081208232878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89081.033687696428</v>
      </c>
      <c r="C4" s="29">
        <f t="shared" si="0"/>
        <v>94433.61652752696</v>
      </c>
      <c r="D4" s="29">
        <f t="shared" si="0"/>
        <v>99135.280132350381</v>
      </c>
      <c r="E4" s="29">
        <f t="shared" si="0"/>
        <v>103397.50953702383</v>
      </c>
      <c r="F4" s="29">
        <f t="shared" si="0"/>
        <v>107255.69052107683</v>
      </c>
      <c r="G4" s="29">
        <f t="shared" si="0"/>
        <v>112483.56888770049</v>
      </c>
      <c r="H4" s="29">
        <f t="shared" si="0"/>
        <v>117284.73761886568</v>
      </c>
      <c r="I4" s="29">
        <f t="shared" si="0"/>
        <v>122620.69964971418</v>
      </c>
      <c r="J4" s="29">
        <f t="shared" si="0"/>
        <v>128108.34182156908</v>
      </c>
      <c r="K4" s="29">
        <f t="shared" si="0"/>
        <v>128366.59142603923</v>
      </c>
      <c r="L4" s="29">
        <f t="shared" ref="L4" si="1">L5+L6+L13</f>
        <v>128026.7719637641</v>
      </c>
      <c r="M4" s="29">
        <f t="shared" ref="M4:V4" si="2">M5+M6+M13</f>
        <v>127065.51332408059</v>
      </c>
      <c r="N4" s="29">
        <f t="shared" si="2"/>
        <v>125924.11353632176</v>
      </c>
      <c r="O4" s="29">
        <f t="shared" si="2"/>
        <v>124883.37127318948</v>
      </c>
      <c r="P4" s="29">
        <f t="shared" si="2"/>
        <v>126305.87703236123</v>
      </c>
      <c r="Q4" s="29">
        <f t="shared" si="2"/>
        <v>127938.38420213384</v>
      </c>
      <c r="R4" s="29">
        <f t="shared" si="2"/>
        <v>129597.33451912021</v>
      </c>
      <c r="S4" s="29">
        <f t="shared" si="2"/>
        <v>130577.28472203088</v>
      </c>
      <c r="T4" s="29">
        <f t="shared" si="2"/>
        <v>131643.50825034044</v>
      </c>
      <c r="U4" s="29">
        <f t="shared" si="2"/>
        <v>133816.09163567756</v>
      </c>
      <c r="V4" s="29">
        <f t="shared" si="2"/>
        <v>111667.6044267128</v>
      </c>
      <c r="W4" s="29">
        <f t="shared" ref="W4" si="3">W5+W6+W13</f>
        <v>119011.0304613154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4381.0336876964257</v>
      </c>
      <c r="C5" s="152">
        <f t="shared" si="4"/>
        <v>4633.6165275269523</v>
      </c>
      <c r="D5" s="152">
        <f t="shared" si="4"/>
        <v>5135.2801323503782</v>
      </c>
      <c r="E5" s="152">
        <f t="shared" si="4"/>
        <v>5447.5095370238259</v>
      </c>
      <c r="F5" s="152">
        <f t="shared" si="4"/>
        <v>5655.6905210768246</v>
      </c>
      <c r="G5" s="152">
        <f t="shared" si="4"/>
        <v>5783.5688877004877</v>
      </c>
      <c r="H5" s="152">
        <f t="shared" si="4"/>
        <v>5484.7376188656754</v>
      </c>
      <c r="I5" s="152">
        <f t="shared" si="4"/>
        <v>5620.6996497141872</v>
      </c>
      <c r="J5" s="152">
        <f t="shared" si="4"/>
        <v>6008.341821569079</v>
      </c>
      <c r="K5" s="152">
        <f t="shared" si="4"/>
        <v>6147.5484182387845</v>
      </c>
      <c r="L5" s="152">
        <f t="shared" ref="L5:L7" si="5">IF(L32=0,0,L32*L142)</f>
        <v>7326.7719637640957</v>
      </c>
      <c r="M5" s="152">
        <f t="shared" ref="M5:V5" si="6">IF(M32=0,0,M32*M142)</f>
        <v>7581.7104733309743</v>
      </c>
      <c r="N5" s="152">
        <f t="shared" si="6"/>
        <v>7893.5315545565281</v>
      </c>
      <c r="O5" s="152">
        <f t="shared" si="6"/>
        <v>8043.8635150545451</v>
      </c>
      <c r="P5" s="152">
        <f t="shared" si="6"/>
        <v>8429.7146217443515</v>
      </c>
      <c r="Q5" s="152">
        <f t="shared" si="6"/>
        <v>8514.3277175809271</v>
      </c>
      <c r="R5" s="152">
        <f t="shared" si="6"/>
        <v>8772.254909032039</v>
      </c>
      <c r="S5" s="152">
        <f t="shared" si="6"/>
        <v>8235.2478066252388</v>
      </c>
      <c r="T5" s="152">
        <f t="shared" si="6"/>
        <v>7699.3908690823419</v>
      </c>
      <c r="U5" s="152">
        <f t="shared" si="6"/>
        <v>8175.4130243694099</v>
      </c>
      <c r="V5" s="152">
        <f t="shared" si="6"/>
        <v>7307.8063895468213</v>
      </c>
      <c r="W5" s="152">
        <f t="shared" ref="W5" si="7">IF(W32=0,0,W32*W142)</f>
        <v>7595.585444314067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63000</v>
      </c>
      <c r="C6" s="116">
        <f t="shared" si="8"/>
        <v>68000.000000000015</v>
      </c>
      <c r="D6" s="116">
        <f t="shared" si="8"/>
        <v>72000</v>
      </c>
      <c r="E6" s="116">
        <f t="shared" si="8"/>
        <v>76000</v>
      </c>
      <c r="F6" s="116">
        <f t="shared" si="8"/>
        <v>80000</v>
      </c>
      <c r="G6" s="116">
        <f t="shared" si="8"/>
        <v>85000</v>
      </c>
      <c r="H6" s="116">
        <f t="shared" si="8"/>
        <v>90000</v>
      </c>
      <c r="I6" s="116">
        <f t="shared" si="8"/>
        <v>95000</v>
      </c>
      <c r="J6" s="116">
        <f t="shared" si="8"/>
        <v>100000</v>
      </c>
      <c r="K6" s="116">
        <f t="shared" si="8"/>
        <v>101300</v>
      </c>
      <c r="L6" s="116">
        <f t="shared" ref="L6" si="9">SUM(L7:L12)</f>
        <v>99600</v>
      </c>
      <c r="M6" s="116">
        <f t="shared" ref="M6:V6" si="10">SUM(M7:M12)</f>
        <v>98322.079941260134</v>
      </c>
      <c r="N6" s="116">
        <f t="shared" si="10"/>
        <v>96934.481527791097</v>
      </c>
      <c r="O6" s="116">
        <f t="shared" si="10"/>
        <v>95811.379215017092</v>
      </c>
      <c r="P6" s="116">
        <f t="shared" si="10"/>
        <v>96870.041465995091</v>
      </c>
      <c r="Q6" s="116">
        <f t="shared" si="10"/>
        <v>98275.784515578431</v>
      </c>
      <c r="R6" s="116">
        <f t="shared" si="10"/>
        <v>99922.362971391893</v>
      </c>
      <c r="S6" s="116">
        <f t="shared" si="10"/>
        <v>101877.08750292296</v>
      </c>
      <c r="T6" s="116">
        <f t="shared" si="10"/>
        <v>103395.3545725447</v>
      </c>
      <c r="U6" s="116">
        <f t="shared" si="10"/>
        <v>105305.16484643624</v>
      </c>
      <c r="V6" s="116">
        <f t="shared" si="10"/>
        <v>91046.951931119649</v>
      </c>
      <c r="W6" s="116">
        <f t="shared" ref="W6" si="11">SUM(W7:W12)</f>
        <v>97646.14209748985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58222.639355850581</v>
      </c>
      <c r="C7" s="87">
        <f t="shared" si="12"/>
        <v>63384.688714303869</v>
      </c>
      <c r="D7" s="87">
        <f t="shared" si="12"/>
        <v>67409.486310908644</v>
      </c>
      <c r="E7" s="87">
        <f t="shared" si="12"/>
        <v>71199.354560812528</v>
      </c>
      <c r="F7" s="87">
        <f t="shared" si="12"/>
        <v>75688.65265406156</v>
      </c>
      <c r="G7" s="87">
        <f t="shared" si="12"/>
        <v>80591.297019039295</v>
      </c>
      <c r="H7" s="87">
        <f t="shared" si="12"/>
        <v>85105.089221738774</v>
      </c>
      <c r="I7" s="87">
        <f t="shared" si="12"/>
        <v>89816.712859009145</v>
      </c>
      <c r="J7" s="87">
        <f t="shared" si="12"/>
        <v>94961.769053033757</v>
      </c>
      <c r="K7" s="87">
        <f t="shared" si="12"/>
        <v>95480.759120930947</v>
      </c>
      <c r="L7" s="87">
        <f t="shared" si="5"/>
        <v>93508.386984627796</v>
      </c>
      <c r="M7" s="87">
        <f t="shared" ref="M7:V7" si="13">IF(M34=0,0,M34*M144)</f>
        <v>90718.761059039345</v>
      </c>
      <c r="N7" s="87">
        <f t="shared" si="13"/>
        <v>89819.530535376995</v>
      </c>
      <c r="O7" s="87">
        <f t="shared" si="13"/>
        <v>85565.588885051315</v>
      </c>
      <c r="P7" s="87">
        <f t="shared" si="13"/>
        <v>83243.54270139584</v>
      </c>
      <c r="Q7" s="87">
        <f t="shared" si="13"/>
        <v>84000.439765705145</v>
      </c>
      <c r="R7" s="87">
        <f t="shared" si="13"/>
        <v>82620.950456850725</v>
      </c>
      <c r="S7" s="87">
        <f t="shared" si="13"/>
        <v>82588.059923979541</v>
      </c>
      <c r="T7" s="87">
        <f t="shared" si="13"/>
        <v>81090.547606118766</v>
      </c>
      <c r="U7" s="87">
        <f t="shared" si="13"/>
        <v>79076.445199527923</v>
      </c>
      <c r="V7" s="87">
        <f t="shared" si="13"/>
        <v>64998.918991144536</v>
      </c>
      <c r="W7" s="87">
        <f t="shared" ref="W7" si="14">IF(W34=0,0,W34*W144)</f>
        <v>70315.109846022722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4427.2261379989723</v>
      </c>
      <c r="C8" s="87">
        <f t="shared" si="15"/>
        <v>4257.2565948797055</v>
      </c>
      <c r="D8" s="87">
        <f t="shared" si="15"/>
        <v>4251.5993888323574</v>
      </c>
      <c r="E8" s="87">
        <f t="shared" si="15"/>
        <v>4496.4378009765787</v>
      </c>
      <c r="F8" s="87">
        <f t="shared" si="15"/>
        <v>4033.330772862013</v>
      </c>
      <c r="G8" s="87">
        <f t="shared" si="15"/>
        <v>4130.0931297047937</v>
      </c>
      <c r="H8" s="87">
        <f t="shared" si="15"/>
        <v>4612.306265562147</v>
      </c>
      <c r="I8" s="87">
        <f t="shared" si="15"/>
        <v>4869.0236789733608</v>
      </c>
      <c r="J8" s="87">
        <f t="shared" si="15"/>
        <v>4721.9036074907344</v>
      </c>
      <c r="K8" s="87">
        <f t="shared" si="15"/>
        <v>5363.7476349249482</v>
      </c>
      <c r="L8" s="87">
        <f t="shared" ref="L8" si="16">IF(L35=0,0,L35*L145)</f>
        <v>5016.2937209376832</v>
      </c>
      <c r="M8" s="87">
        <f t="shared" ref="M8:V8" si="17">IF(M35=0,0,M35*M145)</f>
        <v>4751.3633315034385</v>
      </c>
      <c r="N8" s="87">
        <f t="shared" si="17"/>
        <v>4786.1564537880768</v>
      </c>
      <c r="O8" s="87">
        <f t="shared" si="17"/>
        <v>4418.9076971792092</v>
      </c>
      <c r="P8" s="87">
        <f t="shared" si="17"/>
        <v>7151.5775171574351</v>
      </c>
      <c r="Q8" s="87">
        <f t="shared" si="17"/>
        <v>6684.6965450169946</v>
      </c>
      <c r="R8" s="87">
        <f t="shared" si="17"/>
        <v>8823.6679340835981</v>
      </c>
      <c r="S8" s="87">
        <f t="shared" si="17"/>
        <v>11167.171260229909</v>
      </c>
      <c r="T8" s="87">
        <f t="shared" si="17"/>
        <v>14505.062217886794</v>
      </c>
      <c r="U8" s="87">
        <f t="shared" si="17"/>
        <v>18326.138595703087</v>
      </c>
      <c r="V8" s="87">
        <f t="shared" si="17"/>
        <v>19931.256601761677</v>
      </c>
      <c r="W8" s="87">
        <f t="shared" ref="W8" si="18">IF(W35=0,0,W35*W145)</f>
        <v>20912.048009860926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350.13450615044439</v>
      </c>
      <c r="C9" s="87">
        <f t="shared" si="19"/>
        <v>338.53412314876465</v>
      </c>
      <c r="D9" s="87">
        <f t="shared" si="19"/>
        <v>307.66600885098768</v>
      </c>
      <c r="E9" s="87">
        <f t="shared" si="19"/>
        <v>270.17972998755772</v>
      </c>
      <c r="F9" s="87">
        <f t="shared" si="19"/>
        <v>244.59315582773579</v>
      </c>
      <c r="G9" s="87">
        <f t="shared" si="19"/>
        <v>241.8900199162359</v>
      </c>
      <c r="H9" s="87">
        <f t="shared" si="19"/>
        <v>244.16001939476735</v>
      </c>
      <c r="I9" s="87">
        <f t="shared" si="19"/>
        <v>270.78338164295536</v>
      </c>
      <c r="J9" s="87">
        <f t="shared" si="19"/>
        <v>273.78433706016222</v>
      </c>
      <c r="K9" s="87">
        <f t="shared" si="19"/>
        <v>399.45280118812121</v>
      </c>
      <c r="L9" s="87">
        <f t="shared" ref="L9" si="20">IF(L36=0,0,L36*L146)</f>
        <v>1010.927462513167</v>
      </c>
      <c r="M9" s="87">
        <f t="shared" ref="M9:V9" si="21">IF(M36=0,0,M36*M146)</f>
        <v>2778.7800309568074</v>
      </c>
      <c r="N9" s="87">
        <f t="shared" si="21"/>
        <v>2245.7602828283516</v>
      </c>
      <c r="O9" s="87">
        <f t="shared" si="21"/>
        <v>5744.2866371363853</v>
      </c>
      <c r="P9" s="87">
        <f t="shared" si="21"/>
        <v>6388.0674293989023</v>
      </c>
      <c r="Q9" s="87">
        <f t="shared" si="21"/>
        <v>7490.5943380576209</v>
      </c>
      <c r="R9" s="87">
        <f t="shared" si="21"/>
        <v>8372.8744940199504</v>
      </c>
      <c r="S9" s="87">
        <f t="shared" si="21"/>
        <v>8016.7505128744588</v>
      </c>
      <c r="T9" s="87">
        <f t="shared" si="21"/>
        <v>7688.0526074572599</v>
      </c>
      <c r="U9" s="87">
        <f t="shared" si="21"/>
        <v>7772.2731455967505</v>
      </c>
      <c r="V9" s="87">
        <f t="shared" si="21"/>
        <v>5921.8807027498051</v>
      </c>
      <c r="W9" s="87">
        <f t="shared" ref="W9" si="22">IF(W36=0,0,W36*W146)</f>
        <v>6039.3548074669498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19.520567667664235</v>
      </c>
      <c r="D10" s="87">
        <f t="shared" si="23"/>
        <v>31.248291408023292</v>
      </c>
      <c r="E10" s="87">
        <f t="shared" si="23"/>
        <v>34.027908223336432</v>
      </c>
      <c r="F10" s="87">
        <f t="shared" si="23"/>
        <v>33.423417248685766</v>
      </c>
      <c r="G10" s="87">
        <f t="shared" si="23"/>
        <v>36.719831339679409</v>
      </c>
      <c r="H10" s="87">
        <f t="shared" si="23"/>
        <v>38.444493304309908</v>
      </c>
      <c r="I10" s="87">
        <f t="shared" si="23"/>
        <v>43.48008037453846</v>
      </c>
      <c r="J10" s="87">
        <f t="shared" si="23"/>
        <v>42.543002415344517</v>
      </c>
      <c r="K10" s="87">
        <f t="shared" si="23"/>
        <v>56.040442955987842</v>
      </c>
      <c r="L10" s="87">
        <f t="shared" ref="L10" si="24">IF(L37=0,0,L37*L147)</f>
        <v>64.391831921348682</v>
      </c>
      <c r="M10" s="87">
        <f t="shared" ref="M10:V10" si="25">IF(M37=0,0,M37*M147)</f>
        <v>73.175519760536844</v>
      </c>
      <c r="N10" s="87">
        <f t="shared" si="25"/>
        <v>82.990210020217191</v>
      </c>
      <c r="O10" s="87">
        <f t="shared" si="25"/>
        <v>82.498096888054022</v>
      </c>
      <c r="P10" s="87">
        <f t="shared" si="25"/>
        <v>85.22288952630926</v>
      </c>
      <c r="Q10" s="87">
        <f t="shared" si="25"/>
        <v>96.936765531694192</v>
      </c>
      <c r="R10" s="87">
        <f t="shared" si="25"/>
        <v>100.16804724490443</v>
      </c>
      <c r="S10" s="87">
        <f t="shared" si="25"/>
        <v>96.874476304916953</v>
      </c>
      <c r="T10" s="87">
        <f t="shared" si="25"/>
        <v>98.351667971409682</v>
      </c>
      <c r="U10" s="87">
        <f t="shared" si="25"/>
        <v>107.20966792294207</v>
      </c>
      <c r="V10" s="87">
        <f t="shared" si="25"/>
        <v>132.95497177759063</v>
      </c>
      <c r="W10" s="87">
        <f t="shared" ref="W10" si="26">IF(W37=0,0,W37*W147)</f>
        <v>160.21279875977601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1.9494819754035636E-2</v>
      </c>
      <c r="O11" s="87">
        <f t="shared" si="29"/>
        <v>2.1037203923594303E-2</v>
      </c>
      <c r="P11" s="87">
        <f t="shared" si="29"/>
        <v>0.45028649217760114</v>
      </c>
      <c r="Q11" s="87">
        <f t="shared" si="29"/>
        <v>0.86600198500474856</v>
      </c>
      <c r="R11" s="87">
        <f t="shared" si="29"/>
        <v>1.6756075844140581</v>
      </c>
      <c r="S11" s="87">
        <f t="shared" si="29"/>
        <v>4.3032232487794397</v>
      </c>
      <c r="T11" s="87">
        <f t="shared" si="29"/>
        <v>7.6573004971562177</v>
      </c>
      <c r="U11" s="87">
        <f t="shared" si="29"/>
        <v>11.865533682694203</v>
      </c>
      <c r="V11" s="87">
        <f t="shared" si="29"/>
        <v>38.153247610255406</v>
      </c>
      <c r="W11" s="87">
        <f t="shared" ref="W11" si="30">IF(W38=0,0,W38*W148)</f>
        <v>135.69449015544231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</v>
      </c>
      <c r="L12" s="87">
        <f t="shared" ref="L12" si="32">IF(L39=0,0,L39*L149)</f>
        <v>0</v>
      </c>
      <c r="M12" s="87">
        <f t="shared" ref="M12:V12" si="33">IF(M39=0,0,M39*M149)</f>
        <v>0</v>
      </c>
      <c r="N12" s="87">
        <f t="shared" si="33"/>
        <v>2.4550957688259829E-2</v>
      </c>
      <c r="O12" s="87">
        <f t="shared" si="33"/>
        <v>7.6861558197837812E-2</v>
      </c>
      <c r="P12" s="87">
        <f t="shared" si="33"/>
        <v>1.1806420244308247</v>
      </c>
      <c r="Q12" s="87">
        <f t="shared" si="33"/>
        <v>2.2510992819669919</v>
      </c>
      <c r="R12" s="87">
        <f t="shared" si="33"/>
        <v>3.0264316082883145</v>
      </c>
      <c r="S12" s="87">
        <f t="shared" si="33"/>
        <v>3.9281062853638566</v>
      </c>
      <c r="T12" s="87">
        <f t="shared" si="33"/>
        <v>5.6831726133183622</v>
      </c>
      <c r="U12" s="87">
        <f t="shared" si="33"/>
        <v>11.232704002846122</v>
      </c>
      <c r="V12" s="87">
        <f t="shared" si="33"/>
        <v>23.787416075757392</v>
      </c>
      <c r="W12" s="87">
        <f t="shared" ref="W12" si="34">IF(W39=0,0,W39*W149)</f>
        <v>83.722145224036495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21700</v>
      </c>
      <c r="C13" s="116">
        <f t="shared" si="35"/>
        <v>21800</v>
      </c>
      <c r="D13" s="116">
        <f t="shared" si="35"/>
        <v>22000</v>
      </c>
      <c r="E13" s="116">
        <f t="shared" si="35"/>
        <v>21950</v>
      </c>
      <c r="F13" s="116">
        <f t="shared" si="35"/>
        <v>21600</v>
      </c>
      <c r="G13" s="116">
        <f t="shared" si="35"/>
        <v>21700</v>
      </c>
      <c r="H13" s="116">
        <f t="shared" si="35"/>
        <v>21800</v>
      </c>
      <c r="I13" s="116">
        <f t="shared" si="35"/>
        <v>22000</v>
      </c>
      <c r="J13" s="116">
        <f t="shared" si="35"/>
        <v>22100</v>
      </c>
      <c r="K13" s="116">
        <f t="shared" si="35"/>
        <v>20919.04300780045</v>
      </c>
      <c r="L13" s="116">
        <f t="shared" ref="L13" si="36">SUM(L14:L18)</f>
        <v>21100</v>
      </c>
      <c r="M13" s="116">
        <f t="shared" ref="M13:V13" si="37">SUM(M14:M18)</f>
        <v>21161.722909489494</v>
      </c>
      <c r="N13" s="116">
        <f t="shared" si="37"/>
        <v>21096.100453974148</v>
      </c>
      <c r="O13" s="116">
        <f t="shared" si="37"/>
        <v>21028.128543117837</v>
      </c>
      <c r="P13" s="116">
        <f t="shared" si="37"/>
        <v>21006.120944621784</v>
      </c>
      <c r="Q13" s="116">
        <f t="shared" si="37"/>
        <v>21148.271968974477</v>
      </c>
      <c r="R13" s="116">
        <f t="shared" si="37"/>
        <v>20902.716638696274</v>
      </c>
      <c r="S13" s="116">
        <f t="shared" si="37"/>
        <v>20464.949412482678</v>
      </c>
      <c r="T13" s="116">
        <f t="shared" si="37"/>
        <v>20548.762808713404</v>
      </c>
      <c r="U13" s="116">
        <f t="shared" si="37"/>
        <v>20335.513764871921</v>
      </c>
      <c r="V13" s="116">
        <f t="shared" si="37"/>
        <v>13312.846106046331</v>
      </c>
      <c r="W13" s="116">
        <f t="shared" ref="W13" si="38">SUM(W14:W18)</f>
        <v>13769.302919511483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0</v>
      </c>
      <c r="C14" s="101">
        <f t="shared" si="39"/>
        <v>0</v>
      </c>
      <c r="D14" s="101">
        <f t="shared" si="39"/>
        <v>0</v>
      </c>
      <c r="E14" s="101">
        <f t="shared" si="39"/>
        <v>0</v>
      </c>
      <c r="F14" s="101">
        <f t="shared" si="39"/>
        <v>0</v>
      </c>
      <c r="G14" s="101">
        <f t="shared" si="39"/>
        <v>0</v>
      </c>
      <c r="H14" s="101">
        <f t="shared" si="39"/>
        <v>0</v>
      </c>
      <c r="I14" s="101">
        <f t="shared" si="39"/>
        <v>0</v>
      </c>
      <c r="J14" s="101">
        <f t="shared" si="39"/>
        <v>0</v>
      </c>
      <c r="K14" s="101">
        <f t="shared" si="39"/>
        <v>0</v>
      </c>
      <c r="L14" s="101">
        <f t="shared" ref="L14" si="40">IF(L41=0,0,L41*L151)</f>
        <v>0</v>
      </c>
      <c r="M14" s="101">
        <f t="shared" ref="M14:V14" si="41">IF(M41=0,0,M41*M151)</f>
        <v>0</v>
      </c>
      <c r="N14" s="101">
        <f t="shared" si="41"/>
        <v>0</v>
      </c>
      <c r="O14" s="101">
        <f t="shared" si="41"/>
        <v>0</v>
      </c>
      <c r="P14" s="101">
        <f t="shared" si="41"/>
        <v>0</v>
      </c>
      <c r="Q14" s="101">
        <f t="shared" si="41"/>
        <v>0</v>
      </c>
      <c r="R14" s="101">
        <f t="shared" si="41"/>
        <v>0</v>
      </c>
      <c r="S14" s="101">
        <f t="shared" si="41"/>
        <v>0</v>
      </c>
      <c r="T14" s="101">
        <f t="shared" si="41"/>
        <v>0</v>
      </c>
      <c r="U14" s="101">
        <f t="shared" si="41"/>
        <v>0</v>
      </c>
      <c r="V14" s="101">
        <f t="shared" si="41"/>
        <v>0</v>
      </c>
      <c r="W14" s="101">
        <f t="shared" ref="W14" si="42">IF(W41=0,0,W41*W151)</f>
        <v>0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21700</v>
      </c>
      <c r="C15" s="101">
        <f t="shared" si="43"/>
        <v>21471.239747479551</v>
      </c>
      <c r="D15" s="101">
        <f t="shared" si="43"/>
        <v>21494.763944689843</v>
      </c>
      <c r="E15" s="101">
        <f t="shared" si="43"/>
        <v>21397.848915300379</v>
      </c>
      <c r="F15" s="101">
        <f t="shared" si="43"/>
        <v>21054.883118705031</v>
      </c>
      <c r="G15" s="101">
        <f t="shared" si="43"/>
        <v>21119.74556733439</v>
      </c>
      <c r="H15" s="101">
        <f t="shared" si="43"/>
        <v>21199.286522835344</v>
      </c>
      <c r="I15" s="101">
        <f t="shared" si="43"/>
        <v>21296.365487192215</v>
      </c>
      <c r="J15" s="101">
        <f t="shared" si="43"/>
        <v>21362.939731198352</v>
      </c>
      <c r="K15" s="101">
        <f t="shared" si="43"/>
        <v>20249.112779586278</v>
      </c>
      <c r="L15" s="101">
        <f t="shared" ref="L15" si="44">IF(L42=0,0,L42*L152)</f>
        <v>20451.245804839124</v>
      </c>
      <c r="M15" s="101">
        <f t="shared" ref="M15:V15" si="45">IF(M42=0,0,M42*M152)</f>
        <v>20527.692575015826</v>
      </c>
      <c r="N15" s="101">
        <f t="shared" si="45"/>
        <v>20464.548460473212</v>
      </c>
      <c r="O15" s="101">
        <f t="shared" si="45"/>
        <v>20432.73704243363</v>
      </c>
      <c r="P15" s="101">
        <f t="shared" si="45"/>
        <v>20398.590580189928</v>
      </c>
      <c r="Q15" s="101">
        <f t="shared" si="45"/>
        <v>20494.160052876807</v>
      </c>
      <c r="R15" s="101">
        <f t="shared" si="45"/>
        <v>20238.768918674923</v>
      </c>
      <c r="S15" s="101">
        <f t="shared" si="45"/>
        <v>19865.118765021154</v>
      </c>
      <c r="T15" s="101">
        <f t="shared" si="45"/>
        <v>19842.208813325069</v>
      </c>
      <c r="U15" s="101">
        <f t="shared" si="45"/>
        <v>19562.798287705624</v>
      </c>
      <c r="V15" s="101">
        <f t="shared" si="45"/>
        <v>12747.285604651857</v>
      </c>
      <c r="W15" s="101">
        <f t="shared" ref="W15" si="46">IF(W42=0,0,W42*W152)</f>
        <v>13115.551858315348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</v>
      </c>
      <c r="U16" s="101">
        <f t="shared" si="49"/>
        <v>0</v>
      </c>
      <c r="V16" s="101">
        <f t="shared" si="49"/>
        <v>0</v>
      </c>
      <c r="W16" s="101">
        <f t="shared" ref="W16" si="50">IF(W43=0,0,W43*W153)</f>
        <v>0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328.76025252044928</v>
      </c>
      <c r="D17" s="101">
        <f t="shared" si="51"/>
        <v>505.23605531015835</v>
      </c>
      <c r="E17" s="101">
        <f t="shared" si="51"/>
        <v>552.15108469962092</v>
      </c>
      <c r="F17" s="101">
        <f t="shared" si="51"/>
        <v>545.11688129496986</v>
      </c>
      <c r="G17" s="101">
        <f t="shared" si="51"/>
        <v>580.25443266560944</v>
      </c>
      <c r="H17" s="101">
        <f t="shared" si="51"/>
        <v>600.71347716465687</v>
      </c>
      <c r="I17" s="101">
        <f t="shared" si="51"/>
        <v>703.634512807786</v>
      </c>
      <c r="J17" s="101">
        <f t="shared" si="51"/>
        <v>737.06026880164802</v>
      </c>
      <c r="K17" s="101">
        <f t="shared" si="51"/>
        <v>669.93022821417435</v>
      </c>
      <c r="L17" s="101">
        <f t="shared" ref="L17" si="52">IF(L44=0,0,L44*L154)</f>
        <v>648.75419516087652</v>
      </c>
      <c r="M17" s="101">
        <f t="shared" ref="M17:V17" si="53">IF(M44=0,0,M44*M154)</f>
        <v>634.03033447366829</v>
      </c>
      <c r="N17" s="101">
        <f t="shared" si="53"/>
        <v>631.55199350093642</v>
      </c>
      <c r="O17" s="101">
        <f t="shared" si="53"/>
        <v>595.39150068420815</v>
      </c>
      <c r="P17" s="101">
        <f t="shared" si="53"/>
        <v>607.53036443185522</v>
      </c>
      <c r="Q17" s="101">
        <f t="shared" si="53"/>
        <v>654.11191609767195</v>
      </c>
      <c r="R17" s="101">
        <f t="shared" si="53"/>
        <v>663.94772002135016</v>
      </c>
      <c r="S17" s="101">
        <f t="shared" si="53"/>
        <v>599.83064746152434</v>
      </c>
      <c r="T17" s="101">
        <f t="shared" si="53"/>
        <v>706.55399538833524</v>
      </c>
      <c r="U17" s="101">
        <f t="shared" si="53"/>
        <v>771.51335760517406</v>
      </c>
      <c r="V17" s="101">
        <f t="shared" si="53"/>
        <v>564.77400656579334</v>
      </c>
      <c r="W17" s="101">
        <f t="shared" ref="W17" si="54">IF(W44=0,0,W44*W154)</f>
        <v>652.93423732004544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</v>
      </c>
      <c r="K18" s="101">
        <f t="shared" si="55"/>
        <v>0</v>
      </c>
      <c r="L18" s="101">
        <f t="shared" ref="L18" si="56">IF(L45=0,0,L45*L155)</f>
        <v>0</v>
      </c>
      <c r="M18" s="101">
        <f t="shared" ref="M18:V18" si="57">IF(M45=0,0,M45*M155)</f>
        <v>0</v>
      </c>
      <c r="N18" s="101">
        <f t="shared" si="57"/>
        <v>0</v>
      </c>
      <c r="O18" s="101">
        <f t="shared" si="57"/>
        <v>0</v>
      </c>
      <c r="P18" s="101">
        <f t="shared" si="57"/>
        <v>0</v>
      </c>
      <c r="Q18" s="101">
        <f t="shared" si="57"/>
        <v>0</v>
      </c>
      <c r="R18" s="101">
        <f t="shared" si="57"/>
        <v>0</v>
      </c>
      <c r="S18" s="101">
        <f t="shared" si="57"/>
        <v>0</v>
      </c>
      <c r="T18" s="101">
        <f t="shared" si="57"/>
        <v>0</v>
      </c>
      <c r="U18" s="101">
        <f t="shared" si="57"/>
        <v>1.2021195611216231</v>
      </c>
      <c r="V18" s="101">
        <f t="shared" si="57"/>
        <v>0.78649482868108167</v>
      </c>
      <c r="W18" s="101">
        <f t="shared" ref="W18" si="58">IF(W45=0,0,W45*W155)</f>
        <v>0.81682387608939455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25980.033103545898</v>
      </c>
      <c r="C19" s="29">
        <f t="shared" si="59"/>
        <v>26665.249220601938</v>
      </c>
      <c r="D19" s="29">
        <f t="shared" si="59"/>
        <v>27360.150448473341</v>
      </c>
      <c r="E19" s="29">
        <f t="shared" si="59"/>
        <v>18787.847796381404</v>
      </c>
      <c r="F19" s="29">
        <f t="shared" si="59"/>
        <v>35600.570093889743</v>
      </c>
      <c r="G19" s="29">
        <f t="shared" si="59"/>
        <v>23589.424736984452</v>
      </c>
      <c r="H19" s="29">
        <f t="shared" si="59"/>
        <v>30749.178381915335</v>
      </c>
      <c r="I19" s="29">
        <f t="shared" si="59"/>
        <v>26102.110661258917</v>
      </c>
      <c r="J19" s="29">
        <f t="shared" si="59"/>
        <v>28413.754007327734</v>
      </c>
      <c r="K19" s="29">
        <f t="shared" si="59"/>
        <v>28063.892528767192</v>
      </c>
      <c r="L19" s="29">
        <f t="shared" ref="L19" si="60">L20+L26</f>
        <v>29731.98565867998</v>
      </c>
      <c r="M19" s="29">
        <f t="shared" ref="M19:V19" si="61">M20+M26</f>
        <v>20589.042813228403</v>
      </c>
      <c r="N19" s="29">
        <f t="shared" si="61"/>
        <v>20204.00586452584</v>
      </c>
      <c r="O19" s="29">
        <f t="shared" si="61"/>
        <v>17047.582168411776</v>
      </c>
      <c r="P19" s="29">
        <f t="shared" si="61"/>
        <v>19401.555743017529</v>
      </c>
      <c r="Q19" s="29">
        <f t="shared" si="61"/>
        <v>19953.040596018338</v>
      </c>
      <c r="R19" s="29">
        <f t="shared" si="61"/>
        <v>21830.085276806149</v>
      </c>
      <c r="S19" s="29">
        <f t="shared" si="61"/>
        <v>21897.564168721383</v>
      </c>
      <c r="T19" s="29">
        <f t="shared" si="61"/>
        <v>21500.465764557975</v>
      </c>
      <c r="U19" s="29">
        <f t="shared" si="61"/>
        <v>21110.28763820128</v>
      </c>
      <c r="V19" s="29">
        <f t="shared" si="61"/>
        <v>18663.407882900974</v>
      </c>
      <c r="W19" s="29">
        <f t="shared" ref="W19" si="62">W20+W26</f>
        <v>21706.015798613538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1312.1663412330745</v>
      </c>
      <c r="C20" s="152">
        <f t="shared" si="63"/>
        <v>1378.897061869498</v>
      </c>
      <c r="D20" s="152">
        <f t="shared" si="63"/>
        <v>1468.7122404917318</v>
      </c>
      <c r="E20" s="152">
        <f t="shared" si="63"/>
        <v>1591.2658083409483</v>
      </c>
      <c r="F20" s="152">
        <f t="shared" si="63"/>
        <v>1624.6819806162507</v>
      </c>
      <c r="G20" s="152">
        <f t="shared" si="63"/>
        <v>1672.8258816729697</v>
      </c>
      <c r="H20" s="152">
        <f t="shared" si="63"/>
        <v>1778.2382669931735</v>
      </c>
      <c r="I20" s="152">
        <f t="shared" si="63"/>
        <v>1958.9204863213949</v>
      </c>
      <c r="J20" s="152">
        <f t="shared" si="63"/>
        <v>1968.5934717812288</v>
      </c>
      <c r="K20" s="152">
        <f t="shared" si="63"/>
        <v>1988.2450152949655</v>
      </c>
      <c r="L20" s="152">
        <f t="shared" ref="L20" si="64">SUM(L21:L25)</f>
        <v>2086.4409968351206</v>
      </c>
      <c r="M20" s="152">
        <f t="shared" ref="M20:V20" si="65">SUM(M21:M25)</f>
        <v>1854.1960829526467</v>
      </c>
      <c r="N20" s="152">
        <f t="shared" si="65"/>
        <v>1574.2593815858384</v>
      </c>
      <c r="O20" s="152">
        <f t="shared" si="65"/>
        <v>1859.8833758023934</v>
      </c>
      <c r="P20" s="152">
        <f t="shared" si="65"/>
        <v>1871.2760833429832</v>
      </c>
      <c r="Q20" s="152">
        <f t="shared" si="65"/>
        <v>2300.3175131766939</v>
      </c>
      <c r="R20" s="152">
        <f t="shared" si="65"/>
        <v>2488.1968882790325</v>
      </c>
      <c r="S20" s="152">
        <f t="shared" si="65"/>
        <v>2180.5342062630707</v>
      </c>
      <c r="T20" s="152">
        <f t="shared" si="65"/>
        <v>2121.4657645579764</v>
      </c>
      <c r="U20" s="152">
        <f t="shared" si="65"/>
        <v>2133.2876382012805</v>
      </c>
      <c r="V20" s="152">
        <f t="shared" si="65"/>
        <v>1880.4078829009752</v>
      </c>
      <c r="W20" s="152">
        <f t="shared" ref="W20" si="66">SUM(W21:W25)</f>
        <v>2009.0157986135364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951.97349535278931</v>
      </c>
      <c r="C21" s="87">
        <f t="shared" si="67"/>
        <v>952.69999392718535</v>
      </c>
      <c r="D21" s="87">
        <f t="shared" si="67"/>
        <v>981.78371010202397</v>
      </c>
      <c r="E21" s="87">
        <f t="shared" si="67"/>
        <v>989.850278696857</v>
      </c>
      <c r="F21" s="87">
        <f t="shared" si="67"/>
        <v>958.16447741168588</v>
      </c>
      <c r="G21" s="87">
        <f t="shared" si="67"/>
        <v>951.70707782360023</v>
      </c>
      <c r="H21" s="87">
        <f t="shared" si="67"/>
        <v>916.85584933611426</v>
      </c>
      <c r="I21" s="87">
        <f t="shared" si="67"/>
        <v>964.80997849713765</v>
      </c>
      <c r="J21" s="87">
        <f t="shared" si="67"/>
        <v>974.37588655050592</v>
      </c>
      <c r="K21" s="87">
        <f t="shared" si="67"/>
        <v>836.78817834155029</v>
      </c>
      <c r="L21" s="87">
        <f t="shared" ref="L21" si="68">IF(L48=0,0,L48*L158)</f>
        <v>793.91918913089592</v>
      </c>
      <c r="M21" s="87">
        <f t="shared" ref="M21:V21" si="69">IF(M48=0,0,M48*M158)</f>
        <v>672.54186221539794</v>
      </c>
      <c r="N21" s="87">
        <f t="shared" si="69"/>
        <v>556.95095531543609</v>
      </c>
      <c r="O21" s="87">
        <f t="shared" si="69"/>
        <v>545.87333595854795</v>
      </c>
      <c r="P21" s="87">
        <f t="shared" si="69"/>
        <v>538.03266698224024</v>
      </c>
      <c r="Q21" s="87">
        <f t="shared" si="69"/>
        <v>556.4826069421382</v>
      </c>
      <c r="R21" s="87">
        <f t="shared" si="69"/>
        <v>582.30600095435557</v>
      </c>
      <c r="S21" s="87">
        <f t="shared" si="69"/>
        <v>545.7630861897585</v>
      </c>
      <c r="T21" s="87">
        <f t="shared" si="69"/>
        <v>595.69132025404997</v>
      </c>
      <c r="U21" s="87">
        <f t="shared" si="69"/>
        <v>612.42384987942353</v>
      </c>
      <c r="V21" s="87">
        <f t="shared" si="69"/>
        <v>569.28148181740789</v>
      </c>
      <c r="W21" s="87">
        <f t="shared" ref="W21" si="70">IF(W48=0,0,W48*W158)</f>
        <v>626.37829957792553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360.19284588028512</v>
      </c>
      <c r="C22" s="87">
        <f t="shared" si="71"/>
        <v>426.19706794231251</v>
      </c>
      <c r="D22" s="87">
        <f t="shared" si="71"/>
        <v>486.92853038970782</v>
      </c>
      <c r="E22" s="87">
        <f t="shared" si="71"/>
        <v>601.41552964409129</v>
      </c>
      <c r="F22" s="87">
        <f t="shared" si="71"/>
        <v>666.51750320456472</v>
      </c>
      <c r="G22" s="87">
        <f t="shared" si="71"/>
        <v>721.11880384936944</v>
      </c>
      <c r="H22" s="87">
        <f t="shared" si="71"/>
        <v>861.38241765705914</v>
      </c>
      <c r="I22" s="87">
        <f t="shared" si="71"/>
        <v>994.11050782425718</v>
      </c>
      <c r="J22" s="87">
        <f t="shared" si="71"/>
        <v>994.21758523072276</v>
      </c>
      <c r="K22" s="87">
        <f t="shared" si="71"/>
        <v>1151.4568369534152</v>
      </c>
      <c r="L22" s="87">
        <f t="shared" ref="L22" si="72">IF(L49=0,0,L49*L159)</f>
        <v>1292.5218077042246</v>
      </c>
      <c r="M22" s="87">
        <f t="shared" ref="M22:V22" si="73">IF(M49=0,0,M49*M159)</f>
        <v>1181.6542207372488</v>
      </c>
      <c r="N22" s="87">
        <f t="shared" si="73"/>
        <v>1017.3084262704023</v>
      </c>
      <c r="O22" s="87">
        <f t="shared" si="73"/>
        <v>1314.0100398438453</v>
      </c>
      <c r="P22" s="87">
        <f t="shared" si="73"/>
        <v>1333.2434163607429</v>
      </c>
      <c r="Q22" s="87">
        <f t="shared" si="73"/>
        <v>1743.8349062345558</v>
      </c>
      <c r="R22" s="87">
        <f t="shared" si="73"/>
        <v>1905.8908873246767</v>
      </c>
      <c r="S22" s="87">
        <f t="shared" si="73"/>
        <v>1634.7711200733124</v>
      </c>
      <c r="T22" s="87">
        <f t="shared" si="73"/>
        <v>1525.7744443039267</v>
      </c>
      <c r="U22" s="87">
        <f t="shared" si="73"/>
        <v>1520.8637883218569</v>
      </c>
      <c r="V22" s="87">
        <f t="shared" si="73"/>
        <v>1311.1264010835673</v>
      </c>
      <c r="W22" s="87">
        <f t="shared" ref="W22" si="74">IF(W49=0,0,W49*W159)</f>
        <v>1382.6374990356107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0</v>
      </c>
      <c r="O23" s="87">
        <f t="shared" si="77"/>
        <v>0</v>
      </c>
      <c r="P23" s="87">
        <f t="shared" si="77"/>
        <v>0</v>
      </c>
      <c r="Q23" s="87">
        <f t="shared" si="77"/>
        <v>0</v>
      </c>
      <c r="R23" s="87">
        <f t="shared" si="77"/>
        <v>0</v>
      </c>
      <c r="S23" s="87">
        <f t="shared" si="77"/>
        <v>0</v>
      </c>
      <c r="T23" s="87">
        <f t="shared" si="77"/>
        <v>0</v>
      </c>
      <c r="U23" s="87">
        <f t="shared" si="77"/>
        <v>0</v>
      </c>
      <c r="V23" s="87">
        <f t="shared" si="77"/>
        <v>0</v>
      </c>
      <c r="W23" s="87">
        <f t="shared" ref="W23" si="78">IF(W50=0,0,W50*W160)</f>
        <v>0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0</v>
      </c>
      <c r="P24" s="87">
        <f t="shared" si="81"/>
        <v>0</v>
      </c>
      <c r="Q24" s="87">
        <f t="shared" si="81"/>
        <v>0</v>
      </c>
      <c r="R24" s="87">
        <f t="shared" si="81"/>
        <v>0</v>
      </c>
      <c r="S24" s="87">
        <f t="shared" si="81"/>
        <v>0</v>
      </c>
      <c r="T24" s="87">
        <f t="shared" si="81"/>
        <v>0</v>
      </c>
      <c r="U24" s="87">
        <f t="shared" si="81"/>
        <v>0</v>
      </c>
      <c r="V24" s="87">
        <f t="shared" si="81"/>
        <v>0</v>
      </c>
      <c r="W24" s="87">
        <f t="shared" ref="W24" si="82">IF(W51=0,0,W51*W161)</f>
        <v>0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0</v>
      </c>
      <c r="N25" s="87">
        <f t="shared" si="85"/>
        <v>0</v>
      </c>
      <c r="O25" s="87">
        <f t="shared" si="85"/>
        <v>0</v>
      </c>
      <c r="P25" s="87">
        <f t="shared" si="85"/>
        <v>0</v>
      </c>
      <c r="Q25" s="87">
        <f t="shared" si="85"/>
        <v>0</v>
      </c>
      <c r="R25" s="87">
        <f t="shared" si="85"/>
        <v>0</v>
      </c>
      <c r="S25" s="87">
        <f t="shared" si="85"/>
        <v>0</v>
      </c>
      <c r="T25" s="87">
        <f t="shared" si="85"/>
        <v>0</v>
      </c>
      <c r="U25" s="87">
        <f t="shared" si="85"/>
        <v>0</v>
      </c>
      <c r="V25" s="87">
        <f t="shared" si="85"/>
        <v>0</v>
      </c>
      <c r="W25" s="87">
        <f t="shared" ref="W25" si="86">IF(W52=0,0,W52*W162)</f>
        <v>0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24667.866762312824</v>
      </c>
      <c r="C26" s="116">
        <f t="shared" si="87"/>
        <v>25286.352158732439</v>
      </c>
      <c r="D26" s="116">
        <f t="shared" si="87"/>
        <v>25891.43820798161</v>
      </c>
      <c r="E26" s="116">
        <f t="shared" si="87"/>
        <v>17196.581988040456</v>
      </c>
      <c r="F26" s="116">
        <f t="shared" si="87"/>
        <v>33975.88811327349</v>
      </c>
      <c r="G26" s="116">
        <f t="shared" si="87"/>
        <v>21916.598855311484</v>
      </c>
      <c r="H26" s="116">
        <f t="shared" si="87"/>
        <v>28970.940114922163</v>
      </c>
      <c r="I26" s="116">
        <f t="shared" si="87"/>
        <v>24143.190174937521</v>
      </c>
      <c r="J26" s="116">
        <f t="shared" si="87"/>
        <v>26445.160535546504</v>
      </c>
      <c r="K26" s="116">
        <f t="shared" si="87"/>
        <v>26075.647513472228</v>
      </c>
      <c r="L26" s="116">
        <f t="shared" ref="L26" si="88">SUM(L27:L28)</f>
        <v>27645.544661844859</v>
      </c>
      <c r="M26" s="116">
        <f t="shared" ref="M26:V26" si="89">SUM(M27:M28)</f>
        <v>18734.846730275756</v>
      </c>
      <c r="N26" s="116">
        <f t="shared" si="89"/>
        <v>18629.746482940001</v>
      </c>
      <c r="O26" s="116">
        <f t="shared" si="89"/>
        <v>15187.698792609384</v>
      </c>
      <c r="P26" s="116">
        <f t="shared" si="89"/>
        <v>17530.279659674547</v>
      </c>
      <c r="Q26" s="116">
        <f t="shared" si="89"/>
        <v>17652.723082841643</v>
      </c>
      <c r="R26" s="116">
        <f t="shared" si="89"/>
        <v>19341.888388527117</v>
      </c>
      <c r="S26" s="116">
        <f t="shared" si="89"/>
        <v>19717.029962458313</v>
      </c>
      <c r="T26" s="116">
        <f t="shared" si="89"/>
        <v>19379</v>
      </c>
      <c r="U26" s="116">
        <f t="shared" si="89"/>
        <v>18977</v>
      </c>
      <c r="V26" s="116">
        <f t="shared" si="89"/>
        <v>16783</v>
      </c>
      <c r="W26" s="116">
        <f t="shared" ref="W26" si="90">SUM(W27:W28)</f>
        <v>19697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23000</v>
      </c>
      <c r="C27" s="101">
        <f t="shared" si="91"/>
        <v>23500</v>
      </c>
      <c r="D27" s="101">
        <f t="shared" si="91"/>
        <v>24000</v>
      </c>
      <c r="E27" s="101">
        <f t="shared" si="91"/>
        <v>15276</v>
      </c>
      <c r="F27" s="101">
        <f t="shared" si="91"/>
        <v>31745</v>
      </c>
      <c r="G27" s="101">
        <f t="shared" si="91"/>
        <v>19610</v>
      </c>
      <c r="H27" s="101">
        <f t="shared" si="91"/>
        <v>26137</v>
      </c>
      <c r="I27" s="101">
        <f t="shared" si="91"/>
        <v>21729</v>
      </c>
      <c r="J27" s="101">
        <f t="shared" si="91"/>
        <v>24346</v>
      </c>
      <c r="K27" s="101">
        <f t="shared" si="91"/>
        <v>24228</v>
      </c>
      <c r="L27" s="101">
        <f t="shared" ref="L27:V27" si="92">IF(L54=0,0,L54*L164)</f>
        <v>25255.999999999996</v>
      </c>
      <c r="M27" s="101">
        <f t="shared" si="92"/>
        <v>16809</v>
      </c>
      <c r="N27" s="101">
        <f t="shared" si="92"/>
        <v>16486</v>
      </c>
      <c r="O27" s="101">
        <f t="shared" si="92"/>
        <v>12719</v>
      </c>
      <c r="P27" s="101">
        <f t="shared" si="92"/>
        <v>15118.999999999998</v>
      </c>
      <c r="Q27" s="101">
        <f t="shared" si="92"/>
        <v>15023</v>
      </c>
      <c r="R27" s="101">
        <f t="shared" si="92"/>
        <v>16652</v>
      </c>
      <c r="S27" s="101">
        <f t="shared" si="92"/>
        <v>15471</v>
      </c>
      <c r="T27" s="101">
        <f t="shared" si="92"/>
        <v>15392</v>
      </c>
      <c r="U27" s="101">
        <f t="shared" si="92"/>
        <v>15285</v>
      </c>
      <c r="V27" s="101">
        <f t="shared" si="92"/>
        <v>12934</v>
      </c>
      <c r="W27" s="101">
        <f t="shared" ref="W27" si="93">IF(W54=0,0,W54*W164)</f>
        <v>16482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1667.866762312824</v>
      </c>
      <c r="C28" s="88">
        <f t="shared" si="94"/>
        <v>1786.3521587324394</v>
      </c>
      <c r="D28" s="88">
        <f t="shared" si="94"/>
        <v>1891.4382079816096</v>
      </c>
      <c r="E28" s="88">
        <f t="shared" si="94"/>
        <v>1920.5819880404561</v>
      </c>
      <c r="F28" s="88">
        <f t="shared" si="94"/>
        <v>2230.8881132734896</v>
      </c>
      <c r="G28" s="88">
        <f t="shared" si="94"/>
        <v>2306.5988553114839</v>
      </c>
      <c r="H28" s="88">
        <f t="shared" si="94"/>
        <v>2833.940114922163</v>
      </c>
      <c r="I28" s="88">
        <f t="shared" si="94"/>
        <v>2414.1901749375211</v>
      </c>
      <c r="J28" s="88">
        <f t="shared" si="94"/>
        <v>2099.1605355465035</v>
      </c>
      <c r="K28" s="88">
        <f t="shared" si="94"/>
        <v>1847.6475134722277</v>
      </c>
      <c r="L28" s="88">
        <f t="shared" ref="L28:V28" si="95">IF(L55=0,0,L55*L165)</f>
        <v>2389.5446618448623</v>
      </c>
      <c r="M28" s="88">
        <f t="shared" si="95"/>
        <v>1925.8467302757563</v>
      </c>
      <c r="N28" s="88">
        <f t="shared" si="95"/>
        <v>2143.7464829400014</v>
      </c>
      <c r="O28" s="88">
        <f t="shared" si="95"/>
        <v>2468.6987926093843</v>
      </c>
      <c r="P28" s="88">
        <f t="shared" si="95"/>
        <v>2411.2796596745466</v>
      </c>
      <c r="Q28" s="88">
        <f t="shared" si="95"/>
        <v>2629.7230828416432</v>
      </c>
      <c r="R28" s="88">
        <f t="shared" si="95"/>
        <v>2689.8883885271171</v>
      </c>
      <c r="S28" s="88">
        <f t="shared" si="95"/>
        <v>4246.0299624583131</v>
      </c>
      <c r="T28" s="88">
        <f t="shared" si="95"/>
        <v>3987</v>
      </c>
      <c r="U28" s="88">
        <f t="shared" si="95"/>
        <v>3692</v>
      </c>
      <c r="V28" s="88">
        <f t="shared" si="95"/>
        <v>3849</v>
      </c>
      <c r="W28" s="88">
        <f t="shared" ref="W28" si="96">IF(W55=0,0,W55*W165)</f>
        <v>3215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45566.958733882544</v>
      </c>
      <c r="C30" s="62">
        <f t="shared" ref="C30:V30" si="98">C31+C46</f>
        <v>48959.550502897735</v>
      </c>
      <c r="D30" s="62">
        <f t="shared" si="98"/>
        <v>52285.895282579739</v>
      </c>
      <c r="E30" s="62">
        <f t="shared" si="98"/>
        <v>54506.971730648671</v>
      </c>
      <c r="F30" s="62">
        <f t="shared" si="98"/>
        <v>58547.233916114506</v>
      </c>
      <c r="G30" s="62">
        <f t="shared" si="98"/>
        <v>61244.741034124272</v>
      </c>
      <c r="H30" s="62">
        <f t="shared" si="98"/>
        <v>64380.152559231181</v>
      </c>
      <c r="I30" s="62">
        <f t="shared" si="98"/>
        <v>67812.466353334254</v>
      </c>
      <c r="J30" s="62">
        <f t="shared" si="98"/>
        <v>70927.957935384256</v>
      </c>
      <c r="K30" s="62">
        <f t="shared" si="98"/>
        <v>71399.473841435989</v>
      </c>
      <c r="L30" s="62">
        <f t="shared" si="98"/>
        <v>71820.629360774823</v>
      </c>
      <c r="M30" s="62">
        <f t="shared" si="98"/>
        <v>66311.632473360602</v>
      </c>
      <c r="N30" s="62">
        <f t="shared" si="98"/>
        <v>58472.925817499636</v>
      </c>
      <c r="O30" s="62">
        <f t="shared" si="98"/>
        <v>57315.843122807579</v>
      </c>
      <c r="P30" s="62">
        <f t="shared" si="98"/>
        <v>57468.30546549955</v>
      </c>
      <c r="Q30" s="62">
        <f t="shared" si="98"/>
        <v>59034.905849296854</v>
      </c>
      <c r="R30" s="62">
        <f t="shared" si="98"/>
        <v>60733.120596198714</v>
      </c>
      <c r="S30" s="62">
        <f t="shared" si="98"/>
        <v>59855.089387035725</v>
      </c>
      <c r="T30" s="62">
        <f t="shared" si="98"/>
        <v>60132.629528780104</v>
      </c>
      <c r="U30" s="62">
        <f t="shared" si="98"/>
        <v>61509.194163291279</v>
      </c>
      <c r="V30" s="62">
        <f t="shared" si="98"/>
        <v>56464.8249964645</v>
      </c>
      <c r="W30" s="62">
        <f t="shared" ref="W30" si="99">W31+W46</f>
        <v>58708.884524476467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36663.158443071436</v>
      </c>
      <c r="C31" s="29">
        <f t="shared" ref="C31:V31" si="101">C32+C33+C40</f>
        <v>39786.560234932833</v>
      </c>
      <c r="D31" s="29">
        <f t="shared" si="101"/>
        <v>42665.197101490783</v>
      </c>
      <c r="E31" s="29">
        <f t="shared" si="101"/>
        <v>45413.141191768183</v>
      </c>
      <c r="F31" s="29">
        <f t="shared" si="101"/>
        <v>48106.778163696181</v>
      </c>
      <c r="G31" s="29">
        <f t="shared" si="101"/>
        <v>51334.636359473923</v>
      </c>
      <c r="H31" s="29">
        <f t="shared" si="101"/>
        <v>53809.309862239352</v>
      </c>
      <c r="I31" s="29">
        <f t="shared" si="101"/>
        <v>56572.845160607161</v>
      </c>
      <c r="J31" s="29">
        <f t="shared" si="101"/>
        <v>59442.007574566509</v>
      </c>
      <c r="K31" s="29">
        <f t="shared" si="101"/>
        <v>60234.345362368069</v>
      </c>
      <c r="L31" s="29">
        <f t="shared" si="101"/>
        <v>60361.18377711442</v>
      </c>
      <c r="M31" s="29">
        <f t="shared" si="101"/>
        <v>56864.891100641318</v>
      </c>
      <c r="N31" s="29">
        <f t="shared" si="101"/>
        <v>50383.658917886693</v>
      </c>
      <c r="O31" s="29">
        <f t="shared" si="101"/>
        <v>48389.631290026897</v>
      </c>
      <c r="P31" s="29">
        <f t="shared" si="101"/>
        <v>48258.353645945237</v>
      </c>
      <c r="Q31" s="29">
        <f t="shared" si="101"/>
        <v>48095.771268102784</v>
      </c>
      <c r="R31" s="29">
        <f t="shared" si="101"/>
        <v>49037.843199892282</v>
      </c>
      <c r="S31" s="29">
        <f t="shared" si="101"/>
        <v>49279.237050690928</v>
      </c>
      <c r="T31" s="29">
        <f t="shared" si="101"/>
        <v>49597.261473200364</v>
      </c>
      <c r="U31" s="29">
        <f t="shared" si="101"/>
        <v>50853.289388170284</v>
      </c>
      <c r="V31" s="29">
        <f t="shared" si="101"/>
        <v>47089.009257275771</v>
      </c>
      <c r="W31" s="29">
        <f t="shared" ref="W31" si="102">W32+W33+W40</f>
        <v>48296.044245963327</v>
      </c>
      <c r="DA31" s="173" t="s">
        <v>474</v>
      </c>
    </row>
    <row r="32" spans="1:105" ht="11.45" customHeight="1" x14ac:dyDescent="0.25">
      <c r="A32" s="136" t="s">
        <v>180</v>
      </c>
      <c r="B32" s="152">
        <v>3793.2759415889368</v>
      </c>
      <c r="C32" s="152">
        <v>4012.0493195870345</v>
      </c>
      <c r="D32" s="152">
        <v>4447.1910228687957</v>
      </c>
      <c r="E32" s="152">
        <v>4715.603613938677</v>
      </c>
      <c r="F32" s="152">
        <v>4895.1586701689348</v>
      </c>
      <c r="G32" s="152">
        <v>5010.3780113780404</v>
      </c>
      <c r="H32" s="152">
        <v>4750.1717123289209</v>
      </c>
      <c r="I32" s="152">
        <v>4860.1236432417627</v>
      </c>
      <c r="J32" s="152">
        <v>5192.5785247658405</v>
      </c>
      <c r="K32" s="152">
        <v>5310.3364118110449</v>
      </c>
      <c r="L32" s="152">
        <v>6339.8576614802978</v>
      </c>
      <c r="M32" s="152">
        <v>6566.2080319783972</v>
      </c>
      <c r="N32" s="152">
        <v>6878.7175143181557</v>
      </c>
      <c r="O32" s="152">
        <v>7013.3303083958963</v>
      </c>
      <c r="P32" s="152">
        <v>7333.8246368012396</v>
      </c>
      <c r="Q32" s="152">
        <v>7394.6573878667023</v>
      </c>
      <c r="R32" s="152">
        <v>7610.4939755850219</v>
      </c>
      <c r="S32" s="152">
        <v>7154.327952636294</v>
      </c>
      <c r="T32" s="152">
        <v>6697.5841639652372</v>
      </c>
      <c r="U32" s="152">
        <v>7105.4987959508981</v>
      </c>
      <c r="V32" s="152">
        <v>6359.1002917473106</v>
      </c>
      <c r="W32" s="152">
        <v>6609.3104599543422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32090.080395243564</v>
      </c>
      <c r="C33" s="116">
        <f t="shared" ref="C33:V33" si="104">SUM(C34:C39)</f>
        <v>34983.281294370274</v>
      </c>
      <c r="D33" s="116">
        <f t="shared" si="104"/>
        <v>37411.532584214823</v>
      </c>
      <c r="E33" s="116">
        <f t="shared" si="104"/>
        <v>39884.850571726798</v>
      </c>
      <c r="F33" s="116">
        <f t="shared" si="104"/>
        <v>42403.89376573058</v>
      </c>
      <c r="G33" s="116">
        <f t="shared" si="104"/>
        <v>45504.678497349618</v>
      </c>
      <c r="H33" s="116">
        <f t="shared" si="104"/>
        <v>48213.203367301736</v>
      </c>
      <c r="I33" s="116">
        <f t="shared" si="104"/>
        <v>50864.66672284485</v>
      </c>
      <c r="J33" s="116">
        <f t="shared" si="104"/>
        <v>53421.986538853758</v>
      </c>
      <c r="K33" s="116">
        <f t="shared" si="104"/>
        <v>54116.47236385884</v>
      </c>
      <c r="L33" s="116">
        <f t="shared" si="104"/>
        <v>53208.298592698346</v>
      </c>
      <c r="M33" s="116">
        <f t="shared" si="104"/>
        <v>49477.17275537466</v>
      </c>
      <c r="N33" s="116">
        <f t="shared" si="104"/>
        <v>42689.425140233427</v>
      </c>
      <c r="O33" s="116">
        <f t="shared" si="104"/>
        <v>40561.776229725401</v>
      </c>
      <c r="P33" s="116">
        <f t="shared" si="104"/>
        <v>40110.390012222299</v>
      </c>
      <c r="Q33" s="116">
        <f t="shared" si="104"/>
        <v>39888.537993154598</v>
      </c>
      <c r="R33" s="116">
        <f t="shared" si="104"/>
        <v>40624.302055180488</v>
      </c>
      <c r="S33" s="116">
        <f t="shared" si="104"/>
        <v>41338.846600104553</v>
      </c>
      <c r="T33" s="116">
        <f t="shared" si="104"/>
        <v>42110.363263837353</v>
      </c>
      <c r="U33" s="116">
        <f t="shared" si="104"/>
        <v>42966.749298816503</v>
      </c>
      <c r="V33" s="116">
        <f t="shared" si="104"/>
        <v>39952.169471681511</v>
      </c>
      <c r="W33" s="116">
        <f t="shared" ref="W33" si="105">SUM(W34:W39)</f>
        <v>40908.732054505163</v>
      </c>
      <c r="DA33" s="176" t="s">
        <v>476</v>
      </c>
    </row>
    <row r="34" spans="1:105" ht="11.45" customHeight="1" x14ac:dyDescent="0.25">
      <c r="A34" s="111" t="s">
        <v>110</v>
      </c>
      <c r="B34" s="87">
        <v>29682.525805296274</v>
      </c>
      <c r="C34" s="87">
        <v>32633.903112085827</v>
      </c>
      <c r="D34" s="87">
        <v>35051.890210039201</v>
      </c>
      <c r="E34" s="87">
        <v>37393.650520209623</v>
      </c>
      <c r="F34" s="87">
        <v>40144.357614248591</v>
      </c>
      <c r="G34" s="87">
        <v>43171.196787806621</v>
      </c>
      <c r="H34" s="87">
        <v>45621.207481587669</v>
      </c>
      <c r="I34" s="87">
        <v>48121.076873142985</v>
      </c>
      <c r="J34" s="87">
        <v>50761.018978797612</v>
      </c>
      <c r="K34" s="87">
        <v>51040.712521708425</v>
      </c>
      <c r="L34" s="87">
        <v>49974.778039776604</v>
      </c>
      <c r="M34" s="87">
        <v>45642.459040657763</v>
      </c>
      <c r="N34" s="87">
        <v>39555.495841553398</v>
      </c>
      <c r="O34" s="87">
        <v>36177.919987200432</v>
      </c>
      <c r="P34" s="87">
        <v>34431.954732151265</v>
      </c>
      <c r="Q34" s="87">
        <v>34043.057440425509</v>
      </c>
      <c r="R34" s="87">
        <v>33541.557442709069</v>
      </c>
      <c r="S34" s="87">
        <v>33480.794739165402</v>
      </c>
      <c r="T34" s="87">
        <v>33016.519930009097</v>
      </c>
      <c r="U34" s="87">
        <v>32272.960982168326</v>
      </c>
      <c r="V34" s="87">
        <v>28556.240285676464</v>
      </c>
      <c r="W34" s="87">
        <v>29489.708210691038</v>
      </c>
      <c r="DA34" s="171" t="s">
        <v>477</v>
      </c>
    </row>
    <row r="35" spans="1:105" ht="11.45" customHeight="1" x14ac:dyDescent="0.25">
      <c r="A35" s="111" t="s">
        <v>111</v>
      </c>
      <c r="B35" s="87">
        <v>2223.6919741476372</v>
      </c>
      <c r="C35" s="87">
        <v>2159.4763028484267</v>
      </c>
      <c r="D35" s="87">
        <v>2178.0945020765835</v>
      </c>
      <c r="E35" s="87">
        <v>2326.6141020757782</v>
      </c>
      <c r="F35" s="87">
        <v>2107.6162387262552</v>
      </c>
      <c r="G35" s="87">
        <v>2179.715163665564</v>
      </c>
      <c r="H35" s="87">
        <v>2435.921786707444</v>
      </c>
      <c r="I35" s="87">
        <v>2570.1236938832308</v>
      </c>
      <c r="J35" s="87">
        <v>2486.7527675681904</v>
      </c>
      <c r="K35" s="87">
        <v>2824.900523003972</v>
      </c>
      <c r="L35" s="87">
        <v>2641.2969150634872</v>
      </c>
      <c r="M35" s="87">
        <v>2355.1801020784305</v>
      </c>
      <c r="N35" s="87">
        <v>2076.6193715033737</v>
      </c>
      <c r="O35" s="87">
        <v>1840.7437649663943</v>
      </c>
      <c r="P35" s="87">
        <v>2914.3850610173668</v>
      </c>
      <c r="Q35" s="87">
        <v>2669.0865244489701</v>
      </c>
      <c r="R35" s="87">
        <v>3529.1990298009769</v>
      </c>
      <c r="S35" s="87">
        <v>4460.2133004452253</v>
      </c>
      <c r="T35" s="87">
        <v>5818.5479217138191</v>
      </c>
      <c r="U35" s="87">
        <v>7368.7971197772786</v>
      </c>
      <c r="V35" s="87">
        <v>8627.0741727641289</v>
      </c>
      <c r="W35" s="87">
        <v>8640.7679237584507</v>
      </c>
      <c r="DA35" s="171" t="s">
        <v>478</v>
      </c>
    </row>
    <row r="36" spans="1:105" ht="11.45" customHeight="1" x14ac:dyDescent="0.25">
      <c r="A36" s="111" t="s">
        <v>112</v>
      </c>
      <c r="B36" s="87">
        <v>183.86261579965085</v>
      </c>
      <c r="C36" s="87">
        <v>179.54873344233204</v>
      </c>
      <c r="D36" s="87">
        <v>164.80894781191373</v>
      </c>
      <c r="E36" s="87">
        <v>146.17577533997877</v>
      </c>
      <c r="F36" s="87">
        <v>133.65595612814556</v>
      </c>
      <c r="G36" s="87">
        <v>133.50063781692918</v>
      </c>
      <c r="H36" s="87">
        <v>134.84234443578757</v>
      </c>
      <c r="I36" s="87">
        <v>149.46615801794715</v>
      </c>
      <c r="J36" s="87">
        <v>150.78456875234011</v>
      </c>
      <c r="K36" s="87">
        <v>219.99548626782718</v>
      </c>
      <c r="L36" s="87">
        <v>556.76034323851559</v>
      </c>
      <c r="M36" s="87">
        <v>1441.5717162544984</v>
      </c>
      <c r="N36" s="87">
        <v>1019.6090403495298</v>
      </c>
      <c r="O36" s="87">
        <v>2507.0571926302487</v>
      </c>
      <c r="P36" s="87">
        <v>2726.8745373188549</v>
      </c>
      <c r="Q36" s="87">
        <v>3134.3402735780942</v>
      </c>
      <c r="R36" s="87">
        <v>3509.3449894742917</v>
      </c>
      <c r="S36" s="87">
        <v>3353.5784362419317</v>
      </c>
      <c r="T36" s="87">
        <v>3227.992917468282</v>
      </c>
      <c r="U36" s="87">
        <v>3269.3329093549755</v>
      </c>
      <c r="V36" s="87">
        <v>2678.9393168040397</v>
      </c>
      <c r="W36" s="87">
        <v>2608.4333253074274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10.353145993688409</v>
      </c>
      <c r="D37" s="87">
        <v>16.738924287117751</v>
      </c>
      <c r="E37" s="87">
        <v>18.410174101413556</v>
      </c>
      <c r="F37" s="87">
        <v>18.263956627589671</v>
      </c>
      <c r="G37" s="87">
        <v>20.265908060509574</v>
      </c>
      <c r="H37" s="87">
        <v>21.2317545708312</v>
      </c>
      <c r="I37" s="87">
        <v>23.999997800688075</v>
      </c>
      <c r="J37" s="87">
        <v>23.430223735618128</v>
      </c>
      <c r="K37" s="87">
        <v>30.863832878620453</v>
      </c>
      <c r="L37" s="87">
        <v>35.463294619736331</v>
      </c>
      <c r="M37" s="87">
        <v>37.961896383964529</v>
      </c>
      <c r="N37" s="87">
        <v>37.678807058850765</v>
      </c>
      <c r="O37" s="87">
        <v>36.005767164260035</v>
      </c>
      <c r="P37" s="87">
        <v>36.379097436655869</v>
      </c>
      <c r="Q37" s="87">
        <v>40.561909307075432</v>
      </c>
      <c r="R37" s="87">
        <v>41.983698066344374</v>
      </c>
      <c r="S37" s="87">
        <v>40.524668222700242</v>
      </c>
      <c r="T37" s="87">
        <v>41.295046202591621</v>
      </c>
      <c r="U37" s="87">
        <v>45.096728971763575</v>
      </c>
      <c r="V37" s="87">
        <v>60.146145986049476</v>
      </c>
      <c r="W37" s="87">
        <v>69.19686237163657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8.5854139352223198E-3</v>
      </c>
      <c r="O38" s="87">
        <v>8.9061066132131161E-3</v>
      </c>
      <c r="P38" s="87">
        <v>0.18644739431456933</v>
      </c>
      <c r="Q38" s="87">
        <v>0.35149608065996618</v>
      </c>
      <c r="R38" s="87">
        <v>0.68123277523647863</v>
      </c>
      <c r="S38" s="87">
        <v>1.7461265347048023</v>
      </c>
      <c r="T38" s="87">
        <v>3.1186285582044277</v>
      </c>
      <c r="U38" s="87">
        <v>4.8413903704006049</v>
      </c>
      <c r="V38" s="87">
        <v>16.74196644796131</v>
      </c>
      <c r="W38" s="87">
        <v>56.849041035328085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0</v>
      </c>
      <c r="M39" s="87">
        <v>0</v>
      </c>
      <c r="N39" s="87">
        <v>1.3494354334518188E-2</v>
      </c>
      <c r="O39" s="87">
        <v>4.0611657458868015E-2</v>
      </c>
      <c r="P39" s="87">
        <v>0.61013690383368613</v>
      </c>
      <c r="Q39" s="87">
        <v>1.1403493142902483</v>
      </c>
      <c r="R39" s="87">
        <v>1.5356623545725452</v>
      </c>
      <c r="S39" s="87">
        <v>1.9893294945884501</v>
      </c>
      <c r="T39" s="87">
        <v>2.8888198853516291</v>
      </c>
      <c r="U39" s="87">
        <v>5.7201681737601211</v>
      </c>
      <c r="V39" s="87">
        <v>13.027584002861531</v>
      </c>
      <c r="W39" s="87">
        <v>43.776691341280213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779.80210623893515</v>
      </c>
      <c r="C40" s="116">
        <f t="shared" ref="C40:V40" si="107">SUM(C41:C45)</f>
        <v>791.22962097552397</v>
      </c>
      <c r="D40" s="116">
        <f t="shared" si="107"/>
        <v>806.47349440716266</v>
      </c>
      <c r="E40" s="116">
        <f t="shared" si="107"/>
        <v>812.68700610270878</v>
      </c>
      <c r="F40" s="116">
        <f t="shared" si="107"/>
        <v>807.72572779666018</v>
      </c>
      <c r="G40" s="116">
        <f t="shared" si="107"/>
        <v>819.57985074626868</v>
      </c>
      <c r="H40" s="116">
        <f t="shared" si="107"/>
        <v>845.93478260869608</v>
      </c>
      <c r="I40" s="116">
        <f t="shared" si="107"/>
        <v>848.05479452054806</v>
      </c>
      <c r="J40" s="116">
        <f t="shared" si="107"/>
        <v>827.44251094690514</v>
      </c>
      <c r="K40" s="116">
        <f t="shared" si="107"/>
        <v>807.53658669817958</v>
      </c>
      <c r="L40" s="116">
        <f t="shared" si="107"/>
        <v>813.02752293577998</v>
      </c>
      <c r="M40" s="116">
        <f t="shared" si="107"/>
        <v>821.51031328825479</v>
      </c>
      <c r="N40" s="116">
        <f t="shared" si="107"/>
        <v>815.51626333510717</v>
      </c>
      <c r="O40" s="116">
        <f t="shared" si="107"/>
        <v>814.52475190559869</v>
      </c>
      <c r="P40" s="116">
        <f t="shared" si="107"/>
        <v>814.13899692169593</v>
      </c>
      <c r="Q40" s="116">
        <f t="shared" si="107"/>
        <v>812.57588708147955</v>
      </c>
      <c r="R40" s="116">
        <f t="shared" si="107"/>
        <v>803.04716912677486</v>
      </c>
      <c r="S40" s="116">
        <f t="shared" si="107"/>
        <v>786.06249795007977</v>
      </c>
      <c r="T40" s="116">
        <f t="shared" si="107"/>
        <v>789.31404539777373</v>
      </c>
      <c r="U40" s="116">
        <f t="shared" si="107"/>
        <v>781.04129340288227</v>
      </c>
      <c r="V40" s="116">
        <f t="shared" si="107"/>
        <v>777.73949384695516</v>
      </c>
      <c r="W40" s="116">
        <f t="shared" ref="W40" si="108">SUM(W41:W45)</f>
        <v>778.00173150381727</v>
      </c>
      <c r="DA40" s="176" t="s">
        <v>483</v>
      </c>
    </row>
    <row r="41" spans="1:105" ht="11.45" customHeight="1" x14ac:dyDescent="0.25">
      <c r="A41" s="111" t="s">
        <v>110</v>
      </c>
      <c r="B41" s="101">
        <v>0</v>
      </c>
      <c r="C41" s="101">
        <v>0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0</v>
      </c>
      <c r="K41" s="101">
        <v>0</v>
      </c>
      <c r="L41" s="101">
        <v>0</v>
      </c>
      <c r="M41" s="101">
        <v>0</v>
      </c>
      <c r="N41" s="101">
        <v>0</v>
      </c>
      <c r="O41" s="101">
        <v>0</v>
      </c>
      <c r="P41" s="101">
        <v>0</v>
      </c>
      <c r="Q41" s="101">
        <v>0</v>
      </c>
      <c r="R41" s="101">
        <v>0</v>
      </c>
      <c r="S41" s="101">
        <v>0</v>
      </c>
      <c r="T41" s="101">
        <v>0</v>
      </c>
      <c r="U41" s="101">
        <v>0</v>
      </c>
      <c r="V41" s="101">
        <v>0</v>
      </c>
      <c r="W41" s="101">
        <v>0</v>
      </c>
      <c r="DA41" s="175" t="s">
        <v>484</v>
      </c>
    </row>
    <row r="42" spans="1:105" ht="11.45" customHeight="1" x14ac:dyDescent="0.25">
      <c r="A42" s="111" t="s">
        <v>111</v>
      </c>
      <c r="B42" s="101">
        <v>779.80210623893515</v>
      </c>
      <c r="C42" s="101">
        <v>779.29728840701148</v>
      </c>
      <c r="D42" s="101">
        <v>787.95260863323199</v>
      </c>
      <c r="E42" s="101">
        <v>792.24390760881818</v>
      </c>
      <c r="F42" s="101">
        <v>787.34124031155716</v>
      </c>
      <c r="G42" s="101">
        <v>797.6644202707414</v>
      </c>
      <c r="H42" s="101">
        <v>822.62448789698055</v>
      </c>
      <c r="I42" s="101">
        <v>820.93112987614927</v>
      </c>
      <c r="J42" s="101">
        <v>799.84635712172701</v>
      </c>
      <c r="K42" s="101">
        <v>781.6753095060883</v>
      </c>
      <c r="L42" s="101">
        <v>788.02965486536084</v>
      </c>
      <c r="M42" s="101">
        <v>796.89688928041323</v>
      </c>
      <c r="N42" s="101">
        <v>791.10222895157744</v>
      </c>
      <c r="O42" s="101">
        <v>791.46225666798864</v>
      </c>
      <c r="P42" s="101">
        <v>790.59280470458123</v>
      </c>
      <c r="Q42" s="101">
        <v>787.44307380702423</v>
      </c>
      <c r="R42" s="101">
        <v>777.53941593720776</v>
      </c>
      <c r="S42" s="101">
        <v>763.02289166583341</v>
      </c>
      <c r="T42" s="101">
        <v>762.17406633511962</v>
      </c>
      <c r="U42" s="101">
        <v>751.3630318798846</v>
      </c>
      <c r="V42" s="101">
        <v>744.69932087488144</v>
      </c>
      <c r="W42" s="101">
        <v>741.06308177287679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DA43" s="175" t="s">
        <v>486</v>
      </c>
    </row>
    <row r="44" spans="1:105" ht="11.45" customHeight="1" x14ac:dyDescent="0.25">
      <c r="A44" s="111" t="s">
        <v>113</v>
      </c>
      <c r="B44" s="101">
        <v>0</v>
      </c>
      <c r="C44" s="101">
        <v>11.932332568512507</v>
      </c>
      <c r="D44" s="101">
        <v>18.520885773930633</v>
      </c>
      <c r="E44" s="101">
        <v>20.443098493890574</v>
      </c>
      <c r="F44" s="101">
        <v>20.384487485103016</v>
      </c>
      <c r="G44" s="101">
        <v>21.915430475527234</v>
      </c>
      <c r="H44" s="101">
        <v>23.3102947117155</v>
      </c>
      <c r="I44" s="101">
        <v>27.123664644398769</v>
      </c>
      <c r="J44" s="101">
        <v>27.596153825178121</v>
      </c>
      <c r="K44" s="101">
        <v>25.8612771920913</v>
      </c>
      <c r="L44" s="101">
        <v>24.997868070419102</v>
      </c>
      <c r="M44" s="101">
        <v>24.613424007841594</v>
      </c>
      <c r="N44" s="101">
        <v>24.41403438352971</v>
      </c>
      <c r="O44" s="101">
        <v>23.062495237610033</v>
      </c>
      <c r="P44" s="101">
        <v>23.546192217114672</v>
      </c>
      <c r="Q44" s="101">
        <v>25.132813274455273</v>
      </c>
      <c r="R44" s="101">
        <v>25.507753189567076</v>
      </c>
      <c r="S44" s="101">
        <v>23.039606284246346</v>
      </c>
      <c r="T44" s="101">
        <v>27.139979062654092</v>
      </c>
      <c r="U44" s="101">
        <v>29.632090817516698</v>
      </c>
      <c r="V44" s="101">
        <v>32.994225765511032</v>
      </c>
      <c r="W44" s="101">
        <v>36.892497039431994</v>
      </c>
      <c r="DA44" s="175" t="s">
        <v>487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101">
        <v>0</v>
      </c>
      <c r="O45" s="101">
        <v>0</v>
      </c>
      <c r="P45" s="101">
        <v>0</v>
      </c>
      <c r="Q45" s="101">
        <v>0</v>
      </c>
      <c r="R45" s="101">
        <v>0</v>
      </c>
      <c r="S45" s="101">
        <v>0</v>
      </c>
      <c r="T45" s="101">
        <v>0</v>
      </c>
      <c r="U45" s="101">
        <v>4.6170705481030236E-2</v>
      </c>
      <c r="V45" s="101">
        <v>4.5947206562679345E-2</v>
      </c>
      <c r="W45" s="101">
        <v>4.6152691508493215E-2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8903.8002908111084</v>
      </c>
      <c r="C46" s="29">
        <f t="shared" ref="C46:V46" si="110">C47+C53</f>
        <v>9172.9902679649058</v>
      </c>
      <c r="D46" s="29">
        <f t="shared" si="110"/>
        <v>9620.6981810889574</v>
      </c>
      <c r="E46" s="29">
        <f t="shared" si="110"/>
        <v>9093.8305388804874</v>
      </c>
      <c r="F46" s="29">
        <f t="shared" si="110"/>
        <v>10440.455752418324</v>
      </c>
      <c r="G46" s="29">
        <f t="shared" si="110"/>
        <v>9910.1046746503489</v>
      </c>
      <c r="H46" s="29">
        <f t="shared" si="110"/>
        <v>10570.842696991831</v>
      </c>
      <c r="I46" s="29">
        <f t="shared" si="110"/>
        <v>11239.621192727085</v>
      </c>
      <c r="J46" s="29">
        <f t="shared" si="110"/>
        <v>11485.950360817744</v>
      </c>
      <c r="K46" s="29">
        <f t="shared" si="110"/>
        <v>11165.12847906792</v>
      </c>
      <c r="L46" s="29">
        <f t="shared" si="110"/>
        <v>11459.445583660401</v>
      </c>
      <c r="M46" s="29">
        <f t="shared" si="110"/>
        <v>9446.7413727192761</v>
      </c>
      <c r="N46" s="29">
        <f t="shared" si="110"/>
        <v>8089.2668996129441</v>
      </c>
      <c r="O46" s="29">
        <f t="shared" si="110"/>
        <v>8926.2118327806784</v>
      </c>
      <c r="P46" s="29">
        <f t="shared" si="110"/>
        <v>9209.9518195543133</v>
      </c>
      <c r="Q46" s="29">
        <f t="shared" si="110"/>
        <v>10939.13458119407</v>
      </c>
      <c r="R46" s="29">
        <f t="shared" si="110"/>
        <v>11695.277396306432</v>
      </c>
      <c r="S46" s="29">
        <f t="shared" si="110"/>
        <v>10575.852336344793</v>
      </c>
      <c r="T46" s="29">
        <f t="shared" si="110"/>
        <v>10535.368055579744</v>
      </c>
      <c r="U46" s="29">
        <f t="shared" si="110"/>
        <v>10655.904775120993</v>
      </c>
      <c r="V46" s="29">
        <f t="shared" si="110"/>
        <v>9375.8157391887271</v>
      </c>
      <c r="W46" s="29">
        <f t="shared" ref="W46" si="111">W47+W53</f>
        <v>10412.840278513137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6215.2023321710212</v>
      </c>
      <c r="C47" s="152">
        <f t="shared" ref="C47:V47" si="113">SUM(C48:C52)</f>
        <v>6420.0684417486573</v>
      </c>
      <c r="D47" s="152">
        <f t="shared" si="113"/>
        <v>6805.3608995774448</v>
      </c>
      <c r="E47" s="152">
        <f t="shared" si="113"/>
        <v>7251.0921187028252</v>
      </c>
      <c r="F47" s="152">
        <f t="shared" si="113"/>
        <v>7306.0284582382483</v>
      </c>
      <c r="G47" s="152">
        <f t="shared" si="113"/>
        <v>7497.340595952528</v>
      </c>
      <c r="H47" s="152">
        <f t="shared" si="113"/>
        <v>7775.6949592967812</v>
      </c>
      <c r="I47" s="152">
        <f t="shared" si="113"/>
        <v>8508.5871615530887</v>
      </c>
      <c r="J47" s="152">
        <f t="shared" si="113"/>
        <v>8526.0992683067852</v>
      </c>
      <c r="K47" s="152">
        <f t="shared" si="113"/>
        <v>8224.5760311635677</v>
      </c>
      <c r="L47" s="152">
        <f t="shared" si="113"/>
        <v>8427.9149968611819</v>
      </c>
      <c r="M47" s="152">
        <f t="shared" si="113"/>
        <v>7315.4773822482821</v>
      </c>
      <c r="N47" s="152">
        <f t="shared" si="113"/>
        <v>6038.0816359105265</v>
      </c>
      <c r="O47" s="152">
        <f t="shared" si="113"/>
        <v>7136.1909400480545</v>
      </c>
      <c r="P47" s="152">
        <f t="shared" si="113"/>
        <v>7203.4012766191518</v>
      </c>
      <c r="Q47" s="152">
        <f t="shared" si="113"/>
        <v>8829.3717374210664</v>
      </c>
      <c r="R47" s="152">
        <f t="shared" si="113"/>
        <v>9530.1914927980251</v>
      </c>
      <c r="S47" s="152">
        <f t="shared" si="113"/>
        <v>8425.6365069270541</v>
      </c>
      <c r="T47" s="152">
        <f t="shared" si="113"/>
        <v>8405.7201319835858</v>
      </c>
      <c r="U47" s="152">
        <f t="shared" si="113"/>
        <v>8568.0985371981933</v>
      </c>
      <c r="V47" s="152">
        <f t="shared" si="113"/>
        <v>7459.645857117257</v>
      </c>
      <c r="W47" s="152">
        <f t="shared" ref="W47" si="114">SUM(W48:W52)</f>
        <v>8221.8643086675693</v>
      </c>
      <c r="DA47" s="174" t="s">
        <v>490</v>
      </c>
    </row>
    <row r="48" spans="1:105" ht="11.45" customHeight="1" x14ac:dyDescent="0.25">
      <c r="A48" s="111" t="s">
        <v>110</v>
      </c>
      <c r="B48" s="87">
        <v>5091.4994431213745</v>
      </c>
      <c r="C48" s="87">
        <v>5076.1072900749277</v>
      </c>
      <c r="D48" s="87">
        <v>5254.1748067453655</v>
      </c>
      <c r="E48" s="87">
        <v>5325.6861368537511</v>
      </c>
      <c r="F48" s="87">
        <v>5158.9174021557164</v>
      </c>
      <c r="G48" s="87">
        <v>5161.5282409651554</v>
      </c>
      <c r="H48" s="87">
        <v>4972.6404366661063</v>
      </c>
      <c r="I48" s="87">
        <v>5261.0580560749731</v>
      </c>
      <c r="J48" s="87">
        <v>5283.9953397176905</v>
      </c>
      <c r="K48" s="87">
        <v>4466.4376457464723</v>
      </c>
      <c r="L48" s="87">
        <v>4241.6865969216014</v>
      </c>
      <c r="M48" s="87">
        <v>3554.9698295066123</v>
      </c>
      <c r="N48" s="87">
        <v>2879.9668242503881</v>
      </c>
      <c r="O48" s="87">
        <v>2887.870834413553</v>
      </c>
      <c r="P48" s="87">
        <v>2887.7564562628918</v>
      </c>
      <c r="Q48" s="87">
        <v>3026.990051033968</v>
      </c>
      <c r="R48" s="87">
        <v>3163.4462484120972</v>
      </c>
      <c r="S48" s="87">
        <v>2996.7837963264055</v>
      </c>
      <c r="T48" s="87">
        <v>3356.4979295380158</v>
      </c>
      <c r="U48" s="87">
        <v>3474.2426976343568</v>
      </c>
      <c r="V48" s="87">
        <v>3170.5756003789825</v>
      </c>
      <c r="W48" s="87">
        <v>3572.4033664936946</v>
      </c>
      <c r="DA48" s="171" t="s">
        <v>491</v>
      </c>
    </row>
    <row r="49" spans="1:105" ht="11.45" customHeight="1" x14ac:dyDescent="0.25">
      <c r="A49" s="111" t="s">
        <v>111</v>
      </c>
      <c r="B49" s="87">
        <v>1123.702889049647</v>
      </c>
      <c r="C49" s="87">
        <v>1343.9611516737295</v>
      </c>
      <c r="D49" s="87">
        <v>1551.1860928320796</v>
      </c>
      <c r="E49" s="87">
        <v>1925.4059818490746</v>
      </c>
      <c r="F49" s="87">
        <v>2147.1110560825323</v>
      </c>
      <c r="G49" s="87">
        <v>2335.8123549873721</v>
      </c>
      <c r="H49" s="87">
        <v>2803.0545226306749</v>
      </c>
      <c r="I49" s="87">
        <v>3247.5291054781146</v>
      </c>
      <c r="J49" s="87">
        <v>3242.1039285890943</v>
      </c>
      <c r="K49" s="87">
        <v>3758.1383854170963</v>
      </c>
      <c r="L49" s="87">
        <v>4186.2283999395795</v>
      </c>
      <c r="M49" s="87">
        <v>3760.5075527416698</v>
      </c>
      <c r="N49" s="87">
        <v>3158.114811660138</v>
      </c>
      <c r="O49" s="87">
        <v>4248.3201056345015</v>
      </c>
      <c r="P49" s="87">
        <v>4315.6448203562595</v>
      </c>
      <c r="Q49" s="87">
        <v>5802.3816863870989</v>
      </c>
      <c r="R49" s="87">
        <v>6366.7452443859283</v>
      </c>
      <c r="S49" s="87">
        <v>5428.8527106006495</v>
      </c>
      <c r="T49" s="87">
        <v>5049.2222024455705</v>
      </c>
      <c r="U49" s="87">
        <v>5093.8558395638365</v>
      </c>
      <c r="V49" s="87">
        <v>4289.0702567382741</v>
      </c>
      <c r="W49" s="87">
        <v>4649.4609421738751</v>
      </c>
      <c r="DA49" s="171" t="s">
        <v>492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0</v>
      </c>
      <c r="O50" s="87">
        <v>0</v>
      </c>
      <c r="P50" s="87">
        <v>0</v>
      </c>
      <c r="Q50" s="87">
        <v>0</v>
      </c>
      <c r="R50" s="87">
        <v>0</v>
      </c>
      <c r="S50" s="87">
        <v>0</v>
      </c>
      <c r="T50" s="87">
        <v>0</v>
      </c>
      <c r="U50" s="87">
        <v>0</v>
      </c>
      <c r="V50" s="87">
        <v>0</v>
      </c>
      <c r="W50" s="87">
        <v>0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0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</v>
      </c>
      <c r="N52" s="87">
        <v>0</v>
      </c>
      <c r="O52" s="87">
        <v>0</v>
      </c>
      <c r="P52" s="87">
        <v>0</v>
      </c>
      <c r="Q52" s="87">
        <v>0</v>
      </c>
      <c r="R52" s="87">
        <v>0</v>
      </c>
      <c r="S52" s="87">
        <v>0</v>
      </c>
      <c r="T52" s="87">
        <v>0</v>
      </c>
      <c r="U52" s="87">
        <v>0</v>
      </c>
      <c r="V52" s="87">
        <v>0</v>
      </c>
      <c r="W52" s="87">
        <v>0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2688.5979586400867</v>
      </c>
      <c r="C53" s="116">
        <f t="shared" ref="C53:V53" si="116">SUM(C54:C55)</f>
        <v>2752.921826216249</v>
      </c>
      <c r="D53" s="116">
        <f t="shared" si="116"/>
        <v>2815.3372815115126</v>
      </c>
      <c r="E53" s="116">
        <f t="shared" si="116"/>
        <v>1842.7384201776613</v>
      </c>
      <c r="F53" s="116">
        <f t="shared" si="116"/>
        <v>3134.4272941800755</v>
      </c>
      <c r="G53" s="116">
        <f t="shared" si="116"/>
        <v>2412.7640786978209</v>
      </c>
      <c r="H53" s="116">
        <f t="shared" si="116"/>
        <v>2795.1477376950502</v>
      </c>
      <c r="I53" s="116">
        <f t="shared" si="116"/>
        <v>2731.0340311739969</v>
      </c>
      <c r="J53" s="116">
        <f t="shared" si="116"/>
        <v>2959.851092510959</v>
      </c>
      <c r="K53" s="116">
        <f t="shared" si="116"/>
        <v>2940.5524479043529</v>
      </c>
      <c r="L53" s="116">
        <f t="shared" si="116"/>
        <v>3031.5305867992197</v>
      </c>
      <c r="M53" s="116">
        <f t="shared" si="116"/>
        <v>2131.2639904709949</v>
      </c>
      <c r="N53" s="116">
        <f t="shared" si="116"/>
        <v>2051.1852637024176</v>
      </c>
      <c r="O53" s="116">
        <f t="shared" si="116"/>
        <v>1790.0208927326232</v>
      </c>
      <c r="P53" s="116">
        <f t="shared" si="116"/>
        <v>2006.550542935162</v>
      </c>
      <c r="Q53" s="116">
        <f t="shared" si="116"/>
        <v>2109.7628437730036</v>
      </c>
      <c r="R53" s="116">
        <f t="shared" si="116"/>
        <v>2165.0859035084068</v>
      </c>
      <c r="S53" s="116">
        <f t="shared" si="116"/>
        <v>2150.2158294177398</v>
      </c>
      <c r="T53" s="116">
        <f t="shared" si="116"/>
        <v>2129.6479235961579</v>
      </c>
      <c r="U53" s="116">
        <f t="shared" si="116"/>
        <v>2087.8062379227999</v>
      </c>
      <c r="V53" s="116">
        <f t="shared" si="116"/>
        <v>1916.1698820714703</v>
      </c>
      <c r="W53" s="116">
        <f t="shared" ref="W53" si="117">SUM(W54:W55)</f>
        <v>2190.9759698455673</v>
      </c>
      <c r="DA53" s="176" t="s">
        <v>496</v>
      </c>
    </row>
    <row r="54" spans="1:105" ht="11.45" customHeight="1" x14ac:dyDescent="0.25">
      <c r="A54" s="128" t="s">
        <v>27</v>
      </c>
      <c r="B54" s="101">
        <v>2571.6156061796282</v>
      </c>
      <c r="C54" s="101">
        <v>2627.5202932704897</v>
      </c>
      <c r="D54" s="101">
        <v>2683.4249803613511</v>
      </c>
      <c r="E54" s="101">
        <v>1708</v>
      </c>
      <c r="F54" s="101">
        <v>2975</v>
      </c>
      <c r="G54" s="101">
        <v>2248</v>
      </c>
      <c r="H54" s="101">
        <v>2594</v>
      </c>
      <c r="I54" s="101">
        <v>2560</v>
      </c>
      <c r="J54" s="101">
        <v>2809</v>
      </c>
      <c r="K54" s="101">
        <v>2806</v>
      </c>
      <c r="L54" s="101">
        <v>2863</v>
      </c>
      <c r="M54" s="101">
        <v>1995</v>
      </c>
      <c r="N54" s="101">
        <v>1899</v>
      </c>
      <c r="O54" s="101">
        <v>1615</v>
      </c>
      <c r="P54" s="101">
        <v>1836</v>
      </c>
      <c r="Q54" s="101">
        <v>1922</v>
      </c>
      <c r="R54" s="101">
        <v>1972</v>
      </c>
      <c r="S54" s="101">
        <v>1848</v>
      </c>
      <c r="T54" s="101">
        <v>1848</v>
      </c>
      <c r="U54" s="101">
        <v>1826</v>
      </c>
      <c r="V54" s="101">
        <v>1639</v>
      </c>
      <c r="W54" s="101">
        <v>1962</v>
      </c>
      <c r="DA54" s="175" t="s">
        <v>497</v>
      </c>
    </row>
    <row r="55" spans="1:105" ht="11.45" customHeight="1" x14ac:dyDescent="0.25">
      <c r="A55" s="138" t="s">
        <v>116</v>
      </c>
      <c r="B55" s="88">
        <v>116.98235246045873</v>
      </c>
      <c r="C55" s="88">
        <v>125.4015329457595</v>
      </c>
      <c r="D55" s="88">
        <v>131.91230115016134</v>
      </c>
      <c r="E55" s="88">
        <v>134.73842017766131</v>
      </c>
      <c r="F55" s="88">
        <v>159.42729418007525</v>
      </c>
      <c r="G55" s="88">
        <v>164.76407869782091</v>
      </c>
      <c r="H55" s="88">
        <v>201.14773769505013</v>
      </c>
      <c r="I55" s="88">
        <v>171.03403117399682</v>
      </c>
      <c r="J55" s="88">
        <v>150.85109251095886</v>
      </c>
      <c r="K55" s="88">
        <v>134.55244790435273</v>
      </c>
      <c r="L55" s="88">
        <v>168.53058679921983</v>
      </c>
      <c r="M55" s="88">
        <v>136.26399047099483</v>
      </c>
      <c r="N55" s="88">
        <v>152.18526370241784</v>
      </c>
      <c r="O55" s="88">
        <v>175.02089273262314</v>
      </c>
      <c r="P55" s="88">
        <v>170.55054293516201</v>
      </c>
      <c r="Q55" s="88">
        <v>187.76284377300365</v>
      </c>
      <c r="R55" s="88">
        <v>193.08590350840672</v>
      </c>
      <c r="S55" s="88">
        <v>302.2158294177396</v>
      </c>
      <c r="T55" s="88">
        <v>281.64792359615791</v>
      </c>
      <c r="U55" s="88">
        <v>261.80623792279988</v>
      </c>
      <c r="V55" s="88">
        <v>277.16988207147028</v>
      </c>
      <c r="W55" s="88">
        <v>228.97596984556753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5268820</v>
      </c>
      <c r="C57" s="54">
        <f t="shared" si="118"/>
        <v>5579631</v>
      </c>
      <c r="D57" s="54">
        <f t="shared" si="118"/>
        <v>5865430</v>
      </c>
      <c r="E57" s="54">
        <f t="shared" si="118"/>
        <v>6147878</v>
      </c>
      <c r="F57" s="54">
        <f t="shared" si="118"/>
        <v>6350636</v>
      </c>
      <c r="G57" s="54">
        <f t="shared" si="118"/>
        <v>6616258</v>
      </c>
      <c r="H57" s="54">
        <f t="shared" si="118"/>
        <v>6867302</v>
      </c>
      <c r="I57" s="54">
        <f t="shared" si="118"/>
        <v>7248728</v>
      </c>
      <c r="J57" s="54">
        <f t="shared" si="118"/>
        <v>7498359</v>
      </c>
      <c r="K57" s="54">
        <f t="shared" si="118"/>
        <v>7630060</v>
      </c>
      <c r="L57" s="54">
        <f t="shared" ref="L57" si="119">L58+L73</f>
        <v>7734931</v>
      </c>
      <c r="M57" s="54">
        <f t="shared" ref="M57:V57" si="120">M58+M73</f>
        <v>7670161</v>
      </c>
      <c r="N57" s="54">
        <f t="shared" si="120"/>
        <v>7592902</v>
      </c>
      <c r="O57" s="54">
        <f t="shared" si="120"/>
        <v>7516508</v>
      </c>
      <c r="P57" s="54">
        <f t="shared" si="120"/>
        <v>7485588</v>
      </c>
      <c r="Q57" s="54">
        <f t="shared" si="120"/>
        <v>7553586</v>
      </c>
      <c r="R57" s="54">
        <f t="shared" si="120"/>
        <v>7675434</v>
      </c>
      <c r="S57" s="54">
        <f t="shared" si="120"/>
        <v>7657877</v>
      </c>
      <c r="T57" s="54">
        <f t="shared" si="120"/>
        <v>7597435</v>
      </c>
      <c r="U57" s="54">
        <f t="shared" si="120"/>
        <v>7723835</v>
      </c>
      <c r="V57" s="54">
        <f t="shared" si="120"/>
        <v>7816033</v>
      </c>
      <c r="W57" s="54">
        <f t="shared" ref="W57" si="121">W58+W73</f>
        <v>7949881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4363885</v>
      </c>
      <c r="C58" s="28">
        <f t="shared" si="122"/>
        <v>4646727</v>
      </c>
      <c r="D58" s="28">
        <f t="shared" si="122"/>
        <v>4909642</v>
      </c>
      <c r="E58" s="28">
        <f t="shared" si="122"/>
        <v>5177925</v>
      </c>
      <c r="F58" s="28">
        <f t="shared" si="122"/>
        <v>5353129</v>
      </c>
      <c r="G58" s="28">
        <f t="shared" si="122"/>
        <v>5660696</v>
      </c>
      <c r="H58" s="28">
        <f t="shared" si="122"/>
        <v>5880388</v>
      </c>
      <c r="I58" s="28">
        <f t="shared" si="122"/>
        <v>6224689</v>
      </c>
      <c r="J58" s="28">
        <f t="shared" si="122"/>
        <v>6440106</v>
      </c>
      <c r="K58" s="28">
        <f t="shared" si="122"/>
        <v>6608503</v>
      </c>
      <c r="L58" s="28">
        <f t="shared" ref="L58" si="123">L59+L60+L67</f>
        <v>6723683</v>
      </c>
      <c r="M58" s="28">
        <f t="shared" ref="M58:V58" si="124">M59+M60+M67</f>
        <v>6742822</v>
      </c>
      <c r="N58" s="28">
        <f t="shared" si="124"/>
        <v>6741153</v>
      </c>
      <c r="O58" s="28">
        <f t="shared" si="124"/>
        <v>6700838</v>
      </c>
      <c r="P58" s="28">
        <f t="shared" si="124"/>
        <v>6708937</v>
      </c>
      <c r="Q58" s="28">
        <f t="shared" si="124"/>
        <v>6749138</v>
      </c>
      <c r="R58" s="28">
        <f t="shared" si="124"/>
        <v>6840481</v>
      </c>
      <c r="S58" s="28">
        <f t="shared" si="124"/>
        <v>6919420</v>
      </c>
      <c r="T58" s="28">
        <f t="shared" si="124"/>
        <v>6892929</v>
      </c>
      <c r="U58" s="28">
        <f t="shared" si="124"/>
        <v>7043307</v>
      </c>
      <c r="V58" s="28">
        <f t="shared" si="124"/>
        <v>7156677</v>
      </c>
      <c r="W58" s="28">
        <f t="shared" ref="W58" si="125">W59+W60+W67</f>
        <v>7306934</v>
      </c>
      <c r="DA58" s="173" t="s">
        <v>500</v>
      </c>
    </row>
    <row r="59" spans="1:105" ht="11.45" customHeight="1" x14ac:dyDescent="0.25">
      <c r="A59" s="136" t="s">
        <v>180</v>
      </c>
      <c r="B59" s="137">
        <v>781361</v>
      </c>
      <c r="C59" s="137">
        <v>853366</v>
      </c>
      <c r="D59" s="137">
        <v>910555</v>
      </c>
      <c r="E59" s="137">
        <v>969895</v>
      </c>
      <c r="F59" s="137">
        <v>1042605</v>
      </c>
      <c r="G59" s="137">
        <v>1124172</v>
      </c>
      <c r="H59" s="137">
        <v>1205816</v>
      </c>
      <c r="I59" s="137">
        <v>1298688</v>
      </c>
      <c r="J59" s="137">
        <v>1388607</v>
      </c>
      <c r="K59" s="137">
        <v>1448851</v>
      </c>
      <c r="L59" s="137">
        <v>1499133</v>
      </c>
      <c r="M59" s="137">
        <v>1534902</v>
      </c>
      <c r="N59" s="137">
        <v>1556435</v>
      </c>
      <c r="O59" s="137">
        <v>1568596</v>
      </c>
      <c r="P59" s="137">
        <v>1592929</v>
      </c>
      <c r="Q59" s="137">
        <v>1619621</v>
      </c>
      <c r="R59" s="137">
        <v>1653528</v>
      </c>
      <c r="S59" s="137">
        <v>1656657</v>
      </c>
      <c r="T59" s="137">
        <v>1583491</v>
      </c>
      <c r="U59" s="137">
        <v>1609923</v>
      </c>
      <c r="V59" s="137">
        <v>1637608</v>
      </c>
      <c r="W59" s="137">
        <v>1675804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3555065</v>
      </c>
      <c r="C60" s="110">
        <f t="shared" si="126"/>
        <v>3765843</v>
      </c>
      <c r="D60" s="110">
        <f t="shared" si="126"/>
        <v>3971437</v>
      </c>
      <c r="E60" s="110">
        <f t="shared" si="126"/>
        <v>4180532</v>
      </c>
      <c r="F60" s="110">
        <f t="shared" si="126"/>
        <v>4283372</v>
      </c>
      <c r="G60" s="110">
        <f t="shared" si="126"/>
        <v>4509326</v>
      </c>
      <c r="H60" s="110">
        <f t="shared" si="126"/>
        <v>4647265</v>
      </c>
      <c r="I60" s="110">
        <f t="shared" si="126"/>
        <v>4898530</v>
      </c>
      <c r="J60" s="110">
        <f t="shared" si="126"/>
        <v>5023944</v>
      </c>
      <c r="K60" s="110">
        <f t="shared" si="126"/>
        <v>5131960</v>
      </c>
      <c r="L60" s="110">
        <f t="shared" ref="L60" si="127">SUM(L61:L66)</f>
        <v>5196873</v>
      </c>
      <c r="M60" s="110">
        <f t="shared" ref="M60:V60" si="128">SUM(M61:M66)</f>
        <v>5180433</v>
      </c>
      <c r="N60" s="110">
        <f t="shared" si="128"/>
        <v>5157390</v>
      </c>
      <c r="O60" s="110">
        <f t="shared" si="128"/>
        <v>5105093</v>
      </c>
      <c r="P60" s="110">
        <f t="shared" si="128"/>
        <v>5088961</v>
      </c>
      <c r="Q60" s="110">
        <f t="shared" si="128"/>
        <v>5102575</v>
      </c>
      <c r="R60" s="110">
        <f t="shared" si="128"/>
        <v>5160056</v>
      </c>
      <c r="S60" s="110">
        <f t="shared" si="128"/>
        <v>5235928</v>
      </c>
      <c r="T60" s="110">
        <f t="shared" si="128"/>
        <v>5282695</v>
      </c>
      <c r="U60" s="110">
        <f t="shared" si="128"/>
        <v>5406551</v>
      </c>
      <c r="V60" s="110">
        <f t="shared" si="128"/>
        <v>5492176</v>
      </c>
      <c r="W60" s="110">
        <f t="shared" ref="W60" si="129">SUM(W61:W66)</f>
        <v>5604192</v>
      </c>
      <c r="DA60" s="176" t="s">
        <v>502</v>
      </c>
    </row>
    <row r="61" spans="1:105" ht="11.45" customHeight="1" x14ac:dyDescent="0.25">
      <c r="A61" s="111" t="s">
        <v>110</v>
      </c>
      <c r="B61" s="84">
        <v>3437712</v>
      </c>
      <c r="C61" s="84">
        <v>3653075</v>
      </c>
      <c r="D61" s="84">
        <v>3859218</v>
      </c>
      <c r="E61" s="84">
        <v>4063433</v>
      </c>
      <c r="F61" s="84">
        <v>4178193</v>
      </c>
      <c r="G61" s="84">
        <v>4402095</v>
      </c>
      <c r="H61" s="84">
        <v>4529645</v>
      </c>
      <c r="I61" s="84">
        <v>4774152</v>
      </c>
      <c r="J61" s="84">
        <v>4901231</v>
      </c>
      <c r="K61" s="84">
        <v>4987108</v>
      </c>
      <c r="L61" s="84">
        <v>5033499</v>
      </c>
      <c r="M61" s="84">
        <v>4976132</v>
      </c>
      <c r="N61" s="84">
        <v>4981221</v>
      </c>
      <c r="O61" s="84">
        <v>4854223</v>
      </c>
      <c r="P61" s="84">
        <v>4768091</v>
      </c>
      <c r="Q61" s="84">
        <v>4758743</v>
      </c>
      <c r="R61" s="84">
        <v>4749369</v>
      </c>
      <c r="S61" s="84">
        <v>4785438</v>
      </c>
      <c r="T61" s="84">
        <v>4777454</v>
      </c>
      <c r="U61" s="84">
        <v>4838018</v>
      </c>
      <c r="V61" s="84">
        <v>4875129</v>
      </c>
      <c r="W61" s="84">
        <v>4993390</v>
      </c>
      <c r="DA61" s="171" t="s">
        <v>503</v>
      </c>
    </row>
    <row r="62" spans="1:105" ht="11.45" customHeight="1" x14ac:dyDescent="0.25">
      <c r="A62" s="111" t="s">
        <v>111</v>
      </c>
      <c r="B62" s="84">
        <v>106853</v>
      </c>
      <c r="C62" s="84">
        <v>102368</v>
      </c>
      <c r="D62" s="84">
        <v>101882</v>
      </c>
      <c r="E62" s="84">
        <v>107397</v>
      </c>
      <c r="F62" s="84">
        <v>96144</v>
      </c>
      <c r="G62" s="84">
        <v>98124</v>
      </c>
      <c r="H62" s="84">
        <v>108335</v>
      </c>
      <c r="I62" s="84">
        <v>114198</v>
      </c>
      <c r="J62" s="84">
        <v>112326</v>
      </c>
      <c r="K62" s="84">
        <v>129911</v>
      </c>
      <c r="L62" s="84">
        <v>128461</v>
      </c>
      <c r="M62" s="84">
        <v>119803</v>
      </c>
      <c r="N62" s="84">
        <v>112106</v>
      </c>
      <c r="O62" s="84">
        <v>104563</v>
      </c>
      <c r="P62" s="84">
        <v>160840</v>
      </c>
      <c r="Q62" s="84">
        <v>156270</v>
      </c>
      <c r="R62" s="84">
        <v>195332</v>
      </c>
      <c r="S62" s="84">
        <v>234406</v>
      </c>
      <c r="T62" s="84">
        <v>288311</v>
      </c>
      <c r="U62" s="84">
        <v>348852</v>
      </c>
      <c r="V62" s="84">
        <v>422140</v>
      </c>
      <c r="W62" s="84">
        <v>406517</v>
      </c>
      <c r="DA62" s="171" t="s">
        <v>504</v>
      </c>
    </row>
    <row r="63" spans="1:105" ht="11.45" customHeight="1" x14ac:dyDescent="0.25">
      <c r="A63" s="111" t="s">
        <v>112</v>
      </c>
      <c r="B63" s="84">
        <v>10500</v>
      </c>
      <c r="C63" s="84">
        <v>9740</v>
      </c>
      <c r="D63" s="84">
        <v>9263</v>
      </c>
      <c r="E63" s="84">
        <v>8513</v>
      </c>
      <c r="F63" s="84">
        <v>7846</v>
      </c>
      <c r="G63" s="84">
        <v>7779</v>
      </c>
      <c r="H63" s="84">
        <v>7883</v>
      </c>
      <c r="I63" s="84">
        <v>8565</v>
      </c>
      <c r="J63" s="84">
        <v>8784</v>
      </c>
      <c r="K63" s="84">
        <v>12767</v>
      </c>
      <c r="L63" s="84">
        <v>32340</v>
      </c>
      <c r="M63" s="84">
        <v>81770</v>
      </c>
      <c r="N63" s="84">
        <v>61379</v>
      </c>
      <c r="O63" s="84">
        <v>143786</v>
      </c>
      <c r="P63" s="84">
        <v>157464</v>
      </c>
      <c r="Q63" s="84">
        <v>184678</v>
      </c>
      <c r="R63" s="84">
        <v>212380</v>
      </c>
      <c r="S63" s="84">
        <v>212999</v>
      </c>
      <c r="T63" s="84">
        <v>213649</v>
      </c>
      <c r="U63" s="84">
        <v>215785</v>
      </c>
      <c r="V63" s="84">
        <v>187943</v>
      </c>
      <c r="W63" s="84">
        <v>189822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660</v>
      </c>
      <c r="D64" s="84">
        <v>1074</v>
      </c>
      <c r="E64" s="84">
        <v>1189</v>
      </c>
      <c r="F64" s="84">
        <v>1189</v>
      </c>
      <c r="G64" s="84">
        <v>1328</v>
      </c>
      <c r="H64" s="84">
        <v>1402</v>
      </c>
      <c r="I64" s="84">
        <v>1615</v>
      </c>
      <c r="J64" s="84">
        <v>1603</v>
      </c>
      <c r="K64" s="84">
        <v>2174</v>
      </c>
      <c r="L64" s="84">
        <v>2573</v>
      </c>
      <c r="M64" s="84">
        <v>2728</v>
      </c>
      <c r="N64" s="84">
        <v>2682</v>
      </c>
      <c r="O64" s="84">
        <v>2517</v>
      </c>
      <c r="P64" s="84">
        <v>2500</v>
      </c>
      <c r="Q64" s="84">
        <v>2760</v>
      </c>
      <c r="R64" s="84">
        <v>2780</v>
      </c>
      <c r="S64" s="84">
        <v>2730</v>
      </c>
      <c r="T64" s="84">
        <v>2700</v>
      </c>
      <c r="U64" s="84">
        <v>2900</v>
      </c>
      <c r="V64" s="84">
        <v>3829</v>
      </c>
      <c r="W64" s="84">
        <v>4360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1</v>
      </c>
      <c r="O65" s="84">
        <v>1</v>
      </c>
      <c r="P65" s="84">
        <v>21</v>
      </c>
      <c r="Q65" s="84">
        <v>40</v>
      </c>
      <c r="R65" s="84">
        <v>81</v>
      </c>
      <c r="S65" s="84">
        <v>207</v>
      </c>
      <c r="T65" s="84">
        <v>366</v>
      </c>
      <c r="U65" s="84">
        <v>570</v>
      </c>
      <c r="V65" s="84">
        <v>2031</v>
      </c>
      <c r="W65" s="84">
        <v>6823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1</v>
      </c>
      <c r="O66" s="84">
        <v>3</v>
      </c>
      <c r="P66" s="84">
        <v>45</v>
      </c>
      <c r="Q66" s="84">
        <v>84</v>
      </c>
      <c r="R66" s="84">
        <v>114</v>
      </c>
      <c r="S66" s="84">
        <v>148</v>
      </c>
      <c r="T66" s="84">
        <v>215</v>
      </c>
      <c r="U66" s="84">
        <v>426</v>
      </c>
      <c r="V66" s="84">
        <v>1104</v>
      </c>
      <c r="W66" s="84">
        <v>3280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27459</v>
      </c>
      <c r="C67" s="110">
        <f t="shared" si="130"/>
        <v>27518</v>
      </c>
      <c r="D67" s="110">
        <f t="shared" si="130"/>
        <v>27650</v>
      </c>
      <c r="E67" s="110">
        <f t="shared" si="130"/>
        <v>27498</v>
      </c>
      <c r="F67" s="110">
        <f t="shared" si="130"/>
        <v>27152</v>
      </c>
      <c r="G67" s="110">
        <f t="shared" si="130"/>
        <v>27198</v>
      </c>
      <c r="H67" s="110">
        <f t="shared" si="130"/>
        <v>27307</v>
      </c>
      <c r="I67" s="110">
        <f t="shared" si="130"/>
        <v>27471</v>
      </c>
      <c r="J67" s="110">
        <f t="shared" si="130"/>
        <v>27555</v>
      </c>
      <c r="K67" s="110">
        <f t="shared" si="130"/>
        <v>27692</v>
      </c>
      <c r="L67" s="110">
        <f t="shared" ref="L67" si="131">SUM(L68:L72)</f>
        <v>27677</v>
      </c>
      <c r="M67" s="110">
        <f t="shared" ref="M67:V67" si="132">SUM(M68:M72)</f>
        <v>27487</v>
      </c>
      <c r="N67" s="110">
        <f t="shared" si="132"/>
        <v>27328</v>
      </c>
      <c r="O67" s="110">
        <f t="shared" si="132"/>
        <v>27149</v>
      </c>
      <c r="P67" s="110">
        <f t="shared" si="132"/>
        <v>27047</v>
      </c>
      <c r="Q67" s="110">
        <f t="shared" si="132"/>
        <v>26942</v>
      </c>
      <c r="R67" s="110">
        <f t="shared" si="132"/>
        <v>26897</v>
      </c>
      <c r="S67" s="110">
        <f t="shared" si="132"/>
        <v>26835</v>
      </c>
      <c r="T67" s="110">
        <f t="shared" si="132"/>
        <v>26743</v>
      </c>
      <c r="U67" s="110">
        <f t="shared" si="132"/>
        <v>26833</v>
      </c>
      <c r="V67" s="110">
        <f t="shared" si="132"/>
        <v>26893</v>
      </c>
      <c r="W67" s="110">
        <f t="shared" ref="W67" si="133">SUM(W68:W72)</f>
        <v>26938</v>
      </c>
      <c r="DA67" s="176" t="s">
        <v>509</v>
      </c>
    </row>
    <row r="68" spans="1:105" ht="11.45" customHeight="1" x14ac:dyDescent="0.25">
      <c r="A68" s="111" t="s">
        <v>110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0</v>
      </c>
      <c r="K68" s="102">
        <v>0</v>
      </c>
      <c r="L68" s="102">
        <v>0</v>
      </c>
      <c r="M68" s="102">
        <v>0</v>
      </c>
      <c r="N68" s="102">
        <v>0</v>
      </c>
      <c r="O68" s="102">
        <v>0</v>
      </c>
      <c r="P68" s="102">
        <v>0</v>
      </c>
      <c r="Q68" s="102">
        <v>0</v>
      </c>
      <c r="R68" s="102">
        <v>0</v>
      </c>
      <c r="S68" s="102">
        <v>0</v>
      </c>
      <c r="T68" s="102">
        <v>0</v>
      </c>
      <c r="U68" s="102">
        <v>0</v>
      </c>
      <c r="V68" s="102">
        <v>0</v>
      </c>
      <c r="W68" s="102">
        <v>0</v>
      </c>
      <c r="DA68" s="175" t="s">
        <v>510</v>
      </c>
    </row>
    <row r="69" spans="1:105" ht="11.45" customHeight="1" x14ac:dyDescent="0.25">
      <c r="A69" s="111" t="s">
        <v>111</v>
      </c>
      <c r="B69" s="102">
        <v>27459</v>
      </c>
      <c r="C69" s="102">
        <v>27208</v>
      </c>
      <c r="D69" s="102">
        <v>27176</v>
      </c>
      <c r="E69" s="102">
        <v>26982</v>
      </c>
      <c r="F69" s="102">
        <v>26641</v>
      </c>
      <c r="G69" s="102">
        <v>26656</v>
      </c>
      <c r="H69" s="102">
        <v>26747</v>
      </c>
      <c r="I69" s="102">
        <v>26817</v>
      </c>
      <c r="J69" s="102">
        <v>26870</v>
      </c>
      <c r="K69" s="102">
        <v>27030</v>
      </c>
      <c r="L69" s="102">
        <v>27042</v>
      </c>
      <c r="M69" s="102">
        <v>26873</v>
      </c>
      <c r="N69" s="102">
        <v>26718</v>
      </c>
      <c r="O69" s="102">
        <v>26576</v>
      </c>
      <c r="P69" s="102">
        <v>26464</v>
      </c>
      <c r="Q69" s="102">
        <v>26321</v>
      </c>
      <c r="R69" s="102">
        <v>26260</v>
      </c>
      <c r="S69" s="102">
        <v>26248</v>
      </c>
      <c r="T69" s="102">
        <v>26057</v>
      </c>
      <c r="U69" s="102">
        <v>26072</v>
      </c>
      <c r="V69" s="102">
        <v>26040</v>
      </c>
      <c r="W69" s="102">
        <v>25983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512</v>
      </c>
    </row>
    <row r="71" spans="1:105" ht="11.45" customHeight="1" x14ac:dyDescent="0.25">
      <c r="A71" s="111" t="s">
        <v>113</v>
      </c>
      <c r="B71" s="102">
        <v>0</v>
      </c>
      <c r="C71" s="102">
        <v>310</v>
      </c>
      <c r="D71" s="102">
        <v>474</v>
      </c>
      <c r="E71" s="102">
        <v>516</v>
      </c>
      <c r="F71" s="102">
        <v>511</v>
      </c>
      <c r="G71" s="102">
        <v>542</v>
      </c>
      <c r="H71" s="102">
        <v>560</v>
      </c>
      <c r="I71" s="102">
        <v>654</v>
      </c>
      <c r="J71" s="102">
        <v>685</v>
      </c>
      <c r="K71" s="102">
        <v>662</v>
      </c>
      <c r="L71" s="102">
        <v>635</v>
      </c>
      <c r="M71" s="102">
        <v>614</v>
      </c>
      <c r="N71" s="102">
        <v>610</v>
      </c>
      <c r="O71" s="102">
        <v>573</v>
      </c>
      <c r="P71" s="102">
        <v>583</v>
      </c>
      <c r="Q71" s="102">
        <v>621</v>
      </c>
      <c r="R71" s="102">
        <v>637</v>
      </c>
      <c r="S71" s="102">
        <v>587</v>
      </c>
      <c r="T71" s="102">
        <v>686</v>
      </c>
      <c r="U71" s="102">
        <v>760</v>
      </c>
      <c r="V71" s="102">
        <v>852</v>
      </c>
      <c r="W71" s="102">
        <v>954</v>
      </c>
      <c r="DA71" s="175" t="s">
        <v>513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1</v>
      </c>
      <c r="V72" s="102">
        <v>1</v>
      </c>
      <c r="W72" s="102">
        <v>1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904935</v>
      </c>
      <c r="C73" s="28">
        <f t="shared" si="134"/>
        <v>932904</v>
      </c>
      <c r="D73" s="28">
        <f t="shared" si="134"/>
        <v>955788</v>
      </c>
      <c r="E73" s="28">
        <f t="shared" si="134"/>
        <v>969953</v>
      </c>
      <c r="F73" s="28">
        <f t="shared" si="134"/>
        <v>997507</v>
      </c>
      <c r="G73" s="28">
        <f t="shared" si="134"/>
        <v>955562</v>
      </c>
      <c r="H73" s="28">
        <f t="shared" si="134"/>
        <v>986914</v>
      </c>
      <c r="I73" s="28">
        <f t="shared" si="134"/>
        <v>1024039</v>
      </c>
      <c r="J73" s="28">
        <f t="shared" si="134"/>
        <v>1058253</v>
      </c>
      <c r="K73" s="28">
        <f t="shared" si="134"/>
        <v>1021557</v>
      </c>
      <c r="L73" s="28">
        <f t="shared" ref="L73" si="135">L74+L80</f>
        <v>1011248</v>
      </c>
      <c r="M73" s="28">
        <f t="shared" ref="M73:V73" si="136">M74+M80</f>
        <v>927339</v>
      </c>
      <c r="N73" s="28">
        <f t="shared" si="136"/>
        <v>851749</v>
      </c>
      <c r="O73" s="28">
        <f t="shared" si="136"/>
        <v>815670</v>
      </c>
      <c r="P73" s="28">
        <f t="shared" si="136"/>
        <v>776651</v>
      </c>
      <c r="Q73" s="28">
        <f t="shared" si="136"/>
        <v>804448</v>
      </c>
      <c r="R73" s="28">
        <f t="shared" si="136"/>
        <v>834953</v>
      </c>
      <c r="S73" s="28">
        <f t="shared" si="136"/>
        <v>738457</v>
      </c>
      <c r="T73" s="28">
        <f t="shared" si="136"/>
        <v>704506</v>
      </c>
      <c r="U73" s="28">
        <f t="shared" si="136"/>
        <v>680528</v>
      </c>
      <c r="V73" s="28">
        <f t="shared" si="136"/>
        <v>659356</v>
      </c>
      <c r="W73" s="28">
        <f t="shared" ref="W73" si="137">W74+W80</f>
        <v>642947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715958</v>
      </c>
      <c r="C74" s="137">
        <f t="shared" si="138"/>
        <v>737909</v>
      </c>
      <c r="D74" s="137">
        <f t="shared" si="138"/>
        <v>755661</v>
      </c>
      <c r="E74" s="137">
        <f t="shared" si="138"/>
        <v>770572</v>
      </c>
      <c r="F74" s="137">
        <f t="shared" si="138"/>
        <v>759291</v>
      </c>
      <c r="G74" s="137">
        <f t="shared" si="138"/>
        <v>746123</v>
      </c>
      <c r="H74" s="137">
        <f t="shared" si="138"/>
        <v>750835</v>
      </c>
      <c r="I74" s="137">
        <f t="shared" si="138"/>
        <v>792377</v>
      </c>
      <c r="J74" s="137">
        <f t="shared" si="138"/>
        <v>812937</v>
      </c>
      <c r="K74" s="137">
        <f t="shared" si="138"/>
        <v>793089</v>
      </c>
      <c r="L74" s="137">
        <f t="shared" ref="L74" si="139">SUM(L75:L79)</f>
        <v>800042</v>
      </c>
      <c r="M74" s="137">
        <f t="shared" ref="M74:V74" si="140">SUM(M75:M79)</f>
        <v>733926</v>
      </c>
      <c r="N74" s="137">
        <f t="shared" si="140"/>
        <v>676198</v>
      </c>
      <c r="O74" s="137">
        <f t="shared" si="140"/>
        <v>657050</v>
      </c>
      <c r="P74" s="137">
        <f t="shared" si="140"/>
        <v>633662</v>
      </c>
      <c r="Q74" s="137">
        <f t="shared" si="140"/>
        <v>675574</v>
      </c>
      <c r="R74" s="137">
        <f t="shared" si="140"/>
        <v>718524</v>
      </c>
      <c r="S74" s="137">
        <f t="shared" si="140"/>
        <v>638175</v>
      </c>
      <c r="T74" s="137">
        <f t="shared" si="140"/>
        <v>616273</v>
      </c>
      <c r="U74" s="137">
        <f t="shared" si="140"/>
        <v>601564</v>
      </c>
      <c r="V74" s="137">
        <f t="shared" si="140"/>
        <v>586858</v>
      </c>
      <c r="W74" s="137">
        <f t="shared" ref="W74" si="141">SUM(W75:W79)</f>
        <v>572149</v>
      </c>
      <c r="DA74" s="174" t="s">
        <v>516</v>
      </c>
    </row>
    <row r="75" spans="1:105" ht="11.45" customHeight="1" x14ac:dyDescent="0.25">
      <c r="A75" s="111" t="s">
        <v>110</v>
      </c>
      <c r="B75" s="84">
        <v>626942</v>
      </c>
      <c r="C75" s="84">
        <v>637006</v>
      </c>
      <c r="D75" s="84">
        <v>644981</v>
      </c>
      <c r="E75" s="84">
        <v>636548</v>
      </c>
      <c r="F75" s="84">
        <v>614401</v>
      </c>
      <c r="G75" s="84">
        <v>592774</v>
      </c>
      <c r="H75" s="84">
        <v>571009</v>
      </c>
      <c r="I75" s="84">
        <v>588034</v>
      </c>
      <c r="J75" s="84">
        <v>607112</v>
      </c>
      <c r="K75" s="84">
        <v>555544</v>
      </c>
      <c r="L75" s="84">
        <v>525065</v>
      </c>
      <c r="M75" s="84">
        <v>464236</v>
      </c>
      <c r="N75" s="84">
        <v>419779</v>
      </c>
      <c r="O75" s="84">
        <v>375521</v>
      </c>
      <c r="P75" s="84">
        <v>349371</v>
      </c>
      <c r="Q75" s="84">
        <v>342531</v>
      </c>
      <c r="R75" s="84">
        <v>360247</v>
      </c>
      <c r="S75" s="84">
        <v>323508</v>
      </c>
      <c r="T75" s="84">
        <v>318454</v>
      </c>
      <c r="U75" s="84">
        <v>318644</v>
      </c>
      <c r="V75" s="84">
        <v>318837</v>
      </c>
      <c r="W75" s="84">
        <v>319027</v>
      </c>
      <c r="DA75" s="171" t="s">
        <v>517</v>
      </c>
    </row>
    <row r="76" spans="1:105" ht="11.45" customHeight="1" x14ac:dyDescent="0.25">
      <c r="A76" s="111" t="s">
        <v>111</v>
      </c>
      <c r="B76" s="84">
        <v>89016</v>
      </c>
      <c r="C76" s="84">
        <v>100903</v>
      </c>
      <c r="D76" s="84">
        <v>110680</v>
      </c>
      <c r="E76" s="84">
        <v>134024</v>
      </c>
      <c r="F76" s="84">
        <v>144890</v>
      </c>
      <c r="G76" s="84">
        <v>153349</v>
      </c>
      <c r="H76" s="84">
        <v>179826</v>
      </c>
      <c r="I76" s="84">
        <v>204343</v>
      </c>
      <c r="J76" s="84">
        <v>205825</v>
      </c>
      <c r="K76" s="84">
        <v>237545</v>
      </c>
      <c r="L76" s="84">
        <v>274977</v>
      </c>
      <c r="M76" s="84">
        <v>269690</v>
      </c>
      <c r="N76" s="84">
        <v>256419</v>
      </c>
      <c r="O76" s="84">
        <v>281529</v>
      </c>
      <c r="P76" s="84">
        <v>284291</v>
      </c>
      <c r="Q76" s="84">
        <v>333043</v>
      </c>
      <c r="R76" s="84">
        <v>358277</v>
      </c>
      <c r="S76" s="84">
        <v>314667</v>
      </c>
      <c r="T76" s="84">
        <v>297819</v>
      </c>
      <c r="U76" s="84">
        <v>282920</v>
      </c>
      <c r="V76" s="84">
        <v>268021</v>
      </c>
      <c r="W76" s="84">
        <v>253122</v>
      </c>
      <c r="DA76" s="171" t="s">
        <v>518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188977</v>
      </c>
      <c r="C80" s="110">
        <f t="shared" si="142"/>
        <v>194995</v>
      </c>
      <c r="D80" s="110">
        <f t="shared" si="142"/>
        <v>200127</v>
      </c>
      <c r="E80" s="110">
        <f t="shared" si="142"/>
        <v>199381</v>
      </c>
      <c r="F80" s="110">
        <f t="shared" si="142"/>
        <v>238216</v>
      </c>
      <c r="G80" s="110">
        <f t="shared" si="142"/>
        <v>209439</v>
      </c>
      <c r="H80" s="110">
        <f t="shared" si="142"/>
        <v>236079</v>
      </c>
      <c r="I80" s="110">
        <f t="shared" si="142"/>
        <v>231662</v>
      </c>
      <c r="J80" s="110">
        <f t="shared" si="142"/>
        <v>245316</v>
      </c>
      <c r="K80" s="110">
        <f t="shared" si="142"/>
        <v>228468</v>
      </c>
      <c r="L80" s="110">
        <f t="shared" ref="L80" si="143">SUM(L81:L82)</f>
        <v>211206</v>
      </c>
      <c r="M80" s="110">
        <f t="shared" ref="M80:V80" si="144">SUM(M81:M82)</f>
        <v>193413</v>
      </c>
      <c r="N80" s="110">
        <f t="shared" si="144"/>
        <v>175551</v>
      </c>
      <c r="O80" s="110">
        <f t="shared" si="144"/>
        <v>158620</v>
      </c>
      <c r="P80" s="110">
        <f t="shared" si="144"/>
        <v>142989</v>
      </c>
      <c r="Q80" s="110">
        <f t="shared" si="144"/>
        <v>128874</v>
      </c>
      <c r="R80" s="110">
        <f t="shared" si="144"/>
        <v>116429</v>
      </c>
      <c r="S80" s="110">
        <f t="shared" si="144"/>
        <v>100282</v>
      </c>
      <c r="T80" s="110">
        <f t="shared" si="144"/>
        <v>88233</v>
      </c>
      <c r="U80" s="110">
        <f t="shared" si="144"/>
        <v>78964</v>
      </c>
      <c r="V80" s="110">
        <f t="shared" si="144"/>
        <v>72498</v>
      </c>
      <c r="W80" s="110">
        <f t="shared" ref="W80" si="145">SUM(W81:W82)</f>
        <v>70798</v>
      </c>
      <c r="DA80" s="176" t="s">
        <v>522</v>
      </c>
    </row>
    <row r="81" spans="1:105" ht="11.45" customHeight="1" x14ac:dyDescent="0.25">
      <c r="A81" s="128" t="s">
        <v>27</v>
      </c>
      <c r="B81" s="102">
        <v>187601</v>
      </c>
      <c r="C81" s="102">
        <v>193520</v>
      </c>
      <c r="D81" s="102">
        <v>198575</v>
      </c>
      <c r="E81" s="102">
        <v>197796</v>
      </c>
      <c r="F81" s="102">
        <v>236340</v>
      </c>
      <c r="G81" s="102">
        <v>207501</v>
      </c>
      <c r="H81" s="102">
        <v>233713</v>
      </c>
      <c r="I81" s="102">
        <v>229650</v>
      </c>
      <c r="J81" s="102">
        <v>243541</v>
      </c>
      <c r="K81" s="102">
        <v>226885</v>
      </c>
      <c r="L81" s="102">
        <v>209223</v>
      </c>
      <c r="M81" s="102">
        <v>191810</v>
      </c>
      <c r="N81" s="102">
        <v>173761</v>
      </c>
      <c r="O81" s="102">
        <v>156561</v>
      </c>
      <c r="P81" s="102">
        <v>140983</v>
      </c>
      <c r="Q81" s="102">
        <v>126665</v>
      </c>
      <c r="R81" s="102">
        <v>114157</v>
      </c>
      <c r="S81" s="102">
        <v>96727</v>
      </c>
      <c r="T81" s="102">
        <v>84919</v>
      </c>
      <c r="U81" s="102">
        <v>75884</v>
      </c>
      <c r="V81" s="102">
        <v>69237</v>
      </c>
      <c r="W81" s="102">
        <v>68104</v>
      </c>
      <c r="DA81" s="175" t="s">
        <v>523</v>
      </c>
    </row>
    <row r="82" spans="1:105" ht="11.45" customHeight="1" x14ac:dyDescent="0.25">
      <c r="A82" s="138" t="s">
        <v>116</v>
      </c>
      <c r="B82" s="86">
        <v>1376</v>
      </c>
      <c r="C82" s="86">
        <v>1475</v>
      </c>
      <c r="D82" s="86">
        <v>1552</v>
      </c>
      <c r="E82" s="86">
        <v>1585</v>
      </c>
      <c r="F82" s="86">
        <v>1876</v>
      </c>
      <c r="G82" s="86">
        <v>1938</v>
      </c>
      <c r="H82" s="86">
        <v>2366</v>
      </c>
      <c r="I82" s="86">
        <v>2012</v>
      </c>
      <c r="J82" s="86">
        <v>1775</v>
      </c>
      <c r="K82" s="86">
        <v>1583</v>
      </c>
      <c r="L82" s="86">
        <v>1983</v>
      </c>
      <c r="M82" s="86">
        <v>1603</v>
      </c>
      <c r="N82" s="86">
        <v>1790</v>
      </c>
      <c r="O82" s="86">
        <v>2059</v>
      </c>
      <c r="P82" s="86">
        <v>2006</v>
      </c>
      <c r="Q82" s="86">
        <v>2209</v>
      </c>
      <c r="R82" s="86">
        <v>2272</v>
      </c>
      <c r="S82" s="86">
        <v>3555</v>
      </c>
      <c r="T82" s="86">
        <v>3314</v>
      </c>
      <c r="U82" s="86">
        <v>3080</v>
      </c>
      <c r="V82" s="86">
        <v>3261</v>
      </c>
      <c r="W82" s="86">
        <v>2694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5268820</v>
      </c>
      <c r="C84" s="54">
        <f t="shared" si="146"/>
        <v>5579631</v>
      </c>
      <c r="D84" s="54">
        <f t="shared" ref="D84:V84" si="147">D85+D100</f>
        <v>5865430</v>
      </c>
      <c r="E84" s="54">
        <f t="shared" si="147"/>
        <v>6147878</v>
      </c>
      <c r="F84" s="54">
        <f t="shared" si="147"/>
        <v>6350636</v>
      </c>
      <c r="G84" s="54">
        <f t="shared" si="147"/>
        <v>6616258</v>
      </c>
      <c r="H84" s="54">
        <f t="shared" si="147"/>
        <v>6867302</v>
      </c>
      <c r="I84" s="54">
        <f t="shared" si="147"/>
        <v>7248728</v>
      </c>
      <c r="J84" s="54">
        <f t="shared" si="147"/>
        <v>7498359</v>
      </c>
      <c r="K84" s="54">
        <f t="shared" si="147"/>
        <v>7630060</v>
      </c>
      <c r="L84" s="54">
        <f t="shared" si="147"/>
        <v>7734931</v>
      </c>
      <c r="M84" s="54">
        <f t="shared" si="147"/>
        <v>7670161</v>
      </c>
      <c r="N84" s="54">
        <f t="shared" si="147"/>
        <v>7592902</v>
      </c>
      <c r="O84" s="54">
        <f t="shared" si="147"/>
        <v>7516508</v>
      </c>
      <c r="P84" s="54">
        <f t="shared" si="147"/>
        <v>7485588</v>
      </c>
      <c r="Q84" s="54">
        <f t="shared" si="147"/>
        <v>7553586</v>
      </c>
      <c r="R84" s="54">
        <f t="shared" si="147"/>
        <v>7675434</v>
      </c>
      <c r="S84" s="54">
        <f t="shared" si="147"/>
        <v>7657877</v>
      </c>
      <c r="T84" s="54">
        <f t="shared" si="147"/>
        <v>7597435</v>
      </c>
      <c r="U84" s="54">
        <f t="shared" si="147"/>
        <v>7723835</v>
      </c>
      <c r="V84" s="54">
        <f t="shared" si="147"/>
        <v>7816033</v>
      </c>
      <c r="W84" s="54">
        <f t="shared" ref="W84" si="148">W85+W100</f>
        <v>7949881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4363885</v>
      </c>
      <c r="C85" s="28">
        <f t="shared" si="149"/>
        <v>4646727</v>
      </c>
      <c r="D85" s="28">
        <f t="shared" ref="D85:V85" si="150">D86+D87+D94</f>
        <v>4909642</v>
      </c>
      <c r="E85" s="28">
        <f t="shared" si="150"/>
        <v>5177925</v>
      </c>
      <c r="F85" s="28">
        <f t="shared" si="150"/>
        <v>5353129</v>
      </c>
      <c r="G85" s="28">
        <f t="shared" si="150"/>
        <v>5660696</v>
      </c>
      <c r="H85" s="28">
        <f t="shared" si="150"/>
        <v>5880388</v>
      </c>
      <c r="I85" s="28">
        <f t="shared" si="150"/>
        <v>6224689</v>
      </c>
      <c r="J85" s="28">
        <f t="shared" si="150"/>
        <v>6440106</v>
      </c>
      <c r="K85" s="28">
        <f t="shared" si="150"/>
        <v>6608503</v>
      </c>
      <c r="L85" s="28">
        <f t="shared" si="150"/>
        <v>6723683</v>
      </c>
      <c r="M85" s="28">
        <f t="shared" si="150"/>
        <v>6742822</v>
      </c>
      <c r="N85" s="28">
        <f t="shared" si="150"/>
        <v>6741153</v>
      </c>
      <c r="O85" s="28">
        <f t="shared" si="150"/>
        <v>6700838</v>
      </c>
      <c r="P85" s="28">
        <f t="shared" si="150"/>
        <v>6708937</v>
      </c>
      <c r="Q85" s="28">
        <f t="shared" si="150"/>
        <v>6749138</v>
      </c>
      <c r="R85" s="28">
        <f t="shared" si="150"/>
        <v>6840481</v>
      </c>
      <c r="S85" s="28">
        <f t="shared" si="150"/>
        <v>6919420</v>
      </c>
      <c r="T85" s="28">
        <f t="shared" si="150"/>
        <v>6892929</v>
      </c>
      <c r="U85" s="28">
        <f t="shared" si="150"/>
        <v>7043307</v>
      </c>
      <c r="V85" s="28">
        <f t="shared" si="150"/>
        <v>7156677</v>
      </c>
      <c r="W85" s="28">
        <f t="shared" ref="W85" si="151">W86+W87+W94</f>
        <v>7306934</v>
      </c>
      <c r="DA85" s="173"/>
    </row>
    <row r="86" spans="1:105" ht="11.45" hidden="1" customHeight="1" x14ac:dyDescent="0.25">
      <c r="A86" s="136" t="s">
        <v>180</v>
      </c>
      <c r="B86" s="137">
        <v>781361</v>
      </c>
      <c r="C86" s="137">
        <v>853366</v>
      </c>
      <c r="D86" s="137">
        <v>910555</v>
      </c>
      <c r="E86" s="137">
        <v>969895</v>
      </c>
      <c r="F86" s="137">
        <v>1042605</v>
      </c>
      <c r="G86" s="137">
        <v>1124172</v>
      </c>
      <c r="H86" s="137">
        <v>1205816</v>
      </c>
      <c r="I86" s="137">
        <v>1298688</v>
      </c>
      <c r="J86" s="137">
        <v>1388607</v>
      </c>
      <c r="K86" s="137">
        <v>1448851</v>
      </c>
      <c r="L86" s="137">
        <v>1499133</v>
      </c>
      <c r="M86" s="137">
        <v>1534902</v>
      </c>
      <c r="N86" s="137">
        <v>1556435</v>
      </c>
      <c r="O86" s="137">
        <v>1568596</v>
      </c>
      <c r="P86" s="137">
        <v>1592929</v>
      </c>
      <c r="Q86" s="137">
        <v>1619621</v>
      </c>
      <c r="R86" s="137">
        <v>1653528</v>
      </c>
      <c r="S86" s="137">
        <v>1656657</v>
      </c>
      <c r="T86" s="137">
        <v>1583491</v>
      </c>
      <c r="U86" s="137">
        <v>1609923</v>
      </c>
      <c r="V86" s="137">
        <v>1637608</v>
      </c>
      <c r="W86" s="137">
        <v>1675804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3555065</v>
      </c>
      <c r="C87" s="110">
        <f t="shared" si="152"/>
        <v>3765843</v>
      </c>
      <c r="D87" s="110">
        <f t="shared" ref="D87:V87" si="153">SUM(D88:D93)</f>
        <v>3971437</v>
      </c>
      <c r="E87" s="110">
        <f t="shared" si="153"/>
        <v>4180532</v>
      </c>
      <c r="F87" s="110">
        <f t="shared" si="153"/>
        <v>4283372</v>
      </c>
      <c r="G87" s="110">
        <f t="shared" si="153"/>
        <v>4509326</v>
      </c>
      <c r="H87" s="110">
        <f t="shared" si="153"/>
        <v>4647265</v>
      </c>
      <c r="I87" s="110">
        <f t="shared" si="153"/>
        <v>4898530</v>
      </c>
      <c r="J87" s="110">
        <f t="shared" si="153"/>
        <v>5023944</v>
      </c>
      <c r="K87" s="110">
        <f t="shared" si="153"/>
        <v>5131960</v>
      </c>
      <c r="L87" s="110">
        <f t="shared" si="153"/>
        <v>5196873</v>
      </c>
      <c r="M87" s="110">
        <f t="shared" si="153"/>
        <v>5180433</v>
      </c>
      <c r="N87" s="110">
        <f t="shared" si="153"/>
        <v>5157390</v>
      </c>
      <c r="O87" s="110">
        <f t="shared" si="153"/>
        <v>5105093</v>
      </c>
      <c r="P87" s="110">
        <f t="shared" si="153"/>
        <v>5088961</v>
      </c>
      <c r="Q87" s="110">
        <f t="shared" si="153"/>
        <v>5102575</v>
      </c>
      <c r="R87" s="110">
        <f t="shared" si="153"/>
        <v>5160056</v>
      </c>
      <c r="S87" s="110">
        <f t="shared" si="153"/>
        <v>5235928</v>
      </c>
      <c r="T87" s="110">
        <f t="shared" si="153"/>
        <v>5282695</v>
      </c>
      <c r="U87" s="110">
        <f t="shared" si="153"/>
        <v>5406551</v>
      </c>
      <c r="V87" s="110">
        <f t="shared" si="153"/>
        <v>5492176</v>
      </c>
      <c r="W87" s="110">
        <f t="shared" ref="W87" si="154">SUM(W88:W93)</f>
        <v>5604192</v>
      </c>
      <c r="DA87" s="176"/>
    </row>
    <row r="88" spans="1:105" ht="11.45" hidden="1" customHeight="1" x14ac:dyDescent="0.25">
      <c r="A88" s="111" t="s">
        <v>110</v>
      </c>
      <c r="B88" s="84">
        <v>3437712</v>
      </c>
      <c r="C88" s="84">
        <v>3653075</v>
      </c>
      <c r="D88" s="84">
        <v>3859218</v>
      </c>
      <c r="E88" s="84">
        <v>4063433</v>
      </c>
      <c r="F88" s="84">
        <v>4178193</v>
      </c>
      <c r="G88" s="84">
        <v>4402095</v>
      </c>
      <c r="H88" s="84">
        <v>4529645</v>
      </c>
      <c r="I88" s="84">
        <v>4774152</v>
      </c>
      <c r="J88" s="84">
        <v>4901231</v>
      </c>
      <c r="K88" s="84">
        <v>4987108</v>
      </c>
      <c r="L88" s="84">
        <v>5033499</v>
      </c>
      <c r="M88" s="84">
        <v>4976132</v>
      </c>
      <c r="N88" s="84">
        <v>4981221</v>
      </c>
      <c r="O88" s="84">
        <v>4854223</v>
      </c>
      <c r="P88" s="84">
        <v>4768091</v>
      </c>
      <c r="Q88" s="84">
        <v>4758743</v>
      </c>
      <c r="R88" s="84">
        <v>4749369</v>
      </c>
      <c r="S88" s="84">
        <v>4785438</v>
      </c>
      <c r="T88" s="84">
        <v>4777454</v>
      </c>
      <c r="U88" s="84">
        <v>4838018</v>
      </c>
      <c r="V88" s="84">
        <v>4875129</v>
      </c>
      <c r="W88" s="84">
        <v>4993390</v>
      </c>
      <c r="DA88" s="171"/>
    </row>
    <row r="89" spans="1:105" ht="11.45" hidden="1" customHeight="1" x14ac:dyDescent="0.25">
      <c r="A89" s="111" t="s">
        <v>111</v>
      </c>
      <c r="B89" s="84">
        <v>106853</v>
      </c>
      <c r="C89" s="84">
        <v>102368</v>
      </c>
      <c r="D89" s="84">
        <v>101882</v>
      </c>
      <c r="E89" s="84">
        <v>107397</v>
      </c>
      <c r="F89" s="84">
        <v>96144</v>
      </c>
      <c r="G89" s="84">
        <v>98124</v>
      </c>
      <c r="H89" s="84">
        <v>108335</v>
      </c>
      <c r="I89" s="84">
        <v>114198</v>
      </c>
      <c r="J89" s="84">
        <v>112326</v>
      </c>
      <c r="K89" s="84">
        <v>129911</v>
      </c>
      <c r="L89" s="84">
        <v>128461</v>
      </c>
      <c r="M89" s="84">
        <v>119803</v>
      </c>
      <c r="N89" s="84">
        <v>112106</v>
      </c>
      <c r="O89" s="84">
        <v>104563</v>
      </c>
      <c r="P89" s="84">
        <v>160840</v>
      </c>
      <c r="Q89" s="84">
        <v>156270</v>
      </c>
      <c r="R89" s="84">
        <v>195332</v>
      </c>
      <c r="S89" s="84">
        <v>234406</v>
      </c>
      <c r="T89" s="84">
        <v>288311</v>
      </c>
      <c r="U89" s="84">
        <v>348852</v>
      </c>
      <c r="V89" s="84">
        <v>422140</v>
      </c>
      <c r="W89" s="84">
        <v>406517</v>
      </c>
      <c r="DA89" s="171"/>
    </row>
    <row r="90" spans="1:105" ht="11.45" hidden="1" customHeight="1" x14ac:dyDescent="0.25">
      <c r="A90" s="111" t="s">
        <v>112</v>
      </c>
      <c r="B90" s="84">
        <v>10500</v>
      </c>
      <c r="C90" s="84">
        <v>9740</v>
      </c>
      <c r="D90" s="84">
        <v>9263</v>
      </c>
      <c r="E90" s="84">
        <v>8513</v>
      </c>
      <c r="F90" s="84">
        <v>7846</v>
      </c>
      <c r="G90" s="84">
        <v>7779</v>
      </c>
      <c r="H90" s="84">
        <v>7883</v>
      </c>
      <c r="I90" s="84">
        <v>8565</v>
      </c>
      <c r="J90" s="84">
        <v>8784</v>
      </c>
      <c r="K90" s="84">
        <v>12767</v>
      </c>
      <c r="L90" s="84">
        <v>32340</v>
      </c>
      <c r="M90" s="84">
        <v>81770</v>
      </c>
      <c r="N90" s="84">
        <v>61379</v>
      </c>
      <c r="O90" s="84">
        <v>143786</v>
      </c>
      <c r="P90" s="84">
        <v>157464</v>
      </c>
      <c r="Q90" s="84">
        <v>184678</v>
      </c>
      <c r="R90" s="84">
        <v>212380</v>
      </c>
      <c r="S90" s="84">
        <v>212999</v>
      </c>
      <c r="T90" s="84">
        <v>213649</v>
      </c>
      <c r="U90" s="84">
        <v>215785</v>
      </c>
      <c r="V90" s="84">
        <v>187943</v>
      </c>
      <c r="W90" s="84">
        <v>189822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660</v>
      </c>
      <c r="D91" s="84">
        <v>1074</v>
      </c>
      <c r="E91" s="84">
        <v>1189</v>
      </c>
      <c r="F91" s="84">
        <v>1189</v>
      </c>
      <c r="G91" s="84">
        <v>1328</v>
      </c>
      <c r="H91" s="84">
        <v>1402</v>
      </c>
      <c r="I91" s="84">
        <v>1615</v>
      </c>
      <c r="J91" s="84">
        <v>1603</v>
      </c>
      <c r="K91" s="84">
        <v>2174</v>
      </c>
      <c r="L91" s="84">
        <v>2573</v>
      </c>
      <c r="M91" s="84">
        <v>2728</v>
      </c>
      <c r="N91" s="84">
        <v>2682</v>
      </c>
      <c r="O91" s="84">
        <v>2517</v>
      </c>
      <c r="P91" s="84">
        <v>2500</v>
      </c>
      <c r="Q91" s="84">
        <v>2760</v>
      </c>
      <c r="R91" s="84">
        <v>2780</v>
      </c>
      <c r="S91" s="84">
        <v>2730</v>
      </c>
      <c r="T91" s="84">
        <v>2700</v>
      </c>
      <c r="U91" s="84">
        <v>2900</v>
      </c>
      <c r="V91" s="84">
        <v>3829</v>
      </c>
      <c r="W91" s="84">
        <v>4360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1</v>
      </c>
      <c r="O92" s="84">
        <v>1</v>
      </c>
      <c r="P92" s="84">
        <v>21</v>
      </c>
      <c r="Q92" s="84">
        <v>40</v>
      </c>
      <c r="R92" s="84">
        <v>81</v>
      </c>
      <c r="S92" s="84">
        <v>207</v>
      </c>
      <c r="T92" s="84">
        <v>366</v>
      </c>
      <c r="U92" s="84">
        <v>570</v>
      </c>
      <c r="V92" s="84">
        <v>2031</v>
      </c>
      <c r="W92" s="84">
        <v>6823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0</v>
      </c>
      <c r="M93" s="84">
        <v>0</v>
      </c>
      <c r="N93" s="84">
        <v>1</v>
      </c>
      <c r="O93" s="84">
        <v>3</v>
      </c>
      <c r="P93" s="84">
        <v>45</v>
      </c>
      <c r="Q93" s="84">
        <v>84</v>
      </c>
      <c r="R93" s="84">
        <v>114</v>
      </c>
      <c r="S93" s="84">
        <v>148</v>
      </c>
      <c r="T93" s="84">
        <v>215</v>
      </c>
      <c r="U93" s="84">
        <v>426</v>
      </c>
      <c r="V93" s="84">
        <v>1104</v>
      </c>
      <c r="W93" s="84">
        <v>3280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27459</v>
      </c>
      <c r="C94" s="110">
        <f t="shared" si="155"/>
        <v>27518</v>
      </c>
      <c r="D94" s="110">
        <f t="shared" ref="D94:V94" si="156">SUM(D95:D99)</f>
        <v>27650</v>
      </c>
      <c r="E94" s="110">
        <f t="shared" si="156"/>
        <v>27498</v>
      </c>
      <c r="F94" s="110">
        <f t="shared" si="156"/>
        <v>27152</v>
      </c>
      <c r="G94" s="110">
        <f t="shared" si="156"/>
        <v>27198</v>
      </c>
      <c r="H94" s="110">
        <f t="shared" si="156"/>
        <v>27307</v>
      </c>
      <c r="I94" s="110">
        <f t="shared" si="156"/>
        <v>27471</v>
      </c>
      <c r="J94" s="110">
        <f t="shared" si="156"/>
        <v>27555</v>
      </c>
      <c r="K94" s="110">
        <f t="shared" si="156"/>
        <v>27692</v>
      </c>
      <c r="L94" s="110">
        <f t="shared" si="156"/>
        <v>27677</v>
      </c>
      <c r="M94" s="110">
        <f t="shared" si="156"/>
        <v>27487</v>
      </c>
      <c r="N94" s="110">
        <f t="shared" si="156"/>
        <v>27328</v>
      </c>
      <c r="O94" s="110">
        <f t="shared" si="156"/>
        <v>27149</v>
      </c>
      <c r="P94" s="110">
        <f t="shared" si="156"/>
        <v>27047</v>
      </c>
      <c r="Q94" s="110">
        <f t="shared" si="156"/>
        <v>26942</v>
      </c>
      <c r="R94" s="110">
        <f t="shared" si="156"/>
        <v>26897</v>
      </c>
      <c r="S94" s="110">
        <f t="shared" si="156"/>
        <v>26835</v>
      </c>
      <c r="T94" s="110">
        <f t="shared" si="156"/>
        <v>26743</v>
      </c>
      <c r="U94" s="110">
        <f t="shared" si="156"/>
        <v>26833</v>
      </c>
      <c r="V94" s="110">
        <f t="shared" si="156"/>
        <v>26893</v>
      </c>
      <c r="W94" s="110">
        <f t="shared" ref="W94" si="157">SUM(W95:W99)</f>
        <v>26938</v>
      </c>
      <c r="DA94" s="176"/>
    </row>
    <row r="95" spans="1:105" ht="11.45" hidden="1" customHeight="1" x14ac:dyDescent="0.25">
      <c r="A95" s="111" t="s">
        <v>110</v>
      </c>
      <c r="B95" s="102">
        <v>0</v>
      </c>
      <c r="C95" s="102">
        <v>0</v>
      </c>
      <c r="D95" s="102">
        <v>0</v>
      </c>
      <c r="E95" s="102">
        <v>0</v>
      </c>
      <c r="F95" s="102">
        <v>0</v>
      </c>
      <c r="G95" s="102">
        <v>0</v>
      </c>
      <c r="H95" s="102">
        <v>0</v>
      </c>
      <c r="I95" s="102">
        <v>0</v>
      </c>
      <c r="J95" s="102">
        <v>0</v>
      </c>
      <c r="K95" s="102">
        <v>0</v>
      </c>
      <c r="L95" s="102">
        <v>0</v>
      </c>
      <c r="M95" s="102">
        <v>0</v>
      </c>
      <c r="N95" s="102">
        <v>0</v>
      </c>
      <c r="O95" s="102">
        <v>0</v>
      </c>
      <c r="P95" s="102">
        <v>0</v>
      </c>
      <c r="Q95" s="102">
        <v>0</v>
      </c>
      <c r="R95" s="102">
        <v>0</v>
      </c>
      <c r="S95" s="102">
        <v>0</v>
      </c>
      <c r="T95" s="102">
        <v>0</v>
      </c>
      <c r="U95" s="102">
        <v>0</v>
      </c>
      <c r="V95" s="102">
        <v>0</v>
      </c>
      <c r="W95" s="102">
        <v>0</v>
      </c>
      <c r="DA95" s="175"/>
    </row>
    <row r="96" spans="1:105" ht="11.45" hidden="1" customHeight="1" x14ac:dyDescent="0.25">
      <c r="A96" s="111" t="s">
        <v>111</v>
      </c>
      <c r="B96" s="102">
        <v>27459</v>
      </c>
      <c r="C96" s="102">
        <v>27208</v>
      </c>
      <c r="D96" s="102">
        <v>27176</v>
      </c>
      <c r="E96" s="102">
        <v>26982</v>
      </c>
      <c r="F96" s="102">
        <v>26641</v>
      </c>
      <c r="G96" s="102">
        <v>26656</v>
      </c>
      <c r="H96" s="102">
        <v>26747</v>
      </c>
      <c r="I96" s="102">
        <v>26817</v>
      </c>
      <c r="J96" s="102">
        <v>26870</v>
      </c>
      <c r="K96" s="102">
        <v>27030</v>
      </c>
      <c r="L96" s="102">
        <v>27042</v>
      </c>
      <c r="M96" s="102">
        <v>26873</v>
      </c>
      <c r="N96" s="102">
        <v>26718</v>
      </c>
      <c r="O96" s="102">
        <v>26576</v>
      </c>
      <c r="P96" s="102">
        <v>26464</v>
      </c>
      <c r="Q96" s="102">
        <v>26321</v>
      </c>
      <c r="R96" s="102">
        <v>26260</v>
      </c>
      <c r="S96" s="102">
        <v>26248</v>
      </c>
      <c r="T96" s="102">
        <v>26057</v>
      </c>
      <c r="U96" s="102">
        <v>26072</v>
      </c>
      <c r="V96" s="102">
        <v>26040</v>
      </c>
      <c r="W96" s="102">
        <v>25983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0</v>
      </c>
      <c r="W97" s="102">
        <v>0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310</v>
      </c>
      <c r="D98" s="102">
        <v>474</v>
      </c>
      <c r="E98" s="102">
        <v>516</v>
      </c>
      <c r="F98" s="102">
        <v>511</v>
      </c>
      <c r="G98" s="102">
        <v>542</v>
      </c>
      <c r="H98" s="102">
        <v>560</v>
      </c>
      <c r="I98" s="102">
        <v>654</v>
      </c>
      <c r="J98" s="102">
        <v>685</v>
      </c>
      <c r="K98" s="102">
        <v>662</v>
      </c>
      <c r="L98" s="102">
        <v>635</v>
      </c>
      <c r="M98" s="102">
        <v>614</v>
      </c>
      <c r="N98" s="102">
        <v>610</v>
      </c>
      <c r="O98" s="102">
        <v>573</v>
      </c>
      <c r="P98" s="102">
        <v>583</v>
      </c>
      <c r="Q98" s="102">
        <v>621</v>
      </c>
      <c r="R98" s="102">
        <v>637</v>
      </c>
      <c r="S98" s="102">
        <v>587</v>
      </c>
      <c r="T98" s="102">
        <v>686</v>
      </c>
      <c r="U98" s="102">
        <v>760</v>
      </c>
      <c r="V98" s="102">
        <v>852</v>
      </c>
      <c r="W98" s="102">
        <v>954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0</v>
      </c>
      <c r="K99" s="102">
        <v>0</v>
      </c>
      <c r="L99" s="102">
        <v>0</v>
      </c>
      <c r="M99" s="102">
        <v>0</v>
      </c>
      <c r="N99" s="102">
        <v>0</v>
      </c>
      <c r="O99" s="102">
        <v>0</v>
      </c>
      <c r="P99" s="102">
        <v>0</v>
      </c>
      <c r="Q99" s="102">
        <v>0</v>
      </c>
      <c r="R99" s="102">
        <v>0</v>
      </c>
      <c r="S99" s="102">
        <v>0</v>
      </c>
      <c r="T99" s="102">
        <v>0</v>
      </c>
      <c r="U99" s="102">
        <v>1</v>
      </c>
      <c r="V99" s="102">
        <v>1</v>
      </c>
      <c r="W99" s="102">
        <v>1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904935</v>
      </c>
      <c r="C100" s="28">
        <f t="shared" si="158"/>
        <v>932904</v>
      </c>
      <c r="D100" s="28">
        <f t="shared" ref="D100:V100" si="159">D101+D107</f>
        <v>955788</v>
      </c>
      <c r="E100" s="28">
        <f t="shared" si="159"/>
        <v>969953</v>
      </c>
      <c r="F100" s="28">
        <f t="shared" si="159"/>
        <v>997507</v>
      </c>
      <c r="G100" s="28">
        <f t="shared" si="159"/>
        <v>955562</v>
      </c>
      <c r="H100" s="28">
        <f t="shared" si="159"/>
        <v>986914</v>
      </c>
      <c r="I100" s="28">
        <f t="shared" si="159"/>
        <v>1024039</v>
      </c>
      <c r="J100" s="28">
        <f t="shared" si="159"/>
        <v>1058253</v>
      </c>
      <c r="K100" s="28">
        <f t="shared" si="159"/>
        <v>1021557</v>
      </c>
      <c r="L100" s="28">
        <f t="shared" si="159"/>
        <v>1011248</v>
      </c>
      <c r="M100" s="28">
        <f t="shared" si="159"/>
        <v>927339</v>
      </c>
      <c r="N100" s="28">
        <f t="shared" si="159"/>
        <v>851749</v>
      </c>
      <c r="O100" s="28">
        <f t="shared" si="159"/>
        <v>815670</v>
      </c>
      <c r="P100" s="28">
        <f t="shared" si="159"/>
        <v>776651</v>
      </c>
      <c r="Q100" s="28">
        <f t="shared" si="159"/>
        <v>804448</v>
      </c>
      <c r="R100" s="28">
        <f t="shared" si="159"/>
        <v>834953</v>
      </c>
      <c r="S100" s="28">
        <f t="shared" si="159"/>
        <v>738457</v>
      </c>
      <c r="T100" s="28">
        <f t="shared" si="159"/>
        <v>704506</v>
      </c>
      <c r="U100" s="28">
        <f t="shared" si="159"/>
        <v>680528</v>
      </c>
      <c r="V100" s="28">
        <f t="shared" si="159"/>
        <v>659356</v>
      </c>
      <c r="W100" s="28">
        <f t="shared" ref="W100" si="160">W101+W107</f>
        <v>642947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715958</v>
      </c>
      <c r="C101" s="137">
        <f t="shared" si="161"/>
        <v>737909</v>
      </c>
      <c r="D101" s="137">
        <f t="shared" ref="D101:V101" si="162">SUM(D102:D106)</f>
        <v>755661</v>
      </c>
      <c r="E101" s="137">
        <f t="shared" si="162"/>
        <v>770572</v>
      </c>
      <c r="F101" s="137">
        <f t="shared" si="162"/>
        <v>759291</v>
      </c>
      <c r="G101" s="137">
        <f t="shared" si="162"/>
        <v>746123</v>
      </c>
      <c r="H101" s="137">
        <f t="shared" si="162"/>
        <v>750835</v>
      </c>
      <c r="I101" s="137">
        <f t="shared" si="162"/>
        <v>792377</v>
      </c>
      <c r="J101" s="137">
        <f t="shared" si="162"/>
        <v>812937</v>
      </c>
      <c r="K101" s="137">
        <f t="shared" si="162"/>
        <v>793089</v>
      </c>
      <c r="L101" s="137">
        <f t="shared" si="162"/>
        <v>800042</v>
      </c>
      <c r="M101" s="137">
        <f t="shared" si="162"/>
        <v>733926</v>
      </c>
      <c r="N101" s="137">
        <f t="shared" si="162"/>
        <v>676198</v>
      </c>
      <c r="O101" s="137">
        <f t="shared" si="162"/>
        <v>657050</v>
      </c>
      <c r="P101" s="137">
        <f t="shared" si="162"/>
        <v>633662</v>
      </c>
      <c r="Q101" s="137">
        <f t="shared" si="162"/>
        <v>675574</v>
      </c>
      <c r="R101" s="137">
        <f t="shared" si="162"/>
        <v>718524</v>
      </c>
      <c r="S101" s="137">
        <f t="shared" si="162"/>
        <v>638175</v>
      </c>
      <c r="T101" s="137">
        <f t="shared" si="162"/>
        <v>616273</v>
      </c>
      <c r="U101" s="137">
        <f t="shared" si="162"/>
        <v>601564</v>
      </c>
      <c r="V101" s="137">
        <f t="shared" si="162"/>
        <v>586858</v>
      </c>
      <c r="W101" s="137">
        <f t="shared" ref="W101" si="163">SUM(W102:W106)</f>
        <v>572149</v>
      </c>
      <c r="DA101" s="174"/>
    </row>
    <row r="102" spans="1:105" ht="11.45" hidden="1" customHeight="1" x14ac:dyDescent="0.25">
      <c r="A102" s="111" t="s">
        <v>110</v>
      </c>
      <c r="B102" s="84">
        <v>626942</v>
      </c>
      <c r="C102" s="84">
        <v>637006</v>
      </c>
      <c r="D102" s="84">
        <v>644981</v>
      </c>
      <c r="E102" s="84">
        <v>636548</v>
      </c>
      <c r="F102" s="84">
        <v>614401</v>
      </c>
      <c r="G102" s="84">
        <v>592774</v>
      </c>
      <c r="H102" s="84">
        <v>571009</v>
      </c>
      <c r="I102" s="84">
        <v>588034</v>
      </c>
      <c r="J102" s="84">
        <v>607112</v>
      </c>
      <c r="K102" s="84">
        <v>555544</v>
      </c>
      <c r="L102" s="84">
        <v>525065</v>
      </c>
      <c r="M102" s="84">
        <v>464236</v>
      </c>
      <c r="N102" s="84">
        <v>419779</v>
      </c>
      <c r="O102" s="84">
        <v>375521</v>
      </c>
      <c r="P102" s="84">
        <v>349371</v>
      </c>
      <c r="Q102" s="84">
        <v>342531</v>
      </c>
      <c r="R102" s="84">
        <v>360247</v>
      </c>
      <c r="S102" s="84">
        <v>323508</v>
      </c>
      <c r="T102" s="84">
        <v>318454</v>
      </c>
      <c r="U102" s="84">
        <v>318644</v>
      </c>
      <c r="V102" s="84">
        <v>318837</v>
      </c>
      <c r="W102" s="84">
        <v>319027</v>
      </c>
      <c r="DA102" s="171"/>
    </row>
    <row r="103" spans="1:105" ht="11.45" hidden="1" customHeight="1" x14ac:dyDescent="0.25">
      <c r="A103" s="111" t="s">
        <v>111</v>
      </c>
      <c r="B103" s="84">
        <v>89016</v>
      </c>
      <c r="C103" s="84">
        <v>100903</v>
      </c>
      <c r="D103" s="84">
        <v>110680</v>
      </c>
      <c r="E103" s="84">
        <v>134024</v>
      </c>
      <c r="F103" s="84">
        <v>144890</v>
      </c>
      <c r="G103" s="84">
        <v>153349</v>
      </c>
      <c r="H103" s="84">
        <v>179826</v>
      </c>
      <c r="I103" s="84">
        <v>204343</v>
      </c>
      <c r="J103" s="84">
        <v>205825</v>
      </c>
      <c r="K103" s="84">
        <v>237545</v>
      </c>
      <c r="L103" s="84">
        <v>274977</v>
      </c>
      <c r="M103" s="84">
        <v>269690</v>
      </c>
      <c r="N103" s="84">
        <v>256419</v>
      </c>
      <c r="O103" s="84">
        <v>281529</v>
      </c>
      <c r="P103" s="84">
        <v>284291</v>
      </c>
      <c r="Q103" s="84">
        <v>333043</v>
      </c>
      <c r="R103" s="84">
        <v>358277</v>
      </c>
      <c r="S103" s="84">
        <v>314667</v>
      </c>
      <c r="T103" s="84">
        <v>297819</v>
      </c>
      <c r="U103" s="84">
        <v>282920</v>
      </c>
      <c r="V103" s="84">
        <v>268021</v>
      </c>
      <c r="W103" s="84">
        <v>253122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0</v>
      </c>
      <c r="O104" s="84">
        <v>0</v>
      </c>
      <c r="P104" s="84">
        <v>0</v>
      </c>
      <c r="Q104" s="84">
        <v>0</v>
      </c>
      <c r="R104" s="84">
        <v>0</v>
      </c>
      <c r="S104" s="84">
        <v>0</v>
      </c>
      <c r="T104" s="84">
        <v>0</v>
      </c>
      <c r="U104" s="84">
        <v>0</v>
      </c>
      <c r="V104" s="84">
        <v>0</v>
      </c>
      <c r="W104" s="84">
        <v>0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0</v>
      </c>
      <c r="Q105" s="84">
        <v>0</v>
      </c>
      <c r="R105" s="84">
        <v>0</v>
      </c>
      <c r="S105" s="84">
        <v>0</v>
      </c>
      <c r="T105" s="84">
        <v>0</v>
      </c>
      <c r="U105" s="84">
        <v>0</v>
      </c>
      <c r="V105" s="84">
        <v>0</v>
      </c>
      <c r="W105" s="84">
        <v>0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0</v>
      </c>
      <c r="N106" s="84">
        <v>0</v>
      </c>
      <c r="O106" s="84">
        <v>0</v>
      </c>
      <c r="P106" s="84">
        <v>0</v>
      </c>
      <c r="Q106" s="84">
        <v>0</v>
      </c>
      <c r="R106" s="84">
        <v>0</v>
      </c>
      <c r="S106" s="84">
        <v>0</v>
      </c>
      <c r="T106" s="84">
        <v>0</v>
      </c>
      <c r="U106" s="84">
        <v>0</v>
      </c>
      <c r="V106" s="84">
        <v>0</v>
      </c>
      <c r="W106" s="84">
        <v>0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188977</v>
      </c>
      <c r="C107" s="110">
        <f t="shared" si="164"/>
        <v>194995</v>
      </c>
      <c r="D107" s="110">
        <f t="shared" ref="D107:V107" si="165">SUM(D108:D109)</f>
        <v>200127</v>
      </c>
      <c r="E107" s="110">
        <f t="shared" si="165"/>
        <v>199381</v>
      </c>
      <c r="F107" s="110">
        <f t="shared" si="165"/>
        <v>238216</v>
      </c>
      <c r="G107" s="110">
        <f t="shared" si="165"/>
        <v>209439</v>
      </c>
      <c r="H107" s="110">
        <f t="shared" si="165"/>
        <v>236079</v>
      </c>
      <c r="I107" s="110">
        <f t="shared" si="165"/>
        <v>231662</v>
      </c>
      <c r="J107" s="110">
        <f t="shared" si="165"/>
        <v>245316</v>
      </c>
      <c r="K107" s="110">
        <f t="shared" si="165"/>
        <v>228468</v>
      </c>
      <c r="L107" s="110">
        <f t="shared" si="165"/>
        <v>211206</v>
      </c>
      <c r="M107" s="110">
        <f t="shared" si="165"/>
        <v>193413</v>
      </c>
      <c r="N107" s="110">
        <f t="shared" si="165"/>
        <v>175551</v>
      </c>
      <c r="O107" s="110">
        <f t="shared" si="165"/>
        <v>158620</v>
      </c>
      <c r="P107" s="110">
        <f t="shared" si="165"/>
        <v>142989</v>
      </c>
      <c r="Q107" s="110">
        <f t="shared" si="165"/>
        <v>128874</v>
      </c>
      <c r="R107" s="110">
        <f t="shared" si="165"/>
        <v>116429</v>
      </c>
      <c r="S107" s="110">
        <f t="shared" si="165"/>
        <v>100282</v>
      </c>
      <c r="T107" s="110">
        <f t="shared" si="165"/>
        <v>88233</v>
      </c>
      <c r="U107" s="110">
        <f t="shared" si="165"/>
        <v>78964</v>
      </c>
      <c r="V107" s="110">
        <f t="shared" si="165"/>
        <v>72498</v>
      </c>
      <c r="W107" s="110">
        <f t="shared" ref="W107" si="166">SUM(W108:W109)</f>
        <v>70798</v>
      </c>
      <c r="DA107" s="176"/>
    </row>
    <row r="108" spans="1:105" ht="11.45" hidden="1" customHeight="1" x14ac:dyDescent="0.25">
      <c r="A108" s="128" t="s">
        <v>27</v>
      </c>
      <c r="B108" s="102">
        <v>187601</v>
      </c>
      <c r="C108" s="102">
        <v>193520</v>
      </c>
      <c r="D108" s="102">
        <v>198575</v>
      </c>
      <c r="E108" s="102">
        <v>197796</v>
      </c>
      <c r="F108" s="102">
        <v>236340</v>
      </c>
      <c r="G108" s="102">
        <v>207501</v>
      </c>
      <c r="H108" s="102">
        <v>233713</v>
      </c>
      <c r="I108" s="102">
        <v>229650</v>
      </c>
      <c r="J108" s="102">
        <v>243541</v>
      </c>
      <c r="K108" s="102">
        <v>226885</v>
      </c>
      <c r="L108" s="102">
        <v>209223</v>
      </c>
      <c r="M108" s="102">
        <v>191810</v>
      </c>
      <c r="N108" s="102">
        <v>173761</v>
      </c>
      <c r="O108" s="102">
        <v>156561</v>
      </c>
      <c r="P108" s="102">
        <v>140983</v>
      </c>
      <c r="Q108" s="102">
        <v>126665</v>
      </c>
      <c r="R108" s="102">
        <v>114157</v>
      </c>
      <c r="S108" s="102">
        <v>96727</v>
      </c>
      <c r="T108" s="102">
        <v>84919</v>
      </c>
      <c r="U108" s="102">
        <v>75884</v>
      </c>
      <c r="V108" s="102">
        <v>69237</v>
      </c>
      <c r="W108" s="102">
        <v>68104</v>
      </c>
      <c r="DA108" s="175"/>
    </row>
    <row r="109" spans="1:105" ht="11.45" hidden="1" customHeight="1" x14ac:dyDescent="0.25">
      <c r="A109" s="138" t="s">
        <v>116</v>
      </c>
      <c r="B109" s="86">
        <v>1376</v>
      </c>
      <c r="C109" s="86">
        <v>1475</v>
      </c>
      <c r="D109" s="86">
        <v>1552</v>
      </c>
      <c r="E109" s="86">
        <v>1585</v>
      </c>
      <c r="F109" s="86">
        <v>1876</v>
      </c>
      <c r="G109" s="86">
        <v>1938</v>
      </c>
      <c r="H109" s="86">
        <v>2366</v>
      </c>
      <c r="I109" s="86">
        <v>2012</v>
      </c>
      <c r="J109" s="86">
        <v>1775</v>
      </c>
      <c r="K109" s="86">
        <v>1583</v>
      </c>
      <c r="L109" s="86">
        <v>1983</v>
      </c>
      <c r="M109" s="86">
        <v>1603</v>
      </c>
      <c r="N109" s="86">
        <v>1790</v>
      </c>
      <c r="O109" s="86">
        <v>2059</v>
      </c>
      <c r="P109" s="86">
        <v>2006</v>
      </c>
      <c r="Q109" s="86">
        <v>2209</v>
      </c>
      <c r="R109" s="86">
        <v>2272</v>
      </c>
      <c r="S109" s="86">
        <v>3555</v>
      </c>
      <c r="T109" s="86">
        <v>3314</v>
      </c>
      <c r="U109" s="86">
        <v>3080</v>
      </c>
      <c r="V109" s="86">
        <v>3261</v>
      </c>
      <c r="W109" s="86">
        <v>2694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394315</v>
      </c>
      <c r="C111" s="54">
        <f t="shared" si="167"/>
        <v>614026</v>
      </c>
      <c r="D111" s="54">
        <f t="shared" si="167"/>
        <v>517548</v>
      </c>
      <c r="E111" s="54">
        <f t="shared" si="167"/>
        <v>540707</v>
      </c>
      <c r="F111" s="54">
        <f t="shared" si="167"/>
        <v>501645</v>
      </c>
      <c r="G111" s="54">
        <f t="shared" si="167"/>
        <v>600644</v>
      </c>
      <c r="H111" s="54">
        <f t="shared" si="167"/>
        <v>586517</v>
      </c>
      <c r="I111" s="54">
        <f t="shared" si="167"/>
        <v>753597</v>
      </c>
      <c r="J111" s="54">
        <f t="shared" si="167"/>
        <v>644947</v>
      </c>
      <c r="K111" s="54">
        <f t="shared" si="167"/>
        <v>538194</v>
      </c>
      <c r="L111" s="54">
        <f t="shared" ref="L111" si="168">L112+L127</f>
        <v>524215</v>
      </c>
      <c r="M111" s="54">
        <f t="shared" ref="M111:V111" si="169">M112+M127</f>
        <v>371411</v>
      </c>
      <c r="N111" s="54">
        <f t="shared" si="169"/>
        <v>369281</v>
      </c>
      <c r="O111" s="54">
        <f t="shared" si="169"/>
        <v>354832</v>
      </c>
      <c r="P111" s="54">
        <f t="shared" si="169"/>
        <v>412289</v>
      </c>
      <c r="Q111" s="54">
        <f t="shared" si="169"/>
        <v>515347</v>
      </c>
      <c r="R111" s="54">
        <f t="shared" si="169"/>
        <v>446512</v>
      </c>
      <c r="S111" s="54">
        <f t="shared" si="169"/>
        <v>343641</v>
      </c>
      <c r="T111" s="54">
        <f t="shared" si="169"/>
        <v>362843</v>
      </c>
      <c r="U111" s="54">
        <f t="shared" si="169"/>
        <v>484926</v>
      </c>
      <c r="V111" s="54">
        <f t="shared" si="169"/>
        <v>483736</v>
      </c>
      <c r="W111" s="54">
        <f t="shared" ref="W111" si="170">W112+W127</f>
        <v>685429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394177</v>
      </c>
      <c r="C112" s="28">
        <f t="shared" si="171"/>
        <v>536588</v>
      </c>
      <c r="D112" s="28">
        <f t="shared" si="171"/>
        <v>438179</v>
      </c>
      <c r="E112" s="28">
        <f t="shared" si="171"/>
        <v>465927</v>
      </c>
      <c r="F112" s="28">
        <f t="shared" si="171"/>
        <v>405043</v>
      </c>
      <c r="G112" s="28">
        <f t="shared" si="171"/>
        <v>550148</v>
      </c>
      <c r="H112" s="28">
        <f t="shared" si="171"/>
        <v>489198</v>
      </c>
      <c r="I112" s="28">
        <f t="shared" si="171"/>
        <v>638985</v>
      </c>
      <c r="J112" s="28">
        <f t="shared" si="171"/>
        <v>528575</v>
      </c>
      <c r="K112" s="28">
        <f t="shared" si="171"/>
        <v>488194</v>
      </c>
      <c r="L112" s="28">
        <f t="shared" ref="L112" si="172">L113+L114+L121</f>
        <v>447337</v>
      </c>
      <c r="M112" s="28">
        <f t="shared" ref="M112:V112" si="173">M113+M114+M121</f>
        <v>360867</v>
      </c>
      <c r="N112" s="28">
        <f t="shared" si="173"/>
        <v>364721</v>
      </c>
      <c r="O112" s="28">
        <f t="shared" si="173"/>
        <v>312043</v>
      </c>
      <c r="P112" s="28">
        <f t="shared" si="173"/>
        <v>373191</v>
      </c>
      <c r="Q112" s="28">
        <f t="shared" si="173"/>
        <v>411657</v>
      </c>
      <c r="R112" s="28">
        <f t="shared" si="173"/>
        <v>343712</v>
      </c>
      <c r="S112" s="28">
        <f t="shared" si="173"/>
        <v>333439</v>
      </c>
      <c r="T112" s="28">
        <f t="shared" si="173"/>
        <v>327309</v>
      </c>
      <c r="U112" s="28">
        <f t="shared" si="173"/>
        <v>443720</v>
      </c>
      <c r="V112" s="28">
        <f t="shared" si="173"/>
        <v>447087</v>
      </c>
      <c r="W112" s="28">
        <f t="shared" ref="W112" si="174">W113+W114+W121</f>
        <v>646000</v>
      </c>
      <c r="DA112" s="173" t="s">
        <v>526</v>
      </c>
    </row>
    <row r="113" spans="1:105" ht="11.45" customHeight="1" x14ac:dyDescent="0.25">
      <c r="A113" s="136" t="s">
        <v>180</v>
      </c>
      <c r="B113" s="137">
        <v>89659</v>
      </c>
      <c r="C113" s="137">
        <v>117215</v>
      </c>
      <c r="D113" s="137">
        <v>97985</v>
      </c>
      <c r="E113" s="137">
        <v>102197</v>
      </c>
      <c r="F113" s="137">
        <v>122161</v>
      </c>
      <c r="G113" s="137">
        <v>136088</v>
      </c>
      <c r="H113" s="137">
        <v>137910</v>
      </c>
      <c r="I113" s="137">
        <v>155343</v>
      </c>
      <c r="J113" s="137">
        <v>153159</v>
      </c>
      <c r="K113" s="137">
        <v>113502</v>
      </c>
      <c r="L113" s="137">
        <v>100821</v>
      </c>
      <c r="M113" s="137">
        <v>81558</v>
      </c>
      <c r="N113" s="137">
        <v>62380</v>
      </c>
      <c r="O113" s="137">
        <v>49711</v>
      </c>
      <c r="P113" s="137">
        <v>67007</v>
      </c>
      <c r="Q113" s="137">
        <v>70820</v>
      </c>
      <c r="R113" s="137">
        <v>81481</v>
      </c>
      <c r="S113" s="137">
        <v>39105</v>
      </c>
      <c r="T113" s="137">
        <v>45605</v>
      </c>
      <c r="U113" s="137">
        <v>70258</v>
      </c>
      <c r="V113" s="137">
        <v>72568</v>
      </c>
      <c r="W113" s="137">
        <v>87864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302605</v>
      </c>
      <c r="C114" s="110">
        <f t="shared" si="175"/>
        <v>417069</v>
      </c>
      <c r="D114" s="110">
        <f t="shared" si="175"/>
        <v>337740</v>
      </c>
      <c r="E114" s="110">
        <f t="shared" si="175"/>
        <v>361325</v>
      </c>
      <c r="F114" s="110">
        <f t="shared" si="175"/>
        <v>281026</v>
      </c>
      <c r="G114" s="110">
        <f t="shared" si="175"/>
        <v>411633</v>
      </c>
      <c r="H114" s="110">
        <f t="shared" si="175"/>
        <v>348835</v>
      </c>
      <c r="I114" s="110">
        <f t="shared" si="175"/>
        <v>481191</v>
      </c>
      <c r="J114" s="110">
        <f t="shared" si="175"/>
        <v>373118</v>
      </c>
      <c r="K114" s="110">
        <f t="shared" si="175"/>
        <v>372422</v>
      </c>
      <c r="L114" s="110">
        <f t="shared" ref="L114" si="176">SUM(L115:L120)</f>
        <v>344483</v>
      </c>
      <c r="M114" s="110">
        <f t="shared" ref="M114:V114" si="177">SUM(M115:M120)</f>
        <v>277532</v>
      </c>
      <c r="N114" s="110">
        <f t="shared" si="177"/>
        <v>300606</v>
      </c>
      <c r="O114" s="110">
        <f t="shared" si="177"/>
        <v>260676</v>
      </c>
      <c r="P114" s="110">
        <f t="shared" si="177"/>
        <v>304496</v>
      </c>
      <c r="Q114" s="110">
        <f t="shared" si="177"/>
        <v>339178</v>
      </c>
      <c r="R114" s="110">
        <f t="shared" si="177"/>
        <v>260881</v>
      </c>
      <c r="S114" s="110">
        <f t="shared" si="177"/>
        <v>292889</v>
      </c>
      <c r="T114" s="110">
        <f t="shared" si="177"/>
        <v>280206</v>
      </c>
      <c r="U114" s="110">
        <f t="shared" si="177"/>
        <v>371699</v>
      </c>
      <c r="V114" s="110">
        <f t="shared" si="177"/>
        <v>372719</v>
      </c>
      <c r="W114" s="110">
        <f t="shared" ref="W114" si="178">SUM(W115:W120)</f>
        <v>556303</v>
      </c>
      <c r="DA114" s="176" t="s">
        <v>528</v>
      </c>
    </row>
    <row r="115" spans="1:105" ht="11.45" customHeight="1" x14ac:dyDescent="0.25">
      <c r="A115" s="111" t="s">
        <v>110</v>
      </c>
      <c r="B115" s="84">
        <v>300456</v>
      </c>
      <c r="C115" s="84">
        <v>415608</v>
      </c>
      <c r="D115" s="84">
        <v>333584</v>
      </c>
      <c r="E115" s="84">
        <v>350929</v>
      </c>
      <c r="F115" s="84">
        <v>281015</v>
      </c>
      <c r="G115" s="84">
        <v>409497</v>
      </c>
      <c r="H115" s="84">
        <v>332050</v>
      </c>
      <c r="I115" s="84">
        <v>467255</v>
      </c>
      <c r="J115" s="84">
        <v>367233</v>
      </c>
      <c r="K115" s="84">
        <v>342420</v>
      </c>
      <c r="L115" s="84">
        <v>317810</v>
      </c>
      <c r="M115" s="84">
        <v>227147</v>
      </c>
      <c r="N115" s="84">
        <v>300568</v>
      </c>
      <c r="O115" s="84">
        <v>177253</v>
      </c>
      <c r="P115" s="84">
        <v>224649</v>
      </c>
      <c r="Q115" s="84">
        <v>305677</v>
      </c>
      <c r="R115" s="84">
        <v>185763</v>
      </c>
      <c r="S115" s="84">
        <v>247505</v>
      </c>
      <c r="T115" s="84">
        <v>218265</v>
      </c>
      <c r="U115" s="84">
        <v>299960</v>
      </c>
      <c r="V115" s="84">
        <v>287907</v>
      </c>
      <c r="W115" s="84">
        <v>501067</v>
      </c>
      <c r="DA115" s="171" t="s">
        <v>529</v>
      </c>
    </row>
    <row r="116" spans="1:105" ht="11.45" customHeight="1" x14ac:dyDescent="0.25">
      <c r="A116" s="111" t="s">
        <v>111</v>
      </c>
      <c r="B116" s="84">
        <v>2149</v>
      </c>
      <c r="C116" s="84">
        <v>801</v>
      </c>
      <c r="D116" s="84">
        <v>3741</v>
      </c>
      <c r="E116" s="84">
        <v>10275</v>
      </c>
      <c r="F116" s="84">
        <v>0</v>
      </c>
      <c r="G116" s="84">
        <v>1980</v>
      </c>
      <c r="H116" s="84">
        <v>16155</v>
      </c>
      <c r="I116" s="84">
        <v>12399</v>
      </c>
      <c r="J116" s="84">
        <v>5008</v>
      </c>
      <c r="K116" s="84">
        <v>24754</v>
      </c>
      <c r="L116" s="84">
        <v>5979</v>
      </c>
      <c r="M116" s="84">
        <v>0</v>
      </c>
      <c r="N116" s="84">
        <v>0</v>
      </c>
      <c r="O116" s="84">
        <v>0</v>
      </c>
      <c r="P116" s="84">
        <v>63578</v>
      </c>
      <c r="Q116" s="84">
        <v>3323</v>
      </c>
      <c r="R116" s="84">
        <v>42973</v>
      </c>
      <c r="S116" s="84">
        <v>43668</v>
      </c>
      <c r="T116" s="84">
        <v>59414</v>
      </c>
      <c r="U116" s="84">
        <v>67144</v>
      </c>
      <c r="V116" s="84">
        <v>81245</v>
      </c>
      <c r="W116" s="84">
        <v>44894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0</v>
      </c>
      <c r="D117" s="84">
        <v>0</v>
      </c>
      <c r="E117" s="84">
        <v>0</v>
      </c>
      <c r="F117" s="84">
        <v>0</v>
      </c>
      <c r="G117" s="84">
        <v>0</v>
      </c>
      <c r="H117" s="84">
        <v>532</v>
      </c>
      <c r="I117" s="84">
        <v>1294</v>
      </c>
      <c r="J117" s="84">
        <v>850</v>
      </c>
      <c r="K117" s="84">
        <v>4630</v>
      </c>
      <c r="L117" s="84">
        <v>20238</v>
      </c>
      <c r="M117" s="84">
        <v>50161</v>
      </c>
      <c r="N117" s="84">
        <v>0</v>
      </c>
      <c r="O117" s="84">
        <v>83419</v>
      </c>
      <c r="P117" s="84">
        <v>16186</v>
      </c>
      <c r="Q117" s="84">
        <v>29722</v>
      </c>
      <c r="R117" s="84">
        <v>31873</v>
      </c>
      <c r="S117" s="84">
        <v>1428</v>
      </c>
      <c r="T117" s="84">
        <v>2136</v>
      </c>
      <c r="U117" s="84">
        <v>3730</v>
      </c>
      <c r="V117" s="84">
        <v>71</v>
      </c>
      <c r="W117" s="84">
        <v>1986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660</v>
      </c>
      <c r="D118" s="84">
        <v>415</v>
      </c>
      <c r="E118" s="84">
        <v>121</v>
      </c>
      <c r="F118" s="84">
        <v>11</v>
      </c>
      <c r="G118" s="84">
        <v>156</v>
      </c>
      <c r="H118" s="84">
        <v>98</v>
      </c>
      <c r="I118" s="84">
        <v>243</v>
      </c>
      <c r="J118" s="84">
        <v>27</v>
      </c>
      <c r="K118" s="84">
        <v>618</v>
      </c>
      <c r="L118" s="84">
        <v>456</v>
      </c>
      <c r="M118" s="84">
        <v>224</v>
      </c>
      <c r="N118" s="84">
        <v>36</v>
      </c>
      <c r="O118" s="84">
        <v>0</v>
      </c>
      <c r="P118" s="84">
        <v>20</v>
      </c>
      <c r="Q118" s="84">
        <v>378</v>
      </c>
      <c r="R118" s="84">
        <v>150</v>
      </c>
      <c r="S118" s="84">
        <v>90</v>
      </c>
      <c r="T118" s="84">
        <v>120</v>
      </c>
      <c r="U118" s="84">
        <v>359</v>
      </c>
      <c r="V118" s="84">
        <v>1354</v>
      </c>
      <c r="W118" s="84">
        <v>1349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1</v>
      </c>
      <c r="O119" s="84">
        <v>1</v>
      </c>
      <c r="P119" s="84">
        <v>21</v>
      </c>
      <c r="Q119" s="84">
        <v>39</v>
      </c>
      <c r="R119" s="84">
        <v>81</v>
      </c>
      <c r="S119" s="84">
        <v>155</v>
      </c>
      <c r="T119" s="84">
        <v>194</v>
      </c>
      <c r="U119" s="84">
        <v>294</v>
      </c>
      <c r="V119" s="84">
        <v>1463</v>
      </c>
      <c r="W119" s="84">
        <v>4811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0</v>
      </c>
      <c r="M120" s="84">
        <v>0</v>
      </c>
      <c r="N120" s="84">
        <v>1</v>
      </c>
      <c r="O120" s="84">
        <v>3</v>
      </c>
      <c r="P120" s="84">
        <v>42</v>
      </c>
      <c r="Q120" s="84">
        <v>39</v>
      </c>
      <c r="R120" s="84">
        <v>41</v>
      </c>
      <c r="S120" s="84">
        <v>43</v>
      </c>
      <c r="T120" s="84">
        <v>77</v>
      </c>
      <c r="U120" s="84">
        <v>212</v>
      </c>
      <c r="V120" s="84">
        <v>679</v>
      </c>
      <c r="W120" s="84">
        <v>2196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1913</v>
      </c>
      <c r="C121" s="110">
        <f t="shared" si="179"/>
        <v>2304</v>
      </c>
      <c r="D121" s="110">
        <f t="shared" si="179"/>
        <v>2454</v>
      </c>
      <c r="E121" s="110">
        <f t="shared" si="179"/>
        <v>2405</v>
      </c>
      <c r="F121" s="110">
        <f t="shared" si="179"/>
        <v>1856</v>
      </c>
      <c r="G121" s="110">
        <f t="shared" si="179"/>
        <v>2427</v>
      </c>
      <c r="H121" s="110">
        <f t="shared" si="179"/>
        <v>2453</v>
      </c>
      <c r="I121" s="110">
        <f t="shared" si="179"/>
        <v>2451</v>
      </c>
      <c r="J121" s="110">
        <f t="shared" si="179"/>
        <v>2298</v>
      </c>
      <c r="K121" s="110">
        <f t="shared" si="179"/>
        <v>2270</v>
      </c>
      <c r="L121" s="110">
        <f t="shared" ref="L121" si="180">SUM(L122:L126)</f>
        <v>2033</v>
      </c>
      <c r="M121" s="110">
        <f t="shared" ref="M121:V121" si="181">SUM(M122:M126)</f>
        <v>1777</v>
      </c>
      <c r="N121" s="110">
        <f t="shared" si="181"/>
        <v>1735</v>
      </c>
      <c r="O121" s="110">
        <f t="shared" si="181"/>
        <v>1656</v>
      </c>
      <c r="P121" s="110">
        <f t="shared" si="181"/>
        <v>1688</v>
      </c>
      <c r="Q121" s="110">
        <f t="shared" si="181"/>
        <v>1659</v>
      </c>
      <c r="R121" s="110">
        <f t="shared" si="181"/>
        <v>1350</v>
      </c>
      <c r="S121" s="110">
        <f t="shared" si="181"/>
        <v>1445</v>
      </c>
      <c r="T121" s="110">
        <f t="shared" si="181"/>
        <v>1498</v>
      </c>
      <c r="U121" s="110">
        <f t="shared" si="181"/>
        <v>1763</v>
      </c>
      <c r="V121" s="110">
        <f t="shared" si="181"/>
        <v>1800</v>
      </c>
      <c r="W121" s="110">
        <f t="shared" ref="W121" si="182">SUM(W122:W126)</f>
        <v>1833</v>
      </c>
      <c r="DA121" s="176" t="s">
        <v>535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0</v>
      </c>
      <c r="K122" s="102">
        <v>0</v>
      </c>
      <c r="L122" s="102">
        <v>0</v>
      </c>
      <c r="M122" s="102">
        <v>0</v>
      </c>
      <c r="N122" s="102">
        <v>0</v>
      </c>
      <c r="O122" s="102">
        <v>0</v>
      </c>
      <c r="P122" s="102">
        <v>0</v>
      </c>
      <c r="Q122" s="102">
        <v>0</v>
      </c>
      <c r="R122" s="102">
        <v>0</v>
      </c>
      <c r="S122" s="102">
        <v>0</v>
      </c>
      <c r="T122" s="102">
        <v>0</v>
      </c>
      <c r="U122" s="102">
        <v>0</v>
      </c>
      <c r="V122" s="102">
        <v>0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1913</v>
      </c>
      <c r="C123" s="102">
        <v>1994</v>
      </c>
      <c r="D123" s="102">
        <v>2289</v>
      </c>
      <c r="E123" s="102">
        <v>2360</v>
      </c>
      <c r="F123" s="102">
        <v>1856</v>
      </c>
      <c r="G123" s="102">
        <v>2387</v>
      </c>
      <c r="H123" s="102">
        <v>2423</v>
      </c>
      <c r="I123" s="102">
        <v>2341</v>
      </c>
      <c r="J123" s="102">
        <v>2248</v>
      </c>
      <c r="K123" s="102">
        <v>2270</v>
      </c>
      <c r="L123" s="102">
        <v>2033</v>
      </c>
      <c r="M123" s="102">
        <v>1767</v>
      </c>
      <c r="N123" s="102">
        <v>1705</v>
      </c>
      <c r="O123" s="102">
        <v>1656</v>
      </c>
      <c r="P123" s="102">
        <v>1638</v>
      </c>
      <c r="Q123" s="102">
        <v>1579</v>
      </c>
      <c r="R123" s="102">
        <v>1290</v>
      </c>
      <c r="S123" s="102">
        <v>1445</v>
      </c>
      <c r="T123" s="102">
        <v>1358</v>
      </c>
      <c r="U123" s="102">
        <v>1642</v>
      </c>
      <c r="V123" s="102">
        <v>1660</v>
      </c>
      <c r="W123" s="102">
        <v>1683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310</v>
      </c>
      <c r="D125" s="102">
        <v>165</v>
      </c>
      <c r="E125" s="102">
        <v>45</v>
      </c>
      <c r="F125" s="102">
        <v>0</v>
      </c>
      <c r="G125" s="102">
        <v>40</v>
      </c>
      <c r="H125" s="102">
        <v>30</v>
      </c>
      <c r="I125" s="102">
        <v>110</v>
      </c>
      <c r="J125" s="102">
        <v>50</v>
      </c>
      <c r="K125" s="102">
        <v>0</v>
      </c>
      <c r="L125" s="102">
        <v>0</v>
      </c>
      <c r="M125" s="102">
        <v>10</v>
      </c>
      <c r="N125" s="102">
        <v>30</v>
      </c>
      <c r="O125" s="102">
        <v>0</v>
      </c>
      <c r="P125" s="102">
        <v>50</v>
      </c>
      <c r="Q125" s="102">
        <v>80</v>
      </c>
      <c r="R125" s="102">
        <v>60</v>
      </c>
      <c r="S125" s="102">
        <v>0</v>
      </c>
      <c r="T125" s="102">
        <v>140</v>
      </c>
      <c r="U125" s="102">
        <v>120</v>
      </c>
      <c r="V125" s="102">
        <v>140</v>
      </c>
      <c r="W125" s="102">
        <v>150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0</v>
      </c>
      <c r="O126" s="102">
        <v>0</v>
      </c>
      <c r="P126" s="102">
        <v>0</v>
      </c>
      <c r="Q126" s="102">
        <v>0</v>
      </c>
      <c r="R126" s="102">
        <v>0</v>
      </c>
      <c r="S126" s="102">
        <v>0</v>
      </c>
      <c r="T126" s="102">
        <v>0</v>
      </c>
      <c r="U126" s="102">
        <v>1</v>
      </c>
      <c r="V126" s="102">
        <v>0</v>
      </c>
      <c r="W126" s="102">
        <v>0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138</v>
      </c>
      <c r="C127" s="28">
        <f t="shared" si="183"/>
        <v>77438</v>
      </c>
      <c r="D127" s="28">
        <f t="shared" si="183"/>
        <v>79369</v>
      </c>
      <c r="E127" s="28">
        <f t="shared" si="183"/>
        <v>74780</v>
      </c>
      <c r="F127" s="28">
        <f t="shared" si="183"/>
        <v>96602</v>
      </c>
      <c r="G127" s="28">
        <f t="shared" si="183"/>
        <v>50496</v>
      </c>
      <c r="H127" s="28">
        <f t="shared" si="183"/>
        <v>97319</v>
      </c>
      <c r="I127" s="28">
        <f t="shared" si="183"/>
        <v>114612</v>
      </c>
      <c r="J127" s="28">
        <f t="shared" si="183"/>
        <v>116372</v>
      </c>
      <c r="K127" s="28">
        <f t="shared" si="183"/>
        <v>50000</v>
      </c>
      <c r="L127" s="28">
        <f t="shared" ref="L127" si="184">L128+L134</f>
        <v>76878</v>
      </c>
      <c r="M127" s="28">
        <f t="shared" ref="M127:V127" si="185">M128+M134</f>
        <v>10544</v>
      </c>
      <c r="N127" s="28">
        <f t="shared" si="185"/>
        <v>4560</v>
      </c>
      <c r="O127" s="28">
        <f t="shared" si="185"/>
        <v>42789</v>
      </c>
      <c r="P127" s="28">
        <f t="shared" si="185"/>
        <v>39098</v>
      </c>
      <c r="Q127" s="28">
        <f t="shared" si="185"/>
        <v>103690</v>
      </c>
      <c r="R127" s="28">
        <f t="shared" si="185"/>
        <v>102800</v>
      </c>
      <c r="S127" s="28">
        <f t="shared" si="185"/>
        <v>10202</v>
      </c>
      <c r="T127" s="28">
        <f t="shared" si="185"/>
        <v>35534</v>
      </c>
      <c r="U127" s="28">
        <f t="shared" si="185"/>
        <v>41206</v>
      </c>
      <c r="V127" s="28">
        <f t="shared" si="185"/>
        <v>36649</v>
      </c>
      <c r="W127" s="28">
        <f t="shared" ref="W127" si="186">W128+W134</f>
        <v>39429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0</v>
      </c>
      <c r="C128" s="137">
        <f t="shared" si="187"/>
        <v>63609</v>
      </c>
      <c r="D128" s="137">
        <f t="shared" si="187"/>
        <v>65072</v>
      </c>
      <c r="E128" s="137">
        <f t="shared" si="187"/>
        <v>67491</v>
      </c>
      <c r="F128" s="137">
        <f t="shared" si="187"/>
        <v>45983</v>
      </c>
      <c r="G128" s="137">
        <f t="shared" si="187"/>
        <v>47975</v>
      </c>
      <c r="H128" s="137">
        <f t="shared" si="187"/>
        <v>68730</v>
      </c>
      <c r="I128" s="137">
        <f t="shared" si="187"/>
        <v>107432</v>
      </c>
      <c r="J128" s="137">
        <f t="shared" si="187"/>
        <v>87533</v>
      </c>
      <c r="K128" s="137">
        <f t="shared" si="187"/>
        <v>47565</v>
      </c>
      <c r="L128" s="137">
        <f t="shared" ref="L128" si="188">SUM(L129:L133)</f>
        <v>74098</v>
      </c>
      <c r="M128" s="137">
        <f t="shared" ref="M128:V128" si="189">SUM(M129:M133)</f>
        <v>8452</v>
      </c>
      <c r="N128" s="137">
        <f t="shared" si="189"/>
        <v>2364</v>
      </c>
      <c r="O128" s="137">
        <f t="shared" si="189"/>
        <v>40684</v>
      </c>
      <c r="P128" s="137">
        <f t="shared" si="189"/>
        <v>37418</v>
      </c>
      <c r="Q128" s="137">
        <f t="shared" si="189"/>
        <v>100797</v>
      </c>
      <c r="R128" s="137">
        <f t="shared" si="189"/>
        <v>100141</v>
      </c>
      <c r="S128" s="137">
        <f t="shared" si="189"/>
        <v>6451</v>
      </c>
      <c r="T128" s="137">
        <f t="shared" si="189"/>
        <v>33241</v>
      </c>
      <c r="U128" s="137">
        <f t="shared" si="189"/>
        <v>38921</v>
      </c>
      <c r="V128" s="137">
        <f t="shared" si="189"/>
        <v>34040</v>
      </c>
      <c r="W128" s="137">
        <f t="shared" ref="W128" si="190">SUM(W129:W133)</f>
        <v>37011</v>
      </c>
      <c r="DA128" s="174" t="s">
        <v>542</v>
      </c>
    </row>
    <row r="129" spans="1:105" ht="11.45" customHeight="1" x14ac:dyDescent="0.25">
      <c r="A129" s="111" t="s">
        <v>110</v>
      </c>
      <c r="B129" s="84">
        <v>0</v>
      </c>
      <c r="C129" s="84">
        <v>46543</v>
      </c>
      <c r="D129" s="84">
        <v>49379</v>
      </c>
      <c r="E129" s="84">
        <v>37481</v>
      </c>
      <c r="F129" s="84">
        <v>27664</v>
      </c>
      <c r="G129" s="84">
        <v>31241</v>
      </c>
      <c r="H129" s="84">
        <v>33183</v>
      </c>
      <c r="I129" s="84">
        <v>73030</v>
      </c>
      <c r="J129" s="84">
        <v>75268</v>
      </c>
      <c r="K129" s="84">
        <v>4160</v>
      </c>
      <c r="L129" s="84">
        <v>24044</v>
      </c>
      <c r="M129" s="84">
        <v>0</v>
      </c>
      <c r="N129" s="84">
        <v>187</v>
      </c>
      <c r="O129" s="84">
        <v>91</v>
      </c>
      <c r="P129" s="84">
        <v>17572</v>
      </c>
      <c r="Q129" s="84">
        <v>33837</v>
      </c>
      <c r="R129" s="84">
        <v>55451</v>
      </c>
      <c r="S129" s="84">
        <v>61</v>
      </c>
      <c r="T129" s="84">
        <v>26620</v>
      </c>
      <c r="U129" s="84">
        <v>31586</v>
      </c>
      <c r="V129" s="84">
        <v>27729</v>
      </c>
      <c r="W129" s="84">
        <v>27503</v>
      </c>
      <c r="DA129" s="171" t="s">
        <v>543</v>
      </c>
    </row>
    <row r="130" spans="1:105" ht="11.45" customHeight="1" x14ac:dyDescent="0.25">
      <c r="A130" s="111" t="s">
        <v>111</v>
      </c>
      <c r="B130" s="84">
        <v>0</v>
      </c>
      <c r="C130" s="84">
        <v>17066</v>
      </c>
      <c r="D130" s="84">
        <v>15693</v>
      </c>
      <c r="E130" s="84">
        <v>30010</v>
      </c>
      <c r="F130" s="84">
        <v>18319</v>
      </c>
      <c r="G130" s="84">
        <v>16734</v>
      </c>
      <c r="H130" s="84">
        <v>35547</v>
      </c>
      <c r="I130" s="84">
        <v>34402</v>
      </c>
      <c r="J130" s="84">
        <v>12265</v>
      </c>
      <c r="K130" s="84">
        <v>43405</v>
      </c>
      <c r="L130" s="84">
        <v>50054</v>
      </c>
      <c r="M130" s="84">
        <v>8452</v>
      </c>
      <c r="N130" s="84">
        <v>2177</v>
      </c>
      <c r="O130" s="84">
        <v>40593</v>
      </c>
      <c r="P130" s="84">
        <v>19846</v>
      </c>
      <c r="Q130" s="84">
        <v>66960</v>
      </c>
      <c r="R130" s="84">
        <v>44690</v>
      </c>
      <c r="S130" s="84">
        <v>6390</v>
      </c>
      <c r="T130" s="84">
        <v>6621</v>
      </c>
      <c r="U130" s="84">
        <v>7335</v>
      </c>
      <c r="V130" s="84">
        <v>6311</v>
      </c>
      <c r="W130" s="84">
        <v>9508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0</v>
      </c>
      <c r="O131" s="84">
        <v>0</v>
      </c>
      <c r="P131" s="84">
        <v>0</v>
      </c>
      <c r="Q131" s="84">
        <v>0</v>
      </c>
      <c r="R131" s="84">
        <v>0</v>
      </c>
      <c r="S131" s="84">
        <v>0</v>
      </c>
      <c r="T131" s="84">
        <v>0</v>
      </c>
      <c r="U131" s="84">
        <v>0</v>
      </c>
      <c r="V131" s="84">
        <v>0</v>
      </c>
      <c r="W131" s="84">
        <v>0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0</v>
      </c>
      <c r="P132" s="84">
        <v>0</v>
      </c>
      <c r="Q132" s="84">
        <v>0</v>
      </c>
      <c r="R132" s="84">
        <v>0</v>
      </c>
      <c r="S132" s="84">
        <v>0</v>
      </c>
      <c r="T132" s="84">
        <v>0</v>
      </c>
      <c r="U132" s="84">
        <v>0</v>
      </c>
      <c r="V132" s="84">
        <v>0</v>
      </c>
      <c r="W132" s="84">
        <v>0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0</v>
      </c>
      <c r="N133" s="84">
        <v>0</v>
      </c>
      <c r="O133" s="84">
        <v>0</v>
      </c>
      <c r="P133" s="84">
        <v>0</v>
      </c>
      <c r="Q133" s="84">
        <v>0</v>
      </c>
      <c r="R133" s="84">
        <v>0</v>
      </c>
      <c r="S133" s="84">
        <v>0</v>
      </c>
      <c r="T133" s="84">
        <v>0</v>
      </c>
      <c r="U133" s="84">
        <v>0</v>
      </c>
      <c r="V133" s="84">
        <v>0</v>
      </c>
      <c r="W133" s="84">
        <v>0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138</v>
      </c>
      <c r="C134" s="110">
        <f t="shared" si="191"/>
        <v>13829</v>
      </c>
      <c r="D134" s="110">
        <f t="shared" si="191"/>
        <v>14297</v>
      </c>
      <c r="E134" s="110">
        <f t="shared" si="191"/>
        <v>7289</v>
      </c>
      <c r="F134" s="110">
        <f t="shared" si="191"/>
        <v>50619</v>
      </c>
      <c r="G134" s="110">
        <f t="shared" si="191"/>
        <v>2521</v>
      </c>
      <c r="H134" s="110">
        <f t="shared" si="191"/>
        <v>28589</v>
      </c>
      <c r="I134" s="110">
        <f t="shared" si="191"/>
        <v>7180</v>
      </c>
      <c r="J134" s="110">
        <f t="shared" si="191"/>
        <v>28839</v>
      </c>
      <c r="K134" s="110">
        <f t="shared" si="191"/>
        <v>2435</v>
      </c>
      <c r="L134" s="110">
        <f t="shared" ref="L134" si="192">SUM(L135:L136)</f>
        <v>2780</v>
      </c>
      <c r="M134" s="110">
        <f t="shared" ref="M134:V134" si="193">SUM(M135:M136)</f>
        <v>2092</v>
      </c>
      <c r="N134" s="110">
        <f t="shared" si="193"/>
        <v>2196</v>
      </c>
      <c r="O134" s="110">
        <f t="shared" si="193"/>
        <v>2105</v>
      </c>
      <c r="P134" s="110">
        <f t="shared" si="193"/>
        <v>1680</v>
      </c>
      <c r="Q134" s="110">
        <f t="shared" si="193"/>
        <v>2893</v>
      </c>
      <c r="R134" s="110">
        <f t="shared" si="193"/>
        <v>2659</v>
      </c>
      <c r="S134" s="110">
        <f t="shared" si="193"/>
        <v>3751</v>
      </c>
      <c r="T134" s="110">
        <f t="shared" si="193"/>
        <v>2293</v>
      </c>
      <c r="U134" s="110">
        <f t="shared" si="193"/>
        <v>2285</v>
      </c>
      <c r="V134" s="110">
        <f t="shared" si="193"/>
        <v>2609</v>
      </c>
      <c r="W134" s="110">
        <f t="shared" ref="W134" si="194">SUM(W135:W136)</f>
        <v>2418</v>
      </c>
      <c r="DA134" s="176" t="s">
        <v>548</v>
      </c>
    </row>
    <row r="135" spans="1:105" ht="11.45" customHeight="1" x14ac:dyDescent="0.25">
      <c r="A135" s="128" t="s">
        <v>27</v>
      </c>
      <c r="B135" s="102">
        <v>0</v>
      </c>
      <c r="C135" s="102">
        <v>13680</v>
      </c>
      <c r="D135" s="102">
        <v>14159</v>
      </c>
      <c r="E135" s="102">
        <v>7184</v>
      </c>
      <c r="F135" s="102">
        <v>50245</v>
      </c>
      <c r="G135" s="102">
        <v>2363</v>
      </c>
      <c r="H135" s="102">
        <v>28053</v>
      </c>
      <c r="I135" s="102">
        <v>7180</v>
      </c>
      <c r="J135" s="102">
        <v>28839</v>
      </c>
      <c r="K135" s="102">
        <v>2435</v>
      </c>
      <c r="L135" s="102">
        <v>2269</v>
      </c>
      <c r="M135" s="102">
        <v>2092</v>
      </c>
      <c r="N135" s="102">
        <v>1918</v>
      </c>
      <c r="O135" s="102">
        <v>1738</v>
      </c>
      <c r="P135" s="102">
        <v>1626</v>
      </c>
      <c r="Q135" s="102">
        <v>2571</v>
      </c>
      <c r="R135" s="102">
        <v>2469</v>
      </c>
      <c r="S135" s="102">
        <v>2331</v>
      </c>
      <c r="T135" s="102">
        <v>2293</v>
      </c>
      <c r="U135" s="102">
        <v>2285</v>
      </c>
      <c r="V135" s="102">
        <v>2261</v>
      </c>
      <c r="W135" s="102">
        <v>2418</v>
      </c>
      <c r="DA135" s="175" t="s">
        <v>549</v>
      </c>
    </row>
    <row r="136" spans="1:105" ht="11.45" customHeight="1" x14ac:dyDescent="0.25">
      <c r="A136" s="138" t="s">
        <v>116</v>
      </c>
      <c r="B136" s="86">
        <v>138</v>
      </c>
      <c r="C136" s="86">
        <v>149</v>
      </c>
      <c r="D136" s="86">
        <v>138</v>
      </c>
      <c r="E136" s="86">
        <v>105</v>
      </c>
      <c r="F136" s="86">
        <v>374</v>
      </c>
      <c r="G136" s="86">
        <v>158</v>
      </c>
      <c r="H136" s="86">
        <v>536</v>
      </c>
      <c r="I136" s="86">
        <v>0</v>
      </c>
      <c r="J136" s="86">
        <v>0</v>
      </c>
      <c r="K136" s="86">
        <v>0</v>
      </c>
      <c r="L136" s="86">
        <v>511</v>
      </c>
      <c r="M136" s="86">
        <v>0</v>
      </c>
      <c r="N136" s="86">
        <v>278</v>
      </c>
      <c r="O136" s="86">
        <v>367</v>
      </c>
      <c r="P136" s="86">
        <v>54</v>
      </c>
      <c r="Q136" s="86">
        <v>322</v>
      </c>
      <c r="R136" s="86">
        <v>190</v>
      </c>
      <c r="S136" s="86">
        <v>1420</v>
      </c>
      <c r="T136" s="86">
        <v>0</v>
      </c>
      <c r="U136" s="86">
        <v>0</v>
      </c>
      <c r="V136" s="86">
        <v>348</v>
      </c>
      <c r="W136" s="86">
        <v>0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2.429715209234268</v>
      </c>
      <c r="C141" s="32">
        <f t="shared" si="195"/>
        <v>2.3735054241913001</v>
      </c>
      <c r="D141" s="32">
        <f t="shared" si="195"/>
        <v>2.3235631584340308</v>
      </c>
      <c r="E141" s="32">
        <f t="shared" si="195"/>
        <v>2.2768191502191479</v>
      </c>
      <c r="F141" s="32">
        <f t="shared" si="195"/>
        <v>2.2295338539635861</v>
      </c>
      <c r="G141" s="32">
        <f t="shared" si="195"/>
        <v>2.1911827347919139</v>
      </c>
      <c r="H141" s="32">
        <f t="shared" si="195"/>
        <v>2.1796365335131376</v>
      </c>
      <c r="I141" s="32">
        <f t="shared" si="195"/>
        <v>2.1674833447319264</v>
      </c>
      <c r="J141" s="32">
        <f t="shared" si="195"/>
        <v>2.1551819504222611</v>
      </c>
      <c r="K141" s="32">
        <f t="shared" si="195"/>
        <v>2.1311195573520316</v>
      </c>
      <c r="L141" s="32">
        <f t="shared" ref="L141" si="196">IF(L4=0,0,L4/L31)</f>
        <v>2.1210116162815327</v>
      </c>
      <c r="M141" s="32">
        <f t="shared" ref="M141:V141" si="197">IF(M4=0,0,M4/M31)</f>
        <v>2.2345160759948692</v>
      </c>
      <c r="N141" s="32">
        <f t="shared" si="197"/>
        <v>2.4993046602976561</v>
      </c>
      <c r="O141" s="32">
        <f t="shared" si="197"/>
        <v>2.5807878246620972</v>
      </c>
      <c r="P141" s="32">
        <f t="shared" si="197"/>
        <v>2.617285246799415</v>
      </c>
      <c r="Q141" s="32">
        <f t="shared" si="197"/>
        <v>2.6600755290721958</v>
      </c>
      <c r="R141" s="32">
        <f t="shared" si="197"/>
        <v>2.6428024982837108</v>
      </c>
      <c r="S141" s="32">
        <f t="shared" si="197"/>
        <v>2.6497424176375333</v>
      </c>
      <c r="T141" s="32">
        <f t="shared" si="197"/>
        <v>2.6542495359642659</v>
      </c>
      <c r="U141" s="32">
        <f t="shared" si="197"/>
        <v>2.6314146684640316</v>
      </c>
      <c r="V141" s="32">
        <f t="shared" si="197"/>
        <v>2.3714154574075885</v>
      </c>
      <c r="W141" s="32">
        <f t="shared" ref="W141" si="198">IF(W4=0,0,W4/W31)</f>
        <v>2.4641983069092159</v>
      </c>
      <c r="DA141" s="173" t="s">
        <v>551</v>
      </c>
    </row>
    <row r="142" spans="1:105" ht="11.45" customHeight="1" x14ac:dyDescent="0.25">
      <c r="A142" s="136" t="s">
        <v>180</v>
      </c>
      <c r="B142" s="141">
        <v>1.1549472685768511</v>
      </c>
      <c r="C142" s="141">
        <v>1.1549251164250136</v>
      </c>
      <c r="D142" s="141">
        <v>1.154724433005738</v>
      </c>
      <c r="E142" s="141">
        <v>1.1552093820866824</v>
      </c>
      <c r="F142" s="141">
        <v>1.1553640856511078</v>
      </c>
      <c r="G142" s="141">
        <v>1.1543178727366703</v>
      </c>
      <c r="H142" s="141">
        <v>1.1546398637822317</v>
      </c>
      <c r="I142" s="141">
        <v>1.156493139331968</v>
      </c>
      <c r="J142" s="141">
        <v>1.1571017737935942</v>
      </c>
      <c r="K142" s="141">
        <v>1.1576570562583652</v>
      </c>
      <c r="L142" s="141">
        <v>1.1556682113354202</v>
      </c>
      <c r="M142" s="141">
        <v>1.1546558434345868</v>
      </c>
      <c r="N142" s="141">
        <v>1.1475295413899498</v>
      </c>
      <c r="O142" s="141">
        <v>1.1469392088128179</v>
      </c>
      <c r="P142" s="141">
        <v>1.1494295322312345</v>
      </c>
      <c r="Q142" s="141">
        <v>1.1514161199072457</v>
      </c>
      <c r="R142" s="141">
        <v>1.1526525002416432</v>
      </c>
      <c r="S142" s="141">
        <v>1.1510861482930255</v>
      </c>
      <c r="T142" s="141">
        <v>1.1495773222988503</v>
      </c>
      <c r="U142" s="141">
        <v>1.1505755273687763</v>
      </c>
      <c r="V142" s="141">
        <v>1.149188730209322</v>
      </c>
      <c r="W142" s="141">
        <v>1.149225095467302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1.9632235015945285</v>
      </c>
      <c r="C143" s="130">
        <f t="shared" si="199"/>
        <v>1.9437856451430986</v>
      </c>
      <c r="D143" s="130">
        <f t="shared" si="199"/>
        <v>1.9245402427159375</v>
      </c>
      <c r="E143" s="130">
        <f t="shared" si="199"/>
        <v>1.9054853888276611</v>
      </c>
      <c r="F143" s="130">
        <f t="shared" si="199"/>
        <v>1.8866191968590711</v>
      </c>
      <c r="G143" s="130">
        <f t="shared" si="199"/>
        <v>1.8679397988703679</v>
      </c>
      <c r="H143" s="130">
        <f t="shared" si="199"/>
        <v>1.8667085718066627</v>
      </c>
      <c r="I143" s="130">
        <f t="shared" si="199"/>
        <v>1.8677012181686554</v>
      </c>
      <c r="J143" s="130">
        <f t="shared" si="199"/>
        <v>1.8718884578968267</v>
      </c>
      <c r="K143" s="130">
        <f t="shared" si="199"/>
        <v>1.8718884578968273</v>
      </c>
      <c r="L143" s="130">
        <f t="shared" ref="L143" si="200">IF(L6=0,0,L6/L33)</f>
        <v>1.8718884578968267</v>
      </c>
      <c r="M143" s="130">
        <f t="shared" ref="M143:V143" si="201">IF(M6=0,0,M6/M33)</f>
        <v>1.9872210651037956</v>
      </c>
      <c r="N143" s="130">
        <f t="shared" si="201"/>
        <v>2.2706907204621367</v>
      </c>
      <c r="O143" s="130">
        <f t="shared" si="201"/>
        <v>2.3621100484451274</v>
      </c>
      <c r="P143" s="130">
        <f t="shared" si="201"/>
        <v>2.4150860023170351</v>
      </c>
      <c r="Q143" s="130">
        <f t="shared" si="201"/>
        <v>2.4637600037495448</v>
      </c>
      <c r="R143" s="130">
        <f t="shared" si="201"/>
        <v>2.4596696537866944</v>
      </c>
      <c r="S143" s="130">
        <f t="shared" si="201"/>
        <v>2.4644395255736358</v>
      </c>
      <c r="T143" s="130">
        <f t="shared" si="201"/>
        <v>2.4553422615885241</v>
      </c>
      <c r="U143" s="130">
        <f t="shared" si="201"/>
        <v>2.450852497918357</v>
      </c>
      <c r="V143" s="130">
        <f t="shared" si="201"/>
        <v>2.278898821643581</v>
      </c>
      <c r="W143" s="130">
        <f t="shared" ref="W143" si="202">IF(W6=0,0,W6/W33)</f>
        <v>2.3869266338392015</v>
      </c>
      <c r="DA143" s="176" t="s">
        <v>553</v>
      </c>
    </row>
    <row r="144" spans="1:105" ht="11.45" customHeight="1" x14ac:dyDescent="0.25">
      <c r="A144" s="111" t="s">
        <v>110</v>
      </c>
      <c r="B144" s="96">
        <v>1.9615122964185843</v>
      </c>
      <c r="C144" s="96">
        <v>1.9422956701378946</v>
      </c>
      <c r="D144" s="96">
        <v>1.9231341279165</v>
      </c>
      <c r="E144" s="96">
        <v>1.9040493123914823</v>
      </c>
      <c r="F144" s="96">
        <v>1.8854119769797262</v>
      </c>
      <c r="G144" s="96">
        <v>1.8667839442848548</v>
      </c>
      <c r="H144" s="96">
        <v>1.8654720889640297</v>
      </c>
      <c r="I144" s="96">
        <v>1.8664734601801285</v>
      </c>
      <c r="J144" s="96">
        <v>1.8707616782219909</v>
      </c>
      <c r="K144" s="96">
        <v>1.8706784134394963</v>
      </c>
      <c r="L144" s="96">
        <v>1.8711116017404086</v>
      </c>
      <c r="M144" s="96">
        <v>1.9875958255936244</v>
      </c>
      <c r="N144" s="96">
        <v>2.2707218965264691</v>
      </c>
      <c r="O144" s="96">
        <v>2.3651329019281371</v>
      </c>
      <c r="P144" s="96">
        <v>2.4176246556128906</v>
      </c>
      <c r="Q144" s="96">
        <v>2.4674763690865249</v>
      </c>
      <c r="R144" s="96">
        <v>2.4632413267622444</v>
      </c>
      <c r="S144" s="96">
        <v>2.4667293762704232</v>
      </c>
      <c r="T144" s="96">
        <v>2.4560598081814984</v>
      </c>
      <c r="U144" s="96">
        <v>2.4502383045429199</v>
      </c>
      <c r="V144" s="96">
        <v>2.2761721550489744</v>
      </c>
      <c r="W144" s="96">
        <v>2.3843948995239996</v>
      </c>
      <c r="DA144" s="171" t="s">
        <v>554</v>
      </c>
    </row>
    <row r="145" spans="1:105" ht="11.45" customHeight="1" x14ac:dyDescent="0.25">
      <c r="A145" s="111" t="s">
        <v>111</v>
      </c>
      <c r="B145" s="96">
        <v>1.9909349808648615</v>
      </c>
      <c r="C145" s="96">
        <v>1.9714301051899628</v>
      </c>
      <c r="D145" s="96">
        <v>1.9519811398352576</v>
      </c>
      <c r="E145" s="96">
        <v>1.9326100520773553</v>
      </c>
      <c r="F145" s="96">
        <v>1.9136931566344211</v>
      </c>
      <c r="G145" s="96">
        <v>1.8947857034491311</v>
      </c>
      <c r="H145" s="96">
        <v>1.8934541702984853</v>
      </c>
      <c r="I145" s="96">
        <v>1.894470562082829</v>
      </c>
      <c r="J145" s="96">
        <v>1.8988231033953209</v>
      </c>
      <c r="K145" s="96">
        <v>1.8987385896410931</v>
      </c>
      <c r="L145" s="96">
        <v>1.899178275766513</v>
      </c>
      <c r="M145" s="96">
        <v>2.0174097629775289</v>
      </c>
      <c r="N145" s="96">
        <v>2.3047827249743542</v>
      </c>
      <c r="O145" s="96">
        <v>2.4006098954570589</v>
      </c>
      <c r="P145" s="96">
        <v>2.4538890254470802</v>
      </c>
      <c r="Q145" s="96">
        <v>2.5044885146228233</v>
      </c>
      <c r="R145" s="96">
        <v>2.5001899466636752</v>
      </c>
      <c r="S145" s="96">
        <v>2.5037303169144813</v>
      </c>
      <c r="T145" s="96">
        <v>2.4929007053042218</v>
      </c>
      <c r="U145" s="96">
        <v>2.4869918791110637</v>
      </c>
      <c r="V145" s="96">
        <v>2.3103147373747071</v>
      </c>
      <c r="W145" s="96">
        <v>2.4201608230168588</v>
      </c>
      <c r="DA145" s="171" t="s">
        <v>555</v>
      </c>
    </row>
    <row r="146" spans="1:105" ht="11.45" customHeight="1" x14ac:dyDescent="0.25">
      <c r="A146" s="111" t="s">
        <v>112</v>
      </c>
      <c r="B146" s="96">
        <v>1.9043267965466926</v>
      </c>
      <c r="C146" s="96">
        <v>1.8854720757888053</v>
      </c>
      <c r="D146" s="96">
        <v>1.8668040354344588</v>
      </c>
      <c r="E146" s="96">
        <v>1.8483208271628311</v>
      </c>
      <c r="F146" s="96">
        <v>1.8300206209532988</v>
      </c>
      <c r="G146" s="96">
        <v>1.8119016049042567</v>
      </c>
      <c r="H146" s="96">
        <v>1.8107073146524626</v>
      </c>
      <c r="I146" s="96">
        <v>1.8116701816235956</v>
      </c>
      <c r="J146" s="96">
        <v>1.8157318041599215</v>
      </c>
      <c r="K146" s="96">
        <v>1.8157318041599222</v>
      </c>
      <c r="L146" s="96">
        <v>1.8157318041599215</v>
      </c>
      <c r="M146" s="96">
        <v>1.9276044331506814</v>
      </c>
      <c r="N146" s="96">
        <v>2.2025699988482721</v>
      </c>
      <c r="O146" s="96">
        <v>2.2912467469917734</v>
      </c>
      <c r="P146" s="96">
        <v>2.3426334222475238</v>
      </c>
      <c r="Q146" s="96">
        <v>2.3898472036370584</v>
      </c>
      <c r="R146" s="96">
        <v>2.3858795641730928</v>
      </c>
      <c r="S146" s="96">
        <v>2.3905063398064264</v>
      </c>
      <c r="T146" s="96">
        <v>2.3816819937408682</v>
      </c>
      <c r="U146" s="96">
        <v>2.3773269229808061</v>
      </c>
      <c r="V146" s="96">
        <v>2.2105318569942738</v>
      </c>
      <c r="W146" s="96">
        <v>2.315318834824025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1.885472075788805</v>
      </c>
      <c r="D147" s="96">
        <v>1.8668040354344591</v>
      </c>
      <c r="E147" s="96">
        <v>1.8483208271628309</v>
      </c>
      <c r="F147" s="96">
        <v>1.8300206209532988</v>
      </c>
      <c r="G147" s="96">
        <v>1.8119016049042567</v>
      </c>
      <c r="H147" s="96">
        <v>1.8107073146524626</v>
      </c>
      <c r="I147" s="96">
        <v>1.8116701816235956</v>
      </c>
      <c r="J147" s="96">
        <v>1.8157318041599215</v>
      </c>
      <c r="K147" s="96">
        <v>1.8157318041599222</v>
      </c>
      <c r="L147" s="96">
        <v>1.8157318041599213</v>
      </c>
      <c r="M147" s="96">
        <v>1.9276044331506812</v>
      </c>
      <c r="N147" s="96">
        <v>2.2025699988482721</v>
      </c>
      <c r="O147" s="96">
        <v>2.2912467469917734</v>
      </c>
      <c r="P147" s="96">
        <v>2.3426334222475238</v>
      </c>
      <c r="Q147" s="96">
        <v>2.3898472036370584</v>
      </c>
      <c r="R147" s="96">
        <v>2.3858795641730928</v>
      </c>
      <c r="S147" s="96">
        <v>2.3905063398064264</v>
      </c>
      <c r="T147" s="96">
        <v>2.3816819937408682</v>
      </c>
      <c r="U147" s="96">
        <v>2.3773269229808061</v>
      </c>
      <c r="V147" s="96">
        <v>2.2105318569942738</v>
      </c>
      <c r="W147" s="96">
        <v>2.315318834824025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2.2706907204621367</v>
      </c>
      <c r="O148" s="96">
        <v>2.3621100484451274</v>
      </c>
      <c r="P148" s="96">
        <v>2.4150860023170351</v>
      </c>
      <c r="Q148" s="96">
        <v>2.4637600037495448</v>
      </c>
      <c r="R148" s="96">
        <v>2.459669653786694</v>
      </c>
      <c r="S148" s="96">
        <v>2.4644395255736358</v>
      </c>
      <c r="T148" s="96">
        <v>2.4553422615885241</v>
      </c>
      <c r="U148" s="96">
        <v>2.450852497918357</v>
      </c>
      <c r="V148" s="96">
        <v>2.2788988216435815</v>
      </c>
      <c r="W148" s="96">
        <v>2.3869266338392015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1.8193503060356992</v>
      </c>
      <c r="O149" s="96">
        <v>1.8925984066443027</v>
      </c>
      <c r="P149" s="96">
        <v>1.9350444416859096</v>
      </c>
      <c r="Q149" s="96">
        <v>1.9740436143183659</v>
      </c>
      <c r="R149" s="96">
        <v>1.9707662946069471</v>
      </c>
      <c r="S149" s="96">
        <v>1.974588069019958</v>
      </c>
      <c r="T149" s="96">
        <v>1.9672990490463211</v>
      </c>
      <c r="U149" s="96">
        <v>1.9637017062493751</v>
      </c>
      <c r="V149" s="96">
        <v>1.8259269002243583</v>
      </c>
      <c r="W149" s="96">
        <v>1.9124822516015234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27.827572952657572</v>
      </c>
      <c r="C150" s="130">
        <f t="shared" si="203"/>
        <v>27.552052428373841</v>
      </c>
      <c r="D150" s="130">
        <f t="shared" si="203"/>
        <v>27.279259830073105</v>
      </c>
      <c r="E150" s="130">
        <f t="shared" si="203"/>
        <v>27.009168148587232</v>
      </c>
      <c r="F150" s="130">
        <f t="shared" si="203"/>
        <v>26.741750642165584</v>
      </c>
      <c r="G150" s="130">
        <f t="shared" si="203"/>
        <v>26.476980833827305</v>
      </c>
      <c r="H150" s="130">
        <f t="shared" si="203"/>
        <v>25.770308123249286</v>
      </c>
      <c r="I150" s="130">
        <f t="shared" si="203"/>
        <v>25.941719971570713</v>
      </c>
      <c r="J150" s="130">
        <f t="shared" si="203"/>
        <v>26.708804185935886</v>
      </c>
      <c r="K150" s="130">
        <f t="shared" si="203"/>
        <v>25.904761904761891</v>
      </c>
      <c r="L150" s="130">
        <f t="shared" ref="L150" si="204">IF(L13=0,0,L13/L40)</f>
        <v>25.952380952380945</v>
      </c>
      <c r="M150" s="130">
        <f t="shared" ref="M150:V150" si="205">IF(M13=0,0,M13/M40)</f>
        <v>25.759534076675902</v>
      </c>
      <c r="N150" s="130">
        <f t="shared" si="205"/>
        <v>25.868399445156694</v>
      </c>
      <c r="O150" s="130">
        <f t="shared" si="205"/>
        <v>25.816438965080025</v>
      </c>
      <c r="P150" s="130">
        <f t="shared" si="205"/>
        <v>25.801639553008854</v>
      </c>
      <c r="Q150" s="130">
        <f t="shared" si="205"/>
        <v>26.026211588596983</v>
      </c>
      <c r="R150" s="130">
        <f t="shared" si="205"/>
        <v>26.029251384356005</v>
      </c>
      <c r="S150" s="130">
        <f t="shared" si="205"/>
        <v>26.034761187376144</v>
      </c>
      <c r="T150" s="130">
        <f t="shared" si="205"/>
        <v>26.033697143141399</v>
      </c>
      <c r="U150" s="130">
        <f t="shared" si="205"/>
        <v>26.036413102146074</v>
      </c>
      <c r="V150" s="130">
        <f t="shared" si="205"/>
        <v>17.117358976071305</v>
      </c>
      <c r="W150" s="130">
        <f t="shared" ref="W150" si="206">IF(W13=0,0,W13/W40)</f>
        <v>17.698293412402158</v>
      </c>
      <c r="DA150" s="176" t="s">
        <v>560</v>
      </c>
    </row>
    <row r="151" spans="1:105" ht="11.45" customHeight="1" x14ac:dyDescent="0.25">
      <c r="A151" s="111" t="s">
        <v>110</v>
      </c>
      <c r="B151" s="97">
        <v>0</v>
      </c>
      <c r="C151" s="97">
        <v>0</v>
      </c>
      <c r="D151" s="97">
        <v>0</v>
      </c>
      <c r="E151" s="97">
        <v>0</v>
      </c>
      <c r="F151" s="97">
        <v>0</v>
      </c>
      <c r="G151" s="97">
        <v>0</v>
      </c>
      <c r="H151" s="97">
        <v>0</v>
      </c>
      <c r="I151" s="97">
        <v>0</v>
      </c>
      <c r="J151" s="97">
        <v>0</v>
      </c>
      <c r="K151" s="97">
        <v>0</v>
      </c>
      <c r="L151" s="97">
        <v>0</v>
      </c>
      <c r="M151" s="97">
        <v>0</v>
      </c>
      <c r="N151" s="97">
        <v>0</v>
      </c>
      <c r="O151" s="97">
        <v>0</v>
      </c>
      <c r="P151" s="97">
        <v>0</v>
      </c>
      <c r="Q151" s="97">
        <v>0</v>
      </c>
      <c r="R151" s="97">
        <v>0</v>
      </c>
      <c r="S151" s="97">
        <v>0</v>
      </c>
      <c r="T151" s="97">
        <v>0</v>
      </c>
      <c r="U151" s="97">
        <v>0</v>
      </c>
      <c r="V151" s="97">
        <v>0</v>
      </c>
      <c r="W151" s="97">
        <v>0</v>
      </c>
      <c r="DA151" s="175" t="s">
        <v>561</v>
      </c>
    </row>
    <row r="152" spans="1:105" ht="11.45" customHeight="1" x14ac:dyDescent="0.25">
      <c r="A152" s="111" t="s">
        <v>111</v>
      </c>
      <c r="B152" s="97">
        <v>27.827572952657572</v>
      </c>
      <c r="C152" s="97">
        <v>27.552052428373841</v>
      </c>
      <c r="D152" s="97">
        <v>27.279259830073109</v>
      </c>
      <c r="E152" s="97">
        <v>27.009168148587236</v>
      </c>
      <c r="F152" s="97">
        <v>26.741750642165584</v>
      </c>
      <c r="G152" s="97">
        <v>26.476980833827309</v>
      </c>
      <c r="H152" s="97">
        <v>25.77030812324929</v>
      </c>
      <c r="I152" s="97">
        <v>25.941719971570716</v>
      </c>
      <c r="J152" s="97">
        <v>26.708804185935886</v>
      </c>
      <c r="K152" s="97">
        <v>25.904761904761891</v>
      </c>
      <c r="L152" s="97">
        <v>25.952380952380949</v>
      </c>
      <c r="M152" s="97">
        <v>25.759534076675898</v>
      </c>
      <c r="N152" s="97">
        <v>25.868399445156697</v>
      </c>
      <c r="O152" s="97">
        <v>25.816438965080025</v>
      </c>
      <c r="P152" s="97">
        <v>25.801639553008854</v>
      </c>
      <c r="Q152" s="97">
        <v>26.026211588596986</v>
      </c>
      <c r="R152" s="97">
        <v>26.029251384356002</v>
      </c>
      <c r="S152" s="97">
        <v>26.034761187376148</v>
      </c>
      <c r="T152" s="97">
        <v>26.033697143141403</v>
      </c>
      <c r="U152" s="97">
        <v>26.036413102146071</v>
      </c>
      <c r="V152" s="97">
        <v>17.117358976071305</v>
      </c>
      <c r="W152" s="97">
        <v>17.698293412402158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563</v>
      </c>
    </row>
    <row r="154" spans="1:105" ht="11.45" customHeight="1" x14ac:dyDescent="0.25">
      <c r="A154" s="111" t="s">
        <v>113</v>
      </c>
      <c r="B154" s="97">
        <v>0</v>
      </c>
      <c r="C154" s="97">
        <v>27.552052428373841</v>
      </c>
      <c r="D154" s="97">
        <v>27.279259830073105</v>
      </c>
      <c r="E154" s="97">
        <v>27.009168148587232</v>
      </c>
      <c r="F154" s="97">
        <v>26.741750642165584</v>
      </c>
      <c r="G154" s="97">
        <v>26.476980833827305</v>
      </c>
      <c r="H154" s="97">
        <v>25.77030812324929</v>
      </c>
      <c r="I154" s="97">
        <v>25.941719971570713</v>
      </c>
      <c r="J154" s="97">
        <v>26.708804185935886</v>
      </c>
      <c r="K154" s="97">
        <v>25.904761904761894</v>
      </c>
      <c r="L154" s="97">
        <v>25.952380952380945</v>
      </c>
      <c r="M154" s="97">
        <v>25.759534076675902</v>
      </c>
      <c r="N154" s="97">
        <v>25.868399445156694</v>
      </c>
      <c r="O154" s="97">
        <v>25.816438965080025</v>
      </c>
      <c r="P154" s="97">
        <v>25.801639553008854</v>
      </c>
      <c r="Q154" s="97">
        <v>26.026211588596983</v>
      </c>
      <c r="R154" s="97">
        <v>26.029251384356009</v>
      </c>
      <c r="S154" s="97">
        <v>26.034761187376148</v>
      </c>
      <c r="T154" s="97">
        <v>26.033697143141399</v>
      </c>
      <c r="U154" s="97">
        <v>26.036413102146071</v>
      </c>
      <c r="V154" s="97">
        <v>17.117358976071305</v>
      </c>
      <c r="W154" s="97">
        <v>17.698293412402158</v>
      </c>
      <c r="DA154" s="175" t="s">
        <v>564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26.036413102146071</v>
      </c>
      <c r="V155" s="97">
        <v>17.117358976071305</v>
      </c>
      <c r="W155" s="97">
        <v>17.698293412402158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2.9178589203486278</v>
      </c>
      <c r="C156" s="32">
        <f t="shared" si="207"/>
        <v>2.906930939818583</v>
      </c>
      <c r="D156" s="32">
        <f t="shared" si="207"/>
        <v>2.8438840854870757</v>
      </c>
      <c r="E156" s="32">
        <f t="shared" si="207"/>
        <v>2.0659993295514298</v>
      </c>
      <c r="F156" s="32">
        <f t="shared" si="207"/>
        <v>3.4098674366436139</v>
      </c>
      <c r="G156" s="32">
        <f t="shared" si="207"/>
        <v>2.3803406231747739</v>
      </c>
      <c r="H156" s="32">
        <f t="shared" si="207"/>
        <v>2.9088672741924064</v>
      </c>
      <c r="I156" s="32">
        <f t="shared" si="207"/>
        <v>2.3223301046968583</v>
      </c>
      <c r="J156" s="32">
        <f t="shared" si="207"/>
        <v>2.4737834584638421</v>
      </c>
      <c r="K156" s="32">
        <f t="shared" si="207"/>
        <v>2.5135306397396695</v>
      </c>
      <c r="L156" s="32">
        <f t="shared" ref="L156" si="208">IF(L19=0,0,L19/L46)</f>
        <v>2.5945396259897353</v>
      </c>
      <c r="M156" s="32">
        <f t="shared" ref="M156:V156" si="209">IF(M19=0,0,M19/M46)</f>
        <v>2.1794862377291673</v>
      </c>
      <c r="N156" s="32">
        <f t="shared" si="209"/>
        <v>2.4976312582160642</v>
      </c>
      <c r="O156" s="32">
        <f t="shared" si="209"/>
        <v>1.9098339237039081</v>
      </c>
      <c r="P156" s="32">
        <f t="shared" si="209"/>
        <v>2.1065860194648018</v>
      </c>
      <c r="Q156" s="32">
        <f t="shared" si="209"/>
        <v>1.824005404442181</v>
      </c>
      <c r="R156" s="32">
        <f t="shared" si="209"/>
        <v>1.8665726803282547</v>
      </c>
      <c r="S156" s="32">
        <f t="shared" si="209"/>
        <v>2.0705247645590314</v>
      </c>
      <c r="T156" s="32">
        <f t="shared" si="209"/>
        <v>2.0407892397428768</v>
      </c>
      <c r="U156" s="32">
        <f t="shared" si="209"/>
        <v>1.981088240154772</v>
      </c>
      <c r="V156" s="32">
        <f t="shared" si="209"/>
        <v>1.9905903019075208</v>
      </c>
      <c r="W156" s="32">
        <f t="shared" ref="W156" si="210">IF(W19=0,0,W19/W46)</f>
        <v>2.0845432387361047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0.21112206346703502</v>
      </c>
      <c r="C157" s="141">
        <f t="shared" si="211"/>
        <v>0.21477918411317165</v>
      </c>
      <c r="D157" s="141">
        <f t="shared" si="211"/>
        <v>0.21581695110143628</v>
      </c>
      <c r="E157" s="141">
        <f t="shared" si="211"/>
        <v>0.21945188149473072</v>
      </c>
      <c r="F157" s="141">
        <f t="shared" si="211"/>
        <v>0.22237553410899541</v>
      </c>
      <c r="G157" s="141">
        <f t="shared" si="211"/>
        <v>0.22312256729753641</v>
      </c>
      <c r="H157" s="141">
        <f t="shared" si="211"/>
        <v>0.22869187594185073</v>
      </c>
      <c r="I157" s="141">
        <f t="shared" si="211"/>
        <v>0.23022864420699304</v>
      </c>
      <c r="J157" s="141">
        <f t="shared" si="211"/>
        <v>0.23089028286345248</v>
      </c>
      <c r="K157" s="141">
        <f t="shared" si="211"/>
        <v>0.24174437779666066</v>
      </c>
      <c r="L157" s="141">
        <f t="shared" ref="L157" si="212">IF(L20=0,0,L20/L47)</f>
        <v>0.24756312772639213</v>
      </c>
      <c r="M157" s="141">
        <f t="shared" ref="M157:V157" si="213">IF(M20=0,0,M20/M47)</f>
        <v>0.25346207582461183</v>
      </c>
      <c r="N157" s="141">
        <f t="shared" si="213"/>
        <v>0.26072177829183063</v>
      </c>
      <c r="O157" s="141">
        <f t="shared" si="213"/>
        <v>0.26062690746751083</v>
      </c>
      <c r="P157" s="141">
        <f t="shared" si="213"/>
        <v>0.25977673761099268</v>
      </c>
      <c r="Q157" s="141">
        <f t="shared" si="213"/>
        <v>0.26053014660458546</v>
      </c>
      <c r="R157" s="141">
        <f t="shared" si="213"/>
        <v>0.26108571796897945</v>
      </c>
      <c r="S157" s="141">
        <f t="shared" si="213"/>
        <v>0.25879756437040285</v>
      </c>
      <c r="T157" s="141">
        <f t="shared" si="213"/>
        <v>0.25238358299437597</v>
      </c>
      <c r="U157" s="141">
        <f t="shared" si="213"/>
        <v>0.24898028762620594</v>
      </c>
      <c r="V157" s="141">
        <f t="shared" si="213"/>
        <v>0.25207736652898555</v>
      </c>
      <c r="W157" s="141">
        <f t="shared" ref="W157" si="214">IF(W20=0,0,W20/W47)</f>
        <v>0.24435039587014498</v>
      </c>
      <c r="DA157" s="174" t="s">
        <v>567</v>
      </c>
    </row>
    <row r="158" spans="1:105" ht="11.45" customHeight="1" x14ac:dyDescent="0.25">
      <c r="A158" s="111" t="s">
        <v>110</v>
      </c>
      <c r="B158" s="96">
        <v>0.18697311194620816</v>
      </c>
      <c r="C158" s="96">
        <v>0.18768318703388215</v>
      </c>
      <c r="D158" s="96">
        <v>0.18685783138421652</v>
      </c>
      <c r="E158" s="96">
        <v>0.18586342740836576</v>
      </c>
      <c r="F158" s="96">
        <v>0.18572975737337938</v>
      </c>
      <c r="G158" s="96">
        <v>0.18438474680236183</v>
      </c>
      <c r="H158" s="96">
        <v>0.1843800815710733</v>
      </c>
      <c r="I158" s="96">
        <v>0.18338706173049471</v>
      </c>
      <c r="J158" s="96">
        <v>0.18440135236806704</v>
      </c>
      <c r="K158" s="96">
        <v>0.18735024301491138</v>
      </c>
      <c r="L158" s="96">
        <v>0.18717063861037769</v>
      </c>
      <c r="M158" s="96">
        <v>0.18918356398786618</v>
      </c>
      <c r="N158" s="96">
        <v>0.19338797607864877</v>
      </c>
      <c r="O158" s="96">
        <v>0.18902276703431573</v>
      </c>
      <c r="P158" s="96">
        <v>0.18631511179392185</v>
      </c>
      <c r="Q158" s="96">
        <v>0.18384024973985405</v>
      </c>
      <c r="R158" s="96">
        <v>0.18407330336232078</v>
      </c>
      <c r="S158" s="96">
        <v>0.18211626973516734</v>
      </c>
      <c r="T158" s="96">
        <v>0.17747406158419415</v>
      </c>
      <c r="U158" s="96">
        <v>0.17627549459812594</v>
      </c>
      <c r="V158" s="96">
        <v>0.17955146117612242</v>
      </c>
      <c r="W158" s="96">
        <v>0.17533806665083129</v>
      </c>
      <c r="DA158" s="171" t="s">
        <v>568</v>
      </c>
    </row>
    <row r="159" spans="1:105" ht="11.45" customHeight="1" x14ac:dyDescent="0.25">
      <c r="A159" s="111" t="s">
        <v>111</v>
      </c>
      <c r="B159" s="96">
        <v>0.32054099832822558</v>
      </c>
      <c r="C159" s="96">
        <v>0.31712008000494601</v>
      </c>
      <c r="D159" s="96">
        <v>0.31390723049914504</v>
      </c>
      <c r="E159" s="96">
        <v>0.31235777561390893</v>
      </c>
      <c r="F159" s="96">
        <v>0.3104252578442056</v>
      </c>
      <c r="G159" s="96">
        <v>0.30872291702270233</v>
      </c>
      <c r="H159" s="96">
        <v>0.30730134241150941</v>
      </c>
      <c r="I159" s="96">
        <v>0.30611288630095285</v>
      </c>
      <c r="J159" s="96">
        <v>0.30665814765024774</v>
      </c>
      <c r="K159" s="96">
        <v>0.30639021740696781</v>
      </c>
      <c r="L159" s="96">
        <v>0.30875568273410015</v>
      </c>
      <c r="M159" s="96">
        <v>0.31422732281862892</v>
      </c>
      <c r="N159" s="96">
        <v>0.3221252192967709</v>
      </c>
      <c r="O159" s="96">
        <v>0.30930109011820645</v>
      </c>
      <c r="P159" s="96">
        <v>0.30893260957714375</v>
      </c>
      <c r="Q159" s="96">
        <v>0.30053777922361552</v>
      </c>
      <c r="R159" s="96">
        <v>0.29935089502839052</v>
      </c>
      <c r="S159" s="96">
        <v>0.30112644553446377</v>
      </c>
      <c r="T159" s="96">
        <v>0.30218009489955183</v>
      </c>
      <c r="U159" s="96">
        <v>0.29856828230381988</v>
      </c>
      <c r="V159" s="96">
        <v>0.30569011990972716</v>
      </c>
      <c r="W159" s="96">
        <v>0.2973758713605093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</v>
      </c>
      <c r="O160" s="96">
        <v>0</v>
      </c>
      <c r="P160" s="96">
        <v>0</v>
      </c>
      <c r="Q160" s="96">
        <v>0</v>
      </c>
      <c r="R160" s="96">
        <v>0</v>
      </c>
      <c r="S160" s="96">
        <v>0</v>
      </c>
      <c r="T160" s="96">
        <v>0</v>
      </c>
      <c r="U160" s="96">
        <v>0</v>
      </c>
      <c r="V160" s="96">
        <v>0</v>
      </c>
      <c r="W160" s="96">
        <v>0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</v>
      </c>
      <c r="P161" s="96">
        <v>0</v>
      </c>
      <c r="Q161" s="96">
        <v>0</v>
      </c>
      <c r="R161" s="96">
        <v>0</v>
      </c>
      <c r="S161" s="96">
        <v>0</v>
      </c>
      <c r="T161" s="96">
        <v>0</v>
      </c>
      <c r="U161" s="96">
        <v>0</v>
      </c>
      <c r="V161" s="96">
        <v>0</v>
      </c>
      <c r="W161" s="96">
        <v>0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</v>
      </c>
      <c r="P162" s="96">
        <v>0</v>
      </c>
      <c r="Q162" s="96">
        <v>0</v>
      </c>
      <c r="R162" s="96">
        <v>0</v>
      </c>
      <c r="S162" s="96">
        <v>0</v>
      </c>
      <c r="T162" s="96">
        <v>0</v>
      </c>
      <c r="U162" s="96">
        <v>0</v>
      </c>
      <c r="V162" s="96">
        <v>0</v>
      </c>
      <c r="W162" s="96">
        <v>0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9.1749927440955208</v>
      </c>
      <c r="C163" s="130">
        <f t="shared" si="215"/>
        <v>9.1852779537467804</v>
      </c>
      <c r="D163" s="130">
        <f t="shared" si="215"/>
        <v>9.1965670962453494</v>
      </c>
      <c r="E163" s="130">
        <f t="shared" si="215"/>
        <v>9.3320798002260723</v>
      </c>
      <c r="F163" s="130">
        <f t="shared" si="215"/>
        <v>10.839584052997195</v>
      </c>
      <c r="G163" s="130">
        <f t="shared" si="215"/>
        <v>9.0836062459699605</v>
      </c>
      <c r="H163" s="130">
        <f t="shared" si="215"/>
        <v>10.364725887016025</v>
      </c>
      <c r="I163" s="130">
        <f t="shared" si="215"/>
        <v>8.840310995523927</v>
      </c>
      <c r="J163" s="130">
        <f t="shared" si="215"/>
        <v>8.9346253270842837</v>
      </c>
      <c r="K163" s="130">
        <f t="shared" si="215"/>
        <v>8.8676015733219078</v>
      </c>
      <c r="L163" s="130">
        <f t="shared" ref="L163" si="216">IF(L26=0,0,L26/L53)</f>
        <v>9.1193355535409086</v>
      </c>
      <c r="M163" s="130">
        <f t="shared" ref="M163:V163" si="217">IF(M26=0,0,M26/M53)</f>
        <v>8.7904862157106507</v>
      </c>
      <c r="N163" s="130">
        <f t="shared" si="217"/>
        <v>9.0824299553093777</v>
      </c>
      <c r="O163" s="130">
        <f t="shared" si="217"/>
        <v>8.4846488967087055</v>
      </c>
      <c r="P163" s="130">
        <f t="shared" si="217"/>
        <v>8.7365253376729939</v>
      </c>
      <c r="Q163" s="130">
        <f t="shared" si="217"/>
        <v>8.3671599084910984</v>
      </c>
      <c r="R163" s="130">
        <f t="shared" si="217"/>
        <v>8.9335431712823095</v>
      </c>
      <c r="S163" s="130">
        <f t="shared" si="217"/>
        <v>9.1697910938538278</v>
      </c>
      <c r="T163" s="130">
        <f t="shared" si="217"/>
        <v>9.0996261801229128</v>
      </c>
      <c r="U163" s="130">
        <f t="shared" si="217"/>
        <v>9.0894450142464347</v>
      </c>
      <c r="V163" s="130">
        <f t="shared" si="217"/>
        <v>8.7586179894742848</v>
      </c>
      <c r="W163" s="130">
        <f t="shared" ref="W163" si="218">IF(W26=0,0,W26/W53)</f>
        <v>8.9900575228072253</v>
      </c>
      <c r="DA163" s="176" t="s">
        <v>573</v>
      </c>
    </row>
    <row r="164" spans="1:105" ht="11.45" customHeight="1" x14ac:dyDescent="0.25">
      <c r="A164" s="128" t="s">
        <v>27</v>
      </c>
      <c r="B164" s="97">
        <v>8.9437939110070257</v>
      </c>
      <c r="C164" s="97">
        <v>8.9437939110070257</v>
      </c>
      <c r="D164" s="97">
        <v>8.9437939110070257</v>
      </c>
      <c r="E164" s="97">
        <v>8.9437939110070257</v>
      </c>
      <c r="F164" s="97">
        <v>10.670588235294117</v>
      </c>
      <c r="G164" s="97">
        <v>8.7233096085409247</v>
      </c>
      <c r="H164" s="97">
        <v>10.075944487278335</v>
      </c>
      <c r="I164" s="97">
        <v>8.4878906250000004</v>
      </c>
      <c r="J164" s="97">
        <v>8.6671413314346744</v>
      </c>
      <c r="K164" s="97">
        <v>8.6343549536707052</v>
      </c>
      <c r="L164" s="97">
        <v>8.8215158924205372</v>
      </c>
      <c r="M164" s="97">
        <v>8.4255639097744357</v>
      </c>
      <c r="N164" s="97">
        <v>8.6814112690889935</v>
      </c>
      <c r="O164" s="97">
        <v>7.8755417956656348</v>
      </c>
      <c r="P164" s="97">
        <v>8.2347494553376901</v>
      </c>
      <c r="Q164" s="97">
        <v>7.8163371488033295</v>
      </c>
      <c r="R164" s="97">
        <v>8.4442190669371193</v>
      </c>
      <c r="S164" s="97">
        <v>8.3717532467532472</v>
      </c>
      <c r="T164" s="97">
        <v>8.329004329004329</v>
      </c>
      <c r="U164" s="97">
        <v>8.3707557502738226</v>
      </c>
      <c r="V164" s="97">
        <v>7.891397193410616</v>
      </c>
      <c r="W164" s="97">
        <v>8.4006116207951074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14.338603689647606</v>
      </c>
      <c r="E165" s="98">
        <v>14.254152494203543</v>
      </c>
      <c r="F165" s="98">
        <v>13.993137904941621</v>
      </c>
      <c r="G165" s="98">
        <v>13.999403714336371</v>
      </c>
      <c r="H165" s="98">
        <v>14.088849058887035</v>
      </c>
      <c r="I165" s="98">
        <v>14.115262081857326</v>
      </c>
      <c r="J165" s="98">
        <v>13.915448013039786</v>
      </c>
      <c r="K165" s="98">
        <v>13.731801555818866</v>
      </c>
      <c r="L165" s="98">
        <v>14.178700182725075</v>
      </c>
      <c r="M165" s="98">
        <v>14.133203670456814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14.005556317739059</v>
      </c>
      <c r="R165" s="98">
        <v>13.931044885469865</v>
      </c>
      <c r="S165" s="98">
        <v>14.049661034098957</v>
      </c>
      <c r="T165" s="98">
        <v>14.155971572922999</v>
      </c>
      <c r="U165" s="98">
        <v>14.102032210128922</v>
      </c>
      <c r="V165" s="98">
        <v>13.886790192476639</v>
      </c>
      <c r="W165" s="98">
        <v>14.040774681152575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8648.4181911476462</v>
      </c>
      <c r="C167" s="54">
        <f t="shared" si="219"/>
        <v>8774.6932553241841</v>
      </c>
      <c r="D167" s="54">
        <f t="shared" si="219"/>
        <v>8914.2475969502229</v>
      </c>
      <c r="E167" s="54">
        <f t="shared" si="219"/>
        <v>8865.9813565995737</v>
      </c>
      <c r="F167" s="54">
        <f t="shared" si="219"/>
        <v>9219.1134740070938</v>
      </c>
      <c r="G167" s="54">
        <f t="shared" si="219"/>
        <v>9256.7038700915655</v>
      </c>
      <c r="H167" s="54">
        <f t="shared" si="219"/>
        <v>9374.8829684832817</v>
      </c>
      <c r="I167" s="54">
        <f t="shared" si="219"/>
        <v>9355.0849684709174</v>
      </c>
      <c r="J167" s="54">
        <f t="shared" si="219"/>
        <v>9459.130715851863</v>
      </c>
      <c r="K167" s="54">
        <f t="shared" si="219"/>
        <v>9357.6556201964322</v>
      </c>
      <c r="L167" s="54">
        <f t="shared" si="219"/>
        <v>9285.2320674579805</v>
      </c>
      <c r="M167" s="54">
        <f>IF(M30=0,0,M30*1000000/M57)</f>
        <v>8645.4029417844813</v>
      </c>
      <c r="N167" s="54">
        <f t="shared" ref="N167:V167" si="220">IF(N30=0,0,N30*1000000/N57)</f>
        <v>7700.9983557669566</v>
      </c>
      <c r="O167" s="54">
        <f t="shared" si="220"/>
        <v>7625.3285598588573</v>
      </c>
      <c r="P167" s="54">
        <f t="shared" si="220"/>
        <v>7677.1932232310337</v>
      </c>
      <c r="Q167" s="54">
        <f t="shared" si="220"/>
        <v>7815.4807331639377</v>
      </c>
      <c r="R167" s="54">
        <f t="shared" si="220"/>
        <v>7912.6627362307745</v>
      </c>
      <c r="S167" s="54">
        <f t="shared" si="220"/>
        <v>7816.1466143992293</v>
      </c>
      <c r="T167" s="54">
        <f t="shared" si="220"/>
        <v>7914.8593609264317</v>
      </c>
      <c r="U167" s="54">
        <f t="shared" si="220"/>
        <v>7963.556207931847</v>
      </c>
      <c r="V167" s="54">
        <f t="shared" si="220"/>
        <v>7224.2306290754532</v>
      </c>
      <c r="W167" s="54">
        <f t="shared" ref="W167:W191" si="221">IF(W30=0,0,W30*1000000/W57)</f>
        <v>7384.8758899002969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8401.4950996810039</v>
      </c>
      <c r="C168" s="28">
        <f t="shared" si="219"/>
        <v>8562.2762505593364</v>
      </c>
      <c r="D168" s="28">
        <f t="shared" si="219"/>
        <v>8690.0831265275119</v>
      </c>
      <c r="E168" s="28">
        <f t="shared" si="219"/>
        <v>8770.5289651295025</v>
      </c>
      <c r="F168" s="28">
        <f t="shared" si="219"/>
        <v>8986.6652127561629</v>
      </c>
      <c r="G168" s="28">
        <f t="shared" si="219"/>
        <v>9068.6085879676139</v>
      </c>
      <c r="H168" s="28">
        <f t="shared" si="219"/>
        <v>9150.6393561512177</v>
      </c>
      <c r="I168" s="28">
        <f t="shared" si="219"/>
        <v>9088.4613127832035</v>
      </c>
      <c r="J168" s="28">
        <f t="shared" si="219"/>
        <v>9229.973477853704</v>
      </c>
      <c r="K168" s="28">
        <f t="shared" si="219"/>
        <v>9114.6732266548224</v>
      </c>
      <c r="L168" s="28">
        <f t="shared" si="219"/>
        <v>8977.398812096646</v>
      </c>
      <c r="M168" s="28">
        <f t="shared" ref="M168:M192" si="222">IF(M31=0,0,M31*1000000/M58)</f>
        <v>8433.3964474579516</v>
      </c>
      <c r="N168" s="28">
        <f t="shared" si="219"/>
        <v>7474.0417429906565</v>
      </c>
      <c r="O168" s="28">
        <f t="shared" si="219"/>
        <v>7221.4298107232098</v>
      </c>
      <c r="P168" s="28">
        <f t="shared" si="219"/>
        <v>7193.1445541887242</v>
      </c>
      <c r="Q168" s="28">
        <f t="shared" si="219"/>
        <v>7126.2094904716396</v>
      </c>
      <c r="R168" s="28">
        <f t="shared" si="219"/>
        <v>7168.7712018924221</v>
      </c>
      <c r="S168" s="28">
        <f t="shared" si="219"/>
        <v>7121.8739505176627</v>
      </c>
      <c r="T168" s="28">
        <f t="shared" si="219"/>
        <v>7195.3826121232878</v>
      </c>
      <c r="U168" s="28">
        <f t="shared" si="219"/>
        <v>7220.0870114237932</v>
      </c>
      <c r="V168" s="28">
        <f t="shared" si="219"/>
        <v>6579.7309641438023</v>
      </c>
      <c r="W168" s="28">
        <f t="shared" si="221"/>
        <v>6609.6182401487858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4854.7034489678099</v>
      </c>
      <c r="C169" s="137">
        <f t="shared" si="219"/>
        <v>4701.4403193788294</v>
      </c>
      <c r="D169" s="137">
        <f t="shared" si="219"/>
        <v>4884.0443716950604</v>
      </c>
      <c r="E169" s="137">
        <f t="shared" si="219"/>
        <v>4861.9733207601612</v>
      </c>
      <c r="F169" s="137">
        <f t="shared" si="219"/>
        <v>4695.1229566028696</v>
      </c>
      <c r="G169" s="137">
        <f t="shared" si="219"/>
        <v>4456.9496583957261</v>
      </c>
      <c r="H169" s="137">
        <f t="shared" si="219"/>
        <v>3939.3835480114058</v>
      </c>
      <c r="I169" s="137">
        <f t="shared" si="219"/>
        <v>3742.3335267914717</v>
      </c>
      <c r="J169" s="137">
        <f t="shared" si="219"/>
        <v>3739.4154895991742</v>
      </c>
      <c r="K169" s="137">
        <f t="shared" si="219"/>
        <v>3665.2053329231539</v>
      </c>
      <c r="L169" s="137">
        <f t="shared" si="219"/>
        <v>4229.0161456523856</v>
      </c>
      <c r="M169" s="137">
        <f t="shared" si="222"/>
        <v>4277.9330745405223</v>
      </c>
      <c r="N169" s="137">
        <f t="shared" si="219"/>
        <v>4419.5340726199011</v>
      </c>
      <c r="O169" s="137">
        <f t="shared" si="219"/>
        <v>4471.0877169111081</v>
      </c>
      <c r="P169" s="137">
        <f t="shared" si="219"/>
        <v>4603.987143683893</v>
      </c>
      <c r="Q169" s="137">
        <f t="shared" si="219"/>
        <v>4565.6714675017811</v>
      </c>
      <c r="R169" s="137">
        <f t="shared" si="219"/>
        <v>4602.5794395891826</v>
      </c>
      <c r="S169" s="137">
        <f t="shared" si="219"/>
        <v>4318.5330171763344</v>
      </c>
      <c r="T169" s="137">
        <f t="shared" si="219"/>
        <v>4229.6319738888551</v>
      </c>
      <c r="U169" s="137">
        <f t="shared" si="219"/>
        <v>4413.5643729239837</v>
      </c>
      <c r="V169" s="137">
        <f t="shared" si="219"/>
        <v>3883.1639145310178</v>
      </c>
      <c r="W169" s="137">
        <f t="shared" si="221"/>
        <v>3943.9638883511088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9026.5804971902235</v>
      </c>
      <c r="C170" s="110">
        <f t="shared" si="219"/>
        <v>9289.6281906522072</v>
      </c>
      <c r="D170" s="110">
        <f t="shared" si="219"/>
        <v>9420.1500827571526</v>
      </c>
      <c r="E170" s="110">
        <f t="shared" si="219"/>
        <v>9540.6160200966769</v>
      </c>
      <c r="F170" s="110">
        <f t="shared" si="219"/>
        <v>9899.6523686783639</v>
      </c>
      <c r="G170" s="110">
        <f t="shared" si="219"/>
        <v>10091.23724861534</v>
      </c>
      <c r="H170" s="110">
        <f t="shared" si="219"/>
        <v>10374.532841854669</v>
      </c>
      <c r="I170" s="110">
        <f t="shared" si="219"/>
        <v>10383.659326950095</v>
      </c>
      <c r="J170" s="110">
        <f t="shared" si="219"/>
        <v>10633.475719246424</v>
      </c>
      <c r="K170" s="110">
        <f t="shared" si="219"/>
        <v>10544.991068492123</v>
      </c>
      <c r="L170" s="110">
        <f t="shared" si="219"/>
        <v>10238.522009812121</v>
      </c>
      <c r="M170" s="110">
        <f t="shared" si="222"/>
        <v>9550.7793953468099</v>
      </c>
      <c r="N170" s="110">
        <f t="shared" si="219"/>
        <v>8277.3311966388865</v>
      </c>
      <c r="O170" s="110">
        <f t="shared" si="219"/>
        <v>7945.3550071909367</v>
      </c>
      <c r="P170" s="110">
        <f t="shared" si="219"/>
        <v>7881.8426810939009</v>
      </c>
      <c r="Q170" s="110">
        <f t="shared" si="219"/>
        <v>7817.3349716867651</v>
      </c>
      <c r="R170" s="110">
        <f t="shared" si="219"/>
        <v>7872.8413131912694</v>
      </c>
      <c r="S170" s="110">
        <f t="shared" si="219"/>
        <v>7895.2282384525824</v>
      </c>
      <c r="T170" s="110">
        <f t="shared" si="219"/>
        <v>7971.3788632198821</v>
      </c>
      <c r="U170" s="110">
        <f t="shared" si="219"/>
        <v>7947.1643380070782</v>
      </c>
      <c r="V170" s="110">
        <f t="shared" si="219"/>
        <v>7274.3789477397504</v>
      </c>
      <c r="W170" s="110">
        <f t="shared" si="221"/>
        <v>7299.6664023119056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8634.3840918891037</v>
      </c>
      <c r="C171" s="84">
        <f t="shared" si="219"/>
        <v>8933.2693996388862</v>
      </c>
      <c r="D171" s="84">
        <f t="shared" si="219"/>
        <v>9082.6406308322566</v>
      </c>
      <c r="E171" s="84">
        <f t="shared" si="219"/>
        <v>9202.4774421553466</v>
      </c>
      <c r="F171" s="84">
        <f t="shared" si="219"/>
        <v>9608.0668399589467</v>
      </c>
      <c r="G171" s="84">
        <f t="shared" si="219"/>
        <v>9806.9661803769832</v>
      </c>
      <c r="H171" s="84">
        <f t="shared" si="219"/>
        <v>10071.696011848097</v>
      </c>
      <c r="I171" s="84">
        <f t="shared" si="219"/>
        <v>10079.502469369007</v>
      </c>
      <c r="J171" s="84">
        <f t="shared" si="219"/>
        <v>10356.789749105401</v>
      </c>
      <c r="K171" s="84">
        <f t="shared" si="219"/>
        <v>10234.531219638402</v>
      </c>
      <c r="L171" s="84">
        <f t="shared" si="219"/>
        <v>9928.4370653051883</v>
      </c>
      <c r="M171" s="84">
        <f t="shared" si="222"/>
        <v>9172.2765876503599</v>
      </c>
      <c r="N171" s="84">
        <f t="shared" si="219"/>
        <v>7940.9236895037175</v>
      </c>
      <c r="O171" s="84">
        <f t="shared" si="219"/>
        <v>7452.8755657085449</v>
      </c>
      <c r="P171" s="84">
        <f t="shared" si="219"/>
        <v>7221.3291927841283</v>
      </c>
      <c r="Q171" s="84">
        <f t="shared" si="219"/>
        <v>7153.7919657408502</v>
      </c>
      <c r="R171" s="84">
        <f t="shared" si="219"/>
        <v>7062.318687537032</v>
      </c>
      <c r="S171" s="84">
        <f t="shared" si="219"/>
        <v>6996.3908714657682</v>
      </c>
      <c r="T171" s="84">
        <f t="shared" si="219"/>
        <v>6910.902738154904</v>
      </c>
      <c r="U171" s="84">
        <f t="shared" si="219"/>
        <v>6670.6988238093218</v>
      </c>
      <c r="V171" s="84">
        <f t="shared" si="219"/>
        <v>5857.5353156145129</v>
      </c>
      <c r="W171" s="84">
        <f t="shared" si="221"/>
        <v>5905.7490423722238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20810.758463942402</v>
      </c>
      <c r="C172" s="84">
        <f t="shared" si="219"/>
        <v>21095.228028763158</v>
      </c>
      <c r="D172" s="84">
        <f t="shared" si="219"/>
        <v>21378.599773037273</v>
      </c>
      <c r="E172" s="84">
        <f t="shared" si="219"/>
        <v>21663.678706814699</v>
      </c>
      <c r="F172" s="84">
        <f t="shared" si="219"/>
        <v>21921.453639605748</v>
      </c>
      <c r="G172" s="84">
        <f t="shared" si="219"/>
        <v>22213.884102416981</v>
      </c>
      <c r="H172" s="84">
        <f t="shared" si="219"/>
        <v>22485.085952900208</v>
      </c>
      <c r="I172" s="84">
        <f t="shared" si="219"/>
        <v>22505.855565624886</v>
      </c>
      <c r="J172" s="84">
        <f t="shared" si="219"/>
        <v>22138.710250237618</v>
      </c>
      <c r="K172" s="84">
        <f t="shared" si="219"/>
        <v>21744.890909961221</v>
      </c>
      <c r="L172" s="84">
        <f t="shared" si="219"/>
        <v>20561.080133764233</v>
      </c>
      <c r="M172" s="84">
        <f t="shared" si="222"/>
        <v>19658.774004644547</v>
      </c>
      <c r="N172" s="84">
        <f t="shared" si="219"/>
        <v>18523.713017174581</v>
      </c>
      <c r="O172" s="84">
        <f t="shared" si="219"/>
        <v>17604.15983633211</v>
      </c>
      <c r="P172" s="84">
        <f t="shared" si="219"/>
        <v>18119.777797919465</v>
      </c>
      <c r="Q172" s="84">
        <f t="shared" si="219"/>
        <v>17079.967520630766</v>
      </c>
      <c r="R172" s="84">
        <f t="shared" si="219"/>
        <v>18067.695153896835</v>
      </c>
      <c r="S172" s="84">
        <f t="shared" si="219"/>
        <v>19027.726681250591</v>
      </c>
      <c r="T172" s="84">
        <f t="shared" si="219"/>
        <v>20181.498179791335</v>
      </c>
      <c r="U172" s="84">
        <f t="shared" si="219"/>
        <v>21122.989461941681</v>
      </c>
      <c r="V172" s="84">
        <f t="shared" si="219"/>
        <v>20436.523837504454</v>
      </c>
      <c r="W172" s="84">
        <f t="shared" si="221"/>
        <v>21255.612738848442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17510.725314252461</v>
      </c>
      <c r="C173" s="84">
        <f t="shared" si="219"/>
        <v>18434.161544387272</v>
      </c>
      <c r="D173" s="84">
        <f t="shared" si="219"/>
        <v>17792.17832364393</v>
      </c>
      <c r="E173" s="84">
        <f t="shared" si="219"/>
        <v>17170.888680838576</v>
      </c>
      <c r="F173" s="84">
        <f t="shared" si="219"/>
        <v>17034.916661757019</v>
      </c>
      <c r="G173" s="84">
        <f t="shared" si="219"/>
        <v>17161.670885323201</v>
      </c>
      <c r="H173" s="84">
        <f t="shared" si="219"/>
        <v>17105.46041301377</v>
      </c>
      <c r="I173" s="84">
        <f t="shared" si="219"/>
        <v>17450.806540332414</v>
      </c>
      <c r="J173" s="84">
        <f t="shared" si="219"/>
        <v>17165.820668526878</v>
      </c>
      <c r="K173" s="84">
        <f t="shared" si="219"/>
        <v>17231.572512557937</v>
      </c>
      <c r="L173" s="84">
        <f t="shared" si="219"/>
        <v>17215.842400696216</v>
      </c>
      <c r="M173" s="84">
        <f t="shared" si="222"/>
        <v>17629.59173602175</v>
      </c>
      <c r="N173" s="84">
        <f t="shared" si="219"/>
        <v>16611.691952451649</v>
      </c>
      <c r="O173" s="84">
        <f t="shared" si="219"/>
        <v>17436.031273074212</v>
      </c>
      <c r="P173" s="84">
        <f t="shared" si="219"/>
        <v>17317.447399525317</v>
      </c>
      <c r="Q173" s="84">
        <f t="shared" si="219"/>
        <v>16971.920172289574</v>
      </c>
      <c r="R173" s="84">
        <f t="shared" si="219"/>
        <v>16523.895797505847</v>
      </c>
      <c r="S173" s="84">
        <f t="shared" si="219"/>
        <v>15744.573618852352</v>
      </c>
      <c r="T173" s="84">
        <f t="shared" si="219"/>
        <v>15108.860408746506</v>
      </c>
      <c r="U173" s="84">
        <f t="shared" si="219"/>
        <v>15150.88124454886</v>
      </c>
      <c r="V173" s="84">
        <f t="shared" si="219"/>
        <v>14253.998908201102</v>
      </c>
      <c r="W173" s="84">
        <f t="shared" si="221"/>
        <v>13741.470036705057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15686.584838921834</v>
      </c>
      <c r="D174" s="84">
        <f t="shared" si="219"/>
        <v>15585.590583908521</v>
      </c>
      <c r="E174" s="84">
        <f t="shared" si="219"/>
        <v>15483.746090339408</v>
      </c>
      <c r="F174" s="84">
        <f t="shared" si="219"/>
        <v>15360.770923119993</v>
      </c>
      <c r="G174" s="84">
        <f t="shared" si="219"/>
        <v>15260.472937130704</v>
      </c>
      <c r="H174" s="84">
        <f t="shared" si="219"/>
        <v>15143.904829408842</v>
      </c>
      <c r="I174" s="84">
        <f t="shared" si="219"/>
        <v>14860.679752748032</v>
      </c>
      <c r="J174" s="84">
        <f t="shared" si="219"/>
        <v>14616.483927397461</v>
      </c>
      <c r="K174" s="84">
        <f t="shared" si="219"/>
        <v>14196.795252355314</v>
      </c>
      <c r="L174" s="84">
        <f t="shared" si="219"/>
        <v>13782.858383107785</v>
      </c>
      <c r="M174" s="84">
        <f t="shared" si="222"/>
        <v>13915.651167142423</v>
      </c>
      <c r="N174" s="84">
        <f t="shared" si="219"/>
        <v>14048.772206879479</v>
      </c>
      <c r="O174" s="84">
        <f t="shared" si="219"/>
        <v>14305.032643726674</v>
      </c>
      <c r="P174" s="84">
        <f t="shared" si="219"/>
        <v>14551.638974662348</v>
      </c>
      <c r="Q174" s="84">
        <f t="shared" si="219"/>
        <v>14696.343951838926</v>
      </c>
      <c r="R174" s="84">
        <f t="shared" si="219"/>
        <v>15102.049664152652</v>
      </c>
      <c r="S174" s="84">
        <f t="shared" si="219"/>
        <v>14844.200814175914</v>
      </c>
      <c r="T174" s="84">
        <f t="shared" si="219"/>
        <v>15294.461556515414</v>
      </c>
      <c r="U174" s="84">
        <f t="shared" si="219"/>
        <v>15550.596197159854</v>
      </c>
      <c r="V174" s="84">
        <f t="shared" si="219"/>
        <v>15708.05588562274</v>
      </c>
      <c r="W174" s="84">
        <f t="shared" si="221"/>
        <v>15870.839993494626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8585.4139352223192</v>
      </c>
      <c r="O175" s="84">
        <f t="shared" si="219"/>
        <v>8906.1066132131164</v>
      </c>
      <c r="P175" s="84">
        <f t="shared" si="219"/>
        <v>8878.4473483128259</v>
      </c>
      <c r="Q175" s="84">
        <f t="shared" si="219"/>
        <v>8787.4020164991543</v>
      </c>
      <c r="R175" s="84">
        <f t="shared" si="219"/>
        <v>8410.2811757589952</v>
      </c>
      <c r="S175" s="84">
        <f t="shared" si="219"/>
        <v>8435.3938874628129</v>
      </c>
      <c r="T175" s="84">
        <f t="shared" si="219"/>
        <v>8520.8430552033551</v>
      </c>
      <c r="U175" s="84">
        <f t="shared" si="219"/>
        <v>8493.6673164922886</v>
      </c>
      <c r="V175" s="84">
        <f t="shared" si="219"/>
        <v>8243.2134160321566</v>
      </c>
      <c r="W175" s="84">
        <f t="shared" si="221"/>
        <v>8331.9714253741877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0</v>
      </c>
      <c r="L176" s="84">
        <f t="shared" si="219"/>
        <v>0</v>
      </c>
      <c r="M176" s="84">
        <f t="shared" si="222"/>
        <v>0</v>
      </c>
      <c r="N176" s="84">
        <f t="shared" si="219"/>
        <v>13494.354334518188</v>
      </c>
      <c r="O176" s="84">
        <f t="shared" si="219"/>
        <v>13537.219152956006</v>
      </c>
      <c r="P176" s="84">
        <f t="shared" si="219"/>
        <v>13558.597862970802</v>
      </c>
      <c r="Q176" s="84">
        <f t="shared" si="219"/>
        <v>13575.587074883908</v>
      </c>
      <c r="R176" s="84">
        <f t="shared" si="219"/>
        <v>13470.722408531099</v>
      </c>
      <c r="S176" s="84">
        <f t="shared" si="219"/>
        <v>13441.415503976013</v>
      </c>
      <c r="T176" s="84">
        <f t="shared" si="219"/>
        <v>13436.371559775018</v>
      </c>
      <c r="U176" s="84">
        <f t="shared" si="219"/>
        <v>13427.624821033147</v>
      </c>
      <c r="V176" s="84">
        <f t="shared" si="219"/>
        <v>11800.347828678923</v>
      </c>
      <c r="W176" s="84">
        <f t="shared" si="221"/>
        <v>13346.552238195187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28398.780226480758</v>
      </c>
      <c r="C177" s="110">
        <f t="shared" si="219"/>
        <v>28753.165963206771</v>
      </c>
      <c r="D177" s="110">
        <f t="shared" si="219"/>
        <v>29167.214987600819</v>
      </c>
      <c r="E177" s="110">
        <f t="shared" si="219"/>
        <v>29554.404178584216</v>
      </c>
      <c r="F177" s="110">
        <f t="shared" si="219"/>
        <v>29748.295808657196</v>
      </c>
      <c r="G177" s="110">
        <f t="shared" si="219"/>
        <v>30133.8278824277</v>
      </c>
      <c r="H177" s="110">
        <f t="shared" si="219"/>
        <v>30978.67882259846</v>
      </c>
      <c r="I177" s="110">
        <f t="shared" si="219"/>
        <v>30870.910943196392</v>
      </c>
      <c r="J177" s="110">
        <f t="shared" si="219"/>
        <v>30028.761057771917</v>
      </c>
      <c r="K177" s="110">
        <f t="shared" si="219"/>
        <v>29161.367423738971</v>
      </c>
      <c r="L177" s="110">
        <f t="shared" si="219"/>
        <v>29375.56537687538</v>
      </c>
      <c r="M177" s="110">
        <f t="shared" si="222"/>
        <v>29887.2308105015</v>
      </c>
      <c r="N177" s="110">
        <f t="shared" si="219"/>
        <v>29841.783640775295</v>
      </c>
      <c r="O177" s="110">
        <f t="shared" si="219"/>
        <v>30002.01671905406</v>
      </c>
      <c r="P177" s="110">
        <f t="shared" si="219"/>
        <v>30100.898322242614</v>
      </c>
      <c r="Q177" s="110">
        <f t="shared" si="219"/>
        <v>30160.19178537152</v>
      </c>
      <c r="R177" s="110">
        <f t="shared" si="219"/>
        <v>29856.384322667021</v>
      </c>
      <c r="S177" s="110">
        <f t="shared" si="219"/>
        <v>29292.435176078994</v>
      </c>
      <c r="T177" s="110">
        <f t="shared" si="219"/>
        <v>29514.790614283131</v>
      </c>
      <c r="U177" s="110">
        <f t="shared" si="219"/>
        <v>29107.490530424559</v>
      </c>
      <c r="V177" s="110">
        <f t="shared" si="219"/>
        <v>28919.77443375433</v>
      </c>
      <c r="W177" s="110">
        <f t="shared" si="221"/>
        <v>28881.198734271933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0</v>
      </c>
      <c r="C178" s="102">
        <f t="shared" si="219"/>
        <v>0</v>
      </c>
      <c r="D178" s="102">
        <f t="shared" si="219"/>
        <v>0</v>
      </c>
      <c r="E178" s="102">
        <f t="shared" si="219"/>
        <v>0</v>
      </c>
      <c r="F178" s="102">
        <f t="shared" si="219"/>
        <v>0</v>
      </c>
      <c r="G178" s="102">
        <f t="shared" si="219"/>
        <v>0</v>
      </c>
      <c r="H178" s="102">
        <f t="shared" si="219"/>
        <v>0</v>
      </c>
      <c r="I178" s="102">
        <f t="shared" si="219"/>
        <v>0</v>
      </c>
      <c r="J178" s="102">
        <f t="shared" si="219"/>
        <v>0</v>
      </c>
      <c r="K178" s="102">
        <f t="shared" si="219"/>
        <v>0</v>
      </c>
      <c r="L178" s="102">
        <f t="shared" si="219"/>
        <v>0</v>
      </c>
      <c r="M178" s="102">
        <f t="shared" si="222"/>
        <v>0</v>
      </c>
      <c r="N178" s="102">
        <f t="shared" si="219"/>
        <v>0</v>
      </c>
      <c r="O178" s="102">
        <f t="shared" si="219"/>
        <v>0</v>
      </c>
      <c r="P178" s="102">
        <f t="shared" si="219"/>
        <v>0</v>
      </c>
      <c r="Q178" s="102">
        <f t="shared" si="219"/>
        <v>0</v>
      </c>
      <c r="R178" s="102">
        <f t="shared" si="219"/>
        <v>0</v>
      </c>
      <c r="S178" s="102">
        <f t="shared" si="219"/>
        <v>0</v>
      </c>
      <c r="T178" s="102">
        <f t="shared" si="219"/>
        <v>0</v>
      </c>
      <c r="U178" s="102">
        <f t="shared" si="219"/>
        <v>0</v>
      </c>
      <c r="V178" s="102">
        <f t="shared" si="219"/>
        <v>0</v>
      </c>
      <c r="W178" s="102">
        <f t="shared" si="221"/>
        <v>0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28398.780226480758</v>
      </c>
      <c r="C179" s="102">
        <f t="shared" si="219"/>
        <v>28642.21142336855</v>
      </c>
      <c r="D179" s="102">
        <f t="shared" si="219"/>
        <v>28994.429225538417</v>
      </c>
      <c r="E179" s="102">
        <f t="shared" si="219"/>
        <v>29361.94157619221</v>
      </c>
      <c r="F179" s="102">
        <f t="shared" si="219"/>
        <v>29553.741988347178</v>
      </c>
      <c r="G179" s="102">
        <f t="shared" si="219"/>
        <v>29924.385514358542</v>
      </c>
      <c r="H179" s="102">
        <f t="shared" si="219"/>
        <v>30755.766549406682</v>
      </c>
      <c r="I179" s="102">
        <f t="shared" si="219"/>
        <v>30612.340301903616</v>
      </c>
      <c r="J179" s="102">
        <f t="shared" si="219"/>
        <v>29767.263011601302</v>
      </c>
      <c r="K179" s="102">
        <f t="shared" si="219"/>
        <v>28918.80538313312</v>
      </c>
      <c r="L179" s="102">
        <f t="shared" si="219"/>
        <v>29140.953141977698</v>
      </c>
      <c r="M179" s="102">
        <f t="shared" si="222"/>
        <v>29654.184098552945</v>
      </c>
      <c r="N179" s="102">
        <f t="shared" si="219"/>
        <v>29609.335614625998</v>
      </c>
      <c r="O179" s="102">
        <f t="shared" si="219"/>
        <v>29781.090332178985</v>
      </c>
      <c r="P179" s="102">
        <f t="shared" si="219"/>
        <v>29874.274663867189</v>
      </c>
      <c r="Q179" s="102">
        <f t="shared" si="219"/>
        <v>29916.913255842264</v>
      </c>
      <c r="R179" s="102">
        <f t="shared" si="219"/>
        <v>29609.269456862447</v>
      </c>
      <c r="S179" s="102">
        <f t="shared" si="219"/>
        <v>29069.753568494107</v>
      </c>
      <c r="T179" s="102">
        <f t="shared" si="219"/>
        <v>29250.261593242492</v>
      </c>
      <c r="U179" s="102">
        <f t="shared" si="219"/>
        <v>28818.772318191339</v>
      </c>
      <c r="V179" s="102">
        <f t="shared" si="219"/>
        <v>28598.284211784998</v>
      </c>
      <c r="W179" s="102">
        <f t="shared" si="221"/>
        <v>28521.074616975591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0</v>
      </c>
      <c r="U180" s="102">
        <f t="shared" si="223"/>
        <v>0</v>
      </c>
      <c r="V180" s="102">
        <f t="shared" si="223"/>
        <v>0</v>
      </c>
      <c r="W180" s="102">
        <f t="shared" si="221"/>
        <v>0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38491.395382298411</v>
      </c>
      <c r="D181" s="102">
        <f t="shared" si="223"/>
        <v>39073.598679178547</v>
      </c>
      <c r="E181" s="102">
        <f t="shared" si="223"/>
        <v>39618.407933896458</v>
      </c>
      <c r="F181" s="102">
        <f t="shared" si="223"/>
        <v>39891.364941493179</v>
      </c>
      <c r="G181" s="102">
        <f t="shared" si="223"/>
        <v>40434.373571083459</v>
      </c>
      <c r="H181" s="102">
        <f t="shared" si="223"/>
        <v>41625.526270920534</v>
      </c>
      <c r="I181" s="102">
        <f t="shared" si="223"/>
        <v>41473.493340059278</v>
      </c>
      <c r="J181" s="102">
        <f t="shared" si="223"/>
        <v>40286.355949165139</v>
      </c>
      <c r="K181" s="102">
        <f t="shared" si="223"/>
        <v>39065.373401950608</v>
      </c>
      <c r="L181" s="102">
        <f t="shared" si="223"/>
        <v>39366.721370738742</v>
      </c>
      <c r="M181" s="102">
        <f t="shared" si="222"/>
        <v>40087.009784758295</v>
      </c>
      <c r="N181" s="102">
        <f t="shared" si="223"/>
        <v>40023.007186114279</v>
      </c>
      <c r="O181" s="102">
        <f t="shared" si="223"/>
        <v>40248.682788150145</v>
      </c>
      <c r="P181" s="102">
        <f t="shared" si="223"/>
        <v>40387.979789218989</v>
      </c>
      <c r="Q181" s="102">
        <f t="shared" si="223"/>
        <v>40471.518960475478</v>
      </c>
      <c r="R181" s="102">
        <f t="shared" si="223"/>
        <v>40043.568586447524</v>
      </c>
      <c r="S181" s="102">
        <f t="shared" si="223"/>
        <v>39249.755169073847</v>
      </c>
      <c r="T181" s="102">
        <f t="shared" si="223"/>
        <v>39562.651694831038</v>
      </c>
      <c r="U181" s="102">
        <f t="shared" si="223"/>
        <v>38989.593180943026</v>
      </c>
      <c r="V181" s="102">
        <f t="shared" si="223"/>
        <v>38725.617095670226</v>
      </c>
      <c r="W181" s="102">
        <f t="shared" si="221"/>
        <v>38671.380544477986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0</v>
      </c>
      <c r="K182" s="102">
        <f t="shared" si="223"/>
        <v>0</v>
      </c>
      <c r="L182" s="102">
        <f t="shared" si="223"/>
        <v>0</v>
      </c>
      <c r="M182" s="102">
        <f t="shared" si="222"/>
        <v>0</v>
      </c>
      <c r="N182" s="102">
        <f t="shared" si="223"/>
        <v>0</v>
      </c>
      <c r="O182" s="102">
        <f t="shared" si="223"/>
        <v>0</v>
      </c>
      <c r="P182" s="102">
        <f t="shared" si="223"/>
        <v>0</v>
      </c>
      <c r="Q182" s="102">
        <f t="shared" si="223"/>
        <v>0</v>
      </c>
      <c r="R182" s="102">
        <f t="shared" si="223"/>
        <v>0</v>
      </c>
      <c r="S182" s="102">
        <f t="shared" si="223"/>
        <v>0</v>
      </c>
      <c r="T182" s="102">
        <f t="shared" si="223"/>
        <v>0</v>
      </c>
      <c r="U182" s="102">
        <f t="shared" si="223"/>
        <v>46170.705481030236</v>
      </c>
      <c r="V182" s="102">
        <f t="shared" si="223"/>
        <v>45947.206562679348</v>
      </c>
      <c r="W182" s="102">
        <f t="shared" si="221"/>
        <v>46152.691508493219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9839.1600400151474</v>
      </c>
      <c r="C183" s="28">
        <f t="shared" si="223"/>
        <v>9832.7269129137694</v>
      </c>
      <c r="D183" s="28">
        <f t="shared" si="223"/>
        <v>10065.723969215931</v>
      </c>
      <c r="E183" s="28">
        <f t="shared" si="223"/>
        <v>9375.5373083855484</v>
      </c>
      <c r="F183" s="28">
        <f t="shared" si="223"/>
        <v>10466.548858723121</v>
      </c>
      <c r="G183" s="28">
        <f t="shared" si="223"/>
        <v>10370.969832046847</v>
      </c>
      <c r="H183" s="28">
        <f t="shared" si="223"/>
        <v>10711.006933726578</v>
      </c>
      <c r="I183" s="28">
        <f t="shared" si="223"/>
        <v>10975.774548359081</v>
      </c>
      <c r="J183" s="28">
        <f t="shared" si="223"/>
        <v>10853.690337582548</v>
      </c>
      <c r="K183" s="28">
        <f t="shared" si="223"/>
        <v>10929.520799199576</v>
      </c>
      <c r="L183" s="28">
        <f t="shared" si="223"/>
        <v>11331.983433994827</v>
      </c>
      <c r="M183" s="28">
        <f t="shared" si="222"/>
        <v>10186.934198517776</v>
      </c>
      <c r="N183" s="28">
        <f t="shared" si="223"/>
        <v>9497.2426144473829</v>
      </c>
      <c r="O183" s="28">
        <f t="shared" si="223"/>
        <v>10943.410733238537</v>
      </c>
      <c r="P183" s="28">
        <f t="shared" si="223"/>
        <v>11858.546270531182</v>
      </c>
      <c r="Q183" s="28">
        <f t="shared" si="223"/>
        <v>13598.311613919197</v>
      </c>
      <c r="R183" s="28">
        <f t="shared" si="223"/>
        <v>14007.108659177742</v>
      </c>
      <c r="S183" s="28">
        <f t="shared" si="223"/>
        <v>14321.554723355312</v>
      </c>
      <c r="T183" s="28">
        <f t="shared" si="223"/>
        <v>14954.263066006171</v>
      </c>
      <c r="U183" s="28">
        <f t="shared" si="223"/>
        <v>15658.289997062564</v>
      </c>
      <c r="V183" s="28">
        <f t="shared" si="223"/>
        <v>14219.656360431582</v>
      </c>
      <c r="W183" s="28">
        <f t="shared" si="221"/>
        <v>16195.487775062542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8680.9594028853953</v>
      </c>
      <c r="C184" s="137">
        <f t="shared" si="223"/>
        <v>8700.35253906465</v>
      </c>
      <c r="D184" s="137">
        <f t="shared" si="223"/>
        <v>9005.8384640433269</v>
      </c>
      <c r="E184" s="137">
        <f t="shared" si="223"/>
        <v>9410.0124565943552</v>
      </c>
      <c r="F184" s="137">
        <f t="shared" si="223"/>
        <v>9622.1718132287206</v>
      </c>
      <c r="G184" s="137">
        <f t="shared" si="223"/>
        <v>10048.397644828705</v>
      </c>
      <c r="H184" s="137">
        <f t="shared" si="223"/>
        <v>10356.063528334163</v>
      </c>
      <c r="I184" s="137">
        <f t="shared" si="223"/>
        <v>10738.054185763958</v>
      </c>
      <c r="J184" s="137">
        <f t="shared" si="223"/>
        <v>10488.019696860625</v>
      </c>
      <c r="K184" s="137">
        <f t="shared" si="223"/>
        <v>10370.306524442487</v>
      </c>
      <c r="L184" s="137">
        <f t="shared" si="223"/>
        <v>10534.340693190084</v>
      </c>
      <c r="M184" s="137">
        <f t="shared" si="222"/>
        <v>9967.5953464631075</v>
      </c>
      <c r="N184" s="137">
        <f t="shared" si="223"/>
        <v>8929.4579929407155</v>
      </c>
      <c r="O184" s="137">
        <f t="shared" si="223"/>
        <v>10860.95569598669</v>
      </c>
      <c r="P184" s="137">
        <f t="shared" si="223"/>
        <v>11367.892151682052</v>
      </c>
      <c r="Q184" s="137">
        <f t="shared" si="223"/>
        <v>13069.436860241907</v>
      </c>
      <c r="R184" s="137">
        <f t="shared" si="223"/>
        <v>13263.56738647286</v>
      </c>
      <c r="S184" s="137">
        <f t="shared" si="223"/>
        <v>13202.70538163835</v>
      </c>
      <c r="T184" s="137">
        <f t="shared" si="223"/>
        <v>13639.604740080427</v>
      </c>
      <c r="U184" s="137">
        <f t="shared" si="223"/>
        <v>14243.0373778986</v>
      </c>
      <c r="V184" s="137">
        <f t="shared" si="223"/>
        <v>12711.159866811489</v>
      </c>
      <c r="W184" s="137">
        <f t="shared" si="221"/>
        <v>14370.145379381191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8121.1650250284301</v>
      </c>
      <c r="C185" s="84">
        <f t="shared" si="223"/>
        <v>7968.696197641666</v>
      </c>
      <c r="D185" s="84">
        <f t="shared" si="223"/>
        <v>8146.2474192966383</v>
      </c>
      <c r="E185" s="84">
        <f t="shared" si="223"/>
        <v>8366.5114600214765</v>
      </c>
      <c r="F185" s="84">
        <f t="shared" si="223"/>
        <v>8396.6617927960997</v>
      </c>
      <c r="G185" s="84">
        <f t="shared" si="223"/>
        <v>8707.4133497170187</v>
      </c>
      <c r="H185" s="84">
        <f t="shared" si="223"/>
        <v>8708.5149912980469</v>
      </c>
      <c r="I185" s="84">
        <f t="shared" si="223"/>
        <v>8946.8603109258529</v>
      </c>
      <c r="J185" s="84">
        <f t="shared" si="223"/>
        <v>8703.4934900276894</v>
      </c>
      <c r="K185" s="84">
        <f t="shared" si="223"/>
        <v>8039.7549892474262</v>
      </c>
      <c r="L185" s="84">
        <f t="shared" si="223"/>
        <v>8078.402858544373</v>
      </c>
      <c r="M185" s="84">
        <f t="shared" si="222"/>
        <v>7657.6780549259693</v>
      </c>
      <c r="N185" s="84">
        <f t="shared" si="223"/>
        <v>6860.6738885232189</v>
      </c>
      <c r="O185" s="84">
        <f t="shared" si="223"/>
        <v>7690.3044953905446</v>
      </c>
      <c r="P185" s="84">
        <f t="shared" si="223"/>
        <v>8265.5871731279694</v>
      </c>
      <c r="Q185" s="84">
        <f t="shared" si="223"/>
        <v>8837.1272995260806</v>
      </c>
      <c r="R185" s="84">
        <f t="shared" si="223"/>
        <v>8781.3257248834761</v>
      </c>
      <c r="S185" s="84">
        <f t="shared" si="223"/>
        <v>9263.3993481657508</v>
      </c>
      <c r="T185" s="84">
        <f t="shared" si="223"/>
        <v>10539.977295113316</v>
      </c>
      <c r="U185" s="84">
        <f t="shared" si="223"/>
        <v>10903.210785812245</v>
      </c>
      <c r="V185" s="84">
        <f t="shared" si="223"/>
        <v>9944.1896654998709</v>
      </c>
      <c r="W185" s="84">
        <f t="shared" si="221"/>
        <v>11197.8088578512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12623.605745592329</v>
      </c>
      <c r="C186" s="84">
        <f t="shared" si="223"/>
        <v>13319.337895540566</v>
      </c>
      <c r="D186" s="84">
        <f t="shared" si="223"/>
        <v>14015.053242067941</v>
      </c>
      <c r="E186" s="84">
        <f t="shared" si="223"/>
        <v>14366.128319174735</v>
      </c>
      <c r="F186" s="84">
        <f t="shared" si="223"/>
        <v>14818.904383204723</v>
      </c>
      <c r="G186" s="84">
        <f t="shared" si="223"/>
        <v>15232.002523572843</v>
      </c>
      <c r="H186" s="84">
        <f t="shared" si="223"/>
        <v>15587.593132420645</v>
      </c>
      <c r="I186" s="84">
        <f t="shared" si="223"/>
        <v>15892.539042091556</v>
      </c>
      <c r="J186" s="84">
        <f t="shared" si="223"/>
        <v>15751.749926340795</v>
      </c>
      <c r="K186" s="84">
        <f t="shared" si="223"/>
        <v>15820.742955722479</v>
      </c>
      <c r="L186" s="84">
        <f t="shared" si="223"/>
        <v>15223.922000529425</v>
      </c>
      <c r="M186" s="84">
        <f t="shared" si="222"/>
        <v>13943.815316628979</v>
      </c>
      <c r="N186" s="84">
        <f t="shared" si="223"/>
        <v>12316.227782107169</v>
      </c>
      <c r="O186" s="84">
        <f t="shared" si="223"/>
        <v>15090.168706010754</v>
      </c>
      <c r="P186" s="84">
        <f t="shared" si="223"/>
        <v>15180.37792387469</v>
      </c>
      <c r="Q186" s="84">
        <f t="shared" si="223"/>
        <v>17422.31989979402</v>
      </c>
      <c r="R186" s="84">
        <f t="shared" si="223"/>
        <v>17770.454827929028</v>
      </c>
      <c r="S186" s="84">
        <f t="shared" si="223"/>
        <v>17252.691609227055</v>
      </c>
      <c r="T186" s="84">
        <f t="shared" si="223"/>
        <v>16953.996227391708</v>
      </c>
      <c r="U186" s="84">
        <f t="shared" si="223"/>
        <v>18004.580233153669</v>
      </c>
      <c r="V186" s="84">
        <f t="shared" si="223"/>
        <v>16002.739549282609</v>
      </c>
      <c r="W186" s="84">
        <f t="shared" si="221"/>
        <v>18368.458459453839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0</v>
      </c>
      <c r="O187" s="84">
        <f t="shared" si="223"/>
        <v>0</v>
      </c>
      <c r="P187" s="84">
        <f t="shared" si="223"/>
        <v>0</v>
      </c>
      <c r="Q187" s="84">
        <f t="shared" si="223"/>
        <v>0</v>
      </c>
      <c r="R187" s="84">
        <f t="shared" si="223"/>
        <v>0</v>
      </c>
      <c r="S187" s="84">
        <f t="shared" si="223"/>
        <v>0</v>
      </c>
      <c r="T187" s="84">
        <f t="shared" si="223"/>
        <v>0</v>
      </c>
      <c r="U187" s="84">
        <f t="shared" si="223"/>
        <v>0</v>
      </c>
      <c r="V187" s="84">
        <f t="shared" si="223"/>
        <v>0</v>
      </c>
      <c r="W187" s="84">
        <f t="shared" si="221"/>
        <v>0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0</v>
      </c>
      <c r="P188" s="84">
        <f t="shared" si="223"/>
        <v>0</v>
      </c>
      <c r="Q188" s="84">
        <f t="shared" si="223"/>
        <v>0</v>
      </c>
      <c r="R188" s="84">
        <f t="shared" si="223"/>
        <v>0</v>
      </c>
      <c r="S188" s="84">
        <f t="shared" si="223"/>
        <v>0</v>
      </c>
      <c r="T188" s="84">
        <f t="shared" si="223"/>
        <v>0</v>
      </c>
      <c r="U188" s="84">
        <f t="shared" si="223"/>
        <v>0</v>
      </c>
      <c r="V188" s="84">
        <f t="shared" si="223"/>
        <v>0</v>
      </c>
      <c r="W188" s="84">
        <f t="shared" si="221"/>
        <v>0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0</v>
      </c>
      <c r="N189" s="84">
        <f t="shared" si="223"/>
        <v>0</v>
      </c>
      <c r="O189" s="84">
        <f t="shared" si="223"/>
        <v>0</v>
      </c>
      <c r="P189" s="84">
        <f t="shared" si="223"/>
        <v>0</v>
      </c>
      <c r="Q189" s="84">
        <f t="shared" si="223"/>
        <v>0</v>
      </c>
      <c r="R189" s="84">
        <f t="shared" si="223"/>
        <v>0</v>
      </c>
      <c r="S189" s="84">
        <f t="shared" si="223"/>
        <v>0</v>
      </c>
      <c r="T189" s="84">
        <f t="shared" si="223"/>
        <v>0</v>
      </c>
      <c r="U189" s="84">
        <f t="shared" si="223"/>
        <v>0</v>
      </c>
      <c r="V189" s="84">
        <f t="shared" si="223"/>
        <v>0</v>
      </c>
      <c r="W189" s="84">
        <f t="shared" si="221"/>
        <v>0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14227.117366875793</v>
      </c>
      <c r="C190" s="110">
        <f t="shared" si="223"/>
        <v>14117.9098244378</v>
      </c>
      <c r="D190" s="110">
        <f t="shared" si="223"/>
        <v>14067.753384158623</v>
      </c>
      <c r="E190" s="110">
        <f t="shared" si="223"/>
        <v>9242.2970101346727</v>
      </c>
      <c r="F190" s="110">
        <f t="shared" si="223"/>
        <v>13157.920938056535</v>
      </c>
      <c r="G190" s="110">
        <f t="shared" si="223"/>
        <v>11520.127954668522</v>
      </c>
      <c r="H190" s="110">
        <f t="shared" si="223"/>
        <v>11839.882995501719</v>
      </c>
      <c r="I190" s="110">
        <f t="shared" si="223"/>
        <v>11788.87357949943</v>
      </c>
      <c r="J190" s="110">
        <f t="shared" si="223"/>
        <v>12065.462882612464</v>
      </c>
      <c r="K190" s="110">
        <f t="shared" si="223"/>
        <v>12870.740969870409</v>
      </c>
      <c r="L190" s="110">
        <f t="shared" si="223"/>
        <v>14353.43023777364</v>
      </c>
      <c r="M190" s="110">
        <f t="shared" si="222"/>
        <v>11019.238574816558</v>
      </c>
      <c r="N190" s="110">
        <f t="shared" si="223"/>
        <v>11684.269891384371</v>
      </c>
      <c r="O190" s="110">
        <f t="shared" si="223"/>
        <v>11284.963388807359</v>
      </c>
      <c r="P190" s="110">
        <f t="shared" si="223"/>
        <v>14032.901432523915</v>
      </c>
      <c r="Q190" s="110">
        <f t="shared" si="223"/>
        <v>16370.740752774054</v>
      </c>
      <c r="R190" s="110">
        <f t="shared" si="223"/>
        <v>18595.761395429032</v>
      </c>
      <c r="S190" s="110">
        <f t="shared" si="223"/>
        <v>21441.69272070501</v>
      </c>
      <c r="T190" s="110">
        <f t="shared" si="223"/>
        <v>24136.637353327642</v>
      </c>
      <c r="U190" s="110">
        <f t="shared" si="223"/>
        <v>26439.975658816675</v>
      </c>
      <c r="V190" s="110">
        <f t="shared" si="223"/>
        <v>26430.658529496955</v>
      </c>
      <c r="W190" s="110">
        <f t="shared" si="221"/>
        <v>30946.862479809701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13707.899244564946</v>
      </c>
      <c r="C191" s="102">
        <f t="shared" si="223"/>
        <v>13577.512883787153</v>
      </c>
      <c r="D191" s="102">
        <f t="shared" si="223"/>
        <v>13513.407933331744</v>
      </c>
      <c r="E191" s="102">
        <f t="shared" si="223"/>
        <v>8635.1594572185477</v>
      </c>
      <c r="F191" s="102">
        <f t="shared" si="223"/>
        <v>12587.797241262588</v>
      </c>
      <c r="G191" s="102">
        <f t="shared" si="223"/>
        <v>10833.682729239859</v>
      </c>
      <c r="H191" s="102">
        <f t="shared" si="223"/>
        <v>11099.083063415386</v>
      </c>
      <c r="I191" s="102">
        <f t="shared" si="223"/>
        <v>11147.398214674504</v>
      </c>
      <c r="J191" s="102">
        <f t="shared" si="223"/>
        <v>11533.992223075375</v>
      </c>
      <c r="K191" s="102">
        <f t="shared" si="223"/>
        <v>12367.498953214183</v>
      </c>
      <c r="L191" s="102">
        <f t="shared" si="223"/>
        <v>13683.964000133828</v>
      </c>
      <c r="M191" s="102">
        <f t="shared" si="222"/>
        <v>10400.917574683281</v>
      </c>
      <c r="N191" s="102">
        <f t="shared" si="223"/>
        <v>10928.804507340543</v>
      </c>
      <c r="O191" s="102">
        <f t="shared" si="223"/>
        <v>10315.468092309067</v>
      </c>
      <c r="P191" s="102">
        <f t="shared" si="223"/>
        <v>13022.846726201031</v>
      </c>
      <c r="Q191" s="102">
        <f t="shared" si="223"/>
        <v>15173.883866892986</v>
      </c>
      <c r="R191" s="102">
        <f t="shared" si="223"/>
        <v>17274.455355343955</v>
      </c>
      <c r="S191" s="102">
        <f t="shared" si="223"/>
        <v>19105.317026269811</v>
      </c>
      <c r="T191" s="102">
        <f t="shared" si="223"/>
        <v>21761.914294798571</v>
      </c>
      <c r="U191" s="102">
        <f t="shared" si="223"/>
        <v>24063.043592852249</v>
      </c>
      <c r="V191" s="102">
        <f t="shared" si="223"/>
        <v>23672.313936190189</v>
      </c>
      <c r="W191" s="102">
        <f t="shared" si="221"/>
        <v>28808.880535651359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85016.244520682216</v>
      </c>
      <c r="C192" s="86">
        <f t="shared" si="223"/>
        <v>85017.988437803055</v>
      </c>
      <c r="D192" s="86">
        <f t="shared" si="223"/>
        <v>84995.039400877155</v>
      </c>
      <c r="E192" s="86">
        <f t="shared" si="223"/>
        <v>85008.466989060762</v>
      </c>
      <c r="F192" s="86">
        <f t="shared" si="223"/>
        <v>84982.566194069965</v>
      </c>
      <c r="G192" s="86">
        <f t="shared" si="223"/>
        <v>85017.584467399851</v>
      </c>
      <c r="H192" s="86">
        <f t="shared" si="223"/>
        <v>85015.949997907912</v>
      </c>
      <c r="I192" s="86">
        <f t="shared" si="223"/>
        <v>85006.973744531235</v>
      </c>
      <c r="J192" s="86">
        <f t="shared" si="223"/>
        <v>84986.530992089494</v>
      </c>
      <c r="K192" s="86">
        <f t="shared" si="223"/>
        <v>84998.387810709231</v>
      </c>
      <c r="L192" s="86">
        <f t="shared" si="223"/>
        <v>84987.68875401908</v>
      </c>
      <c r="M192" s="86">
        <f t="shared" si="222"/>
        <v>85005.608528381053</v>
      </c>
      <c r="N192" s="86">
        <f t="shared" si="223"/>
        <v>85019.700392412211</v>
      </c>
      <c r="O192" s="86">
        <f t="shared" si="223"/>
        <v>85002.861939107883</v>
      </c>
      <c r="P192" s="86">
        <f t="shared" si="223"/>
        <v>85020.210835075777</v>
      </c>
      <c r="Q192" s="86">
        <f t="shared" si="223"/>
        <v>84999.023889997115</v>
      </c>
      <c r="R192" s="86">
        <f t="shared" si="223"/>
        <v>84984.992741376205</v>
      </c>
      <c r="S192" s="86">
        <f t="shared" si="223"/>
        <v>85011.485068281167</v>
      </c>
      <c r="T192" s="86">
        <f t="shared" si="223"/>
        <v>84987.303438792369</v>
      </c>
      <c r="U192" s="86">
        <f t="shared" si="223"/>
        <v>85002.025299610352</v>
      </c>
      <c r="V192" s="86">
        <f t="shared" ref="V192:W192" si="224">IF(V55=0,0,V55*1000000/V82)</f>
        <v>84995.364020690045</v>
      </c>
      <c r="W192" s="86">
        <f t="shared" si="224"/>
        <v>84994.792073336124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20413.240424002106</v>
      </c>
      <c r="C195" s="28">
        <f t="shared" si="225"/>
        <v>20322.609124126931</v>
      </c>
      <c r="D195" s="28">
        <f t="shared" si="225"/>
        <v>20191.956996528541</v>
      </c>
      <c r="E195" s="28">
        <f t="shared" si="225"/>
        <v>19968.908305358582</v>
      </c>
      <c r="F195" s="28">
        <f t="shared" si="225"/>
        <v>20036.074326076734</v>
      </c>
      <c r="G195" s="28">
        <f t="shared" si="225"/>
        <v>19870.978566540314</v>
      </c>
      <c r="H195" s="28">
        <f t="shared" si="225"/>
        <v>19945.067845670332</v>
      </c>
      <c r="I195" s="28">
        <f t="shared" si="225"/>
        <v>19699.088524698051</v>
      </c>
      <c r="J195" s="28">
        <f t="shared" si="225"/>
        <v>19892.272242346487</v>
      </c>
      <c r="K195" s="28">
        <f t="shared" si="225"/>
        <v>19424.458372197038</v>
      </c>
      <c r="L195" s="28">
        <f t="shared" si="225"/>
        <v>19041.167164449023</v>
      </c>
      <c r="M195" s="28">
        <f>IF(M4=0,0,M4*1000000/M58)</f>
        <v>18844.559937082809</v>
      </c>
      <c r="N195" s="28">
        <f t="shared" ref="N195:V195" si="226">IF(N4=0,0,N4*1000000/N58)</f>
        <v>18679.907359515764</v>
      </c>
      <c r="O195" s="28">
        <f t="shared" si="226"/>
        <v>18636.978132166376</v>
      </c>
      <c r="P195" s="28">
        <f t="shared" si="226"/>
        <v>18826.511119773702</v>
      </c>
      <c r="Q195" s="28">
        <f t="shared" si="226"/>
        <v>18956.255480645654</v>
      </c>
      <c r="R195" s="28">
        <f t="shared" si="226"/>
        <v>18945.646441985617</v>
      </c>
      <c r="S195" s="28">
        <f t="shared" si="226"/>
        <v>18871.13149975444</v>
      </c>
      <c r="T195" s="28">
        <f t="shared" si="226"/>
        <v>19098.340959313588</v>
      </c>
      <c r="U195" s="28">
        <f t="shared" si="226"/>
        <v>18999.042869447199</v>
      </c>
      <c r="V195" s="28">
        <f t="shared" si="226"/>
        <v>15603.275713953948</v>
      </c>
      <c r="W195" s="28">
        <f t="shared" ref="W195" si="227">IF(W4=0,0,W4*1000000/W58)</f>
        <v>16287.410076690907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5606.9264881359904</v>
      </c>
      <c r="C196" s="137">
        <f t="shared" si="228"/>
        <v>5429.8115082238483</v>
      </c>
      <c r="D196" s="137">
        <f t="shared" si="228"/>
        <v>5639.7253678804445</v>
      </c>
      <c r="E196" s="137">
        <f t="shared" si="228"/>
        <v>5616.5971955972818</v>
      </c>
      <c r="F196" s="137">
        <f t="shared" si="228"/>
        <v>5424.5764417750006</v>
      </c>
      <c r="G196" s="137">
        <f t="shared" si="228"/>
        <v>5144.7366485737839</v>
      </c>
      <c r="H196" s="137">
        <f t="shared" si="228"/>
        <v>4548.5692832618533</v>
      </c>
      <c r="I196" s="137">
        <f t="shared" si="228"/>
        <v>4327.9830488263442</v>
      </c>
      <c r="J196" s="137">
        <f t="shared" si="228"/>
        <v>4326.8842959664462</v>
      </c>
      <c r="K196" s="137">
        <f t="shared" si="228"/>
        <v>4243.0508162942806</v>
      </c>
      <c r="L196" s="137">
        <f t="shared" si="228"/>
        <v>4887.3395247547051</v>
      </c>
      <c r="M196" s="137">
        <f>IF(M5=0,0,M5*1000000/M59)</f>
        <v>4939.540422340302</v>
      </c>
      <c r="N196" s="137">
        <f t="shared" ref="N196:V196" si="229">IF(N5=0,0,N5*1000000/N59)</f>
        <v>5071.5459075107719</v>
      </c>
      <c r="O196" s="137">
        <f t="shared" si="229"/>
        <v>5128.0658085667346</v>
      </c>
      <c r="P196" s="137">
        <f t="shared" si="229"/>
        <v>5291.9587889631939</v>
      </c>
      <c r="Q196" s="137">
        <f t="shared" si="229"/>
        <v>5256.9877258821207</v>
      </c>
      <c r="R196" s="137">
        <f t="shared" si="229"/>
        <v>5305.1746986032531</v>
      </c>
      <c r="S196" s="137">
        <f t="shared" si="229"/>
        <v>4971.0035370177648</v>
      </c>
      <c r="T196" s="137">
        <f t="shared" si="229"/>
        <v>4862.2889988527513</v>
      </c>
      <c r="U196" s="137">
        <f t="shared" si="229"/>
        <v>5078.1391559530548</v>
      </c>
      <c r="V196" s="137">
        <f t="shared" si="229"/>
        <v>4462.4882081345604</v>
      </c>
      <c r="W196" s="137">
        <f t="shared" ref="W196" si="230">IF(W5=0,0,W5*1000000/W59)</f>
        <v>4532.5022761098953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17721.194971118672</v>
      </c>
      <c r="C197" s="110">
        <f t="shared" si="231"/>
        <v>18057.045925706414</v>
      </c>
      <c r="D197" s="110">
        <f t="shared" si="231"/>
        <v>18129.457926690011</v>
      </c>
      <c r="E197" s="110">
        <f t="shared" si="231"/>
        <v>18179.504426709329</v>
      </c>
      <c r="F197" s="110">
        <f t="shared" si="231"/>
        <v>18676.874200979975</v>
      </c>
      <c r="G197" s="110">
        <f t="shared" si="231"/>
        <v>18849.823676531705</v>
      </c>
      <c r="H197" s="110">
        <f t="shared" si="231"/>
        <v>19366.229384379843</v>
      </c>
      <c r="I197" s="110">
        <f t="shared" si="231"/>
        <v>19393.573173993012</v>
      </c>
      <c r="J197" s="110">
        <f t="shared" si="231"/>
        <v>19904.680466183541</v>
      </c>
      <c r="K197" s="110">
        <f t="shared" si="231"/>
        <v>19739.047069735541</v>
      </c>
      <c r="L197" s="110">
        <f t="shared" si="231"/>
        <v>19165.371176089928</v>
      </c>
      <c r="M197" s="110">
        <f>IF(M6=0,0,M6*1000000/M60)</f>
        <v>18979.510002592473</v>
      </c>
      <c r="N197" s="110">
        <f t="shared" ref="N197:V197" si="232">IF(N6=0,0,N6*1000000/N60)</f>
        <v>18795.259138399673</v>
      </c>
      <c r="O197" s="110">
        <f t="shared" si="232"/>
        <v>18767.802900949522</v>
      </c>
      <c r="P197" s="110">
        <f t="shared" si="232"/>
        <v>19035.327931574851</v>
      </c>
      <c r="Q197" s="110">
        <f t="shared" si="232"/>
        <v>19260.037239154433</v>
      </c>
      <c r="R197" s="110">
        <f t="shared" si="232"/>
        <v>19364.588867134753</v>
      </c>
      <c r="S197" s="110">
        <f t="shared" si="232"/>
        <v>19457.31253426765</v>
      </c>
      <c r="T197" s="110">
        <f t="shared" si="232"/>
        <v>19572.463405997263</v>
      </c>
      <c r="U197" s="110">
        <f t="shared" si="232"/>
        <v>19477.327569172332</v>
      </c>
      <c r="V197" s="110">
        <f t="shared" si="232"/>
        <v>16577.573612192991</v>
      </c>
      <c r="W197" s="110">
        <f t="shared" ref="W197:W209" si="233">IF(W6=0,0,W6*1000000/W60)</f>
        <v>17423.76815381947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16936.450568241486</v>
      </c>
      <c r="C198" s="84">
        <f t="shared" si="231"/>
        <v>17351.050475093962</v>
      </c>
      <c r="D198" s="84">
        <f t="shared" si="231"/>
        <v>17467.136168754561</v>
      </c>
      <c r="E198" s="84">
        <f t="shared" si="231"/>
        <v>17521.970846034015</v>
      </c>
      <c r="F198" s="84">
        <f t="shared" si="231"/>
        <v>18115.164295680348</v>
      </c>
      <c r="G198" s="84">
        <f t="shared" si="231"/>
        <v>18307.487007672324</v>
      </c>
      <c r="H198" s="84">
        <f t="shared" si="231"/>
        <v>18788.467798632955</v>
      </c>
      <c r="I198" s="84">
        <f t="shared" si="231"/>
        <v>18813.123850897318</v>
      </c>
      <c r="J198" s="84">
        <f t="shared" si="231"/>
        <v>19375.08537202873</v>
      </c>
      <c r="K198" s="84">
        <f t="shared" si="231"/>
        <v>19145.516624250158</v>
      </c>
      <c r="L198" s="84">
        <f t="shared" si="231"/>
        <v>18577.213780042031</v>
      </c>
      <c r="M198" s="84">
        <f t="shared" ref="M198:M219" si="234">IF(M7=0,0,M7*1000000/M61)</f>
        <v>18230.778656803988</v>
      </c>
      <c r="N198" s="84">
        <f t="shared" si="231"/>
        <v>18031.629300401848</v>
      </c>
      <c r="O198" s="84">
        <f t="shared" si="231"/>
        <v>17627.041214433561</v>
      </c>
      <c r="P198" s="84">
        <f t="shared" si="231"/>
        <v>17458.46350277204</v>
      </c>
      <c r="Q198" s="84">
        <f t="shared" si="231"/>
        <v>17651.812624826587</v>
      </c>
      <c r="R198" s="84">
        <f t="shared" si="231"/>
        <v>17396.195253906513</v>
      </c>
      <c r="S198" s="84">
        <f t="shared" si="231"/>
        <v>17258.202890514836</v>
      </c>
      <c r="T198" s="84">
        <f t="shared" si="231"/>
        <v>16973.590453433724</v>
      </c>
      <c r="U198" s="84">
        <f t="shared" si="231"/>
        <v>16344.801776167002</v>
      </c>
      <c r="V198" s="84">
        <f t="shared" si="231"/>
        <v>13332.758782617761</v>
      </c>
      <c r="W198" s="84">
        <f t="shared" si="233"/>
        <v>14081.637894501075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41432.867004192412</v>
      </c>
      <c r="C199" s="84">
        <f t="shared" si="231"/>
        <v>41587.767611750794</v>
      </c>
      <c r="D199" s="84">
        <f t="shared" si="231"/>
        <v>41730.623553055077</v>
      </c>
      <c r="E199" s="84">
        <f t="shared" si="231"/>
        <v>41867.443233764243</v>
      </c>
      <c r="F199" s="84">
        <f t="shared" si="231"/>
        <v>41950.935813592245</v>
      </c>
      <c r="G199" s="84">
        <f t="shared" si="231"/>
        <v>42090.550015335633</v>
      </c>
      <c r="H199" s="84">
        <f t="shared" si="231"/>
        <v>42574.479767038785</v>
      </c>
      <c r="I199" s="84">
        <f t="shared" si="231"/>
        <v>42636.680843564347</v>
      </c>
      <c r="J199" s="84">
        <f t="shared" si="231"/>
        <v>42037.494502525988</v>
      </c>
      <c r="K199" s="84">
        <f t="shared" si="231"/>
        <v>41287.863498279192</v>
      </c>
      <c r="L199" s="84">
        <f t="shared" si="231"/>
        <v>39049.156716339457</v>
      </c>
      <c r="M199" s="84">
        <f t="shared" si="234"/>
        <v>39659.802605138764</v>
      </c>
      <c r="N199" s="84">
        <f t="shared" si="231"/>
        <v>42693.133764366547</v>
      </c>
      <c r="O199" s="84">
        <f t="shared" si="231"/>
        <v>42260.720304306582</v>
      </c>
      <c r="P199" s="84">
        <f t="shared" si="231"/>
        <v>44463.923881854236</v>
      </c>
      <c r="Q199" s="84">
        <f t="shared" si="231"/>
        <v>42776.582485550614</v>
      </c>
      <c r="R199" s="84">
        <f t="shared" si="231"/>
        <v>45172.669783156867</v>
      </c>
      <c r="S199" s="84">
        <f t="shared" si="231"/>
        <v>47640.296153809664</v>
      </c>
      <c r="T199" s="84">
        <f t="shared" si="231"/>
        <v>50310.471046497689</v>
      </c>
      <c r="U199" s="84">
        <f t="shared" si="231"/>
        <v>52532.703254397529</v>
      </c>
      <c r="V199" s="84">
        <f t="shared" si="231"/>
        <v>47214.802202496037</v>
      </c>
      <c r="W199" s="84">
        <f t="shared" si="233"/>
        <v>51442.001219779071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33346.143442899469</v>
      </c>
      <c r="C200" s="84">
        <f t="shared" si="231"/>
        <v>34757.096832522038</v>
      </c>
      <c r="D200" s="84">
        <f t="shared" si="231"/>
        <v>33214.510293747997</v>
      </c>
      <c r="E200" s="84">
        <f t="shared" si="231"/>
        <v>31737.311169688441</v>
      </c>
      <c r="F200" s="84">
        <f t="shared" si="231"/>
        <v>31174.248767236269</v>
      </c>
      <c r="G200" s="84">
        <f t="shared" si="231"/>
        <v>31095.259019955764</v>
      </c>
      <c r="H200" s="84">
        <f t="shared" si="231"/>
        <v>30972.982290342174</v>
      </c>
      <c r="I200" s="84">
        <f t="shared" si="231"/>
        <v>31615.10585440226</v>
      </c>
      <c r="J200" s="84">
        <f t="shared" si="231"/>
        <v>31168.526532349977</v>
      </c>
      <c r="K200" s="84">
        <f t="shared" si="231"/>
        <v>31287.914246739343</v>
      </c>
      <c r="L200" s="84">
        <f t="shared" si="231"/>
        <v>31259.352582349013</v>
      </c>
      <c r="M200" s="84">
        <f t="shared" si="234"/>
        <v>33982.879184992147</v>
      </c>
      <c r="N200" s="84">
        <f t="shared" si="231"/>
        <v>36588.41432457928</v>
      </c>
      <c r="O200" s="84">
        <f t="shared" si="231"/>
        <v>39950.24993487812</v>
      </c>
      <c r="P200" s="84">
        <f t="shared" si="231"/>
        <v>40568.431066141478</v>
      </c>
      <c r="Q200" s="84">
        <f t="shared" si="231"/>
        <v>40560.295964097626</v>
      </c>
      <c r="R200" s="84">
        <f t="shared" si="231"/>
        <v>39424.02530379485</v>
      </c>
      <c r="S200" s="84">
        <f t="shared" si="231"/>
        <v>37637.503053415545</v>
      </c>
      <c r="T200" s="84">
        <f t="shared" si="231"/>
        <v>35984.500781455848</v>
      </c>
      <c r="U200" s="84">
        <f t="shared" si="231"/>
        <v>36018.59788955094</v>
      </c>
      <c r="V200" s="84">
        <f t="shared" si="231"/>
        <v>31508.918676140136</v>
      </c>
      <c r="W200" s="84">
        <f t="shared" si="233"/>
        <v>31815.884394153203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29576.617678279141</v>
      </c>
      <c r="D201" s="84">
        <f t="shared" si="231"/>
        <v>29095.243396669732</v>
      </c>
      <c r="E201" s="84">
        <f t="shared" si="231"/>
        <v>28618.930381275382</v>
      </c>
      <c r="F201" s="84">
        <f t="shared" si="231"/>
        <v>28110.527543049426</v>
      </c>
      <c r="G201" s="84">
        <f t="shared" si="231"/>
        <v>27650.4754063851</v>
      </c>
      <c r="H201" s="84">
        <f t="shared" si="231"/>
        <v>27421.179247011351</v>
      </c>
      <c r="I201" s="84">
        <f t="shared" si="231"/>
        <v>26922.650386711121</v>
      </c>
      <c r="J201" s="84">
        <f t="shared" si="231"/>
        <v>26539.614731967882</v>
      </c>
      <c r="K201" s="84">
        <f t="shared" si="231"/>
        <v>25777.572656848133</v>
      </c>
      <c r="L201" s="84">
        <f t="shared" si="231"/>
        <v>25025.974318440996</v>
      </c>
      <c r="M201" s="84">
        <f t="shared" si="234"/>
        <v>26823.870879962189</v>
      </c>
      <c r="N201" s="84">
        <f t="shared" si="231"/>
        <v>30943.404183526174</v>
      </c>
      <c r="O201" s="84">
        <f t="shared" si="231"/>
        <v>32776.359510549875</v>
      </c>
      <c r="P201" s="84">
        <f t="shared" si="231"/>
        <v>34089.155810523705</v>
      </c>
      <c r="Q201" s="84">
        <f t="shared" si="231"/>
        <v>35122.016496990647</v>
      </c>
      <c r="R201" s="84">
        <f t="shared" si="231"/>
        <v>36031.671670828931</v>
      </c>
      <c r="S201" s="84">
        <f t="shared" si="231"/>
        <v>35485.156155647237</v>
      </c>
      <c r="T201" s="84">
        <f t="shared" si="231"/>
        <v>36426.543693114698</v>
      </c>
      <c r="U201" s="84">
        <f t="shared" si="231"/>
        <v>36968.851007911057</v>
      </c>
      <c r="V201" s="84">
        <f t="shared" si="231"/>
        <v>34723.157946615473</v>
      </c>
      <c r="W201" s="84">
        <f t="shared" si="233"/>
        <v>36746.054761416512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0</v>
      </c>
      <c r="N202" s="84">
        <f t="shared" si="231"/>
        <v>19494.819754035638</v>
      </c>
      <c r="O202" s="84">
        <f t="shared" si="231"/>
        <v>21037.203923594301</v>
      </c>
      <c r="P202" s="84">
        <f t="shared" si="231"/>
        <v>21442.213913219101</v>
      </c>
      <c r="Q202" s="84">
        <f t="shared" si="231"/>
        <v>21650.049625118714</v>
      </c>
      <c r="R202" s="84">
        <f t="shared" si="231"/>
        <v>20686.513387827879</v>
      </c>
      <c r="S202" s="84">
        <f t="shared" si="231"/>
        <v>20788.518110045599</v>
      </c>
      <c r="T202" s="84">
        <f t="shared" si="231"/>
        <v>20921.586057803874</v>
      </c>
      <c r="U202" s="84">
        <f t="shared" si="231"/>
        <v>20816.725759112636</v>
      </c>
      <c r="V202" s="84">
        <f t="shared" si="231"/>
        <v>18785.449340352243</v>
      </c>
      <c r="W202" s="84">
        <f t="shared" si="233"/>
        <v>19887.804507612826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0</v>
      </c>
      <c r="K203" s="84">
        <f t="shared" si="231"/>
        <v>0</v>
      </c>
      <c r="L203" s="84">
        <f t="shared" si="231"/>
        <v>0</v>
      </c>
      <c r="M203" s="84">
        <f t="shared" si="234"/>
        <v>0</v>
      </c>
      <c r="N203" s="84">
        <f t="shared" si="231"/>
        <v>24550.95768825983</v>
      </c>
      <c r="O203" s="84">
        <f t="shared" si="231"/>
        <v>25620.519399279274</v>
      </c>
      <c r="P203" s="84">
        <f t="shared" si="231"/>
        <v>26236.489431796104</v>
      </c>
      <c r="Q203" s="84">
        <f t="shared" si="231"/>
        <v>26798.80097579752</v>
      </c>
      <c r="R203" s="84">
        <f t="shared" si="231"/>
        <v>26547.645686739601</v>
      </c>
      <c r="S203" s="84">
        <f t="shared" si="231"/>
        <v>26541.258684890923</v>
      </c>
      <c r="T203" s="84">
        <f t="shared" si="231"/>
        <v>26433.36099217843</v>
      </c>
      <c r="U203" s="84">
        <f t="shared" si="231"/>
        <v>26367.849771939254</v>
      </c>
      <c r="V203" s="84">
        <f t="shared" si="231"/>
        <v>21546.572532388942</v>
      </c>
      <c r="W203" s="84">
        <f t="shared" si="233"/>
        <v>25525.044275620883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790269.12851888267</v>
      </c>
      <c r="C204" s="110">
        <f t="shared" si="231"/>
        <v>792208.73610000731</v>
      </c>
      <c r="D204" s="110">
        <f t="shared" si="231"/>
        <v>795660.03616636526</v>
      </c>
      <c r="E204" s="110">
        <f t="shared" si="231"/>
        <v>798239.87199069024</v>
      </c>
      <c r="F204" s="110">
        <f t="shared" si="231"/>
        <v>795521.50854449032</v>
      </c>
      <c r="G204" s="110">
        <f t="shared" si="231"/>
        <v>797852.78329288913</v>
      </c>
      <c r="H204" s="110">
        <f t="shared" si="231"/>
        <v>798330.09850953973</v>
      </c>
      <c r="I204" s="110">
        <f t="shared" si="231"/>
        <v>800844.52695569873</v>
      </c>
      <c r="J204" s="110">
        <f t="shared" si="231"/>
        <v>802032.29903828702</v>
      </c>
      <c r="K204" s="110">
        <f t="shared" si="231"/>
        <v>755418.27992923767</v>
      </c>
      <c r="L204" s="110">
        <f t="shared" si="231"/>
        <v>762365.86335224193</v>
      </c>
      <c r="M204" s="110">
        <f t="shared" si="234"/>
        <v>769881.14052059129</v>
      </c>
      <c r="N204" s="110">
        <f t="shared" si="231"/>
        <v>771959.17937551765</v>
      </c>
      <c r="O204" s="110">
        <f t="shared" si="231"/>
        <v>774545.23345676949</v>
      </c>
      <c r="P204" s="110">
        <f t="shared" si="231"/>
        <v>776652.52873227291</v>
      </c>
      <c r="Q204" s="110">
        <f t="shared" si="231"/>
        <v>784955.53295874386</v>
      </c>
      <c r="R204" s="110">
        <f t="shared" si="231"/>
        <v>777139.33296264545</v>
      </c>
      <c r="S204" s="110">
        <f t="shared" si="231"/>
        <v>762621.55440591311</v>
      </c>
      <c r="T204" s="110">
        <f t="shared" si="231"/>
        <v>768379.1200954793</v>
      </c>
      <c r="U204" s="110">
        <f t="shared" si="231"/>
        <v>757854.64781693893</v>
      </c>
      <c r="V204" s="110">
        <f t="shared" si="231"/>
        <v>495030.16048958211</v>
      </c>
      <c r="W204" s="110">
        <f t="shared" si="233"/>
        <v>511147.92930104258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0</v>
      </c>
      <c r="C205" s="102">
        <f t="shared" si="231"/>
        <v>0</v>
      </c>
      <c r="D205" s="102">
        <f t="shared" si="231"/>
        <v>0</v>
      </c>
      <c r="E205" s="102">
        <f t="shared" si="231"/>
        <v>0</v>
      </c>
      <c r="F205" s="102">
        <f t="shared" si="231"/>
        <v>0</v>
      </c>
      <c r="G205" s="102">
        <f t="shared" si="231"/>
        <v>0</v>
      </c>
      <c r="H205" s="102">
        <f t="shared" si="231"/>
        <v>0</v>
      </c>
      <c r="I205" s="102">
        <f t="shared" si="231"/>
        <v>0</v>
      </c>
      <c r="J205" s="102">
        <f t="shared" si="231"/>
        <v>0</v>
      </c>
      <c r="K205" s="102">
        <f t="shared" si="231"/>
        <v>0</v>
      </c>
      <c r="L205" s="102">
        <f t="shared" si="231"/>
        <v>0</v>
      </c>
      <c r="M205" s="102">
        <f t="shared" si="234"/>
        <v>0</v>
      </c>
      <c r="N205" s="102">
        <f t="shared" si="231"/>
        <v>0</v>
      </c>
      <c r="O205" s="102">
        <f t="shared" si="231"/>
        <v>0</v>
      </c>
      <c r="P205" s="102">
        <f t="shared" si="231"/>
        <v>0</v>
      </c>
      <c r="Q205" s="102">
        <f t="shared" si="231"/>
        <v>0</v>
      </c>
      <c r="R205" s="102">
        <f t="shared" si="231"/>
        <v>0</v>
      </c>
      <c r="S205" s="102">
        <f t="shared" si="231"/>
        <v>0</v>
      </c>
      <c r="T205" s="102">
        <f t="shared" si="231"/>
        <v>0</v>
      </c>
      <c r="U205" s="102">
        <f t="shared" si="231"/>
        <v>0</v>
      </c>
      <c r="V205" s="102">
        <f t="shared" si="231"/>
        <v>0</v>
      </c>
      <c r="W205" s="102">
        <f t="shared" si="233"/>
        <v>0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790269.12851888267</v>
      </c>
      <c r="C206" s="102">
        <f t="shared" si="231"/>
        <v>789151.7108012184</v>
      </c>
      <c r="D206" s="102">
        <f t="shared" si="231"/>
        <v>790946.56846812787</v>
      </c>
      <c r="E206" s="102">
        <f t="shared" si="231"/>
        <v>793041.61720036995</v>
      </c>
      <c r="F206" s="102">
        <f t="shared" si="231"/>
        <v>790318.79879527912</v>
      </c>
      <c r="G206" s="102">
        <f t="shared" si="231"/>
        <v>792307.38172773062</v>
      </c>
      <c r="H206" s="102">
        <f t="shared" si="231"/>
        <v>792585.58054493368</v>
      </c>
      <c r="I206" s="102">
        <f t="shared" si="231"/>
        <v>794136.75978641212</v>
      </c>
      <c r="J206" s="102">
        <f t="shared" si="231"/>
        <v>795047.9989281114</v>
      </c>
      <c r="K206" s="102">
        <f t="shared" si="231"/>
        <v>749134.76802020997</v>
      </c>
      <c r="L206" s="102">
        <f t="shared" si="231"/>
        <v>756277.11725608772</v>
      </c>
      <c r="M206" s="102">
        <f t="shared" si="234"/>
        <v>763877.96580269514</v>
      </c>
      <c r="N206" s="102">
        <f t="shared" si="231"/>
        <v>765946.12098484964</v>
      </c>
      <c r="O206" s="102">
        <f t="shared" si="231"/>
        <v>768841.7008742335</v>
      </c>
      <c r="P206" s="102">
        <f t="shared" si="231"/>
        <v>770805.2667846859</v>
      </c>
      <c r="Q206" s="102">
        <f t="shared" si="231"/>
        <v>778623.91447425284</v>
      </c>
      <c r="R206" s="102">
        <f t="shared" si="231"/>
        <v>770707.11799980665</v>
      </c>
      <c r="S206" s="102">
        <f t="shared" si="231"/>
        <v>756824.09193161968</v>
      </c>
      <c r="T206" s="102">
        <f t="shared" si="231"/>
        <v>761492.45167613577</v>
      </c>
      <c r="U206" s="102">
        <f t="shared" si="231"/>
        <v>750337.46117312147</v>
      </c>
      <c r="V206" s="102">
        <f t="shared" si="231"/>
        <v>489527.09695283632</v>
      </c>
      <c r="W206" s="102">
        <f t="shared" si="233"/>
        <v>504774.34700824955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0</v>
      </c>
      <c r="G207" s="102">
        <f t="shared" si="231"/>
        <v>0</v>
      </c>
      <c r="H207" s="102">
        <f t="shared" si="231"/>
        <v>0</v>
      </c>
      <c r="I207" s="102">
        <f t="shared" si="231"/>
        <v>0</v>
      </c>
      <c r="J207" s="102">
        <f t="shared" si="231"/>
        <v>0</v>
      </c>
      <c r="K207" s="102">
        <f t="shared" si="231"/>
        <v>0</v>
      </c>
      <c r="L207" s="102">
        <f t="shared" si="231"/>
        <v>0</v>
      </c>
      <c r="M207" s="102">
        <f t="shared" si="234"/>
        <v>0</v>
      </c>
      <c r="N207" s="102">
        <f t="shared" si="231"/>
        <v>0</v>
      </c>
      <c r="O207" s="102">
        <f t="shared" si="231"/>
        <v>0</v>
      </c>
      <c r="P207" s="102">
        <f t="shared" si="231"/>
        <v>0</v>
      </c>
      <c r="Q207" s="102">
        <f t="shared" si="231"/>
        <v>0</v>
      </c>
      <c r="R207" s="102">
        <f t="shared" si="231"/>
        <v>0</v>
      </c>
      <c r="S207" s="102">
        <f t="shared" si="231"/>
        <v>0</v>
      </c>
      <c r="T207" s="102">
        <f t="shared" si="231"/>
        <v>0</v>
      </c>
      <c r="U207" s="102">
        <f t="shared" si="231"/>
        <v>0</v>
      </c>
      <c r="V207" s="102">
        <f t="shared" si="231"/>
        <v>0</v>
      </c>
      <c r="W207" s="102">
        <f t="shared" si="233"/>
        <v>0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0</v>
      </c>
      <c r="C208" s="102">
        <f t="shared" si="231"/>
        <v>1060516.9436143525</v>
      </c>
      <c r="D208" s="102">
        <f t="shared" si="231"/>
        <v>1065898.8508653131</v>
      </c>
      <c r="E208" s="102">
        <f t="shared" si="231"/>
        <v>1070060.2416659321</v>
      </c>
      <c r="F208" s="102">
        <f t="shared" si="231"/>
        <v>1066764.934041037</v>
      </c>
      <c r="G208" s="102">
        <f t="shared" si="231"/>
        <v>1070580.1340693901</v>
      </c>
      <c r="H208" s="102">
        <f t="shared" si="231"/>
        <v>1072702.6377940301</v>
      </c>
      <c r="I208" s="102">
        <f t="shared" si="231"/>
        <v>1075893.7504706208</v>
      </c>
      <c r="J208" s="102">
        <f t="shared" si="231"/>
        <v>1076000.3924111649</v>
      </c>
      <c r="K208" s="102">
        <f t="shared" si="231"/>
        <v>1011979.1966981486</v>
      </c>
      <c r="L208" s="102">
        <f t="shared" si="231"/>
        <v>1021660.1498596481</v>
      </c>
      <c r="M208" s="102">
        <f t="shared" si="234"/>
        <v>1032622.6945825217</v>
      </c>
      <c r="N208" s="102">
        <f t="shared" si="231"/>
        <v>1035331.136886781</v>
      </c>
      <c r="O208" s="102">
        <f t="shared" si="231"/>
        <v>1039077.6626251452</v>
      </c>
      <c r="P208" s="102">
        <f t="shared" si="231"/>
        <v>1042076.0967956349</v>
      </c>
      <c r="Q208" s="102">
        <f t="shared" si="231"/>
        <v>1053320.3157772496</v>
      </c>
      <c r="R208" s="102">
        <f t="shared" si="231"/>
        <v>1042304.113063344</v>
      </c>
      <c r="S208" s="102">
        <f t="shared" si="231"/>
        <v>1021858.00248982</v>
      </c>
      <c r="T208" s="102">
        <f t="shared" si="231"/>
        <v>1029962.0924028211</v>
      </c>
      <c r="U208" s="102">
        <f t="shared" si="231"/>
        <v>1015149.1547436501</v>
      </c>
      <c r="V208" s="102">
        <f t="shared" si="231"/>
        <v>662880.28939647111</v>
      </c>
      <c r="W208" s="102">
        <f t="shared" si="233"/>
        <v>684417.43953883171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0</v>
      </c>
      <c r="C209" s="102">
        <f t="shared" si="231"/>
        <v>0</v>
      </c>
      <c r="D209" s="102">
        <f t="shared" si="231"/>
        <v>0</v>
      </c>
      <c r="E209" s="102">
        <f t="shared" si="231"/>
        <v>0</v>
      </c>
      <c r="F209" s="102">
        <f t="shared" si="231"/>
        <v>0</v>
      </c>
      <c r="G209" s="102">
        <f t="shared" si="231"/>
        <v>0</v>
      </c>
      <c r="H209" s="102">
        <f t="shared" si="231"/>
        <v>0</v>
      </c>
      <c r="I209" s="102">
        <f t="shared" si="231"/>
        <v>0</v>
      </c>
      <c r="J209" s="102">
        <f t="shared" si="231"/>
        <v>0</v>
      </c>
      <c r="K209" s="102">
        <f t="shared" si="231"/>
        <v>0</v>
      </c>
      <c r="L209" s="102">
        <f t="shared" si="231"/>
        <v>0</v>
      </c>
      <c r="M209" s="102">
        <f t="shared" si="234"/>
        <v>0</v>
      </c>
      <c r="N209" s="102">
        <f t="shared" si="231"/>
        <v>0</v>
      </c>
      <c r="O209" s="102">
        <f t="shared" si="231"/>
        <v>0</v>
      </c>
      <c r="P209" s="102">
        <f t="shared" si="231"/>
        <v>0</v>
      </c>
      <c r="Q209" s="102">
        <f t="shared" si="231"/>
        <v>0</v>
      </c>
      <c r="R209" s="102">
        <f t="shared" si="231"/>
        <v>0</v>
      </c>
      <c r="S209" s="102">
        <f t="shared" si="231"/>
        <v>0</v>
      </c>
      <c r="T209" s="102">
        <f t="shared" si="231"/>
        <v>0</v>
      </c>
      <c r="U209" s="102">
        <f t="shared" si="231"/>
        <v>1202119.561121623</v>
      </c>
      <c r="V209" s="102">
        <f t="shared" si="231"/>
        <v>786494.82868108165</v>
      </c>
      <c r="W209" s="102">
        <f t="shared" si="233"/>
        <v>816823.87608939456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28709.280891495961</v>
      </c>
      <c r="C210" s="28">
        <f t="shared" si="231"/>
        <v>28583.058085935892</v>
      </c>
      <c r="D210" s="28">
        <f t="shared" si="231"/>
        <v>28625.75220495899</v>
      </c>
      <c r="E210" s="28">
        <f t="shared" si="231"/>
        <v>19369.853793308957</v>
      </c>
      <c r="F210" s="28">
        <f t="shared" ref="B210:V219" si="235">IF(F19=0,0,F19*1000000/F73)</f>
        <v>35689.544127399349</v>
      </c>
      <c r="G210" s="28">
        <f t="shared" si="235"/>
        <v>24686.440792941172</v>
      </c>
      <c r="H210" s="28">
        <f t="shared" si="235"/>
        <v>31156.897543165196</v>
      </c>
      <c r="I210" s="28">
        <f t="shared" si="235"/>
        <v>25489.371656019859</v>
      </c>
      <c r="J210" s="28">
        <f t="shared" si="235"/>
        <v>26849.679620400544</v>
      </c>
      <c r="K210" s="28">
        <f t="shared" si="235"/>
        <v>27471.685406460132</v>
      </c>
      <c r="L210" s="28">
        <f t="shared" si="235"/>
        <v>29401.280060558816</v>
      </c>
      <c r="M210" s="28">
        <f t="shared" si="234"/>
        <v>22202.282890322098</v>
      </c>
      <c r="N210" s="28">
        <f t="shared" si="235"/>
        <v>23720.610020705444</v>
      </c>
      <c r="O210" s="28">
        <f t="shared" si="235"/>
        <v>20900.09705936442</v>
      </c>
      <c r="P210" s="28">
        <f t="shared" si="235"/>
        <v>24981.047784677452</v>
      </c>
      <c r="Q210" s="28">
        <f t="shared" si="235"/>
        <v>24803.393875077491</v>
      </c>
      <c r="R210" s="28">
        <f t="shared" si="235"/>
        <v>26145.2863536105</v>
      </c>
      <c r="S210" s="28">
        <f t="shared" si="235"/>
        <v>29653.133721694536</v>
      </c>
      <c r="T210" s="28">
        <f t="shared" si="235"/>
        <v>30518.499153389716</v>
      </c>
      <c r="U210" s="28">
        <f t="shared" si="235"/>
        <v>31020.454174113744</v>
      </c>
      <c r="V210" s="28">
        <f t="shared" si="235"/>
        <v>28305.510047532705</v>
      </c>
      <c r="W210" s="28">
        <f t="shared" ref="W210" si="236">IF(W19=0,0,W19*1000000/W73)</f>
        <v>33760.194539539865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1832.7420620107248</v>
      </c>
      <c r="C211" s="137">
        <f t="shared" si="235"/>
        <v>1868.6546198372673</v>
      </c>
      <c r="D211" s="137">
        <f t="shared" si="235"/>
        <v>1943.6125994218728</v>
      </c>
      <c r="E211" s="137">
        <f t="shared" si="235"/>
        <v>2065.0449384884841</v>
      </c>
      <c r="F211" s="137">
        <f t="shared" si="235"/>
        <v>2139.7355962552574</v>
      </c>
      <c r="G211" s="137">
        <f t="shared" si="235"/>
        <v>2242.0242797406991</v>
      </c>
      <c r="H211" s="137">
        <f t="shared" si="235"/>
        <v>2368.3475956677212</v>
      </c>
      <c r="I211" s="137">
        <f t="shared" si="235"/>
        <v>2472.207656609663</v>
      </c>
      <c r="J211" s="137">
        <f t="shared" si="235"/>
        <v>2421.5818344856107</v>
      </c>
      <c r="K211" s="137">
        <f t="shared" si="235"/>
        <v>2506.9632983119996</v>
      </c>
      <c r="L211" s="137">
        <f t="shared" si="235"/>
        <v>2607.9143305415473</v>
      </c>
      <c r="M211" s="137">
        <f t="shared" si="234"/>
        <v>2526.4074074942796</v>
      </c>
      <c r="N211" s="137">
        <f t="shared" si="235"/>
        <v>2328.1041671017042</v>
      </c>
      <c r="O211" s="137">
        <f t="shared" si="235"/>
        <v>2830.6572951866578</v>
      </c>
      <c r="P211" s="137">
        <f t="shared" si="235"/>
        <v>2953.1139366775715</v>
      </c>
      <c r="Q211" s="137">
        <f t="shared" si="235"/>
        <v>3404.9823012381971</v>
      </c>
      <c r="R211" s="137">
        <f t="shared" si="235"/>
        <v>3462.9280139272068</v>
      </c>
      <c r="S211" s="137">
        <f t="shared" si="235"/>
        <v>3416.827995868015</v>
      </c>
      <c r="T211" s="137">
        <f t="shared" si="235"/>
        <v>3442.4123149285729</v>
      </c>
      <c r="U211" s="137">
        <f t="shared" si="235"/>
        <v>3546.2355430199955</v>
      </c>
      <c r="V211" s="137">
        <f t="shared" si="235"/>
        <v>3204.1957047547708</v>
      </c>
      <c r="W211" s="137">
        <f t="shared" ref="W211" si="237">IF(W20=0,0,W20*1000000/W74)</f>
        <v>3511.3507121633288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1518.4394973582712</v>
      </c>
      <c r="C212" s="84">
        <f t="shared" si="235"/>
        <v>1495.5902988781665</v>
      </c>
      <c r="D212" s="84">
        <f t="shared" si="235"/>
        <v>1522.1901266890404</v>
      </c>
      <c r="E212" s="84">
        <f t="shared" si="235"/>
        <v>1555.0284954109618</v>
      </c>
      <c r="F212" s="84">
        <f t="shared" si="235"/>
        <v>1559.5099575223442</v>
      </c>
      <c r="G212" s="84">
        <f t="shared" si="235"/>
        <v>1605.5142057910775</v>
      </c>
      <c r="H212" s="84">
        <f t="shared" si="235"/>
        <v>1605.6767044584485</v>
      </c>
      <c r="I212" s="84">
        <f t="shared" si="235"/>
        <v>1640.7384241338727</v>
      </c>
      <c r="J212" s="84">
        <f t="shared" si="235"/>
        <v>1604.9359698877734</v>
      </c>
      <c r="K212" s="84">
        <f t="shared" si="235"/>
        <v>1506.2500510158518</v>
      </c>
      <c r="L212" s="84">
        <f t="shared" si="235"/>
        <v>1512.0398219856513</v>
      </c>
      <c r="M212" s="84">
        <f t="shared" si="234"/>
        <v>1448.7068263025658</v>
      </c>
      <c r="N212" s="84">
        <f t="shared" si="235"/>
        <v>1326.7718378371385</v>
      </c>
      <c r="O212" s="84">
        <f t="shared" si="235"/>
        <v>1453.6426350551578</v>
      </c>
      <c r="P212" s="84">
        <f t="shared" si="235"/>
        <v>1540.0037982037438</v>
      </c>
      <c r="Q212" s="84">
        <f t="shared" si="235"/>
        <v>1624.6196897277566</v>
      </c>
      <c r="R212" s="84">
        <f t="shared" si="235"/>
        <v>1616.4076340798274</v>
      </c>
      <c r="S212" s="84">
        <f t="shared" si="235"/>
        <v>1687.0157343551273</v>
      </c>
      <c r="T212" s="84">
        <f t="shared" si="235"/>
        <v>1870.5725795689489</v>
      </c>
      <c r="U212" s="84">
        <f t="shared" si="235"/>
        <v>1921.9688739766746</v>
      </c>
      <c r="V212" s="84">
        <f t="shared" si="235"/>
        <v>1785.4937846529976</v>
      </c>
      <c r="W212" s="84">
        <f t="shared" ref="W212" si="238">IF(W21=0,0,W21*1000000/W75)</f>
        <v>1963.4021558611828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4046.3831881940905</v>
      </c>
      <c r="C213" s="84">
        <f t="shared" si="235"/>
        <v>4223.829499046733</v>
      </c>
      <c r="D213" s="84">
        <f t="shared" si="235"/>
        <v>4399.4265485156111</v>
      </c>
      <c r="E213" s="84">
        <f t="shared" si="235"/>
        <v>4487.3718859614046</v>
      </c>
      <c r="F213" s="84">
        <f t="shared" si="235"/>
        <v>4600.1622141249545</v>
      </c>
      <c r="G213" s="84">
        <f t="shared" si="235"/>
        <v>4702.4682511745714</v>
      </c>
      <c r="H213" s="84">
        <f t="shared" si="235"/>
        <v>4790.0882945572894</v>
      </c>
      <c r="I213" s="84">
        <f t="shared" si="235"/>
        <v>4864.910996825226</v>
      </c>
      <c r="J213" s="84">
        <f t="shared" si="235"/>
        <v>4830.4024546615947</v>
      </c>
      <c r="K213" s="84">
        <f t="shared" si="235"/>
        <v>4847.3208737435652</v>
      </c>
      <c r="L213" s="84">
        <f t="shared" si="235"/>
        <v>4700.4724311641503</v>
      </c>
      <c r="M213" s="84">
        <f t="shared" si="234"/>
        <v>4381.527756821717</v>
      </c>
      <c r="N213" s="84">
        <f t="shared" si="235"/>
        <v>3967.3675752202539</v>
      </c>
      <c r="O213" s="84">
        <f t="shared" si="235"/>
        <v>4667.4056308367708</v>
      </c>
      <c r="P213" s="84">
        <f t="shared" si="235"/>
        <v>4689.7137663898711</v>
      </c>
      <c r="Q213" s="84">
        <f t="shared" si="235"/>
        <v>5236.0653316074977</v>
      </c>
      <c r="R213" s="84">
        <f t="shared" si="235"/>
        <v>5319.6015578021388</v>
      </c>
      <c r="S213" s="84">
        <f t="shared" si="235"/>
        <v>5195.2417001888107</v>
      </c>
      <c r="T213" s="84">
        <f t="shared" si="235"/>
        <v>5123.1601889198701</v>
      </c>
      <c r="U213" s="84">
        <f t="shared" si="235"/>
        <v>5375.5965938140007</v>
      </c>
      <c r="V213" s="84">
        <f t="shared" si="235"/>
        <v>4891.8793717043345</v>
      </c>
      <c r="W213" s="84">
        <f t="shared" ref="W213" si="239">IF(W22=0,0,W22*1000000/W76)</f>
        <v>5462.3363399294039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0</v>
      </c>
      <c r="D214" s="84">
        <f t="shared" si="235"/>
        <v>0</v>
      </c>
      <c r="E214" s="84">
        <f t="shared" si="235"/>
        <v>0</v>
      </c>
      <c r="F214" s="84">
        <f t="shared" si="235"/>
        <v>0</v>
      </c>
      <c r="G214" s="84">
        <f t="shared" si="235"/>
        <v>0</v>
      </c>
      <c r="H214" s="84">
        <f t="shared" si="235"/>
        <v>0</v>
      </c>
      <c r="I214" s="84">
        <f t="shared" si="235"/>
        <v>0</v>
      </c>
      <c r="J214" s="84">
        <f t="shared" si="235"/>
        <v>0</v>
      </c>
      <c r="K214" s="84">
        <f t="shared" si="235"/>
        <v>0</v>
      </c>
      <c r="L214" s="84">
        <f t="shared" si="235"/>
        <v>0</v>
      </c>
      <c r="M214" s="84">
        <f t="shared" si="234"/>
        <v>0</v>
      </c>
      <c r="N214" s="84">
        <f t="shared" si="235"/>
        <v>0</v>
      </c>
      <c r="O214" s="84">
        <f t="shared" si="235"/>
        <v>0</v>
      </c>
      <c r="P214" s="84">
        <f t="shared" si="235"/>
        <v>0</v>
      </c>
      <c r="Q214" s="84">
        <f t="shared" si="235"/>
        <v>0</v>
      </c>
      <c r="R214" s="84">
        <f t="shared" si="235"/>
        <v>0</v>
      </c>
      <c r="S214" s="84">
        <f t="shared" si="235"/>
        <v>0</v>
      </c>
      <c r="T214" s="84">
        <f t="shared" si="235"/>
        <v>0</v>
      </c>
      <c r="U214" s="84">
        <f t="shared" si="235"/>
        <v>0</v>
      </c>
      <c r="V214" s="84">
        <f t="shared" si="235"/>
        <v>0</v>
      </c>
      <c r="W214" s="84">
        <f t="shared" ref="W214" si="240">IF(W23=0,0,W23*1000000/W77)</f>
        <v>0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0</v>
      </c>
      <c r="I215" s="84">
        <f t="shared" si="235"/>
        <v>0</v>
      </c>
      <c r="J215" s="84">
        <f t="shared" si="235"/>
        <v>0</v>
      </c>
      <c r="K215" s="84">
        <f t="shared" si="235"/>
        <v>0</v>
      </c>
      <c r="L215" s="84">
        <f t="shared" si="235"/>
        <v>0</v>
      </c>
      <c r="M215" s="84">
        <f t="shared" si="234"/>
        <v>0</v>
      </c>
      <c r="N215" s="84">
        <f t="shared" si="235"/>
        <v>0</v>
      </c>
      <c r="O215" s="84">
        <f t="shared" si="235"/>
        <v>0</v>
      </c>
      <c r="P215" s="84">
        <f t="shared" si="235"/>
        <v>0</v>
      </c>
      <c r="Q215" s="84">
        <f t="shared" si="235"/>
        <v>0</v>
      </c>
      <c r="R215" s="84">
        <f t="shared" si="235"/>
        <v>0</v>
      </c>
      <c r="S215" s="84">
        <f t="shared" si="235"/>
        <v>0</v>
      </c>
      <c r="T215" s="84">
        <f t="shared" si="235"/>
        <v>0</v>
      </c>
      <c r="U215" s="84">
        <f t="shared" si="235"/>
        <v>0</v>
      </c>
      <c r="V215" s="84">
        <f t="shared" si="235"/>
        <v>0</v>
      </c>
      <c r="W215" s="84">
        <f t="shared" ref="W215" si="241">IF(W24=0,0,W24*1000000/W78)</f>
        <v>0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0</v>
      </c>
      <c r="J216" s="84">
        <f t="shared" si="235"/>
        <v>0</v>
      </c>
      <c r="K216" s="84">
        <f t="shared" si="235"/>
        <v>0</v>
      </c>
      <c r="L216" s="84">
        <f t="shared" si="235"/>
        <v>0</v>
      </c>
      <c r="M216" s="84">
        <f t="shared" si="234"/>
        <v>0</v>
      </c>
      <c r="N216" s="84">
        <f t="shared" si="235"/>
        <v>0</v>
      </c>
      <c r="O216" s="84">
        <f t="shared" si="235"/>
        <v>0</v>
      </c>
      <c r="P216" s="84">
        <f t="shared" si="235"/>
        <v>0</v>
      </c>
      <c r="Q216" s="84">
        <f t="shared" si="235"/>
        <v>0</v>
      </c>
      <c r="R216" s="84">
        <f t="shared" si="235"/>
        <v>0</v>
      </c>
      <c r="S216" s="84">
        <f t="shared" si="235"/>
        <v>0</v>
      </c>
      <c r="T216" s="84">
        <f t="shared" si="235"/>
        <v>0</v>
      </c>
      <c r="U216" s="84">
        <f t="shared" si="235"/>
        <v>0</v>
      </c>
      <c r="V216" s="84">
        <f t="shared" si="235"/>
        <v>0</v>
      </c>
      <c r="W216" s="84">
        <f t="shared" ref="W216" si="242">IF(W25=0,0,W25*1000000/W79)</f>
        <v>0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130533.69861048077</v>
      </c>
      <c r="C217" s="110">
        <f t="shared" si="235"/>
        <v>129676.92586339363</v>
      </c>
      <c r="D217" s="110">
        <f t="shared" si="235"/>
        <v>129375.03789084736</v>
      </c>
      <c r="E217" s="110">
        <f t="shared" si="235"/>
        <v>86249.853235967588</v>
      </c>
      <c r="F217" s="110">
        <f t="shared" si="235"/>
        <v>142626.3899707555</v>
      </c>
      <c r="G217" s="110">
        <f t="shared" si="235"/>
        <v>104644.30624340016</v>
      </c>
      <c r="H217" s="110">
        <f t="shared" si="235"/>
        <v>122717.1417827175</v>
      </c>
      <c r="I217" s="110">
        <f t="shared" si="235"/>
        <v>104217.30872969034</v>
      </c>
      <c r="J217" s="110">
        <f t="shared" si="235"/>
        <v>107800.39025398467</v>
      </c>
      <c r="K217" s="110">
        <f t="shared" si="235"/>
        <v>114132.60287424159</v>
      </c>
      <c r="L217" s="110">
        <f t="shared" si="235"/>
        <v>130893.74668259831</v>
      </c>
      <c r="M217" s="110">
        <f t="shared" si="234"/>
        <v>96864.464799552035</v>
      </c>
      <c r="N217" s="110">
        <f t="shared" si="235"/>
        <v>106121.56286742885</v>
      </c>
      <c r="O217" s="110">
        <f t="shared" si="235"/>
        <v>95748.952166242496</v>
      </c>
      <c r="P217" s="110">
        <f t="shared" si="235"/>
        <v>122598.79892631283</v>
      </c>
      <c r="Q217" s="110">
        <f t="shared" si="235"/>
        <v>136976.60569891246</v>
      </c>
      <c r="R217" s="110">
        <f t="shared" si="235"/>
        <v>166126.03722893025</v>
      </c>
      <c r="S217" s="110">
        <f t="shared" si="235"/>
        <v>196615.84294747125</v>
      </c>
      <c r="T217" s="110">
        <f t="shared" si="235"/>
        <v>219634.37716047282</v>
      </c>
      <c r="U217" s="110">
        <f t="shared" si="235"/>
        <v>240324.70492882832</v>
      </c>
      <c r="V217" s="110">
        <f t="shared" si="235"/>
        <v>231496.041270104</v>
      </c>
      <c r="W217" s="110">
        <f t="shared" ref="W217" si="243">IF(W26=0,0,W26*1000000/W80)</f>
        <v>278214.07384389389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122600.62579623776</v>
      </c>
      <c r="C218" s="163">
        <f t="shared" si="235"/>
        <v>121434.47705663498</v>
      </c>
      <c r="D218" s="163">
        <f t="shared" si="235"/>
        <v>120861.13559108649</v>
      </c>
      <c r="E218" s="163">
        <f t="shared" si="235"/>
        <v>77231.086574045985</v>
      </c>
      <c r="F218" s="163">
        <f t="shared" si="235"/>
        <v>134319.20115088433</v>
      </c>
      <c r="G218" s="163">
        <f t="shared" si="235"/>
        <v>94505.568647861932</v>
      </c>
      <c r="H218" s="163">
        <f t="shared" si="235"/>
        <v>111833.74480666459</v>
      </c>
      <c r="I218" s="163">
        <f t="shared" si="235"/>
        <v>94617.896799477472</v>
      </c>
      <c r="J218" s="163">
        <f t="shared" si="235"/>
        <v>99966.740713062682</v>
      </c>
      <c r="K218" s="163">
        <f t="shared" si="235"/>
        <v>106785.37585120214</v>
      </c>
      <c r="L218" s="163">
        <f t="shared" si="235"/>
        <v>120713.30589849106</v>
      </c>
      <c r="M218" s="163">
        <f t="shared" si="234"/>
        <v>87633.59574579011</v>
      </c>
      <c r="N218" s="163">
        <f t="shared" si="235"/>
        <v>94877.44660769678</v>
      </c>
      <c r="O218" s="163">
        <f t="shared" si="235"/>
        <v>81239.900102835323</v>
      </c>
      <c r="P218" s="163">
        <f t="shared" si="235"/>
        <v>107239.87998553016</v>
      </c>
      <c r="Q218" s="163">
        <f t="shared" si="235"/>
        <v>118604.19216042316</v>
      </c>
      <c r="R218" s="163">
        <f t="shared" si="235"/>
        <v>145869.28528254948</v>
      </c>
      <c r="S218" s="163">
        <f t="shared" si="235"/>
        <v>159944.99984492437</v>
      </c>
      <c r="T218" s="163">
        <f t="shared" si="235"/>
        <v>181255.07836879851</v>
      </c>
      <c r="U218" s="163">
        <f t="shared" si="235"/>
        <v>201425.86052395761</v>
      </c>
      <c r="V218" s="163">
        <f t="shared" si="235"/>
        <v>186807.63175758626</v>
      </c>
      <c r="W218" s="163">
        <f t="shared" ref="W218" si="244">IF(W27=0,0,W27*1000000/W81)</f>
        <v>242012.21660989075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1212112.4726110639</v>
      </c>
      <c r="C219" s="86">
        <f t="shared" si="235"/>
        <v>1211086.2093101286</v>
      </c>
      <c r="D219" s="86">
        <f t="shared" si="235"/>
        <v>1218710.1855551607</v>
      </c>
      <c r="E219" s="86">
        <f t="shared" si="235"/>
        <v>1211723.6517605402</v>
      </c>
      <c r="F219" s="86">
        <f t="shared" si="235"/>
        <v>1189172.7682694506</v>
      </c>
      <c r="G219" s="86">
        <f t="shared" si="235"/>
        <v>1190195.4877768233</v>
      </c>
      <c r="H219" s="86">
        <f t="shared" si="235"/>
        <v>1197776.8871184122</v>
      </c>
      <c r="I219" s="86">
        <f t="shared" si="235"/>
        <v>1199895.7131896229</v>
      </c>
      <c r="J219" s="86">
        <f t="shared" si="235"/>
        <v>1182625.653829016</v>
      </c>
      <c r="K219" s="86">
        <f t="shared" si="235"/>
        <v>1167180.9939811926</v>
      </c>
      <c r="L219" s="86">
        <f t="shared" si="235"/>
        <v>1205014.9580659922</v>
      </c>
      <c r="M219" s="86">
        <f t="shared" si="234"/>
        <v>1201401.5784627302</v>
      </c>
      <c r="N219" s="86">
        <f t="shared" si="235"/>
        <v>1197623.7334860344</v>
      </c>
      <c r="O219" s="86">
        <f t="shared" si="235"/>
        <v>1198979.5010244704</v>
      </c>
      <c r="P219" s="86">
        <f t="shared" si="235"/>
        <v>1202033.7286513194</v>
      </c>
      <c r="Q219" s="86">
        <f t="shared" si="235"/>
        <v>1190458.6160442026</v>
      </c>
      <c r="R219" s="86">
        <f t="shared" si="235"/>
        <v>1183929.7484714424</v>
      </c>
      <c r="S219" s="86">
        <f t="shared" si="235"/>
        <v>1194382.5492147154</v>
      </c>
      <c r="T219" s="86">
        <f t="shared" si="235"/>
        <v>1203077.8515389257</v>
      </c>
      <c r="U219" s="86">
        <f t="shared" si="235"/>
        <v>1198701.2987012987</v>
      </c>
      <c r="V219" s="86">
        <f t="shared" si="235"/>
        <v>1180312.7874885004</v>
      </c>
      <c r="W219" s="86">
        <f t="shared" ref="W219" si="245">IF(W28=0,0,W28*1000000/W82)</f>
        <v>1193392.7245731254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4.9180319382637783E-2</v>
      </c>
      <c r="C223" s="154">
        <f t="shared" si="250"/>
        <v>4.9067447567003583E-2</v>
      </c>
      <c r="D223" s="154">
        <f t="shared" si="250"/>
        <v>5.1800732549446893E-2</v>
      </c>
      <c r="E223" s="154">
        <f t="shared" si="250"/>
        <v>5.2685113610722138E-2</v>
      </c>
      <c r="F223" s="154">
        <f t="shared" si="250"/>
        <v>5.2730913330565191E-2</v>
      </c>
      <c r="G223" s="154">
        <f t="shared" si="250"/>
        <v>5.1417010901161866E-2</v>
      </c>
      <c r="H223" s="154">
        <f t="shared" si="250"/>
        <v>4.6764291161985216E-2</v>
      </c>
      <c r="I223" s="154">
        <f t="shared" si="250"/>
        <v>4.5838098019099736E-2</v>
      </c>
      <c r="J223" s="154">
        <f t="shared" si="250"/>
        <v>4.6900472960125998E-2</v>
      </c>
      <c r="K223" s="154">
        <f t="shared" si="250"/>
        <v>4.7890563657918793E-2</v>
      </c>
      <c r="L223" s="154">
        <f t="shared" ref="L223" si="251">IF(L5=0,0,L5/L$4)</f>
        <v>5.7228436297978517E-2</v>
      </c>
      <c r="M223" s="154">
        <f t="shared" ref="M223:V223" si="252">IF(M5=0,0,M5/M$4)</f>
        <v>5.9667727890838657E-2</v>
      </c>
      <c r="N223" s="154">
        <f t="shared" si="252"/>
        <v>6.2684829242651008E-2</v>
      </c>
      <c r="O223" s="154">
        <f t="shared" si="252"/>
        <v>6.441100550895712E-2</v>
      </c>
      <c r="P223" s="154">
        <f t="shared" si="252"/>
        <v>6.674047811397206E-2</v>
      </c>
      <c r="Q223" s="154">
        <f t="shared" si="252"/>
        <v>6.6550220801044946E-2</v>
      </c>
      <c r="R223" s="154">
        <f t="shared" si="252"/>
        <v>6.7688544224941749E-2</v>
      </c>
      <c r="S223" s="154">
        <f t="shared" si="252"/>
        <v>6.30679970421823E-2</v>
      </c>
      <c r="T223" s="154">
        <f t="shared" si="252"/>
        <v>5.8486673375801886E-2</v>
      </c>
      <c r="U223" s="154">
        <f t="shared" si="252"/>
        <v>6.1094393988336389E-2</v>
      </c>
      <c r="V223" s="154">
        <f t="shared" si="252"/>
        <v>6.5442492718135792E-2</v>
      </c>
      <c r="W223" s="154">
        <f t="shared" ref="W223" si="253">IF(W5=0,0,W5/W$4)</f>
        <v>6.3822533212860605E-2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0.70722125004597192</v>
      </c>
      <c r="C224" s="156">
        <f t="shared" si="254"/>
        <v>0.72008255640805974</v>
      </c>
      <c r="D224" s="156">
        <f t="shared" si="254"/>
        <v>0.72628028996212579</v>
      </c>
      <c r="E224" s="156">
        <f t="shared" si="254"/>
        <v>0.73502737484007263</v>
      </c>
      <c r="F224" s="156">
        <f t="shared" si="254"/>
        <v>0.74588117060585413</v>
      </c>
      <c r="G224" s="156">
        <f t="shared" si="254"/>
        <v>0.75566592383693765</v>
      </c>
      <c r="H224" s="156">
        <f t="shared" si="254"/>
        <v>0.76736327187317821</v>
      </c>
      <c r="I224" s="156">
        <f t="shared" si="254"/>
        <v>0.77474684348876521</v>
      </c>
      <c r="J224" s="156">
        <f t="shared" si="254"/>
        <v>0.78058929323495008</v>
      </c>
      <c r="K224" s="156">
        <f t="shared" si="254"/>
        <v>0.78914613899649932</v>
      </c>
      <c r="L224" s="156">
        <f t="shared" ref="L224" si="255">IF(L6=0,0,L6/L$4)</f>
        <v>0.77796228454615857</v>
      </c>
      <c r="M224" s="156">
        <f t="shared" ref="M224:V224" si="256">IF(M6=0,0,M6/M$4)</f>
        <v>0.7737904437570694</v>
      </c>
      <c r="N224" s="156">
        <f t="shared" si="256"/>
        <v>0.76978490303075398</v>
      </c>
      <c r="O224" s="156">
        <f t="shared" si="256"/>
        <v>0.76720686059494858</v>
      </c>
      <c r="P224" s="156">
        <f t="shared" si="256"/>
        <v>0.76694801336263796</v>
      </c>
      <c r="Q224" s="156">
        <f t="shared" si="256"/>
        <v>0.76814933320018686</v>
      </c>
      <c r="R224" s="156">
        <f t="shared" si="256"/>
        <v>0.77102174471535756</v>
      </c>
      <c r="S224" s="156">
        <f t="shared" si="256"/>
        <v>0.78020528394196542</v>
      </c>
      <c r="T224" s="156">
        <f t="shared" si="256"/>
        <v>0.78541931878572002</v>
      </c>
      <c r="U224" s="156">
        <f t="shared" si="256"/>
        <v>0.78693947461218605</v>
      </c>
      <c r="V224" s="156">
        <f t="shared" si="256"/>
        <v>0.8153389910936395</v>
      </c>
      <c r="W224" s="156">
        <f t="shared" ref="W224" si="257">IF(W6=0,0,W6/W$4)</f>
        <v>0.82047976325379168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0.65359186962254678</v>
      </c>
      <c r="C225" s="103">
        <f t="shared" si="258"/>
        <v>0.67120895127242663</v>
      </c>
      <c r="D225" s="103">
        <f t="shared" si="258"/>
        <v>0.67997473977895384</v>
      </c>
      <c r="E225" s="103">
        <f t="shared" si="258"/>
        <v>0.68859835096238931</v>
      </c>
      <c r="F225" s="103">
        <f t="shared" si="258"/>
        <v>0.70568426053989153</v>
      </c>
      <c r="G225" s="103">
        <f t="shared" si="258"/>
        <v>0.7164717284130514</v>
      </c>
      <c r="H225" s="103">
        <f t="shared" si="258"/>
        <v>0.72562799686946911</v>
      </c>
      <c r="I225" s="103">
        <f t="shared" si="258"/>
        <v>0.73247594505320135</v>
      </c>
      <c r="J225" s="103">
        <f t="shared" si="258"/>
        <v>0.74126140189448175</v>
      </c>
      <c r="K225" s="103">
        <f t="shared" si="258"/>
        <v>0.74381315309711205</v>
      </c>
      <c r="L225" s="103">
        <f t="shared" ref="L225" si="259">IF(L7=0,0,L7/L$4)</f>
        <v>0.73038150966653936</v>
      </c>
      <c r="M225" s="103">
        <f t="shared" ref="M225:V225" si="260">IF(M7=0,0,M7/M$4)</f>
        <v>0.71395265863886415</v>
      </c>
      <c r="N225" s="103">
        <f t="shared" si="260"/>
        <v>0.71328300841656744</v>
      </c>
      <c r="O225" s="103">
        <f t="shared" si="260"/>
        <v>0.68516398951043467</v>
      </c>
      <c r="P225" s="103">
        <f t="shared" si="260"/>
        <v>0.6590630987033782</v>
      </c>
      <c r="Q225" s="103">
        <f t="shared" si="260"/>
        <v>0.65656949077135629</v>
      </c>
      <c r="R225" s="103">
        <f t="shared" si="260"/>
        <v>0.63752044564358845</v>
      </c>
      <c r="S225" s="103">
        <f t="shared" si="260"/>
        <v>0.63248412692751732</v>
      </c>
      <c r="T225" s="103">
        <f t="shared" si="260"/>
        <v>0.61598592048999923</v>
      </c>
      <c r="U225" s="103">
        <f t="shared" si="260"/>
        <v>0.59093375268213899</v>
      </c>
      <c r="V225" s="103">
        <f t="shared" si="260"/>
        <v>0.58207498338341435</v>
      </c>
      <c r="W225" s="103">
        <f t="shared" ref="W225" si="261">IF(W7=0,0,W7/W$4)</f>
        <v>0.59082851037810891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4.9698863548441802E-2</v>
      </c>
      <c r="C226" s="103">
        <f t="shared" si="262"/>
        <v>4.5082003119500724E-2</v>
      </c>
      <c r="D226" s="103">
        <f t="shared" si="262"/>
        <v>4.2886844957277237E-2</v>
      </c>
      <c r="E226" s="103">
        <f t="shared" si="262"/>
        <v>4.348690622346689E-2</v>
      </c>
      <c r="F226" s="103">
        <f t="shared" si="262"/>
        <v>3.7604818478786654E-2</v>
      </c>
      <c r="G226" s="103">
        <f t="shared" si="262"/>
        <v>3.6717301651658374E-2</v>
      </c>
      <c r="H226" s="103">
        <f t="shared" si="262"/>
        <v>3.93257158535881E-2</v>
      </c>
      <c r="I226" s="103">
        <f t="shared" si="262"/>
        <v>3.970800764375438E-2</v>
      </c>
      <c r="J226" s="103">
        <f t="shared" si="262"/>
        <v>3.6858673996947533E-2</v>
      </c>
      <c r="K226" s="103">
        <f t="shared" si="262"/>
        <v>4.1784607469423772E-2</v>
      </c>
      <c r="L226" s="103">
        <f t="shared" ref="L226" si="263">IF(L8=0,0,L8/L$4)</f>
        <v>3.9181599629470182E-2</v>
      </c>
      <c r="M226" s="103">
        <f t="shared" ref="M226:V226" si="264">IF(M8=0,0,M8/M$4)</f>
        <v>3.7393020397163836E-2</v>
      </c>
      <c r="N226" s="103">
        <f t="shared" si="264"/>
        <v>3.8008260049474558E-2</v>
      </c>
      <c r="O226" s="103">
        <f t="shared" si="264"/>
        <v>3.5384276162056812E-2</v>
      </c>
      <c r="P226" s="103">
        <f t="shared" si="264"/>
        <v>5.6621098599593328E-2</v>
      </c>
      <c r="Q226" s="103">
        <f t="shared" si="264"/>
        <v>5.2249343203019001E-2</v>
      </c>
      <c r="R226" s="103">
        <f t="shared" si="264"/>
        <v>6.8085257824355899E-2</v>
      </c>
      <c r="S226" s="103">
        <f t="shared" si="264"/>
        <v>8.5521545987131353E-2</v>
      </c>
      <c r="T226" s="103">
        <f t="shared" si="264"/>
        <v>0.11018440947580324</v>
      </c>
      <c r="U226" s="103">
        <f t="shared" si="264"/>
        <v>0.13695018567420961</v>
      </c>
      <c r="V226" s="103">
        <f t="shared" si="264"/>
        <v>0.17848736618006805</v>
      </c>
      <c r="W226" s="103">
        <f t="shared" ref="W226" si="265">IF(W8=0,0,W8/W$4)</f>
        <v>0.17571520831977333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3.9305168749832744E-3</v>
      </c>
      <c r="C227" s="103">
        <f t="shared" si="266"/>
        <v>3.5848899533576957E-3</v>
      </c>
      <c r="D227" s="103">
        <f t="shared" si="266"/>
        <v>3.1034966405525735E-3</v>
      </c>
      <c r="E227" s="103">
        <f t="shared" si="266"/>
        <v>2.6130197061546606E-3</v>
      </c>
      <c r="F227" s="103">
        <f t="shared" si="266"/>
        <v>2.2804678673871456E-3</v>
      </c>
      <c r="G227" s="103">
        <f t="shared" si="266"/>
        <v>2.1504475925522076E-3</v>
      </c>
      <c r="H227" s="103">
        <f t="shared" si="266"/>
        <v>2.0817714593709701E-3</v>
      </c>
      <c r="I227" s="103">
        <f t="shared" si="266"/>
        <v>2.2083007389167718E-3</v>
      </c>
      <c r="J227" s="103">
        <f t="shared" si="266"/>
        <v>2.1371312216459139E-3</v>
      </c>
      <c r="K227" s="103">
        <f t="shared" si="266"/>
        <v>3.1118127914012057E-3</v>
      </c>
      <c r="L227" s="103">
        <f t="shared" ref="L227" si="267">IF(L9=0,0,L9/L$4)</f>
        <v>7.8962192595099841E-3</v>
      </c>
      <c r="M227" s="103">
        <f t="shared" ref="M227:V227" si="268">IF(M9=0,0,M9/M$4)</f>
        <v>2.1868876599660279E-2</v>
      </c>
      <c r="N227" s="103">
        <f t="shared" si="268"/>
        <v>1.7834235395912324E-2</v>
      </c>
      <c r="O227" s="103">
        <f t="shared" si="268"/>
        <v>4.5997209865278471E-2</v>
      </c>
      <c r="P227" s="103">
        <f t="shared" si="268"/>
        <v>5.057616937145526E-2</v>
      </c>
      <c r="Q227" s="103">
        <f t="shared" si="268"/>
        <v>5.854845193466722E-2</v>
      </c>
      <c r="R227" s="103">
        <f t="shared" si="268"/>
        <v>6.4606841838901044E-2</v>
      </c>
      <c r="S227" s="103">
        <f t="shared" si="268"/>
        <v>6.1394679250225521E-2</v>
      </c>
      <c r="T227" s="103">
        <f t="shared" si="268"/>
        <v>5.8400544847507722E-2</v>
      </c>
      <c r="U227" s="103">
        <f t="shared" si="268"/>
        <v>5.8081752729389501E-2</v>
      </c>
      <c r="V227" s="103">
        <f t="shared" si="268"/>
        <v>5.3031322138161585E-2</v>
      </c>
      <c r="W227" s="103">
        <f t="shared" ref="W227" si="269">IF(W9=0,0,W9/W$4)</f>
        <v>5.0746176922063083E-2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2.06712062774532E-4</v>
      </c>
      <c r="D228" s="103">
        <f t="shared" si="270"/>
        <v>3.1520858534222443E-4</v>
      </c>
      <c r="E228" s="103">
        <f t="shared" si="270"/>
        <v>3.2909794806181448E-4</v>
      </c>
      <c r="F228" s="103">
        <f t="shared" si="270"/>
        <v>3.1162371978872046E-4</v>
      </c>
      <c r="G228" s="103">
        <f t="shared" si="270"/>
        <v>3.2644617967571028E-4</v>
      </c>
      <c r="H228" s="103">
        <f t="shared" si="270"/>
        <v>3.2778769075001937E-4</v>
      </c>
      <c r="I228" s="103">
        <f t="shared" si="270"/>
        <v>3.5459005289275241E-4</v>
      </c>
      <c r="J228" s="103">
        <f t="shared" si="270"/>
        <v>3.320861218748655E-4</v>
      </c>
      <c r="K228" s="103">
        <f t="shared" si="270"/>
        <v>4.3656563856240253E-4</v>
      </c>
      <c r="L228" s="103">
        <f t="shared" ref="L228" si="271">IF(L10=0,0,L10/L$4)</f>
        <v>5.0295599063900282E-4</v>
      </c>
      <c r="M228" s="103">
        <f t="shared" ref="M228:V228" si="272">IF(M10=0,0,M10/M$4)</f>
        <v>5.7588812138115468E-4</v>
      </c>
      <c r="N228" s="103">
        <f t="shared" si="272"/>
        <v>6.5904938847379186E-4</v>
      </c>
      <c r="O228" s="103">
        <f t="shared" si="272"/>
        <v>6.6060113565948454E-4</v>
      </c>
      <c r="P228" s="103">
        <f t="shared" si="272"/>
        <v>6.7473415749667799E-4</v>
      </c>
      <c r="Q228" s="103">
        <f t="shared" si="272"/>
        <v>7.5768320927471441E-4</v>
      </c>
      <c r="R228" s="103">
        <f t="shared" si="272"/>
        <v>7.7291749569221332E-4</v>
      </c>
      <c r="S228" s="103">
        <f t="shared" si="272"/>
        <v>7.4189378735467287E-4</v>
      </c>
      <c r="T228" s="103">
        <f t="shared" si="272"/>
        <v>7.4710609948482087E-4</v>
      </c>
      <c r="U228" s="103">
        <f t="shared" si="272"/>
        <v>8.0117171718650185E-4</v>
      </c>
      <c r="V228" s="103">
        <f t="shared" si="272"/>
        <v>1.1906315395603269E-3</v>
      </c>
      <c r="W228" s="103">
        <f t="shared" ref="W228" si="273">IF(W10=0,0,W10/W$4)</f>
        <v>1.3462012566293447E-3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0</v>
      </c>
      <c r="N229" s="103">
        <f t="shared" si="276"/>
        <v>1.5481403209094276E-7</v>
      </c>
      <c r="O229" s="103">
        <f t="shared" si="276"/>
        <v>1.6845480474397367E-7</v>
      </c>
      <c r="P229" s="103">
        <f t="shared" si="276"/>
        <v>3.5650478248310791E-6</v>
      </c>
      <c r="Q229" s="103">
        <f t="shared" si="276"/>
        <v>6.7688988758567179E-6</v>
      </c>
      <c r="R229" s="103">
        <f t="shared" si="276"/>
        <v>1.2929336784830605E-5</v>
      </c>
      <c r="S229" s="103">
        <f t="shared" si="276"/>
        <v>3.2955373960639601E-5</v>
      </c>
      <c r="T229" s="103">
        <f t="shared" si="276"/>
        <v>5.8166943428723271E-5</v>
      </c>
      <c r="U229" s="103">
        <f t="shared" si="276"/>
        <v>8.8670454634102151E-5</v>
      </c>
      <c r="V229" s="103">
        <f t="shared" si="276"/>
        <v>3.416680048446396E-4</v>
      </c>
      <c r="W229" s="103">
        <f t="shared" ref="W229" si="277">IF(W11=0,0,W11/W$4)</f>
        <v>1.1401841462044132E-3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0</v>
      </c>
      <c r="K230" s="103">
        <f t="shared" si="278"/>
        <v>0</v>
      </c>
      <c r="L230" s="103">
        <f t="shared" ref="L230" si="279">IF(L12=0,0,L12/L$4)</f>
        <v>0</v>
      </c>
      <c r="M230" s="103">
        <f t="shared" ref="M230:V230" si="280">IF(M12=0,0,M12/M$4)</f>
        <v>0</v>
      </c>
      <c r="N230" s="103">
        <f t="shared" si="280"/>
        <v>1.9496629357790404E-7</v>
      </c>
      <c r="O230" s="103">
        <f t="shared" si="280"/>
        <v>6.1546671437703886E-7</v>
      </c>
      <c r="P230" s="103">
        <f t="shared" si="280"/>
        <v>9.3474828897180196E-6</v>
      </c>
      <c r="Q230" s="103">
        <f t="shared" si="280"/>
        <v>1.7595182993794966E-5</v>
      </c>
      <c r="R230" s="103">
        <f t="shared" si="280"/>
        <v>2.3352576034978624E-5</v>
      </c>
      <c r="S230" s="103">
        <f t="shared" si="280"/>
        <v>3.008261577598198E-5</v>
      </c>
      <c r="T230" s="103">
        <f t="shared" si="280"/>
        <v>4.3170929496279704E-5</v>
      </c>
      <c r="U230" s="103">
        <f t="shared" si="280"/>
        <v>8.3941354627422847E-5</v>
      </c>
      <c r="V230" s="103">
        <f t="shared" si="280"/>
        <v>2.1301984759034587E-4</v>
      </c>
      <c r="W230" s="103">
        <f t="shared" ref="W230" si="281">IF(W12=0,0,W12/W$4)</f>
        <v>7.0348223101261546E-4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0.2435984305713903</v>
      </c>
      <c r="C231" s="156">
        <f t="shared" si="282"/>
        <v>0.23084999602493675</v>
      </c>
      <c r="D231" s="156">
        <f t="shared" si="282"/>
        <v>0.22191897748842732</v>
      </c>
      <c r="E231" s="156">
        <f t="shared" si="282"/>
        <v>0.21228751154920519</v>
      </c>
      <c r="F231" s="156">
        <f t="shared" si="282"/>
        <v>0.20138791606358061</v>
      </c>
      <c r="G231" s="156">
        <f t="shared" si="282"/>
        <v>0.19291706526190053</v>
      </c>
      <c r="H231" s="156">
        <f t="shared" si="282"/>
        <v>0.18587243696483652</v>
      </c>
      <c r="I231" s="156">
        <f t="shared" si="282"/>
        <v>0.1794150584921351</v>
      </c>
      <c r="J231" s="156">
        <f t="shared" si="282"/>
        <v>0.17251023380492397</v>
      </c>
      <c r="K231" s="156">
        <f t="shared" si="282"/>
        <v>0.16296329734558185</v>
      </c>
      <c r="L231" s="156">
        <f t="shared" ref="L231" si="283">IF(L13=0,0,L13/L$4)</f>
        <v>0.16480927915586291</v>
      </c>
      <c r="M231" s="156">
        <f t="shared" ref="M231:V231" si="284">IF(M13=0,0,M13/M$4)</f>
        <v>0.16654182835209205</v>
      </c>
      <c r="N231" s="156">
        <f t="shared" si="284"/>
        <v>0.16753026772659513</v>
      </c>
      <c r="O231" s="156">
        <f t="shared" si="284"/>
        <v>0.16838213389609422</v>
      </c>
      <c r="P231" s="156">
        <f t="shared" si="284"/>
        <v>0.16631150852338991</v>
      </c>
      <c r="Q231" s="156">
        <f t="shared" si="284"/>
        <v>0.16530044599876817</v>
      </c>
      <c r="R231" s="156">
        <f t="shared" si="284"/>
        <v>0.16128971105970069</v>
      </c>
      <c r="S231" s="156">
        <f t="shared" si="284"/>
        <v>0.15672671901585231</v>
      </c>
      <c r="T231" s="156">
        <f t="shared" si="284"/>
        <v>0.15609400783847815</v>
      </c>
      <c r="U231" s="156">
        <f t="shared" si="284"/>
        <v>0.15196613139947768</v>
      </c>
      <c r="V231" s="156">
        <f t="shared" si="284"/>
        <v>0.11921851618822468</v>
      </c>
      <c r="W231" s="156">
        <f t="shared" ref="W231" si="285">IF(W13=0,0,W13/W$4)</f>
        <v>0.11569770353334771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0</v>
      </c>
      <c r="C232" s="103">
        <f t="shared" si="286"/>
        <v>0</v>
      </c>
      <c r="D232" s="103">
        <f t="shared" si="286"/>
        <v>0</v>
      </c>
      <c r="E232" s="103">
        <f t="shared" si="286"/>
        <v>0</v>
      </c>
      <c r="F232" s="103">
        <f t="shared" si="286"/>
        <v>0</v>
      </c>
      <c r="G232" s="103">
        <f t="shared" si="286"/>
        <v>0</v>
      </c>
      <c r="H232" s="103">
        <f t="shared" si="286"/>
        <v>0</v>
      </c>
      <c r="I232" s="103">
        <f t="shared" si="286"/>
        <v>0</v>
      </c>
      <c r="J232" s="103">
        <f t="shared" si="286"/>
        <v>0</v>
      </c>
      <c r="K232" s="103">
        <f t="shared" si="286"/>
        <v>0</v>
      </c>
      <c r="L232" s="103">
        <f t="shared" ref="L232" si="287">IF(L14=0,0,L14/L$4)</f>
        <v>0</v>
      </c>
      <c r="M232" s="103">
        <f t="shared" ref="M232:V232" si="288">IF(M14=0,0,M14/M$4)</f>
        <v>0</v>
      </c>
      <c r="N232" s="103">
        <f t="shared" si="288"/>
        <v>0</v>
      </c>
      <c r="O232" s="103">
        <f t="shared" si="288"/>
        <v>0</v>
      </c>
      <c r="P232" s="103">
        <f t="shared" si="288"/>
        <v>0</v>
      </c>
      <c r="Q232" s="103">
        <f t="shared" si="288"/>
        <v>0</v>
      </c>
      <c r="R232" s="103">
        <f t="shared" si="288"/>
        <v>0</v>
      </c>
      <c r="S232" s="103">
        <f t="shared" si="288"/>
        <v>0</v>
      </c>
      <c r="T232" s="103">
        <f t="shared" si="288"/>
        <v>0</v>
      </c>
      <c r="U232" s="103">
        <f t="shared" si="288"/>
        <v>0</v>
      </c>
      <c r="V232" s="103">
        <f t="shared" si="288"/>
        <v>0</v>
      </c>
      <c r="W232" s="103">
        <f t="shared" ref="W232" si="289">IF(W14=0,0,W14/W$4)</f>
        <v>0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0.2435984305713903</v>
      </c>
      <c r="C233" s="103">
        <f t="shared" si="290"/>
        <v>0.22736860597963846</v>
      </c>
      <c r="D233" s="103">
        <f t="shared" si="290"/>
        <v>0.21682254708912202</v>
      </c>
      <c r="E233" s="103">
        <f t="shared" si="290"/>
        <v>0.20694743046628597</v>
      </c>
      <c r="F233" s="103">
        <f t="shared" si="290"/>
        <v>0.19630551084436432</v>
      </c>
      <c r="G233" s="103">
        <f t="shared" si="290"/>
        <v>0.18775849465106836</v>
      </c>
      <c r="H233" s="103">
        <f t="shared" si="290"/>
        <v>0.18075059852822112</v>
      </c>
      <c r="I233" s="103">
        <f t="shared" si="290"/>
        <v>0.1736767572524763</v>
      </c>
      <c r="J233" s="103">
        <f t="shared" si="290"/>
        <v>0.16675682026196956</v>
      </c>
      <c r="K233" s="103">
        <f t="shared" si="290"/>
        <v>0.15774441429531277</v>
      </c>
      <c r="L233" s="103">
        <f t="shared" ref="L233" si="291">IF(L15=0,0,L15/L$4)</f>
        <v>0.15974194686895266</v>
      </c>
      <c r="M233" s="103">
        <f t="shared" ref="M233:V233" si="292">IF(M15=0,0,M15/M$4)</f>
        <v>0.16155203751201908</v>
      </c>
      <c r="N233" s="103">
        <f t="shared" si="292"/>
        <v>0.16251492971257156</v>
      </c>
      <c r="O233" s="103">
        <f t="shared" si="292"/>
        <v>0.16361455359605767</v>
      </c>
      <c r="P233" s="103">
        <f t="shared" si="292"/>
        <v>0.1615015156813609</v>
      </c>
      <c r="Q233" s="103">
        <f t="shared" si="292"/>
        <v>0.16018773553132767</v>
      </c>
      <c r="R233" s="103">
        <f t="shared" si="292"/>
        <v>0.15616655229655965</v>
      </c>
      <c r="S233" s="103">
        <f t="shared" si="292"/>
        <v>0.15213303605837294</v>
      </c>
      <c r="T233" s="103">
        <f t="shared" si="292"/>
        <v>0.15072683094704561</v>
      </c>
      <c r="U233" s="103">
        <f t="shared" si="292"/>
        <v>0.14619167282935247</v>
      </c>
      <c r="V233" s="103">
        <f t="shared" si="292"/>
        <v>0.11415383781262964</v>
      </c>
      <c r="W233" s="103">
        <f t="shared" ref="W233" si="293">IF(W15=0,0,W15/W$4)</f>
        <v>0.11020450631740866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0</v>
      </c>
      <c r="G234" s="103">
        <f t="shared" si="294"/>
        <v>0</v>
      </c>
      <c r="H234" s="103">
        <f t="shared" si="294"/>
        <v>0</v>
      </c>
      <c r="I234" s="103">
        <f t="shared" si="294"/>
        <v>0</v>
      </c>
      <c r="J234" s="103">
        <f t="shared" si="294"/>
        <v>0</v>
      </c>
      <c r="K234" s="103">
        <f t="shared" si="294"/>
        <v>0</v>
      </c>
      <c r="L234" s="103">
        <f t="shared" ref="L234" si="295">IF(L16=0,0,L16/L$4)</f>
        <v>0</v>
      </c>
      <c r="M234" s="103">
        <f t="shared" ref="M234:V234" si="296">IF(M16=0,0,M16/M$4)</f>
        <v>0</v>
      </c>
      <c r="N234" s="103">
        <f t="shared" si="296"/>
        <v>0</v>
      </c>
      <c r="O234" s="103">
        <f t="shared" si="296"/>
        <v>0</v>
      </c>
      <c r="P234" s="103">
        <f t="shared" si="296"/>
        <v>0</v>
      </c>
      <c r="Q234" s="103">
        <f t="shared" si="296"/>
        <v>0</v>
      </c>
      <c r="R234" s="103">
        <f t="shared" si="296"/>
        <v>0</v>
      </c>
      <c r="S234" s="103">
        <f t="shared" si="296"/>
        <v>0</v>
      </c>
      <c r="T234" s="103">
        <f t="shared" si="296"/>
        <v>0</v>
      </c>
      <c r="U234" s="103">
        <f t="shared" si="296"/>
        <v>0</v>
      </c>
      <c r="V234" s="103">
        <f t="shared" si="296"/>
        <v>0</v>
      </c>
      <c r="W234" s="103">
        <f t="shared" ref="W234" si="297">IF(W16=0,0,W16/W$4)</f>
        <v>0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0</v>
      </c>
      <c r="C235" s="103">
        <f t="shared" si="298"/>
        <v>3.481390045298299E-3</v>
      </c>
      <c r="D235" s="103">
        <f t="shared" si="298"/>
        <v>5.0964303993053109E-3</v>
      </c>
      <c r="E235" s="103">
        <f t="shared" si="298"/>
        <v>5.3400810829192236E-3</v>
      </c>
      <c r="F235" s="103">
        <f t="shared" si="298"/>
        <v>5.0824052192163065E-3</v>
      </c>
      <c r="G235" s="103">
        <f t="shared" si="298"/>
        <v>5.1585706108321864E-3</v>
      </c>
      <c r="H235" s="103">
        <f t="shared" si="298"/>
        <v>5.1218384366153872E-3</v>
      </c>
      <c r="I235" s="103">
        <f t="shared" si="298"/>
        <v>5.738301239658814E-3</v>
      </c>
      <c r="J235" s="103">
        <f t="shared" si="298"/>
        <v>5.7534135429544078E-3</v>
      </c>
      <c r="K235" s="103">
        <f t="shared" si="298"/>
        <v>5.2188830502690959E-3</v>
      </c>
      <c r="L235" s="103">
        <f t="shared" ref="L235" si="299">IF(L17=0,0,L17/L$4)</f>
        <v>5.0673322869102403E-3</v>
      </c>
      <c r="M235" s="103">
        <f t="shared" ref="M235:V235" si="300">IF(M17=0,0,M17/M$4)</f>
        <v>4.9897908400729782E-3</v>
      </c>
      <c r="N235" s="103">
        <f t="shared" si="300"/>
        <v>5.0153380140235846E-3</v>
      </c>
      <c r="O235" s="103">
        <f t="shared" si="300"/>
        <v>4.7675803000365464E-3</v>
      </c>
      <c r="P235" s="103">
        <f t="shared" si="300"/>
        <v>4.8099928420290211E-3</v>
      </c>
      <c r="Q235" s="103">
        <f t="shared" si="300"/>
        <v>5.1127104674404842E-3</v>
      </c>
      <c r="R235" s="103">
        <f t="shared" si="300"/>
        <v>5.1231587631410296E-3</v>
      </c>
      <c r="S235" s="103">
        <f t="shared" si="300"/>
        <v>4.5936829574793683E-3</v>
      </c>
      <c r="T235" s="103">
        <f t="shared" si="300"/>
        <v>5.3671768914325332E-3</v>
      </c>
      <c r="U235" s="103">
        <f t="shared" si="300"/>
        <v>5.765475199392806E-3</v>
      </c>
      <c r="V235" s="103">
        <f t="shared" si="300"/>
        <v>5.0576351974708405E-3</v>
      </c>
      <c r="W235" s="103">
        <f t="shared" ref="W235" si="301">IF(W17=0,0,W17/W$4)</f>
        <v>5.4863337859450099E-3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0</v>
      </c>
      <c r="C236" s="103">
        <f t="shared" si="302"/>
        <v>0</v>
      </c>
      <c r="D236" s="103">
        <f t="shared" si="302"/>
        <v>0</v>
      </c>
      <c r="E236" s="103">
        <f t="shared" si="302"/>
        <v>0</v>
      </c>
      <c r="F236" s="103">
        <f t="shared" si="302"/>
        <v>0</v>
      </c>
      <c r="G236" s="103">
        <f t="shared" si="302"/>
        <v>0</v>
      </c>
      <c r="H236" s="103">
        <f t="shared" si="302"/>
        <v>0</v>
      </c>
      <c r="I236" s="103">
        <f t="shared" si="302"/>
        <v>0</v>
      </c>
      <c r="J236" s="103">
        <f t="shared" si="302"/>
        <v>0</v>
      </c>
      <c r="K236" s="103">
        <f t="shared" si="302"/>
        <v>0</v>
      </c>
      <c r="L236" s="103">
        <f t="shared" ref="L236" si="303">IF(L18=0,0,L18/L$4)</f>
        <v>0</v>
      </c>
      <c r="M236" s="103">
        <f t="shared" ref="M236:V236" si="304">IF(M18=0,0,M18/M$4)</f>
        <v>0</v>
      </c>
      <c r="N236" s="103">
        <f t="shared" si="304"/>
        <v>0</v>
      </c>
      <c r="O236" s="103">
        <f t="shared" si="304"/>
        <v>0</v>
      </c>
      <c r="P236" s="103">
        <f t="shared" si="304"/>
        <v>0</v>
      </c>
      <c r="Q236" s="103">
        <f t="shared" si="304"/>
        <v>0</v>
      </c>
      <c r="R236" s="103">
        <f t="shared" si="304"/>
        <v>0</v>
      </c>
      <c r="S236" s="103">
        <f t="shared" si="304"/>
        <v>0</v>
      </c>
      <c r="T236" s="103">
        <f t="shared" si="304"/>
        <v>0</v>
      </c>
      <c r="U236" s="103">
        <f t="shared" si="304"/>
        <v>8.9833707323814735E-6</v>
      </c>
      <c r="V236" s="103">
        <f t="shared" si="304"/>
        <v>7.043178124209304E-6</v>
      </c>
      <c r="W236" s="103">
        <f t="shared" ref="W236" si="305">IF(W18=0,0,W18/W$4)</f>
        <v>6.8634299940365914E-6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5.0506723220994774E-2</v>
      </c>
      <c r="C238" s="154">
        <f t="shared" si="310"/>
        <v>5.1711388499011031E-2</v>
      </c>
      <c r="D238" s="154">
        <f t="shared" si="310"/>
        <v>5.3680707759912336E-2</v>
      </c>
      <c r="E238" s="154">
        <f t="shared" si="310"/>
        <v>8.4696545638794821E-2</v>
      </c>
      <c r="F238" s="154">
        <f t="shared" si="310"/>
        <v>4.563640347138994E-2</v>
      </c>
      <c r="G238" s="154">
        <f t="shared" si="310"/>
        <v>7.0914229589085553E-2</v>
      </c>
      <c r="H238" s="154">
        <f t="shared" si="310"/>
        <v>5.7830431919410813E-2</v>
      </c>
      <c r="I238" s="154">
        <f t="shared" si="310"/>
        <v>7.5048355734268241E-2</v>
      </c>
      <c r="J238" s="154">
        <f t="shared" si="310"/>
        <v>6.9283118002413213E-2</v>
      </c>
      <c r="K238" s="154">
        <f t="shared" si="310"/>
        <v>7.0847086278458829E-2</v>
      </c>
      <c r="L238" s="154">
        <f t="shared" ref="L238" si="311">IF(L20=0,0,L20/L$19)</f>
        <v>7.0174963111688554E-2</v>
      </c>
      <c r="M238" s="154">
        <f t="shared" ref="M238:V238" si="312">IF(M20=0,0,M20/M$19)</f>
        <v>9.0057420336283472E-2</v>
      </c>
      <c r="N238" s="154">
        <f t="shared" si="312"/>
        <v>7.791818078759917E-2</v>
      </c>
      <c r="O238" s="154">
        <f t="shared" si="312"/>
        <v>0.10909954018280986</v>
      </c>
      <c r="P238" s="154">
        <f t="shared" si="312"/>
        <v>9.6449795476656094E-2</v>
      </c>
      <c r="Q238" s="154">
        <f t="shared" si="312"/>
        <v>0.11528656507799248</v>
      </c>
      <c r="R238" s="154">
        <f t="shared" si="312"/>
        <v>0.1139801726254671</v>
      </c>
      <c r="S238" s="154">
        <f t="shared" si="312"/>
        <v>9.9578847649993849E-2</v>
      </c>
      <c r="T238" s="154">
        <f t="shared" si="312"/>
        <v>9.8670688709221605E-2</v>
      </c>
      <c r="U238" s="154">
        <f t="shared" si="312"/>
        <v>0.10105440886276096</v>
      </c>
      <c r="V238" s="154">
        <f t="shared" si="312"/>
        <v>0.10075372593789614</v>
      </c>
      <c r="W238" s="154">
        <f t="shared" ref="W238" si="313">IF(W20=0,0,W20/W$19)</f>
        <v>9.2555714381349588E-2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3.6642505094531951E-2</v>
      </c>
      <c r="C239" s="103">
        <f t="shared" si="314"/>
        <v>3.572814887442028E-2</v>
      </c>
      <c r="D239" s="103">
        <f t="shared" si="314"/>
        <v>3.5883710213910985E-2</v>
      </c>
      <c r="E239" s="103">
        <f t="shared" si="314"/>
        <v>5.2685666257499979E-2</v>
      </c>
      <c r="F239" s="103">
        <f t="shared" si="314"/>
        <v>2.6914301509349682E-2</v>
      </c>
      <c r="G239" s="103">
        <f t="shared" si="314"/>
        <v>4.0344649707861481E-2</v>
      </c>
      <c r="H239" s="103">
        <f t="shared" si="314"/>
        <v>2.9817247080505708E-2</v>
      </c>
      <c r="I239" s="103">
        <f t="shared" si="314"/>
        <v>3.6962910433489225E-2</v>
      </c>
      <c r="J239" s="103">
        <f t="shared" si="314"/>
        <v>3.4292402415366172E-2</v>
      </c>
      <c r="K239" s="103">
        <f t="shared" si="314"/>
        <v>2.9817252809238477E-2</v>
      </c>
      <c r="L239" s="103">
        <f t="shared" ref="L239" si="315">IF(L21=0,0,L21/L$19)</f>
        <v>2.6702528322359746E-2</v>
      </c>
      <c r="M239" s="103">
        <f t="shared" ref="M239:V239" si="316">IF(M21=0,0,M21/M$19)</f>
        <v>3.2665037822122149E-2</v>
      </c>
      <c r="N239" s="103">
        <f t="shared" si="316"/>
        <v>2.7566362782210911E-2</v>
      </c>
      <c r="O239" s="103">
        <f t="shared" si="316"/>
        <v>3.2020572217567662E-2</v>
      </c>
      <c r="P239" s="103">
        <f t="shared" si="316"/>
        <v>2.7731418763975876E-2</v>
      </c>
      <c r="Q239" s="103">
        <f t="shared" si="316"/>
        <v>2.7889614330418654E-2</v>
      </c>
      <c r="R239" s="103">
        <f t="shared" si="316"/>
        <v>2.6674472113631151E-2</v>
      </c>
      <c r="S239" s="103">
        <f t="shared" si="316"/>
        <v>2.4923460983360419E-2</v>
      </c>
      <c r="T239" s="103">
        <f t="shared" si="316"/>
        <v>2.7705972827621519E-2</v>
      </c>
      <c r="U239" s="103">
        <f t="shared" si="316"/>
        <v>2.9010682392180121E-2</v>
      </c>
      <c r="V239" s="103">
        <f t="shared" si="316"/>
        <v>3.0502547304823775E-2</v>
      </c>
      <c r="W239" s="103">
        <f t="shared" ref="W239" si="317">IF(W21=0,0,W21/W$19)</f>
        <v>2.8857359424659369E-2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1.3864218126462819E-2</v>
      </c>
      <c r="C240" s="103">
        <f t="shared" si="318"/>
        <v>1.598323962459075E-2</v>
      </c>
      <c r="D240" s="103">
        <f t="shared" si="318"/>
        <v>1.779699754600135E-2</v>
      </c>
      <c r="E240" s="103">
        <f t="shared" si="318"/>
        <v>3.2010879381294849E-2</v>
      </c>
      <c r="F240" s="103">
        <f t="shared" si="318"/>
        <v>1.8722101962040254E-2</v>
      </c>
      <c r="G240" s="103">
        <f t="shared" si="318"/>
        <v>3.0569579881224076E-2</v>
      </c>
      <c r="H240" s="103">
        <f t="shared" si="318"/>
        <v>2.8013184838905102E-2</v>
      </c>
      <c r="I240" s="103">
        <f t="shared" si="318"/>
        <v>3.8085445300779015E-2</v>
      </c>
      <c r="J240" s="103">
        <f t="shared" si="318"/>
        <v>3.4990715587047035E-2</v>
      </c>
      <c r="K240" s="103">
        <f t="shared" si="318"/>
        <v>4.1029833469220352E-2</v>
      </c>
      <c r="L240" s="103">
        <f t="shared" ref="L240" si="319">IF(L22=0,0,L22/L$19)</f>
        <v>4.3472434789328801E-2</v>
      </c>
      <c r="M240" s="103">
        <f t="shared" ref="M240:V240" si="320">IF(M22=0,0,M22/M$19)</f>
        <v>5.739238251416133E-2</v>
      </c>
      <c r="N240" s="103">
        <f t="shared" si="320"/>
        <v>5.0351818005388266E-2</v>
      </c>
      <c r="O240" s="103">
        <f t="shared" si="320"/>
        <v>7.707896796524219E-2</v>
      </c>
      <c r="P240" s="103">
        <f t="shared" si="320"/>
        <v>6.8718376712680218E-2</v>
      </c>
      <c r="Q240" s="103">
        <f t="shared" si="320"/>
        <v>8.7396950747573823E-2</v>
      </c>
      <c r="R240" s="103">
        <f t="shared" si="320"/>
        <v>8.7305700511835935E-2</v>
      </c>
      <c r="S240" s="103">
        <f t="shared" si="320"/>
        <v>7.4655386666633433E-2</v>
      </c>
      <c r="T240" s="103">
        <f t="shared" si="320"/>
        <v>7.0964715881600096E-2</v>
      </c>
      <c r="U240" s="103">
        <f t="shared" si="320"/>
        <v>7.2043726470580827E-2</v>
      </c>
      <c r="V240" s="103">
        <f t="shared" si="320"/>
        <v>7.025117863307237E-2</v>
      </c>
      <c r="W240" s="103">
        <f t="shared" ref="W240" si="321">IF(W22=0,0,W22/W$19)</f>
        <v>6.3698354956690212E-2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0</v>
      </c>
      <c r="D241" s="103">
        <f t="shared" si="322"/>
        <v>0</v>
      </c>
      <c r="E241" s="103">
        <f t="shared" si="322"/>
        <v>0</v>
      </c>
      <c r="F241" s="103">
        <f t="shared" si="322"/>
        <v>0</v>
      </c>
      <c r="G241" s="103">
        <f t="shared" si="322"/>
        <v>0</v>
      </c>
      <c r="H241" s="103">
        <f t="shared" si="322"/>
        <v>0</v>
      </c>
      <c r="I241" s="103">
        <f t="shared" si="322"/>
        <v>0</v>
      </c>
      <c r="J241" s="103">
        <f t="shared" si="322"/>
        <v>0</v>
      </c>
      <c r="K241" s="103">
        <f t="shared" si="322"/>
        <v>0</v>
      </c>
      <c r="L241" s="103">
        <f t="shared" ref="L241" si="323">IF(L23=0,0,L23/L$19)</f>
        <v>0</v>
      </c>
      <c r="M241" s="103">
        <f t="shared" ref="M241:V241" si="324">IF(M23=0,0,M23/M$19)</f>
        <v>0</v>
      </c>
      <c r="N241" s="103">
        <f t="shared" si="324"/>
        <v>0</v>
      </c>
      <c r="O241" s="103">
        <f t="shared" si="324"/>
        <v>0</v>
      </c>
      <c r="P241" s="103">
        <f t="shared" si="324"/>
        <v>0</v>
      </c>
      <c r="Q241" s="103">
        <f t="shared" si="324"/>
        <v>0</v>
      </c>
      <c r="R241" s="103">
        <f t="shared" si="324"/>
        <v>0</v>
      </c>
      <c r="S241" s="103">
        <f t="shared" si="324"/>
        <v>0</v>
      </c>
      <c r="T241" s="103">
        <f t="shared" si="324"/>
        <v>0</v>
      </c>
      <c r="U241" s="103">
        <f t="shared" si="324"/>
        <v>0</v>
      </c>
      <c r="V241" s="103">
        <f t="shared" si="324"/>
        <v>0</v>
      </c>
      <c r="W241" s="103">
        <f t="shared" ref="W241" si="325">IF(W23=0,0,W23/W$19)</f>
        <v>0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0</v>
      </c>
      <c r="I242" s="103">
        <f t="shared" si="326"/>
        <v>0</v>
      </c>
      <c r="J242" s="103">
        <f t="shared" si="326"/>
        <v>0</v>
      </c>
      <c r="K242" s="103">
        <f t="shared" si="326"/>
        <v>0</v>
      </c>
      <c r="L242" s="103">
        <f t="shared" ref="L242" si="327">IF(L24=0,0,L24/L$19)</f>
        <v>0</v>
      </c>
      <c r="M242" s="103">
        <f t="shared" ref="M242:V242" si="328">IF(M24=0,0,M24/M$19)</f>
        <v>0</v>
      </c>
      <c r="N242" s="103">
        <f t="shared" si="328"/>
        <v>0</v>
      </c>
      <c r="O242" s="103">
        <f t="shared" si="328"/>
        <v>0</v>
      </c>
      <c r="P242" s="103">
        <f t="shared" si="328"/>
        <v>0</v>
      </c>
      <c r="Q242" s="103">
        <f t="shared" si="328"/>
        <v>0</v>
      </c>
      <c r="R242" s="103">
        <f t="shared" si="328"/>
        <v>0</v>
      </c>
      <c r="S242" s="103">
        <f t="shared" si="328"/>
        <v>0</v>
      </c>
      <c r="T242" s="103">
        <f t="shared" si="328"/>
        <v>0</v>
      </c>
      <c r="U242" s="103">
        <f t="shared" si="328"/>
        <v>0</v>
      </c>
      <c r="V242" s="103">
        <f t="shared" si="328"/>
        <v>0</v>
      </c>
      <c r="W242" s="103">
        <f t="shared" ref="W242" si="329">IF(W24=0,0,W24/W$19)</f>
        <v>0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0</v>
      </c>
      <c r="J243" s="103">
        <f t="shared" si="330"/>
        <v>0</v>
      </c>
      <c r="K243" s="103">
        <f t="shared" si="330"/>
        <v>0</v>
      </c>
      <c r="L243" s="103">
        <f t="shared" ref="L243" si="331">IF(L25=0,0,L25/L$19)</f>
        <v>0</v>
      </c>
      <c r="M243" s="103">
        <f t="shared" ref="M243:V243" si="332">IF(M25=0,0,M25/M$19)</f>
        <v>0</v>
      </c>
      <c r="N243" s="103">
        <f t="shared" si="332"/>
        <v>0</v>
      </c>
      <c r="O243" s="103">
        <f t="shared" si="332"/>
        <v>0</v>
      </c>
      <c r="P243" s="103">
        <f t="shared" si="332"/>
        <v>0</v>
      </c>
      <c r="Q243" s="103">
        <f t="shared" si="332"/>
        <v>0</v>
      </c>
      <c r="R243" s="103">
        <f t="shared" si="332"/>
        <v>0</v>
      </c>
      <c r="S243" s="103">
        <f t="shared" si="332"/>
        <v>0</v>
      </c>
      <c r="T243" s="103">
        <f t="shared" si="332"/>
        <v>0</v>
      </c>
      <c r="U243" s="103">
        <f t="shared" si="332"/>
        <v>0</v>
      </c>
      <c r="V243" s="103">
        <f t="shared" si="332"/>
        <v>0</v>
      </c>
      <c r="W243" s="103">
        <f t="shared" ref="W243" si="333">IF(W25=0,0,W25/W$19)</f>
        <v>0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0.94949327677900519</v>
      </c>
      <c r="C244" s="156">
        <f t="shared" si="334"/>
        <v>0.94828861150098898</v>
      </c>
      <c r="D244" s="156">
        <f t="shared" si="334"/>
        <v>0.94631929224008771</v>
      </c>
      <c r="E244" s="156">
        <f t="shared" si="334"/>
        <v>0.91530345436120519</v>
      </c>
      <c r="F244" s="156">
        <f t="shared" si="334"/>
        <v>0.95436359652861003</v>
      </c>
      <c r="G244" s="156">
        <f t="shared" si="334"/>
        <v>0.92908577041091445</v>
      </c>
      <c r="H244" s="156">
        <f t="shared" si="334"/>
        <v>0.94216956808058927</v>
      </c>
      <c r="I244" s="156">
        <f t="shared" si="334"/>
        <v>0.92495164426573173</v>
      </c>
      <c r="J244" s="156">
        <f t="shared" si="334"/>
        <v>0.93071688199758673</v>
      </c>
      <c r="K244" s="156">
        <f t="shared" si="334"/>
        <v>0.92915291372154118</v>
      </c>
      <c r="L244" s="156">
        <f t="shared" ref="L244" si="335">IF(L26=0,0,L26/L$19)</f>
        <v>0.92982503688831142</v>
      </c>
      <c r="M244" s="156">
        <f t="shared" ref="M244:V244" si="336">IF(M26=0,0,M26/M$19)</f>
        <v>0.9099425796637165</v>
      </c>
      <c r="N244" s="156">
        <f t="shared" si="336"/>
        <v>0.92208181921240084</v>
      </c>
      <c r="O244" s="156">
        <f t="shared" si="336"/>
        <v>0.89090045981719024</v>
      </c>
      <c r="P244" s="156">
        <f t="shared" si="336"/>
        <v>0.903550204523344</v>
      </c>
      <c r="Q244" s="156">
        <f t="shared" si="336"/>
        <v>0.88471343492200749</v>
      </c>
      <c r="R244" s="156">
        <f t="shared" si="336"/>
        <v>0.886019827374533</v>
      </c>
      <c r="S244" s="156">
        <f t="shared" si="336"/>
        <v>0.90042115235000619</v>
      </c>
      <c r="T244" s="156">
        <f t="shared" si="336"/>
        <v>0.90132931129077842</v>
      </c>
      <c r="U244" s="156">
        <f t="shared" si="336"/>
        <v>0.89894559113723904</v>
      </c>
      <c r="V244" s="156">
        <f t="shared" si="336"/>
        <v>0.89924627406210389</v>
      </c>
      <c r="W244" s="156">
        <f t="shared" ref="W244" si="337">IF(W26=0,0,W26/W$19)</f>
        <v>0.90744428561865031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0.88529525379476259</v>
      </c>
      <c r="C245" s="103">
        <f t="shared" si="338"/>
        <v>0.88129684465291169</v>
      </c>
      <c r="D245" s="103">
        <f t="shared" si="338"/>
        <v>0.8771881589320415</v>
      </c>
      <c r="E245" s="103">
        <f t="shared" si="338"/>
        <v>0.81307876056682782</v>
      </c>
      <c r="F245" s="103">
        <f t="shared" si="338"/>
        <v>0.89169920358799282</v>
      </c>
      <c r="G245" s="103">
        <f t="shared" si="338"/>
        <v>0.83130471466116973</v>
      </c>
      <c r="H245" s="103">
        <f t="shared" si="338"/>
        <v>0.85000645140398556</v>
      </c>
      <c r="I245" s="103">
        <f t="shared" si="338"/>
        <v>0.83246141593639233</v>
      </c>
      <c r="J245" s="103">
        <f t="shared" si="338"/>
        <v>0.85683855761267291</v>
      </c>
      <c r="K245" s="103">
        <f t="shared" si="338"/>
        <v>0.86331573480638268</v>
      </c>
      <c r="L245" s="103">
        <f t="shared" ref="L245" si="339">IF(L27=0,0,L27/L$19)</f>
        <v>0.84945554225460007</v>
      </c>
      <c r="M245" s="103">
        <f t="shared" ref="M245:V245" si="340">IF(M27=0,0,M27/M$19)</f>
        <v>0.81640512152416644</v>
      </c>
      <c r="N245" s="103">
        <f t="shared" si="340"/>
        <v>0.81597679740066265</v>
      </c>
      <c r="O245" s="103">
        <f t="shared" si="340"/>
        <v>0.7460882061954569</v>
      </c>
      <c r="P245" s="103">
        <f t="shared" si="340"/>
        <v>0.77926740516369208</v>
      </c>
      <c r="Q245" s="103">
        <f t="shared" si="340"/>
        <v>0.75291782862396739</v>
      </c>
      <c r="R245" s="103">
        <f t="shared" si="340"/>
        <v>0.76280050164037982</v>
      </c>
      <c r="S245" s="103">
        <f t="shared" si="340"/>
        <v>0.70651693863278509</v>
      </c>
      <c r="T245" s="103">
        <f t="shared" si="340"/>
        <v>0.71589146805241044</v>
      </c>
      <c r="U245" s="103">
        <f t="shared" si="340"/>
        <v>0.72405455870436308</v>
      </c>
      <c r="V245" s="103">
        <f t="shared" si="340"/>
        <v>0.69301384190664672</v>
      </c>
      <c r="W245" s="103">
        <f t="shared" ref="W245" si="341">IF(W27=0,0,W27/W$19)</f>
        <v>0.75932866505389629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6.4198022984242625E-2</v>
      </c>
      <c r="C246" s="105">
        <f t="shared" si="342"/>
        <v>6.6991766848077283E-2</v>
      </c>
      <c r="D246" s="105">
        <f t="shared" si="342"/>
        <v>6.9131133308046169E-2</v>
      </c>
      <c r="E246" s="105">
        <f t="shared" si="342"/>
        <v>0.10222469379437733</v>
      </c>
      <c r="F246" s="105">
        <f t="shared" si="342"/>
        <v>6.2664392940617125E-2</v>
      </c>
      <c r="G246" s="105">
        <f t="shared" si="342"/>
        <v>9.7781055749744716E-2</v>
      </c>
      <c r="H246" s="105">
        <f t="shared" si="342"/>
        <v>9.2163116676603693E-2</v>
      </c>
      <c r="I246" s="105">
        <f t="shared" si="342"/>
        <v>9.2490228329339383E-2</v>
      </c>
      <c r="J246" s="105">
        <f t="shared" si="342"/>
        <v>7.3878324384913832E-2</v>
      </c>
      <c r="K246" s="105">
        <f t="shared" si="342"/>
        <v>6.5837178915158584E-2</v>
      </c>
      <c r="L246" s="105">
        <f t="shared" ref="L246" si="343">IF(L28=0,0,L28/L$19)</f>
        <v>8.0369494633711305E-2</v>
      </c>
      <c r="M246" s="105">
        <f t="shared" ref="M246:V246" si="344">IF(M28=0,0,M28/M$19)</f>
        <v>9.3537458139550084E-2</v>
      </c>
      <c r="N246" s="105">
        <f t="shared" si="344"/>
        <v>0.10610502181173824</v>
      </c>
      <c r="O246" s="105">
        <f t="shared" si="344"/>
        <v>0.14481225362173331</v>
      </c>
      <c r="P246" s="105">
        <f t="shared" si="344"/>
        <v>0.12428279935965175</v>
      </c>
      <c r="Q246" s="105">
        <f t="shared" si="344"/>
        <v>0.13179560629804005</v>
      </c>
      <c r="R246" s="105">
        <f t="shared" si="344"/>
        <v>0.12321932573415312</v>
      </c>
      <c r="S246" s="105">
        <f t="shared" si="344"/>
        <v>0.19390421371722105</v>
      </c>
      <c r="T246" s="105">
        <f t="shared" si="344"/>
        <v>0.18543784323836801</v>
      </c>
      <c r="U246" s="105">
        <f t="shared" si="344"/>
        <v>0.17489103243287593</v>
      </c>
      <c r="V246" s="105">
        <f t="shared" si="344"/>
        <v>0.2062324321554572</v>
      </c>
      <c r="W246" s="105">
        <f t="shared" ref="W246" si="345">IF(W28=0,0,W28/W$19)</f>
        <v>0.14811562056475405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0.10346287943192156</v>
      </c>
      <c r="C250" s="154">
        <f t="shared" si="350"/>
        <v>0.10083931096070053</v>
      </c>
      <c r="D250" s="154">
        <f t="shared" si="350"/>
        <v>0.1042346297449404</v>
      </c>
      <c r="E250" s="154">
        <f t="shared" si="350"/>
        <v>0.10383786477191433</v>
      </c>
      <c r="F250" s="154">
        <f t="shared" si="350"/>
        <v>0.10175611123887465</v>
      </c>
      <c r="G250" s="154">
        <f t="shared" si="350"/>
        <v>9.7602288955405514E-2</v>
      </c>
      <c r="H250" s="154">
        <f t="shared" si="350"/>
        <v>8.827787839112114E-2</v>
      </c>
      <c r="I250" s="154">
        <f t="shared" si="350"/>
        <v>8.5909125295787092E-2</v>
      </c>
      <c r="J250" s="154">
        <f t="shared" si="350"/>
        <v>8.7355369319450649E-2</v>
      </c>
      <c r="K250" s="154">
        <f t="shared" si="350"/>
        <v>8.816127044901402E-2</v>
      </c>
      <c r="L250" s="154">
        <f t="shared" ref="L250" si="351">IF(L32=0,0,L32/L$31)</f>
        <v>0.10503202993649731</v>
      </c>
      <c r="M250" s="154">
        <f t="shared" ref="M250:V250" si="352">IF(M32=0,0,M32/M$31)</f>
        <v>0.11547033512044032</v>
      </c>
      <c r="N250" s="154">
        <f t="shared" si="352"/>
        <v>0.13652675613592929</v>
      </c>
      <c r="O250" s="154">
        <f t="shared" si="352"/>
        <v>0.14493456803506052</v>
      </c>
      <c r="P250" s="154">
        <f t="shared" si="352"/>
        <v>0.15197005456520463</v>
      </c>
      <c r="Q250" s="154">
        <f t="shared" si="352"/>
        <v>0.15374859770199495</v>
      </c>
      <c r="R250" s="154">
        <f t="shared" si="352"/>
        <v>0.15519634386370687</v>
      </c>
      <c r="S250" s="154">
        <f t="shared" si="352"/>
        <v>0.14517935708454693</v>
      </c>
      <c r="T250" s="154">
        <f t="shared" si="352"/>
        <v>0.13503939461625808</v>
      </c>
      <c r="U250" s="154">
        <f t="shared" si="352"/>
        <v>0.13972545102665099</v>
      </c>
      <c r="V250" s="154">
        <f t="shared" si="352"/>
        <v>0.13504425750398985</v>
      </c>
      <c r="W250" s="154">
        <f t="shared" ref="W250" si="353">IF(W32=0,0,W32/W$31)</f>
        <v>0.13684993384332425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0.87526775537004808</v>
      </c>
      <c r="C251" s="156">
        <f t="shared" si="354"/>
        <v>0.87927383236449652</v>
      </c>
      <c r="D251" s="156">
        <f t="shared" si="354"/>
        <v>0.87686299667668965</v>
      </c>
      <c r="E251" s="156">
        <f t="shared" si="354"/>
        <v>0.878266720271632</v>
      </c>
      <c r="F251" s="156">
        <f t="shared" si="354"/>
        <v>0.8814536201414277</v>
      </c>
      <c r="G251" s="156">
        <f t="shared" si="354"/>
        <v>0.88643227505694855</v>
      </c>
      <c r="H251" s="156">
        <f t="shared" si="354"/>
        <v>0.89600114721291602</v>
      </c>
      <c r="I251" s="156">
        <f t="shared" si="354"/>
        <v>0.89910038249698931</v>
      </c>
      <c r="J251" s="156">
        <f t="shared" si="354"/>
        <v>0.89872446639422487</v>
      </c>
      <c r="K251" s="156">
        <f t="shared" si="354"/>
        <v>0.89843214927124582</v>
      </c>
      <c r="L251" s="156">
        <f t="shared" ref="L251" si="355">IF(L33=0,0,L33/L$31)</f>
        <v>0.88149859335382941</v>
      </c>
      <c r="M251" s="156">
        <f t="shared" ref="M251:V251" si="356">IF(M33=0,0,M33/M$31)</f>
        <v>0.87008295976173355</v>
      </c>
      <c r="N251" s="156">
        <f t="shared" si="356"/>
        <v>0.84728711763087661</v>
      </c>
      <c r="O251" s="156">
        <f t="shared" si="356"/>
        <v>0.83823280211860562</v>
      </c>
      <c r="P251" s="156">
        <f t="shared" si="356"/>
        <v>0.83115951916839692</v>
      </c>
      <c r="Q251" s="156">
        <f t="shared" si="356"/>
        <v>0.82935644738498582</v>
      </c>
      <c r="R251" s="156">
        <f t="shared" si="356"/>
        <v>0.82842758580519549</v>
      </c>
      <c r="S251" s="156">
        <f t="shared" si="356"/>
        <v>0.83886945241423849</v>
      </c>
      <c r="T251" s="156">
        <f t="shared" si="356"/>
        <v>0.8490461370854413</v>
      </c>
      <c r="U251" s="156">
        <f t="shared" si="356"/>
        <v>0.84491583171435158</v>
      </c>
      <c r="V251" s="156">
        <f t="shared" si="356"/>
        <v>0.84843937262299607</v>
      </c>
      <c r="W251" s="156">
        <f t="shared" ref="W251" si="357">IF(W33=0,0,W33/W$31)</f>
        <v>0.84704105052919298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0.8096008927159315</v>
      </c>
      <c r="C252" s="103">
        <f t="shared" si="358"/>
        <v>0.82022428979505169</v>
      </c>
      <c r="D252" s="103">
        <f t="shared" si="358"/>
        <v>0.82155697363025748</v>
      </c>
      <c r="E252" s="103">
        <f t="shared" si="358"/>
        <v>0.82341035081246017</v>
      </c>
      <c r="F252" s="103">
        <f t="shared" si="358"/>
        <v>0.8344844353876012</v>
      </c>
      <c r="G252" s="103">
        <f t="shared" si="358"/>
        <v>0.84097599300202852</v>
      </c>
      <c r="H252" s="103">
        <f t="shared" si="358"/>
        <v>0.84783112064409361</v>
      </c>
      <c r="I252" s="103">
        <f t="shared" si="358"/>
        <v>0.85060379651279561</v>
      </c>
      <c r="J252" s="103">
        <f t="shared" si="358"/>
        <v>0.85395869100014654</v>
      </c>
      <c r="K252" s="103">
        <f t="shared" si="358"/>
        <v>0.84736892572914979</v>
      </c>
      <c r="L252" s="103">
        <f t="shared" ref="L252" si="359">IF(L34=0,0,L34/L$31)</f>
        <v>0.8279290582555513</v>
      </c>
      <c r="M252" s="103">
        <f t="shared" ref="M252:V252" si="360">IF(M34=0,0,M34/M$31)</f>
        <v>0.8026474360054302</v>
      </c>
      <c r="N252" s="103">
        <f t="shared" si="360"/>
        <v>0.78508581335903749</v>
      </c>
      <c r="O252" s="103">
        <f t="shared" si="360"/>
        <v>0.74763785180270015</v>
      </c>
      <c r="P252" s="103">
        <f t="shared" si="360"/>
        <v>0.71349211340209706</v>
      </c>
      <c r="Q252" s="103">
        <f t="shared" si="360"/>
        <v>0.70781810007074231</v>
      </c>
      <c r="R252" s="103">
        <f t="shared" si="360"/>
        <v>0.68399332544019287</v>
      </c>
      <c r="S252" s="103">
        <f t="shared" si="360"/>
        <v>0.67940976246701001</v>
      </c>
      <c r="T252" s="103">
        <f t="shared" si="360"/>
        <v>0.66569239811454939</v>
      </c>
      <c r="U252" s="103">
        <f t="shared" si="360"/>
        <v>0.634628779582463</v>
      </c>
      <c r="V252" s="103">
        <f t="shared" si="360"/>
        <v>0.60643111282415041</v>
      </c>
      <c r="W252" s="103">
        <f t="shared" ref="W252" si="361">IF(W34=0,0,W34/W$31)</f>
        <v>0.61060297320635826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6.0651947856605576E-2</v>
      </c>
      <c r="C253" s="103">
        <f t="shared" si="362"/>
        <v>5.4276526799428966E-2</v>
      </c>
      <c r="D253" s="103">
        <f t="shared" si="362"/>
        <v>5.1050848233406561E-2</v>
      </c>
      <c r="E253" s="103">
        <f t="shared" si="362"/>
        <v>5.1232177317377732E-2</v>
      </c>
      <c r="F253" s="103">
        <f t="shared" si="362"/>
        <v>4.3811211624992373E-2</v>
      </c>
      <c r="G253" s="103">
        <f t="shared" si="362"/>
        <v>4.2460905896010939E-2</v>
      </c>
      <c r="H253" s="103">
        <f t="shared" si="362"/>
        <v>4.5269522930953821E-2</v>
      </c>
      <c r="I253" s="103">
        <f t="shared" si="362"/>
        <v>4.5430341828960386E-2</v>
      </c>
      <c r="J253" s="103">
        <f t="shared" si="362"/>
        <v>4.1834939111851245E-2</v>
      </c>
      <c r="K253" s="103">
        <f t="shared" si="362"/>
        <v>4.6898501278787919E-2</v>
      </c>
      <c r="L253" s="103">
        <f t="shared" ref="L253" si="363">IF(L35=0,0,L35/L$31)</f>
        <v>4.3758202702196158E-2</v>
      </c>
      <c r="M253" s="103">
        <f t="shared" ref="M253:V253" si="364">IF(M35=0,0,M35/M$31)</f>
        <v>4.1417121469733524E-2</v>
      </c>
      <c r="N253" s="103">
        <f t="shared" si="364"/>
        <v>4.1216128723159356E-2</v>
      </c>
      <c r="O253" s="103">
        <f t="shared" si="364"/>
        <v>3.804004527196659E-2</v>
      </c>
      <c r="P253" s="103">
        <f t="shared" si="364"/>
        <v>6.0391307221112363E-2</v>
      </c>
      <c r="Q253" s="103">
        <f t="shared" si="364"/>
        <v>5.5495243221499471E-2</v>
      </c>
      <c r="R253" s="103">
        <f t="shared" si="364"/>
        <v>7.1968887689757316E-2</v>
      </c>
      <c r="S253" s="103">
        <f t="shared" si="364"/>
        <v>9.0508976343469785E-2</v>
      </c>
      <c r="T253" s="103">
        <f t="shared" si="364"/>
        <v>0.11731591117904448</v>
      </c>
      <c r="U253" s="103">
        <f t="shared" si="364"/>
        <v>0.14490305756880775</v>
      </c>
      <c r="V253" s="103">
        <f t="shared" si="364"/>
        <v>0.18320780812416754</v>
      </c>
      <c r="W253" s="103">
        <f t="shared" ref="W253" si="365">IF(W35=0,0,W35/W$31)</f>
        <v>0.17891253949811142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5.0149147975110421E-3</v>
      </c>
      <c r="C254" s="103">
        <f t="shared" si="366"/>
        <v>4.5127986028982523E-3</v>
      </c>
      <c r="D254" s="103">
        <f t="shared" si="366"/>
        <v>3.8628427619792965E-3</v>
      </c>
      <c r="E254" s="103">
        <f t="shared" si="366"/>
        <v>3.2187990415090541E-3</v>
      </c>
      <c r="F254" s="103">
        <f t="shared" si="366"/>
        <v>2.7783185910589445E-3</v>
      </c>
      <c r="G254" s="103">
        <f t="shared" si="366"/>
        <v>2.6005957631039366E-3</v>
      </c>
      <c r="H254" s="103">
        <f t="shared" si="366"/>
        <v>2.5059296389603595E-3</v>
      </c>
      <c r="I254" s="103">
        <f t="shared" si="366"/>
        <v>2.6420123929355335E-3</v>
      </c>
      <c r="J254" s="103">
        <f t="shared" si="366"/>
        <v>2.5366668271287729E-3</v>
      </c>
      <c r="K254" s="103">
        <f t="shared" si="366"/>
        <v>3.652326342128245E-3</v>
      </c>
      <c r="L254" s="103">
        <f t="shared" ref="L254" si="367">IF(L36=0,0,L36/L$31)</f>
        <v>9.2238141865204435E-3</v>
      </c>
      <c r="M254" s="103">
        <f t="shared" ref="M254:V254" si="368">IF(M36=0,0,M36/M$31)</f>
        <v>2.5350821717097079E-2</v>
      </c>
      <c r="N254" s="103">
        <f t="shared" si="368"/>
        <v>2.0236899467965367E-2</v>
      </c>
      <c r="O254" s="103">
        <f t="shared" si="368"/>
        <v>5.1809801517271596E-2</v>
      </c>
      <c r="P254" s="103">
        <f t="shared" si="368"/>
        <v>5.6505751466885613E-2</v>
      </c>
      <c r="Q254" s="103">
        <f t="shared" si="368"/>
        <v>6.5168728787114702E-2</v>
      </c>
      <c r="R254" s="103">
        <f t="shared" si="368"/>
        <v>7.1564015879923532E-2</v>
      </c>
      <c r="S254" s="103">
        <f t="shared" si="368"/>
        <v>6.8052564060443632E-2</v>
      </c>
      <c r="T254" s="103">
        <f t="shared" si="368"/>
        <v>6.5084095806630618E-2</v>
      </c>
      <c r="U254" s="103">
        <f t="shared" si="368"/>
        <v>6.4289507103457932E-2</v>
      </c>
      <c r="V254" s="103">
        <f t="shared" si="368"/>
        <v>5.6890967957456316E-2</v>
      </c>
      <c r="W254" s="103">
        <f t="shared" ref="W254" si="369">IF(W36=0,0,W36/W$31)</f>
        <v>5.4009254091766427E-2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2.6021716711761091E-4</v>
      </c>
      <c r="D255" s="103">
        <f t="shared" si="370"/>
        <v>3.923320510461879E-4</v>
      </c>
      <c r="E255" s="103">
        <f t="shared" si="370"/>
        <v>4.053931002850487E-4</v>
      </c>
      <c r="F255" s="103">
        <f t="shared" si="370"/>
        <v>3.796545377751483E-4</v>
      </c>
      <c r="G255" s="103">
        <f t="shared" si="370"/>
        <v>3.9478039580520872E-4</v>
      </c>
      <c r="H255" s="103">
        <f t="shared" si="370"/>
        <v>3.9457399890814376E-4</v>
      </c>
      <c r="I255" s="103">
        <f t="shared" si="370"/>
        <v>4.2423176229785538E-4</v>
      </c>
      <c r="J255" s="103">
        <f t="shared" si="370"/>
        <v>3.9416945509833747E-4</v>
      </c>
      <c r="K255" s="103">
        <f t="shared" si="370"/>
        <v>5.1239592117992706E-4</v>
      </c>
      <c r="L255" s="103">
        <f t="shared" ref="L255" si="371">IF(L37=0,0,L37/L$31)</f>
        <v>5.8751820956139079E-4</v>
      </c>
      <c r="M255" s="103">
        <f t="shared" ref="M255:V255" si="372">IF(M37=0,0,M37/M$31)</f>
        <v>6.675805694726178E-4</v>
      </c>
      <c r="N255" s="103">
        <f t="shared" si="372"/>
        <v>7.4783784798674907E-4</v>
      </c>
      <c r="O255" s="103">
        <f t="shared" si="372"/>
        <v>7.4408021314435648E-4</v>
      </c>
      <c r="P255" s="103">
        <f t="shared" si="372"/>
        <v>7.5384041700959502E-4</v>
      </c>
      <c r="Q255" s="103">
        <f t="shared" si="372"/>
        <v>8.4335708187252155E-4</v>
      </c>
      <c r="R255" s="103">
        <f t="shared" si="372"/>
        <v>8.5614895204927355E-4</v>
      </c>
      <c r="S255" s="103">
        <f t="shared" si="372"/>
        <v>8.2234771981178751E-4</v>
      </c>
      <c r="T255" s="103">
        <f t="shared" si="372"/>
        <v>8.3260738548851521E-4</v>
      </c>
      <c r="U255" s="103">
        <f t="shared" si="372"/>
        <v>8.8680062812719791E-4</v>
      </c>
      <c r="V255" s="103">
        <f t="shared" si="372"/>
        <v>1.277286291105312E-3</v>
      </c>
      <c r="W255" s="103">
        <f t="shared" ref="W255" si="373">IF(W37=0,0,W37/W$31)</f>
        <v>1.4327645970181122E-3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0</v>
      </c>
      <c r="N256" s="103">
        <f t="shared" si="376"/>
        <v>1.7040076325569149E-7</v>
      </c>
      <c r="O256" s="103">
        <f t="shared" si="376"/>
        <v>1.840498961406359E-7</v>
      </c>
      <c r="P256" s="103">
        <f t="shared" si="376"/>
        <v>3.8635257987139185E-6</v>
      </c>
      <c r="Q256" s="103">
        <f t="shared" si="376"/>
        <v>7.3082533327223951E-6</v>
      </c>
      <c r="R256" s="103">
        <f t="shared" si="376"/>
        <v>1.3891980780222712E-5</v>
      </c>
      <c r="S256" s="103">
        <f t="shared" si="376"/>
        <v>3.5433311049614157E-5</v>
      </c>
      <c r="T256" s="103">
        <f t="shared" si="376"/>
        <v>6.2879047462924208E-5</v>
      </c>
      <c r="U256" s="103">
        <f t="shared" si="376"/>
        <v>9.5203091651468088E-5</v>
      </c>
      <c r="V256" s="103">
        <f t="shared" si="376"/>
        <v>3.5553872786938051E-4</v>
      </c>
      <c r="W256" s="103">
        <f t="shared" ref="W256" si="377">IF(W38=0,0,W38/W$31)</f>
        <v>1.1770951829057849E-3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0</v>
      </c>
      <c r="K257" s="103">
        <f t="shared" si="378"/>
        <v>0</v>
      </c>
      <c r="L257" s="103">
        <f t="shared" ref="L257" si="379">IF(L39=0,0,L39/L$31)</f>
        <v>0</v>
      </c>
      <c r="M257" s="103">
        <f t="shared" ref="M257:V257" si="380">IF(M39=0,0,M39/M$31)</f>
        <v>0</v>
      </c>
      <c r="N257" s="103">
        <f t="shared" si="380"/>
        <v>2.6783196425870452E-7</v>
      </c>
      <c r="O257" s="103">
        <f t="shared" si="380"/>
        <v>8.3926362685962603E-7</v>
      </c>
      <c r="P257" s="103">
        <f t="shared" si="380"/>
        <v>1.2643135493391433E-5</v>
      </c>
      <c r="Q257" s="103">
        <f t="shared" si="380"/>
        <v>2.3709970424084463E-5</v>
      </c>
      <c r="R257" s="103">
        <f t="shared" si="380"/>
        <v>3.1315862492417256E-5</v>
      </c>
      <c r="S257" s="103">
        <f t="shared" si="380"/>
        <v>4.0368512453675628E-5</v>
      </c>
      <c r="T257" s="103">
        <f t="shared" si="380"/>
        <v>5.8245552265271514E-5</v>
      </c>
      <c r="U257" s="103">
        <f t="shared" si="380"/>
        <v>1.1248373984418738E-4</v>
      </c>
      <c r="V257" s="103">
        <f t="shared" si="380"/>
        <v>2.7665869824705701E-4</v>
      </c>
      <c r="W257" s="103">
        <f t="shared" ref="W257" si="381">IF(W39=0,0,W39/W$31)</f>
        <v>9.0642395303294743E-4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2.1269365198030323E-2</v>
      </c>
      <c r="C258" s="156">
        <f t="shared" si="382"/>
        <v>1.9886856674802958E-2</v>
      </c>
      <c r="D258" s="156">
        <f t="shared" si="382"/>
        <v>1.8902373578369883E-2</v>
      </c>
      <c r="E258" s="156">
        <f t="shared" si="382"/>
        <v>1.789541495645363E-2</v>
      </c>
      <c r="F258" s="156">
        <f t="shared" si="382"/>
        <v>1.6790268619697568E-2</v>
      </c>
      <c r="G258" s="156">
        <f t="shared" si="382"/>
        <v>1.5965435987646055E-2</v>
      </c>
      <c r="H258" s="156">
        <f t="shared" si="382"/>
        <v>1.5720974395962848E-2</v>
      </c>
      <c r="I258" s="156">
        <f t="shared" si="382"/>
        <v>1.4990492207223583E-2</v>
      </c>
      <c r="J258" s="156">
        <f t="shared" si="382"/>
        <v>1.3920164286324399E-2</v>
      </c>
      <c r="K258" s="156">
        <f t="shared" si="382"/>
        <v>1.3406580279740121E-2</v>
      </c>
      <c r="L258" s="156">
        <f t="shared" ref="L258" si="383">IF(L40=0,0,L40/L$31)</f>
        <v>1.3469376709673386E-2</v>
      </c>
      <c r="M258" s="156">
        <f t="shared" ref="M258:V258" si="384">IF(M40=0,0,M40/M$31)</f>
        <v>1.4446705117826029E-2</v>
      </c>
      <c r="N258" s="156">
        <f t="shared" si="384"/>
        <v>1.6186126233194049E-2</v>
      </c>
      <c r="O258" s="156">
        <f t="shared" si="384"/>
        <v>1.6832629846333883E-2</v>
      </c>
      <c r="P258" s="156">
        <f t="shared" si="384"/>
        <v>1.6870426266398366E-2</v>
      </c>
      <c r="Q258" s="156">
        <f t="shared" si="384"/>
        <v>1.6894954913019174E-2</v>
      </c>
      <c r="R258" s="156">
        <f t="shared" si="384"/>
        <v>1.6376070331097656E-2</v>
      </c>
      <c r="S258" s="156">
        <f t="shared" si="384"/>
        <v>1.5951190501214518E-2</v>
      </c>
      <c r="T258" s="156">
        <f t="shared" si="384"/>
        <v>1.5914468298300618E-2</v>
      </c>
      <c r="U258" s="156">
        <f t="shared" si="384"/>
        <v>1.5358717258997439E-2</v>
      </c>
      <c r="V258" s="156">
        <f t="shared" si="384"/>
        <v>1.6516369873014174E-2</v>
      </c>
      <c r="W258" s="156">
        <f t="shared" ref="W258" si="385">IF(W40=0,0,W40/W$31)</f>
        <v>1.610901562748266E-2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0</v>
      </c>
      <c r="C259" s="103">
        <f t="shared" si="386"/>
        <v>0</v>
      </c>
      <c r="D259" s="103">
        <f t="shared" si="386"/>
        <v>0</v>
      </c>
      <c r="E259" s="103">
        <f t="shared" si="386"/>
        <v>0</v>
      </c>
      <c r="F259" s="103">
        <f t="shared" si="386"/>
        <v>0</v>
      </c>
      <c r="G259" s="103">
        <f t="shared" si="386"/>
        <v>0</v>
      </c>
      <c r="H259" s="103">
        <f t="shared" si="386"/>
        <v>0</v>
      </c>
      <c r="I259" s="103">
        <f t="shared" si="386"/>
        <v>0</v>
      </c>
      <c r="J259" s="103">
        <f t="shared" si="386"/>
        <v>0</v>
      </c>
      <c r="K259" s="103">
        <f t="shared" si="386"/>
        <v>0</v>
      </c>
      <c r="L259" s="103">
        <f t="shared" ref="L259" si="387">IF(L41=0,0,L41/L$31)</f>
        <v>0</v>
      </c>
      <c r="M259" s="103">
        <f t="shared" ref="M259:V259" si="388">IF(M41=0,0,M41/M$31)</f>
        <v>0</v>
      </c>
      <c r="N259" s="103">
        <f t="shared" si="388"/>
        <v>0</v>
      </c>
      <c r="O259" s="103">
        <f t="shared" si="388"/>
        <v>0</v>
      </c>
      <c r="P259" s="103">
        <f t="shared" si="388"/>
        <v>0</v>
      </c>
      <c r="Q259" s="103">
        <f t="shared" si="388"/>
        <v>0</v>
      </c>
      <c r="R259" s="103">
        <f t="shared" si="388"/>
        <v>0</v>
      </c>
      <c r="S259" s="103">
        <f t="shared" si="388"/>
        <v>0</v>
      </c>
      <c r="T259" s="103">
        <f t="shared" si="388"/>
        <v>0</v>
      </c>
      <c r="U259" s="103">
        <f t="shared" si="388"/>
        <v>0</v>
      </c>
      <c r="V259" s="103">
        <f t="shared" si="388"/>
        <v>0</v>
      </c>
      <c r="W259" s="103">
        <f t="shared" ref="W259" si="389">IF(W41=0,0,W41/W$31)</f>
        <v>0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2.1269365198030323E-2</v>
      </c>
      <c r="C260" s="103">
        <f t="shared" si="390"/>
        <v>1.9586948049929279E-2</v>
      </c>
      <c r="D260" s="103">
        <f t="shared" si="390"/>
        <v>1.8468275366427402E-2</v>
      </c>
      <c r="E260" s="103">
        <f t="shared" si="390"/>
        <v>1.7445256743271138E-2</v>
      </c>
      <c r="F260" s="103">
        <f t="shared" si="390"/>
        <v>1.6366534412934865E-2</v>
      </c>
      <c r="G260" s="103">
        <f t="shared" si="390"/>
        <v>1.5538522853946945E-2</v>
      </c>
      <c r="H260" s="103">
        <f t="shared" si="390"/>
        <v>1.5287772506338291E-2</v>
      </c>
      <c r="I260" s="103">
        <f t="shared" si="390"/>
        <v>1.4511045494451825E-2</v>
      </c>
      <c r="J260" s="103">
        <f t="shared" si="390"/>
        <v>1.3455910891272753E-2</v>
      </c>
      <c r="K260" s="103">
        <f t="shared" si="390"/>
        <v>1.2977235907579843E-2</v>
      </c>
      <c r="L260" s="103">
        <f t="shared" ref="L260" si="391">IF(L42=0,0,L42/L$31)</f>
        <v>1.30552385747633E-2</v>
      </c>
      <c r="M260" s="103">
        <f t="shared" ref="M260:V260" si="392">IF(M42=0,0,M42/M$31)</f>
        <v>1.4013864686209271E-2</v>
      </c>
      <c r="N260" s="103">
        <f t="shared" si="392"/>
        <v>1.5701563680416399E-2</v>
      </c>
      <c r="O260" s="103">
        <f t="shared" si="392"/>
        <v>1.635602990905841E-2</v>
      </c>
      <c r="P260" s="103">
        <f t="shared" si="392"/>
        <v>1.6382506757376885E-2</v>
      </c>
      <c r="Q260" s="103">
        <f t="shared" si="392"/>
        <v>1.6372397261654022E-2</v>
      </c>
      <c r="R260" s="103">
        <f t="shared" si="392"/>
        <v>1.5855905667949845E-2</v>
      </c>
      <c r="S260" s="103">
        <f t="shared" si="392"/>
        <v>1.548365878475254E-2</v>
      </c>
      <c r="T260" s="103">
        <f t="shared" si="392"/>
        <v>1.5367261088537249E-2</v>
      </c>
      <c r="U260" s="103">
        <f t="shared" si="392"/>
        <v>1.4775111716857199E-2</v>
      </c>
      <c r="V260" s="103">
        <f t="shared" si="392"/>
        <v>1.5814716270757326E-2</v>
      </c>
      <c r="W260" s="103">
        <f t="shared" ref="W260" si="393">IF(W42=0,0,W42/W$31)</f>
        <v>1.5344177630755261E-2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0</v>
      </c>
      <c r="G261" s="103">
        <f t="shared" si="394"/>
        <v>0</v>
      </c>
      <c r="H261" s="103">
        <f t="shared" si="394"/>
        <v>0</v>
      </c>
      <c r="I261" s="103">
        <f t="shared" si="394"/>
        <v>0</v>
      </c>
      <c r="J261" s="103">
        <f t="shared" si="394"/>
        <v>0</v>
      </c>
      <c r="K261" s="103">
        <f t="shared" si="394"/>
        <v>0</v>
      </c>
      <c r="L261" s="103">
        <f t="shared" ref="L261" si="395">IF(L43=0,0,L43/L$31)</f>
        <v>0</v>
      </c>
      <c r="M261" s="103">
        <f t="shared" ref="M261:V261" si="396">IF(M43=0,0,M43/M$31)</f>
        <v>0</v>
      </c>
      <c r="N261" s="103">
        <f t="shared" si="396"/>
        <v>0</v>
      </c>
      <c r="O261" s="103">
        <f t="shared" si="396"/>
        <v>0</v>
      </c>
      <c r="P261" s="103">
        <f t="shared" si="396"/>
        <v>0</v>
      </c>
      <c r="Q261" s="103">
        <f t="shared" si="396"/>
        <v>0</v>
      </c>
      <c r="R261" s="103">
        <f t="shared" si="396"/>
        <v>0</v>
      </c>
      <c r="S261" s="103">
        <f t="shared" si="396"/>
        <v>0</v>
      </c>
      <c r="T261" s="103">
        <f t="shared" si="396"/>
        <v>0</v>
      </c>
      <c r="U261" s="103">
        <f t="shared" si="396"/>
        <v>0</v>
      </c>
      <c r="V261" s="103">
        <f t="shared" si="396"/>
        <v>0</v>
      </c>
      <c r="W261" s="103">
        <f t="shared" ref="W261" si="397">IF(W43=0,0,W43/W$31)</f>
        <v>0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0</v>
      </c>
      <c r="C262" s="103">
        <f t="shared" si="398"/>
        <v>2.9990862487367905E-4</v>
      </c>
      <c r="D262" s="103">
        <f t="shared" si="398"/>
        <v>4.3409821194248012E-4</v>
      </c>
      <c r="E262" s="103">
        <f t="shared" si="398"/>
        <v>4.5015821318249161E-4</v>
      </c>
      <c r="F262" s="103">
        <f t="shared" si="398"/>
        <v>4.2373420676270076E-4</v>
      </c>
      <c r="G262" s="103">
        <f t="shared" si="398"/>
        <v>4.2691313369910903E-4</v>
      </c>
      <c r="H262" s="103">
        <f t="shared" si="398"/>
        <v>4.3320188962455889E-4</v>
      </c>
      <c r="I262" s="103">
        <f t="shared" si="398"/>
        <v>4.7944671277175814E-4</v>
      </c>
      <c r="J262" s="103">
        <f t="shared" si="398"/>
        <v>4.6425339505164534E-4</v>
      </c>
      <c r="K262" s="103">
        <f t="shared" si="398"/>
        <v>4.2934437216027847E-4</v>
      </c>
      <c r="L262" s="103">
        <f t="shared" ref="L262" si="399">IF(L44=0,0,L44/L$31)</f>
        <v>4.1413813491008591E-4</v>
      </c>
      <c r="M262" s="103">
        <f t="shared" ref="M262:V262" si="400">IF(M44=0,0,M44/M$31)</f>
        <v>4.3284043161675913E-4</v>
      </c>
      <c r="N262" s="103">
        <f t="shared" si="400"/>
        <v>4.8456255277765244E-4</v>
      </c>
      <c r="O262" s="103">
        <f t="shared" si="400"/>
        <v>4.7659993727547194E-4</v>
      </c>
      <c r="P262" s="103">
        <f t="shared" si="400"/>
        <v>4.8791950902148253E-4</v>
      </c>
      <c r="Q262" s="103">
        <f t="shared" si="400"/>
        <v>5.2255765136515039E-4</v>
      </c>
      <c r="R262" s="103">
        <f t="shared" si="400"/>
        <v>5.201646631478096E-4</v>
      </c>
      <c r="S262" s="103">
        <f t="shared" si="400"/>
        <v>4.6753171646198033E-4</v>
      </c>
      <c r="T262" s="103">
        <f t="shared" si="400"/>
        <v>5.4720720976336658E-4</v>
      </c>
      <c r="U262" s="103">
        <f t="shared" si="400"/>
        <v>5.8269762239627793E-4</v>
      </c>
      <c r="V262" s="103">
        <f t="shared" si="400"/>
        <v>7.006778500104684E-4</v>
      </c>
      <c r="W262" s="103">
        <f t="shared" ref="W262" si="401">IF(W44=0,0,W44/W$31)</f>
        <v>7.638823761951381E-4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0</v>
      </c>
      <c r="C263" s="103">
        <f t="shared" si="402"/>
        <v>0</v>
      </c>
      <c r="D263" s="103">
        <f t="shared" si="402"/>
        <v>0</v>
      </c>
      <c r="E263" s="103">
        <f t="shared" si="402"/>
        <v>0</v>
      </c>
      <c r="F263" s="103">
        <f t="shared" si="402"/>
        <v>0</v>
      </c>
      <c r="G263" s="103">
        <f t="shared" si="402"/>
        <v>0</v>
      </c>
      <c r="H263" s="103">
        <f t="shared" si="402"/>
        <v>0</v>
      </c>
      <c r="I263" s="103">
        <f t="shared" si="402"/>
        <v>0</v>
      </c>
      <c r="J263" s="103">
        <f t="shared" si="402"/>
        <v>0</v>
      </c>
      <c r="K263" s="103">
        <f t="shared" si="402"/>
        <v>0</v>
      </c>
      <c r="L263" s="103">
        <f t="shared" ref="L263" si="403">IF(L45=0,0,L45/L$31)</f>
        <v>0</v>
      </c>
      <c r="M263" s="103">
        <f t="shared" ref="M263:V263" si="404">IF(M45=0,0,M45/M$31)</f>
        <v>0</v>
      </c>
      <c r="N263" s="103">
        <f t="shared" si="404"/>
        <v>0</v>
      </c>
      <c r="O263" s="103">
        <f t="shared" si="404"/>
        <v>0</v>
      </c>
      <c r="P263" s="103">
        <f t="shared" si="404"/>
        <v>0</v>
      </c>
      <c r="Q263" s="103">
        <f t="shared" si="404"/>
        <v>0</v>
      </c>
      <c r="R263" s="103">
        <f t="shared" si="404"/>
        <v>0</v>
      </c>
      <c r="S263" s="103">
        <f t="shared" si="404"/>
        <v>0</v>
      </c>
      <c r="T263" s="103">
        <f t="shared" si="404"/>
        <v>0</v>
      </c>
      <c r="U263" s="103">
        <f t="shared" si="404"/>
        <v>9.0791974396391096E-7</v>
      </c>
      <c r="V263" s="103">
        <f t="shared" si="404"/>
        <v>9.7575224638178171E-7</v>
      </c>
      <c r="W263" s="103">
        <f t="shared" ref="W263" si="405">IF(W45=0,0,W45/W$31)</f>
        <v>9.5562053226234447E-7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0.69803927864209048</v>
      </c>
      <c r="C265" s="154">
        <f t="shared" si="410"/>
        <v>0.69988828661136215</v>
      </c>
      <c r="D265" s="154">
        <f t="shared" si="410"/>
        <v>0.70736663509042252</v>
      </c>
      <c r="E265" s="154">
        <f t="shared" si="410"/>
        <v>0.79736389277333997</v>
      </c>
      <c r="F265" s="154">
        <f t="shared" si="410"/>
        <v>0.699780606468827</v>
      </c>
      <c r="G265" s="154">
        <f t="shared" si="410"/>
        <v>0.75653495518876057</v>
      </c>
      <c r="H265" s="154">
        <f t="shared" si="410"/>
        <v>0.73557947858873429</v>
      </c>
      <c r="I265" s="154">
        <f t="shared" si="410"/>
        <v>0.75701725313116519</v>
      </c>
      <c r="J265" s="154">
        <f t="shared" si="410"/>
        <v>0.7423068183710807</v>
      </c>
      <c r="K265" s="154">
        <f t="shared" si="410"/>
        <v>0.73663066632710761</v>
      </c>
      <c r="L265" s="154">
        <f t="shared" ref="L265" si="411">IF(L47=0,0,L47/L$46)</f>
        <v>0.7354557369580107</v>
      </c>
      <c r="M265" s="154">
        <f t="shared" ref="M265:V265" si="412">IF(M47=0,0,M47/M$46)</f>
        <v>0.77439162284830265</v>
      </c>
      <c r="N265" s="154">
        <f t="shared" si="412"/>
        <v>0.74643125401134147</v>
      </c>
      <c r="O265" s="154">
        <f t="shared" si="412"/>
        <v>0.79946466359234947</v>
      </c>
      <c r="P265" s="154">
        <f t="shared" si="412"/>
        <v>0.78213235180287166</v>
      </c>
      <c r="Q265" s="154">
        <f t="shared" si="412"/>
        <v>0.80713622013573305</v>
      </c>
      <c r="R265" s="154">
        <f t="shared" si="412"/>
        <v>0.81487519875397074</v>
      </c>
      <c r="S265" s="154">
        <f t="shared" si="412"/>
        <v>0.796686284846438</v>
      </c>
      <c r="T265" s="154">
        <f t="shared" si="412"/>
        <v>0.79785728297662528</v>
      </c>
      <c r="U265" s="154">
        <f t="shared" si="412"/>
        <v>0.80407048655339608</v>
      </c>
      <c r="V265" s="154">
        <f t="shared" si="412"/>
        <v>0.79562632891105933</v>
      </c>
      <c r="W265" s="154">
        <f t="shared" ref="W265" si="413">IF(W47=0,0,W47/W$46)</f>
        <v>0.78958901594153519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0.5718344164093504</v>
      </c>
      <c r="C266" s="103">
        <f t="shared" si="414"/>
        <v>0.55337541431853043</v>
      </c>
      <c r="D266" s="103">
        <f t="shared" si="414"/>
        <v>0.54613238123126018</v>
      </c>
      <c r="E266" s="103">
        <f t="shared" si="414"/>
        <v>0.58563727508269348</v>
      </c>
      <c r="F266" s="103">
        <f t="shared" si="414"/>
        <v>0.49412760558472324</v>
      </c>
      <c r="G266" s="103">
        <f t="shared" si="414"/>
        <v>0.52083488625182117</v>
      </c>
      <c r="H266" s="103">
        <f t="shared" si="414"/>
        <v>0.47041097660843845</v>
      </c>
      <c r="I266" s="103">
        <f t="shared" si="414"/>
        <v>0.46808143849894956</v>
      </c>
      <c r="J266" s="103">
        <f t="shared" si="414"/>
        <v>0.46003988992875083</v>
      </c>
      <c r="K266" s="103">
        <f t="shared" si="414"/>
        <v>0.40003459468648556</v>
      </c>
      <c r="L266" s="103">
        <f t="shared" ref="L266" si="415">IF(L48=0,0,L48/L$46)</f>
        <v>0.3701476276452384</v>
      </c>
      <c r="M266" s="103">
        <f t="shared" ref="M266:V266" si="416">IF(M48=0,0,M48/M$46)</f>
        <v>0.37631704830755858</v>
      </c>
      <c r="N266" s="103">
        <f t="shared" si="416"/>
        <v>0.35602321693554073</v>
      </c>
      <c r="O266" s="103">
        <f t="shared" si="416"/>
        <v>0.32352703347327222</v>
      </c>
      <c r="P266" s="103">
        <f t="shared" si="416"/>
        <v>0.3135474009898388</v>
      </c>
      <c r="Q266" s="103">
        <f t="shared" si="416"/>
        <v>0.27671202219577723</v>
      </c>
      <c r="R266" s="103">
        <f t="shared" si="416"/>
        <v>0.27048920185605579</v>
      </c>
      <c r="S266" s="103">
        <f t="shared" si="416"/>
        <v>0.28336097186490677</v>
      </c>
      <c r="T266" s="103">
        <f t="shared" si="416"/>
        <v>0.31859332410891394</v>
      </c>
      <c r="U266" s="103">
        <f t="shared" si="416"/>
        <v>0.32603920276632808</v>
      </c>
      <c r="V266" s="103">
        <f t="shared" si="416"/>
        <v>0.33816530620655383</v>
      </c>
      <c r="W266" s="103">
        <f t="shared" ref="W266" si="417">IF(W48=0,0,W48/W$46)</f>
        <v>0.34307674668412402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0.12620486223274008</v>
      </c>
      <c r="C267" s="103">
        <f t="shared" si="418"/>
        <v>0.14651287229283161</v>
      </c>
      <c r="D267" s="103">
        <f t="shared" si="418"/>
        <v>0.16123425385916246</v>
      </c>
      <c r="E267" s="103">
        <f t="shared" si="418"/>
        <v>0.21172661769064646</v>
      </c>
      <c r="F267" s="103">
        <f t="shared" si="418"/>
        <v>0.20565300088410382</v>
      </c>
      <c r="G267" s="103">
        <f t="shared" si="418"/>
        <v>0.23570006893693934</v>
      </c>
      <c r="H267" s="103">
        <f t="shared" si="418"/>
        <v>0.2651685019802959</v>
      </c>
      <c r="I267" s="103">
        <f t="shared" si="418"/>
        <v>0.28893581463221557</v>
      </c>
      <c r="J267" s="103">
        <f t="shared" si="418"/>
        <v>0.28226692844232981</v>
      </c>
      <c r="K267" s="103">
        <f t="shared" si="418"/>
        <v>0.33659607164062216</v>
      </c>
      <c r="L267" s="103">
        <f t="shared" ref="L267" si="419">IF(L49=0,0,L49/L$46)</f>
        <v>0.3653081093127723</v>
      </c>
      <c r="M267" s="103">
        <f t="shared" ref="M267:V267" si="420">IF(M49=0,0,M49/M$46)</f>
        <v>0.39807457454074402</v>
      </c>
      <c r="N267" s="103">
        <f t="shared" si="420"/>
        <v>0.39040803707580074</v>
      </c>
      <c r="O267" s="103">
        <f t="shared" si="420"/>
        <v>0.4759376301190773</v>
      </c>
      <c r="P267" s="103">
        <f t="shared" si="420"/>
        <v>0.46858495081303275</v>
      </c>
      <c r="Q267" s="103">
        <f t="shared" si="420"/>
        <v>0.53042419793995577</v>
      </c>
      <c r="R267" s="103">
        <f t="shared" si="420"/>
        <v>0.544385996897915</v>
      </c>
      <c r="S267" s="103">
        <f t="shared" si="420"/>
        <v>0.51332531298153128</v>
      </c>
      <c r="T267" s="103">
        <f t="shared" si="420"/>
        <v>0.47926395886771134</v>
      </c>
      <c r="U267" s="103">
        <f t="shared" si="420"/>
        <v>0.478031283787068</v>
      </c>
      <c r="V267" s="103">
        <f t="shared" si="420"/>
        <v>0.4574610227045055</v>
      </c>
      <c r="W267" s="103">
        <f t="shared" ref="W267" si="421">IF(W49=0,0,W49/W$46)</f>
        <v>0.44651226925741128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0</v>
      </c>
      <c r="C268" s="103">
        <f t="shared" si="422"/>
        <v>0</v>
      </c>
      <c r="D268" s="103">
        <f t="shared" si="422"/>
        <v>0</v>
      </c>
      <c r="E268" s="103">
        <f t="shared" si="422"/>
        <v>0</v>
      </c>
      <c r="F268" s="103">
        <f t="shared" si="422"/>
        <v>0</v>
      </c>
      <c r="G268" s="103">
        <f t="shared" si="422"/>
        <v>0</v>
      </c>
      <c r="H268" s="103">
        <f t="shared" si="422"/>
        <v>0</v>
      </c>
      <c r="I268" s="103">
        <f t="shared" si="422"/>
        <v>0</v>
      </c>
      <c r="J268" s="103">
        <f t="shared" si="422"/>
        <v>0</v>
      </c>
      <c r="K268" s="103">
        <f t="shared" si="422"/>
        <v>0</v>
      </c>
      <c r="L268" s="103">
        <f t="shared" ref="L268" si="423">IF(L50=0,0,L50/L$46)</f>
        <v>0</v>
      </c>
      <c r="M268" s="103">
        <f t="shared" ref="M268:V268" si="424">IF(M50=0,0,M50/M$46)</f>
        <v>0</v>
      </c>
      <c r="N268" s="103">
        <f t="shared" si="424"/>
        <v>0</v>
      </c>
      <c r="O268" s="103">
        <f t="shared" si="424"/>
        <v>0</v>
      </c>
      <c r="P268" s="103">
        <f t="shared" si="424"/>
        <v>0</v>
      </c>
      <c r="Q268" s="103">
        <f t="shared" si="424"/>
        <v>0</v>
      </c>
      <c r="R268" s="103">
        <f t="shared" si="424"/>
        <v>0</v>
      </c>
      <c r="S268" s="103">
        <f t="shared" si="424"/>
        <v>0</v>
      </c>
      <c r="T268" s="103">
        <f t="shared" si="424"/>
        <v>0</v>
      </c>
      <c r="U268" s="103">
        <f t="shared" si="424"/>
        <v>0</v>
      </c>
      <c r="V268" s="103">
        <f t="shared" si="424"/>
        <v>0</v>
      </c>
      <c r="W268" s="103">
        <f t="shared" ref="W268" si="425">IF(W50=0,0,W50/W$46)</f>
        <v>0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0</v>
      </c>
      <c r="I269" s="103">
        <f t="shared" si="426"/>
        <v>0</v>
      </c>
      <c r="J269" s="103">
        <f t="shared" si="426"/>
        <v>0</v>
      </c>
      <c r="K269" s="103">
        <f t="shared" si="426"/>
        <v>0</v>
      </c>
      <c r="L269" s="103">
        <f t="shared" ref="L269" si="427">IF(L51=0,0,L51/L$46)</f>
        <v>0</v>
      </c>
      <c r="M269" s="103">
        <f t="shared" ref="M269:V269" si="428">IF(M51=0,0,M51/M$46)</f>
        <v>0</v>
      </c>
      <c r="N269" s="103">
        <f t="shared" si="428"/>
        <v>0</v>
      </c>
      <c r="O269" s="103">
        <f t="shared" si="428"/>
        <v>0</v>
      </c>
      <c r="P269" s="103">
        <f t="shared" si="428"/>
        <v>0</v>
      </c>
      <c r="Q269" s="103">
        <f t="shared" si="428"/>
        <v>0</v>
      </c>
      <c r="R269" s="103">
        <f t="shared" si="428"/>
        <v>0</v>
      </c>
      <c r="S269" s="103">
        <f t="shared" si="428"/>
        <v>0</v>
      </c>
      <c r="T269" s="103">
        <f t="shared" si="428"/>
        <v>0</v>
      </c>
      <c r="U269" s="103">
        <f t="shared" si="428"/>
        <v>0</v>
      </c>
      <c r="V269" s="103">
        <f t="shared" si="428"/>
        <v>0</v>
      </c>
      <c r="W269" s="103">
        <f t="shared" ref="W269" si="429">IF(W51=0,0,W51/W$46)</f>
        <v>0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0</v>
      </c>
      <c r="J270" s="103">
        <f t="shared" si="430"/>
        <v>0</v>
      </c>
      <c r="K270" s="103">
        <f t="shared" si="430"/>
        <v>0</v>
      </c>
      <c r="L270" s="103">
        <f t="shared" ref="L270" si="431">IF(L52=0,0,L52/L$46)</f>
        <v>0</v>
      </c>
      <c r="M270" s="103">
        <f t="shared" ref="M270:V270" si="432">IF(M52=0,0,M52/M$46)</f>
        <v>0</v>
      </c>
      <c r="N270" s="103">
        <f t="shared" si="432"/>
        <v>0</v>
      </c>
      <c r="O270" s="103">
        <f t="shared" si="432"/>
        <v>0</v>
      </c>
      <c r="P270" s="103">
        <f t="shared" si="432"/>
        <v>0</v>
      </c>
      <c r="Q270" s="103">
        <f t="shared" si="432"/>
        <v>0</v>
      </c>
      <c r="R270" s="103">
        <f t="shared" si="432"/>
        <v>0</v>
      </c>
      <c r="S270" s="103">
        <f t="shared" si="432"/>
        <v>0</v>
      </c>
      <c r="T270" s="103">
        <f t="shared" si="432"/>
        <v>0</v>
      </c>
      <c r="U270" s="103">
        <f t="shared" si="432"/>
        <v>0</v>
      </c>
      <c r="V270" s="103">
        <f t="shared" si="432"/>
        <v>0</v>
      </c>
      <c r="W270" s="103">
        <f t="shared" ref="W270" si="433">IF(W52=0,0,W52/W$46)</f>
        <v>0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0.30196072135790952</v>
      </c>
      <c r="C271" s="156">
        <f t="shared" si="434"/>
        <v>0.30011171338863796</v>
      </c>
      <c r="D271" s="156">
        <f t="shared" si="434"/>
        <v>0.29263336490957742</v>
      </c>
      <c r="E271" s="156">
        <f t="shared" si="434"/>
        <v>0.20263610722665995</v>
      </c>
      <c r="F271" s="156">
        <f t="shared" si="434"/>
        <v>0.300219393531173</v>
      </c>
      <c r="G271" s="156">
        <f t="shared" si="434"/>
        <v>0.24346504481123946</v>
      </c>
      <c r="H271" s="156">
        <f t="shared" si="434"/>
        <v>0.26442052141126571</v>
      </c>
      <c r="I271" s="156">
        <f t="shared" si="434"/>
        <v>0.24298274686883484</v>
      </c>
      <c r="J271" s="156">
        <f t="shared" si="434"/>
        <v>0.25769318162891941</v>
      </c>
      <c r="K271" s="156">
        <f t="shared" si="434"/>
        <v>0.26336933367289245</v>
      </c>
      <c r="L271" s="156">
        <f t="shared" ref="L271" si="435">IF(L53=0,0,L53/L$46)</f>
        <v>0.2645442630419893</v>
      </c>
      <c r="M271" s="156">
        <f t="shared" ref="M271:V271" si="436">IF(M53=0,0,M53/M$46)</f>
        <v>0.22560837715169749</v>
      </c>
      <c r="N271" s="156">
        <f t="shared" si="436"/>
        <v>0.25356874598865847</v>
      </c>
      <c r="O271" s="156">
        <f t="shared" si="436"/>
        <v>0.20053533640765042</v>
      </c>
      <c r="P271" s="156">
        <f t="shared" si="436"/>
        <v>0.21786764819712842</v>
      </c>
      <c r="Q271" s="156">
        <f t="shared" si="436"/>
        <v>0.192863779864267</v>
      </c>
      <c r="R271" s="156">
        <f t="shared" si="436"/>
        <v>0.18512480124602926</v>
      </c>
      <c r="S271" s="156">
        <f t="shared" si="436"/>
        <v>0.20331371515356214</v>
      </c>
      <c r="T271" s="156">
        <f t="shared" si="436"/>
        <v>0.20214271702337475</v>
      </c>
      <c r="U271" s="156">
        <f t="shared" si="436"/>
        <v>0.19592951344660398</v>
      </c>
      <c r="V271" s="156">
        <f t="shared" si="436"/>
        <v>0.20437367108894069</v>
      </c>
      <c r="W271" s="156">
        <f t="shared" ref="W271" si="437">IF(W53=0,0,W53/W$46)</f>
        <v>0.21041098405846476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0.28882224692680769</v>
      </c>
      <c r="C272" s="104">
        <f t="shared" si="438"/>
        <v>0.28644097688042397</v>
      </c>
      <c r="D272" s="104">
        <f t="shared" si="438"/>
        <v>0.27892206260415259</v>
      </c>
      <c r="E272" s="104">
        <f t="shared" si="438"/>
        <v>0.18781964241553445</v>
      </c>
      <c r="F272" s="104">
        <f t="shared" si="438"/>
        <v>0.28494924652220288</v>
      </c>
      <c r="G272" s="104">
        <f t="shared" si="438"/>
        <v>0.22683917817238541</v>
      </c>
      <c r="H272" s="104">
        <f t="shared" si="438"/>
        <v>0.24539197813795682</v>
      </c>
      <c r="I272" s="104">
        <f t="shared" si="438"/>
        <v>0.22776568321150542</v>
      </c>
      <c r="J272" s="104">
        <f t="shared" si="438"/>
        <v>0.24455964998616039</v>
      </c>
      <c r="K272" s="104">
        <f t="shared" si="438"/>
        <v>0.25131820070504451</v>
      </c>
      <c r="L272" s="104">
        <f t="shared" ref="L272" si="439">IF(L54=0,0,L54/L$46)</f>
        <v>0.24983756666921528</v>
      </c>
      <c r="M272" s="104">
        <f t="shared" ref="M272:V272" si="440">IF(M54=0,0,M54/M$46)</f>
        <v>0.21118393330437207</v>
      </c>
      <c r="N272" s="104">
        <f t="shared" si="440"/>
        <v>0.23475551289955132</v>
      </c>
      <c r="O272" s="104">
        <f t="shared" si="440"/>
        <v>0.18092781464910607</v>
      </c>
      <c r="P272" s="104">
        <f t="shared" si="440"/>
        <v>0.19934957706313466</v>
      </c>
      <c r="Q272" s="104">
        <f t="shared" si="440"/>
        <v>0.17569945645464419</v>
      </c>
      <c r="R272" s="104">
        <f t="shared" si="440"/>
        <v>0.16861506855945044</v>
      </c>
      <c r="S272" s="104">
        <f t="shared" si="440"/>
        <v>0.17473768933490069</v>
      </c>
      <c r="T272" s="104">
        <f t="shared" si="440"/>
        <v>0.17540915421756545</v>
      </c>
      <c r="U272" s="104">
        <f t="shared" si="440"/>
        <v>0.17136039018134588</v>
      </c>
      <c r="V272" s="104">
        <f t="shared" si="440"/>
        <v>0.17481145594077341</v>
      </c>
      <c r="W272" s="104">
        <f t="shared" ref="W272" si="441">IF(W54=0,0,W54/W$46)</f>
        <v>0.18842121337907974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1.3138474431101823E-2</v>
      </c>
      <c r="C273" s="105">
        <f t="shared" si="442"/>
        <v>1.3670736508213993E-2</v>
      </c>
      <c r="D273" s="105">
        <f t="shared" si="442"/>
        <v>1.3711302305424814E-2</v>
      </c>
      <c r="E273" s="105">
        <f t="shared" si="442"/>
        <v>1.4816464811125514E-2</v>
      </c>
      <c r="F273" s="105">
        <f t="shared" si="442"/>
        <v>1.5270147008970092E-2</v>
      </c>
      <c r="G273" s="105">
        <f t="shared" si="442"/>
        <v>1.6625866638854059E-2</v>
      </c>
      <c r="H273" s="105">
        <f t="shared" si="442"/>
        <v>1.9028543273308874E-2</v>
      </c>
      <c r="I273" s="105">
        <f t="shared" si="442"/>
        <v>1.5217063657329416E-2</v>
      </c>
      <c r="J273" s="105">
        <f t="shared" si="442"/>
        <v>1.3133531642758989E-2</v>
      </c>
      <c r="K273" s="105">
        <f t="shared" si="442"/>
        <v>1.2051132967847886E-2</v>
      </c>
      <c r="L273" s="105">
        <f t="shared" ref="L273" si="443">IF(L55=0,0,L55/L$46)</f>
        <v>1.4706696372774034E-2</v>
      </c>
      <c r="M273" s="105">
        <f t="shared" ref="M273:V273" si="444">IF(M55=0,0,M55/M$46)</f>
        <v>1.4424443847325396E-2</v>
      </c>
      <c r="N273" s="105">
        <f t="shared" si="444"/>
        <v>1.8813233089107199E-2</v>
      </c>
      <c r="O273" s="105">
        <f t="shared" si="444"/>
        <v>1.9607521758544345E-2</v>
      </c>
      <c r="P273" s="105">
        <f t="shared" si="444"/>
        <v>1.8518071133993758E-2</v>
      </c>
      <c r="Q273" s="105">
        <f t="shared" si="444"/>
        <v>1.7164323409622796E-2</v>
      </c>
      <c r="R273" s="105">
        <f t="shared" si="444"/>
        <v>1.6509732686578817E-2</v>
      </c>
      <c r="S273" s="105">
        <f t="shared" si="444"/>
        <v>2.8576025818661428E-2</v>
      </c>
      <c r="T273" s="105">
        <f t="shared" si="444"/>
        <v>2.6733562805809283E-2</v>
      </c>
      <c r="U273" s="105">
        <f t="shared" si="444"/>
        <v>2.4569123265258081E-2</v>
      </c>
      <c r="V273" s="105">
        <f t="shared" si="444"/>
        <v>2.956221514816729E-2</v>
      </c>
      <c r="W273" s="105">
        <f t="shared" ref="W273" si="445">IF(W55=0,0,W55/W$46)</f>
        <v>2.1989770679385023E-2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5375.6687016337055</v>
      </c>
      <c r="C4" s="145">
        <f t="shared" si="0"/>
        <v>5500.1957867583824</v>
      </c>
      <c r="D4" s="145">
        <f t="shared" si="0"/>
        <v>5699.5439380911439</v>
      </c>
      <c r="E4" s="145">
        <f t="shared" si="0"/>
        <v>6042.9946689595872</v>
      </c>
      <c r="F4" s="145">
        <f t="shared" si="0"/>
        <v>6083.3334479793621</v>
      </c>
      <c r="G4" s="145">
        <f t="shared" si="0"/>
        <v>6248.6984522785897</v>
      </c>
      <c r="H4" s="145">
        <f t="shared" si="0"/>
        <v>6435.4257953568349</v>
      </c>
      <c r="I4" s="145">
        <f t="shared" si="0"/>
        <v>6732.4757523645731</v>
      </c>
      <c r="J4" s="145">
        <f t="shared" si="0"/>
        <v>6572.2963026655207</v>
      </c>
      <c r="K4" s="145">
        <f t="shared" si="0"/>
        <v>7131.9073086844364</v>
      </c>
      <c r="L4" s="145">
        <f t="shared" ref="L4" si="1">L5+L9+L10+L15</f>
        <v>6486.1085984522779</v>
      </c>
      <c r="M4" s="145">
        <f t="shared" ref="M4:V4" si="2">M5+M9+M10+M15</f>
        <v>5936.975752364574</v>
      </c>
      <c r="N4" s="145">
        <f t="shared" si="2"/>
        <v>4861.686911500874</v>
      </c>
      <c r="O4" s="145">
        <f t="shared" si="2"/>
        <v>4960.4095228547412</v>
      </c>
      <c r="P4" s="145">
        <f t="shared" si="2"/>
        <v>4933.7963779201045</v>
      </c>
      <c r="Q4" s="145">
        <f t="shared" si="2"/>
        <v>4975.0037463233484</v>
      </c>
      <c r="R4" s="145">
        <f t="shared" si="2"/>
        <v>5092.7639735732273</v>
      </c>
      <c r="S4" s="145">
        <f t="shared" si="2"/>
        <v>4992.0923612181623</v>
      </c>
      <c r="T4" s="145">
        <f t="shared" si="2"/>
        <v>5002.8178193155918</v>
      </c>
      <c r="U4" s="145">
        <f t="shared" si="2"/>
        <v>5151.6917650350088</v>
      </c>
      <c r="V4" s="145">
        <f t="shared" si="2"/>
        <v>4514.5686020582189</v>
      </c>
      <c r="W4" s="145">
        <f t="shared" ref="W4" si="3">W5+W9+W10+W15</f>
        <v>4782.5253250644464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5375.6687016337055</v>
      </c>
      <c r="C5" s="97">
        <f t="shared" si="4"/>
        <v>5494.090885640584</v>
      </c>
      <c r="D5" s="97">
        <f t="shared" si="4"/>
        <v>5689.8920894239036</v>
      </c>
      <c r="E5" s="97">
        <f t="shared" si="4"/>
        <v>6032.3540842648326</v>
      </c>
      <c r="F5" s="97">
        <f t="shared" si="4"/>
        <v>6072.7357695614774</v>
      </c>
      <c r="G5" s="97">
        <f t="shared" si="4"/>
        <v>6236.8324161650899</v>
      </c>
      <c r="H5" s="97">
        <f t="shared" si="4"/>
        <v>6377.8447119518478</v>
      </c>
      <c r="I5" s="97">
        <f t="shared" si="4"/>
        <v>6635.0673258813404</v>
      </c>
      <c r="J5" s="97">
        <f t="shared" si="4"/>
        <v>6490.9453138435092</v>
      </c>
      <c r="K5" s="97">
        <f t="shared" si="4"/>
        <v>7041.1817712811699</v>
      </c>
      <c r="L5" s="97">
        <f t="shared" ref="L5" si="5">SUM(L6:L8)</f>
        <v>6347.3583834909705</v>
      </c>
      <c r="M5" s="97">
        <f t="shared" ref="M5:V5" si="6">SUM(M6:M8)</f>
        <v>5818.6395528804806</v>
      </c>
      <c r="N5" s="97">
        <f t="shared" si="6"/>
        <v>4743.5655202063626</v>
      </c>
      <c r="O5" s="97">
        <f t="shared" si="6"/>
        <v>4826.5787618228715</v>
      </c>
      <c r="P5" s="97">
        <f t="shared" si="6"/>
        <v>4789.0656061908849</v>
      </c>
      <c r="Q5" s="97">
        <f t="shared" si="6"/>
        <v>4820.9993121238185</v>
      </c>
      <c r="R5" s="97">
        <f t="shared" si="6"/>
        <v>4926.9895958727429</v>
      </c>
      <c r="S5" s="97">
        <f t="shared" si="6"/>
        <v>4815.5644883920886</v>
      </c>
      <c r="T5" s="97">
        <f t="shared" si="6"/>
        <v>4830.710404127256</v>
      </c>
      <c r="U5" s="97">
        <f t="shared" si="6"/>
        <v>4947.9214101461739</v>
      </c>
      <c r="V5" s="97">
        <f t="shared" si="6"/>
        <v>4296.7748065348223</v>
      </c>
      <c r="W5" s="97">
        <f t="shared" ref="W5" si="7">SUM(W6:W8)</f>
        <v>4543.7629406706783</v>
      </c>
      <c r="DA5" s="175"/>
    </row>
    <row r="6" spans="1:105" ht="11.45" customHeight="1" x14ac:dyDescent="0.25">
      <c r="A6" s="128" t="s">
        <v>52</v>
      </c>
      <c r="B6" s="97">
        <v>16.946087704213241</v>
      </c>
      <c r="C6" s="97">
        <v>18.075838349097161</v>
      </c>
      <c r="D6" s="97">
        <v>16.946087704213241</v>
      </c>
      <c r="E6" s="97">
        <v>13.556921754084261</v>
      </c>
      <c r="F6" s="97">
        <v>12.427171109200341</v>
      </c>
      <c r="G6" s="97">
        <v>12.427171109200341</v>
      </c>
      <c r="H6" s="97">
        <v>12.427171109200341</v>
      </c>
      <c r="I6" s="97">
        <v>13.556921754084261</v>
      </c>
      <c r="J6" s="97">
        <v>13.556921754084261</v>
      </c>
      <c r="K6" s="97">
        <v>18.677730008598449</v>
      </c>
      <c r="L6" s="97">
        <v>46.145055889939812</v>
      </c>
      <c r="M6" s="97">
        <v>196.6656921754084</v>
      </c>
      <c r="N6" s="97">
        <v>84.599226139294927</v>
      </c>
      <c r="O6" s="97">
        <v>204.35657781599309</v>
      </c>
      <c r="P6" s="97">
        <v>221.93559759243334</v>
      </c>
      <c r="Q6" s="97">
        <v>257.09372312983658</v>
      </c>
      <c r="R6" s="97">
        <v>261.48847807394668</v>
      </c>
      <c r="S6" s="97">
        <v>245.90902837489247</v>
      </c>
      <c r="T6" s="97">
        <v>235.56930352536543</v>
      </c>
      <c r="U6" s="97">
        <v>240.32880481513334</v>
      </c>
      <c r="V6" s="97">
        <v>193.71685296646604</v>
      </c>
      <c r="W6" s="97">
        <v>188.56835769561474</v>
      </c>
      <c r="DA6" s="175" t="s">
        <v>629</v>
      </c>
    </row>
    <row r="7" spans="1:105" ht="11.45" customHeight="1" x14ac:dyDescent="0.25">
      <c r="A7" s="128" t="s">
        <v>53</v>
      </c>
      <c r="B7" s="97">
        <v>3417.622012037833</v>
      </c>
      <c r="C7" s="97">
        <v>3529.7792777300078</v>
      </c>
      <c r="D7" s="97">
        <v>3695.8990541702492</v>
      </c>
      <c r="E7" s="97">
        <v>3862.018744625967</v>
      </c>
      <c r="F7" s="97">
        <v>3946.6656921754079</v>
      </c>
      <c r="G7" s="97">
        <v>4113.8435081685293</v>
      </c>
      <c r="H7" s="97">
        <v>4159.3412725709368</v>
      </c>
      <c r="I7" s="97">
        <v>4346.6226999140154</v>
      </c>
      <c r="J7" s="97">
        <v>4265.1499570077394</v>
      </c>
      <c r="K7" s="97">
        <v>4247.8264832330178</v>
      </c>
      <c r="L7" s="97">
        <v>3867.392777300086</v>
      </c>
      <c r="M7" s="97">
        <v>3497.4682717110909</v>
      </c>
      <c r="N7" s="97">
        <v>3035.0625967325882</v>
      </c>
      <c r="O7" s="97">
        <v>2777.5866723989675</v>
      </c>
      <c r="P7" s="97">
        <v>2643.068701633706</v>
      </c>
      <c r="Q7" s="97">
        <v>2573.7078245915741</v>
      </c>
      <c r="R7" s="97">
        <v>2536.9255374032668</v>
      </c>
      <c r="S7" s="97">
        <v>2450.7541702493545</v>
      </c>
      <c r="T7" s="97">
        <v>2402.9057609630258</v>
      </c>
      <c r="U7" s="97">
        <v>2345.523215821152</v>
      </c>
      <c r="V7" s="97">
        <v>1880.6178847807389</v>
      </c>
      <c r="W7" s="97">
        <v>2010.8193465176264</v>
      </c>
      <c r="DA7" s="175" t="s">
        <v>630</v>
      </c>
    </row>
    <row r="8" spans="1:105" ht="11.45" customHeight="1" x14ac:dyDescent="0.25">
      <c r="A8" s="128" t="s">
        <v>54</v>
      </c>
      <c r="B8" s="97">
        <v>1941.1006018916589</v>
      </c>
      <c r="C8" s="97">
        <v>1946.2357695614789</v>
      </c>
      <c r="D8" s="97">
        <v>1977.046947549441</v>
      </c>
      <c r="E8" s="97">
        <v>2156.778417884781</v>
      </c>
      <c r="F8" s="97">
        <v>2113.6429062768698</v>
      </c>
      <c r="G8" s="97">
        <v>2110.56173688736</v>
      </c>
      <c r="H8" s="97">
        <v>2206.0762682717109</v>
      </c>
      <c r="I8" s="97">
        <v>2274.8877042132408</v>
      </c>
      <c r="J8" s="97">
        <v>2212.2384350816851</v>
      </c>
      <c r="K8" s="97">
        <v>2774.6775580395529</v>
      </c>
      <c r="L8" s="97">
        <v>2433.8205503009449</v>
      </c>
      <c r="M8" s="97">
        <v>2124.5055889939808</v>
      </c>
      <c r="N8" s="97">
        <v>1623.9036973344796</v>
      </c>
      <c r="O8" s="97">
        <v>1844.6355116079105</v>
      </c>
      <c r="P8" s="97">
        <v>1924.0613069647459</v>
      </c>
      <c r="Q8" s="97">
        <v>1990.1977644024075</v>
      </c>
      <c r="R8" s="97">
        <v>2128.575580395529</v>
      </c>
      <c r="S8" s="97">
        <v>2118.9012897678413</v>
      </c>
      <c r="T8" s="97">
        <v>2192.2353396388648</v>
      </c>
      <c r="U8" s="97">
        <v>2362.0693895098884</v>
      </c>
      <c r="V8" s="97">
        <v>2222.4400687876177</v>
      </c>
      <c r="W8" s="97">
        <v>2344.375236457437</v>
      </c>
      <c r="DA8" s="175" t="s">
        <v>631</v>
      </c>
    </row>
    <row r="9" spans="1:105" ht="11.45" customHeight="1" x14ac:dyDescent="0.25">
      <c r="A9" s="92" t="s">
        <v>55</v>
      </c>
      <c r="B9" s="97">
        <v>0</v>
      </c>
      <c r="C9" s="97">
        <v>6.1049011177987964</v>
      </c>
      <c r="D9" s="97">
        <v>9.6518486672398964</v>
      </c>
      <c r="E9" s="97">
        <v>10.64058469475494</v>
      </c>
      <c r="F9" s="97">
        <v>10.597678417884779</v>
      </c>
      <c r="G9" s="97">
        <v>11.86603611349957</v>
      </c>
      <c r="H9" s="97">
        <v>12.51083404987102</v>
      </c>
      <c r="I9" s="97">
        <v>14.33783319002579</v>
      </c>
      <c r="J9" s="97">
        <v>14.18753224419604</v>
      </c>
      <c r="K9" s="97">
        <v>14.724763542562339</v>
      </c>
      <c r="L9" s="97">
        <v>14.14428202923474</v>
      </c>
      <c r="M9" s="97">
        <v>14.939810834049871</v>
      </c>
      <c r="N9" s="97">
        <v>14.724763542562339</v>
      </c>
      <c r="O9" s="97">
        <v>13.41367153912296</v>
      </c>
      <c r="P9" s="97">
        <v>13.75752364574377</v>
      </c>
      <c r="Q9" s="97">
        <v>15.111693895098879</v>
      </c>
      <c r="R9" s="97">
        <v>18.95958727429063</v>
      </c>
      <c r="S9" s="97">
        <v>12.790197764402411</v>
      </c>
      <c r="T9" s="97">
        <v>15.19148753224419</v>
      </c>
      <c r="U9" s="97">
        <v>17.890971625107479</v>
      </c>
      <c r="V9" s="97">
        <v>18.126053310404131</v>
      </c>
      <c r="W9" s="97">
        <v>21.036371453138429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0</v>
      </c>
      <c r="H10" s="97">
        <f t="shared" si="8"/>
        <v>45.070249355116083</v>
      </c>
      <c r="I10" s="97">
        <f t="shared" si="8"/>
        <v>83.07059329320721</v>
      </c>
      <c r="J10" s="97">
        <f t="shared" si="8"/>
        <v>67.163456577815992</v>
      </c>
      <c r="K10" s="97">
        <f t="shared" si="8"/>
        <v>76.000773860705067</v>
      </c>
      <c r="L10" s="97">
        <f t="shared" si="8"/>
        <v>124.60593293207219</v>
      </c>
      <c r="M10" s="97">
        <f t="shared" si="8"/>
        <v>103.39638865004299</v>
      </c>
      <c r="N10" s="97">
        <f t="shared" si="8"/>
        <v>103.39638865004299</v>
      </c>
      <c r="O10" s="97">
        <f t="shared" si="8"/>
        <v>120.4165090283749</v>
      </c>
      <c r="P10" s="97">
        <f t="shared" si="8"/>
        <v>130.96397248495271</v>
      </c>
      <c r="Q10" s="97">
        <f t="shared" si="8"/>
        <v>138.8745485812554</v>
      </c>
      <c r="R10" s="97">
        <f t="shared" si="8"/>
        <v>146.785124677558</v>
      </c>
      <c r="S10" s="97">
        <f t="shared" si="8"/>
        <v>163.68744625967329</v>
      </c>
      <c r="T10" s="97">
        <f t="shared" si="8"/>
        <v>156.83164230438521</v>
      </c>
      <c r="U10" s="97">
        <f t="shared" si="8"/>
        <v>185.70653482373172</v>
      </c>
      <c r="V10" s="97">
        <f t="shared" si="8"/>
        <v>199.16801375752362</v>
      </c>
      <c r="W10" s="97">
        <f t="shared" si="8"/>
        <v>216.14488392089427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0</v>
      </c>
      <c r="J12" s="97">
        <v>0</v>
      </c>
      <c r="K12" s="97">
        <v>0</v>
      </c>
      <c r="L12" s="97">
        <v>0</v>
      </c>
      <c r="M12" s="97">
        <v>0</v>
      </c>
      <c r="N12" s="97">
        <v>0</v>
      </c>
      <c r="O12" s="97">
        <v>0</v>
      </c>
      <c r="P12" s="97">
        <v>0</v>
      </c>
      <c r="Q12" s="97">
        <v>0</v>
      </c>
      <c r="R12" s="97">
        <v>0</v>
      </c>
      <c r="S12" s="97">
        <v>0</v>
      </c>
      <c r="T12" s="97">
        <v>0</v>
      </c>
      <c r="U12" s="97">
        <v>25.154342218400689</v>
      </c>
      <c r="V12" s="97">
        <v>62.666638005159072</v>
      </c>
      <c r="W12" s="97">
        <v>67.851504729148758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45.070249355116083</v>
      </c>
      <c r="I13" s="97">
        <v>83.07059329320721</v>
      </c>
      <c r="J13" s="97">
        <v>67.163456577815992</v>
      </c>
      <c r="K13" s="97">
        <v>76.000773860705067</v>
      </c>
      <c r="L13" s="97">
        <v>124.60593293207219</v>
      </c>
      <c r="M13" s="97">
        <v>103.39638865004299</v>
      </c>
      <c r="N13" s="97">
        <v>103.39638865004299</v>
      </c>
      <c r="O13" s="97">
        <v>120.4165090283749</v>
      </c>
      <c r="P13" s="97">
        <v>130.96397248495271</v>
      </c>
      <c r="Q13" s="97">
        <v>138.8745485812554</v>
      </c>
      <c r="R13" s="97">
        <v>146.785124677558</v>
      </c>
      <c r="S13" s="97">
        <v>163.68744625967329</v>
      </c>
      <c r="T13" s="97">
        <v>156.83164230438521</v>
      </c>
      <c r="U13" s="97">
        <v>160.55219260533102</v>
      </c>
      <c r="V13" s="97">
        <v>136.50137575236457</v>
      </c>
      <c r="W13" s="97">
        <v>148.29337919174552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0</v>
      </c>
      <c r="J15" s="98">
        <v>0</v>
      </c>
      <c r="K15" s="98">
        <v>0</v>
      </c>
      <c r="L15" s="98">
        <v>0</v>
      </c>
      <c r="M15" s="98">
        <v>0</v>
      </c>
      <c r="N15" s="98">
        <v>2.3910190579991535E-4</v>
      </c>
      <c r="O15" s="98">
        <v>5.8046437110983637E-4</v>
      </c>
      <c r="P15" s="98">
        <v>9.2755985220497449E-3</v>
      </c>
      <c r="Q15" s="98">
        <v>1.8191723175378285E-2</v>
      </c>
      <c r="R15" s="98">
        <v>2.9665748635762542E-2</v>
      </c>
      <c r="S15" s="98">
        <v>5.0228801997659674E-2</v>
      </c>
      <c r="T15" s="98">
        <v>8.4285351705786424E-2</v>
      </c>
      <c r="U15" s="98">
        <v>0.17284843999533051</v>
      </c>
      <c r="V15" s="98">
        <v>0.49972845546821443</v>
      </c>
      <c r="W15" s="98">
        <v>1.581129019735436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5375.6687016337055</v>
      </c>
      <c r="C17" s="79">
        <f t="shared" si="9"/>
        <v>5500.1957867583824</v>
      </c>
      <c r="D17" s="79">
        <f t="shared" si="9"/>
        <v>5699.543938091143</v>
      </c>
      <c r="E17" s="79">
        <f t="shared" si="9"/>
        <v>6042.9946689595872</v>
      </c>
      <c r="F17" s="79">
        <f t="shared" si="9"/>
        <v>6083.333447979363</v>
      </c>
      <c r="G17" s="79">
        <f t="shared" si="9"/>
        <v>6248.6984522785888</v>
      </c>
      <c r="H17" s="79">
        <f t="shared" si="9"/>
        <v>6435.4257953568358</v>
      </c>
      <c r="I17" s="79">
        <f t="shared" si="9"/>
        <v>6732.4757523645731</v>
      </c>
      <c r="J17" s="79">
        <f t="shared" si="9"/>
        <v>6572.2963026655216</v>
      </c>
      <c r="K17" s="79">
        <f t="shared" si="9"/>
        <v>7131.9073086844364</v>
      </c>
      <c r="L17" s="79">
        <f t="shared" ref="L17" si="10">L18+L42</f>
        <v>6486.1085984522779</v>
      </c>
      <c r="M17" s="79">
        <f t="shared" ref="M17:V17" si="11">M18+M42</f>
        <v>5936.9757523645731</v>
      </c>
      <c r="N17" s="79">
        <f t="shared" si="11"/>
        <v>4861.686911500874</v>
      </c>
      <c r="O17" s="79">
        <f t="shared" si="11"/>
        <v>4960.4095228547403</v>
      </c>
      <c r="P17" s="79">
        <f t="shared" si="11"/>
        <v>4933.7963779201036</v>
      </c>
      <c r="Q17" s="79">
        <f t="shared" si="11"/>
        <v>4975.0037463233484</v>
      </c>
      <c r="R17" s="79">
        <f t="shared" si="11"/>
        <v>5092.7639735732273</v>
      </c>
      <c r="S17" s="79">
        <f t="shared" si="11"/>
        <v>4992.0923612181614</v>
      </c>
      <c r="T17" s="79">
        <f t="shared" si="11"/>
        <v>5002.8178193155909</v>
      </c>
      <c r="U17" s="79">
        <f t="shared" si="11"/>
        <v>5151.6917650350078</v>
      </c>
      <c r="V17" s="79">
        <f t="shared" si="11"/>
        <v>4514.5686020582179</v>
      </c>
      <c r="W17" s="79">
        <f t="shared" ref="W17" si="12">W18+W42</f>
        <v>4782.5253250644464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3489.3261808551579</v>
      </c>
      <c r="C18" s="32">
        <f t="shared" si="13"/>
        <v>3602.8229498767805</v>
      </c>
      <c r="D18" s="32">
        <f t="shared" si="13"/>
        <v>3763.5729099069772</v>
      </c>
      <c r="E18" s="32">
        <f t="shared" si="13"/>
        <v>4098.6117632582509</v>
      </c>
      <c r="F18" s="32">
        <f t="shared" si="13"/>
        <v>4027.1830670380973</v>
      </c>
      <c r="G18" s="32">
        <f t="shared" si="13"/>
        <v>4281.6241412388845</v>
      </c>
      <c r="H18" s="32">
        <f t="shared" si="13"/>
        <v>4363.7098101539623</v>
      </c>
      <c r="I18" s="32">
        <f t="shared" si="13"/>
        <v>4571.0325487981463</v>
      </c>
      <c r="J18" s="32">
        <f t="shared" si="13"/>
        <v>4438.5863051899978</v>
      </c>
      <c r="K18" s="32">
        <f t="shared" si="13"/>
        <v>4657.5379023963014</v>
      </c>
      <c r="L18" s="32">
        <f t="shared" ref="L18" si="14">L19+L21+L33</f>
        <v>4243.1986540453127</v>
      </c>
      <c r="M18" s="32">
        <f t="shared" ref="M18:V18" si="15">M19+M21+M33</f>
        <v>4122.4110599219639</v>
      </c>
      <c r="N18" s="32">
        <f t="shared" si="15"/>
        <v>3510.2699766931382</v>
      </c>
      <c r="O18" s="32">
        <f t="shared" si="15"/>
        <v>3375.2894686520726</v>
      </c>
      <c r="P18" s="32">
        <f t="shared" si="15"/>
        <v>3297.3381282400114</v>
      </c>
      <c r="Q18" s="32">
        <f t="shared" si="15"/>
        <v>3375.3804271177232</v>
      </c>
      <c r="R18" s="32">
        <f t="shared" si="15"/>
        <v>3416.2118718255242</v>
      </c>
      <c r="S18" s="32">
        <f t="shared" si="15"/>
        <v>3413.7454304172365</v>
      </c>
      <c r="T18" s="32">
        <f t="shared" si="15"/>
        <v>3407.6918278630806</v>
      </c>
      <c r="U18" s="32">
        <f t="shared" si="15"/>
        <v>3499.4574863289226</v>
      </c>
      <c r="V18" s="32">
        <f t="shared" si="15"/>
        <v>3026.5450782284934</v>
      </c>
      <c r="W18" s="32">
        <f t="shared" ref="W18" si="16">W19+W21+W33</f>
        <v>3171.8300345634925</v>
      </c>
      <c r="DA18" s="173" t="s">
        <v>390</v>
      </c>
    </row>
    <row r="19" spans="1:105" ht="11.45" customHeight="1" x14ac:dyDescent="0.25">
      <c r="A19" s="107" t="s">
        <v>181</v>
      </c>
      <c r="B19" s="129">
        <v>169.12613630501815</v>
      </c>
      <c r="C19" s="129">
        <v>183.28186231972487</v>
      </c>
      <c r="D19" s="129">
        <v>201.62988306851202</v>
      </c>
      <c r="E19" s="129">
        <v>211.32153798493738</v>
      </c>
      <c r="F19" s="129">
        <v>212.7974655393098</v>
      </c>
      <c r="G19" s="129">
        <v>219.16179676446617</v>
      </c>
      <c r="H19" s="129">
        <v>200.05889410906664</v>
      </c>
      <c r="I19" s="129">
        <v>200.25704370551344</v>
      </c>
      <c r="J19" s="129">
        <v>214.65443739189141</v>
      </c>
      <c r="K19" s="129">
        <v>220.15018560252608</v>
      </c>
      <c r="L19" s="129">
        <v>260.32986246540059</v>
      </c>
      <c r="M19" s="129">
        <v>266.29532727829229</v>
      </c>
      <c r="N19" s="129">
        <v>273.80394809097936</v>
      </c>
      <c r="O19" s="129">
        <v>274.02632057896244</v>
      </c>
      <c r="P19" s="129">
        <v>280.3501480844559</v>
      </c>
      <c r="Q19" s="129">
        <v>288.13718496435104</v>
      </c>
      <c r="R19" s="129">
        <v>278.79098577267757</v>
      </c>
      <c r="S19" s="129">
        <v>273.85666726859881</v>
      </c>
      <c r="T19" s="129">
        <v>251.56861384238718</v>
      </c>
      <c r="U19" s="129">
        <v>263.47289862263364</v>
      </c>
      <c r="V19" s="129">
        <v>222.18886329199728</v>
      </c>
      <c r="W19" s="129">
        <v>229.96148860022839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</v>
      </c>
      <c r="J20" s="97">
        <v>0</v>
      </c>
      <c r="K20" s="97">
        <v>0</v>
      </c>
      <c r="L20" s="97">
        <v>0</v>
      </c>
      <c r="M20" s="97">
        <v>0</v>
      </c>
      <c r="N20" s="97">
        <v>0</v>
      </c>
      <c r="O20" s="97">
        <v>0</v>
      </c>
      <c r="P20" s="97">
        <v>0</v>
      </c>
      <c r="Q20" s="97">
        <v>0</v>
      </c>
      <c r="R20" s="97">
        <v>0</v>
      </c>
      <c r="S20" s="97">
        <v>0</v>
      </c>
      <c r="T20" s="97">
        <v>0</v>
      </c>
      <c r="U20" s="97">
        <v>2.7956089746377661</v>
      </c>
      <c r="V20" s="97">
        <v>7.1651005817388658</v>
      </c>
      <c r="W20" s="97">
        <v>7.5063510040186259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2753.778466124802</v>
      </c>
      <c r="C21" s="130">
        <f t="shared" si="17"/>
        <v>2871.0488557706076</v>
      </c>
      <c r="D21" s="130">
        <f t="shared" si="17"/>
        <v>3015.7548361032964</v>
      </c>
      <c r="E21" s="130">
        <f t="shared" si="17"/>
        <v>3184.1534050932805</v>
      </c>
      <c r="F21" s="130">
        <f t="shared" si="17"/>
        <v>3282.837977977636</v>
      </c>
      <c r="G21" s="130">
        <f t="shared" si="17"/>
        <v>3461.8738750919315</v>
      </c>
      <c r="H21" s="130">
        <f t="shared" si="17"/>
        <v>3575.7978189416117</v>
      </c>
      <c r="I21" s="130">
        <f t="shared" si="17"/>
        <v>3765.0146524789416</v>
      </c>
      <c r="J21" s="130">
        <f t="shared" si="17"/>
        <v>3669.3459775073684</v>
      </c>
      <c r="K21" s="130">
        <f t="shared" si="17"/>
        <v>3780.1681676164653</v>
      </c>
      <c r="L21" s="130">
        <f t="shared" ref="L21" si="18">L22+L24+L26+L27+L29+L32</f>
        <v>3405.8288820391022</v>
      </c>
      <c r="M21" s="130">
        <f t="shared" ref="M21:V21" si="19">M22+M24+M26+M27+M29+M32</f>
        <v>3242.2660223158132</v>
      </c>
      <c r="N21" s="130">
        <f t="shared" si="19"/>
        <v>2731.2646428477133</v>
      </c>
      <c r="O21" s="130">
        <f t="shared" si="19"/>
        <v>2525.2007647919932</v>
      </c>
      <c r="P21" s="130">
        <f t="shared" si="19"/>
        <v>2459.3117998232165</v>
      </c>
      <c r="Q21" s="130">
        <f t="shared" si="19"/>
        <v>2552.012818178724</v>
      </c>
      <c r="R21" s="130">
        <f t="shared" si="19"/>
        <v>2595.0274607964998</v>
      </c>
      <c r="S21" s="130">
        <f t="shared" si="19"/>
        <v>2596.7844761185888</v>
      </c>
      <c r="T21" s="130">
        <f t="shared" si="19"/>
        <v>2600.7635310074697</v>
      </c>
      <c r="U21" s="130">
        <f t="shared" si="19"/>
        <v>2659.9788674025822</v>
      </c>
      <c r="V21" s="130">
        <f t="shared" si="19"/>
        <v>2247.3397129148138</v>
      </c>
      <c r="W21" s="130">
        <f t="shared" ref="W21" si="20">W22+W24+W26+W27+W29+W32</f>
        <v>2376.8338612261796</v>
      </c>
      <c r="DA21" s="176" t="s">
        <v>392</v>
      </c>
    </row>
    <row r="22" spans="1:105" ht="11.45" customHeight="1" x14ac:dyDescent="0.25">
      <c r="A22" s="111" t="s">
        <v>110</v>
      </c>
      <c r="B22" s="96">
        <v>2583.2559108745868</v>
      </c>
      <c r="C22" s="96">
        <v>2704.2903479821143</v>
      </c>
      <c r="D22" s="96">
        <v>2850.6294533331115</v>
      </c>
      <c r="E22" s="96">
        <v>3014.1393905053887</v>
      </c>
      <c r="F22" s="96">
        <v>3129.3048740771164</v>
      </c>
      <c r="G22" s="96">
        <v>3302.782512112683</v>
      </c>
      <c r="H22" s="96">
        <v>3401.3679188505539</v>
      </c>
      <c r="I22" s="96">
        <v>3575.7281784492689</v>
      </c>
      <c r="J22" s="96">
        <v>3494.526121588588</v>
      </c>
      <c r="K22" s="96">
        <v>3563.8390742584711</v>
      </c>
      <c r="L22" s="96">
        <v>3173.91108964041</v>
      </c>
      <c r="M22" s="96">
        <v>2873.142581110937</v>
      </c>
      <c r="N22" s="96">
        <v>2474.0661125292831</v>
      </c>
      <c r="O22" s="96">
        <v>2218.2689204842723</v>
      </c>
      <c r="P22" s="96">
        <v>2082.3041930072</v>
      </c>
      <c r="Q22" s="96">
        <v>2000.7124742300928</v>
      </c>
      <c r="R22" s="96">
        <v>1973.3410184799784</v>
      </c>
      <c r="S22" s="96">
        <v>1908.247961298945</v>
      </c>
      <c r="T22" s="96">
        <v>1855.9625439557669</v>
      </c>
      <c r="U22" s="96">
        <v>1812.6480340233713</v>
      </c>
      <c r="V22" s="96">
        <v>1458.4993534936177</v>
      </c>
      <c r="W22" s="96">
        <v>1560.1338012469719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</v>
      </c>
      <c r="M23" s="96">
        <v>0</v>
      </c>
      <c r="N23" s="96">
        <v>0</v>
      </c>
      <c r="O23" s="96">
        <v>0</v>
      </c>
      <c r="P23" s="96">
        <v>0</v>
      </c>
      <c r="Q23" s="96">
        <v>0</v>
      </c>
      <c r="R23" s="96">
        <v>0</v>
      </c>
      <c r="S23" s="96">
        <v>0</v>
      </c>
      <c r="T23" s="96">
        <v>0</v>
      </c>
      <c r="U23" s="96">
        <v>19.233306872420471</v>
      </c>
      <c r="V23" s="96">
        <v>47.033385973307119</v>
      </c>
      <c r="W23" s="96">
        <v>50.92553538715427</v>
      </c>
      <c r="DA23" s="171" t="s">
        <v>641</v>
      </c>
    </row>
    <row r="24" spans="1:105" ht="11.45" customHeight="1" x14ac:dyDescent="0.25">
      <c r="A24" s="111" t="s">
        <v>111</v>
      </c>
      <c r="B24" s="96">
        <v>153.57646754600168</v>
      </c>
      <c r="C24" s="96">
        <v>147.74714778401287</v>
      </c>
      <c r="D24" s="96">
        <v>146.66950644205821</v>
      </c>
      <c r="E24" s="96">
        <v>154.79898560996719</v>
      </c>
      <c r="F24" s="96">
        <v>139.46122538700345</v>
      </c>
      <c r="G24" s="96">
        <v>144.84453822874349</v>
      </c>
      <c r="H24" s="96">
        <v>160.10202473670699</v>
      </c>
      <c r="I24" s="96">
        <v>173.59790946001092</v>
      </c>
      <c r="J24" s="96">
        <v>159.18597902811763</v>
      </c>
      <c r="K24" s="96">
        <v>195.02964347461494</v>
      </c>
      <c r="L24" s="96">
        <v>182.83616488409044</v>
      </c>
      <c r="M24" s="96">
        <v>169.38618882686129</v>
      </c>
      <c r="N24" s="96">
        <v>169.57177560959826</v>
      </c>
      <c r="O24" s="96">
        <v>99.699838349467541</v>
      </c>
      <c r="P24" s="96">
        <v>152.16993854212376</v>
      </c>
      <c r="Q24" s="96">
        <v>291.20797595728271</v>
      </c>
      <c r="R24" s="96">
        <v>357.175279615063</v>
      </c>
      <c r="S24" s="96">
        <v>439.72102685555365</v>
      </c>
      <c r="T24" s="96">
        <v>506.28721168812888</v>
      </c>
      <c r="U24" s="96">
        <v>603.8364366321938</v>
      </c>
      <c r="V24" s="96">
        <v>590.97670069576907</v>
      </c>
      <c r="W24" s="96">
        <v>622.25402194361914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3.205405832379729</v>
      </c>
      <c r="I25" s="96">
        <v>6.1158339180780787</v>
      </c>
      <c r="J25" s="96">
        <v>4.6904763172185726</v>
      </c>
      <c r="K25" s="96">
        <v>5.1996058846694053</v>
      </c>
      <c r="L25" s="96">
        <v>8.9048761214802035</v>
      </c>
      <c r="M25" s="96">
        <v>7.8611718054186825</v>
      </c>
      <c r="N25" s="96">
        <v>10.150586662545333</v>
      </c>
      <c r="O25" s="96">
        <v>6.1095107705335892</v>
      </c>
      <c r="P25" s="96">
        <v>9.6975836957121189</v>
      </c>
      <c r="Q25" s="96">
        <v>18.994834490921786</v>
      </c>
      <c r="R25" s="96">
        <v>23.041629326350971</v>
      </c>
      <c r="S25" s="96">
        <v>31.532974300894459</v>
      </c>
      <c r="T25" s="96">
        <v>33.801443508040173</v>
      </c>
      <c r="U25" s="96">
        <v>38.431156128854816</v>
      </c>
      <c r="V25" s="96">
        <v>34.197174698542455</v>
      </c>
      <c r="W25" s="96">
        <v>37.019020920132121</v>
      </c>
      <c r="DA25" s="171" t="s">
        <v>643</v>
      </c>
    </row>
    <row r="26" spans="1:105" ht="11.45" customHeight="1" x14ac:dyDescent="0.25">
      <c r="A26" s="111" t="s">
        <v>112</v>
      </c>
      <c r="B26" s="96">
        <v>16.946087704213241</v>
      </c>
      <c r="C26" s="96">
        <v>18.075838349097161</v>
      </c>
      <c r="D26" s="96">
        <v>16.946087704213241</v>
      </c>
      <c r="E26" s="96">
        <v>13.556921754084261</v>
      </c>
      <c r="F26" s="96">
        <v>12.427171109200341</v>
      </c>
      <c r="G26" s="96">
        <v>12.427171109200341</v>
      </c>
      <c r="H26" s="96">
        <v>12.427171109200341</v>
      </c>
      <c r="I26" s="96">
        <v>13.556921754084261</v>
      </c>
      <c r="J26" s="96">
        <v>13.556921754084261</v>
      </c>
      <c r="K26" s="96">
        <v>18.677730008598449</v>
      </c>
      <c r="L26" s="96">
        <v>46.145055889939812</v>
      </c>
      <c r="M26" s="96">
        <v>196.6656921754084</v>
      </c>
      <c r="N26" s="96">
        <v>84.599226139294927</v>
      </c>
      <c r="O26" s="96">
        <v>204.35657781599309</v>
      </c>
      <c r="P26" s="96">
        <v>221.93559759243334</v>
      </c>
      <c r="Q26" s="96">
        <v>257.09372312983658</v>
      </c>
      <c r="R26" s="96">
        <v>261.48847807394668</v>
      </c>
      <c r="S26" s="96">
        <v>245.90902837489247</v>
      </c>
      <c r="T26" s="96">
        <v>235.56930352536543</v>
      </c>
      <c r="U26" s="96">
        <v>240.32880481513334</v>
      </c>
      <c r="V26" s="96">
        <v>193.71685296646604</v>
      </c>
      <c r="W26" s="96">
        <v>188.56835769561474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0.93552165538339016</v>
      </c>
      <c r="D27" s="96">
        <v>1.5097886239130134</v>
      </c>
      <c r="E27" s="96">
        <v>1.6581072238406351</v>
      </c>
      <c r="F27" s="96">
        <v>1.6447074043155812</v>
      </c>
      <c r="G27" s="96">
        <v>1.8196536413048889</v>
      </c>
      <c r="H27" s="96">
        <v>1.9007042451505749</v>
      </c>
      <c r="I27" s="96">
        <v>2.1316428155776013</v>
      </c>
      <c r="J27" s="96">
        <v>2.0769551365782566</v>
      </c>
      <c r="K27" s="96">
        <v>2.6217198747808186</v>
      </c>
      <c r="L27" s="96">
        <v>2.9365716246619109</v>
      </c>
      <c r="M27" s="96">
        <v>3.0715602026064204</v>
      </c>
      <c r="N27" s="96">
        <v>3.0271650548914306</v>
      </c>
      <c r="O27" s="96">
        <v>2.8748083360417689</v>
      </c>
      <c r="P27" s="96">
        <v>2.8911602502597509</v>
      </c>
      <c r="Q27" s="96">
        <v>2.9765917442631871</v>
      </c>
      <c r="R27" s="96">
        <v>2.9827597763332347</v>
      </c>
      <c r="S27" s="96">
        <v>2.8256343518345672</v>
      </c>
      <c r="T27" s="96">
        <v>2.8010271547744447</v>
      </c>
      <c r="U27" s="96">
        <v>2.9104897907459604</v>
      </c>
      <c r="V27" s="96">
        <v>3.4119991543714594</v>
      </c>
      <c r="W27" s="96">
        <v>3.531639060053986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2.0919164390751678E-4</v>
      </c>
      <c r="O29" s="96">
        <v>1.3366982841408394E-4</v>
      </c>
      <c r="P29" s="96">
        <v>3.6204935677698093E-3</v>
      </c>
      <c r="Q29" s="96">
        <v>7.7265771469666924E-3</v>
      </c>
      <c r="R29" s="96">
        <v>2.0485777660135145E-2</v>
      </c>
      <c r="S29" s="96">
        <v>5.5904868141165381E-2</v>
      </c>
      <c r="T29" s="96">
        <v>0.10644219274372146</v>
      </c>
      <c r="U29" s="96">
        <v>0.17133184749236818</v>
      </c>
      <c r="V29" s="96">
        <v>0.52601027890012908</v>
      </c>
      <c r="W29" s="96">
        <v>1.6510474203561598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0</v>
      </c>
      <c r="O30" s="96">
        <v>0</v>
      </c>
      <c r="P30" s="96">
        <v>0</v>
      </c>
      <c r="Q30" s="96">
        <v>0</v>
      </c>
      <c r="R30" s="96">
        <v>0</v>
      </c>
      <c r="S30" s="96">
        <v>0</v>
      </c>
      <c r="T30" s="96">
        <v>0</v>
      </c>
      <c r="U30" s="96">
        <v>1.0460740659002938E-3</v>
      </c>
      <c r="V30" s="96">
        <v>8.104931604587428E-3</v>
      </c>
      <c r="W30" s="96">
        <v>2.5501050273548653E-2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8.4778904580417442E-5</v>
      </c>
      <c r="O31" s="96">
        <v>9.4327981192852709E-5</v>
      </c>
      <c r="P31" s="96">
        <v>1.9856608900033481E-3</v>
      </c>
      <c r="Q31" s="96">
        <v>3.8651830738156714E-3</v>
      </c>
      <c r="R31" s="96">
        <v>1.022667511759456E-2</v>
      </c>
      <c r="S31" s="96">
        <v>2.5308432775869402E-2</v>
      </c>
      <c r="T31" s="96">
        <v>4.7282861015328234E-2</v>
      </c>
      <c r="U31" s="96">
        <v>7.2744323694471508E-2</v>
      </c>
      <c r="V31" s="96">
        <v>0.27467737439460282</v>
      </c>
      <c r="W31" s="96">
        <v>0.86980771032461479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96">
        <v>0</v>
      </c>
      <c r="N32" s="96">
        <v>1.5432300121949791E-4</v>
      </c>
      <c r="O32" s="96">
        <v>4.8613638991698371E-4</v>
      </c>
      <c r="P32" s="96">
        <v>7.2899376320463968E-3</v>
      </c>
      <c r="Q32" s="96">
        <v>1.4326540101562613E-2</v>
      </c>
      <c r="R32" s="96">
        <v>1.9439073518167982E-2</v>
      </c>
      <c r="S32" s="96">
        <v>2.4920369221790271E-2</v>
      </c>
      <c r="T32" s="96">
        <v>3.700249069045819E-2</v>
      </c>
      <c r="U32" s="96">
        <v>8.3770293645535232E-2</v>
      </c>
      <c r="V32" s="96">
        <v>0.20879632568957956</v>
      </c>
      <c r="W32" s="96">
        <v>0.69499385956331294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566.421578425338</v>
      </c>
      <c r="C33" s="130">
        <f t="shared" si="21"/>
        <v>548.49223178644797</v>
      </c>
      <c r="D33" s="130">
        <f t="shared" si="21"/>
        <v>546.18819073516909</v>
      </c>
      <c r="E33" s="130">
        <f t="shared" si="21"/>
        <v>703.13682018003294</v>
      </c>
      <c r="F33" s="130">
        <f t="shared" si="21"/>
        <v>531.54762352115142</v>
      </c>
      <c r="G33" s="130">
        <f t="shared" si="21"/>
        <v>600.58846938248701</v>
      </c>
      <c r="H33" s="130">
        <f t="shared" si="21"/>
        <v>587.8530971032834</v>
      </c>
      <c r="I33" s="130">
        <f t="shared" si="21"/>
        <v>605.7608526136911</v>
      </c>
      <c r="J33" s="130">
        <f t="shared" si="21"/>
        <v>554.58589029073812</v>
      </c>
      <c r="K33" s="130">
        <f t="shared" si="21"/>
        <v>657.21954917731023</v>
      </c>
      <c r="L33" s="130">
        <f t="shared" ref="L33" si="22">L34+L36+L38+L39+L41</f>
        <v>577.03990954081019</v>
      </c>
      <c r="M33" s="130">
        <f t="shared" ref="M33:V33" si="23">M34+M36+M38+M39+M41</f>
        <v>613.84971032785813</v>
      </c>
      <c r="N33" s="130">
        <f t="shared" si="23"/>
        <v>505.20138575444594</v>
      </c>
      <c r="O33" s="130">
        <f t="shared" si="23"/>
        <v>576.06238328111715</v>
      </c>
      <c r="P33" s="130">
        <f t="shared" si="23"/>
        <v>557.67618033233907</v>
      </c>
      <c r="Q33" s="130">
        <f t="shared" si="23"/>
        <v>535.23042397464792</v>
      </c>
      <c r="R33" s="130">
        <f t="shared" si="23"/>
        <v>542.39342525634675</v>
      </c>
      <c r="S33" s="130">
        <f t="shared" si="23"/>
        <v>543.10428703004891</v>
      </c>
      <c r="T33" s="130">
        <f t="shared" si="23"/>
        <v>555.35968301322373</v>
      </c>
      <c r="U33" s="130">
        <f t="shared" si="23"/>
        <v>576.00572030370699</v>
      </c>
      <c r="V33" s="130">
        <f t="shared" si="23"/>
        <v>557.01650202168253</v>
      </c>
      <c r="W33" s="130">
        <f t="shared" ref="W33" si="24">W34+W36+W38+W39+W41</f>
        <v>565.0346847370846</v>
      </c>
      <c r="DA33" s="176" t="s">
        <v>393</v>
      </c>
    </row>
    <row r="34" spans="1:105" ht="11.45" customHeight="1" x14ac:dyDescent="0.25">
      <c r="A34" s="111" t="s">
        <v>110</v>
      </c>
      <c r="B34" s="97">
        <v>0</v>
      </c>
      <c r="C34" s="97">
        <v>0</v>
      </c>
      <c r="D34" s="97">
        <v>0</v>
      </c>
      <c r="E34" s="97">
        <v>0</v>
      </c>
      <c r="F34" s="97">
        <v>0</v>
      </c>
      <c r="G34" s="97">
        <v>0</v>
      </c>
      <c r="H34" s="97">
        <v>0</v>
      </c>
      <c r="I34" s="97">
        <v>0</v>
      </c>
      <c r="J34" s="97">
        <v>0</v>
      </c>
      <c r="K34" s="97">
        <v>0</v>
      </c>
      <c r="L34" s="97">
        <v>0</v>
      </c>
      <c r="M34" s="97">
        <v>0</v>
      </c>
      <c r="N34" s="97">
        <v>0</v>
      </c>
      <c r="O34" s="97">
        <v>0</v>
      </c>
      <c r="P34" s="97">
        <v>0</v>
      </c>
      <c r="Q34" s="97">
        <v>0</v>
      </c>
      <c r="R34" s="97">
        <v>0</v>
      </c>
      <c r="S34" s="97">
        <v>0</v>
      </c>
      <c r="T34" s="97">
        <v>0</v>
      </c>
      <c r="U34" s="97">
        <v>0</v>
      </c>
      <c r="V34" s="97">
        <v>0</v>
      </c>
      <c r="W34" s="97">
        <v>0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0</v>
      </c>
      <c r="K35" s="97">
        <v>0</v>
      </c>
      <c r="L35" s="97">
        <v>0</v>
      </c>
      <c r="M35" s="97">
        <v>0</v>
      </c>
      <c r="N35" s="97">
        <v>0</v>
      </c>
      <c r="O35" s="97">
        <v>0</v>
      </c>
      <c r="P35" s="97">
        <v>0</v>
      </c>
      <c r="Q35" s="97">
        <v>0</v>
      </c>
      <c r="R35" s="97">
        <v>0</v>
      </c>
      <c r="S35" s="97">
        <v>0</v>
      </c>
      <c r="T35" s="97">
        <v>0</v>
      </c>
      <c r="U35" s="97">
        <v>0</v>
      </c>
      <c r="V35" s="97">
        <v>0</v>
      </c>
      <c r="W35" s="97">
        <v>0</v>
      </c>
      <c r="DA35" s="175" t="s">
        <v>652</v>
      </c>
    </row>
    <row r="36" spans="1:105" ht="11.45" customHeight="1" x14ac:dyDescent="0.25">
      <c r="A36" s="111" t="s">
        <v>111</v>
      </c>
      <c r="B36" s="97">
        <v>566.421578425338</v>
      </c>
      <c r="C36" s="97">
        <v>543.32285232403251</v>
      </c>
      <c r="D36" s="97">
        <v>538.04613069184222</v>
      </c>
      <c r="E36" s="97">
        <v>694.15434270911862</v>
      </c>
      <c r="F36" s="97">
        <v>522.59465250758217</v>
      </c>
      <c r="G36" s="97">
        <v>590.54208691029237</v>
      </c>
      <c r="H36" s="97">
        <v>577.24296729856292</v>
      </c>
      <c r="I36" s="97">
        <v>593.55466223924293</v>
      </c>
      <c r="J36" s="97">
        <v>542.47531318312031</v>
      </c>
      <c r="K36" s="97">
        <v>645.11650550952868</v>
      </c>
      <c r="L36" s="97">
        <v>565.83219913623736</v>
      </c>
      <c r="M36" s="97">
        <v>601.98145969641473</v>
      </c>
      <c r="N36" s="97">
        <v>493.50378726677502</v>
      </c>
      <c r="O36" s="97">
        <v>565.52352007803597</v>
      </c>
      <c r="P36" s="97">
        <v>546.8098169368551</v>
      </c>
      <c r="Q36" s="97">
        <v>523.09532182381224</v>
      </c>
      <c r="R36" s="97">
        <v>526.41659775838934</v>
      </c>
      <c r="S36" s="97">
        <v>533.13972361748108</v>
      </c>
      <c r="T36" s="97">
        <v>542.96922263575402</v>
      </c>
      <c r="U36" s="97">
        <v>561.00890464669021</v>
      </c>
      <c r="V36" s="97">
        <v>542.2861931102658</v>
      </c>
      <c r="W36" s="97">
        <v>547.51362489415271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11.556992968214299</v>
      </c>
      <c r="I37" s="97">
        <v>20.910860890247911</v>
      </c>
      <c r="J37" s="97">
        <v>15.984244496255007</v>
      </c>
      <c r="K37" s="97">
        <v>17.19918838277172</v>
      </c>
      <c r="L37" s="97">
        <v>27.558364298699821</v>
      </c>
      <c r="M37" s="97">
        <v>27.937813059761059</v>
      </c>
      <c r="N37" s="97">
        <v>29.541195419682762</v>
      </c>
      <c r="O37" s="97">
        <v>34.654740610472423</v>
      </c>
      <c r="P37" s="97">
        <v>34.847447637722929</v>
      </c>
      <c r="Q37" s="97">
        <v>34.120319089324347</v>
      </c>
      <c r="R37" s="97">
        <v>33.959506183798261</v>
      </c>
      <c r="S37" s="97">
        <v>38.23215215300246</v>
      </c>
      <c r="T37" s="97">
        <v>36.250458399554439</v>
      </c>
      <c r="U37" s="97">
        <v>35.705398840129014</v>
      </c>
      <c r="V37" s="97">
        <v>31.379673108205932</v>
      </c>
      <c r="W37" s="97">
        <v>32.572579074226496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DA38" s="175" t="s">
        <v>655</v>
      </c>
    </row>
    <row r="39" spans="1:105" ht="11.45" customHeight="1" x14ac:dyDescent="0.25">
      <c r="A39" s="111" t="s">
        <v>113</v>
      </c>
      <c r="B39" s="97">
        <v>0</v>
      </c>
      <c r="C39" s="97">
        <v>5.1693794624154066</v>
      </c>
      <c r="D39" s="97">
        <v>8.1420600433268824</v>
      </c>
      <c r="E39" s="97">
        <v>8.9824774709143043</v>
      </c>
      <c r="F39" s="97">
        <v>8.9529710135691989</v>
      </c>
      <c r="G39" s="97">
        <v>10.046382472194681</v>
      </c>
      <c r="H39" s="97">
        <v>10.610129804720446</v>
      </c>
      <c r="I39" s="97">
        <v>12.206190374448189</v>
      </c>
      <c r="J39" s="97">
        <v>12.110577107617784</v>
      </c>
      <c r="K39" s="97">
        <v>12.10304366778152</v>
      </c>
      <c r="L39" s="97">
        <v>11.207710404572829</v>
      </c>
      <c r="M39" s="97">
        <v>11.86825063144345</v>
      </c>
      <c r="N39" s="97">
        <v>11.697598487670909</v>
      </c>
      <c r="O39" s="97">
        <v>10.538863203081192</v>
      </c>
      <c r="P39" s="97">
        <v>10.866363395484019</v>
      </c>
      <c r="Q39" s="97">
        <v>12.135102150835692</v>
      </c>
      <c r="R39" s="97">
        <v>15.976827497957395</v>
      </c>
      <c r="S39" s="97">
        <v>9.9645634125678431</v>
      </c>
      <c r="T39" s="97">
        <v>12.390460377469745</v>
      </c>
      <c r="U39" s="97">
        <v>14.98048183436152</v>
      </c>
      <c r="V39" s="97">
        <v>14.714054156032672</v>
      </c>
      <c r="W39" s="97">
        <v>17.504732393084442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</v>
      </c>
      <c r="M41" s="97">
        <v>0</v>
      </c>
      <c r="N41" s="97">
        <v>0</v>
      </c>
      <c r="O41" s="97">
        <v>0</v>
      </c>
      <c r="P41" s="97">
        <v>0</v>
      </c>
      <c r="Q41" s="97">
        <v>0</v>
      </c>
      <c r="R41" s="97">
        <v>0</v>
      </c>
      <c r="S41" s="97">
        <v>0</v>
      </c>
      <c r="T41" s="97">
        <v>0</v>
      </c>
      <c r="U41" s="97">
        <v>1.6333822655323765E-2</v>
      </c>
      <c r="V41" s="97">
        <v>1.6254755384032014E-2</v>
      </c>
      <c r="W41" s="97">
        <v>1.6327449847508245E-2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1886.3425207785476</v>
      </c>
      <c r="C42" s="32">
        <f t="shared" si="25"/>
        <v>1897.3728368816019</v>
      </c>
      <c r="D42" s="32">
        <f t="shared" si="25"/>
        <v>1935.9710281841662</v>
      </c>
      <c r="E42" s="32">
        <f t="shared" si="25"/>
        <v>1944.3829057013359</v>
      </c>
      <c r="F42" s="32">
        <f t="shared" si="25"/>
        <v>2056.1503809412657</v>
      </c>
      <c r="G42" s="32">
        <f t="shared" si="25"/>
        <v>1967.0743110397043</v>
      </c>
      <c r="H42" s="32">
        <f t="shared" si="25"/>
        <v>2071.7159852028735</v>
      </c>
      <c r="I42" s="32">
        <f t="shared" si="25"/>
        <v>2161.4432035664272</v>
      </c>
      <c r="J42" s="32">
        <f t="shared" si="25"/>
        <v>2133.7099974755233</v>
      </c>
      <c r="K42" s="32">
        <f t="shared" si="25"/>
        <v>2474.369406288135</v>
      </c>
      <c r="L42" s="32">
        <f t="shared" ref="L42" si="26">L43+L52</f>
        <v>2242.9099444069648</v>
      </c>
      <c r="M42" s="32">
        <f t="shared" ref="M42:V42" si="27">M43+M52</f>
        <v>1814.5646924426092</v>
      </c>
      <c r="N42" s="32">
        <f t="shared" si="27"/>
        <v>1351.4169348077362</v>
      </c>
      <c r="O42" s="32">
        <f t="shared" si="27"/>
        <v>1585.1200542026675</v>
      </c>
      <c r="P42" s="32">
        <f t="shared" si="27"/>
        <v>1636.458249680092</v>
      </c>
      <c r="Q42" s="32">
        <f t="shared" si="27"/>
        <v>1599.6233192056252</v>
      </c>
      <c r="R42" s="32">
        <f t="shared" si="27"/>
        <v>1676.5521017477031</v>
      </c>
      <c r="S42" s="32">
        <f t="shared" si="27"/>
        <v>1578.3469308009251</v>
      </c>
      <c r="T42" s="32">
        <f t="shared" si="27"/>
        <v>1595.1259914525108</v>
      </c>
      <c r="U42" s="32">
        <f t="shared" si="27"/>
        <v>1652.234278706085</v>
      </c>
      <c r="V42" s="32">
        <f t="shared" si="27"/>
        <v>1488.023523829725</v>
      </c>
      <c r="W42" s="32">
        <f t="shared" ref="W42" si="28">W43+W52</f>
        <v>1610.6952905009539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797.28471499988768</v>
      </c>
      <c r="C43" s="141">
        <f t="shared" si="29"/>
        <v>789.63336551220846</v>
      </c>
      <c r="D43" s="141">
        <f t="shared" si="29"/>
        <v>805.57100521871325</v>
      </c>
      <c r="E43" s="141">
        <f t="shared" si="29"/>
        <v>825.04284326004802</v>
      </c>
      <c r="F43" s="141">
        <f t="shared" si="29"/>
        <v>808.29294171560377</v>
      </c>
      <c r="G43" s="141">
        <f t="shared" si="29"/>
        <v>808.14867511776743</v>
      </c>
      <c r="H43" s="141">
        <f t="shared" si="29"/>
        <v>809.67809718171316</v>
      </c>
      <c r="I43" s="141">
        <f t="shared" si="29"/>
        <v>856.58796887838139</v>
      </c>
      <c r="J43" s="141">
        <f t="shared" si="29"/>
        <v>838.64364305821573</v>
      </c>
      <c r="K43" s="141">
        <f t="shared" si="29"/>
        <v>787.84357494636799</v>
      </c>
      <c r="L43" s="141">
        <f t="shared" ref="L43" si="30">L44+L46+L48+L49+L51</f>
        <v>792.07566799135088</v>
      </c>
      <c r="M43" s="141">
        <f t="shared" ref="M43:V43" si="31">M44+M46+M48+M49+M51</f>
        <v>679.48446828669626</v>
      </c>
      <c r="N43" s="141">
        <f t="shared" si="31"/>
        <v>556.13009027879843</v>
      </c>
      <c r="O43" s="141">
        <f t="shared" si="31"/>
        <v>646.20454132839541</v>
      </c>
      <c r="P43" s="141">
        <f t="shared" si="31"/>
        <v>645.67866306918154</v>
      </c>
      <c r="Q43" s="141">
        <f t="shared" si="31"/>
        <v>769.78550780100772</v>
      </c>
      <c r="R43" s="141">
        <f t="shared" si="31"/>
        <v>810.81663066686792</v>
      </c>
      <c r="S43" s="141">
        <f t="shared" si="31"/>
        <v>714.91257864191425</v>
      </c>
      <c r="T43" s="141">
        <f t="shared" si="31"/>
        <v>709.14417097174066</v>
      </c>
      <c r="U43" s="141">
        <f t="shared" si="31"/>
        <v>710.59719989390601</v>
      </c>
      <c r="V43" s="141">
        <f t="shared" si="31"/>
        <v>612.92721993085252</v>
      </c>
      <c r="W43" s="141">
        <f t="shared" ref="W43" si="32">W44+W46+W48+W49+W51</f>
        <v>667.43649238019498</v>
      </c>
      <c r="DA43" s="174" t="s">
        <v>399</v>
      </c>
    </row>
    <row r="44" spans="1:105" ht="11.45" customHeight="1" x14ac:dyDescent="0.25">
      <c r="A44" s="111" t="s">
        <v>110</v>
      </c>
      <c r="B44" s="96">
        <v>665.23996485822829</v>
      </c>
      <c r="C44" s="96">
        <v>642.20706742816844</v>
      </c>
      <c r="D44" s="96">
        <v>643.6397177686257</v>
      </c>
      <c r="E44" s="96">
        <v>636.55781613564079</v>
      </c>
      <c r="F44" s="96">
        <v>604.56335255898159</v>
      </c>
      <c r="G44" s="96">
        <v>591.89919929138011</v>
      </c>
      <c r="H44" s="96">
        <v>557.91445961131592</v>
      </c>
      <c r="I44" s="96">
        <v>570.63747775923287</v>
      </c>
      <c r="J44" s="96">
        <v>555.96939802726001</v>
      </c>
      <c r="K44" s="96">
        <v>463.83722337202073</v>
      </c>
      <c r="L44" s="96">
        <v>433.15182519427503</v>
      </c>
      <c r="M44" s="96">
        <v>358.03036332186127</v>
      </c>
      <c r="N44" s="96">
        <v>287.19241169958673</v>
      </c>
      <c r="O44" s="96">
        <v>285.29139199388555</v>
      </c>
      <c r="P44" s="96">
        <v>280.4127257093723</v>
      </c>
      <c r="Q44" s="96">
        <v>284.85430400305722</v>
      </c>
      <c r="R44" s="96">
        <v>284.78327404806834</v>
      </c>
      <c r="S44" s="96">
        <v>268.61894524644521</v>
      </c>
      <c r="T44" s="96">
        <v>295.31544383314338</v>
      </c>
      <c r="U44" s="96">
        <v>294.4580378697496</v>
      </c>
      <c r="V44" s="96">
        <v>262.3449730957775</v>
      </c>
      <c r="W44" s="96">
        <v>287.79432168954338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0</v>
      </c>
      <c r="J45" s="96">
        <v>0</v>
      </c>
      <c r="K45" s="96">
        <v>0</v>
      </c>
      <c r="L45" s="96">
        <v>0</v>
      </c>
      <c r="M45" s="96">
        <v>0</v>
      </c>
      <c r="N45" s="96">
        <v>0</v>
      </c>
      <c r="O45" s="96">
        <v>0</v>
      </c>
      <c r="P45" s="96">
        <v>0</v>
      </c>
      <c r="Q45" s="96">
        <v>0</v>
      </c>
      <c r="R45" s="96">
        <v>0</v>
      </c>
      <c r="S45" s="96">
        <v>0</v>
      </c>
      <c r="T45" s="96">
        <v>0</v>
      </c>
      <c r="U45" s="96">
        <v>3.1243802972765535</v>
      </c>
      <c r="V45" s="96">
        <v>8.4600465185084985</v>
      </c>
      <c r="W45" s="96">
        <v>9.3941172877023114</v>
      </c>
      <c r="DA45" s="171" t="s">
        <v>660</v>
      </c>
    </row>
    <row r="46" spans="1:105" ht="11.45" customHeight="1" x14ac:dyDescent="0.25">
      <c r="A46" s="111" t="s">
        <v>111</v>
      </c>
      <c r="B46" s="96">
        <v>132.04475014165939</v>
      </c>
      <c r="C46" s="96">
        <v>147.42629808404001</v>
      </c>
      <c r="D46" s="96">
        <v>161.93128745008755</v>
      </c>
      <c r="E46" s="96">
        <v>188.4850271244072</v>
      </c>
      <c r="F46" s="96">
        <v>203.72958915662221</v>
      </c>
      <c r="G46" s="96">
        <v>216.24947582638731</v>
      </c>
      <c r="H46" s="96">
        <v>251.76363757039718</v>
      </c>
      <c r="I46" s="96">
        <v>285.95049111914852</v>
      </c>
      <c r="J46" s="96">
        <v>282.67424503095577</v>
      </c>
      <c r="K46" s="96">
        <v>324.00635157434726</v>
      </c>
      <c r="L46" s="96">
        <v>358.92384279707591</v>
      </c>
      <c r="M46" s="96">
        <v>321.45410496483498</v>
      </c>
      <c r="N46" s="96">
        <v>268.93767857921171</v>
      </c>
      <c r="O46" s="96">
        <v>360.91314933450985</v>
      </c>
      <c r="P46" s="96">
        <v>365.26593735980924</v>
      </c>
      <c r="Q46" s="96">
        <v>484.9312037979505</v>
      </c>
      <c r="R46" s="96">
        <v>526.03335661879964</v>
      </c>
      <c r="S46" s="96">
        <v>446.29363339546899</v>
      </c>
      <c r="T46" s="96">
        <v>413.82872713859729</v>
      </c>
      <c r="U46" s="96">
        <v>416.13916202415646</v>
      </c>
      <c r="V46" s="96">
        <v>350.58224683507507</v>
      </c>
      <c r="W46" s="96">
        <v>379.6421706906516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5.0405648121966786</v>
      </c>
      <c r="I47" s="96">
        <v>10.074002146209157</v>
      </c>
      <c r="J47" s="96">
        <v>8.3291057409719684</v>
      </c>
      <c r="K47" s="96">
        <v>8.6382013641711932</v>
      </c>
      <c r="L47" s="96">
        <v>17.481073064400682</v>
      </c>
      <c r="M47" s="96">
        <v>14.918606789533747</v>
      </c>
      <c r="N47" s="96">
        <v>16.098641436219836</v>
      </c>
      <c r="O47" s="96">
        <v>22.116412720323748</v>
      </c>
      <c r="P47" s="96">
        <v>23.277902538936349</v>
      </c>
      <c r="Q47" s="96">
        <v>31.630960399850871</v>
      </c>
      <c r="R47" s="96">
        <v>33.934783027451751</v>
      </c>
      <c r="S47" s="96">
        <v>32.004304577263355</v>
      </c>
      <c r="T47" s="96">
        <v>27.628602934170154</v>
      </c>
      <c r="U47" s="96">
        <v>26.485167401089733</v>
      </c>
      <c r="V47" s="96">
        <v>20.286624374720336</v>
      </c>
      <c r="W47" s="96">
        <v>22.585601640731532</v>
      </c>
      <c r="DA47" s="171" t="s">
        <v>662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0</v>
      </c>
      <c r="O48" s="96">
        <v>0</v>
      </c>
      <c r="P48" s="96">
        <v>0</v>
      </c>
      <c r="Q48" s="96">
        <v>0</v>
      </c>
      <c r="R48" s="96">
        <v>0</v>
      </c>
      <c r="S48" s="96">
        <v>0</v>
      </c>
      <c r="T48" s="96">
        <v>0</v>
      </c>
      <c r="U48" s="96">
        <v>0</v>
      </c>
      <c r="V48" s="96">
        <v>0</v>
      </c>
      <c r="W48" s="96">
        <v>0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0</v>
      </c>
      <c r="Q49" s="96">
        <v>0</v>
      </c>
      <c r="R49" s="96">
        <v>0</v>
      </c>
      <c r="S49" s="96">
        <v>0</v>
      </c>
      <c r="T49" s="96">
        <v>0</v>
      </c>
      <c r="U49" s="96">
        <v>0</v>
      </c>
      <c r="V49" s="96">
        <v>0</v>
      </c>
      <c r="W49" s="96">
        <v>0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0</v>
      </c>
      <c r="N51" s="96">
        <v>0</v>
      </c>
      <c r="O51" s="96">
        <v>0</v>
      </c>
      <c r="P51" s="96">
        <v>0</v>
      </c>
      <c r="Q51" s="96">
        <v>0</v>
      </c>
      <c r="R51" s="96">
        <v>0</v>
      </c>
      <c r="S51" s="96">
        <v>0</v>
      </c>
      <c r="T51" s="96">
        <v>0</v>
      </c>
      <c r="U51" s="96">
        <v>0</v>
      </c>
      <c r="V51" s="96">
        <v>0</v>
      </c>
      <c r="W51" s="96">
        <v>0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1089.0578057786599</v>
      </c>
      <c r="C52" s="130">
        <f t="shared" si="33"/>
        <v>1107.7394713693934</v>
      </c>
      <c r="D52" s="130">
        <f t="shared" si="33"/>
        <v>1130.400022965453</v>
      </c>
      <c r="E52" s="130">
        <f t="shared" si="33"/>
        <v>1119.340062441288</v>
      </c>
      <c r="F52" s="130">
        <f t="shared" si="33"/>
        <v>1247.8574392256619</v>
      </c>
      <c r="G52" s="130">
        <f t="shared" si="33"/>
        <v>1158.9256359219369</v>
      </c>
      <c r="H52" s="130">
        <f t="shared" si="33"/>
        <v>1262.0378880211601</v>
      </c>
      <c r="I52" s="130">
        <f t="shared" si="33"/>
        <v>1304.8552346880458</v>
      </c>
      <c r="J52" s="130">
        <f t="shared" si="33"/>
        <v>1295.0663544173076</v>
      </c>
      <c r="K52" s="130">
        <f t="shared" si="33"/>
        <v>1686.5258313417671</v>
      </c>
      <c r="L52" s="130">
        <f t="shared" ref="L52" si="34">L53+L55</f>
        <v>1450.8342764156139</v>
      </c>
      <c r="M52" s="130">
        <f t="shared" ref="M52:V52" si="35">M53+M55</f>
        <v>1135.0802241559129</v>
      </c>
      <c r="N52" s="130">
        <f t="shared" si="35"/>
        <v>795.28684452893765</v>
      </c>
      <c r="O52" s="130">
        <f t="shared" si="35"/>
        <v>938.91551287427205</v>
      </c>
      <c r="P52" s="130">
        <f t="shared" si="35"/>
        <v>990.77958661091043</v>
      </c>
      <c r="Q52" s="130">
        <f t="shared" si="35"/>
        <v>829.83781140461758</v>
      </c>
      <c r="R52" s="130">
        <f t="shared" si="35"/>
        <v>865.73547108083517</v>
      </c>
      <c r="S52" s="130">
        <f t="shared" si="35"/>
        <v>863.43435215901081</v>
      </c>
      <c r="T52" s="130">
        <f t="shared" si="35"/>
        <v>885.98182048077001</v>
      </c>
      <c r="U52" s="130">
        <f t="shared" si="35"/>
        <v>941.63707881217897</v>
      </c>
      <c r="V52" s="130">
        <f t="shared" si="35"/>
        <v>875.09630389887252</v>
      </c>
      <c r="W52" s="130">
        <f t="shared" ref="W52" si="36">W53+W55</f>
        <v>943.2587981207588</v>
      </c>
      <c r="DA52" s="176" t="s">
        <v>400</v>
      </c>
    </row>
    <row r="53" spans="1:105" ht="11.45" customHeight="1" x14ac:dyDescent="0.25">
      <c r="A53" s="128" t="s">
        <v>27</v>
      </c>
      <c r="B53" s="97">
        <v>994.6051121113901</v>
      </c>
      <c r="C53" s="97">
        <v>1009.9797995760031</v>
      </c>
      <c r="D53" s="97">
        <v>1029.0138134569797</v>
      </c>
      <c r="E53" s="97">
        <v>929.04644039363018</v>
      </c>
      <c r="F53" s="97">
        <v>1130.5236454055625</v>
      </c>
      <c r="G53" s="97">
        <v>997.41274806590536</v>
      </c>
      <c r="H53" s="97">
        <v>1091.3313750656343</v>
      </c>
      <c r="I53" s="97">
        <v>1131.770809097801</v>
      </c>
      <c r="J53" s="97">
        <v>1153.7359870534167</v>
      </c>
      <c r="K53" s="97">
        <v>1455.925369341523</v>
      </c>
      <c r="L53" s="97">
        <v>1267.9233079261194</v>
      </c>
      <c r="M53" s="97">
        <v>967.88274052734198</v>
      </c>
      <c r="N53" s="97">
        <v>702.29519555650938</v>
      </c>
      <c r="O53" s="97">
        <v>769.07595541492276</v>
      </c>
      <c r="P53" s="97">
        <v>830.93601278227322</v>
      </c>
      <c r="Q53" s="97">
        <v>716.86668930294218</v>
      </c>
      <c r="R53" s="97">
        <v>745.09648534556777</v>
      </c>
      <c r="S53" s="97">
        <v>695.40852810280228</v>
      </c>
      <c r="T53" s="97">
        <v>715.70734753405759</v>
      </c>
      <c r="U53" s="97">
        <v>755.95538844876603</v>
      </c>
      <c r="V53" s="97">
        <v>681.62993448495479</v>
      </c>
      <c r="W53" s="97">
        <v>778.68831742589748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21.849567239684895</v>
      </c>
      <c r="I54" s="97">
        <v>39.872152396889611</v>
      </c>
      <c r="J54" s="97">
        <v>33.99527619603343</v>
      </c>
      <c r="K54" s="97">
        <v>38.815833240514543</v>
      </c>
      <c r="L54" s="97">
        <v>61.753100081579952</v>
      </c>
      <c r="M54" s="97">
        <v>44.919202465569121</v>
      </c>
      <c r="N54" s="97">
        <v>42.03947396055964</v>
      </c>
      <c r="O54" s="97">
        <v>47.12823923039965</v>
      </c>
      <c r="P54" s="97">
        <v>52.954424552828293</v>
      </c>
      <c r="Q54" s="97">
        <v>46.759585037471247</v>
      </c>
      <c r="R54" s="97">
        <v>48.066700042069321</v>
      </c>
      <c r="S54" s="97">
        <v>49.868661960738706</v>
      </c>
      <c r="T54" s="97">
        <v>47.783038791949309</v>
      </c>
      <c r="U54" s="97">
        <v>48.11276332040854</v>
      </c>
      <c r="V54" s="97">
        <v>39.44287130422385</v>
      </c>
      <c r="W54" s="97">
        <v>46.325581027202517</v>
      </c>
      <c r="DA54" s="175" t="s">
        <v>668</v>
      </c>
    </row>
    <row r="55" spans="1:105" ht="11.45" customHeight="1" x14ac:dyDescent="0.25">
      <c r="A55" s="128" t="s">
        <v>116</v>
      </c>
      <c r="B55" s="97">
        <v>94.452693667269827</v>
      </c>
      <c r="C55" s="97">
        <v>97.759671793390368</v>
      </c>
      <c r="D55" s="97">
        <v>101.38620950847323</v>
      </c>
      <c r="E55" s="97">
        <v>190.29362204765778</v>
      </c>
      <c r="F55" s="97">
        <v>117.33379382009943</v>
      </c>
      <c r="G55" s="97">
        <v>161.51288785603157</v>
      </c>
      <c r="H55" s="97">
        <v>170.70651295552568</v>
      </c>
      <c r="I55" s="97">
        <v>173.08442559024488</v>
      </c>
      <c r="J55" s="97">
        <v>141.33036736389084</v>
      </c>
      <c r="K55" s="97">
        <v>230.60046200024419</v>
      </c>
      <c r="L55" s="97">
        <v>182.91096848949442</v>
      </c>
      <c r="M55" s="97">
        <v>167.19748362857095</v>
      </c>
      <c r="N55" s="97">
        <v>92.991648972428237</v>
      </c>
      <c r="O55" s="97">
        <v>169.83955745934935</v>
      </c>
      <c r="P55" s="97">
        <v>159.84357382863726</v>
      </c>
      <c r="Q55" s="97">
        <v>112.97112210167545</v>
      </c>
      <c r="R55" s="97">
        <v>120.63898573526743</v>
      </c>
      <c r="S55" s="97">
        <v>168.02582405620856</v>
      </c>
      <c r="T55" s="97">
        <v>170.27447294671242</v>
      </c>
      <c r="U55" s="97">
        <v>185.68169036341291</v>
      </c>
      <c r="V55" s="97">
        <v>193.46636941391773</v>
      </c>
      <c r="W55" s="97">
        <v>164.57048069486135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3.4177185026404828</v>
      </c>
      <c r="I56" s="98">
        <v>6.0977439417824559</v>
      </c>
      <c r="J56" s="98">
        <v>4.1643538273370106</v>
      </c>
      <c r="K56" s="98">
        <v>6.1479449885782058</v>
      </c>
      <c r="L56" s="98">
        <v>8.90851936591155</v>
      </c>
      <c r="M56" s="98">
        <v>7.7595945297603919</v>
      </c>
      <c r="N56" s="98">
        <v>5.5664911710354144</v>
      </c>
      <c r="O56" s="98">
        <v>10.407605696645492</v>
      </c>
      <c r="P56" s="98">
        <v>10.186614059753012</v>
      </c>
      <c r="Q56" s="98">
        <v>7.3688495636871592</v>
      </c>
      <c r="R56" s="98">
        <v>7.7825060978877092</v>
      </c>
      <c r="S56" s="98">
        <v>12.049353267774311</v>
      </c>
      <c r="T56" s="98">
        <v>11.368098670671138</v>
      </c>
      <c r="U56" s="98">
        <v>11.817706914848898</v>
      </c>
      <c r="V56" s="98">
        <v>11.195032266671992</v>
      </c>
      <c r="W56" s="98">
        <v>9.7905965294528414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11.797295345138936</v>
      </c>
      <c r="C60" s="79">
        <f>IF(C17=0,0,C17/TrRoad_act!C30*100)</f>
        <v>11.234163161757063</v>
      </c>
      <c r="D60" s="79">
        <f>IF(D17=0,0,D17/TrRoad_act!D30*100)</f>
        <v>10.900729359778369</v>
      </c>
      <c r="E60" s="79">
        <f>IF(E17=0,0,E17/TrRoad_act!E30*100)</f>
        <v>11.086645390651336</v>
      </c>
      <c r="F60" s="79">
        <f>IF(F17=0,0,F17/TrRoad_act!F30*100)</f>
        <v>10.390471147954591</v>
      </c>
      <c r="G60" s="79">
        <f>IF(G17=0,0,G17/TrRoad_act!G30*100)</f>
        <v>10.202832678804121</v>
      </c>
      <c r="H60" s="79">
        <f>IF(H17=0,0,H17/TrRoad_act!H30*100)</f>
        <v>9.9959778589156034</v>
      </c>
      <c r="I60" s="79">
        <f>IF(I17=0,0,I17/TrRoad_act!I30*100)</f>
        <v>9.9280797682320934</v>
      </c>
      <c r="J60" s="79">
        <f>IF(J17=0,0,J17/TrRoad_act!J30*100)</f>
        <v>9.266157512462037</v>
      </c>
      <c r="K60" s="79">
        <f>IF(K17=0,0,K17/TrRoad_act!K30*100)</f>
        <v>9.9887393071312847</v>
      </c>
      <c r="L60" s="79">
        <f>IF(L17=0,0,L17/TrRoad_act!L30*100)</f>
        <v>9.0309826802975603</v>
      </c>
      <c r="M60" s="79">
        <f>IF(M17=0,0,M17/TrRoad_act!M30*100)</f>
        <v>8.9531437108709948</v>
      </c>
      <c r="N60" s="79">
        <f>IF(N17=0,0,N17/TrRoad_act!N30*100)</f>
        <v>8.3144238868339304</v>
      </c>
      <c r="O60" s="79">
        <f>IF(O17=0,0,O17/TrRoad_act!O30*100)</f>
        <v>8.6545172374527173</v>
      </c>
      <c r="P60" s="79">
        <f>IF(P17=0,0,P17/TrRoad_act!P30*100)</f>
        <v>8.5852477082033563</v>
      </c>
      <c r="Q60" s="79">
        <f>IF(Q17=0,0,Q17/TrRoad_act!Q30*100)</f>
        <v>8.4272239868111924</v>
      </c>
      <c r="R60" s="79">
        <f>IF(R17=0,0,R17/TrRoad_act!R30*100)</f>
        <v>8.3854804817850628</v>
      </c>
      <c r="S60" s="79">
        <f>IF(S17=0,0,S17/TrRoad_act!S30*100)</f>
        <v>8.3402972284248573</v>
      </c>
      <c r="T60" s="79">
        <f>IF(T17=0,0,T17/TrRoad_act!T30*100)</f>
        <v>8.3196392017435237</v>
      </c>
      <c r="U60" s="79">
        <f>IF(U17=0,0,U17/TrRoad_act!U30*100)</f>
        <v>8.3754824544743265</v>
      </c>
      <c r="V60" s="79">
        <f>IF(V17=0,0,V17/TrRoad_act!V30*100)</f>
        <v>7.9953645518973886</v>
      </c>
      <c r="W60" s="79">
        <f>IF(W17=0,0,W17/TrRoad_act!W30*100)</f>
        <v>8.146169636506297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9.5172547293577949</v>
      </c>
      <c r="C61" s="32">
        <f>IF(C18=0,0,C18/TrRoad_act!C31*100)</f>
        <v>9.0553768121765916</v>
      </c>
      <c r="D61" s="32">
        <f>IF(D18=0,0,D18/TrRoad_act!D31*100)</f>
        <v>8.8211778348387675</v>
      </c>
      <c r="E61" s="32">
        <f>IF(E18=0,0,E18/TrRoad_act!E31*100)</f>
        <v>9.0251668475229501</v>
      </c>
      <c r="F61" s="32">
        <f>IF(F18=0,0,F18/TrRoad_act!F31*100)</f>
        <v>8.3713422947064338</v>
      </c>
      <c r="G61" s="32">
        <f>IF(G18=0,0,G18/TrRoad_act!G31*100)</f>
        <v>8.3406145341257503</v>
      </c>
      <c r="H61" s="32">
        <f>IF(H18=0,0,H18/TrRoad_act!H31*100)</f>
        <v>8.1095814484998492</v>
      </c>
      <c r="I61" s="32">
        <f>IF(I18=0,0,I18/TrRoad_act!I31*100)</f>
        <v>8.0799057141659389</v>
      </c>
      <c r="J61" s="32">
        <f>IF(J18=0,0,J18/TrRoad_act!J31*100)</f>
        <v>7.4670868066191263</v>
      </c>
      <c r="K61" s="32">
        <f>IF(K18=0,0,K18/TrRoad_act!K31*100)</f>
        <v>7.7323624493246976</v>
      </c>
      <c r="L61" s="32">
        <f>IF(L18=0,0,L18/TrRoad_act!L31*100)</f>
        <v>7.0296809779500977</v>
      </c>
      <c r="M61" s="32">
        <f>IF(M18=0,0,M18/TrRoad_act!M31*100)</f>
        <v>7.2494837853922691</v>
      </c>
      <c r="N61" s="32">
        <f>IF(N18=0,0,N18/TrRoad_act!N31*100)</f>
        <v>6.967080303584221</v>
      </c>
      <c r="O61" s="32">
        <f>IF(O18=0,0,O18/TrRoad_act!O31*100)</f>
        <v>6.9752328725590438</v>
      </c>
      <c r="P61" s="32">
        <f>IF(P18=0,0,P18/TrRoad_act!P31*100)</f>
        <v>6.832678446578254</v>
      </c>
      <c r="Q61" s="32">
        <f>IF(Q18=0,0,Q18/TrRoad_act!Q31*100)</f>
        <v>7.0180399193562417</v>
      </c>
      <c r="R61" s="32">
        <f>IF(R18=0,0,R18/TrRoad_act!R31*100)</f>
        <v>6.9664806788097655</v>
      </c>
      <c r="S61" s="32">
        <f>IF(S18=0,0,S18/TrRoad_act!S31*100)</f>
        <v>6.9273504110984891</v>
      </c>
      <c r="T61" s="32">
        <f>IF(T18=0,0,T18/TrRoad_act!T31*100)</f>
        <v>6.870725775261624</v>
      </c>
      <c r="U61" s="32">
        <f>IF(U18=0,0,U18/TrRoad_act!U31*100)</f>
        <v>6.8814771442159293</v>
      </c>
      <c r="V61" s="32">
        <f>IF(V18=0,0,V18/TrRoad_act!V31*100)</f>
        <v>6.4272855300323801</v>
      </c>
      <c r="W61" s="32">
        <f>IF(W18=0,0,W18/TrRoad_act!W31*100)</f>
        <v>6.5674737632960483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4.4585772010610487</v>
      </c>
      <c r="C62" s="141">
        <f>IF(C19=0,0,C19/TrRoad_act!C32*100)</f>
        <v>4.5682853753799391</v>
      </c>
      <c r="D62" s="141">
        <f>IF(D19=0,0,D19/TrRoad_act!D32*100)</f>
        <v>4.5338705270736162</v>
      </c>
      <c r="E62" s="141">
        <f>IF(E19=0,0,E19/TrRoad_act!E32*100)</f>
        <v>4.4813253039398804</v>
      </c>
      <c r="F62" s="141">
        <f>IF(F19=0,0,F19/TrRoad_act!F32*100)</f>
        <v>4.3471004696149311</v>
      </c>
      <c r="G62" s="141">
        <f>IF(G19=0,0,G19/TrRoad_act!G32*100)</f>
        <v>4.3741569252214667</v>
      </c>
      <c r="H62" s="141">
        <f>IF(H19=0,0,H19/TrRoad_act!H32*100)</f>
        <v>4.2116139420775065</v>
      </c>
      <c r="I62" s="141">
        <f>IF(I19=0,0,I19/TrRoad_act!I32*100)</f>
        <v>4.1204104752351425</v>
      </c>
      <c r="J62" s="141">
        <f>IF(J19=0,0,J19/TrRoad_act!J32*100)</f>
        <v>4.1338698368855429</v>
      </c>
      <c r="K62" s="141">
        <f>IF(K19=0,0,K19/TrRoad_act!K32*100)</f>
        <v>4.1456918833405085</v>
      </c>
      <c r="L62" s="141">
        <f>IF(L19=0,0,L19/TrRoad_act!L32*100)</f>
        <v>4.1062414389381736</v>
      </c>
      <c r="M62" s="141">
        <f>IF(M19=0,0,M19/TrRoad_act!M32*100)</f>
        <v>4.0555420416379588</v>
      </c>
      <c r="N62" s="141">
        <f>IF(N19=0,0,N19/TrRoad_act!N32*100)</f>
        <v>3.9804505348715407</v>
      </c>
      <c r="O62" s="141">
        <f>IF(O19=0,0,O19/TrRoad_act!O32*100)</f>
        <v>3.9072210851229436</v>
      </c>
      <c r="P62" s="141">
        <f>IF(P19=0,0,P19/TrRoad_act!P32*100)</f>
        <v>3.8227004594254237</v>
      </c>
      <c r="Q62" s="141">
        <f>IF(Q19=0,0,Q19/TrRoad_act!Q32*100)</f>
        <v>3.8965589594067214</v>
      </c>
      <c r="R62" s="141">
        <f>IF(R19=0,0,R19/TrRoad_act!R32*100)</f>
        <v>3.6632442869944826</v>
      </c>
      <c r="S62" s="141">
        <f>IF(S19=0,0,S19/TrRoad_act!S32*100)</f>
        <v>3.827846152449379</v>
      </c>
      <c r="T62" s="141">
        <f>IF(T19=0,0,T19/TrRoad_act!T32*100)</f>
        <v>3.7561097805368751</v>
      </c>
      <c r="U62" s="141">
        <f>IF(U19=0,0,U19/TrRoad_act!U32*100)</f>
        <v>3.7080141196107848</v>
      </c>
      <c r="V62" s="141">
        <f>IF(V19=0,0,V19/TrRoad_act!V32*100)</f>
        <v>3.4940298642615955</v>
      </c>
      <c r="W62" s="141">
        <f>IF(W19=0,0,W19/TrRoad_act!W32*100)</f>
        <v>3.4793567346179257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8.5814009569541962</v>
      </c>
      <c r="C63" s="130">
        <f>IF(C21=0,0,C21/TrRoad_act!C33*100)</f>
        <v>8.206916988752095</v>
      </c>
      <c r="D63" s="130">
        <f>IF(D21=0,0,D21/TrRoad_act!D33*100)</f>
        <v>8.0610299225638897</v>
      </c>
      <c r="E63" s="130">
        <f>IF(E21=0,0,E21/TrRoad_act!E33*100)</f>
        <v>7.9833655120935401</v>
      </c>
      <c r="F63" s="130">
        <f>IF(F21=0,0,F21/TrRoad_act!F33*100)</f>
        <v>7.7418314367882806</v>
      </c>
      <c r="G63" s="130">
        <f>IF(G21=0,0,G21/TrRoad_act!G33*100)</f>
        <v>7.6077317528868278</v>
      </c>
      <c r="H63" s="130">
        <f>IF(H21=0,0,H21/TrRoad_act!H33*100)</f>
        <v>7.4166360440731953</v>
      </c>
      <c r="I63" s="130">
        <f>IF(I21=0,0,I21/TrRoad_act!I33*100)</f>
        <v>7.4020236345871115</v>
      </c>
      <c r="J63" s="130">
        <f>IF(J21=0,0,J21/TrRoad_act!J33*100)</f>
        <v>6.8686063833261919</v>
      </c>
      <c r="K63" s="130">
        <f>IF(K21=0,0,K21/TrRoad_act!K33*100)</f>
        <v>6.9852449771670893</v>
      </c>
      <c r="L63" s="130">
        <f>IF(L21=0,0,L21/TrRoad_act!L33*100)</f>
        <v>6.4009355159243455</v>
      </c>
      <c r="M63" s="130">
        <f>IF(M21=0,0,M21/TrRoad_act!M33*100)</f>
        <v>6.553054351642615</v>
      </c>
      <c r="N63" s="130">
        <f>IF(N21=0,0,N21/TrRoad_act!N33*100)</f>
        <v>6.3979888084123751</v>
      </c>
      <c r="O63" s="130">
        <f>IF(O21=0,0,O21/TrRoad_act!O33*100)</f>
        <v>6.2255675158067127</v>
      </c>
      <c r="P63" s="130">
        <f>IF(P21=0,0,P21/TrRoad_act!P33*100)</f>
        <v>6.1313584811162984</v>
      </c>
      <c r="Q63" s="130">
        <f>IF(Q21=0,0,Q21/TrRoad_act!Q33*100)</f>
        <v>6.3978600033339976</v>
      </c>
      <c r="R63" s="130">
        <f>IF(R21=0,0,R21/TrRoad_act!R33*100)</f>
        <v>6.3878696482505521</v>
      </c>
      <c r="S63" s="130">
        <f>IF(S21=0,0,S21/TrRoad_act!S33*100)</f>
        <v>6.2817051990802781</v>
      </c>
      <c r="T63" s="130">
        <f>IF(T21=0,0,T21/TrRoad_act!T33*100)</f>
        <v>6.1760652946940935</v>
      </c>
      <c r="U63" s="130">
        <f>IF(U21=0,0,U21/TrRoad_act!U33*100)</f>
        <v>6.1907845271316573</v>
      </c>
      <c r="V63" s="130">
        <f>IF(V21=0,0,V21/TrRoad_act!V33*100)</f>
        <v>5.6250755406605641</v>
      </c>
      <c r="W63" s="130">
        <f>IF(W21=0,0,W21/TrRoad_act!W33*100)</f>
        <v>5.810089293550778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8.702951789950621</v>
      </c>
      <c r="C64" s="96">
        <f>IF(C22=0,0,C22/TrRoad_act!C34*100)</f>
        <v>8.2867511700756147</v>
      </c>
      <c r="D64" s="96">
        <f>IF(D22=0,0,D22/TrRoad_act!D34*100)</f>
        <v>8.1325983741574763</v>
      </c>
      <c r="E64" s="96">
        <f>IF(E22=0,0,E22/TrRoad_act!E34*100)</f>
        <v>8.0605646909931377</v>
      </c>
      <c r="F64" s="96">
        <f>IF(F22=0,0,F22/TrRoad_act!F34*100)</f>
        <v>7.7951300258605221</v>
      </c>
      <c r="G64" s="96">
        <f>IF(G22=0,0,G22/TrRoad_act!G34*100)</f>
        <v>7.650430745171116</v>
      </c>
      <c r="H64" s="96">
        <f>IF(H22=0,0,H22/TrRoad_act!H34*100)</f>
        <v>7.4556727158598708</v>
      </c>
      <c r="I64" s="96">
        <f>IF(I22=0,0,I22/TrRoad_act!I34*100)</f>
        <v>7.4306902729455127</v>
      </c>
      <c r="J64" s="96">
        <f>IF(J22=0,0,J22/TrRoad_act!J34*100)</f>
        <v>6.8842710250718531</v>
      </c>
      <c r="K64" s="96">
        <f>IF(K22=0,0,K22/TrRoad_act!K34*100)</f>
        <v>6.9823458533082068</v>
      </c>
      <c r="L64" s="96">
        <f>IF(L22=0,0,L22/TrRoad_act!L34*100)</f>
        <v>6.3510258857261706</v>
      </c>
      <c r="M64" s="96">
        <f>IF(M22=0,0,M22/TrRoad_act!M34*100)</f>
        <v>6.2948899807338945</v>
      </c>
      <c r="N64" s="96">
        <f>IF(N22=0,0,N22/TrRoad_act!N34*100)</f>
        <v>6.2546709626384072</v>
      </c>
      <c r="O64" s="96">
        <f>IF(O22=0,0,O22/TrRoad_act!O34*100)</f>
        <v>6.1315546091900384</v>
      </c>
      <c r="P64" s="96">
        <f>IF(P22=0,0,P22/TrRoad_act!P34*100)</f>
        <v>6.0475921544553568</v>
      </c>
      <c r="Q64" s="96">
        <f>IF(Q22=0,0,Q22/TrRoad_act!Q34*100)</f>
        <v>5.87700584100382</v>
      </c>
      <c r="R64" s="96">
        <f>IF(R22=0,0,R22/TrRoad_act!R34*100)</f>
        <v>5.8832718839921476</v>
      </c>
      <c r="S64" s="96">
        <f>IF(S22=0,0,S22/TrRoad_act!S34*100)</f>
        <v>5.6995300624291962</v>
      </c>
      <c r="T64" s="96">
        <f>IF(T22=0,0,T22/TrRoad_act!T34*100)</f>
        <v>5.6213148687086827</v>
      </c>
      <c r="U64" s="96">
        <f>IF(U22=0,0,U22/TrRoad_act!U34*100)</f>
        <v>5.616615206224516</v>
      </c>
      <c r="V64" s="96">
        <f>IF(V22=0,0,V22/TrRoad_act!V34*100)</f>
        <v>5.1074628133913942</v>
      </c>
      <c r="W64" s="96">
        <f>IF(W22=0,0,W22/TrRoad_act!W34*100)</f>
        <v>5.2904348530697547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6.9063732446517925</v>
      </c>
      <c r="C65" s="96">
        <f>IF(C24=0,0,C24/TrRoad_act!C35*100)</f>
        <v>6.8418045425703022</v>
      </c>
      <c r="D65" s="96">
        <f>IF(D24=0,0,D24/TrRoad_act!D35*100)</f>
        <v>6.7338449411733183</v>
      </c>
      <c r="E65" s="96">
        <f>IF(E24=0,0,E24/TrRoad_act!E35*100)</f>
        <v>6.653401845706056</v>
      </c>
      <c r="F65" s="96">
        <f>IF(F24=0,0,F24/TrRoad_act!F35*100)</f>
        <v>6.6170122826196911</v>
      </c>
      <c r="G65" s="96">
        <f>IF(G24=0,0,G24/TrRoad_act!G35*100)</f>
        <v>6.6451131158422845</v>
      </c>
      <c r="H65" s="96">
        <f>IF(H24=0,0,H24/TrRoad_act!H35*100)</f>
        <v>6.5725437331512886</v>
      </c>
      <c r="I65" s="96">
        <f>IF(I24=0,0,I24/TrRoad_act!I35*100)</f>
        <v>6.7544573777972436</v>
      </c>
      <c r="J65" s="96">
        <f>IF(J24=0,0,J24/TrRoad_act!J35*100)</f>
        <v>6.4013592788231417</v>
      </c>
      <c r="K65" s="96">
        <f>IF(K24=0,0,K24/TrRoad_act!K35*100)</f>
        <v>6.9039473031504235</v>
      </c>
      <c r="L65" s="96">
        <f>IF(L24=0,0,L24/TrRoad_act!L35*100)</f>
        <v>6.9222117302058681</v>
      </c>
      <c r="M65" s="96">
        <f>IF(M24=0,0,M24/TrRoad_act!M35*100)</f>
        <v>7.1920694590353884</v>
      </c>
      <c r="N65" s="96">
        <f>IF(N24=0,0,N24/TrRoad_act!N35*100)</f>
        <v>8.1657610410730364</v>
      </c>
      <c r="O65" s="96">
        <f>IF(O24=0,0,O24/TrRoad_act!O35*100)</f>
        <v>5.4162801062801762</v>
      </c>
      <c r="P65" s="96">
        <f>IF(P24=0,0,P24/TrRoad_act!P35*100)</f>
        <v>5.2213395058031065</v>
      </c>
      <c r="Q65" s="96">
        <f>IF(Q24=0,0,Q24/TrRoad_act!Q35*100)</f>
        <v>10.910398493634531</v>
      </c>
      <c r="R65" s="96">
        <f>IF(R24=0,0,R24/TrRoad_act!R35*100)</f>
        <v>10.120576272378871</v>
      </c>
      <c r="S65" s="96">
        <f>IF(S24=0,0,S24/TrRoad_act!S35*100)</f>
        <v>9.8587443522411817</v>
      </c>
      <c r="T65" s="96">
        <f>IF(T24=0,0,T24/TrRoad_act!T35*100)</f>
        <v>8.7012639321702956</v>
      </c>
      <c r="U65" s="96">
        <f>IF(U24=0,0,U24/TrRoad_act!U35*100)</f>
        <v>8.1945048400307243</v>
      </c>
      <c r="V65" s="96">
        <f>IF(V24=0,0,V24/TrRoad_act!V35*100)</f>
        <v>6.850256400501296</v>
      </c>
      <c r="W65" s="96">
        <f>IF(W24=0,0,W24/TrRoad_act!W35*100)</f>
        <v>7.2013740842718876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9.2167119620874125</v>
      </c>
      <c r="C66" s="96">
        <f>IF(C26=0,0,C26/TrRoad_act!C36*100)</f>
        <v>10.067371683745577</v>
      </c>
      <c r="D66" s="96">
        <f>IF(D26=0,0,D26/TrRoad_act!D36*100)</f>
        <v>10.282261933710519</v>
      </c>
      <c r="E66" s="96">
        <f>IF(E26=0,0,E26/TrRoad_act!E36*100)</f>
        <v>9.274397021362315</v>
      </c>
      <c r="F66" s="96">
        <f>IF(F26=0,0,F26/TrRoad_act!F36*100)</f>
        <v>9.2978805204053305</v>
      </c>
      <c r="G66" s="96">
        <f>IF(G26=0,0,G26/TrRoad_act!G36*100)</f>
        <v>9.3086979301491048</v>
      </c>
      <c r="H66" s="96">
        <f>IF(H26=0,0,H26/TrRoad_act!H36*100)</f>
        <v>9.216074639756954</v>
      </c>
      <c r="I66" s="96">
        <f>IF(I26=0,0,I26/TrRoad_act!I36*100)</f>
        <v>9.070228293722792</v>
      </c>
      <c r="J66" s="96">
        <f>IF(J26=0,0,J26/TrRoad_act!J36*100)</f>
        <v>8.9909211972155898</v>
      </c>
      <c r="K66" s="96">
        <f>IF(K26=0,0,K26/TrRoad_act!K36*100)</f>
        <v>8.4900514667195424</v>
      </c>
      <c r="L66" s="96">
        <f>IF(L26=0,0,L26/TrRoad_act!L36*100)</f>
        <v>8.2881362601235615</v>
      </c>
      <c r="M66" s="96">
        <f>IF(M26=0,0,M26/TrRoad_act!M36*100)</f>
        <v>13.642449415308075</v>
      </c>
      <c r="N66" s="96">
        <f>IF(N26=0,0,N26/TrRoad_act!N36*100)</f>
        <v>8.297222051924301</v>
      </c>
      <c r="O66" s="96">
        <f>IF(O26=0,0,O26/TrRoad_act!O36*100)</f>
        <v>8.1512531272409809</v>
      </c>
      <c r="P66" s="96">
        <f>IF(P26=0,0,P26/TrRoad_act!P36*100)</f>
        <v>8.1388268713912701</v>
      </c>
      <c r="Q66" s="96">
        <f>IF(Q26=0,0,Q26/TrRoad_act!Q36*100)</f>
        <v>8.202482841352257</v>
      </c>
      <c r="R66" s="96">
        <f>IF(R26=0,0,R26/TrRoad_act!R36*100)</f>
        <v>7.4512046794555324</v>
      </c>
      <c r="S66" s="96">
        <f>IF(S26=0,0,S26/TrRoad_act!S36*100)</f>
        <v>7.3327352572812243</v>
      </c>
      <c r="T66" s="96">
        <f>IF(T26=0,0,T26/TrRoad_act!T36*100)</f>
        <v>7.2977019946537753</v>
      </c>
      <c r="U66" s="96">
        <f>IF(U26=0,0,U26/TrRoad_act!U36*100)</f>
        <v>7.3510043632280055</v>
      </c>
      <c r="V66" s="96">
        <f>IF(V26=0,0,V26/TrRoad_act!V36*100)</f>
        <v>7.2311026887152181</v>
      </c>
      <c r="W66" s="96">
        <f>IF(W26=0,0,W26/TrRoad_act!W36*100)</f>
        <v>7.229180668184811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9.0361099510594407</v>
      </c>
      <c r="D67" s="96">
        <f>IF(D27=0,0,D27/TrRoad_act!D37*100)</f>
        <v>9.0196275340999321</v>
      </c>
      <c r="E67" s="96">
        <f>IF(E27=0,0,E27/TrRoad_act!E37*100)</f>
        <v>9.0064722620592903</v>
      </c>
      <c r="F67" s="96">
        <f>IF(F27=0,0,F27/TrRoad_act!F37*100)</f>
        <v>9.0052086623501602</v>
      </c>
      <c r="G67" s="96">
        <f>IF(G27=0,0,G27/TrRoad_act!G37*100)</f>
        <v>8.9788902420350514</v>
      </c>
      <c r="H67" s="96">
        <f>IF(H27=0,0,H27/TrRoad_act!H37*100)</f>
        <v>8.952176980049579</v>
      </c>
      <c r="I67" s="96">
        <f>IF(I27=0,0,I27/TrRoad_act!I37*100)</f>
        <v>8.8818458788212382</v>
      </c>
      <c r="J67" s="96">
        <f>IF(J27=0,0,J27/TrRoad_act!J37*100)</f>
        <v>8.8644272458265672</v>
      </c>
      <c r="K67" s="96">
        <f>IF(K27=0,0,K27/TrRoad_act!K37*100)</f>
        <v>8.494472754214847</v>
      </c>
      <c r="L67" s="96">
        <f>IF(L27=0,0,L27/TrRoad_act!L37*100)</f>
        <v>8.2805945024285066</v>
      </c>
      <c r="M67" s="96">
        <f>IF(M27=0,0,M27/TrRoad_act!M37*100)</f>
        <v>8.0911663936364278</v>
      </c>
      <c r="N67" s="96">
        <f>IF(N27=0,0,N27/TrRoad_act!N37*100)</f>
        <v>8.0341318931973689</v>
      </c>
      <c r="O67" s="96">
        <f>IF(O27=0,0,O27/TrRoad_act!O37*100)</f>
        <v>7.9842996343523405</v>
      </c>
      <c r="P67" s="96">
        <f>IF(P27=0,0,P27/TrRoad_act!P37*100)</f>
        <v>7.9473116541549897</v>
      </c>
      <c r="Q67" s="96">
        <f>IF(Q27=0,0,Q27/TrRoad_act!Q37*100)</f>
        <v>7.3383915972218894</v>
      </c>
      <c r="R67" s="96">
        <f>IF(R27=0,0,R27/TrRoad_act!R37*100)</f>
        <v>7.1045665668130393</v>
      </c>
      <c r="S67" s="96">
        <f>IF(S27=0,0,S27/TrRoad_act!S37*100)</f>
        <v>6.9726279714531101</v>
      </c>
      <c r="T67" s="96">
        <f>IF(T27=0,0,T27/TrRoad_act!T37*100)</f>
        <v>6.7829616681689435</v>
      </c>
      <c r="U67" s="96">
        <f>IF(U27=0,0,U27/TrRoad_act!U37*100)</f>
        <v>6.4538822595499239</v>
      </c>
      <c r="V67" s="96">
        <f>IF(V27=0,0,V27/TrRoad_act!V37*100)</f>
        <v>5.6728475256965787</v>
      </c>
      <c r="W67" s="96">
        <f>IF(W27=0,0,W27/TrRoad_act!W37*100)</f>
        <v>5.1037560649593647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2.4365935700466581</v>
      </c>
      <c r="O68" s="96">
        <f>IF(O29=0,0,O29/TrRoad_act!O38*100)</f>
        <v>1.5008783772672463</v>
      </c>
      <c r="P68" s="96">
        <f>IF(P29=0,0,P29/TrRoad_act!P38*100)</f>
        <v>1.9418311428162971</v>
      </c>
      <c r="Q68" s="96">
        <f>IF(Q29=0,0,Q29/TrRoad_act!Q38*100)</f>
        <v>2.1981972409078741</v>
      </c>
      <c r="R68" s="96">
        <f>IF(R29=0,0,R29/TrRoad_act!R38*100)</f>
        <v>3.0071626622814573</v>
      </c>
      <c r="S68" s="96">
        <f>IF(S29=0,0,S29/TrRoad_act!S38*100)</f>
        <v>3.201650454880498</v>
      </c>
      <c r="T68" s="96">
        <f>IF(T29=0,0,T29/TrRoad_act!T38*100)</f>
        <v>3.4131090239552706</v>
      </c>
      <c r="U68" s="96">
        <f>IF(U29=0,0,U29/TrRoad_act!U38*100)</f>
        <v>3.5388975972658692</v>
      </c>
      <c r="V68" s="96">
        <f>IF(V29=0,0,V29/TrRoad_act!V38*100)</f>
        <v>3.1418667606049464</v>
      </c>
      <c r="W68" s="96">
        <f>IF(W29=0,0,W29/TrRoad_act!W38*100)</f>
        <v>2.9042660883762985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0</v>
      </c>
      <c r="L69" s="96">
        <f>IF(L32=0,0,L32/TrRoad_act!L39*100)</f>
        <v>0</v>
      </c>
      <c r="M69" s="96">
        <f>IF(M32=0,0,M32/TrRoad_act!M39*100)</f>
        <v>0</v>
      </c>
      <c r="N69" s="96">
        <f>IF(N32=0,0,N32/TrRoad_act!N39*100)</f>
        <v>1.1436115978127528</v>
      </c>
      <c r="O69" s="96">
        <f>IF(O32=0,0,O32/TrRoad_act!O39*100)</f>
        <v>1.1970365661863187</v>
      </c>
      <c r="P69" s="96">
        <f>IF(P32=0,0,P32/TrRoad_act!P39*100)</f>
        <v>1.1948035901846581</v>
      </c>
      <c r="Q69" s="96">
        <f>IF(Q32=0,0,Q32/TrRoad_act!Q39*100)</f>
        <v>1.2563290846085551</v>
      </c>
      <c r="R69" s="96">
        <f>IF(R32=0,0,R32/TrRoad_act!R39*100)</f>
        <v>1.265842941339725</v>
      </c>
      <c r="S69" s="96">
        <f>IF(S32=0,0,S32/TrRoad_act!S39*100)</f>
        <v>1.2527019425178616</v>
      </c>
      <c r="T69" s="96">
        <f>IF(T32=0,0,T32/TrRoad_act!T39*100)</f>
        <v>1.2808860420162269</v>
      </c>
      <c r="U69" s="96">
        <f>IF(U32=0,0,U32/TrRoad_act!U39*100)</f>
        <v>1.4644725662055018</v>
      </c>
      <c r="V69" s="96">
        <f>IF(V32=0,0,V32/TrRoad_act!V39*100)</f>
        <v>1.602724846323901</v>
      </c>
      <c r="W69" s="96">
        <f>IF(W32=0,0,W32/TrRoad_act!W39*100)</f>
        <v>1.5875888247131023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72.63657970318225</v>
      </c>
      <c r="C70" s="130">
        <f>IF(C33=0,0,C33/TrRoad_act!C40*100)</f>
        <v>69.321498746495379</v>
      </c>
      <c r="D70" s="130">
        <f>IF(D33=0,0,D33/TrRoad_act!D40*100)</f>
        <v>67.725498050828207</v>
      </c>
      <c r="E70" s="130">
        <f>IF(E33=0,0,E33/TrRoad_act!E40*100)</f>
        <v>86.520002768589762</v>
      </c>
      <c r="F70" s="130">
        <f>IF(F33=0,0,F33/TrRoad_act!F40*100)</f>
        <v>65.807935197399729</v>
      </c>
      <c r="G70" s="130">
        <f>IF(G33=0,0,G33/TrRoad_act!G40*100)</f>
        <v>73.280043285058923</v>
      </c>
      <c r="H70" s="130">
        <f>IF(H33=0,0,H33/TrRoad_act!H40*100)</f>
        <v>69.491538731917416</v>
      </c>
      <c r="I70" s="130">
        <f>IF(I33=0,0,I33/TrRoad_act!I40*100)</f>
        <v>71.42944731020134</v>
      </c>
      <c r="J70" s="130">
        <f>IF(J33=0,0,J33/TrRoad_act!J40*100)</f>
        <v>67.024099312480757</v>
      </c>
      <c r="K70" s="130">
        <f>IF(K33=0,0,K33/TrRoad_act!K40*100)</f>
        <v>81.385730380900867</v>
      </c>
      <c r="L70" s="130">
        <f>IF(L33=0,0,L33/TrRoad_act!L40*100)</f>
        <v>70.974215910571317</v>
      </c>
      <c r="M70" s="130">
        <f>IF(M33=0,0,M33/TrRoad_act!M40*100)</f>
        <v>74.722094220680603</v>
      </c>
      <c r="N70" s="130">
        <f>IF(N33=0,0,N33/TrRoad_act!N40*100)</f>
        <v>61.948658594298514</v>
      </c>
      <c r="O70" s="130">
        <f>IF(O33=0,0,O33/TrRoad_act!O40*100)</f>
        <v>70.723741903902422</v>
      </c>
      <c r="P70" s="130">
        <f>IF(P33=0,0,P33/TrRoad_act!P40*100)</f>
        <v>68.498890538463726</v>
      </c>
      <c r="Q70" s="130">
        <f>IF(Q33=0,0,Q33/TrRoad_act!Q40*100)</f>
        <v>65.868361648907594</v>
      </c>
      <c r="R70" s="130">
        <f>IF(R33=0,0,R33/TrRoad_act!R40*100)</f>
        <v>67.541913614631099</v>
      </c>
      <c r="S70" s="130">
        <f>IF(S33=0,0,S33/TrRoad_act!S40*100)</f>
        <v>69.091743779454504</v>
      </c>
      <c r="T70" s="130">
        <f>IF(T33=0,0,T33/TrRoad_act!T40*100)</f>
        <v>70.359787242016068</v>
      </c>
      <c r="U70" s="130">
        <f>IF(U33=0,0,U33/TrRoad_act!U40*100)</f>
        <v>73.748433683209583</v>
      </c>
      <c r="V70" s="130">
        <f>IF(V33=0,0,V33/TrRoad_act!V40*100)</f>
        <v>71.619932693207573</v>
      </c>
      <c r="W70" s="130">
        <f>IF(W33=0,0,W33/TrRoad_act!W40*100)</f>
        <v>72.626404525465034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0</v>
      </c>
      <c r="C71" s="97">
        <f>IF(C34=0,0,C34/TrRoad_act!C41*100)</f>
        <v>0</v>
      </c>
      <c r="D71" s="97">
        <f>IF(D34=0,0,D34/TrRoad_act!D41*100)</f>
        <v>0</v>
      </c>
      <c r="E71" s="97">
        <f>IF(E34=0,0,E34/TrRoad_act!E41*100)</f>
        <v>0</v>
      </c>
      <c r="F71" s="97">
        <f>IF(F34=0,0,F34/TrRoad_act!F41*100)</f>
        <v>0</v>
      </c>
      <c r="G71" s="97">
        <f>IF(G34=0,0,G34/TrRoad_act!G41*100)</f>
        <v>0</v>
      </c>
      <c r="H71" s="97">
        <f>IF(H34=0,0,H34/TrRoad_act!H41*100)</f>
        <v>0</v>
      </c>
      <c r="I71" s="97">
        <f>IF(I34=0,0,I34/TrRoad_act!I41*100)</f>
        <v>0</v>
      </c>
      <c r="J71" s="97">
        <f>IF(J34=0,0,J34/TrRoad_act!J41*100)</f>
        <v>0</v>
      </c>
      <c r="K71" s="97">
        <f>IF(K34=0,0,K34/TrRoad_act!K41*100)</f>
        <v>0</v>
      </c>
      <c r="L71" s="97">
        <f>IF(L34=0,0,L34/TrRoad_act!L41*100)</f>
        <v>0</v>
      </c>
      <c r="M71" s="97">
        <f>IF(M34=0,0,M34/TrRoad_act!M41*100)</f>
        <v>0</v>
      </c>
      <c r="N71" s="97">
        <f>IF(N34=0,0,N34/TrRoad_act!N41*100)</f>
        <v>0</v>
      </c>
      <c r="O71" s="97">
        <f>IF(O34=0,0,O34/TrRoad_act!O41*100)</f>
        <v>0</v>
      </c>
      <c r="P71" s="97">
        <f>IF(P34=0,0,P34/TrRoad_act!P41*100)</f>
        <v>0</v>
      </c>
      <c r="Q71" s="97">
        <f>IF(Q34=0,0,Q34/TrRoad_act!Q41*100)</f>
        <v>0</v>
      </c>
      <c r="R71" s="97">
        <f>IF(R34=0,0,R34/TrRoad_act!R41*100)</f>
        <v>0</v>
      </c>
      <c r="S71" s="97">
        <f>IF(S34=0,0,S34/TrRoad_act!S41*100)</f>
        <v>0</v>
      </c>
      <c r="T71" s="97">
        <f>IF(T34=0,0,T34/TrRoad_act!T41*100)</f>
        <v>0</v>
      </c>
      <c r="U71" s="97">
        <f>IF(U34=0,0,U34/TrRoad_act!U41*100)</f>
        <v>0</v>
      </c>
      <c r="V71" s="97">
        <f>IF(V34=0,0,V34/TrRoad_act!V41*100)</f>
        <v>0</v>
      </c>
      <c r="W71" s="97">
        <f>IF(W34=0,0,W34/TrRoad_act!W41*100)</f>
        <v>0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72.63657970318225</v>
      </c>
      <c r="C72" s="97">
        <f>IF(C36=0,0,C36/TrRoad_act!C42*100)</f>
        <v>69.719587172522765</v>
      </c>
      <c r="D72" s="97">
        <f>IF(D36=0,0,D36/TrRoad_act!D42*100)</f>
        <v>68.284072518666704</v>
      </c>
      <c r="E72" s="97">
        <f>IF(E36=0,0,E36/TrRoad_act!E42*100)</f>
        <v>87.618766902763895</v>
      </c>
      <c r="F72" s="97">
        <f>IF(F36=0,0,F36/TrRoad_act!F42*100)</f>
        <v>66.374606809721698</v>
      </c>
      <c r="G72" s="97">
        <f>IF(G36=0,0,G36/TrRoad_act!G42*100)</f>
        <v>74.033900961741779</v>
      </c>
      <c r="H72" s="97">
        <f>IF(H36=0,0,H36/TrRoad_act!H42*100)</f>
        <v>70.170895200830998</v>
      </c>
      <c r="I72" s="97">
        <f>IF(I36=0,0,I36/TrRoad_act!I42*100)</f>
        <v>72.302613536995523</v>
      </c>
      <c r="J72" s="97">
        <f>IF(J36=0,0,J36/TrRoad_act!J42*100)</f>
        <v>67.822439691447158</v>
      </c>
      <c r="K72" s="97">
        <f>IF(K36=0,0,K36/TrRoad_act!K42*100)</f>
        <v>82.529983698366266</v>
      </c>
      <c r="L72" s="97">
        <f>IF(L36=0,0,L36/TrRoad_act!L42*100)</f>
        <v>71.803414458166912</v>
      </c>
      <c r="M72" s="97">
        <f>IF(M36=0,0,M36/TrRoad_act!M42*100)</f>
        <v>75.54069639297947</v>
      </c>
      <c r="N72" s="97">
        <f>IF(N36=0,0,N36/TrRoad_act!N42*100)</f>
        <v>62.381797093505831</v>
      </c>
      <c r="O72" s="97">
        <f>IF(O36=0,0,O36/TrRoad_act!O42*100)</f>
        <v>71.452999219300494</v>
      </c>
      <c r="P72" s="97">
        <f>IF(P36=0,0,P36/TrRoad_act!P42*100)</f>
        <v>69.164532447418381</v>
      </c>
      <c r="Q72" s="97">
        <f>IF(Q36=0,0,Q36/TrRoad_act!Q42*100)</f>
        <v>66.429604783342768</v>
      </c>
      <c r="R72" s="97">
        <f>IF(R36=0,0,R36/TrRoad_act!R42*100)</f>
        <v>67.702882576553719</v>
      </c>
      <c r="S72" s="97">
        <f>IF(S36=0,0,S36/TrRoad_act!S42*100)</f>
        <v>69.872048327872463</v>
      </c>
      <c r="T72" s="97">
        <f>IF(T36=0,0,T36/TrRoad_act!T42*100)</f>
        <v>71.239529999570522</v>
      </c>
      <c r="U72" s="97">
        <f>IF(U36=0,0,U36/TrRoad_act!U42*100)</f>
        <v>74.665492024949003</v>
      </c>
      <c r="V72" s="97">
        <f>IF(V36=0,0,V36/TrRoad_act!V42*100)</f>
        <v>72.819482697148388</v>
      </c>
      <c r="W72" s="97">
        <f>IF(W36=0,0,W36/TrRoad_act!W42*100)</f>
        <v>73.882188758386462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0</v>
      </c>
      <c r="U73" s="97">
        <f>IF(U38=0,0,U38/TrRoad_act!U43*100)</f>
        <v>0</v>
      </c>
      <c r="V73" s="97">
        <f>IF(V38=0,0,V38/TrRoad_act!V43*100)</f>
        <v>0</v>
      </c>
      <c r="W73" s="97">
        <f>IF(W38=0,0,W38/TrRoad_act!W43*100)</f>
        <v>0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43.322455460691408</v>
      </c>
      <c r="D74" s="97">
        <f>IF(D39=0,0,D39/TrRoad_act!D44*100)</f>
        <v>43.961504556047579</v>
      </c>
      <c r="E74" s="97">
        <f>IF(E39=0,0,E39/TrRoad_act!E44*100)</f>
        <v>43.938923806480318</v>
      </c>
      <c r="F74" s="97">
        <f>IF(F39=0,0,F39/TrRoad_act!F44*100)</f>
        <v>43.92051073205559</v>
      </c>
      <c r="G74" s="97">
        <f>IF(G39=0,0,G39/TrRoad_act!G44*100)</f>
        <v>45.841593134177252</v>
      </c>
      <c r="H74" s="97">
        <f>IF(H39=0,0,H39/TrRoad_act!H44*100)</f>
        <v>45.516926902635468</v>
      </c>
      <c r="I74" s="97">
        <f>IF(I39=0,0,I39/TrRoad_act!I44*100)</f>
        <v>45.001995617022402</v>
      </c>
      <c r="J74" s="97">
        <f>IF(J39=0,0,J39/TrRoad_act!J44*100)</f>
        <v>43.88501812367911</v>
      </c>
      <c r="K74" s="97">
        <f>IF(K39=0,0,K39/TrRoad_act!K44*100)</f>
        <v>46.79986830458158</v>
      </c>
      <c r="L74" s="97">
        <f>IF(L39=0,0,L39/TrRoad_act!L44*100)</f>
        <v>44.834664992233179</v>
      </c>
      <c r="M74" s="97">
        <f>IF(M39=0,0,M39/TrRoad_act!M44*100)</f>
        <v>48.218608787068156</v>
      </c>
      <c r="N74" s="97">
        <f>IF(N39=0,0,N39/TrRoad_act!N44*100)</f>
        <v>47.913418585018405</v>
      </c>
      <c r="O74" s="97">
        <f>IF(O39=0,0,O39/TrRoad_act!O44*100)</f>
        <v>45.696977254631769</v>
      </c>
      <c r="P74" s="97">
        <f>IF(P39=0,0,P39/TrRoad_act!P44*100)</f>
        <v>46.149132289788007</v>
      </c>
      <c r="Q74" s="97">
        <f>IF(Q39=0,0,Q39/TrRoad_act!Q44*100)</f>
        <v>48.28389889471579</v>
      </c>
      <c r="R74" s="97">
        <f>IF(R39=0,0,R39/TrRoad_act!R44*100)</f>
        <v>62.635181465108715</v>
      </c>
      <c r="S74" s="97">
        <f>IF(S39=0,0,S39/TrRoad_act!S44*100)</f>
        <v>43.249712211363835</v>
      </c>
      <c r="T74" s="97">
        <f>IF(T39=0,0,T39/TrRoad_act!T44*100)</f>
        <v>45.653905439151984</v>
      </c>
      <c r="U74" s="97">
        <f>IF(U39=0,0,U39/TrRoad_act!U44*100)</f>
        <v>50.554926841362025</v>
      </c>
      <c r="V74" s="97">
        <f>IF(V39=0,0,V39/TrRoad_act!V44*100)</f>
        <v>44.595846135639036</v>
      </c>
      <c r="W74" s="97">
        <f>IF(W39=0,0,W39/TrRoad_act!W44*100)</f>
        <v>47.447946866743038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0</v>
      </c>
      <c r="K75" s="97">
        <f>IF(K41=0,0,K41/TrRoad_act!K45*100)</f>
        <v>0</v>
      </c>
      <c r="L75" s="97">
        <f>IF(L41=0,0,L41/TrRoad_act!L45*100)</f>
        <v>0</v>
      </c>
      <c r="M75" s="97">
        <f>IF(M41=0,0,M41/TrRoad_act!M45*100)</f>
        <v>0</v>
      </c>
      <c r="N75" s="97">
        <f>IF(N41=0,0,N41/TrRoad_act!N45*100)</f>
        <v>0</v>
      </c>
      <c r="O75" s="97">
        <f>IF(O41=0,0,O41/TrRoad_act!O45*100)</f>
        <v>0</v>
      </c>
      <c r="P75" s="97">
        <f>IF(P41=0,0,P41/TrRoad_act!P45*100)</f>
        <v>0</v>
      </c>
      <c r="Q75" s="97">
        <f>IF(Q41=0,0,Q41/TrRoad_act!Q45*100)</f>
        <v>0</v>
      </c>
      <c r="R75" s="97">
        <f>IF(R41=0,0,R41/TrRoad_act!R45*100)</f>
        <v>0</v>
      </c>
      <c r="S75" s="97">
        <f>IF(S41=0,0,S41/TrRoad_act!S45*100)</f>
        <v>0</v>
      </c>
      <c r="T75" s="97">
        <f>IF(T41=0,0,T41/TrRoad_act!T45*100)</f>
        <v>0</v>
      </c>
      <c r="U75" s="97">
        <f>IF(U41=0,0,U41/TrRoad_act!U45*100)</f>
        <v>35.377026374515118</v>
      </c>
      <c r="V75" s="97">
        <f>IF(V41=0,0,V41/TrRoad_act!V45*100)</f>
        <v>35.377026374515118</v>
      </c>
      <c r="W75" s="97">
        <f>IF(W41=0,0,W41/TrRoad_act!W45*100)</f>
        <v>35.377026374515118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21.185813463553188</v>
      </c>
      <c r="C76" s="32">
        <f>IF(C42=0,0,C42/TrRoad_act!C46*100)</f>
        <v>20.684343724944863</v>
      </c>
      <c r="D76" s="32">
        <f>IF(D42=0,0,D42/TrRoad_act!D46*100)</f>
        <v>20.122978517189441</v>
      </c>
      <c r="E76" s="32">
        <f>IF(E42=0,0,E42/TrRoad_act!E46*100)</f>
        <v>21.381340870474396</v>
      </c>
      <c r="F76" s="32">
        <f>IF(F42=0,0,F42/TrRoad_act!F46*100)</f>
        <v>19.69406728690938</v>
      </c>
      <c r="G76" s="32">
        <f>IF(G42=0,0,G42/TrRoad_act!G46*100)</f>
        <v>19.849177941292602</v>
      </c>
      <c r="H76" s="32">
        <f>IF(H42=0,0,H42/TrRoad_act!H46*100)</f>
        <v>19.598399527716239</v>
      </c>
      <c r="I76" s="32">
        <f>IF(I42=0,0,I42/TrRoad_act!I46*100)</f>
        <v>19.230569843092667</v>
      </c>
      <c r="J76" s="32">
        <f>IF(J42=0,0,J42/TrRoad_act!J46*100)</f>
        <v>18.576695270722148</v>
      </c>
      <c r="K76" s="32">
        <f>IF(K42=0,0,K42/TrRoad_act!K46*100)</f>
        <v>22.161584713754216</v>
      </c>
      <c r="L76" s="32">
        <f>IF(L42=0,0,L42/TrRoad_act!L46*100)</f>
        <v>19.572586893776492</v>
      </c>
      <c r="M76" s="32">
        <f>IF(M42=0,0,M42/TrRoad_act!M46*100)</f>
        <v>19.208366365176364</v>
      </c>
      <c r="N76" s="32">
        <f>IF(N42=0,0,N42/TrRoad_act!N46*100)</f>
        <v>16.706296770507091</v>
      </c>
      <c r="O76" s="32">
        <f>IF(O42=0,0,O42/TrRoad_act!O46*100)</f>
        <v>17.758037607638464</v>
      </c>
      <c r="P76" s="32">
        <f>IF(P42=0,0,P42/TrRoad_act!P46*100)</f>
        <v>17.768369278605881</v>
      </c>
      <c r="Q76" s="32">
        <f>IF(Q42=0,0,Q42/TrRoad_act!Q46*100)</f>
        <v>14.62294212885547</v>
      </c>
      <c r="R76" s="32">
        <f>IF(R42=0,0,R42/TrRoad_act!R46*100)</f>
        <v>14.335291459415805</v>
      </c>
      <c r="S76" s="32">
        <f>IF(S42=0,0,S42/TrRoad_act!S46*100)</f>
        <v>14.924063617802275</v>
      </c>
      <c r="T76" s="32">
        <f>IF(T42=0,0,T42/TrRoad_act!T46*100)</f>
        <v>15.14067646272405</v>
      </c>
      <c r="U76" s="32">
        <f>IF(U42=0,0,U42/TrRoad_act!U46*100)</f>
        <v>15.50534012431924</v>
      </c>
      <c r="V76" s="32">
        <f>IF(V42=0,0,V42/TrRoad_act!V46*100)</f>
        <v>15.870869961854444</v>
      </c>
      <c r="W76" s="32">
        <f>IF(W42=0,0,W42/TrRoad_act!W46*100)</f>
        <v>15.468356830793024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12.827976828252179</v>
      </c>
      <c r="C77" s="141">
        <f>IF(C43=0,0,C43/TrRoad_act!C47*100)</f>
        <v>12.299454011694822</v>
      </c>
      <c r="D77" s="141">
        <f>IF(D43=0,0,D43/TrRoad_act!D47*100)</f>
        <v>11.837300285848652</v>
      </c>
      <c r="E77" s="141">
        <f>IF(E43=0,0,E43/TrRoad_act!E47*100)</f>
        <v>11.378187309633063</v>
      </c>
      <c r="F77" s="141">
        <f>IF(F43=0,0,F43/TrRoad_act!F47*100)</f>
        <v>11.063369740972961</v>
      </c>
      <c r="G77" s="141">
        <f>IF(G43=0,0,G43/TrRoad_act!G47*100)</f>
        <v>10.77913781260051</v>
      </c>
      <c r="H77" s="141">
        <f>IF(H43=0,0,H43/TrRoad_act!H47*100)</f>
        <v>10.412935453616855</v>
      </c>
      <c r="I77" s="141">
        <f>IF(I43=0,0,I43/TrRoad_act!I47*100)</f>
        <v>10.067334947792046</v>
      </c>
      <c r="J77" s="141">
        <f>IF(J43=0,0,J43/TrRoad_act!J47*100)</f>
        <v>9.8361937466013529</v>
      </c>
      <c r="K77" s="141">
        <f>IF(K43=0,0,K43/TrRoad_act!K47*100)</f>
        <v>9.5791390578817257</v>
      </c>
      <c r="L77" s="141">
        <f>IF(L43=0,0,L43/TrRoad_act!L47*100)</f>
        <v>9.3982398764859933</v>
      </c>
      <c r="M77" s="141">
        <f>IF(M43=0,0,M43/TrRoad_act!M47*100)</f>
        <v>9.2883134316774925</v>
      </c>
      <c r="N77" s="141">
        <f>IF(N43=0,0,N43/TrRoad_act!N47*100)</f>
        <v>9.2103771332156796</v>
      </c>
      <c r="O77" s="141">
        <f>IF(O43=0,0,O43/TrRoad_act!O47*100)</f>
        <v>9.0553146175212049</v>
      </c>
      <c r="P77" s="141">
        <f>IF(P43=0,0,P43/TrRoad_act!P47*100)</f>
        <v>8.963524844366642</v>
      </c>
      <c r="Q77" s="141">
        <f>IF(Q43=0,0,Q43/TrRoad_act!Q47*100)</f>
        <v>8.7184629970722138</v>
      </c>
      <c r="R77" s="141">
        <f>IF(R43=0,0,R43/TrRoad_act!R47*100)</f>
        <v>8.5078734386355492</v>
      </c>
      <c r="S77" s="141">
        <f>IF(S43=0,0,S43/TrRoad_act!S47*100)</f>
        <v>8.4849682045285952</v>
      </c>
      <c r="T77" s="141">
        <f>IF(T43=0,0,T43/TrRoad_act!T47*100)</f>
        <v>8.4364475599593458</v>
      </c>
      <c r="U77" s="141">
        <f>IF(U43=0,0,U43/TrRoad_act!U47*100)</f>
        <v>8.2935227321308851</v>
      </c>
      <c r="V77" s="141">
        <f>IF(V43=0,0,V43/TrRoad_act!V47*100)</f>
        <v>8.2165726318771277</v>
      </c>
      <c r="W77" s="141">
        <f>IF(W43=0,0,W43/TrRoad_act!W47*100)</f>
        <v>8.11782422237955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13.065698470358644</v>
      </c>
      <c r="C78" s="96">
        <f>IF(C44=0,0,C44/TrRoad_act!C48*100)</f>
        <v>12.651566066852951</v>
      </c>
      <c r="D78" s="96">
        <f>IF(D44=0,0,D44/TrRoad_act!D48*100)</f>
        <v>12.250062882230605</v>
      </c>
      <c r="E78" s="96">
        <f>IF(E44=0,0,E44/TrRoad_act!E48*100)</f>
        <v>11.952597276258176</v>
      </c>
      <c r="F78" s="96">
        <f>IF(F44=0,0,F44/TrRoad_act!F48*100)</f>
        <v>11.718802714429144</v>
      </c>
      <c r="G78" s="96">
        <f>IF(G44=0,0,G44/TrRoad_act!G48*100)</f>
        <v>11.467518371665458</v>
      </c>
      <c r="H78" s="96">
        <f>IF(H44=0,0,H44/TrRoad_act!H48*100)</f>
        <v>11.219682313997515</v>
      </c>
      <c r="I78" s="96">
        <f>IF(I44=0,0,I44/TrRoad_act!I48*100)</f>
        <v>10.846439474286253</v>
      </c>
      <c r="J78" s="96">
        <f>IF(J44=0,0,J44/TrRoad_act!J48*100)</f>
        <v>10.521761702707405</v>
      </c>
      <c r="K78" s="96">
        <f>IF(K44=0,0,K44/TrRoad_act!K48*100)</f>
        <v>10.384947919596446</v>
      </c>
      <c r="L78" s="96">
        <f>IF(L44=0,0,L44/TrRoad_act!L48*100)</f>
        <v>10.21178286742435</v>
      </c>
      <c r="M78" s="96">
        <f>IF(M44=0,0,M44/TrRoad_act!M48*100)</f>
        <v>10.071263062492759</v>
      </c>
      <c r="N78" s="96">
        <f>IF(N44=0,0,N44/TrRoad_act!N48*100)</f>
        <v>9.9720736114499715</v>
      </c>
      <c r="O78" s="96">
        <f>IF(O44=0,0,O44/TrRoad_act!O48*100)</f>
        <v>9.8789526385386406</v>
      </c>
      <c r="P78" s="96">
        <f>IF(P44=0,0,P44/TrRoad_act!P48*100)</f>
        <v>9.7104007888622466</v>
      </c>
      <c r="Q78" s="96">
        <f>IF(Q44=0,0,Q44/TrRoad_act!Q48*100)</f>
        <v>9.4104803517856244</v>
      </c>
      <c r="R78" s="96">
        <f>IF(R44=0,0,R44/TrRoad_act!R48*100)</f>
        <v>9.0023111406118019</v>
      </c>
      <c r="S78" s="96">
        <f>IF(S44=0,0,S44/TrRoad_act!S48*100)</f>
        <v>8.9635744018547676</v>
      </c>
      <c r="T78" s="96">
        <f>IF(T44=0,0,T44/TrRoad_act!T48*100)</f>
        <v>8.7983204528235834</v>
      </c>
      <c r="U78" s="96">
        <f>IF(U44=0,0,U44/TrRoad_act!U48*100)</f>
        <v>8.4754596467957963</v>
      </c>
      <c r="V78" s="96">
        <f>IF(V44=0,0,V44/TrRoad_act!V48*100)</f>
        <v>8.2743642215760165</v>
      </c>
      <c r="W78" s="96">
        <f>IF(W44=0,0,W44/TrRoad_act!W48*100)</f>
        <v>8.0560421700647105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11.750859718206657</v>
      </c>
      <c r="C79" s="96">
        <f>IF(C46=0,0,C46/TrRoad_act!C49*100)</f>
        <v>10.969535681923517</v>
      </c>
      <c r="D79" s="96">
        <f>IF(D46=0,0,D46/TrRoad_act!D49*100)</f>
        <v>10.43919154499647</v>
      </c>
      <c r="E79" s="96">
        <f>IF(E46=0,0,E46/TrRoad_act!E49*100)</f>
        <v>9.7893654066346336</v>
      </c>
      <c r="F79" s="96">
        <f>IF(F46=0,0,F46/TrRoad_act!F49*100)</f>
        <v>9.4885445528995085</v>
      </c>
      <c r="G79" s="96">
        <f>IF(G46=0,0,G46/TrRoad_act!G49*100)</f>
        <v>9.2579986300978518</v>
      </c>
      <c r="H79" s="96">
        <f>IF(H46=0,0,H46/TrRoad_act!H49*100)</f>
        <v>8.9817602739356026</v>
      </c>
      <c r="I79" s="96">
        <f>IF(I46=0,0,I46/TrRoad_act!I49*100)</f>
        <v>8.805171003295742</v>
      </c>
      <c r="J79" s="96">
        <f>IF(J46=0,0,J46/TrRoad_act!J49*100)</f>
        <v>8.7188520558614719</v>
      </c>
      <c r="K79" s="96">
        <f>IF(K46=0,0,K46/TrRoad_act!K49*100)</f>
        <v>8.621458774152817</v>
      </c>
      <c r="L79" s="96">
        <f>IF(L46=0,0,L46/TrRoad_act!L49*100)</f>
        <v>8.5739192539579605</v>
      </c>
      <c r="M79" s="96">
        <f>IF(M46=0,0,M46/TrRoad_act!M49*100)</f>
        <v>8.5481574084453769</v>
      </c>
      <c r="N79" s="96">
        <f>IF(N46=0,0,N46/TrRoad_act!N49*100)</f>
        <v>8.5157663548602347</v>
      </c>
      <c r="O79" s="96">
        <f>IF(O46=0,0,O46/TrRoad_act!O49*100)</f>
        <v>8.4954320851631362</v>
      </c>
      <c r="P79" s="96">
        <f>IF(P46=0,0,P46/TrRoad_act!P49*100)</f>
        <v>8.4637627183058193</v>
      </c>
      <c r="Q79" s="96">
        <f>IF(Q46=0,0,Q46/TrRoad_act!Q49*100)</f>
        <v>8.357450957348119</v>
      </c>
      <c r="R79" s="96">
        <f>IF(R46=0,0,R46/TrRoad_act!R49*100)</f>
        <v>8.2622020581496578</v>
      </c>
      <c r="S79" s="96">
        <f>IF(S46=0,0,S46/TrRoad_act!S49*100)</f>
        <v>8.2207725496772763</v>
      </c>
      <c r="T79" s="96">
        <f>IF(T46=0,0,T46/TrRoad_act!T49*100)</f>
        <v>8.1958905856462607</v>
      </c>
      <c r="U79" s="96">
        <f>IF(U46=0,0,U46/TrRoad_act!U49*100)</f>
        <v>8.1694334337461054</v>
      </c>
      <c r="V79" s="96">
        <f>IF(V46=0,0,V46/TrRoad_act!V49*100)</f>
        <v>8.1738518105246367</v>
      </c>
      <c r="W79" s="96">
        <f>IF(W46=0,0,W46/TrRoad_act!W49*100)</f>
        <v>8.1652943300809468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0</v>
      </c>
      <c r="O80" s="96">
        <f>IF(O48=0,0,O48/TrRoad_act!O50*100)</f>
        <v>0</v>
      </c>
      <c r="P80" s="96">
        <f>IF(P48=0,0,P48/TrRoad_act!P50*100)</f>
        <v>0</v>
      </c>
      <c r="Q80" s="96">
        <f>IF(Q48=0,0,Q48/TrRoad_act!Q50*100)</f>
        <v>0</v>
      </c>
      <c r="R80" s="96">
        <f>IF(R48=0,0,R48/TrRoad_act!R50*100)</f>
        <v>0</v>
      </c>
      <c r="S80" s="96">
        <f>IF(S48=0,0,S48/TrRoad_act!S50*100)</f>
        <v>0</v>
      </c>
      <c r="T80" s="96">
        <f>IF(T48=0,0,T48/TrRoad_act!T50*100)</f>
        <v>0</v>
      </c>
      <c r="U80" s="96">
        <f>IF(U48=0,0,U48/TrRoad_act!U50*100)</f>
        <v>0</v>
      </c>
      <c r="V80" s="96">
        <f>IF(V48=0,0,V48/TrRoad_act!V50*100)</f>
        <v>0</v>
      </c>
      <c r="W80" s="96">
        <f>IF(W48=0,0,W48/TrRoad_act!W50*100)</f>
        <v>0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0</v>
      </c>
      <c r="P81" s="96">
        <f>IF(P49=0,0,P49/TrRoad_act!P51*100)</f>
        <v>0</v>
      </c>
      <c r="Q81" s="96">
        <f>IF(Q49=0,0,Q49/TrRoad_act!Q51*100)</f>
        <v>0</v>
      </c>
      <c r="R81" s="96">
        <f>IF(R49=0,0,R49/TrRoad_act!R51*100)</f>
        <v>0</v>
      </c>
      <c r="S81" s="96">
        <f>IF(S49=0,0,S49/TrRoad_act!S51*100)</f>
        <v>0</v>
      </c>
      <c r="T81" s="96">
        <f>IF(T49=0,0,T49/TrRoad_act!T51*100)</f>
        <v>0</v>
      </c>
      <c r="U81" s="96">
        <f>IF(U49=0,0,U49/TrRoad_act!U51*100)</f>
        <v>0</v>
      </c>
      <c r="V81" s="96">
        <f>IF(V49=0,0,V49/TrRoad_act!V51*100)</f>
        <v>0</v>
      </c>
      <c r="W81" s="96">
        <f>IF(W49=0,0,W49/TrRoad_act!W51*100)</f>
        <v>0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0</v>
      </c>
      <c r="N82" s="96">
        <f>IF(N51=0,0,N51/TrRoad_act!N52*100)</f>
        <v>0</v>
      </c>
      <c r="O82" s="96">
        <f>IF(O51=0,0,O51/TrRoad_act!O52*100)</f>
        <v>0</v>
      </c>
      <c r="P82" s="96">
        <f>IF(P51=0,0,P51/TrRoad_act!P52*100)</f>
        <v>0</v>
      </c>
      <c r="Q82" s="96">
        <f>IF(Q51=0,0,Q51/TrRoad_act!Q52*100)</f>
        <v>0</v>
      </c>
      <c r="R82" s="96">
        <f>IF(R51=0,0,R51/TrRoad_act!R52*100)</f>
        <v>0</v>
      </c>
      <c r="S82" s="96">
        <f>IF(S51=0,0,S51/TrRoad_act!S52*100)</f>
        <v>0</v>
      </c>
      <c r="T82" s="96">
        <f>IF(T51=0,0,T51/TrRoad_act!T52*100)</f>
        <v>0</v>
      </c>
      <c r="U82" s="96">
        <f>IF(U51=0,0,U51/TrRoad_act!U52*100)</f>
        <v>0</v>
      </c>
      <c r="V82" s="96">
        <f>IF(V51=0,0,V51/TrRoad_act!V52*100)</f>
        <v>0</v>
      </c>
      <c r="W82" s="96">
        <f>IF(W51=0,0,W51/TrRoad_act!W52*100)</f>
        <v>0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40.50653249508207</v>
      </c>
      <c r="C83" s="130">
        <f>IF(C52=0,0,C52/TrRoad_act!C53*100)</f>
        <v>40.238682436250834</v>
      </c>
      <c r="D83" s="130">
        <f>IF(D52=0,0,D52/TrRoad_act!D53*100)</f>
        <v>40.151495537989611</v>
      </c>
      <c r="E83" s="130">
        <f>IF(E52=0,0,E52/TrRoad_act!E53*100)</f>
        <v>60.743296508322139</v>
      </c>
      <c r="F83" s="130">
        <f>IF(F52=0,0,F52/TrRoad_act!F53*100)</f>
        <v>39.81133783331493</v>
      </c>
      <c r="G83" s="130">
        <f>IF(G52=0,0,G52/TrRoad_act!G53*100)</f>
        <v>48.03311049571883</v>
      </c>
      <c r="H83" s="130">
        <f>IF(H52=0,0,H52/TrRoad_act!H53*100)</f>
        <v>45.151026223102917</v>
      </c>
      <c r="I83" s="130">
        <f>IF(I52=0,0,I52/TrRoad_act!I53*100)</f>
        <v>47.778798059397459</v>
      </c>
      <c r="J83" s="130">
        <f>IF(J52=0,0,J52/TrRoad_act!J53*100)</f>
        <v>43.754442839847442</v>
      </c>
      <c r="K83" s="130">
        <f>IF(K52=0,0,K52/TrRoad_act!K53*100)</f>
        <v>57.354046942563656</v>
      </c>
      <c r="L83" s="130">
        <f>IF(L52=0,0,L52/TrRoad_act!L53*100)</f>
        <v>47.858144091742382</v>
      </c>
      <c r="M83" s="130">
        <f>IF(M52=0,0,M52/TrRoad_act!M53*100)</f>
        <v>53.258546535338766</v>
      </c>
      <c r="N83" s="130">
        <f>IF(N52=0,0,N52/TrRoad_act!N53*100)</f>
        <v>38.772063089680842</v>
      </c>
      <c r="O83" s="130">
        <f>IF(O52=0,0,O52/TrRoad_act!O53*100)</f>
        <v>52.452768383107284</v>
      </c>
      <c r="P83" s="130">
        <f>IF(P52=0,0,P52/TrRoad_act!P53*100)</f>
        <v>49.377255414738173</v>
      </c>
      <c r="Q83" s="130">
        <f>IF(Q52=0,0,Q52/TrRoad_act!Q53*100)</f>
        <v>39.333227137538053</v>
      </c>
      <c r="R83" s="130">
        <f>IF(R52=0,0,R52/TrRoad_act!R53*100)</f>
        <v>39.986194990136731</v>
      </c>
      <c r="S83" s="130">
        <f>IF(S52=0,0,S52/TrRoad_act!S53*100)</f>
        <v>40.155706248001231</v>
      </c>
      <c r="T83" s="130">
        <f>IF(T52=0,0,T52/TrRoad_act!T53*100)</f>
        <v>41.602267241652171</v>
      </c>
      <c r="U83" s="130">
        <f>IF(U52=0,0,U52/TrRoad_act!U53*100)</f>
        <v>45.101746594503545</v>
      </c>
      <c r="V83" s="130">
        <f>IF(V52=0,0,V52/TrRoad_act!V53*100)</f>
        <v>45.669035511238285</v>
      </c>
      <c r="W83" s="130">
        <f>IF(W52=0,0,W52/TrRoad_act!W53*100)</f>
        <v>43.05199194801051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38.676274545905699</v>
      </c>
      <c r="C84" s="97">
        <f>IF(C53=0,0,C53/TrRoad_act!C54*100)</f>
        <v>38.438515666757247</v>
      </c>
      <c r="D84" s="97">
        <f>IF(D53=0,0,D53/TrRoad_act!D54*100)</f>
        <v>38.34703116307773</v>
      </c>
      <c r="E84" s="97">
        <f>IF(E53=0,0,E53/TrRoad_act!E54*100)</f>
        <v>54.393819695177413</v>
      </c>
      <c r="F84" s="97">
        <f>IF(F53=0,0,F53/TrRoad_act!F54*100)</f>
        <v>38.000794803548324</v>
      </c>
      <c r="G84" s="97">
        <f>IF(G53=0,0,G53/TrRoad_act!G54*100)</f>
        <v>44.368894486917497</v>
      </c>
      <c r="H84" s="97">
        <f>IF(H53=0,0,H53/TrRoad_act!H54*100)</f>
        <v>42.071371436608878</v>
      </c>
      <c r="I84" s="97">
        <f>IF(I53=0,0,I53/TrRoad_act!I54*100)</f>
        <v>44.209797230382854</v>
      </c>
      <c r="J84" s="97">
        <f>IF(J53=0,0,J53/TrRoad_act!J54*100)</f>
        <v>41.072836847754239</v>
      </c>
      <c r="K84" s="97">
        <f>IF(K53=0,0,K53/TrRoad_act!K54*100)</f>
        <v>51.886150012171171</v>
      </c>
      <c r="L84" s="97">
        <f>IF(L53=0,0,L53/TrRoad_act!L54*100)</f>
        <v>44.286528394206051</v>
      </c>
      <c r="M84" s="97">
        <f>IF(M53=0,0,M53/TrRoad_act!M54*100)</f>
        <v>48.515425590342957</v>
      </c>
      <c r="N84" s="97">
        <f>IF(N53=0,0,N53/TrRoad_act!N54*100)</f>
        <v>36.982369434255361</v>
      </c>
      <c r="O84" s="97">
        <f>IF(O53=0,0,O53/TrRoad_act!O54*100)</f>
        <v>47.620802192874471</v>
      </c>
      <c r="P84" s="97">
        <f>IF(P53=0,0,P53/TrRoad_act!P54*100)</f>
        <v>45.257952765919015</v>
      </c>
      <c r="Q84" s="97">
        <f>IF(Q53=0,0,Q53/TrRoad_act!Q54*100)</f>
        <v>37.297954698384089</v>
      </c>
      <c r="R84" s="97">
        <f>IF(R53=0,0,R53/TrRoad_act!R54*100)</f>
        <v>37.78379743131682</v>
      </c>
      <c r="S84" s="97">
        <f>IF(S53=0,0,S53/TrRoad_act!S54*100)</f>
        <v>37.630331607294501</v>
      </c>
      <c r="T84" s="97">
        <f>IF(T53=0,0,T53/TrRoad_act!T54*100)</f>
        <v>38.728752572189265</v>
      </c>
      <c r="U84" s="97">
        <f>IF(U53=0,0,U53/TrRoad_act!U54*100)</f>
        <v>41.399528392593979</v>
      </c>
      <c r="V84" s="97">
        <f>IF(V53=0,0,V53/TrRoad_act!V54*100)</f>
        <v>41.588159517080832</v>
      </c>
      <c r="W84" s="97">
        <f>IF(W53=0,0,W53/TrRoad_act!W54*100)</f>
        <v>39.688497320382133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80.740976464117381</v>
      </c>
      <c r="C85" s="98">
        <f>IF(C55=0,0,C55/TrRoad_act!C55*100)</f>
        <v>77.957317982448274</v>
      </c>
      <c r="D85" s="98">
        <f>IF(D55=0,0,D55/TrRoad_act!D55*100)</f>
        <v>76.858798326216018</v>
      </c>
      <c r="E85" s="98">
        <f>IF(E55=0,0,E55/TrRoad_act!E55*100)</f>
        <v>141.23189346939301</v>
      </c>
      <c r="F85" s="98">
        <f>IF(F55=0,0,F55/TrRoad_act!F55*100)</f>
        <v>73.59705527434302</v>
      </c>
      <c r="G85" s="98">
        <f>IF(G55=0,0,G55/TrRoad_act!G55*100)</f>
        <v>98.026759917887162</v>
      </c>
      <c r="H85" s="98">
        <f>IF(H55=0,0,H55/TrRoad_act!H55*100)</f>
        <v>84.866235589646635</v>
      </c>
      <c r="I85" s="98">
        <f>IF(I55=0,0,I55/TrRoad_act!I55*100)</f>
        <v>101.19882248121846</v>
      </c>
      <c r="J85" s="98">
        <f>IF(J55=0,0,J55/TrRoad_act!J55*100)</f>
        <v>93.688660129275249</v>
      </c>
      <c r="K85" s="98">
        <f>IF(K55=0,0,K55/TrRoad_act!K55*100)</f>
        <v>171.38332716485965</v>
      </c>
      <c r="L85" s="98">
        <f>IF(L55=0,0,L55/TrRoad_act!L55*100)</f>
        <v>108.53280224283961</v>
      </c>
      <c r="M85" s="98">
        <f>IF(M55=0,0,M55/TrRoad_act!M55*100)</f>
        <v>122.70115020898396</v>
      </c>
      <c r="N85" s="98">
        <f>IF(N55=0,0,N55/TrRoad_act!N55*100)</f>
        <v>61.104240128179264</v>
      </c>
      <c r="O85" s="98">
        <f>IF(O55=0,0,O55/TrRoad_act!O55*100)</f>
        <v>97.039590421248022</v>
      </c>
      <c r="P85" s="98">
        <f>IF(P55=0,0,P55/TrRoad_act!P55*100)</f>
        <v>93.722113736925948</v>
      </c>
      <c r="Q85" s="98">
        <f>IF(Q55=0,0,Q55/TrRoad_act!Q55*100)</f>
        <v>60.16692111792478</v>
      </c>
      <c r="R85" s="98">
        <f>IF(R55=0,0,R55/TrRoad_act!R55*100)</f>
        <v>62.479437153740726</v>
      </c>
      <c r="S85" s="98">
        <f>IF(S55=0,0,S55/TrRoad_act!S55*100)</f>
        <v>55.597956063364862</v>
      </c>
      <c r="T85" s="98">
        <f>IF(T55=0,0,T55/TrRoad_act!T55*100)</f>
        <v>60.456498586107529</v>
      </c>
      <c r="U85" s="98">
        <f>IF(U55=0,0,U55/TrRoad_act!U55*100)</f>
        <v>70.923325523727897</v>
      </c>
      <c r="V85" s="98">
        <f>IF(V55=0,0,V55/TrRoad_act!V55*100)</f>
        <v>69.800646436769426</v>
      </c>
      <c r="W85" s="98">
        <f>IF(W55=0,0,W55/TrRoad_act!W55*100)</f>
        <v>71.872380672022331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39.170247991151136</v>
      </c>
      <c r="C88" s="29">
        <f>IF(TrRoad_act!C4=0,0,C18/TrRoad_act!C4*1000)</f>
        <v>38.151911176954393</v>
      </c>
      <c r="D88" s="29">
        <f>IF(TrRoad_act!D4=0,0,D18/TrRoad_act!D4*1000)</f>
        <v>37.964011448622792</v>
      </c>
      <c r="E88" s="29">
        <f>IF(TrRoad_act!E4=0,0,E18/TrRoad_act!E4*1000)</f>
        <v>39.639366379425702</v>
      </c>
      <c r="F88" s="29">
        <f>IF(TrRoad_act!F4=0,0,F18/TrRoad_act!F4*1000)</f>
        <v>37.54750025358063</v>
      </c>
      <c r="G88" s="29">
        <f>IF(TrRoad_act!G4=0,0,G18/TrRoad_act!G4*1000)</f>
        <v>38.064440731903723</v>
      </c>
      <c r="H88" s="29">
        <f>IF(TrRoad_act!H4=0,0,H18/TrRoad_act!H4*1000)</f>
        <v>37.206118193609221</v>
      </c>
      <c r="I88" s="29">
        <f>IF(TrRoad_act!I4=0,0,I18/TrRoad_act!I4*1000)</f>
        <v>37.277821459639675</v>
      </c>
      <c r="J88" s="29">
        <f>IF(TrRoad_act!J4=0,0,J18/TrRoad_act!J4*1000)</f>
        <v>34.647129469305888</v>
      </c>
      <c r="K88" s="29">
        <f>IF(TrRoad_act!K4=0,0,K18/TrRoad_act!K4*1000)</f>
        <v>36.283100226119409</v>
      </c>
      <c r="L88" s="29">
        <f>IF(TrRoad_act!L4=0,0,L18/TrRoad_act!L4*1000)</f>
        <v>33.143057416508803</v>
      </c>
      <c r="M88" s="29">
        <f>IF(TrRoad_act!M4=0,0,M18/TrRoad_act!M4*1000)</f>
        <v>32.443193688658504</v>
      </c>
      <c r="N88" s="29">
        <f>IF(TrRoad_act!N4=0,0,N18/TrRoad_act!N4*1000)</f>
        <v>27.876074550889175</v>
      </c>
      <c r="O88" s="29">
        <f>IF(TrRoad_act!O4=0,0,O18/TrRoad_act!O4*1000)</f>
        <v>27.02753324354477</v>
      </c>
      <c r="P88" s="29">
        <f>IF(TrRoad_act!P4=0,0,P18/TrRoad_act!P4*1000)</f>
        <v>26.105975475671571</v>
      </c>
      <c r="Q88" s="29">
        <f>IF(TrRoad_act!Q4=0,0,Q18/TrRoad_act!Q4*1000)</f>
        <v>26.382859594231348</v>
      </c>
      <c r="R88" s="29">
        <f>IF(TrRoad_act!R4=0,0,R18/TrRoad_act!R4*1000)</f>
        <v>26.360201654622081</v>
      </c>
      <c r="S88" s="29">
        <f>IF(TrRoad_act!S4=0,0,S18/TrRoad_act!S4*1000)</f>
        <v>26.143486117698945</v>
      </c>
      <c r="T88" s="29">
        <f>IF(TrRoad_act!T4=0,0,T18/TrRoad_act!T4*1000)</f>
        <v>25.88575671641042</v>
      </c>
      <c r="U88" s="29">
        <f>IF(TrRoad_act!U4=0,0,U18/TrRoad_act!U4*1000)</f>
        <v>26.151245665255331</v>
      </c>
      <c r="V88" s="29">
        <f>IF(TrRoad_act!V4=0,0,V18/TrRoad_act!V4*1000)</f>
        <v>27.103161151941858</v>
      </c>
      <c r="W88" s="29">
        <f>IF(TrRoad_act!W4=0,0,W18/TrRoad_act!W4*1000)</f>
        <v>26.65156349179329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38.604162478820314</v>
      </c>
      <c r="C89" s="152">
        <f>IF(TrRoad_act!C5=0,0,C19/TrRoad_act!C5*1000)</f>
        <v>39.554818839863259</v>
      </c>
      <c r="D89" s="152">
        <f>IF(TrRoad_act!D5=0,0,D19/TrRoad_act!D5*1000)</f>
        <v>39.263658042395356</v>
      </c>
      <c r="E89" s="152">
        <f>IF(TrRoad_act!E5=0,0,E19/TrRoad_act!E5*1000)</f>
        <v>38.792320885112225</v>
      </c>
      <c r="F89" s="152">
        <f>IF(TrRoad_act!F5=0,0,F19/TrRoad_act!F5*1000)</f>
        <v>37.625373019666903</v>
      </c>
      <c r="G89" s="152">
        <f>IF(TrRoad_act!G5=0,0,G19/TrRoad_act!G5*1000)</f>
        <v>37.893868132277682</v>
      </c>
      <c r="H89" s="152">
        <f>IF(TrRoad_act!H5=0,0,H19/TrRoad_act!H5*1000)</f>
        <v>36.475563283270013</v>
      </c>
      <c r="I89" s="152">
        <f>IF(TrRoad_act!I5=0,0,I19/TrRoad_act!I5*1000)</f>
        <v>35.628490434584336</v>
      </c>
      <c r="J89" s="152">
        <f>IF(TrRoad_act!J5=0,0,J19/TrRoad_act!J5*1000)</f>
        <v>35.726069482484</v>
      </c>
      <c r="K89" s="152">
        <f>IF(TrRoad_act!K5=0,0,K19/TrRoad_act!K5*1000)</f>
        <v>35.811053549310159</v>
      </c>
      <c r="L89" s="152">
        <f>IF(TrRoad_act!L5=0,0,L19/TrRoad_act!L5*1000)</f>
        <v>35.531317714391825</v>
      </c>
      <c r="M89" s="152">
        <f>IF(TrRoad_act!M5=0,0,M19/TrRoad_act!M5*1000)</f>
        <v>35.123383861069172</v>
      </c>
      <c r="N89" s="152">
        <f>IF(TrRoad_act!N5=0,0,N19/TrRoad_act!N5*1000)</f>
        <v>34.687129100399488</v>
      </c>
      <c r="O89" s="152">
        <f>IF(TrRoad_act!O5=0,0,O19/TrRoad_act!O5*1000)</f>
        <v>34.066505487830156</v>
      </c>
      <c r="P89" s="152">
        <f>IF(TrRoad_act!P5=0,0,P19/TrRoad_act!P5*1000)</f>
        <v>33.257371176160092</v>
      </c>
      <c r="Q89" s="152">
        <f>IF(TrRoad_act!Q5=0,0,Q19/TrRoad_act!Q5*1000)</f>
        <v>33.84144873462963</v>
      </c>
      <c r="R89" s="152">
        <f>IF(TrRoad_act!R5=0,0,R19/TrRoad_act!R5*1000)</f>
        <v>31.780994586195892</v>
      </c>
      <c r="S89" s="152">
        <f>IF(TrRoad_act!S5=0,0,S19/TrRoad_act!S5*1000)</f>
        <v>33.254210887046014</v>
      </c>
      <c r="T89" s="152">
        <f>IF(TrRoad_act!T5=0,0,T19/TrRoad_act!T5*1000)</f>
        <v>32.673833309669412</v>
      </c>
      <c r="U89" s="152">
        <f>IF(TrRoad_act!U5=0,0,U19/TrRoad_act!U5*1000)</f>
        <v>32.227472524907199</v>
      </c>
      <c r="V89" s="152">
        <f>IF(TrRoad_act!V5=0,0,V19/TrRoad_act!V5*1000)</f>
        <v>30.404317170993888</v>
      </c>
      <c r="W89" s="152">
        <f>IF(TrRoad_act!W5=0,0,W19/TrRoad_act!W5*1000)</f>
        <v>30.275676613232473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43.710769303568284</v>
      </c>
      <c r="C90" s="116">
        <f>IF(TrRoad_act!C6=0,0,C21/TrRoad_act!C6*1000)</f>
        <v>42.221306702508926</v>
      </c>
      <c r="D90" s="116">
        <f>IF(TrRoad_act!D6=0,0,D21/TrRoad_act!D6*1000)</f>
        <v>41.885483834768003</v>
      </c>
      <c r="E90" s="116">
        <f>IF(TrRoad_act!E6=0,0,E21/TrRoad_act!E6*1000)</f>
        <v>41.896755330174742</v>
      </c>
      <c r="F90" s="116">
        <f>IF(TrRoad_act!F6=0,0,F21/TrRoad_act!F6*1000)</f>
        <v>41.035474724720451</v>
      </c>
      <c r="G90" s="116">
        <f>IF(TrRoad_act!G6=0,0,G21/TrRoad_act!G6*1000)</f>
        <v>40.72792794225802</v>
      </c>
      <c r="H90" s="116">
        <f>IF(TrRoad_act!H6=0,0,H21/TrRoad_act!H6*1000)</f>
        <v>39.731086877129023</v>
      </c>
      <c r="I90" s="116">
        <f>IF(TrRoad_act!I6=0,0,I21/TrRoad_act!I6*1000)</f>
        <v>39.631733183988864</v>
      </c>
      <c r="J90" s="116">
        <f>IF(TrRoad_act!J6=0,0,J21/TrRoad_act!J6*1000)</f>
        <v>36.693459775073684</v>
      </c>
      <c r="K90" s="116">
        <f>IF(TrRoad_act!K6=0,0,K21/TrRoad_act!K6*1000)</f>
        <v>37.316566314081591</v>
      </c>
      <c r="L90" s="116">
        <f>IF(TrRoad_act!L6=0,0,L21/TrRoad_act!L6*1000)</f>
        <v>34.195069096778134</v>
      </c>
      <c r="M90" s="116">
        <f>IF(TrRoad_act!M6=0,0,M21/TrRoad_act!M6*1000)</f>
        <v>32.975970649246001</v>
      </c>
      <c r="N90" s="116">
        <f>IF(TrRoad_act!N6=0,0,N21/TrRoad_act!N6*1000)</f>
        <v>28.176399149199145</v>
      </c>
      <c r="O90" s="116">
        <f>IF(TrRoad_act!O6=0,0,O21/TrRoad_act!O6*1000)</f>
        <v>26.35595881701078</v>
      </c>
      <c r="P90" s="116">
        <f>IF(TrRoad_act!P6=0,0,P21/TrRoad_act!P6*1000)</f>
        <v>25.387743853568232</v>
      </c>
      <c r="Q90" s="116">
        <f>IF(TrRoad_act!Q6=0,0,Q21/TrRoad_act!Q6*1000)</f>
        <v>25.96787022111419</v>
      </c>
      <c r="R90" s="116">
        <f>IF(TrRoad_act!R6=0,0,R21/TrRoad_act!R6*1000)</f>
        <v>25.970437283788662</v>
      </c>
      <c r="S90" s="116">
        <f>IF(TrRoad_act!S6=0,0,S21/TrRoad_act!S6*1000)</f>
        <v>25.489386669442077</v>
      </c>
      <c r="T90" s="116">
        <f>IF(TrRoad_act!T6=0,0,T21/TrRoad_act!T6*1000)</f>
        <v>25.153582013036289</v>
      </c>
      <c r="U90" s="116">
        <f>IF(TrRoad_act!U6=0,0,U21/TrRoad_act!U6*1000)</f>
        <v>25.259718944285019</v>
      </c>
      <c r="V90" s="116">
        <f>IF(TrRoad_act!V6=0,0,V21/TrRoad_act!V6*1000)</f>
        <v>24.683305319380803</v>
      </c>
      <c r="W90" s="116">
        <f>IF(TrRoad_act!W6=0,0,W21/TrRoad_act!W6*1000)</f>
        <v>24.341298183118695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44.368581353483506</v>
      </c>
      <c r="C91" s="87">
        <f>IF(TrRoad_act!C7=0,0,C22/TrRoad_act!C7*1000)</f>
        <v>42.664725548645684</v>
      </c>
      <c r="D91" s="87">
        <f>IF(TrRoad_act!D7=0,0,D22/TrRoad_act!D7*1000)</f>
        <v>42.288253617381507</v>
      </c>
      <c r="E91" s="87">
        <f>IF(TrRoad_act!E7=0,0,E22/TrRoad_act!E7*1000)</f>
        <v>42.333802168543016</v>
      </c>
      <c r="F91" s="87">
        <f>IF(TrRoad_act!F7=0,0,F22/TrRoad_act!F7*1000)</f>
        <v>41.344438886760834</v>
      </c>
      <c r="G91" s="87">
        <f>IF(TrRoad_act!G7=0,0,G22/TrRoad_act!G7*1000)</f>
        <v>40.981875640150285</v>
      </c>
      <c r="H91" s="87">
        <f>IF(TrRoad_act!H7=0,0,H22/TrRoad_act!H7*1000)</f>
        <v>39.966680605767195</v>
      </c>
      <c r="I91" s="87">
        <f>IF(TrRoad_act!I7=0,0,I22/TrRoad_act!I7*1000)</f>
        <v>39.811389936551237</v>
      </c>
      <c r="J91" s="87">
        <f>IF(TrRoad_act!J7=0,0,J22/TrRoad_act!J7*1000)</f>
        <v>36.799294668120424</v>
      </c>
      <c r="K91" s="87">
        <f>IF(TrRoad_act!K7=0,0,K22/TrRoad_act!K7*1000)</f>
        <v>37.325206743954546</v>
      </c>
      <c r="L91" s="87">
        <f>IF(TrRoad_act!L7=0,0,L22/TrRoad_act!L7*1000)</f>
        <v>33.942528493857786</v>
      </c>
      <c r="M91" s="87">
        <f>IF(TrRoad_act!M7=0,0,M22/TrRoad_act!M7*1000)</f>
        <v>31.670875434918138</v>
      </c>
      <c r="N91" s="87">
        <f>IF(TrRoad_act!N7=0,0,N22/TrRoad_act!N7*1000)</f>
        <v>27.544856867792568</v>
      </c>
      <c r="O91" s="87">
        <f>IF(TrRoad_act!O7=0,0,O22/TrRoad_act!O7*1000)</f>
        <v>25.924778282824551</v>
      </c>
      <c r="P91" s="87">
        <f>IF(TrRoad_act!P7=0,0,P22/TrRoad_act!P7*1000)</f>
        <v>25.014603240477939</v>
      </c>
      <c r="Q91" s="87">
        <f>IF(TrRoad_act!Q7=0,0,Q22/TrRoad_act!Q7*1000)</f>
        <v>23.817880951700964</v>
      </c>
      <c r="R91" s="87">
        <f>IF(TrRoad_act!R7=0,0,R22/TrRoad_act!R7*1000)</f>
        <v>23.884269154112037</v>
      </c>
      <c r="S91" s="87">
        <f>IF(TrRoad_act!S7=0,0,S22/TrRoad_act!S7*1000)</f>
        <v>23.105615546066158</v>
      </c>
      <c r="T91" s="87">
        <f>IF(TrRoad_act!T7=0,0,T22/TrRoad_act!T7*1000)</f>
        <v>22.887532502194169</v>
      </c>
      <c r="U91" s="87">
        <f>IF(TrRoad_act!U7=0,0,U22/TrRoad_act!U7*1000)</f>
        <v>22.92273039651247</v>
      </c>
      <c r="V91" s="87">
        <f>IF(TrRoad_act!V7=0,0,V22/TrRoad_act!V7*1000)</f>
        <v>22.438824770183082</v>
      </c>
      <c r="W91" s="87">
        <f>IF(TrRoad_act!W7=0,0,W22/TrRoad_act!W7*1000)</f>
        <v>22.187746057189994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34.689094877682372</v>
      </c>
      <c r="C92" s="87">
        <f>IF(TrRoad_act!C8=0,0,C24/TrRoad_act!C8*1000)</f>
        <v>34.704778650577829</v>
      </c>
      <c r="D92" s="87">
        <f>IF(TrRoad_act!D8=0,0,D24/TrRoad_act!D8*1000)</f>
        <v>34.49748977462783</v>
      </c>
      <c r="E92" s="87">
        <f>IF(TrRoad_act!E8=0,0,E24/TrRoad_act!E8*1000)</f>
        <v>34.427027007100264</v>
      </c>
      <c r="F92" s="87">
        <f>IF(TrRoad_act!F8=0,0,F24/TrRoad_act!F8*1000)</f>
        <v>34.577185269643309</v>
      </c>
      <c r="G92" s="87">
        <f>IF(TrRoad_act!G8=0,0,G24/TrRoad_act!G8*1000)</f>
        <v>35.070525937292004</v>
      </c>
      <c r="H92" s="87">
        <f>IF(TrRoad_act!H8=0,0,H24/TrRoad_act!H8*1000)</f>
        <v>34.711924039414107</v>
      </c>
      <c r="I92" s="87">
        <f>IF(TrRoad_act!I8=0,0,I24/TrRoad_act!I8*1000)</f>
        <v>35.653535678966804</v>
      </c>
      <c r="J92" s="87">
        <f>IF(TrRoad_act!J8=0,0,J24/TrRoad_act!J8*1000)</f>
        <v>33.712246640441393</v>
      </c>
      <c r="K92" s="87">
        <f>IF(TrRoad_act!K8=0,0,K24/TrRoad_act!K8*1000)</f>
        <v>36.360704632097004</v>
      </c>
      <c r="L92" s="87">
        <f>IF(TrRoad_act!L8=0,0,L24/TrRoad_act!L8*1000)</f>
        <v>36.448456780141122</v>
      </c>
      <c r="M92" s="87">
        <f>IF(TrRoad_act!M8=0,0,M24/TrRoad_act!M8*1000)</f>
        <v>35.650018112435887</v>
      </c>
      <c r="N92" s="87">
        <f>IF(TrRoad_act!N8=0,0,N24/TrRoad_act!N8*1000)</f>
        <v>35.429634874427911</v>
      </c>
      <c r="O92" s="87">
        <f>IF(TrRoad_act!O8=0,0,O24/TrRoad_act!O8*1000)</f>
        <v>22.562100225155302</v>
      </c>
      <c r="P92" s="87">
        <f>IF(TrRoad_act!P8=0,0,P24/TrRoad_act!P8*1000)</f>
        <v>21.277814325168261</v>
      </c>
      <c r="Q92" s="87">
        <f>IF(TrRoad_act!Q8=0,0,Q24/TrRoad_act!Q8*1000)</f>
        <v>43.5633800272294</v>
      </c>
      <c r="R92" s="87">
        <f>IF(TrRoad_act!R8=0,0,R24/TrRoad_act!R8*1000)</f>
        <v>40.479229531676417</v>
      </c>
      <c r="S92" s="87">
        <f>IF(TrRoad_act!S8=0,0,S24/TrRoad_act!S8*1000)</f>
        <v>39.376223092552507</v>
      </c>
      <c r="T92" s="87">
        <f>IF(TrRoad_act!T8=0,0,T24/TrRoad_act!T8*1000)</f>
        <v>34.904173734863754</v>
      </c>
      <c r="U92" s="87">
        <f>IF(TrRoad_act!U8=0,0,U24/TrRoad_act!U8*1000)</f>
        <v>32.949463602429304</v>
      </c>
      <c r="V92" s="87">
        <f>IF(TrRoad_act!V8=0,0,V24/TrRoad_act!V8*1000)</f>
        <v>29.650749699521402</v>
      </c>
      <c r="W92" s="87">
        <f>IF(TrRoad_act!W8=0,0,W24/TrRoad_act!W8*1000)</f>
        <v>29.755766706838074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48.398793625133059</v>
      </c>
      <c r="C93" s="87">
        <f>IF(TrRoad_act!C9=0,0,C26/TrRoad_act!C9*1000)</f>
        <v>53.394435340729174</v>
      </c>
      <c r="D93" s="87">
        <f>IF(TrRoad_act!D9=0,0,D26/TrRoad_act!D9*1000)</f>
        <v>55.079492750922526</v>
      </c>
      <c r="E93" s="87">
        <f>IF(TrRoad_act!E9=0,0,E26/TrRoad_act!E9*1000)</f>
        <v>50.177419877903432</v>
      </c>
      <c r="F93" s="87">
        <f>IF(TrRoad_act!F9=0,0,F26/TrRoad_act!F9*1000)</f>
        <v>50.807517762077765</v>
      </c>
      <c r="G93" s="87">
        <f>IF(TrRoad_act!G9=0,0,G26/TrRoad_act!G9*1000)</f>
        <v>51.375294910901026</v>
      </c>
      <c r="H93" s="87">
        <f>IF(TrRoad_act!H9=0,0,H26/TrRoad_act!H9*1000)</f>
        <v>50.897649582455223</v>
      </c>
      <c r="I93" s="87">
        <f>IF(TrRoad_act!I9=0,0,I26/TrRoad_act!I9*1000)</f>
        <v>50.065560418917805</v>
      </c>
      <c r="J93" s="87">
        <f>IF(TrRoad_act!J9=0,0,J26/TrRoad_act!J9*1000)</f>
        <v>49.516790842221262</v>
      </c>
      <c r="K93" s="87">
        <f>IF(TrRoad_act!K9=0,0,K26/TrRoad_act!K9*1000)</f>
        <v>46.758290223635761</v>
      </c>
      <c r="L93" s="87">
        <f>IF(TrRoad_act!L9=0,0,L26/TrRoad_act!L9*1000)</f>
        <v>45.646258115516162</v>
      </c>
      <c r="M93" s="87">
        <f>IF(TrRoad_act!M9=0,0,M26/TrRoad_act!M9*1000)</f>
        <v>70.774113094403944</v>
      </c>
      <c r="N93" s="87">
        <f>IF(TrRoad_act!N9=0,0,N26/TrRoad_act!N9*1000)</f>
        <v>37.670639554079706</v>
      </c>
      <c r="O93" s="87">
        <f>IF(TrRoad_act!O9=0,0,O26/TrRoad_act!O9*1000)</f>
        <v>35.575623349789517</v>
      </c>
      <c r="P93" s="87">
        <f>IF(TrRoad_act!P9=0,0,P26/TrRoad_act!P9*1000)</f>
        <v>34.742212734175354</v>
      </c>
      <c r="Q93" s="87">
        <f>IF(TrRoad_act!Q9=0,0,Q26/TrRoad_act!Q9*1000)</f>
        <v>34.322206159745569</v>
      </c>
      <c r="R93" s="87">
        <f>IF(TrRoad_act!R9=0,0,R26/TrRoad_act!R9*1000)</f>
        <v>31.230430870629462</v>
      </c>
      <c r="S93" s="87">
        <f>IF(TrRoad_act!S9=0,0,S26/TrRoad_act!S9*1000)</f>
        <v>30.6744020510525</v>
      </c>
      <c r="T93" s="87">
        <f>IF(TrRoad_act!T9=0,0,T26/TrRoad_act!T9*1000)</f>
        <v>30.640958842668148</v>
      </c>
      <c r="U93" s="87">
        <f>IF(TrRoad_act!U9=0,0,U26/TrRoad_act!U9*1000)</f>
        <v>30.921301955437265</v>
      </c>
      <c r="V93" s="87">
        <f>IF(TrRoad_act!V9=0,0,V26/TrRoad_act!V9*1000)</f>
        <v>32.712049210399371</v>
      </c>
      <c r="W93" s="87">
        <f>IF(TrRoad_act!W9=0,0,W26/TrRoad_act!W9*1000)</f>
        <v>31.223262038268096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47.924920591990727</v>
      </c>
      <c r="D94" s="87">
        <f>IF(TrRoad_act!D10=0,0,D27/TrRoad_act!D10*1000)</f>
        <v>48.315877633084312</v>
      </c>
      <c r="E94" s="87">
        <f>IF(TrRoad_act!E10=0,0,E27/TrRoad_act!E10*1000)</f>
        <v>48.727862228789625</v>
      </c>
      <c r="F94" s="87">
        <f>IF(TrRoad_act!F10=0,0,F27/TrRoad_act!F10*1000)</f>
        <v>49.208236012439819</v>
      </c>
      <c r="G94" s="87">
        <f>IF(TrRoad_act!G10=0,0,G27/TrRoad_act!G10*1000)</f>
        <v>49.555065339817432</v>
      </c>
      <c r="H94" s="87">
        <f>IF(TrRoad_act!H10=0,0,H27/TrRoad_act!H10*1000)</f>
        <v>49.440220998763742</v>
      </c>
      <c r="I94" s="87">
        <f>IF(TrRoad_act!I10=0,0,I27/TrRoad_act!I10*1000)</f>
        <v>49.025733099285439</v>
      </c>
      <c r="J94" s="87">
        <f>IF(TrRoad_act!J10=0,0,J27/TrRoad_act!J10*1000)</f>
        <v>48.820135360947987</v>
      </c>
      <c r="K94" s="87">
        <f>IF(TrRoad_act!K10=0,0,K27/TrRoad_act!K10*1000)</f>
        <v>46.782640116528405</v>
      </c>
      <c r="L94" s="87">
        <f>IF(TrRoad_act!L10=0,0,L27/TrRoad_act!L10*1000)</f>
        <v>45.604722478602291</v>
      </c>
      <c r="M94" s="87">
        <f>IF(TrRoad_act!M10=0,0,M27/TrRoad_act!M10*1000)</f>
        <v>41.975242713108763</v>
      </c>
      <c r="N94" s="87">
        <f>IF(TrRoad_act!N10=0,0,N27/TrRoad_act!N10*1000)</f>
        <v>36.476170552574636</v>
      </c>
      <c r="O94" s="87">
        <f>IF(TrRoad_act!O10=0,0,O27/TrRoad_act!O10*1000)</f>
        <v>34.846965499613241</v>
      </c>
      <c r="P94" s="87">
        <f>IF(TrRoad_act!P10=0,0,P27/TrRoad_act!P10*1000)</f>
        <v>33.924691668277895</v>
      </c>
      <c r="Q94" s="87">
        <f>IF(TrRoad_act!Q10=0,0,Q27/TrRoad_act!Q10*1000)</f>
        <v>30.706530467946845</v>
      </c>
      <c r="R94" s="87">
        <f>IF(TrRoad_act!R10=0,0,R27/TrRoad_act!R10*1000)</f>
        <v>29.777557398524294</v>
      </c>
      <c r="S94" s="87">
        <f>IF(TrRoad_act!S10=0,0,S27/TrRoad_act!S10*1000)</f>
        <v>29.167996149375309</v>
      </c>
      <c r="T94" s="87">
        <f>IF(TrRoad_act!T10=0,0,T27/TrRoad_act!T10*1000)</f>
        <v>28.47971175830682</v>
      </c>
      <c r="U94" s="87">
        <f>IF(TrRoad_act!U10=0,0,U27/TrRoad_act!U10*1000)</f>
        <v>27.147642998371204</v>
      </c>
      <c r="V94" s="87">
        <f>IF(TrRoad_act!V10=0,0,V27/TrRoad_act!V10*1000)</f>
        <v>25.662817333970111</v>
      </c>
      <c r="W94" s="87">
        <f>IF(TrRoad_act!W10=0,0,W27/TrRoad_act!W10*1000)</f>
        <v>22.043426538908079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10.73062724081929</v>
      </c>
      <c r="O95" s="87">
        <f>IF(TrRoad_act!O11=0,0,O29/TrRoad_act!O11*1000)</f>
        <v>6.3539731277770413</v>
      </c>
      <c r="P95" s="87">
        <f>IF(TrRoad_act!P11=0,0,P29/TrRoad_act!P11*1000)</f>
        <v>8.0404223325931365</v>
      </c>
      <c r="Q95" s="87">
        <f>IF(TrRoad_act!Q11=0,0,Q29/TrRoad_act!Q11*1000)</f>
        <v>8.9221240606328678</v>
      </c>
      <c r="R95" s="87">
        <f>IF(TrRoad_act!R11=0,0,R29/TrRoad_act!R11*1000)</f>
        <v>12.225880242299571</v>
      </c>
      <c r="S95" s="87">
        <f>IF(TrRoad_act!S11=0,0,S29/TrRoad_act!S11*1000)</f>
        <v>12.991393871331718</v>
      </c>
      <c r="T95" s="87">
        <f>IF(TrRoad_act!T11=0,0,T29/TrRoad_act!T11*1000)</f>
        <v>13.900746455392753</v>
      </c>
      <c r="U95" s="87">
        <f>IF(TrRoad_act!U11=0,0,U29/TrRoad_act!U11*1000)</f>
        <v>14.43945565990466</v>
      </c>
      <c r="V95" s="87">
        <f>IF(TrRoad_act!V11=0,0,V29/TrRoad_act!V11*1000)</f>
        <v>13.786776011139354</v>
      </c>
      <c r="W95" s="87">
        <f>IF(TrRoad_act!W11=0,0,W29/TrRoad_act!W11*1000)</f>
        <v>12.167387330648673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0</v>
      </c>
      <c r="L96" s="87">
        <f>IF(TrRoad_act!L12=0,0,L32/TrRoad_act!L12*1000)</f>
        <v>0</v>
      </c>
      <c r="M96" s="87">
        <f>IF(TrRoad_act!M12=0,0,M32/TrRoad_act!M12*1000)</f>
        <v>0</v>
      </c>
      <c r="N96" s="87">
        <f>IF(TrRoad_act!N12=0,0,N32/TrRoad_act!N12*1000)</f>
        <v>6.2858240879660086</v>
      </c>
      <c r="O96" s="87">
        <f>IF(TrRoad_act!O12=0,0,O32/TrRoad_act!O12*1000)</f>
        <v>6.3248313111958119</v>
      </c>
      <c r="P96" s="87">
        <f>IF(TrRoad_act!P12=0,0,P32/TrRoad_act!P12*1000)</f>
        <v>6.1745537438079934</v>
      </c>
      <c r="Q96" s="87">
        <f>IF(TrRoad_act!Q12=0,0,Q32/TrRoad_act!Q12*1000)</f>
        <v>6.364241780151163</v>
      </c>
      <c r="R96" s="87">
        <f>IF(TrRoad_act!R12=0,0,R32/TrRoad_act!R12*1000)</f>
        <v>6.4231002164170201</v>
      </c>
      <c r="S96" s="87">
        <f>IF(TrRoad_act!S12=0,0,S32/TrRoad_act!S12*1000)</f>
        <v>6.3441178551211026</v>
      </c>
      <c r="T96" s="87">
        <f>IF(TrRoad_act!T12=0,0,T32/TrRoad_act!T12*1000)</f>
        <v>6.5108862968096108</v>
      </c>
      <c r="U96" s="87">
        <f>IF(TrRoad_act!U12=0,0,U32/TrRoad_act!U12*1000)</f>
        <v>7.457713977356625</v>
      </c>
      <c r="V96" s="87">
        <f>IF(TrRoad_act!V12=0,0,V32/TrRoad_act!V12*1000)</f>
        <v>8.7775958945945121</v>
      </c>
      <c r="W96" s="87">
        <f>IF(TrRoad_act!W12=0,0,W32/TrRoad_act!W12*1000)</f>
        <v>8.3011950745354444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26.102376885960279</v>
      </c>
      <c r="C97" s="116">
        <f>IF(TrRoad_act!C13=0,0,C33/TrRoad_act!C13*1000)</f>
        <v>25.160194118644405</v>
      </c>
      <c r="D97" s="116">
        <f>IF(TrRoad_act!D13=0,0,D33/TrRoad_act!D13*1000)</f>
        <v>24.826735942507685</v>
      </c>
      <c r="E97" s="116">
        <f>IF(TrRoad_act!E13=0,0,E33/TrRoad_act!E13*1000)</f>
        <v>32.033568117541364</v>
      </c>
      <c r="F97" s="116">
        <f>IF(TrRoad_act!F13=0,0,F33/TrRoad_act!F13*1000)</f>
        <v>24.608686274127383</v>
      </c>
      <c r="G97" s="116">
        <f>IF(TrRoad_act!G13=0,0,G33/TrRoad_act!G13*1000)</f>
        <v>27.676887989976358</v>
      </c>
      <c r="H97" s="116">
        <f>IF(TrRoad_act!H13=0,0,H33/TrRoad_act!H13*1000)</f>
        <v>26.965738399233185</v>
      </c>
      <c r="I97" s="116">
        <f>IF(TrRoad_act!I13=0,0,I33/TrRoad_act!I13*1000)</f>
        <v>27.534584209713231</v>
      </c>
      <c r="J97" s="116">
        <f>IF(TrRoad_act!J13=0,0,J33/TrRoad_act!J13*1000)</f>
        <v>25.094384176051499</v>
      </c>
      <c r="K97" s="116">
        <f>IF(TrRoad_act!K13=0,0,K33/TrRoad_act!K13*1000)</f>
        <v>31.417285624980135</v>
      </c>
      <c r="L97" s="116">
        <f>IF(TrRoad_act!L13=0,0,L33/TrRoad_act!L13*1000)</f>
        <v>27.347863011412805</v>
      </c>
      <c r="M97" s="116">
        <f>IF(TrRoad_act!M13=0,0,M33/TrRoad_act!M13*1000)</f>
        <v>29.00754881600832</v>
      </c>
      <c r="N97" s="116">
        <f>IF(TrRoad_act!N13=0,0,N33/TrRoad_act!N13*1000)</f>
        <v>23.947619459655851</v>
      </c>
      <c r="O97" s="116">
        <f>IF(TrRoad_act!O13=0,0,O33/TrRoad_act!O13*1000)</f>
        <v>27.3948479104981</v>
      </c>
      <c r="P97" s="116">
        <f>IF(TrRoad_act!P13=0,0,P33/TrRoad_act!P13*1000)</f>
        <v>26.548270468523668</v>
      </c>
      <c r="Q97" s="116">
        <f>IF(TrRoad_act!Q13=0,0,Q33/TrRoad_act!Q13*1000)</f>
        <v>25.308470817845375</v>
      </c>
      <c r="R97" s="116">
        <f>IF(TrRoad_act!R13=0,0,R33/TrRoad_act!R13*1000)</f>
        <v>25.948465677051651</v>
      </c>
      <c r="S97" s="116">
        <f>IF(TrRoad_act!S13=0,0,S33/TrRoad_act!S13*1000)</f>
        <v>26.53826677425258</v>
      </c>
      <c r="T97" s="116">
        <f>IF(TrRoad_act!T13=0,0,T33/TrRoad_act!T13*1000)</f>
        <v>27.026429191042663</v>
      </c>
      <c r="U97" s="116">
        <f>IF(TrRoad_act!U13=0,0,U33/TrRoad_act!U13*1000)</f>
        <v>28.325112754156908</v>
      </c>
      <c r="V97" s="116">
        <f>IF(TrRoad_act!V13=0,0,V33/TrRoad_act!V13*1000)</f>
        <v>41.840527381196189</v>
      </c>
      <c r="W97" s="116">
        <f>IF(TrRoad_act!W13=0,0,W33/TrRoad_act!W13*1000)</f>
        <v>41.035823530065187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0</v>
      </c>
      <c r="C98" s="101">
        <f>IF(TrRoad_act!C14=0,0,C34/TrRoad_act!C14*1000)</f>
        <v>0</v>
      </c>
      <c r="D98" s="101">
        <f>IF(TrRoad_act!D14=0,0,D34/TrRoad_act!D14*1000)</f>
        <v>0</v>
      </c>
      <c r="E98" s="101">
        <f>IF(TrRoad_act!E14=0,0,E34/TrRoad_act!E14*1000)</f>
        <v>0</v>
      </c>
      <c r="F98" s="101">
        <f>IF(TrRoad_act!F14=0,0,F34/TrRoad_act!F14*1000)</f>
        <v>0</v>
      </c>
      <c r="G98" s="101">
        <f>IF(TrRoad_act!G14=0,0,G34/TrRoad_act!G14*1000)</f>
        <v>0</v>
      </c>
      <c r="H98" s="101">
        <f>IF(TrRoad_act!H14=0,0,H34/TrRoad_act!H14*1000)</f>
        <v>0</v>
      </c>
      <c r="I98" s="101">
        <f>IF(TrRoad_act!I14=0,0,I34/TrRoad_act!I14*1000)</f>
        <v>0</v>
      </c>
      <c r="J98" s="101">
        <f>IF(TrRoad_act!J14=0,0,J34/TrRoad_act!J14*1000)</f>
        <v>0</v>
      </c>
      <c r="K98" s="101">
        <f>IF(TrRoad_act!K14=0,0,K34/TrRoad_act!K14*1000)</f>
        <v>0</v>
      </c>
      <c r="L98" s="101">
        <f>IF(TrRoad_act!L14=0,0,L34/TrRoad_act!L14*1000)</f>
        <v>0</v>
      </c>
      <c r="M98" s="101">
        <f>IF(TrRoad_act!M14=0,0,M34/TrRoad_act!M14*1000)</f>
        <v>0</v>
      </c>
      <c r="N98" s="101">
        <f>IF(TrRoad_act!N14=0,0,N34/TrRoad_act!N14*1000)</f>
        <v>0</v>
      </c>
      <c r="O98" s="101">
        <f>IF(TrRoad_act!O14=0,0,O34/TrRoad_act!O14*1000)</f>
        <v>0</v>
      </c>
      <c r="P98" s="101">
        <f>IF(TrRoad_act!P14=0,0,P34/TrRoad_act!P14*1000)</f>
        <v>0</v>
      </c>
      <c r="Q98" s="101">
        <f>IF(TrRoad_act!Q14=0,0,Q34/TrRoad_act!Q14*1000)</f>
        <v>0</v>
      </c>
      <c r="R98" s="101">
        <f>IF(TrRoad_act!R14=0,0,R34/TrRoad_act!R14*1000)</f>
        <v>0</v>
      </c>
      <c r="S98" s="101">
        <f>IF(TrRoad_act!S14=0,0,S34/TrRoad_act!S14*1000)</f>
        <v>0</v>
      </c>
      <c r="T98" s="101">
        <f>IF(TrRoad_act!T14=0,0,T34/TrRoad_act!T14*1000)</f>
        <v>0</v>
      </c>
      <c r="U98" s="101">
        <f>IF(TrRoad_act!U14=0,0,U34/TrRoad_act!U14*1000)</f>
        <v>0</v>
      </c>
      <c r="V98" s="101">
        <f>IF(TrRoad_act!V14=0,0,V34/TrRoad_act!V14*1000)</f>
        <v>0</v>
      </c>
      <c r="W98" s="101">
        <f>IF(TrRoad_act!W14=0,0,W34/TrRoad_act!W14*1000)</f>
        <v>0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26.102376885960279</v>
      </c>
      <c r="C99" s="101">
        <f>IF(TrRoad_act!C15=0,0,C36/TrRoad_act!C15*1000)</f>
        <v>25.304680061048252</v>
      </c>
      <c r="D99" s="101">
        <f>IF(TrRoad_act!D15=0,0,D36/TrRoad_act!D15*1000)</f>
        <v>25.031497534764203</v>
      </c>
      <c r="E99" s="101">
        <f>IF(TrRoad_act!E15=0,0,E36/TrRoad_act!E15*1000)</f>
        <v>32.440379659507194</v>
      </c>
      <c r="F99" s="101">
        <f>IF(TrRoad_act!F15=0,0,F36/TrRoad_act!F15*1000)</f>
        <v>24.82059147805538</v>
      </c>
      <c r="G99" s="101">
        <f>IF(TrRoad_act!G15=0,0,G36/TrRoad_act!G15*1000)</f>
        <v>27.96160990801307</v>
      </c>
      <c r="H99" s="101">
        <f>IF(TrRoad_act!H15=0,0,H36/TrRoad_act!H15*1000)</f>
        <v>27.229358246409433</v>
      </c>
      <c r="I99" s="101">
        <f>IF(TrRoad_act!I15=0,0,I36/TrRoad_act!I15*1000)</f>
        <v>27.871171848370601</v>
      </c>
      <c r="J99" s="101">
        <f>IF(TrRoad_act!J15=0,0,J36/TrRoad_act!J15*1000)</f>
        <v>25.393289500830804</v>
      </c>
      <c r="K99" s="101">
        <f>IF(TrRoad_act!K15=0,0,K36/TrRoad_act!K15*1000)</f>
        <v>31.859001060031108</v>
      </c>
      <c r="L99" s="101">
        <f>IF(TrRoad_act!L15=0,0,L36/TrRoad_act!L15*1000)</f>
        <v>27.667370708651479</v>
      </c>
      <c r="M99" s="101">
        <f>IF(TrRoad_act!M15=0,0,M36/TrRoad_act!M15*1000)</f>
        <v>29.325334910221908</v>
      </c>
      <c r="N99" s="101">
        <f>IF(TrRoad_act!N15=0,0,N36/TrRoad_act!N15*1000)</f>
        <v>24.115058693817058</v>
      </c>
      <c r="O99" s="101">
        <f>IF(TrRoad_act!O15=0,0,O36/TrRoad_act!O15*1000)</f>
        <v>27.677325798476563</v>
      </c>
      <c r="P99" s="101">
        <f>IF(TrRoad_act!P15=0,0,P36/TrRoad_act!P15*1000)</f>
        <v>26.806254813893315</v>
      </c>
      <c r="Q99" s="101">
        <f>IF(TrRoad_act!Q15=0,0,Q36/TrRoad_act!Q15*1000)</f>
        <v>25.524116161588399</v>
      </c>
      <c r="R99" s="101">
        <f>IF(TrRoad_act!R15=0,0,R36/TrRoad_act!R15*1000)</f>
        <v>26.010307241200273</v>
      </c>
      <c r="S99" s="101">
        <f>IF(TrRoad_act!S15=0,0,S36/TrRoad_act!S15*1000)</f>
        <v>26.837983196770146</v>
      </c>
      <c r="T99" s="101">
        <f>IF(TrRoad_act!T15=0,0,T36/TrRoad_act!T15*1000)</f>
        <v>27.364353824919032</v>
      </c>
      <c r="U99" s="101">
        <f>IF(TrRoad_act!U15=0,0,U36/TrRoad_act!U15*1000)</f>
        <v>28.677334213442261</v>
      </c>
      <c r="V99" s="101">
        <f>IF(TrRoad_act!V15=0,0,V36/TrRoad_act!V15*1000)</f>
        <v>42.541307218563432</v>
      </c>
      <c r="W99" s="101">
        <f>IF(TrRoad_act!W15=0,0,W36/TrRoad_act!W15*1000)</f>
        <v>41.745374560585141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0</v>
      </c>
      <c r="U100" s="101">
        <f>IF(TrRoad_act!U16=0,0,U38/TrRoad_act!U16*1000)</f>
        <v>0</v>
      </c>
      <c r="V100" s="101">
        <f>IF(TrRoad_act!V16=0,0,V38/TrRoad_act!V16*1000)</f>
        <v>0</v>
      </c>
      <c r="W100" s="101">
        <f>IF(TrRoad_act!W16=0,0,W38/TrRoad_act!W16*1000)</f>
        <v>0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15.723857804537563</v>
      </c>
      <c r="D101" s="101">
        <f>IF(TrRoad_act!D17=0,0,D39/TrRoad_act!D17*1000)</f>
        <v>16.115358272141862</v>
      </c>
      <c r="E101" s="101">
        <f>IF(TrRoad_act!E17=0,0,E39/TrRoad_act!E17*1000)</f>
        <v>16.26815145314967</v>
      </c>
      <c r="F101" s="101">
        <f>IF(TrRoad_act!F17=0,0,F39/TrRoad_act!F17*1000)</f>
        <v>16.42394745196788</v>
      </c>
      <c r="G101" s="101">
        <f>IF(TrRoad_act!G17=0,0,G39/TrRoad_act!G17*1000)</f>
        <v>17.313753944184409</v>
      </c>
      <c r="H101" s="101">
        <f>IF(TrRoad_act!H17=0,0,H39/TrRoad_act!H17*1000)</f>
        <v>17.662546635044425</v>
      </c>
      <c r="I101" s="101">
        <f>IF(TrRoad_act!I17=0,0,I39/TrRoad_act!I17*1000)</f>
        <v>17.347344611822063</v>
      </c>
      <c r="J101" s="101">
        <f>IF(TrRoad_act!J17=0,0,J39/TrRoad_act!J17*1000)</f>
        <v>16.430918366157233</v>
      </c>
      <c r="K101" s="101">
        <f>IF(TrRoad_act!K17=0,0,K39/TrRoad_act!K17*1000)</f>
        <v>18.066125632283335</v>
      </c>
      <c r="L101" s="101">
        <f>IF(TrRoad_act!L17=0,0,L39/TrRoad_act!L17*1000)</f>
        <v>17.275742474071503</v>
      </c>
      <c r="M101" s="101">
        <f>IF(TrRoad_act!M17=0,0,M39/TrRoad_act!M17*1000)</f>
        <v>18.718742599745987</v>
      </c>
      <c r="N101" s="101">
        <f>IF(TrRoad_act!N17=0,0,N39/TrRoad_act!N17*1000)</f>
        <v>18.521988067564489</v>
      </c>
      <c r="O101" s="101">
        <f>IF(TrRoad_act!O17=0,0,O39/TrRoad_act!O17*1000)</f>
        <v>17.700728329124971</v>
      </c>
      <c r="P101" s="101">
        <f>IF(TrRoad_act!P17=0,0,P39/TrRoad_act!P17*1000)</f>
        <v>17.886123939905335</v>
      </c>
      <c r="Q101" s="101">
        <f>IF(TrRoad_act!Q17=0,0,Q39/TrRoad_act!Q17*1000)</f>
        <v>18.552027339957032</v>
      </c>
      <c r="R101" s="101">
        <f>IF(TrRoad_act!R17=0,0,R39/TrRoad_act!R17*1000)</f>
        <v>24.063381823863537</v>
      </c>
      <c r="S101" s="101">
        <f>IF(TrRoad_act!S17=0,0,S39/TrRoad_act!S17*1000)</f>
        <v>16.612294578040899</v>
      </c>
      <c r="T101" s="101">
        <f>IF(TrRoad_act!T17=0,0,T39/TrRoad_act!T17*1000)</f>
        <v>17.536466368235192</v>
      </c>
      <c r="U101" s="101">
        <f>IF(TrRoad_act!U17=0,0,U39/TrRoad_act!U17*1000)</f>
        <v>19.41700903385766</v>
      </c>
      <c r="V101" s="101">
        <f>IF(TrRoad_act!V17=0,0,V39/TrRoad_act!V17*1000)</f>
        <v>26.052994622581942</v>
      </c>
      <c r="W101" s="101">
        <f>IF(TrRoad_act!W17=0,0,W39/TrRoad_act!W17*1000)</f>
        <v>26.809334527979786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0</v>
      </c>
      <c r="K102" s="101">
        <f>IF(TrRoad_act!K18=0,0,K41/TrRoad_act!K18*1000)</f>
        <v>0</v>
      </c>
      <c r="L102" s="101">
        <f>IF(TrRoad_act!L18=0,0,L41/TrRoad_act!L18*1000)</f>
        <v>0</v>
      </c>
      <c r="M102" s="101">
        <f>IF(TrRoad_act!M18=0,0,M41/TrRoad_act!M18*1000)</f>
        <v>0</v>
      </c>
      <c r="N102" s="101">
        <f>IF(TrRoad_act!N18=0,0,N41/TrRoad_act!N18*1000)</f>
        <v>0</v>
      </c>
      <c r="O102" s="101">
        <f>IF(TrRoad_act!O18=0,0,O41/TrRoad_act!O18*1000)</f>
        <v>0</v>
      </c>
      <c r="P102" s="101">
        <f>IF(TrRoad_act!P18=0,0,P41/TrRoad_act!P18*1000)</f>
        <v>0</v>
      </c>
      <c r="Q102" s="101">
        <f>IF(TrRoad_act!Q18=0,0,Q41/TrRoad_act!Q18*1000)</f>
        <v>0</v>
      </c>
      <c r="R102" s="101">
        <f>IF(TrRoad_act!R18=0,0,R41/TrRoad_act!R18*1000)</f>
        <v>0</v>
      </c>
      <c r="S102" s="101">
        <f>IF(TrRoad_act!S18=0,0,S41/TrRoad_act!S18*1000)</f>
        <v>0</v>
      </c>
      <c r="T102" s="101">
        <f>IF(TrRoad_act!T18=0,0,T41/TrRoad_act!T18*1000)</f>
        <v>0</v>
      </c>
      <c r="U102" s="101">
        <f>IF(TrRoad_act!U18=0,0,U41/TrRoad_act!U18*1000)</f>
        <v>13.587519231517778</v>
      </c>
      <c r="V102" s="101">
        <f>IF(TrRoad_act!V18=0,0,V41/TrRoad_act!V18*1000)</f>
        <v>20.667339175377091</v>
      </c>
      <c r="W102" s="101">
        <f>IF(TrRoad_act!W18=0,0,W41/TrRoad_act!W18*1000)</f>
        <v>19.98894783252068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72.607394812021596</v>
      </c>
      <c r="C103" s="29">
        <f>IF(TrRoad_act!C19=0,0,C42/TrRoad_act!C19*1000)</f>
        <v>71.155263586123382</v>
      </c>
      <c r="D103" s="29">
        <f>IF(TrRoad_act!D19=0,0,D42/TrRoad_act!D19*1000)</f>
        <v>70.758785914943346</v>
      </c>
      <c r="E103" s="29">
        <f>IF(TrRoad_act!E19=0,0,E42/TrRoad_act!E19*1000)</f>
        <v>103.49151892085425</v>
      </c>
      <c r="F103" s="29">
        <f>IF(TrRoad_act!F19=0,0,F42/TrRoad_act!F19*1000)</f>
        <v>57.75610827350684</v>
      </c>
      <c r="G103" s="29">
        <f>IF(TrRoad_act!G19=0,0,G42/TrRoad_act!G19*1000)</f>
        <v>83.387972914644493</v>
      </c>
      <c r="H103" s="29">
        <f>IF(TrRoad_act!H19=0,0,H42/TrRoad_act!H19*1000)</f>
        <v>67.374677770945652</v>
      </c>
      <c r="I103" s="29">
        <f>IF(TrRoad_act!I19=0,0,I42/TrRoad_act!I19*1000)</f>
        <v>82.807219370748768</v>
      </c>
      <c r="J103" s="29">
        <f>IF(TrRoad_act!J19=0,0,J42/TrRoad_act!J19*1000)</f>
        <v>75.094265858895398</v>
      </c>
      <c r="K103" s="29">
        <f>IF(TrRoad_act!K19=0,0,K42/TrRoad_act!K19*1000)</f>
        <v>88.169144880802136</v>
      </c>
      <c r="L103" s="29">
        <f>IF(TrRoad_act!L19=0,0,L42/TrRoad_act!L19*1000)</f>
        <v>75.437610193793688</v>
      </c>
      <c r="M103" s="29">
        <f>IF(TrRoad_act!M19=0,0,M42/TrRoad_act!M19*1000)</f>
        <v>88.132542581180914</v>
      </c>
      <c r="N103" s="29">
        <f>IF(TrRoad_act!N19=0,0,N42/TrRoad_act!N19*1000)</f>
        <v>66.888563776382185</v>
      </c>
      <c r="O103" s="29">
        <f>IF(TrRoad_act!O19=0,0,O42/TrRoad_act!O19*1000)</f>
        <v>92.982103769519114</v>
      </c>
      <c r="P103" s="29">
        <f>IF(TrRoad_act!P19=0,0,P42/TrRoad_act!P19*1000)</f>
        <v>84.34675401064375</v>
      </c>
      <c r="Q103" s="29">
        <f>IF(TrRoad_act!Q19=0,0,Q42/TrRoad_act!Q19*1000)</f>
        <v>80.16940132547181</v>
      </c>
      <c r="R103" s="29">
        <f>IF(TrRoad_act!R19=0,0,R42/TrRoad_act!R19*1000)</f>
        <v>76.800071116945773</v>
      </c>
      <c r="S103" s="29">
        <f>IF(TrRoad_act!S19=0,0,S42/TrRoad_act!S19*1000)</f>
        <v>72.078653070255442</v>
      </c>
      <c r="T103" s="29">
        <f>IF(TrRoad_act!T19=0,0,T42/TrRoad_act!T19*1000)</f>
        <v>74.190299360024341</v>
      </c>
      <c r="U103" s="29">
        <f>IF(TrRoad_act!U19=0,0,U42/TrRoad_act!U19*1000)</f>
        <v>78.266781913297748</v>
      </c>
      <c r="V103" s="29">
        <f>IF(TrRoad_act!V19=0,0,V42/TrRoad_act!V19*1000)</f>
        <v>79.729464906193328</v>
      </c>
      <c r="W103" s="29">
        <f>IF(TrRoad_act!W19=0,0,W42/TrRoad_act!W19*1000)</f>
        <v>74.205017882822901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607.60948512873745</v>
      </c>
      <c r="C104" s="152">
        <f>IF(TrRoad_act!C20=0,0,C43/TrRoad_act!C20*1000)</f>
        <v>572.65577492900707</v>
      </c>
      <c r="D104" s="152">
        <f>IF(TrRoad_act!D20=0,0,D43/TrRoad_act!D20*1000)</f>
        <v>548.48797675234482</v>
      </c>
      <c r="E104" s="152">
        <f>IF(TrRoad_act!E20=0,0,E43/TrRoad_act!E20*1000)</f>
        <v>518.48210332643089</v>
      </c>
      <c r="F104" s="152">
        <f>IF(TrRoad_act!F20=0,0,F43/TrRoad_act!F20*1000)</f>
        <v>497.50840555824584</v>
      </c>
      <c r="G104" s="152">
        <f>IF(TrRoad_act!G20=0,0,G43/TrRoad_act!G20*1000)</f>
        <v>483.10388066781303</v>
      </c>
      <c r="H104" s="152">
        <f>IF(TrRoad_act!H20=0,0,H43/TrRoad_act!H20*1000)</f>
        <v>455.32598876684813</v>
      </c>
      <c r="I104" s="152">
        <f>IF(TrRoad_act!I20=0,0,I43/TrRoad_act!I20*1000)</f>
        <v>437.27551723497737</v>
      </c>
      <c r="J104" s="152">
        <f>IF(TrRoad_act!J20=0,0,J43/TrRoad_act!J20*1000)</f>
        <v>426.01159410499906</v>
      </c>
      <c r="K104" s="152">
        <f>IF(TrRoad_act!K20=0,0,K43/TrRoad_act!K20*1000)</f>
        <v>396.25074821549981</v>
      </c>
      <c r="L104" s="152">
        <f>IF(TrRoad_act!L20=0,0,L43/TrRoad_act!L20*1000)</f>
        <v>379.63003468242533</v>
      </c>
      <c r="M104" s="152">
        <f>IF(TrRoad_act!M20=0,0,M43/TrRoad_act!M20*1000)</f>
        <v>366.4577196197481</v>
      </c>
      <c r="N104" s="152">
        <f>IF(TrRoad_act!N20=0,0,N43/TrRoad_act!N20*1000)</f>
        <v>353.26458700762379</v>
      </c>
      <c r="O104" s="152">
        <f>IF(TrRoad_act!O20=0,0,O43/TrRoad_act!O20*1000)</f>
        <v>347.44358153618583</v>
      </c>
      <c r="P104" s="152">
        <f>IF(TrRoad_act!P20=0,0,P43/TrRoad_act!P20*1000)</f>
        <v>345.04724814079515</v>
      </c>
      <c r="Q104" s="152">
        <f>IF(TrRoad_act!Q20=0,0,Q43/TrRoad_act!Q20*1000)</f>
        <v>334.64315399570592</v>
      </c>
      <c r="R104" s="152">
        <f>IF(TrRoad_act!R20=0,0,R43/TrRoad_act!R20*1000)</f>
        <v>325.86514133440272</v>
      </c>
      <c r="S104" s="152">
        <f>IF(TrRoad_act!S20=0,0,S43/TrRoad_act!S20*1000)</f>
        <v>327.86120785837539</v>
      </c>
      <c r="T104" s="152">
        <f>IF(TrRoad_act!T20=0,0,T43/TrRoad_act!T20*1000)</f>
        <v>334.27085311437787</v>
      </c>
      <c r="U104" s="152">
        <f>IF(TrRoad_act!U20=0,0,U43/TrRoad_act!U20*1000)</f>
        <v>333.09957230758562</v>
      </c>
      <c r="V104" s="152">
        <f>IF(TrRoad_act!V20=0,0,V43/TrRoad_act!V20*1000)</f>
        <v>325.95439824750514</v>
      </c>
      <c r="W104" s="152">
        <f>IF(TrRoad_act!W20=0,0,W43/TrRoad_act!W20*1000)</f>
        <v>332.22062904672367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698.80093101930197</v>
      </c>
      <c r="C105" s="87">
        <f>IF(TrRoad_act!C21=0,0,C44/TrRoad_act!C21*1000)</f>
        <v>674.09160441041433</v>
      </c>
      <c r="D105" s="87">
        <f>IF(TrRoad_act!D21=0,0,D44/TrRoad_act!D21*1000)</f>
        <v>655.58198933830408</v>
      </c>
      <c r="E105" s="87">
        <f>IF(TrRoad_act!E21=0,0,E44/TrRoad_act!E21*1000)</f>
        <v>643.08494914369521</v>
      </c>
      <c r="F105" s="87">
        <f>IF(TrRoad_act!F21=0,0,F44/TrRoad_act!F21*1000)</f>
        <v>630.95988925837037</v>
      </c>
      <c r="G105" s="87">
        <f>IF(TrRoad_act!G21=0,0,G44/TrRoad_act!G21*1000)</f>
        <v>621.93422018564536</v>
      </c>
      <c r="H105" s="87">
        <f>IF(TrRoad_act!H21=0,0,H44/TrRoad_act!H21*1000)</f>
        <v>608.50837131627179</v>
      </c>
      <c r="I105" s="87">
        <f>IF(TrRoad_act!I21=0,0,I44/TrRoad_act!I21*1000)</f>
        <v>591.45063844395736</v>
      </c>
      <c r="J105" s="87">
        <f>IF(TrRoad_act!J21=0,0,J44/TrRoad_act!J21*1000)</f>
        <v>570.59026778208533</v>
      </c>
      <c r="K105" s="87">
        <f>IF(TrRoad_act!K21=0,0,K44/TrRoad_act!K21*1000)</f>
        <v>554.30661591241687</v>
      </c>
      <c r="L105" s="87">
        <f>IF(TrRoad_act!L21=0,0,L44/TrRoad_act!L21*1000)</f>
        <v>545.58679412755691</v>
      </c>
      <c r="M105" s="87">
        <f>IF(TrRoad_act!M21=0,0,M44/TrRoad_act!M21*1000)</f>
        <v>532.35401903828745</v>
      </c>
      <c r="N105" s="87">
        <f>IF(TrRoad_act!N21=0,0,N44/TrRoad_act!N21*1000)</f>
        <v>515.65116992560274</v>
      </c>
      <c r="O105" s="87">
        <f>IF(TrRoad_act!O21=0,0,O44/TrRoad_act!O21*1000)</f>
        <v>522.63295017500138</v>
      </c>
      <c r="P105" s="87">
        <f>IF(TrRoad_act!P21=0,0,P44/TrRoad_act!P21*1000)</f>
        <v>521.18159903221704</v>
      </c>
      <c r="Q105" s="87">
        <f>IF(TrRoad_act!Q21=0,0,Q44/TrRoad_act!Q21*1000)</f>
        <v>511.8835709319406</v>
      </c>
      <c r="R105" s="87">
        <f>IF(TrRoad_act!R21=0,0,R44/TrRoad_act!R21*1000)</f>
        <v>489.06120421450242</v>
      </c>
      <c r="S105" s="87">
        <f>IF(TrRoad_act!S21=0,0,S44/TrRoad_act!S21*1000)</f>
        <v>492.18965526196843</v>
      </c>
      <c r="T105" s="87">
        <f>IF(TrRoad_act!T21=0,0,T44/TrRoad_act!T21*1000)</f>
        <v>495.75247077160276</v>
      </c>
      <c r="U105" s="87">
        <f>IF(TrRoad_act!U21=0,0,U44/TrRoad_act!U21*1000)</f>
        <v>480.80759416492953</v>
      </c>
      <c r="V105" s="87">
        <f>IF(TrRoad_act!V21=0,0,V44/TrRoad_act!V21*1000)</f>
        <v>460.8352484227168</v>
      </c>
      <c r="W105" s="87">
        <f>IF(TrRoad_act!W21=0,0,W44/TrRoad_act!W21*1000)</f>
        <v>459.45768217620042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366.59459412346632</v>
      </c>
      <c r="C106" s="87">
        <f>IF(TrRoad_act!C22=0,0,C46/TrRoad_act!C22*1000)</f>
        <v>345.91110350856462</v>
      </c>
      <c r="D106" s="87">
        <f>IF(TrRoad_act!D22=0,0,D46/TrRoad_act!D22*1000)</f>
        <v>332.55658139498962</v>
      </c>
      <c r="E106" s="87">
        <f>IF(TrRoad_act!E22=0,0,E46/TrRoad_act!E22*1000)</f>
        <v>313.40232806417521</v>
      </c>
      <c r="F106" s="87">
        <f>IF(TrRoad_act!F22=0,0,F46/TrRoad_act!F22*1000)</f>
        <v>305.66277431141128</v>
      </c>
      <c r="G106" s="87">
        <f>IF(TrRoad_act!G22=0,0,G46/TrRoad_act!G22*1000)</f>
        <v>299.8805116050732</v>
      </c>
      <c r="H106" s="87">
        <f>IF(TrRoad_act!H22=0,0,H46/TrRoad_act!H22*1000)</f>
        <v>292.27858893984467</v>
      </c>
      <c r="I106" s="87">
        <f>IF(TrRoad_act!I22=0,0,I46/TrRoad_act!I22*1000)</f>
        <v>287.64457157282152</v>
      </c>
      <c r="J106" s="87">
        <f>IF(TrRoad_act!J22=0,0,J46/TrRoad_act!J22*1000)</f>
        <v>284.31829131784775</v>
      </c>
      <c r="K106" s="87">
        <f>IF(TrRoad_act!K22=0,0,K46/TrRoad_act!K22*1000)</f>
        <v>281.38818683956947</v>
      </c>
      <c r="L106" s="87">
        <f>IF(TrRoad_act!L22=0,0,L46/TrRoad_act!L22*1000)</f>
        <v>277.69267849692682</v>
      </c>
      <c r="M106" s="87">
        <f>IF(TrRoad_act!M22=0,0,M46/TrRoad_act!M22*1000)</f>
        <v>272.03736873573371</v>
      </c>
      <c r="N106" s="87">
        <f>IF(TrRoad_act!N22=0,0,N46/TrRoad_act!N22*1000)</f>
        <v>264.36198859098772</v>
      </c>
      <c r="O106" s="87">
        <f>IF(TrRoad_act!O22=0,0,O46/TrRoad_act!O22*1000)</f>
        <v>274.66544272173155</v>
      </c>
      <c r="P106" s="87">
        <f>IF(TrRoad_act!P22=0,0,P46/TrRoad_act!P22*1000)</f>
        <v>273.967928794915</v>
      </c>
      <c r="Q106" s="87">
        <f>IF(TrRoad_act!Q22=0,0,Q46/TrRoad_act!Q22*1000)</f>
        <v>278.08320734045708</v>
      </c>
      <c r="R106" s="87">
        <f>IF(TrRoad_act!R22=0,0,R46/TrRoad_act!R22*1000)</f>
        <v>276.00392032788375</v>
      </c>
      <c r="S106" s="87">
        <f>IF(TrRoad_act!S22=0,0,S46/TrRoad_act!S22*1000)</f>
        <v>273.00068365255595</v>
      </c>
      <c r="T106" s="87">
        <f>IF(TrRoad_act!T22=0,0,T46/TrRoad_act!T22*1000)</f>
        <v>271.22536275497134</v>
      </c>
      <c r="U106" s="87">
        <f>IF(TrRoad_act!U22=0,0,U46/TrRoad_act!U22*1000)</f>
        <v>273.62027107196127</v>
      </c>
      <c r="V106" s="87">
        <f>IF(TrRoad_act!V22=0,0,V46/TrRoad_act!V22*1000)</f>
        <v>267.39012084978219</v>
      </c>
      <c r="W106" s="87">
        <f>IF(TrRoad_act!W22=0,0,W46/TrRoad_act!W22*1000)</f>
        <v>274.5782397450177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0</v>
      </c>
      <c r="O107" s="87">
        <f>IF(TrRoad_act!O23=0,0,O48/TrRoad_act!O23*1000)</f>
        <v>0</v>
      </c>
      <c r="P107" s="87">
        <f>IF(TrRoad_act!P23=0,0,P48/TrRoad_act!P23*1000)</f>
        <v>0</v>
      </c>
      <c r="Q107" s="87">
        <f>IF(TrRoad_act!Q23=0,0,Q48/TrRoad_act!Q23*1000)</f>
        <v>0</v>
      </c>
      <c r="R107" s="87">
        <f>IF(TrRoad_act!R23=0,0,R48/TrRoad_act!R23*1000)</f>
        <v>0</v>
      </c>
      <c r="S107" s="87">
        <f>IF(TrRoad_act!S23=0,0,S48/TrRoad_act!S23*1000)</f>
        <v>0</v>
      </c>
      <c r="T107" s="87">
        <f>IF(TrRoad_act!T23=0,0,T48/TrRoad_act!T23*1000)</f>
        <v>0</v>
      </c>
      <c r="U107" s="87">
        <f>IF(TrRoad_act!U23=0,0,U48/TrRoad_act!U23*1000)</f>
        <v>0</v>
      </c>
      <c r="V107" s="87">
        <f>IF(TrRoad_act!V23=0,0,V48/TrRoad_act!V23*1000)</f>
        <v>0</v>
      </c>
      <c r="W107" s="87">
        <f>IF(TrRoad_act!W23=0,0,W48/TrRoad_act!W23*1000)</f>
        <v>0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0</v>
      </c>
      <c r="P108" s="87">
        <f>IF(TrRoad_act!P24=0,0,P49/TrRoad_act!P24*1000)</f>
        <v>0</v>
      </c>
      <c r="Q108" s="87">
        <f>IF(TrRoad_act!Q24=0,0,Q49/TrRoad_act!Q24*1000)</f>
        <v>0</v>
      </c>
      <c r="R108" s="87">
        <f>IF(TrRoad_act!R24=0,0,R49/TrRoad_act!R24*1000)</f>
        <v>0</v>
      </c>
      <c r="S108" s="87">
        <f>IF(TrRoad_act!S24=0,0,S49/TrRoad_act!S24*1000)</f>
        <v>0</v>
      </c>
      <c r="T108" s="87">
        <f>IF(TrRoad_act!T24=0,0,T49/TrRoad_act!T24*1000)</f>
        <v>0</v>
      </c>
      <c r="U108" s="87">
        <f>IF(TrRoad_act!U24=0,0,U49/TrRoad_act!U24*1000)</f>
        <v>0</v>
      </c>
      <c r="V108" s="87">
        <f>IF(TrRoad_act!V24=0,0,V49/TrRoad_act!V24*1000)</f>
        <v>0</v>
      </c>
      <c r="W108" s="87">
        <f>IF(TrRoad_act!W24=0,0,W49/TrRoad_act!W24*1000)</f>
        <v>0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0</v>
      </c>
      <c r="N109" s="87">
        <f>IF(TrRoad_act!N25=0,0,N51/TrRoad_act!N25*1000)</f>
        <v>0</v>
      </c>
      <c r="O109" s="87">
        <f>IF(TrRoad_act!O25=0,0,O51/TrRoad_act!O25*1000)</f>
        <v>0</v>
      </c>
      <c r="P109" s="87">
        <f>IF(TrRoad_act!P25=0,0,P51/TrRoad_act!P25*1000)</f>
        <v>0</v>
      </c>
      <c r="Q109" s="87">
        <f>IF(TrRoad_act!Q25=0,0,Q51/TrRoad_act!Q25*1000)</f>
        <v>0</v>
      </c>
      <c r="R109" s="87">
        <f>IF(TrRoad_act!R25=0,0,R51/TrRoad_act!R25*1000)</f>
        <v>0</v>
      </c>
      <c r="S109" s="87">
        <f>IF(TrRoad_act!S25=0,0,S51/TrRoad_act!S25*1000)</f>
        <v>0</v>
      </c>
      <c r="T109" s="87">
        <f>IF(TrRoad_act!T25=0,0,T51/TrRoad_act!T25*1000)</f>
        <v>0</v>
      </c>
      <c r="U109" s="87">
        <f>IF(TrRoad_act!U25=0,0,U51/TrRoad_act!U25*1000)</f>
        <v>0</v>
      </c>
      <c r="V109" s="87">
        <f>IF(TrRoad_act!V25=0,0,V51/TrRoad_act!V25*1000)</f>
        <v>0</v>
      </c>
      <c r="W109" s="87">
        <f>IF(TrRoad_act!W25=0,0,W51/TrRoad_act!W25*1000)</f>
        <v>0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44.148844173364239</v>
      </c>
      <c r="C110" s="116">
        <f>IF(TrRoad_act!C26=0,0,C52/TrRoad_act!C26*1000)</f>
        <v>43.807800524791965</v>
      </c>
      <c r="D110" s="116">
        <f>IF(TrRoad_act!D26=0,0,D52/TrRoad_act!D26*1000)</f>
        <v>43.659221009089492</v>
      </c>
      <c r="E110" s="116">
        <f>IF(TrRoad_act!E26=0,0,E52/TrRoad_act!E26*1000)</f>
        <v>65.090845565691183</v>
      </c>
      <c r="F110" s="116">
        <f>IF(TrRoad_act!F26=0,0,F52/TrRoad_act!F26*1000)</f>
        <v>36.727735712614283</v>
      </c>
      <c r="G110" s="116">
        <f>IF(TrRoad_act!G26=0,0,G52/TrRoad_act!G26*1000)</f>
        <v>52.878899849967887</v>
      </c>
      <c r="H110" s="116">
        <f>IF(TrRoad_act!H26=0,0,H52/TrRoad_act!H26*1000)</f>
        <v>43.562200018877462</v>
      </c>
      <c r="I110" s="116">
        <f>IF(TrRoad_act!I26=0,0,I52/TrRoad_act!I26*1000)</f>
        <v>54.046512711587937</v>
      </c>
      <c r="J110" s="116">
        <f>IF(TrRoad_act!J26=0,0,J52/TrRoad_act!J26*1000)</f>
        <v>48.971771325665891</v>
      </c>
      <c r="K110" s="116">
        <f>IF(TrRoad_act!K26=0,0,K52/TrRoad_act!K26*1000)</f>
        <v>64.678195640986772</v>
      </c>
      <c r="L110" s="116">
        <f>IF(TrRoad_act!L26=0,0,L52/TrRoad_act!L26*1000)</f>
        <v>52.479858659395134</v>
      </c>
      <c r="M110" s="116">
        <f>IF(TrRoad_act!M26=0,0,M52/TrRoad_act!M26*1000)</f>
        <v>60.586576474181051</v>
      </c>
      <c r="N110" s="116">
        <f>IF(TrRoad_act!N26=0,0,N52/TrRoad_act!N26*1000)</f>
        <v>42.689085718757006</v>
      </c>
      <c r="O110" s="116">
        <f>IF(TrRoad_act!O26=0,0,O52/TrRoad_act!O26*1000)</f>
        <v>61.820788369279867</v>
      </c>
      <c r="P110" s="116">
        <f>IF(TrRoad_act!P26=0,0,P52/TrRoad_act!P26*1000)</f>
        <v>56.518184869008785</v>
      </c>
      <c r="Q110" s="116">
        <f>IF(TrRoad_act!Q26=0,0,Q52/TrRoad_act!Q26*1000)</f>
        <v>47.009053929544486</v>
      </c>
      <c r="R110" s="116">
        <f>IF(TrRoad_act!R26=0,0,R52/TrRoad_act!R26*1000)</f>
        <v>44.759614660704848</v>
      </c>
      <c r="S110" s="116">
        <f>IF(TrRoad_act!S26=0,0,S52/TrRoad_act!S26*1000)</f>
        <v>43.79129888238797</v>
      </c>
      <c r="T110" s="116">
        <f>IF(TrRoad_act!T26=0,0,T52/TrRoad_act!T26*1000)</f>
        <v>45.718655270177507</v>
      </c>
      <c r="U110" s="116">
        <f>IF(TrRoad_act!U26=0,0,U52/TrRoad_act!U26*1000)</f>
        <v>49.619912463096327</v>
      </c>
      <c r="V110" s="116">
        <f>IF(TrRoad_act!V26=0,0,V52/TrRoad_act!V26*1000)</f>
        <v>52.141828272589677</v>
      </c>
      <c r="W110" s="116">
        <f>IF(TrRoad_act!W26=0,0,W52/TrRoad_act!W26*1000)</f>
        <v>47.888449922361723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43.243700526582174</v>
      </c>
      <c r="C111" s="101">
        <f>IF(TrRoad_act!C27=0,0,C53/TrRoad_act!C27*1000)</f>
        <v>42.977863811744811</v>
      </c>
      <c r="D111" s="101">
        <f>IF(TrRoad_act!D27=0,0,D53/TrRoad_act!D27*1000)</f>
        <v>42.875575560707489</v>
      </c>
      <c r="E111" s="101">
        <f>IF(TrRoad_act!E27=0,0,E53/TrRoad_act!E27*1000)</f>
        <v>60.817389394712627</v>
      </c>
      <c r="F111" s="101">
        <f>IF(TrRoad_act!F27=0,0,F53/TrRoad_act!F27*1000)</f>
        <v>35.612652241473064</v>
      </c>
      <c r="G111" s="101">
        <f>IF(TrRoad_act!G27=0,0,G53/TrRoad_act!G27*1000)</f>
        <v>50.862455281280234</v>
      </c>
      <c r="H111" s="101">
        <f>IF(TrRoad_act!H27=0,0,H53/TrRoad_act!H27*1000)</f>
        <v>41.754270768092525</v>
      </c>
      <c r="I111" s="101">
        <f>IF(TrRoad_act!I27=0,0,I53/TrRoad_act!I27*1000)</f>
        <v>52.085729168291273</v>
      </c>
      <c r="J111" s="101">
        <f>IF(TrRoad_act!J27=0,0,J53/TrRoad_act!J27*1000)</f>
        <v>47.389139368003647</v>
      </c>
      <c r="K111" s="101">
        <f>IF(TrRoad_act!K27=0,0,K53/TrRoad_act!K27*1000)</f>
        <v>60.092676627931446</v>
      </c>
      <c r="L111" s="101">
        <f>IF(TrRoad_act!L27=0,0,L53/TrRoad_act!L27*1000)</f>
        <v>50.202855081015187</v>
      </c>
      <c r="M111" s="101">
        <f>IF(TrRoad_act!M27=0,0,M53/TrRoad_act!M27*1000)</f>
        <v>57.581220805957642</v>
      </c>
      <c r="N111" s="101">
        <f>IF(TrRoad_act!N27=0,0,N53/TrRoad_act!N27*1000)</f>
        <v>42.599490207237011</v>
      </c>
      <c r="O111" s="101">
        <f>IF(TrRoad_act!O27=0,0,O53/TrRoad_act!O27*1000)</f>
        <v>60.466699851790452</v>
      </c>
      <c r="P111" s="101">
        <f>IF(TrRoad_act!P27=0,0,P53/TrRoad_act!P27*1000)</f>
        <v>54.959720403616203</v>
      </c>
      <c r="Q111" s="101">
        <f>IF(TrRoad_act!Q27=0,0,Q53/TrRoad_act!Q27*1000)</f>
        <v>47.717945104369448</v>
      </c>
      <c r="R111" s="101">
        <f>IF(TrRoad_act!R27=0,0,R53/TrRoad_act!R27*1000)</f>
        <v>44.745164865815987</v>
      </c>
      <c r="S111" s="101">
        <f>IF(TrRoad_act!S27=0,0,S53/TrRoad_act!S27*1000)</f>
        <v>44.949164766518145</v>
      </c>
      <c r="T111" s="101">
        <f>IF(TrRoad_act!T27=0,0,T53/TrRoad_act!T27*1000)</f>
        <v>46.498658233761539</v>
      </c>
      <c r="U111" s="101">
        <f>IF(TrRoad_act!U27=0,0,U53/TrRoad_act!U27*1000)</f>
        <v>49.457336503026887</v>
      </c>
      <c r="V111" s="101">
        <f>IF(TrRoad_act!V27=0,0,V53/TrRoad_act!V27*1000)</f>
        <v>52.700628922603585</v>
      </c>
      <c r="W111" s="101">
        <f>IF(TrRoad_act!W27=0,0,W53/TrRoad_act!W27*1000)</f>
        <v>47.244771109446518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56.630838746551113</v>
      </c>
      <c r="C112" s="88">
        <f>IF(TrRoad_act!C28=0,0,C55/TrRoad_act!C28*1000)</f>
        <v>54.725867637856311</v>
      </c>
      <c r="D112" s="88">
        <f>IF(TrRoad_act!D28=0,0,D55/TrRoad_act!D28*1000)</f>
        <v>53.602707759966641</v>
      </c>
      <c r="E112" s="88">
        <f>IF(TrRoad_act!E28=0,0,E55/TrRoad_act!E28*1000)</f>
        <v>99.081228103056304</v>
      </c>
      <c r="F112" s="88">
        <f>IF(TrRoad_act!F28=0,0,F55/TrRoad_act!F28*1000)</f>
        <v>52.595104667947645</v>
      </c>
      <c r="G112" s="88">
        <f>IF(TrRoad_act!G28=0,0,G55/TrRoad_act!G28*1000)</f>
        <v>70.02209659651497</v>
      </c>
      <c r="H112" s="88">
        <f>IF(TrRoad_act!H28=0,0,H55/TrRoad_act!H28*1000)</f>
        <v>60.23645738195647</v>
      </c>
      <c r="I112" s="88">
        <f>IF(TrRoad_act!I28=0,0,I55/TrRoad_act!I28*1000)</f>
        <v>71.694611048909721</v>
      </c>
      <c r="J112" s="88">
        <f>IF(TrRoad_act!J28=0,0,J55/TrRoad_act!J28*1000)</f>
        <v>67.32708860072789</v>
      </c>
      <c r="K112" s="88">
        <f>IF(TrRoad_act!K28=0,0,K55/TrRoad_act!K28*1000)</f>
        <v>124.80760551934701</v>
      </c>
      <c r="L112" s="88">
        <f>IF(TrRoad_act!L28=0,0,L55/TrRoad_act!L28*1000)</f>
        <v>76.546369444409933</v>
      </c>
      <c r="M112" s="88">
        <f>IF(TrRoad_act!M28=0,0,M55/TrRoad_act!M28*1000)</f>
        <v>86.817648050647534</v>
      </c>
      <c r="N112" s="88">
        <f>IF(TrRoad_act!N28=0,0,N55/TrRoad_act!N28*1000)</f>
        <v>43.378099841776326</v>
      </c>
      <c r="O112" s="88">
        <f>IF(TrRoad_act!O28=0,0,O55/TrRoad_act!O28*1000)</f>
        <v>68.797197117689279</v>
      </c>
      <c r="P112" s="88">
        <f>IF(TrRoad_act!P28=0,0,P55/TrRoad_act!P28*1000)</f>
        <v>66.289935797082762</v>
      </c>
      <c r="Q112" s="88">
        <f>IF(TrRoad_act!Q28=0,0,Q55/TrRoad_act!Q28*1000)</f>
        <v>42.959322538097958</v>
      </c>
      <c r="R112" s="88">
        <f>IF(TrRoad_act!R28=0,0,R55/TrRoad_act!R28*1000)</f>
        <v>44.849067437078624</v>
      </c>
      <c r="S112" s="88">
        <f>IF(TrRoad_act!S28=0,0,S55/TrRoad_act!S28*1000)</f>
        <v>39.572453690111757</v>
      </c>
      <c r="T112" s="88">
        <f>IF(TrRoad_act!T28=0,0,T55/TrRoad_act!T28*1000)</f>
        <v>42.707417343042991</v>
      </c>
      <c r="U112" s="88">
        <f>IF(TrRoad_act!U28=0,0,U55/TrRoad_act!U28*1000)</f>
        <v>50.292982221942822</v>
      </c>
      <c r="V112" s="88">
        <f>IF(TrRoad_act!V28=0,0,V55/TrRoad_act!V28*1000)</f>
        <v>50.264060642742983</v>
      </c>
      <c r="W112" s="88">
        <f>IF(TrRoad_act!W28=0,0,W55/TrRoad_act!W28*1000)</f>
        <v>51.188329920641166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216.45070115480317</v>
      </c>
      <c r="C116" s="152">
        <f>IF(C19=0,0,1000000*C19/TrRoad_act!C59)</f>
        <v>214.77521054239898</v>
      </c>
      <c r="D116" s="152">
        <f>IF(D19=0,0,1000000*D19/TrRoad_act!D59)</f>
        <v>221.43624829748012</v>
      </c>
      <c r="E116" s="152">
        <f>IF(E19=0,0,1000000*E19/TrRoad_act!E59)</f>
        <v>217.88084069403118</v>
      </c>
      <c r="F116" s="152">
        <f>IF(F19=0,0,1000000*F19/TrRoad_act!F59)</f>
        <v>204.10171209548179</v>
      </c>
      <c r="G116" s="152">
        <f>IF(G19=0,0,1000000*G19/TrRoad_act!G59)</f>
        <v>194.95397213635118</v>
      </c>
      <c r="H116" s="152">
        <f>IF(H19=0,0,1000000*H19/TrRoad_act!H59)</f>
        <v>165.91162673995586</v>
      </c>
      <c r="I116" s="152">
        <f>IF(I19=0,0,1000000*I19/TrRoad_act!I59)</f>
        <v>154.19950265615256</v>
      </c>
      <c r="J116" s="152">
        <f>IF(J19=0,0,1000000*J19/TrRoad_act!J59)</f>
        <v>154.58256900036614</v>
      </c>
      <c r="K116" s="152">
        <f>IF(K19=0,0,1000000*K19/TrRoad_act!K59)</f>
        <v>151.94811999475866</v>
      </c>
      <c r="L116" s="152">
        <f>IF(L19=0,0,1000000*L19/TrRoad_act!L59)</f>
        <v>173.65361343216421</v>
      </c>
      <c r="M116" s="152">
        <f>IF(M19=0,0,1000000*M19/TrRoad_act!M59)</f>
        <v>173.49337435112619</v>
      </c>
      <c r="N116" s="152">
        <f>IF(N19=0,0,1000000*N19/TrRoad_act!N59)</f>
        <v>175.91736763242881</v>
      </c>
      <c r="O116" s="152">
        <f>IF(O19=0,0,1000000*O19/TrRoad_act!O59)</f>
        <v>174.69528200949284</v>
      </c>
      <c r="P116" s="152">
        <f>IF(P19=0,0,1000000*P19/TrRoad_act!P59)</f>
        <v>175.99663769349161</v>
      </c>
      <c r="Q116" s="152">
        <f>IF(Q19=0,0,1000000*Q19/TrRoad_act!Q59)</f>
        <v>177.90408062401701</v>
      </c>
      <c r="R116" s="152">
        <f>IF(R19=0,0,1000000*R19/TrRoad_act!R59)</f>
        <v>168.60372837513341</v>
      </c>
      <c r="S116" s="152">
        <f>IF(S19=0,0,1000000*S19/TrRoad_act!S59)</f>
        <v>165.30679994024038</v>
      </c>
      <c r="T116" s="152">
        <f>IF(T19=0,0,1000000*T19/TrRoad_act!T59)</f>
        <v>158.86962025195419</v>
      </c>
      <c r="U116" s="152">
        <f>IF(U19=0,0,1000000*U19/TrRoad_act!U59)</f>
        <v>163.65559012613252</v>
      </c>
      <c r="V116" s="152">
        <f>IF(V19=0,0,1000000*V19/TrRoad_act!V59)</f>
        <v>135.67890685194337</v>
      </c>
      <c r="W116" s="152">
        <f>IF(W19=0,0,1000000*W19/TrRoad_act!W59)</f>
        <v>137.22457316024332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774.60706516612277</v>
      </c>
      <c r="C117" s="116">
        <f>IF(C21=0,0,1000000*C21/TrRoad_act!C60)</f>
        <v>762.39207417053967</v>
      </c>
      <c r="D117" s="116">
        <f>IF(D21=0,0,1000000*D21/TrRoad_act!D60)</f>
        <v>759.36111692148108</v>
      </c>
      <c r="E117" s="116">
        <f>IF(E21=0,0,1000000*E21/TrRoad_act!E60)</f>
        <v>761.66224898966937</v>
      </c>
      <c r="F117" s="116">
        <f>IF(F21=0,0,1000000*F21/TrRoad_act!F60)</f>
        <v>766.41439921109725</v>
      </c>
      <c r="G117" s="116">
        <f>IF(G21=0,0,1000000*G21/TrRoad_act!G60)</f>
        <v>767.71426042205223</v>
      </c>
      <c r="H117" s="116">
        <f>IF(H21=0,0,1000000*H21/TrRoad_act!H60)</f>
        <v>769.44134215320446</v>
      </c>
      <c r="I117" s="116">
        <f>IF(I21=0,0,1000000*I21/TrRoad_act!I60)</f>
        <v>768.60091751585503</v>
      </c>
      <c r="J117" s="116">
        <f>IF(J21=0,0,1000000*J21/TrRoad_act!J60)</f>
        <v>730.37159202160069</v>
      </c>
      <c r="K117" s="116">
        <f>IF(K21=0,0,1000000*K21/TrRoad_act!K60)</f>
        <v>736.5934589545642</v>
      </c>
      <c r="L117" s="116">
        <f>IF(L21=0,0,1000000*L21/TrRoad_act!L60)</f>
        <v>655.36119163179512</v>
      </c>
      <c r="M117" s="116">
        <f>IF(M21=0,0,1000000*M21/TrRoad_act!M60)</f>
        <v>625.86776478256024</v>
      </c>
      <c r="N117" s="116">
        <f>IF(N21=0,0,1000000*N21/TrRoad_act!N60)</f>
        <v>529.58272359618206</v>
      </c>
      <c r="O117" s="116">
        <f>IF(O21=0,0,1000000*O21/TrRoad_act!O60)</f>
        <v>494.64344034320101</v>
      </c>
      <c r="P117" s="116">
        <f>IF(P21=0,0,1000000*P21/TrRoad_act!P60)</f>
        <v>483.26402969549508</v>
      </c>
      <c r="Q117" s="116">
        <f>IF(Q21=0,0,1000000*Q21/TrRoad_act!Q60)</f>
        <v>500.14214748018867</v>
      </c>
      <c r="R117" s="116">
        <f>IF(R21=0,0,1000000*R21/TrRoad_act!R60)</f>
        <v>502.90684070027527</v>
      </c>
      <c r="S117" s="116">
        <f>IF(S21=0,0,1000000*S21/TrRoad_act!S60)</f>
        <v>495.95496273413022</v>
      </c>
      <c r="T117" s="116">
        <f>IF(T21=0,0,1000000*T21/TrRoad_act!T60)</f>
        <v>492.31756347990364</v>
      </c>
      <c r="U117" s="116">
        <f>IF(U21=0,0,1000000*U21/TrRoad_act!U60)</f>
        <v>491.9918201830672</v>
      </c>
      <c r="V117" s="116">
        <f>IF(V21=0,0,1000000*V21/TrRoad_act!V60)</f>
        <v>409.1893109242701</v>
      </c>
      <c r="W117" s="116">
        <f>IF(W21=0,0,1000000*W21/TrRoad_act!W60)</f>
        <v>424.11713610564726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751.44628487627426</v>
      </c>
      <c r="C118" s="87">
        <f>IF(C22=0,0,1000000*C22/TrRoad_act!C61)</f>
        <v>740.27780650058219</v>
      </c>
      <c r="D118" s="87">
        <f>IF(D22=0,0,1000000*D22/TrRoad_act!D61)</f>
        <v>738.65468427363055</v>
      </c>
      <c r="E118" s="87">
        <f>IF(E22=0,0,1000000*E22/TrRoad_act!E61)</f>
        <v>741.77164739898228</v>
      </c>
      <c r="F118" s="87">
        <f>IF(F22=0,0,1000000*F22/TrRoad_act!F61)</f>
        <v>748.96130314638799</v>
      </c>
      <c r="G118" s="87">
        <f>IF(G22=0,0,1000000*G22/TrRoad_act!G61)</f>
        <v>750.27515583209424</v>
      </c>
      <c r="H118" s="87">
        <f>IF(H22=0,0,1000000*H22/TrRoad_act!H61)</f>
        <v>750.91269157970521</v>
      </c>
      <c r="I118" s="87">
        <f>IF(I22=0,0,1000000*I22/TrRoad_act!I61)</f>
        <v>748.97660955270567</v>
      </c>
      <c r="J118" s="87">
        <f>IF(J22=0,0,1000000*J22/TrRoad_act!J61)</f>
        <v>712.98947582527501</v>
      </c>
      <c r="K118" s="87">
        <f>IF(K22=0,0,1000000*K22/TrRoad_act!K61)</f>
        <v>714.61036621995572</v>
      </c>
      <c r="L118" s="87">
        <f>IF(L22=0,0,1000000*L22/TrRoad_act!L61)</f>
        <v>630.5576080655643</v>
      </c>
      <c r="M118" s="87">
        <f>IF(M22=0,0,1000000*M22/TrRoad_act!M61)</f>
        <v>577.38471992120333</v>
      </c>
      <c r="N118" s="87">
        <f>IF(N22=0,0,1000000*N22/TrRoad_act!N61)</f>
        <v>496.67864817266349</v>
      </c>
      <c r="O118" s="87">
        <f>IF(O22=0,0,1000000*O22/TrRoad_act!O61)</f>
        <v>456.97713526640052</v>
      </c>
      <c r="P118" s="87">
        <f>IF(P22=0,0,1000000*P22/TrRoad_act!P61)</f>
        <v>436.71653771020732</v>
      </c>
      <c r="Q118" s="87">
        <f>IF(Q22=0,0,1000000*Q22/TrRoad_act!Q61)</f>
        <v>420.42877167985176</v>
      </c>
      <c r="R118" s="87">
        <f>IF(R22=0,0,1000000*R22/TrRoad_act!R61)</f>
        <v>415.49540970178953</v>
      </c>
      <c r="S118" s="87">
        <f>IF(S22=0,0,1000000*S22/TrRoad_act!S61)</f>
        <v>398.76140100424351</v>
      </c>
      <c r="T118" s="87">
        <f>IF(T22=0,0,1000000*T22/TrRoad_act!T61)</f>
        <v>388.48360318189708</v>
      </c>
      <c r="U118" s="87">
        <f>IF(U22=0,0,1000000*U22/TrRoad_act!U61)</f>
        <v>374.66748449951433</v>
      </c>
      <c r="V118" s="87">
        <f>IF(V22=0,0,1000000*V22/TrRoad_act!V61)</f>
        <v>299.17143802627947</v>
      </c>
      <c r="W118" s="87">
        <f>IF(W22=0,0,1000000*W22/TrRoad_act!W61)</f>
        <v>312.43980567249338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1437.2686545628262</v>
      </c>
      <c r="C119" s="87">
        <f>IF(C24=0,0,1000000*C24/TrRoad_act!C62)</f>
        <v>1443.2942695374809</v>
      </c>
      <c r="D119" s="87">
        <f>IF(D24=0,0,1000000*D24/TrRoad_act!D62)</f>
        <v>1439.6017593103611</v>
      </c>
      <c r="E119" s="87">
        <f>IF(E24=0,0,1000000*E24/TrRoad_act!E62)</f>
        <v>1441.371598927039</v>
      </c>
      <c r="F119" s="87">
        <f>IF(F24=0,0,1000000*F24/TrRoad_act!F62)</f>
        <v>1450.5452798614938</v>
      </c>
      <c r="G119" s="87">
        <f>IF(G24=0,0,1000000*G24/TrRoad_act!G62)</f>
        <v>1476.137726027715</v>
      </c>
      <c r="H119" s="87">
        <f>IF(H24=0,0,1000000*H24/TrRoad_act!H62)</f>
        <v>1477.8421076910233</v>
      </c>
      <c r="I119" s="87">
        <f>IF(I24=0,0,1000000*I24/TrRoad_act!I62)</f>
        <v>1520.1484216887416</v>
      </c>
      <c r="J119" s="87">
        <f>IF(J24=0,0,1000000*J24/TrRoad_act!J62)</f>
        <v>1417.1783828153555</v>
      </c>
      <c r="K119" s="87">
        <f>IF(K24=0,0,1000000*K24/TrRoad_act!K62)</f>
        <v>1501.2558095512693</v>
      </c>
      <c r="L119" s="87">
        <f>IF(L24=0,0,1000000*L24/TrRoad_act!L62)</f>
        <v>1423.281500876456</v>
      </c>
      <c r="M119" s="87">
        <f>IF(M24=0,0,1000000*M24/TrRoad_act!M62)</f>
        <v>1413.8726812088287</v>
      </c>
      <c r="N119" s="87">
        <f>IF(N24=0,0,1000000*N24/TrRoad_act!N62)</f>
        <v>1512.6021409166169</v>
      </c>
      <c r="O119" s="87">
        <f>IF(O24=0,0,1000000*O24/TrRoad_act!O62)</f>
        <v>953.49060709302091</v>
      </c>
      <c r="P119" s="87">
        <f>IF(P24=0,0,1000000*P24/TrRoad_act!P62)</f>
        <v>946.0951165265094</v>
      </c>
      <c r="Q119" s="87">
        <f>IF(Q24=0,0,1000000*Q24/TrRoad_act!Q62)</f>
        <v>1863.4925190841666</v>
      </c>
      <c r="R119" s="87">
        <f>IF(R24=0,0,1000000*R24/TrRoad_act!R62)</f>
        <v>1828.5548687110306</v>
      </c>
      <c r="S119" s="87">
        <f>IF(S24=0,0,1000000*S24/TrRoad_act!S62)</f>
        <v>1875.8949295476807</v>
      </c>
      <c r="T119" s="87">
        <f>IF(T24=0,0,1000000*T24/TrRoad_act!T62)</f>
        <v>1756.045422089788</v>
      </c>
      <c r="U119" s="87">
        <f>IF(U24=0,0,1000000*U24/TrRoad_act!U62)</f>
        <v>1730.9243938179911</v>
      </c>
      <c r="V119" s="87">
        <f>IF(V24=0,0,1000000*V24/TrRoad_act!V62)</f>
        <v>1399.954282218622</v>
      </c>
      <c r="W119" s="87">
        <f>IF(W24=0,0,1000000*W24/TrRoad_act!W62)</f>
        <v>1530.6961872286254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1613.9131146869752</v>
      </c>
      <c r="C120" s="87">
        <f>IF(C26=0,0,1000000*C26/TrRoad_act!C63)</f>
        <v>1855.8355594555608</v>
      </c>
      <c r="D120" s="87">
        <f>IF(D26=0,0,1000000*D26/TrRoad_act!D63)</f>
        <v>1829.4383789499341</v>
      </c>
      <c r="E120" s="87">
        <f>IF(E26=0,0,1000000*E26/TrRoad_act!E63)</f>
        <v>1592.4963883571315</v>
      </c>
      <c r="F120" s="87">
        <f>IF(F26=0,0,1000000*F26/TrRoad_act!F63)</f>
        <v>1583.886197960788</v>
      </c>
      <c r="G120" s="87">
        <f>IF(G26=0,0,1000000*G26/TrRoad_act!G63)</f>
        <v>1597.5281024810827</v>
      </c>
      <c r="H120" s="87">
        <f>IF(H26=0,0,1000000*H26/TrRoad_act!H63)</f>
        <v>1576.4519991374275</v>
      </c>
      <c r="I120" s="87">
        <f>IF(I26=0,0,1000000*I26/TrRoad_act!I63)</f>
        <v>1582.8279923040584</v>
      </c>
      <c r="J120" s="87">
        <f>IF(J26=0,0,1000000*J26/TrRoad_act!J63)</f>
        <v>1543.3654091625981</v>
      </c>
      <c r="K120" s="87">
        <f>IF(K26=0,0,1000000*K26/TrRoad_act!K63)</f>
        <v>1462.9693748412662</v>
      </c>
      <c r="L120" s="87">
        <f>IF(L26=0,0,1000000*L26/TrRoad_act!L63)</f>
        <v>1426.8724764978297</v>
      </c>
      <c r="M120" s="87">
        <f>IF(M26=0,0,1000000*M26/TrRoad_act!M63)</f>
        <v>2405.1081347120999</v>
      </c>
      <c r="N120" s="87">
        <f>IF(N26=0,0,1000000*N26/TrRoad_act!N63)</f>
        <v>1378.3089678765525</v>
      </c>
      <c r="O120" s="87">
        <f>IF(O26=0,0,1000000*O26/TrRoad_act!O63)</f>
        <v>1421.2550444131773</v>
      </c>
      <c r="P120" s="87">
        <f>IF(P26=0,0,1000000*P26/TrRoad_act!P63)</f>
        <v>1409.4370623916154</v>
      </c>
      <c r="Q120" s="87">
        <f>IF(Q26=0,0,1000000*Q26/TrRoad_act!Q63)</f>
        <v>1392.1188399800549</v>
      </c>
      <c r="R120" s="87">
        <f>IF(R26=0,0,1000000*R26/TrRoad_act!R63)</f>
        <v>1231.2292968921117</v>
      </c>
      <c r="S120" s="87">
        <f>IF(S26=0,0,1000000*S26/TrRoad_act!S63)</f>
        <v>1154.5079008581847</v>
      </c>
      <c r="T120" s="87">
        <f>IF(T26=0,0,1000000*T26/TrRoad_act!T63)</f>
        <v>1102.5996074185484</v>
      </c>
      <c r="U120" s="87">
        <f>IF(U26=0,0,1000000*U26/TrRoad_act!U63)</f>
        <v>1113.74194135428</v>
      </c>
      <c r="V120" s="87">
        <f>IF(V26=0,0,1000000*V26/TrRoad_act!V63)</f>
        <v>1030.7212983003678</v>
      </c>
      <c r="W120" s="87">
        <f>IF(W26=0,0,1000000*W26/TrRoad_act!W63)</f>
        <v>993.39569541789001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1417.4570536111971</v>
      </c>
      <c r="D121" s="87">
        <f>IF(D27=0,0,1000000*D27/TrRoad_act!D64)</f>
        <v>1405.7622196582993</v>
      </c>
      <c r="E121" s="87">
        <f>IF(E27=0,0,1000000*E27/TrRoad_act!E64)</f>
        <v>1394.5392967541086</v>
      </c>
      <c r="F121" s="87">
        <f>IF(F27=0,0,1000000*F27/TrRoad_act!F64)</f>
        <v>1383.269473772566</v>
      </c>
      <c r="G121" s="87">
        <f>IF(G27=0,0,1000000*G27/TrRoad_act!G64)</f>
        <v>1370.2211154404285</v>
      </c>
      <c r="H121" s="87">
        <f>IF(H27=0,0,1000000*H27/TrRoad_act!H64)</f>
        <v>1355.7091620189551</v>
      </c>
      <c r="I121" s="87">
        <f>IF(I27=0,0,1000000*I27/TrRoad_act!I64)</f>
        <v>1319.9026721842731</v>
      </c>
      <c r="J121" s="87">
        <f>IF(J27=0,0,1000000*J27/TrRoad_act!J64)</f>
        <v>1295.6675836420814</v>
      </c>
      <c r="K121" s="87">
        <f>IF(K27=0,0,1000000*K27/TrRoad_act!K64)</f>
        <v>1205.9429046829891</v>
      </c>
      <c r="L121" s="87">
        <f>IF(L27=0,0,1000000*L27/TrRoad_act!L64)</f>
        <v>1141.3026135491298</v>
      </c>
      <c r="M121" s="87">
        <f>IF(M27=0,0,1000000*M27/TrRoad_act!M64)</f>
        <v>1125.9384906915031</v>
      </c>
      <c r="N121" s="87">
        <f>IF(N27=0,0,1000000*N27/TrRoad_act!N64)</f>
        <v>1128.6968884755522</v>
      </c>
      <c r="O121" s="87">
        <f>IF(O27=0,0,1000000*O27/TrRoad_act!O64)</f>
        <v>1142.1566690670516</v>
      </c>
      <c r="P121" s="87">
        <f>IF(P27=0,0,1000000*P27/TrRoad_act!P64)</f>
        <v>1156.4641001039004</v>
      </c>
      <c r="Q121" s="87">
        <f>IF(Q27=0,0,1000000*Q27/TrRoad_act!Q64)</f>
        <v>1078.4752696605751</v>
      </c>
      <c r="R121" s="87">
        <f>IF(R27=0,0,1000000*R27/TrRoad_act!R64)</f>
        <v>1072.9351713428903</v>
      </c>
      <c r="S121" s="87">
        <f>IF(S27=0,0,1000000*S27/TrRoad_act!S64)</f>
        <v>1035.0308981079002</v>
      </c>
      <c r="T121" s="87">
        <f>IF(T27=0,0,1000000*T27/TrRoad_act!T64)</f>
        <v>1037.4174647312757</v>
      </c>
      <c r="U121" s="87">
        <f>IF(U27=0,0,1000000*U27/TrRoad_act!U64)</f>
        <v>1003.617169222745</v>
      </c>
      <c r="V121" s="87">
        <f>IF(V27=0,0,1000000*V27/TrRoad_act!V64)</f>
        <v>891.09405964258542</v>
      </c>
      <c r="W121" s="87">
        <f>IF(W27=0,0,1000000*W27/TrRoad_act!W64)</f>
        <v>810.00895872797844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209.19164390751678</v>
      </c>
      <c r="O122" s="87">
        <f>IF(O29=0,0,1000000*O29/TrRoad_act!O65)</f>
        <v>133.66982841408392</v>
      </c>
      <c r="P122" s="87">
        <f>IF(P29=0,0,1000000*P29/TrRoad_act!P65)</f>
        <v>172.40445560808615</v>
      </c>
      <c r="Q122" s="87">
        <f>IF(Q29=0,0,1000000*Q29/TrRoad_act!Q65)</f>
        <v>193.16442867416731</v>
      </c>
      <c r="R122" s="87">
        <f>IF(R29=0,0,1000000*R29/TrRoad_act!R65)</f>
        <v>252.9108353103104</v>
      </c>
      <c r="S122" s="87">
        <f>IF(S29=0,0,1000000*S29/TrRoad_act!S65)</f>
        <v>270.07182676891489</v>
      </c>
      <c r="T122" s="87">
        <f>IF(T29=0,0,1000000*T29/TrRoad_act!T65)</f>
        <v>290.82566323421162</v>
      </c>
      <c r="U122" s="87">
        <f>IF(U29=0,0,1000000*U29/TrRoad_act!U65)</f>
        <v>300.58218858310209</v>
      </c>
      <c r="V122" s="87">
        <f>IF(V29=0,0,1000000*V29/TrRoad_act!V65)</f>
        <v>258.99078232404185</v>
      </c>
      <c r="W122" s="87">
        <f>IF(W29=0,0,1000000*W29/TrRoad_act!W65)</f>
        <v>241.98262060034585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0</v>
      </c>
      <c r="L123" s="87">
        <f>IF(L32=0,0,1000000*L32/TrRoad_act!L66)</f>
        <v>0</v>
      </c>
      <c r="M123" s="87">
        <f>IF(M32=0,0,1000000*M32/TrRoad_act!M66)</f>
        <v>0</v>
      </c>
      <c r="N123" s="87">
        <f>IF(N32=0,0,1000000*N32/TrRoad_act!N66)</f>
        <v>154.32300121949791</v>
      </c>
      <c r="O123" s="87">
        <f>IF(O32=0,0,1000000*O32/TrRoad_act!O66)</f>
        <v>162.04546330566123</v>
      </c>
      <c r="P123" s="87">
        <f>IF(P32=0,0,1000000*P32/TrRoad_act!P66)</f>
        <v>161.99861404547548</v>
      </c>
      <c r="Q123" s="87">
        <f>IF(Q32=0,0,1000000*Q32/TrRoad_act!Q66)</f>
        <v>170.55404882812633</v>
      </c>
      <c r="R123" s="87">
        <f>IF(R32=0,0,1000000*R32/TrRoad_act!R66)</f>
        <v>170.51818875585948</v>
      </c>
      <c r="S123" s="87">
        <f>IF(S32=0,0,1000000*S32/TrRoad_act!S66)</f>
        <v>168.38087312020454</v>
      </c>
      <c r="T123" s="87">
        <f>IF(T32=0,0,1000000*T32/TrRoad_act!T66)</f>
        <v>172.10460786259623</v>
      </c>
      <c r="U123" s="87">
        <f>IF(U32=0,0,1000000*U32/TrRoad_act!U66)</f>
        <v>196.64388179703107</v>
      </c>
      <c r="V123" s="87">
        <f>IF(V32=0,0,1000000*V32/TrRoad_act!V66)</f>
        <v>189.12710660288005</v>
      </c>
      <c r="W123" s="87">
        <f>IF(W32=0,0,1000000*W32/TrRoad_act!W66)</f>
        <v>211.88837181808321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20627.902633939255</v>
      </c>
      <c r="C124" s="116">
        <f>IF(C33=0,0,1000000*C33/TrRoad_act!C67)</f>
        <v>19932.125582762121</v>
      </c>
      <c r="D124" s="116">
        <f>IF(D33=0,0,1000000*D33/TrRoad_act!D67)</f>
        <v>19753.641617908466</v>
      </c>
      <c r="E124" s="116">
        <f>IF(E33=0,0,1000000*E33/TrRoad_act!E67)</f>
        <v>25570.471313551276</v>
      </c>
      <c r="F124" s="116">
        <f>IF(F33=0,0,1000000*F33/TrRoad_act!F67)</f>
        <v>19576.739228091905</v>
      </c>
      <c r="G124" s="116">
        <f>IF(G33=0,0,1000000*G33/TrRoad_act!G67)</f>
        <v>22082.082115688179</v>
      </c>
      <c r="H124" s="116">
        <f>IF(H33=0,0,1000000*H33/TrRoad_act!H67)</f>
        <v>21527.560592642305</v>
      </c>
      <c r="I124" s="116">
        <f>IF(I33=0,0,1000000*I33/TrRoad_act!I67)</f>
        <v>22050.921066349645</v>
      </c>
      <c r="J124" s="116">
        <f>IF(J33=0,0,1000000*J33/TrRoad_act!J67)</f>
        <v>20126.506633668592</v>
      </c>
      <c r="K124" s="116">
        <f>IF(K33=0,0,1000000*K33/TrRoad_act!K67)</f>
        <v>23733.191866868056</v>
      </c>
      <c r="L124" s="116">
        <f>IF(L33=0,0,1000000*L33/TrRoad_act!L67)</f>
        <v>20849.077195534566</v>
      </c>
      <c r="M124" s="116">
        <f>IF(M33=0,0,1000000*M33/TrRoad_act!M67)</f>
        <v>22332.364766175215</v>
      </c>
      <c r="N124" s="116">
        <f>IF(N33=0,0,1000000*N33/TrRoad_act!N67)</f>
        <v>18486.584666073108</v>
      </c>
      <c r="O124" s="116">
        <f>IF(O33=0,0,1000000*O33/TrRoad_act!O67)</f>
        <v>21218.548870349448</v>
      </c>
      <c r="P124" s="116">
        <f>IF(P33=0,0,1000000*P33/TrRoad_act!P67)</f>
        <v>20618.781392847231</v>
      </c>
      <c r="Q124" s="116">
        <f>IF(Q33=0,0,1000000*Q33/TrRoad_act!Q67)</f>
        <v>19866.024199192634</v>
      </c>
      <c r="R124" s="116">
        <f>IF(R33=0,0,1000000*R33/TrRoad_act!R67)</f>
        <v>20165.573307668019</v>
      </c>
      <c r="S124" s="116">
        <f>IF(S33=0,0,1000000*S33/TrRoad_act!S67)</f>
        <v>20238.654258619303</v>
      </c>
      <c r="T124" s="116">
        <f>IF(T33=0,0,1000000*T33/TrRoad_act!T67)</f>
        <v>20766.543881136138</v>
      </c>
      <c r="U124" s="116">
        <f>IF(U33=0,0,1000000*U33/TrRoad_act!U67)</f>
        <v>21466.318350676665</v>
      </c>
      <c r="V124" s="116">
        <f>IF(V33=0,0,1000000*V33/TrRoad_act!V67)</f>
        <v>20712.3229844823</v>
      </c>
      <c r="W124" s="116">
        <f>IF(W33=0,0,1000000*W33/TrRoad_act!W67)</f>
        <v>20975.376224555817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0</v>
      </c>
      <c r="C125" s="101">
        <f>IF(C34=0,0,1000000*C34/TrRoad_act!C68)</f>
        <v>0</v>
      </c>
      <c r="D125" s="101">
        <f>IF(D34=0,0,1000000*D34/TrRoad_act!D68)</f>
        <v>0</v>
      </c>
      <c r="E125" s="101">
        <f>IF(E34=0,0,1000000*E34/TrRoad_act!E68)</f>
        <v>0</v>
      </c>
      <c r="F125" s="101">
        <f>IF(F34=0,0,1000000*F34/TrRoad_act!F68)</f>
        <v>0</v>
      </c>
      <c r="G125" s="101">
        <f>IF(G34=0,0,1000000*G34/TrRoad_act!G68)</f>
        <v>0</v>
      </c>
      <c r="H125" s="101">
        <f>IF(H34=0,0,1000000*H34/TrRoad_act!H68)</f>
        <v>0</v>
      </c>
      <c r="I125" s="101">
        <f>IF(I34=0,0,1000000*I34/TrRoad_act!I68)</f>
        <v>0</v>
      </c>
      <c r="J125" s="101">
        <f>IF(J34=0,0,1000000*J34/TrRoad_act!J68)</f>
        <v>0</v>
      </c>
      <c r="K125" s="101">
        <f>IF(K34=0,0,1000000*K34/TrRoad_act!K68)</f>
        <v>0</v>
      </c>
      <c r="L125" s="101">
        <f>IF(L34=0,0,1000000*L34/TrRoad_act!L68)</f>
        <v>0</v>
      </c>
      <c r="M125" s="101">
        <f>IF(M34=0,0,1000000*M34/TrRoad_act!M68)</f>
        <v>0</v>
      </c>
      <c r="N125" s="101">
        <f>IF(N34=0,0,1000000*N34/TrRoad_act!N68)</f>
        <v>0</v>
      </c>
      <c r="O125" s="101">
        <f>IF(O34=0,0,1000000*O34/TrRoad_act!O68)</f>
        <v>0</v>
      </c>
      <c r="P125" s="101">
        <f>IF(P34=0,0,1000000*P34/TrRoad_act!P68)</f>
        <v>0</v>
      </c>
      <c r="Q125" s="101">
        <f>IF(Q34=0,0,1000000*Q34/TrRoad_act!Q68)</f>
        <v>0</v>
      </c>
      <c r="R125" s="101">
        <f>IF(R34=0,0,1000000*R34/TrRoad_act!R68)</f>
        <v>0</v>
      </c>
      <c r="S125" s="101">
        <f>IF(S34=0,0,1000000*S34/TrRoad_act!S68)</f>
        <v>0</v>
      </c>
      <c r="T125" s="101">
        <f>IF(T34=0,0,1000000*T34/TrRoad_act!T68)</f>
        <v>0</v>
      </c>
      <c r="U125" s="101">
        <f>IF(U34=0,0,1000000*U34/TrRoad_act!U68)</f>
        <v>0</v>
      </c>
      <c r="V125" s="101">
        <f>IF(V34=0,0,1000000*V34/TrRoad_act!V68)</f>
        <v>0</v>
      </c>
      <c r="W125" s="101">
        <f>IF(W34=0,0,1000000*W34/TrRoad_act!W68)</f>
        <v>0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20627.902633939255</v>
      </c>
      <c r="C126" s="101">
        <f>IF(C36=0,0,1000000*C36/TrRoad_act!C69)</f>
        <v>19969.231561453711</v>
      </c>
      <c r="D126" s="101">
        <f>IF(D36=0,0,1000000*D36/TrRoad_act!D69)</f>
        <v>19798.577078740145</v>
      </c>
      <c r="E126" s="101">
        <f>IF(E36=0,0,1000000*E36/TrRoad_act!E69)</f>
        <v>25726.571147769573</v>
      </c>
      <c r="F126" s="101">
        <f>IF(F36=0,0,1000000*F36/TrRoad_act!F69)</f>
        <v>19616.180042325072</v>
      </c>
      <c r="G126" s="101">
        <f>IF(G36=0,0,1000000*G36/TrRoad_act!G69)</f>
        <v>22154.189935110007</v>
      </c>
      <c r="H126" s="101">
        <f>IF(H36=0,0,1000000*H36/TrRoad_act!H69)</f>
        <v>21581.596713596398</v>
      </c>
      <c r="I126" s="101">
        <f>IF(I36=0,0,1000000*I36/TrRoad_act!I69)</f>
        <v>22133.522103115298</v>
      </c>
      <c r="J126" s="101">
        <f>IF(J36=0,0,1000000*J36/TrRoad_act!J69)</f>
        <v>20188.884003837746</v>
      </c>
      <c r="K126" s="101">
        <f>IF(K36=0,0,1000000*K36/TrRoad_act!K69)</f>
        <v>23866.685368462029</v>
      </c>
      <c r="L126" s="101">
        <f>IF(L36=0,0,1000000*L36/TrRoad_act!L69)</f>
        <v>20924.199361594459</v>
      </c>
      <c r="M126" s="101">
        <f>IF(M36=0,0,1000000*M36/TrRoad_act!M69)</f>
        <v>22400.977177703073</v>
      </c>
      <c r="N126" s="101">
        <f>IF(N36=0,0,1000000*N36/TrRoad_act!N69)</f>
        <v>18470.83566385115</v>
      </c>
      <c r="O126" s="101">
        <f>IF(O36=0,0,1000000*O36/TrRoad_act!O69)</f>
        <v>21279.482242551021</v>
      </c>
      <c r="P126" s="101">
        <f>IF(P36=0,0,1000000*P36/TrRoad_act!P69)</f>
        <v>20662.402393321307</v>
      </c>
      <c r="Q126" s="101">
        <f>IF(Q36=0,0,1000000*Q36/TrRoad_act!Q69)</f>
        <v>19873.687239231498</v>
      </c>
      <c r="R126" s="101">
        <f>IF(R36=0,0,1000000*R36/TrRoad_act!R69)</f>
        <v>20046.328932154964</v>
      </c>
      <c r="S126" s="101">
        <f>IF(S36=0,0,1000000*S36/TrRoad_act!S69)</f>
        <v>20311.632262171635</v>
      </c>
      <c r="T126" s="101">
        <f>IF(T36=0,0,1000000*T36/TrRoad_act!T69)</f>
        <v>20837.748882670836</v>
      </c>
      <c r="U126" s="101">
        <f>IF(U36=0,0,1000000*U36/TrRoad_act!U69)</f>
        <v>21517.678146927363</v>
      </c>
      <c r="V126" s="101">
        <f>IF(V36=0,0,1000000*V36/TrRoad_act!V69)</f>
        <v>20825.122623282099</v>
      </c>
      <c r="W126" s="101">
        <f>IF(W36=0,0,1000000*W36/TrRoad_act!W69)</f>
        <v>21071.994184434159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0</v>
      </c>
      <c r="U127" s="101">
        <f>IF(U38=0,0,1000000*U38/TrRoad_act!U70)</f>
        <v>0</v>
      </c>
      <c r="V127" s="101">
        <f>IF(V38=0,0,1000000*V38/TrRoad_act!V70)</f>
        <v>0</v>
      </c>
      <c r="W127" s="101">
        <f>IF(W38=0,0,1000000*W38/TrRoad_act!W70)</f>
        <v>0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16675.417620694861</v>
      </c>
      <c r="D128" s="101">
        <f>IF(D39=0,0,1000000*D39/TrRoad_act!D71)</f>
        <v>17177.341863558824</v>
      </c>
      <c r="E128" s="101">
        <f>IF(E39=0,0,1000000*E39/TrRoad_act!E71)</f>
        <v>17407.902075415317</v>
      </c>
      <c r="F128" s="101">
        <f>IF(F39=0,0,1000000*F39/TrRoad_act!F71)</f>
        <v>17520.491220291973</v>
      </c>
      <c r="G128" s="101">
        <f>IF(G39=0,0,1000000*G39/TrRoad_act!G71)</f>
        <v>18535.761018809375</v>
      </c>
      <c r="H128" s="101">
        <f>IF(H39=0,0,1000000*H39/TrRoad_act!H71)</f>
        <v>18946.660365572221</v>
      </c>
      <c r="I128" s="101">
        <f>IF(I39=0,0,1000000*I39/TrRoad_act!I71)</f>
        <v>18663.899655119556</v>
      </c>
      <c r="J128" s="101">
        <f>IF(J39=0,0,1000000*J39/TrRoad_act!J71)</f>
        <v>17679.674609661</v>
      </c>
      <c r="K128" s="101">
        <f>IF(K39=0,0,1000000*K39/TrRoad_act!K71)</f>
        <v>18282.543304805924</v>
      </c>
      <c r="L128" s="101">
        <f>IF(L39=0,0,1000000*L39/TrRoad_act!L71)</f>
        <v>17649.937644996582</v>
      </c>
      <c r="M128" s="101">
        <f>IF(M39=0,0,1000000*M39/TrRoad_act!M71)</f>
        <v>19329.398422546335</v>
      </c>
      <c r="N128" s="101">
        <f>IF(N39=0,0,1000000*N39/TrRoad_act!N71)</f>
        <v>19176.390963394933</v>
      </c>
      <c r="O128" s="101">
        <f>IF(O39=0,0,1000000*O39/TrRoad_act!O71)</f>
        <v>18392.431418989865</v>
      </c>
      <c r="P128" s="101">
        <f>IF(P39=0,0,1000000*P39/TrRoad_act!P71)</f>
        <v>18638.702222099517</v>
      </c>
      <c r="Q128" s="101">
        <f>IF(Q39=0,0,1000000*Q39/TrRoad_act!Q71)</f>
        <v>19541.227296031713</v>
      </c>
      <c r="R128" s="101">
        <f>IF(R39=0,0,1000000*R39/TrRoad_act!R71)</f>
        <v>25081.36184922668</v>
      </c>
      <c r="S128" s="101">
        <f>IF(S39=0,0,1000000*S39/TrRoad_act!S71)</f>
        <v>16975.40615428934</v>
      </c>
      <c r="T128" s="101">
        <f>IF(T39=0,0,1000000*T39/TrRoad_act!T71)</f>
        <v>18061.895593979218</v>
      </c>
      <c r="U128" s="101">
        <f>IF(U39=0,0,1000000*U39/TrRoad_act!U71)</f>
        <v>19711.160308370421</v>
      </c>
      <c r="V128" s="101">
        <f>IF(V39=0,0,1000000*V39/TrRoad_act!V71)</f>
        <v>17270.016615061821</v>
      </c>
      <c r="W128" s="101">
        <f>IF(W39=0,0,1000000*W39/TrRoad_act!W71)</f>
        <v>18348.776093379918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0</v>
      </c>
      <c r="K129" s="101">
        <f>IF(K41=0,0,1000000*K41/TrRoad_act!K72)</f>
        <v>0</v>
      </c>
      <c r="L129" s="101">
        <f>IF(L41=0,0,1000000*L41/TrRoad_act!L72)</f>
        <v>0</v>
      </c>
      <c r="M129" s="101">
        <f>IF(M41=0,0,1000000*M41/TrRoad_act!M72)</f>
        <v>0</v>
      </c>
      <c r="N129" s="101">
        <f>IF(N41=0,0,1000000*N41/TrRoad_act!N72)</f>
        <v>0</v>
      </c>
      <c r="O129" s="101">
        <f>IF(O41=0,0,1000000*O41/TrRoad_act!O72)</f>
        <v>0</v>
      </c>
      <c r="P129" s="101">
        <f>IF(P41=0,0,1000000*P41/TrRoad_act!P72)</f>
        <v>0</v>
      </c>
      <c r="Q129" s="101">
        <f>IF(Q41=0,0,1000000*Q41/TrRoad_act!Q72)</f>
        <v>0</v>
      </c>
      <c r="R129" s="101">
        <f>IF(R41=0,0,1000000*R41/TrRoad_act!R72)</f>
        <v>0</v>
      </c>
      <c r="S129" s="101">
        <f>IF(S41=0,0,1000000*S41/TrRoad_act!S72)</f>
        <v>0</v>
      </c>
      <c r="T129" s="101">
        <f>IF(T41=0,0,1000000*T41/TrRoad_act!T72)</f>
        <v>0</v>
      </c>
      <c r="U129" s="101">
        <f>IF(U41=0,0,1000000*U41/TrRoad_act!U72)</f>
        <v>16333.822655323766</v>
      </c>
      <c r="V129" s="101">
        <f>IF(V41=0,0,1000000*V41/TrRoad_act!V72)</f>
        <v>16254.755384032014</v>
      </c>
      <c r="W129" s="101">
        <f>IF(W41=0,0,1000000*W41/TrRoad_act!W72)</f>
        <v>16327.449847508246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1113.5914606721171</v>
      </c>
      <c r="C131" s="152">
        <f>IF(C43=0,0,1000000*C43/TrRoad_act!C74)</f>
        <v>1070.0958593975795</v>
      </c>
      <c r="D131" s="152">
        <f>IF(D43=0,0,1000000*D43/TrRoad_act!D74)</f>
        <v>1066.0481422472687</v>
      </c>
      <c r="E131" s="152">
        <f>IF(E43=0,0,1000000*E43/TrRoad_act!E74)</f>
        <v>1070.6888431711093</v>
      </c>
      <c r="F131" s="152">
        <f>IF(F43=0,0,1000000*F43/TrRoad_act!F74)</f>
        <v>1064.5364448091757</v>
      </c>
      <c r="G131" s="152">
        <f>IF(G43=0,0,1000000*G43/TrRoad_act!G74)</f>
        <v>1083.1306300941901</v>
      </c>
      <c r="H131" s="152">
        <f>IF(H43=0,0,1000000*H43/TrRoad_act!H74)</f>
        <v>1078.3702107409924</v>
      </c>
      <c r="I131" s="152">
        <f>IF(I43=0,0,1000000*I43/TrRoad_act!I74)</f>
        <v>1081.0358817562617</v>
      </c>
      <c r="J131" s="152">
        <f>IF(J43=0,0,1000000*J43/TrRoad_act!J74)</f>
        <v>1031.621937564923</v>
      </c>
      <c r="K131" s="152">
        <f>IF(K43=0,0,1000000*K43/TrRoad_act!K74)</f>
        <v>993.38608270492716</v>
      </c>
      <c r="L131" s="152">
        <f>IF(L43=0,0,1000000*L43/TrRoad_act!L74)</f>
        <v>990.04260775228158</v>
      </c>
      <c r="M131" s="152">
        <f>IF(M43=0,0,1000000*M43/TrRoad_act!M74)</f>
        <v>925.82149738079363</v>
      </c>
      <c r="N131" s="152">
        <f>IF(N43=0,0,1000000*N43/TrRoad_act!N74)</f>
        <v>822.43675710191167</v>
      </c>
      <c r="O131" s="152">
        <f>IF(O43=0,0,1000000*O43/TrRoad_act!O74)</f>
        <v>983.49370874118461</v>
      </c>
      <c r="P131" s="152">
        <f>IF(P43=0,0,1000000*P43/TrRoad_act!P74)</f>
        <v>1018.9638372968263</v>
      </c>
      <c r="Q131" s="152">
        <f>IF(Q43=0,0,1000000*Q43/TrRoad_act!Q74)</f>
        <v>1139.4540165859073</v>
      </c>
      <c r="R131" s="152">
        <f>IF(R43=0,0,1000000*R43/TrRoad_act!R74)</f>
        <v>1128.4475266892518</v>
      </c>
      <c r="S131" s="152">
        <f>IF(S43=0,0,1000000*S43/TrRoad_act!S74)</f>
        <v>1120.2453537695997</v>
      </c>
      <c r="T131" s="152">
        <f>IF(T43=0,0,1000000*T43/TrRoad_act!T74)</f>
        <v>1150.6981012826145</v>
      </c>
      <c r="U131" s="152">
        <f>IF(U43=0,0,1000000*U43/TrRoad_act!U74)</f>
        <v>1181.2495426819191</v>
      </c>
      <c r="V131" s="152">
        <f>IF(V43=0,0,1000000*V43/TrRoad_act!V74)</f>
        <v>1044.4216828105821</v>
      </c>
      <c r="W131" s="152">
        <f>IF(W43=0,0,1000000*W43/TrRoad_act!W74)</f>
        <v>1166.5431423985624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1061.0869344504408</v>
      </c>
      <c r="C132" s="87">
        <f>IF(C44=0,0,1000000*C44/TrRoad_act!C75)</f>
        <v>1008.1648641114344</v>
      </c>
      <c r="D132" s="87">
        <f>IF(D44=0,0,1000000*D44/TrRoad_act!D75)</f>
        <v>997.92043140592625</v>
      </c>
      <c r="E132" s="87">
        <f>IF(E44=0,0,1000000*E44/TrRoad_act!E75)</f>
        <v>1000.0154208883553</v>
      </c>
      <c r="F132" s="87">
        <f>IF(F44=0,0,1000000*F44/TrRoad_act!F75)</f>
        <v>983.98823009562409</v>
      </c>
      <c r="G132" s="87">
        <f>IF(G44=0,0,1000000*G44/TrRoad_act!G75)</f>
        <v>998.52422557564967</v>
      </c>
      <c r="H132" s="87">
        <f>IF(H44=0,0,1000000*H44/TrRoad_act!H75)</f>
        <v>977.06771629048922</v>
      </c>
      <c r="I132" s="87">
        <f>IF(I44=0,0,1000000*I44/TrRoad_act!I75)</f>
        <v>970.4157884735115</v>
      </c>
      <c r="J132" s="87">
        <f>IF(J44=0,0,1000000*J44/TrRoad_act!J75)</f>
        <v>915.7608448313656</v>
      </c>
      <c r="K132" s="87">
        <f>IF(K44=0,0,1000000*K44/TrRoad_act!K75)</f>
        <v>834.92436849650198</v>
      </c>
      <c r="L132" s="87">
        <f>IF(L44=0,0,1000000*L44/TrRoad_act!L75)</f>
        <v>824.94895907035323</v>
      </c>
      <c r="M132" s="87">
        <f>IF(M44=0,0,1000000*M44/TrRoad_act!M75)</f>
        <v>771.22490139037313</v>
      </c>
      <c r="N132" s="87">
        <f>IF(N44=0,0,1000000*N44/TrRoad_act!N75)</f>
        <v>684.15145040506252</v>
      </c>
      <c r="O132" s="87">
        <f>IF(O44=0,0,1000000*O44/TrRoad_act!O75)</f>
        <v>759.72153885904004</v>
      </c>
      <c r="P132" s="87">
        <f>IF(P44=0,0,1000000*P44/TrRoad_act!P75)</f>
        <v>802.62164206351497</v>
      </c>
      <c r="Q132" s="87">
        <f>IF(Q44=0,0,1000000*Q44/TrRoad_act!Q75)</f>
        <v>831.61612818418553</v>
      </c>
      <c r="R132" s="87">
        <f>IF(R44=0,0,1000000*R44/TrRoad_act!R75)</f>
        <v>790.52226402459519</v>
      </c>
      <c r="S132" s="87">
        <f>IF(S44=0,0,1000000*S44/TrRoad_act!S75)</f>
        <v>830.33169271376653</v>
      </c>
      <c r="T132" s="87">
        <f>IF(T44=0,0,1000000*T44/TrRoad_act!T75)</f>
        <v>927.34097807891669</v>
      </c>
      <c r="U132" s="87">
        <f>IF(U44=0,0,1000000*U44/TrRoad_act!U75)</f>
        <v>924.09723035660363</v>
      </c>
      <c r="V132" s="87">
        <f>IF(V44=0,0,1000000*V44/TrRoad_act!V75)</f>
        <v>822.81847180778118</v>
      </c>
      <c r="W132" s="87">
        <f>IF(W44=0,0,1000000*W44/TrRoad_act!W75)</f>
        <v>902.10020371173403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1483.3822025440302</v>
      </c>
      <c r="C133" s="87">
        <f>IF(C46=0,0,1000000*C46/TrRoad_act!C76)</f>
        <v>1461.0695230472832</v>
      </c>
      <c r="D133" s="87">
        <f>IF(D46=0,0,1000000*D46/TrRoad_act!D76)</f>
        <v>1463.0582530727099</v>
      </c>
      <c r="E133" s="87">
        <f>IF(E46=0,0,1000000*E46/TrRoad_act!E76)</f>
        <v>1406.3527959500329</v>
      </c>
      <c r="F133" s="87">
        <f>IF(F46=0,0,1000000*F46/TrRoad_act!F76)</f>
        <v>1406.0983446519581</v>
      </c>
      <c r="G133" s="87">
        <f>IF(G46=0,0,1000000*G46/TrRoad_act!G76)</f>
        <v>1410.1785849688445</v>
      </c>
      <c r="H133" s="87">
        <f>IF(H46=0,0,1000000*H46/TrRoad_act!H76)</f>
        <v>1400.0402476304714</v>
      </c>
      <c r="I133" s="87">
        <f>IF(I46=0,0,1000000*I46/TrRoad_act!I76)</f>
        <v>1399.3652394217006</v>
      </c>
      <c r="J133" s="87">
        <f>IF(J46=0,0,1000000*J46/TrRoad_act!J76)</f>
        <v>1373.3717722869224</v>
      </c>
      <c r="K133" s="87">
        <f>IF(K46=0,0,1000000*K46/TrRoad_act!K76)</f>
        <v>1363.9788316922993</v>
      </c>
      <c r="L133" s="87">
        <f>IF(L46=0,0,1000000*L46/TrRoad_act!L76)</f>
        <v>1305.2867796109344</v>
      </c>
      <c r="M133" s="87">
        <f>IF(M46=0,0,1000000*M46/TrRoad_act!M76)</f>
        <v>1191.9392820083615</v>
      </c>
      <c r="N133" s="87">
        <f>IF(N46=0,0,1000000*N46/TrRoad_act!N76)</f>
        <v>1048.8211816566311</v>
      </c>
      <c r="O133" s="87">
        <f>IF(O46=0,0,1000000*O46/TrRoad_act!O76)</f>
        <v>1281.9750339556842</v>
      </c>
      <c r="P133" s="87">
        <f>IF(P46=0,0,1000000*P46/TrRoad_act!P76)</f>
        <v>1284.8311672188329</v>
      </c>
      <c r="Q133" s="87">
        <f>IF(Q46=0,0,1000000*Q46/TrRoad_act!Q76)</f>
        <v>1456.0618412575868</v>
      </c>
      <c r="R133" s="87">
        <f>IF(R46=0,0,1000000*R46/TrRoad_act!R76)</f>
        <v>1468.2308845357074</v>
      </c>
      <c r="S133" s="87">
        <f>IF(S46=0,0,1000000*S46/TrRoad_act!S76)</f>
        <v>1418.3045358918127</v>
      </c>
      <c r="T133" s="87">
        <f>IF(T46=0,0,1000000*T46/TrRoad_act!T76)</f>
        <v>1389.5309806916191</v>
      </c>
      <c r="U133" s="87">
        <f>IF(U46=0,0,1000000*U46/TrRoad_act!U76)</f>
        <v>1470.8721971728985</v>
      </c>
      <c r="V133" s="87">
        <f>IF(V46=0,0,1000000*V46/TrRoad_act!V76)</f>
        <v>1308.0402163825786</v>
      </c>
      <c r="W133" s="87">
        <f>IF(W46=0,0,1000000*W46/TrRoad_act!W76)</f>
        <v>1499.8386971130585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0</v>
      </c>
      <c r="O134" s="87">
        <f>IF(O48=0,0,1000000*O48/TrRoad_act!O77)</f>
        <v>0</v>
      </c>
      <c r="P134" s="87">
        <f>IF(P48=0,0,1000000*P48/TrRoad_act!P77)</f>
        <v>0</v>
      </c>
      <c r="Q134" s="87">
        <f>IF(Q48=0,0,1000000*Q48/TrRoad_act!Q77)</f>
        <v>0</v>
      </c>
      <c r="R134" s="87">
        <f>IF(R48=0,0,1000000*R48/TrRoad_act!R77)</f>
        <v>0</v>
      </c>
      <c r="S134" s="87">
        <f>IF(S48=0,0,1000000*S48/TrRoad_act!S77)</f>
        <v>0</v>
      </c>
      <c r="T134" s="87">
        <f>IF(T48=0,0,1000000*T48/TrRoad_act!T77)</f>
        <v>0</v>
      </c>
      <c r="U134" s="87">
        <f>IF(U48=0,0,1000000*U48/TrRoad_act!U77)</f>
        <v>0</v>
      </c>
      <c r="V134" s="87">
        <f>IF(V48=0,0,1000000*V48/TrRoad_act!V77)</f>
        <v>0</v>
      </c>
      <c r="W134" s="87">
        <f>IF(W48=0,0,1000000*W48/TrRoad_act!W77)</f>
        <v>0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0</v>
      </c>
      <c r="P135" s="87">
        <f>IF(P49=0,0,1000000*P49/TrRoad_act!P78)</f>
        <v>0</v>
      </c>
      <c r="Q135" s="87">
        <f>IF(Q49=0,0,1000000*Q49/TrRoad_act!Q78)</f>
        <v>0</v>
      </c>
      <c r="R135" s="87">
        <f>IF(R49=0,0,1000000*R49/TrRoad_act!R78)</f>
        <v>0</v>
      </c>
      <c r="S135" s="87">
        <f>IF(S49=0,0,1000000*S49/TrRoad_act!S78)</f>
        <v>0</v>
      </c>
      <c r="T135" s="87">
        <f>IF(T49=0,0,1000000*T49/TrRoad_act!T78)</f>
        <v>0</v>
      </c>
      <c r="U135" s="87">
        <f>IF(U49=0,0,1000000*U49/TrRoad_act!U78)</f>
        <v>0</v>
      </c>
      <c r="V135" s="87">
        <f>IF(V49=0,0,1000000*V49/TrRoad_act!V78)</f>
        <v>0</v>
      </c>
      <c r="W135" s="87">
        <f>IF(W49=0,0,1000000*W49/TrRoad_act!W78)</f>
        <v>0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0</v>
      </c>
      <c r="N136" s="87">
        <f>IF(N51=0,0,1000000*N51/TrRoad_act!N79)</f>
        <v>0</v>
      </c>
      <c r="O136" s="87">
        <f>IF(O51=0,0,1000000*O51/TrRoad_act!O79)</f>
        <v>0</v>
      </c>
      <c r="P136" s="87">
        <f>IF(P51=0,0,1000000*P51/TrRoad_act!P79)</f>
        <v>0</v>
      </c>
      <c r="Q136" s="87">
        <f>IF(Q51=0,0,1000000*Q51/TrRoad_act!Q79)</f>
        <v>0</v>
      </c>
      <c r="R136" s="87">
        <f>IF(R51=0,0,1000000*R51/TrRoad_act!R79)</f>
        <v>0</v>
      </c>
      <c r="S136" s="87">
        <f>IF(S51=0,0,1000000*S51/TrRoad_act!S79)</f>
        <v>0</v>
      </c>
      <c r="T136" s="87">
        <f>IF(T51=0,0,1000000*T51/TrRoad_act!T79)</f>
        <v>0</v>
      </c>
      <c r="U136" s="87">
        <f>IF(U51=0,0,1000000*U51/TrRoad_act!U79)</f>
        <v>0</v>
      </c>
      <c r="V136" s="87">
        <f>IF(V51=0,0,1000000*V51/TrRoad_act!V79)</f>
        <v>0</v>
      </c>
      <c r="W136" s="87">
        <f>IF(W51=0,0,1000000*W51/TrRoad_act!W79)</f>
        <v>0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5762.911919327008</v>
      </c>
      <c r="C137" s="116">
        <f>IF(C52=0,0,1000000*C52/TrRoad_act!C80)</f>
        <v>5680.8609008917838</v>
      </c>
      <c r="D137" s="116">
        <f>IF(D52=0,0,1000000*D52/TrRoad_act!D80)</f>
        <v>5648.4133723358309</v>
      </c>
      <c r="E137" s="116">
        <f>IF(E52=0,0,1000000*E52/TrRoad_act!E80)</f>
        <v>5614.075877045897</v>
      </c>
      <c r="F137" s="116">
        <f>IF(F52=0,0,1000000*F52/TrRoad_act!F80)</f>
        <v>5238.3443564901681</v>
      </c>
      <c r="G137" s="116">
        <f>IF(G52=0,0,1000000*G52/TrRoad_act!G80)</f>
        <v>5533.4757897141271</v>
      </c>
      <c r="H137" s="116">
        <f>IF(H52=0,0,1000000*H52/TrRoad_act!H80)</f>
        <v>5345.8286760836845</v>
      </c>
      <c r="I137" s="116">
        <f>IF(I52=0,0,1000000*I52/TrRoad_act!I80)</f>
        <v>5632.5821010266927</v>
      </c>
      <c r="J137" s="116">
        <f>IF(J52=0,0,1000000*J52/TrRoad_act!J80)</f>
        <v>5279.1760603356797</v>
      </c>
      <c r="K137" s="116">
        <f>IF(K52=0,0,1000000*K52/TrRoad_act!K80)</f>
        <v>7381.8908177152471</v>
      </c>
      <c r="L137" s="116">
        <f>IF(L52=0,0,1000000*L52/TrRoad_act!L80)</f>
        <v>6869.28532530143</v>
      </c>
      <c r="M137" s="116">
        <f>IF(M52=0,0,1000000*M52/TrRoad_act!M80)</f>
        <v>5868.686304208677</v>
      </c>
      <c r="N137" s="116">
        <f>IF(N52=0,0,1000000*N52/TrRoad_act!N80)</f>
        <v>4530.2324938561314</v>
      </c>
      <c r="O137" s="116">
        <f>IF(O52=0,0,1000000*O52/TrRoad_act!O80)</f>
        <v>5919.2757084495779</v>
      </c>
      <c r="P137" s="116">
        <f>IF(P52=0,0,1000000*P52/TrRoad_act!P80)</f>
        <v>6929.0615824357847</v>
      </c>
      <c r="Q137" s="116">
        <f>IF(Q52=0,0,1000000*Q52/TrRoad_act!Q80)</f>
        <v>6439.1406443861251</v>
      </c>
      <c r="R137" s="116">
        <f>IF(R52=0,0,1000000*R52/TrRoad_act!R80)</f>
        <v>7435.7374114768245</v>
      </c>
      <c r="S137" s="116">
        <f>IF(S52=0,0,1000000*S52/TrRoad_act!S80)</f>
        <v>8610.0631435253654</v>
      </c>
      <c r="T137" s="116">
        <f>IF(T52=0,0,1000000*T52/TrRoad_act!T80)</f>
        <v>10041.388374879807</v>
      </c>
      <c r="U137" s="116">
        <f>IF(U52=0,0,1000000*U52/TrRoad_act!U80)</f>
        <v>11924.890821287916</v>
      </c>
      <c r="V137" s="116">
        <f>IF(V52=0,0,1000000*V52/TrRoad_act!V80)</f>
        <v>12070.626829690094</v>
      </c>
      <c r="W137" s="116">
        <f>IF(W52=0,0,1000000*W52/TrRoad_act!W80)</f>
        <v>13323.240742969558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5301.7047463040717</v>
      </c>
      <c r="C138" s="101">
        <f>IF(C53=0,0,1000000*C53/TrRoad_act!C81)</f>
        <v>5218.9944169905075</v>
      </c>
      <c r="D138" s="101">
        <f>IF(D53=0,0,1000000*D53/TrRoad_act!D81)</f>
        <v>5181.9907513885419</v>
      </c>
      <c r="E138" s="101">
        <f>IF(E53=0,0,1000000*E53/TrRoad_act!E81)</f>
        <v>4696.9930655505177</v>
      </c>
      <c r="F138" s="101">
        <f>IF(F53=0,0,1000000*F53/TrRoad_act!F81)</f>
        <v>4783.4629999389126</v>
      </c>
      <c r="G138" s="101">
        <f>IF(G53=0,0,1000000*G53/TrRoad_act!G81)</f>
        <v>4806.7852591838373</v>
      </c>
      <c r="H138" s="101">
        <f>IF(H53=0,0,1000000*H53/TrRoad_act!H81)</f>
        <v>4669.5364616672341</v>
      </c>
      <c r="I138" s="101">
        <f>IF(I53=0,0,1000000*I53/TrRoad_act!I81)</f>
        <v>4928.2421471709167</v>
      </c>
      <c r="J138" s="101">
        <f>IF(J53=0,0,1000000*J53/TrRoad_act!J81)</f>
        <v>4737.3378078164114</v>
      </c>
      <c r="K138" s="101">
        <f>IF(K53=0,0,1000000*K53/TrRoad_act!K81)</f>
        <v>6417.0190596184102</v>
      </c>
      <c r="L138" s="101">
        <f>IF(L53=0,0,1000000*L53/TrRoad_act!L81)</f>
        <v>6060.1526023722026</v>
      </c>
      <c r="M138" s="101">
        <f>IF(M53=0,0,1000000*M53/TrRoad_act!M81)</f>
        <v>5046.0494266583701</v>
      </c>
      <c r="N138" s="101">
        <f>IF(N53=0,0,1000000*N53/TrRoad_act!N81)</f>
        <v>4041.7308576522314</v>
      </c>
      <c r="O138" s="101">
        <f>IF(O53=0,0,1000000*O53/TrRoad_act!O81)</f>
        <v>4912.3086555075834</v>
      </c>
      <c r="P138" s="101">
        <f>IF(P53=0,0,1000000*P53/TrRoad_act!P81)</f>
        <v>5893.873820122094</v>
      </c>
      <c r="Q138" s="101">
        <f>IF(Q53=0,0,1000000*Q53/TrRoad_act!Q81)</f>
        <v>5659.5483306591577</v>
      </c>
      <c r="R138" s="101">
        <f>IF(R53=0,0,1000000*R53/TrRoad_act!R81)</f>
        <v>6526.9452188264213</v>
      </c>
      <c r="S138" s="101">
        <f>IF(S53=0,0,1000000*S53/TrRoad_act!S81)</f>
        <v>7189.3941516102259</v>
      </c>
      <c r="T138" s="101">
        <f>IF(T53=0,0,1000000*T53/TrRoad_act!T81)</f>
        <v>8428.1179422044261</v>
      </c>
      <c r="U138" s="101">
        <f>IF(U53=0,0,1000000*U53/TrRoad_act!U81)</f>
        <v>9961.9865643451321</v>
      </c>
      <c r="V138" s="101">
        <f>IF(V53=0,0,1000000*V53/TrRoad_act!V81)</f>
        <v>9844.8796811669308</v>
      </c>
      <c r="W138" s="101">
        <f>IF(W53=0,0,1000000*W53/TrRoad_act!W81)</f>
        <v>11433.811779424079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68642.945979120515</v>
      </c>
      <c r="C139" s="88">
        <f>IF(C55=0,0,1000000*C55/TrRoad_act!C82)</f>
        <v>66277.743588739235</v>
      </c>
      <c r="D139" s="88">
        <f>IF(D55=0,0,1000000*D55/TrRoad_act!D82)</f>
        <v>65326.165920408013</v>
      </c>
      <c r="E139" s="88">
        <f>IF(E55=0,0,1000000*E55/TrRoad_act!E82)</f>
        <v>120059.06753795444</v>
      </c>
      <c r="F139" s="88">
        <f>IF(F55=0,0,1000000*F55/TrRoad_act!F82)</f>
        <v>62544.66621540481</v>
      </c>
      <c r="G139" s="88">
        <f>IF(G55=0,0,1000000*G55/TrRoad_act!G82)</f>
        <v>83339.983413844981</v>
      </c>
      <c r="H139" s="88">
        <f>IF(H55=0,0,1000000*H55/TrRoad_act!H82)</f>
        <v>72149.836414000718</v>
      </c>
      <c r="I139" s="88">
        <f>IF(I55=0,0,1000000*I55/TrRoad_act!I82)</f>
        <v>86026.056456384133</v>
      </c>
      <c r="J139" s="88">
        <f>IF(J55=0,0,1000000*J55/TrRoad_act!J82)</f>
        <v>79622.742176839922</v>
      </c>
      <c r="K139" s="88">
        <f>IF(K55=0,0,1000000*K55/TrRoad_act!K82)</f>
        <v>145673.06506648401</v>
      </c>
      <c r="L139" s="88">
        <f>IF(L55=0,0,1000000*L55/TrRoad_act!L82)</f>
        <v>92239.520166159564</v>
      </c>
      <c r="M139" s="88">
        <f>IF(M55=0,0,1000000*M55/TrRoad_act!M82)</f>
        <v>104302.85940646971</v>
      </c>
      <c r="N139" s="88">
        <f>IF(N55=0,0,1000000*N55/TrRoad_act!N82)</f>
        <v>51950.641884038116</v>
      </c>
      <c r="O139" s="88">
        <f>IF(O55=0,0,1000000*O55/TrRoad_act!O82)</f>
        <v>82486.429072049228</v>
      </c>
      <c r="P139" s="88">
        <f>IF(P55=0,0,1000000*P55/TrRoad_act!P82)</f>
        <v>79682.73869822397</v>
      </c>
      <c r="Q139" s="88">
        <f>IF(Q55=0,0,1000000*Q55/TrRoad_act!Q82)</f>
        <v>51141.295654900612</v>
      </c>
      <c r="R139" s="88">
        <f>IF(R55=0,0,1000000*R55/TrRoad_act!R82)</f>
        <v>53098.145129959259</v>
      </c>
      <c r="S139" s="88">
        <f>IF(S55=0,0,1000000*S55/TrRoad_act!S82)</f>
        <v>47264.648117076948</v>
      </c>
      <c r="T139" s="88">
        <f>IF(T55=0,0,1000000*T55/TrRoad_act!T82)</f>
        <v>51380.347901844427</v>
      </c>
      <c r="U139" s="88">
        <f>IF(U55=0,0,1000000*U55/TrRoad_act!U82)</f>
        <v>60286.263105004196</v>
      </c>
      <c r="V139" s="88">
        <f>IF(V55=0,0,1000000*V55/TrRoad_act!V82)</f>
        <v>59327.31352772699</v>
      </c>
      <c r="W139" s="88">
        <f>IF(W55=0,0,1000000*W55/TrRoad_act!W82)</f>
        <v>61087.780510342003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0.64909621007610196</v>
      </c>
      <c r="C142" s="46">
        <f t="shared" si="41"/>
        <v>0.65503540047619924</v>
      </c>
      <c r="D142" s="46">
        <f t="shared" si="41"/>
        <v>0.66032878258105865</v>
      </c>
      <c r="E142" s="46">
        <f t="shared" si="41"/>
        <v>0.67824183005011696</v>
      </c>
      <c r="F142" s="46">
        <f t="shared" si="41"/>
        <v>0.66200268347541669</v>
      </c>
      <c r="G142" s="46">
        <f t="shared" si="41"/>
        <v>0.68520255440996514</v>
      </c>
      <c r="H142" s="46">
        <f t="shared" si="41"/>
        <v>0.67807631521481948</v>
      </c>
      <c r="I142" s="46">
        <f t="shared" si="41"/>
        <v>0.67895269391690172</v>
      </c>
      <c r="J142" s="46">
        <f t="shared" si="41"/>
        <v>0.67534786941815805</v>
      </c>
      <c r="K142" s="46">
        <f t="shared" si="41"/>
        <v>0.6530564266763359</v>
      </c>
      <c r="L142" s="46">
        <f t="shared" ref="L142" si="42">IF(L18=0,0,L18/L$17)</f>
        <v>0.65419790458917526</v>
      </c>
      <c r="M142" s="46">
        <f t="shared" ref="M142:V142" si="43">IF(M18=0,0,M18/M$17)</f>
        <v>0.69436211833610639</v>
      </c>
      <c r="N142" s="46">
        <f t="shared" si="43"/>
        <v>0.72202715653885385</v>
      </c>
      <c r="O142" s="46">
        <f t="shared" si="43"/>
        <v>0.68044572793852243</v>
      </c>
      <c r="P142" s="46">
        <f t="shared" si="43"/>
        <v>0.66831662186067775</v>
      </c>
      <c r="Q142" s="46">
        <f t="shared" si="43"/>
        <v>0.67846791665477912</v>
      </c>
      <c r="R142" s="46">
        <f t="shared" si="43"/>
        <v>0.67079721140671933</v>
      </c>
      <c r="S142" s="46">
        <f t="shared" si="43"/>
        <v>0.68383058313132261</v>
      </c>
      <c r="T142" s="46">
        <f t="shared" si="43"/>
        <v>0.68115449151599705</v>
      </c>
      <c r="U142" s="46">
        <f t="shared" si="43"/>
        <v>0.67928316481976914</v>
      </c>
      <c r="V142" s="46">
        <f t="shared" si="43"/>
        <v>0.67039519055013896</v>
      </c>
      <c r="W142" s="46">
        <f t="shared" ref="W142" si="44">IF(W18=0,0,W18/W$17)</f>
        <v>0.66321238654826165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3.1461413582578007E-2</v>
      </c>
      <c r="C143" s="154">
        <f t="shared" si="45"/>
        <v>3.3322788756169827E-2</v>
      </c>
      <c r="D143" s="154">
        <f t="shared" si="45"/>
        <v>3.5376494199997464E-2</v>
      </c>
      <c r="E143" s="154">
        <f t="shared" si="45"/>
        <v>3.4969671423079426E-2</v>
      </c>
      <c r="F143" s="154">
        <f t="shared" si="45"/>
        <v>3.4980404634895115E-2</v>
      </c>
      <c r="G143" s="154">
        <f t="shared" si="45"/>
        <v>3.5073191391488699E-2</v>
      </c>
      <c r="H143" s="154">
        <f t="shared" si="45"/>
        <v>3.108712624010198E-2</v>
      </c>
      <c r="I143" s="154">
        <f t="shared" si="45"/>
        <v>2.974493352392385E-2</v>
      </c>
      <c r="J143" s="154">
        <f t="shared" si="45"/>
        <v>3.2660493000723989E-2</v>
      </c>
      <c r="K143" s="154">
        <f t="shared" si="45"/>
        <v>3.0868346442816479E-2</v>
      </c>
      <c r="L143" s="154">
        <f t="shared" ref="L143" si="46">IF(L19=0,0,L19/L$17)</f>
        <v>4.0136525393287555E-2</v>
      </c>
      <c r="M143" s="154">
        <f t="shared" ref="M143:V143" si="47">IF(M19=0,0,M19/M$17)</f>
        <v>4.4853699658825866E-2</v>
      </c>
      <c r="N143" s="154">
        <f t="shared" si="47"/>
        <v>5.6318712635168862E-2</v>
      </c>
      <c r="O143" s="154">
        <f t="shared" si="47"/>
        <v>5.5242680935194022E-2</v>
      </c>
      <c r="P143" s="154">
        <f t="shared" si="47"/>
        <v>5.6822399347303543E-2</v>
      </c>
      <c r="Q143" s="154">
        <f t="shared" si="47"/>
        <v>5.7916978490175325E-2</v>
      </c>
      <c r="R143" s="154">
        <f t="shared" si="47"/>
        <v>5.474256950044161E-2</v>
      </c>
      <c r="S143" s="154">
        <f t="shared" si="47"/>
        <v>5.4858093050540596E-2</v>
      </c>
      <c r="T143" s="154">
        <f t="shared" si="47"/>
        <v>5.028538374335665E-2</v>
      </c>
      <c r="U143" s="154">
        <f t="shared" si="47"/>
        <v>5.1142985768451395E-2</v>
      </c>
      <c r="V143" s="154">
        <f t="shared" si="47"/>
        <v>4.9215967875801042E-2</v>
      </c>
      <c r="W143" s="154">
        <f t="shared" ref="W143" si="48">IF(W19=0,0,W19/W$17)</f>
        <v>4.8083694903827731E-2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0.51226714646457072</v>
      </c>
      <c r="C144" s="156">
        <f t="shared" si="49"/>
        <v>0.5219903012693845</v>
      </c>
      <c r="D144" s="156">
        <f t="shared" si="49"/>
        <v>0.52912213132500474</v>
      </c>
      <c r="E144" s="156">
        <f t="shared" si="49"/>
        <v>0.52691646766610356</v>
      </c>
      <c r="F144" s="156">
        <f t="shared" si="49"/>
        <v>0.53964458894951117</v>
      </c>
      <c r="G144" s="156">
        <f t="shared" si="49"/>
        <v>0.55401519236850971</v>
      </c>
      <c r="H144" s="156">
        <f t="shared" si="49"/>
        <v>0.55564277060292611</v>
      </c>
      <c r="I144" s="156">
        <f t="shared" si="49"/>
        <v>0.55923181767963992</v>
      </c>
      <c r="J144" s="156">
        <f t="shared" si="49"/>
        <v>0.55830501373153163</v>
      </c>
      <c r="K144" s="156">
        <f t="shared" si="49"/>
        <v>0.53003607646630524</v>
      </c>
      <c r="L144" s="156">
        <f t="shared" ref="L144" si="50">IF(L21=0,0,L21/L$17)</f>
        <v>0.52509587687936721</v>
      </c>
      <c r="M144" s="156">
        <f t="shared" ref="M144:V144" si="51">IF(M21=0,0,M21/M$17)</f>
        <v>0.54611407517109811</v>
      </c>
      <c r="N144" s="156">
        <f t="shared" si="51"/>
        <v>0.56179361044138731</v>
      </c>
      <c r="O144" s="156">
        <f t="shared" si="51"/>
        <v>0.50907102592181297</v>
      </c>
      <c r="P144" s="156">
        <f t="shared" si="51"/>
        <v>0.49846236274144062</v>
      </c>
      <c r="Q144" s="156">
        <f t="shared" si="51"/>
        <v>0.51296701435948167</v>
      </c>
      <c r="R144" s="156">
        <f t="shared" si="51"/>
        <v>0.50955188071984314</v>
      </c>
      <c r="S144" s="156">
        <f t="shared" si="51"/>
        <v>0.52017957365775302</v>
      </c>
      <c r="T144" s="156">
        <f t="shared" si="51"/>
        <v>0.51985973204262448</v>
      </c>
      <c r="U144" s="156">
        <f t="shared" si="51"/>
        <v>0.51633113717247148</v>
      </c>
      <c r="V144" s="156">
        <f t="shared" si="51"/>
        <v>0.49779722294844264</v>
      </c>
      <c r="W144" s="156">
        <f t="shared" ref="W144" si="52">IF(W21=0,0,W21/W$17)</f>
        <v>0.49698301622566959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0.48054596632592261</v>
      </c>
      <c r="C145" s="103">
        <f t="shared" si="53"/>
        <v>0.4916716518514927</v>
      </c>
      <c r="D145" s="103">
        <f t="shared" si="53"/>
        <v>0.5001504478773835</v>
      </c>
      <c r="E145" s="103">
        <f t="shared" si="53"/>
        <v>0.4987824010482419</v>
      </c>
      <c r="F145" s="103">
        <f t="shared" si="53"/>
        <v>0.51440627097575009</v>
      </c>
      <c r="G145" s="103">
        <f t="shared" si="53"/>
        <v>0.52855527232368249</v>
      </c>
      <c r="H145" s="103">
        <f t="shared" si="53"/>
        <v>0.52853813050018283</v>
      </c>
      <c r="I145" s="103">
        <f t="shared" si="53"/>
        <v>0.53111638422067919</v>
      </c>
      <c r="J145" s="103">
        <f t="shared" si="53"/>
        <v>0.53170550453900189</v>
      </c>
      <c r="K145" s="103">
        <f t="shared" si="53"/>
        <v>0.49970350426720039</v>
      </c>
      <c r="L145" s="103">
        <f t="shared" ref="L145" si="54">IF(L22=0,0,L22/L$17)</f>
        <v>0.48933980081643591</v>
      </c>
      <c r="M145" s="103">
        <f t="shared" ref="M145:V145" si="55">IF(M22=0,0,M22/M$17)</f>
        <v>0.48394042707124491</v>
      </c>
      <c r="N145" s="103">
        <f t="shared" si="55"/>
        <v>0.5088904648871152</v>
      </c>
      <c r="O145" s="103">
        <f t="shared" si="55"/>
        <v>0.44719471452180576</v>
      </c>
      <c r="P145" s="103">
        <f t="shared" si="55"/>
        <v>0.42204907408137066</v>
      </c>
      <c r="Q145" s="103">
        <f t="shared" si="55"/>
        <v>0.40215295831860809</v>
      </c>
      <c r="R145" s="103">
        <f t="shared" si="55"/>
        <v>0.38747937833361368</v>
      </c>
      <c r="S145" s="103">
        <f t="shared" si="55"/>
        <v>0.38225413778868822</v>
      </c>
      <c r="T145" s="103">
        <f t="shared" si="55"/>
        <v>0.37098343593284622</v>
      </c>
      <c r="U145" s="103">
        <f t="shared" si="55"/>
        <v>0.35185490838678962</v>
      </c>
      <c r="V145" s="103">
        <f t="shared" si="55"/>
        <v>0.32306505494870086</v>
      </c>
      <c r="W145" s="103">
        <f t="shared" ref="W145" si="56">IF(W22=0,0,W22/W$17)</f>
        <v>0.32621548140488904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2.8568811820439875E-2</v>
      </c>
      <c r="C146" s="103">
        <f t="shared" si="57"/>
        <v>2.6862161550632677E-2</v>
      </c>
      <c r="D146" s="103">
        <f t="shared" si="57"/>
        <v>2.5733551321858898E-2</v>
      </c>
      <c r="E146" s="103">
        <f t="shared" si="57"/>
        <v>2.5616270423852398E-2</v>
      </c>
      <c r="F146" s="103">
        <f t="shared" si="57"/>
        <v>2.2925132508284062E-2</v>
      </c>
      <c r="G146" s="103">
        <f t="shared" si="57"/>
        <v>2.3179953287060268E-2</v>
      </c>
      <c r="H146" s="103">
        <f t="shared" si="57"/>
        <v>2.4878233364483936E-2</v>
      </c>
      <c r="I146" s="103">
        <f t="shared" si="57"/>
        <v>2.5785151829034073E-2</v>
      </c>
      <c r="J146" s="103">
        <f t="shared" si="57"/>
        <v>2.4220755075141192E-2</v>
      </c>
      <c r="K146" s="103">
        <f t="shared" si="57"/>
        <v>2.734607097839448E-2</v>
      </c>
      <c r="L146" s="103">
        <f t="shared" ref="L146" si="58">IF(L24=0,0,L24/L$17)</f>
        <v>2.8188884306950858E-2</v>
      </c>
      <c r="M146" s="103">
        <f t="shared" ref="M146:V146" si="59">IF(M24=0,0,M24/M$17)</f>
        <v>2.8530719324463858E-2</v>
      </c>
      <c r="N146" s="103">
        <f t="shared" si="59"/>
        <v>3.4879205242208611E-2</v>
      </c>
      <c r="O146" s="103">
        <f t="shared" si="59"/>
        <v>2.009911437555861E-2</v>
      </c>
      <c r="P146" s="103">
        <f t="shared" si="59"/>
        <v>3.0842362936403279E-2</v>
      </c>
      <c r="Q146" s="103">
        <f t="shared" si="59"/>
        <v>5.8534222446062004E-2</v>
      </c>
      <c r="R146" s="103">
        <f t="shared" si="59"/>
        <v>7.0133876509587925E-2</v>
      </c>
      <c r="S146" s="103">
        <f t="shared" si="59"/>
        <v>8.8083511890043181E-2</v>
      </c>
      <c r="T146" s="103">
        <f t="shared" si="59"/>
        <v>0.10120040944393041</v>
      </c>
      <c r="U146" s="103">
        <f t="shared" si="59"/>
        <v>0.11721128983890022</v>
      </c>
      <c r="V146" s="103">
        <f t="shared" si="59"/>
        <v>0.13090435715747886</v>
      </c>
      <c r="W146" s="103">
        <f t="shared" ref="W146" si="60">IF(W24=0,0,W24/W$17)</f>
        <v>0.13010992721407785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3.1523683182081512E-3</v>
      </c>
      <c r="C147" s="103">
        <f t="shared" si="61"/>
        <v>3.2863990755773458E-3</v>
      </c>
      <c r="D147" s="103">
        <f t="shared" si="61"/>
        <v>2.9732357339960647E-3</v>
      </c>
      <c r="E147" s="103">
        <f t="shared" si="61"/>
        <v>2.2434111722323155E-3</v>
      </c>
      <c r="F147" s="103">
        <f t="shared" si="61"/>
        <v>2.0428226095888504E-3</v>
      </c>
      <c r="G147" s="103">
        <f t="shared" si="61"/>
        <v>1.9887615323585942E-3</v>
      </c>
      <c r="H147" s="103">
        <f t="shared" si="61"/>
        <v>1.9310565461210902E-3</v>
      </c>
      <c r="I147" s="103">
        <f t="shared" si="61"/>
        <v>2.0136606877971769E-3</v>
      </c>
      <c r="J147" s="103">
        <f t="shared" si="61"/>
        <v>2.0627374557939497E-3</v>
      </c>
      <c r="K147" s="103">
        <f t="shared" si="61"/>
        <v>2.6188969093659986E-3</v>
      </c>
      <c r="L147" s="103">
        <f t="shared" ref="L147" si="62">IF(L26=0,0,L26/L$17)</f>
        <v>7.114443921113346E-3</v>
      </c>
      <c r="M147" s="103">
        <f t="shared" ref="M147:V147" si="63">IF(M26=0,0,M26/M$17)</f>
        <v>3.3125567692790486E-2</v>
      </c>
      <c r="N147" s="103">
        <f t="shared" si="63"/>
        <v>1.7401208197748364E-2</v>
      </c>
      <c r="O147" s="103">
        <f t="shared" si="63"/>
        <v>4.1197521469635609E-2</v>
      </c>
      <c r="P147" s="103">
        <f t="shared" si="63"/>
        <v>4.4982723362003187E-2</v>
      </c>
      <c r="Q147" s="103">
        <f t="shared" si="63"/>
        <v>5.1677091362963341E-2</v>
      </c>
      <c r="R147" s="103">
        <f t="shared" si="63"/>
        <v>5.1345100505507814E-2</v>
      </c>
      <c r="S147" s="103">
        <f t="shared" si="63"/>
        <v>4.9259711275631564E-2</v>
      </c>
      <c r="T147" s="103">
        <f t="shared" si="63"/>
        <v>4.7087323990860901E-2</v>
      </c>
      <c r="U147" s="103">
        <f t="shared" si="63"/>
        <v>4.6650462755995305E-2</v>
      </c>
      <c r="V147" s="103">
        <f t="shared" si="63"/>
        <v>4.290927219007136E-2</v>
      </c>
      <c r="W147" s="103">
        <f t="shared" ref="W147" si="64">IF(W26=0,0,W26/W$17)</f>
        <v>3.9428616657262279E-2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1.7008879168185992E-4</v>
      </c>
      <c r="D148" s="103">
        <f t="shared" si="65"/>
        <v>2.6489639176615644E-4</v>
      </c>
      <c r="E148" s="103">
        <f t="shared" si="65"/>
        <v>2.743850217769775E-4</v>
      </c>
      <c r="F148" s="103">
        <f t="shared" si="65"/>
        <v>2.7036285588814574E-4</v>
      </c>
      <c r="G148" s="103">
        <f t="shared" si="65"/>
        <v>2.9120522540839719E-4</v>
      </c>
      <c r="H148" s="103">
        <f t="shared" si="65"/>
        <v>2.9535019213832505E-4</v>
      </c>
      <c r="I148" s="103">
        <f t="shared" si="65"/>
        <v>3.1662094212948748E-4</v>
      </c>
      <c r="J148" s="103">
        <f t="shared" si="65"/>
        <v>3.1601666159450348E-4</v>
      </c>
      <c r="K148" s="103">
        <f t="shared" si="65"/>
        <v>3.6760431134436961E-4</v>
      </c>
      <c r="L148" s="103">
        <f t="shared" ref="L148" si="66">IF(L27=0,0,L27/L$17)</f>
        <v>4.5274783486706327E-4</v>
      </c>
      <c r="M148" s="103">
        <f t="shared" ref="M148:V148" si="67">IF(M27=0,0,M27/M$17)</f>
        <v>5.1736108259884371E-4</v>
      </c>
      <c r="N148" s="103">
        <f t="shared" si="67"/>
        <v>6.2265734301613024E-4</v>
      </c>
      <c r="O148" s="103">
        <f t="shared" si="67"/>
        <v>5.7955060419836112E-4</v>
      </c>
      <c r="P148" s="103">
        <f t="shared" si="67"/>
        <v>5.859909953313784E-4</v>
      </c>
      <c r="Q148" s="103">
        <f t="shared" si="67"/>
        <v>5.9830944779950418E-4</v>
      </c>
      <c r="R148" s="103">
        <f t="shared" si="67"/>
        <v>5.8568584599856218E-4</v>
      </c>
      <c r="S148" s="103">
        <f t="shared" si="67"/>
        <v>5.6602204994962496E-4</v>
      </c>
      <c r="T148" s="103">
        <f t="shared" si="67"/>
        <v>5.5988989724147875E-4</v>
      </c>
      <c r="U148" s="103">
        <f t="shared" si="67"/>
        <v>5.6495806105864377E-4</v>
      </c>
      <c r="V148" s="103">
        <f t="shared" si="67"/>
        <v>7.5577523682238633E-4</v>
      </c>
      <c r="W148" s="103">
        <f t="shared" ref="W148" si="68">IF(W27=0,0,W27/W$17)</f>
        <v>7.3844649427055485E-4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0</v>
      </c>
      <c r="N149" s="103">
        <f t="shared" si="71"/>
        <v>4.3028612848896158E-8</v>
      </c>
      <c r="O149" s="103">
        <f t="shared" si="71"/>
        <v>2.6947337270886514E-8</v>
      </c>
      <c r="P149" s="103">
        <f t="shared" si="71"/>
        <v>7.3381495514739263E-7</v>
      </c>
      <c r="Q149" s="103">
        <f t="shared" si="71"/>
        <v>1.5530796640458462E-6</v>
      </c>
      <c r="R149" s="103">
        <f t="shared" si="71"/>
        <v>4.0225264250292248E-6</v>
      </c>
      <c r="S149" s="103">
        <f t="shared" si="71"/>
        <v>1.1198684658855867E-5</v>
      </c>
      <c r="T149" s="103">
        <f t="shared" si="71"/>
        <v>2.127644791156582E-5</v>
      </c>
      <c r="U149" s="103">
        <f t="shared" si="71"/>
        <v>3.3257394911553664E-5</v>
      </c>
      <c r="V149" s="103">
        <f t="shared" si="71"/>
        <v>1.1651396296432796E-4</v>
      </c>
      <c r="W149" s="103">
        <f t="shared" ref="W149" si="72">IF(W29=0,0,W29/W$17)</f>
        <v>3.4522502404812905E-4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0</v>
      </c>
      <c r="K150" s="103">
        <f t="shared" si="73"/>
        <v>0</v>
      </c>
      <c r="L150" s="103">
        <f t="shared" ref="L150" si="74">IF(L32=0,0,L32/L$17)</f>
        <v>0</v>
      </c>
      <c r="M150" s="103">
        <f t="shared" ref="M150:V150" si="75">IF(M32=0,0,M32/M$17)</f>
        <v>0</v>
      </c>
      <c r="N150" s="103">
        <f t="shared" si="75"/>
        <v>3.1742686032378861E-8</v>
      </c>
      <c r="O150" s="103">
        <f t="shared" si="75"/>
        <v>9.8003277285301601E-8</v>
      </c>
      <c r="P150" s="103">
        <f t="shared" si="75"/>
        <v>1.4775513770026217E-6</v>
      </c>
      <c r="Q150" s="103">
        <f t="shared" si="75"/>
        <v>2.8797043845746415E-6</v>
      </c>
      <c r="R150" s="103">
        <f t="shared" si="75"/>
        <v>3.816998710138333E-6</v>
      </c>
      <c r="S150" s="103">
        <f t="shared" si="75"/>
        <v>4.9919687815449886E-6</v>
      </c>
      <c r="T150" s="103">
        <f t="shared" si="75"/>
        <v>7.3963298338775616E-6</v>
      </c>
      <c r="U150" s="103">
        <f t="shared" si="75"/>
        <v>1.6260734816102876E-5</v>
      </c>
      <c r="V150" s="103">
        <f t="shared" si="75"/>
        <v>4.6249452404907106E-5</v>
      </c>
      <c r="W150" s="103">
        <f t="shared" ref="W150" si="76">IF(W32=0,0,W32/W$17)</f>
        <v>1.4531943112166325E-4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0.10536765002895329</v>
      </c>
      <c r="C151" s="156">
        <f t="shared" si="77"/>
        <v>9.9722310450644808E-2</v>
      </c>
      <c r="D151" s="156">
        <f t="shared" si="77"/>
        <v>9.583015705605652E-2</v>
      </c>
      <c r="E151" s="156">
        <f t="shared" si="77"/>
        <v>0.11635569096093393</v>
      </c>
      <c r="F151" s="156">
        <f t="shared" si="77"/>
        <v>8.7377689891010329E-2</v>
      </c>
      <c r="G151" s="156">
        <f t="shared" si="77"/>
        <v>9.611417064996669E-2</v>
      </c>
      <c r="H151" s="156">
        <f t="shared" si="77"/>
        <v>9.1346418371791319E-2</v>
      </c>
      <c r="I151" s="156">
        <f t="shared" si="77"/>
        <v>8.9975942713337864E-2</v>
      </c>
      <c r="J151" s="156">
        <f t="shared" si="77"/>
        <v>8.4382362685902504E-2</v>
      </c>
      <c r="K151" s="156">
        <f t="shared" si="77"/>
        <v>9.2152003767214136E-2</v>
      </c>
      <c r="L151" s="156">
        <f t="shared" ref="L151" si="78">IF(L33=0,0,L33/L$17)</f>
        <v>8.8965502316520575E-2</v>
      </c>
      <c r="M151" s="156">
        <f t="shared" ref="M151:V151" si="79">IF(M33=0,0,M33/M$17)</f>
        <v>0.10339434350618236</v>
      </c>
      <c r="N151" s="156">
        <f t="shared" si="79"/>
        <v>0.10391483346229774</v>
      </c>
      <c r="O151" s="156">
        <f t="shared" si="79"/>
        <v>0.11613202108151555</v>
      </c>
      <c r="P151" s="156">
        <f t="shared" si="79"/>
        <v>0.1130318597719336</v>
      </c>
      <c r="Q151" s="156">
        <f t="shared" si="79"/>
        <v>0.10758392380512206</v>
      </c>
      <c r="R151" s="156">
        <f t="shared" si="79"/>
        <v>0.10650276118643452</v>
      </c>
      <c r="S151" s="156">
        <f t="shared" si="79"/>
        <v>0.10879291642302899</v>
      </c>
      <c r="T151" s="156">
        <f t="shared" si="79"/>
        <v>0.111009375730016</v>
      </c>
      <c r="U151" s="156">
        <f t="shared" si="79"/>
        <v>0.11180904187884634</v>
      </c>
      <c r="V151" s="156">
        <f t="shared" si="79"/>
        <v>0.12338199972589529</v>
      </c>
      <c r="W151" s="156">
        <f t="shared" ref="W151" si="80">IF(W33=0,0,W33/W$17)</f>
        <v>0.11814567541876436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0</v>
      </c>
      <c r="C152" s="103">
        <f t="shared" si="81"/>
        <v>0</v>
      </c>
      <c r="D152" s="103">
        <f t="shared" si="81"/>
        <v>0</v>
      </c>
      <c r="E152" s="103">
        <f t="shared" si="81"/>
        <v>0</v>
      </c>
      <c r="F152" s="103">
        <f t="shared" si="81"/>
        <v>0</v>
      </c>
      <c r="G152" s="103">
        <f t="shared" si="81"/>
        <v>0</v>
      </c>
      <c r="H152" s="103">
        <f t="shared" si="81"/>
        <v>0</v>
      </c>
      <c r="I152" s="103">
        <f t="shared" si="81"/>
        <v>0</v>
      </c>
      <c r="J152" s="103">
        <f t="shared" si="81"/>
        <v>0</v>
      </c>
      <c r="K152" s="103">
        <f t="shared" si="81"/>
        <v>0</v>
      </c>
      <c r="L152" s="103">
        <f t="shared" ref="L152" si="82">IF(L34=0,0,L34/L$17)</f>
        <v>0</v>
      </c>
      <c r="M152" s="103">
        <f t="shared" ref="M152:V152" si="83">IF(M34=0,0,M34/M$17)</f>
        <v>0</v>
      </c>
      <c r="N152" s="103">
        <f t="shared" si="83"/>
        <v>0</v>
      </c>
      <c r="O152" s="103">
        <f t="shared" si="83"/>
        <v>0</v>
      </c>
      <c r="P152" s="103">
        <f t="shared" si="83"/>
        <v>0</v>
      </c>
      <c r="Q152" s="103">
        <f t="shared" si="83"/>
        <v>0</v>
      </c>
      <c r="R152" s="103">
        <f t="shared" si="83"/>
        <v>0</v>
      </c>
      <c r="S152" s="103">
        <f t="shared" si="83"/>
        <v>0</v>
      </c>
      <c r="T152" s="103">
        <f t="shared" si="83"/>
        <v>0</v>
      </c>
      <c r="U152" s="103">
        <f t="shared" si="83"/>
        <v>0</v>
      </c>
      <c r="V152" s="103">
        <f t="shared" si="83"/>
        <v>0</v>
      </c>
      <c r="W152" s="103">
        <f t="shared" ref="W152" si="84">IF(W34=0,0,W34/W$17)</f>
        <v>0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0.10536765002895329</v>
      </c>
      <c r="C153" s="103">
        <f t="shared" si="85"/>
        <v>9.8782456732189799E-2</v>
      </c>
      <c r="D153" s="103">
        <f t="shared" si="85"/>
        <v>9.4401611170321351E-2</v>
      </c>
      <c r="E153" s="103">
        <f t="shared" si="85"/>
        <v>0.11486926279692218</v>
      </c>
      <c r="F153" s="103">
        <f t="shared" si="85"/>
        <v>8.5905968656241741E-2</v>
      </c>
      <c r="G153" s="103">
        <f t="shared" si="85"/>
        <v>9.4506414643028766E-2</v>
      </c>
      <c r="H153" s="103">
        <f t="shared" si="85"/>
        <v>8.9697711644044456E-2</v>
      </c>
      <c r="I153" s="103">
        <f t="shared" si="85"/>
        <v>8.8162911248625783E-2</v>
      </c>
      <c r="J153" s="103">
        <f t="shared" si="85"/>
        <v>8.2539692095608796E-2</v>
      </c>
      <c r="K153" s="103">
        <f t="shared" si="85"/>
        <v>9.0454976149785093E-2</v>
      </c>
      <c r="L153" s="103">
        <f t="shared" ref="L153" si="86">IF(L36=0,0,L36/L$17)</f>
        <v>8.7237546295672083E-2</v>
      </c>
      <c r="M153" s="103">
        <f t="shared" ref="M153:V153" si="87">IF(M36=0,0,M36/M$17)</f>
        <v>0.1013953037380451</v>
      </c>
      <c r="N153" s="103">
        <f t="shared" si="87"/>
        <v>0.10150875534566729</v>
      </c>
      <c r="O153" s="103">
        <f t="shared" si="87"/>
        <v>0.11400742569185586</v>
      </c>
      <c r="P153" s="103">
        <f t="shared" si="87"/>
        <v>0.11082942526447936</v>
      </c>
      <c r="Q153" s="103">
        <f t="shared" si="87"/>
        <v>0.10514470912919266</v>
      </c>
      <c r="R153" s="103">
        <f t="shared" si="87"/>
        <v>0.10336559881628297</v>
      </c>
      <c r="S153" s="103">
        <f t="shared" si="87"/>
        <v>0.10679684690116296</v>
      </c>
      <c r="T153" s="103">
        <f t="shared" si="87"/>
        <v>0.10853267943105607</v>
      </c>
      <c r="U153" s="103">
        <f t="shared" si="87"/>
        <v>0.10889799511187913</v>
      </c>
      <c r="V153" s="103">
        <f t="shared" si="87"/>
        <v>0.12011916107843269</v>
      </c>
      <c r="W153" s="103">
        <f t="shared" ref="W153" si="88">IF(W36=0,0,W36/W$17)</f>
        <v>0.11448211722470591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0</v>
      </c>
      <c r="G154" s="103">
        <f t="shared" si="89"/>
        <v>0</v>
      </c>
      <c r="H154" s="103">
        <f t="shared" si="89"/>
        <v>0</v>
      </c>
      <c r="I154" s="103">
        <f t="shared" si="89"/>
        <v>0</v>
      </c>
      <c r="J154" s="103">
        <f t="shared" si="89"/>
        <v>0</v>
      </c>
      <c r="K154" s="103">
        <f t="shared" si="89"/>
        <v>0</v>
      </c>
      <c r="L154" s="103">
        <f t="shared" ref="L154" si="90">IF(L38=0,0,L38/L$17)</f>
        <v>0</v>
      </c>
      <c r="M154" s="103">
        <f t="shared" ref="M154:V154" si="91">IF(M38=0,0,M38/M$17)</f>
        <v>0</v>
      </c>
      <c r="N154" s="103">
        <f t="shared" si="91"/>
        <v>0</v>
      </c>
      <c r="O154" s="103">
        <f t="shared" si="91"/>
        <v>0</v>
      </c>
      <c r="P154" s="103">
        <f t="shared" si="91"/>
        <v>0</v>
      </c>
      <c r="Q154" s="103">
        <f t="shared" si="91"/>
        <v>0</v>
      </c>
      <c r="R154" s="103">
        <f t="shared" si="91"/>
        <v>0</v>
      </c>
      <c r="S154" s="103">
        <f t="shared" si="91"/>
        <v>0</v>
      </c>
      <c r="T154" s="103">
        <f t="shared" si="91"/>
        <v>0</v>
      </c>
      <c r="U154" s="103">
        <f t="shared" si="91"/>
        <v>0</v>
      </c>
      <c r="V154" s="103">
        <f t="shared" si="91"/>
        <v>0</v>
      </c>
      <c r="W154" s="103">
        <f t="shared" ref="W154" si="92">IF(W38=0,0,W38/W$17)</f>
        <v>0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0</v>
      </c>
      <c r="C155" s="103">
        <f t="shared" si="93"/>
        <v>9.39853718455003E-4</v>
      </c>
      <c r="D155" s="103">
        <f t="shared" si="93"/>
        <v>1.4285458857351615E-3</v>
      </c>
      <c r="E155" s="103">
        <f t="shared" si="93"/>
        <v>1.4864281640117355E-3</v>
      </c>
      <c r="F155" s="103">
        <f t="shared" si="93"/>
        <v>1.4717212347685811E-3</v>
      </c>
      <c r="G155" s="103">
        <f t="shared" si="93"/>
        <v>1.6077560069379354E-3</v>
      </c>
      <c r="H155" s="103">
        <f t="shared" si="93"/>
        <v>1.6487067277468511E-3</v>
      </c>
      <c r="I155" s="103">
        <f t="shared" si="93"/>
        <v>1.8130314647120925E-3</v>
      </c>
      <c r="J155" s="103">
        <f t="shared" si="93"/>
        <v>1.8426705902937009E-3</v>
      </c>
      <c r="K155" s="103">
        <f t="shared" si="93"/>
        <v>1.697027617429042E-3</v>
      </c>
      <c r="L155" s="103">
        <f t="shared" ref="L155" si="94">IF(L39=0,0,L39/L$17)</f>
        <v>1.7279560208484984E-3</v>
      </c>
      <c r="M155" s="103">
        <f t="shared" ref="M155:V155" si="95">IF(M39=0,0,M39/M$17)</f>
        <v>1.9990397681372667E-3</v>
      </c>
      <c r="N155" s="103">
        <f t="shared" si="95"/>
        <v>2.4060781166304452E-3</v>
      </c>
      <c r="O155" s="103">
        <f t="shared" si="95"/>
        <v>2.1245953896596877E-3</v>
      </c>
      <c r="P155" s="103">
        <f t="shared" si="95"/>
        <v>2.2024345074542484E-3</v>
      </c>
      <c r="Q155" s="103">
        <f t="shared" si="95"/>
        <v>2.4392146759294069E-3</v>
      </c>
      <c r="R155" s="103">
        <f t="shared" si="95"/>
        <v>3.1371623701515468E-3</v>
      </c>
      <c r="S155" s="103">
        <f t="shared" si="95"/>
        <v>1.9960695218660396E-3</v>
      </c>
      <c r="T155" s="103">
        <f t="shared" si="95"/>
        <v>2.4766962989599367E-3</v>
      </c>
      <c r="U155" s="103">
        <f t="shared" si="95"/>
        <v>2.9078761924452444E-3</v>
      </c>
      <c r="V155" s="103">
        <f t="shared" si="95"/>
        <v>3.2592381361365181E-3</v>
      </c>
      <c r="W155" s="103">
        <f t="shared" ref="W155" si="96">IF(W39=0,0,W39/W$17)</f>
        <v>3.6601442132140846E-3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0</v>
      </c>
      <c r="C156" s="103">
        <f t="shared" si="97"/>
        <v>0</v>
      </c>
      <c r="D156" s="103">
        <f t="shared" si="97"/>
        <v>0</v>
      </c>
      <c r="E156" s="103">
        <f t="shared" si="97"/>
        <v>0</v>
      </c>
      <c r="F156" s="103">
        <f t="shared" si="97"/>
        <v>0</v>
      </c>
      <c r="G156" s="103">
        <f t="shared" si="97"/>
        <v>0</v>
      </c>
      <c r="H156" s="103">
        <f t="shared" si="97"/>
        <v>0</v>
      </c>
      <c r="I156" s="103">
        <f t="shared" si="97"/>
        <v>0</v>
      </c>
      <c r="J156" s="103">
        <f t="shared" si="97"/>
        <v>0</v>
      </c>
      <c r="K156" s="103">
        <f t="shared" si="97"/>
        <v>0</v>
      </c>
      <c r="L156" s="103">
        <f t="shared" ref="L156" si="98">IF(L41=0,0,L41/L$17)</f>
        <v>0</v>
      </c>
      <c r="M156" s="103">
        <f t="shared" ref="M156:V156" si="99">IF(M41=0,0,M41/M$17)</f>
        <v>0</v>
      </c>
      <c r="N156" s="103">
        <f t="shared" si="99"/>
        <v>0</v>
      </c>
      <c r="O156" s="103">
        <f t="shared" si="99"/>
        <v>0</v>
      </c>
      <c r="P156" s="103">
        <f t="shared" si="99"/>
        <v>0</v>
      </c>
      <c r="Q156" s="103">
        <f t="shared" si="99"/>
        <v>0</v>
      </c>
      <c r="R156" s="103">
        <f t="shared" si="99"/>
        <v>0</v>
      </c>
      <c r="S156" s="103">
        <f t="shared" si="99"/>
        <v>0</v>
      </c>
      <c r="T156" s="103">
        <f t="shared" si="99"/>
        <v>0</v>
      </c>
      <c r="U156" s="103">
        <f t="shared" si="99"/>
        <v>3.1705745219818619E-6</v>
      </c>
      <c r="V156" s="103">
        <f t="shared" si="99"/>
        <v>3.6005113260703087E-6</v>
      </c>
      <c r="W156" s="103">
        <f t="shared" ref="W156" si="100">IF(W41=0,0,W41/W$17)</f>
        <v>3.41398084437498E-6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0.35090378992389804</v>
      </c>
      <c r="C157" s="46">
        <f t="shared" si="101"/>
        <v>0.34496459952380082</v>
      </c>
      <c r="D157" s="46">
        <f t="shared" si="101"/>
        <v>0.33967121741894141</v>
      </c>
      <c r="E157" s="46">
        <f t="shared" si="101"/>
        <v>0.32175816994988299</v>
      </c>
      <c r="F157" s="46">
        <f t="shared" si="101"/>
        <v>0.33799731652458331</v>
      </c>
      <c r="G157" s="46">
        <f t="shared" si="101"/>
        <v>0.31479744559003492</v>
      </c>
      <c r="H157" s="46">
        <f t="shared" si="101"/>
        <v>0.32192368478518052</v>
      </c>
      <c r="I157" s="46">
        <f t="shared" si="101"/>
        <v>0.32104730608309839</v>
      </c>
      <c r="J157" s="46">
        <f t="shared" si="101"/>
        <v>0.32465213058184184</v>
      </c>
      <c r="K157" s="46">
        <f t="shared" si="101"/>
        <v>0.34694357332366416</v>
      </c>
      <c r="L157" s="46">
        <f t="shared" ref="L157" si="102">IF(L42=0,0,L42/L$17)</f>
        <v>0.34580209541082463</v>
      </c>
      <c r="M157" s="46">
        <f t="shared" ref="M157:V157" si="103">IF(M42=0,0,M42/M$17)</f>
        <v>0.30563788166389361</v>
      </c>
      <c r="N157" s="46">
        <f t="shared" si="103"/>
        <v>0.27797284346114631</v>
      </c>
      <c r="O157" s="46">
        <f t="shared" si="103"/>
        <v>0.31955427206147752</v>
      </c>
      <c r="P157" s="46">
        <f t="shared" si="103"/>
        <v>0.33168337813932219</v>
      </c>
      <c r="Q157" s="46">
        <f t="shared" si="103"/>
        <v>0.32153208334522093</v>
      </c>
      <c r="R157" s="46">
        <f t="shared" si="103"/>
        <v>0.32920278859328067</v>
      </c>
      <c r="S157" s="46">
        <f t="shared" si="103"/>
        <v>0.31616941686867744</v>
      </c>
      <c r="T157" s="46">
        <f t="shared" si="103"/>
        <v>0.31884550848400306</v>
      </c>
      <c r="U157" s="46">
        <f t="shared" si="103"/>
        <v>0.32071683518023081</v>
      </c>
      <c r="V157" s="46">
        <f t="shared" si="103"/>
        <v>0.32960480944986115</v>
      </c>
      <c r="W157" s="46">
        <f t="shared" ref="W157" si="104">IF(W42=0,0,W42/W$17)</f>
        <v>0.3367876134517383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0.14831358836484604</v>
      </c>
      <c r="C158" s="154">
        <f t="shared" si="105"/>
        <v>0.14356459226655821</v>
      </c>
      <c r="D158" s="154">
        <f t="shared" si="105"/>
        <v>0.14133955522913474</v>
      </c>
      <c r="E158" s="154">
        <f t="shared" si="105"/>
        <v>0.13652880541132337</v>
      </c>
      <c r="F158" s="154">
        <f t="shared" si="105"/>
        <v>0.13287007010672511</v>
      </c>
      <c r="G158" s="154">
        <f t="shared" si="105"/>
        <v>0.12933072083564473</v>
      </c>
      <c r="H158" s="154">
        <f t="shared" si="105"/>
        <v>0.12581577706418376</v>
      </c>
      <c r="I158" s="154">
        <f t="shared" si="105"/>
        <v>0.12723223972660153</v>
      </c>
      <c r="J158" s="154">
        <f t="shared" si="105"/>
        <v>0.12760283536183353</v>
      </c>
      <c r="K158" s="154">
        <f t="shared" si="105"/>
        <v>0.11046744452034879</v>
      </c>
      <c r="L158" s="154">
        <f t="shared" ref="L158" si="106">IF(L43=0,0,L43/L$17)</f>
        <v>0.12211877984595522</v>
      </c>
      <c r="M158" s="154">
        <f t="shared" ref="M158:V158" si="107">IF(M43=0,0,M43/M$17)</f>
        <v>0.11444959464691629</v>
      </c>
      <c r="N158" s="154">
        <f t="shared" si="107"/>
        <v>0.11439035470655451</v>
      </c>
      <c r="O158" s="154">
        <f t="shared" si="107"/>
        <v>0.13027241770080739</v>
      </c>
      <c r="P158" s="154">
        <f t="shared" si="107"/>
        <v>0.13086852671073843</v>
      </c>
      <c r="Q158" s="154">
        <f t="shared" si="107"/>
        <v>0.15473063882010107</v>
      </c>
      <c r="R158" s="154">
        <f t="shared" si="107"/>
        <v>0.15920954414425298</v>
      </c>
      <c r="S158" s="154">
        <f t="shared" si="107"/>
        <v>0.14320900474434783</v>
      </c>
      <c r="T158" s="154">
        <f t="shared" si="107"/>
        <v>0.1417489496087137</v>
      </c>
      <c r="U158" s="154">
        <f t="shared" si="107"/>
        <v>0.13793472752325608</v>
      </c>
      <c r="V158" s="154">
        <f t="shared" si="107"/>
        <v>0.13576650926323625</v>
      </c>
      <c r="W158" s="154">
        <f t="shared" ref="W158" si="108">IF(W43=0,0,W43/W$17)</f>
        <v>0.13955733572016182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0.12375017914628127</v>
      </c>
      <c r="C159" s="103">
        <f t="shared" si="109"/>
        <v>0.11676076494845326</v>
      </c>
      <c r="D159" s="103">
        <f t="shared" si="109"/>
        <v>0.1129282842206125</v>
      </c>
      <c r="E159" s="103">
        <f t="shared" si="109"/>
        <v>0.10533813961567434</v>
      </c>
      <c r="F159" s="103">
        <f t="shared" si="109"/>
        <v>9.9380275260070289E-2</v>
      </c>
      <c r="G159" s="103">
        <f t="shared" si="109"/>
        <v>9.4723597851892494E-2</v>
      </c>
      <c r="H159" s="103">
        <f t="shared" si="109"/>
        <v>8.6694257280357664E-2</v>
      </c>
      <c r="I159" s="103">
        <f t="shared" si="109"/>
        <v>8.4758935456813816E-2</v>
      </c>
      <c r="J159" s="103">
        <f t="shared" si="109"/>
        <v>8.4592868675408911E-2</v>
      </c>
      <c r="K159" s="103">
        <f t="shared" si="109"/>
        <v>6.5036911347293003E-2</v>
      </c>
      <c r="L159" s="103">
        <f t="shared" ref="L159" si="110">IF(L44=0,0,L44/L$17)</f>
        <v>6.6781463587833573E-2</v>
      </c>
      <c r="M159" s="103">
        <f t="shared" ref="M159:V159" si="111">IF(M44=0,0,M44/M$17)</f>
        <v>6.030517527029907E-2</v>
      </c>
      <c r="N159" s="103">
        <f t="shared" si="111"/>
        <v>5.9072584666075553E-2</v>
      </c>
      <c r="O159" s="103">
        <f t="shared" si="111"/>
        <v>5.7513677183189289E-2</v>
      </c>
      <c r="P159" s="103">
        <f t="shared" si="111"/>
        <v>5.6835082810528022E-2</v>
      </c>
      <c r="Q159" s="103">
        <f t="shared" si="111"/>
        <v>5.7257103416971621E-2</v>
      </c>
      <c r="R159" s="103">
        <f t="shared" si="111"/>
        <v>5.5919197419285922E-2</v>
      </c>
      <c r="S159" s="103">
        <f t="shared" si="111"/>
        <v>5.3808889301258302E-2</v>
      </c>
      <c r="T159" s="103">
        <f t="shared" si="111"/>
        <v>5.90298216922766E-2</v>
      </c>
      <c r="U159" s="103">
        <f t="shared" si="111"/>
        <v>5.7157541891046861E-2</v>
      </c>
      <c r="V159" s="103">
        <f t="shared" si="111"/>
        <v>5.8110751263403752E-2</v>
      </c>
      <c r="W159" s="103">
        <f t="shared" ref="W159" si="112">IF(W44=0,0,W44/W$17)</f>
        <v>6.0176225347152813E-2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2.4563409218564754E-2</v>
      </c>
      <c r="C160" s="103">
        <f t="shared" si="113"/>
        <v>2.6803827318104937E-2</v>
      </c>
      <c r="D160" s="103">
        <f t="shared" si="113"/>
        <v>2.8411271008522237E-2</v>
      </c>
      <c r="E160" s="103">
        <f t="shared" si="113"/>
        <v>3.1190665795649025E-2</v>
      </c>
      <c r="F160" s="103">
        <f t="shared" si="113"/>
        <v>3.3489794846654826E-2</v>
      </c>
      <c r="G160" s="103">
        <f t="shared" si="113"/>
        <v>3.4607122983752223E-2</v>
      </c>
      <c r="H160" s="103">
        <f t="shared" si="113"/>
        <v>3.9121519783826088E-2</v>
      </c>
      <c r="I160" s="103">
        <f t="shared" si="113"/>
        <v>4.2473304269787723E-2</v>
      </c>
      <c r="J160" s="103">
        <f t="shared" si="113"/>
        <v>4.3009966686424615E-2</v>
      </c>
      <c r="K160" s="103">
        <f t="shared" si="113"/>
        <v>4.543053317305578E-2</v>
      </c>
      <c r="L160" s="103">
        <f t="shared" ref="L160" si="114">IF(L46=0,0,L46/L$17)</f>
        <v>5.5337316258121654E-2</v>
      </c>
      <c r="M160" s="103">
        <f t="shared" ref="M160:V160" si="115">IF(M46=0,0,M46/M$17)</f>
        <v>5.4144419376617216E-2</v>
      </c>
      <c r="N160" s="103">
        <f t="shared" si="115"/>
        <v>5.5317770040478956E-2</v>
      </c>
      <c r="O160" s="103">
        <f t="shared" si="115"/>
        <v>7.2758740517618103E-2</v>
      </c>
      <c r="P160" s="103">
        <f t="shared" si="115"/>
        <v>7.4033443900210397E-2</v>
      </c>
      <c r="Q160" s="103">
        <f t="shared" si="115"/>
        <v>9.7473535403129447E-2</v>
      </c>
      <c r="R160" s="103">
        <f t="shared" si="115"/>
        <v>0.10329034672496706</v>
      </c>
      <c r="S160" s="103">
        <f t="shared" si="115"/>
        <v>8.9400115443089526E-2</v>
      </c>
      <c r="T160" s="103">
        <f t="shared" si="115"/>
        <v>8.271912791643711E-2</v>
      </c>
      <c r="U160" s="103">
        <f t="shared" si="115"/>
        <v>8.0777185632209231E-2</v>
      </c>
      <c r="V160" s="103">
        <f t="shared" si="115"/>
        <v>7.76557579998325E-2</v>
      </c>
      <c r="W160" s="103">
        <f t="shared" ref="W160" si="116">IF(W46=0,0,W46/W$17)</f>
        <v>7.9381110373009003E-2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0</v>
      </c>
      <c r="C161" s="103">
        <f t="shared" si="117"/>
        <v>0</v>
      </c>
      <c r="D161" s="103">
        <f t="shared" si="117"/>
        <v>0</v>
      </c>
      <c r="E161" s="103">
        <f t="shared" si="117"/>
        <v>0</v>
      </c>
      <c r="F161" s="103">
        <f t="shared" si="117"/>
        <v>0</v>
      </c>
      <c r="G161" s="103">
        <f t="shared" si="117"/>
        <v>0</v>
      </c>
      <c r="H161" s="103">
        <f t="shared" si="117"/>
        <v>0</v>
      </c>
      <c r="I161" s="103">
        <f t="shared" si="117"/>
        <v>0</v>
      </c>
      <c r="J161" s="103">
        <f t="shared" si="117"/>
        <v>0</v>
      </c>
      <c r="K161" s="103">
        <f t="shared" si="117"/>
        <v>0</v>
      </c>
      <c r="L161" s="103">
        <f t="shared" ref="L161" si="118">IF(L48=0,0,L48/L$17)</f>
        <v>0</v>
      </c>
      <c r="M161" s="103">
        <f t="shared" ref="M161:V161" si="119">IF(M48=0,0,M48/M$17)</f>
        <v>0</v>
      </c>
      <c r="N161" s="103">
        <f t="shared" si="119"/>
        <v>0</v>
      </c>
      <c r="O161" s="103">
        <f t="shared" si="119"/>
        <v>0</v>
      </c>
      <c r="P161" s="103">
        <f t="shared" si="119"/>
        <v>0</v>
      </c>
      <c r="Q161" s="103">
        <f t="shared" si="119"/>
        <v>0</v>
      </c>
      <c r="R161" s="103">
        <f t="shared" si="119"/>
        <v>0</v>
      </c>
      <c r="S161" s="103">
        <f t="shared" si="119"/>
        <v>0</v>
      </c>
      <c r="T161" s="103">
        <f t="shared" si="119"/>
        <v>0</v>
      </c>
      <c r="U161" s="103">
        <f t="shared" si="119"/>
        <v>0</v>
      </c>
      <c r="V161" s="103">
        <f t="shared" si="119"/>
        <v>0</v>
      </c>
      <c r="W161" s="103">
        <f t="shared" ref="W161" si="120">IF(W48=0,0,W48/W$17)</f>
        <v>0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0</v>
      </c>
      <c r="I162" s="103">
        <f t="shared" si="121"/>
        <v>0</v>
      </c>
      <c r="J162" s="103">
        <f t="shared" si="121"/>
        <v>0</v>
      </c>
      <c r="K162" s="103">
        <f t="shared" si="121"/>
        <v>0</v>
      </c>
      <c r="L162" s="103">
        <f t="shared" ref="L162" si="122">IF(L49=0,0,L49/L$17)</f>
        <v>0</v>
      </c>
      <c r="M162" s="103">
        <f t="shared" ref="M162:V162" si="123">IF(M49=0,0,M49/M$17)</f>
        <v>0</v>
      </c>
      <c r="N162" s="103">
        <f t="shared" si="123"/>
        <v>0</v>
      </c>
      <c r="O162" s="103">
        <f t="shared" si="123"/>
        <v>0</v>
      </c>
      <c r="P162" s="103">
        <f t="shared" si="123"/>
        <v>0</v>
      </c>
      <c r="Q162" s="103">
        <f t="shared" si="123"/>
        <v>0</v>
      </c>
      <c r="R162" s="103">
        <f t="shared" si="123"/>
        <v>0</v>
      </c>
      <c r="S162" s="103">
        <f t="shared" si="123"/>
        <v>0</v>
      </c>
      <c r="T162" s="103">
        <f t="shared" si="123"/>
        <v>0</v>
      </c>
      <c r="U162" s="103">
        <f t="shared" si="123"/>
        <v>0</v>
      </c>
      <c r="V162" s="103">
        <f t="shared" si="123"/>
        <v>0</v>
      </c>
      <c r="W162" s="103">
        <f t="shared" ref="W162" si="124">IF(W49=0,0,W49/W$17)</f>
        <v>0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0</v>
      </c>
      <c r="J163" s="103">
        <f t="shared" si="125"/>
        <v>0</v>
      </c>
      <c r="K163" s="103">
        <f t="shared" si="125"/>
        <v>0</v>
      </c>
      <c r="L163" s="103">
        <f t="shared" ref="L163" si="126">IF(L51=0,0,L51/L$17)</f>
        <v>0</v>
      </c>
      <c r="M163" s="103">
        <f t="shared" ref="M163:V163" si="127">IF(M51=0,0,M51/M$17)</f>
        <v>0</v>
      </c>
      <c r="N163" s="103">
        <f t="shared" si="127"/>
        <v>0</v>
      </c>
      <c r="O163" s="103">
        <f t="shared" si="127"/>
        <v>0</v>
      </c>
      <c r="P163" s="103">
        <f t="shared" si="127"/>
        <v>0</v>
      </c>
      <c r="Q163" s="103">
        <f t="shared" si="127"/>
        <v>0</v>
      </c>
      <c r="R163" s="103">
        <f t="shared" si="127"/>
        <v>0</v>
      </c>
      <c r="S163" s="103">
        <f t="shared" si="127"/>
        <v>0</v>
      </c>
      <c r="T163" s="103">
        <f t="shared" si="127"/>
        <v>0</v>
      </c>
      <c r="U163" s="103">
        <f t="shared" si="127"/>
        <v>0</v>
      </c>
      <c r="V163" s="103">
        <f t="shared" si="127"/>
        <v>0</v>
      </c>
      <c r="W163" s="103">
        <f t="shared" ref="W163" si="128">IF(W51=0,0,W51/W$17)</f>
        <v>0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0.20259020155905202</v>
      </c>
      <c r="C164" s="156">
        <f t="shared" si="129"/>
        <v>0.20140000725724261</v>
      </c>
      <c r="D164" s="156">
        <f t="shared" si="129"/>
        <v>0.19833166218980669</v>
      </c>
      <c r="E164" s="156">
        <f t="shared" si="129"/>
        <v>0.18522936453855965</v>
      </c>
      <c r="F164" s="156">
        <f t="shared" si="129"/>
        <v>0.20512724641785823</v>
      </c>
      <c r="G164" s="156">
        <f t="shared" si="129"/>
        <v>0.18546672475439016</v>
      </c>
      <c r="H164" s="156">
        <f t="shared" si="129"/>
        <v>0.1961079077209967</v>
      </c>
      <c r="I164" s="156">
        <f t="shared" si="129"/>
        <v>0.19381506635649687</v>
      </c>
      <c r="J164" s="156">
        <f t="shared" si="129"/>
        <v>0.19704929522000833</v>
      </c>
      <c r="K164" s="156">
        <f t="shared" si="129"/>
        <v>0.23647612880331537</v>
      </c>
      <c r="L164" s="156">
        <f t="shared" ref="L164" si="130">IF(L52=0,0,L52/L$17)</f>
        <v>0.22368331556486942</v>
      </c>
      <c r="M164" s="156">
        <f t="shared" ref="M164:V164" si="131">IF(M52=0,0,M52/M$17)</f>
        <v>0.19118828701697732</v>
      </c>
      <c r="N164" s="156">
        <f t="shared" si="131"/>
        <v>0.16358248875459175</v>
      </c>
      <c r="O164" s="156">
        <f t="shared" si="131"/>
        <v>0.1892818543606701</v>
      </c>
      <c r="P164" s="156">
        <f t="shared" si="131"/>
        <v>0.2008148514285838</v>
      </c>
      <c r="Q164" s="156">
        <f t="shared" si="131"/>
        <v>0.16680144452511989</v>
      </c>
      <c r="R164" s="156">
        <f t="shared" si="131"/>
        <v>0.16999324444902769</v>
      </c>
      <c r="S164" s="156">
        <f t="shared" si="131"/>
        <v>0.17296041212432958</v>
      </c>
      <c r="T164" s="156">
        <f t="shared" si="131"/>
        <v>0.1770965588752893</v>
      </c>
      <c r="U164" s="156">
        <f t="shared" si="131"/>
        <v>0.18278210765697472</v>
      </c>
      <c r="V164" s="156">
        <f t="shared" si="131"/>
        <v>0.19383830018662493</v>
      </c>
      <c r="W164" s="156">
        <f t="shared" ref="W164" si="132">IF(W52=0,0,W52/W$17)</f>
        <v>0.19723027773157648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0.18501979331596871</v>
      </c>
      <c r="C165" s="104">
        <f t="shared" si="133"/>
        <v>0.18362615418300388</v>
      </c>
      <c r="D165" s="104">
        <f t="shared" si="133"/>
        <v>0.18054318461866456</v>
      </c>
      <c r="E165" s="104">
        <f t="shared" si="133"/>
        <v>0.15373941088609014</v>
      </c>
      <c r="F165" s="104">
        <f t="shared" si="133"/>
        <v>0.18583949985202219</v>
      </c>
      <c r="G165" s="104">
        <f t="shared" si="133"/>
        <v>0.1596192800281791</v>
      </c>
      <c r="H165" s="104">
        <f t="shared" si="133"/>
        <v>0.16958184427408529</v>
      </c>
      <c r="I165" s="104">
        <f t="shared" si="133"/>
        <v>0.16810618422209714</v>
      </c>
      <c r="J165" s="104">
        <f t="shared" si="133"/>
        <v>0.17554533969892636</v>
      </c>
      <c r="K165" s="104">
        <f t="shared" si="133"/>
        <v>0.20414249741701782</v>
      </c>
      <c r="L165" s="104">
        <f t="shared" ref="L165" si="134">IF(L53=0,0,L53/L$17)</f>
        <v>0.19548289836353844</v>
      </c>
      <c r="M165" s="104">
        <f t="shared" ref="M165:V165" si="135">IF(M53=0,0,M53/M$17)</f>
        <v>0.16302622427619898</v>
      </c>
      <c r="N165" s="104">
        <f t="shared" si="135"/>
        <v>0.1444550437616931</v>
      </c>
      <c r="O165" s="104">
        <f t="shared" si="135"/>
        <v>0.15504283504647329</v>
      </c>
      <c r="P165" s="104">
        <f t="shared" si="135"/>
        <v>0.168417167863049</v>
      </c>
      <c r="Q165" s="104">
        <f t="shared" si="135"/>
        <v>0.14409369838821218</v>
      </c>
      <c r="R165" s="104">
        <f t="shared" si="135"/>
        <v>0.14630493170544226</v>
      </c>
      <c r="S165" s="104">
        <f t="shared" si="135"/>
        <v>0.13930201562478903</v>
      </c>
      <c r="T165" s="104">
        <f t="shared" si="135"/>
        <v>0.14306084558401325</v>
      </c>
      <c r="U165" s="104">
        <f t="shared" si="135"/>
        <v>0.14673925050786282</v>
      </c>
      <c r="V165" s="104">
        <f t="shared" si="135"/>
        <v>0.15098451138259272</v>
      </c>
      <c r="W165" s="104">
        <f t="shared" ref="W165" si="136">IF(W53=0,0,W53/W$17)</f>
        <v>0.16281948646354619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1.7570408243083313E-2</v>
      </c>
      <c r="C166" s="105">
        <f t="shared" si="137"/>
        <v>1.7773853074238725E-2</v>
      </c>
      <c r="D166" s="105">
        <f t="shared" si="137"/>
        <v>1.7788477571142103E-2</v>
      </c>
      <c r="E166" s="105">
        <f t="shared" si="137"/>
        <v>3.1489953652469517E-2</v>
      </c>
      <c r="F166" s="105">
        <f t="shared" si="137"/>
        <v>1.9287746565836032E-2</v>
      </c>
      <c r="G166" s="105">
        <f t="shared" si="137"/>
        <v>2.5847444726211085E-2</v>
      </c>
      <c r="H166" s="105">
        <f t="shared" si="137"/>
        <v>2.6526063446911399E-2</v>
      </c>
      <c r="I166" s="105">
        <f t="shared" si="137"/>
        <v>2.5708882134399719E-2</v>
      </c>
      <c r="J166" s="105">
        <f t="shared" si="137"/>
        <v>2.1503955521081967E-2</v>
      </c>
      <c r="K166" s="105">
        <f t="shared" si="137"/>
        <v>3.2333631386297579E-2</v>
      </c>
      <c r="L166" s="105">
        <f t="shared" ref="L166" si="138">IF(L55=0,0,L55/L$17)</f>
        <v>2.8200417201330985E-2</v>
      </c>
      <c r="M166" s="105">
        <f t="shared" ref="M166:V166" si="139">IF(M55=0,0,M55/M$17)</f>
        <v>2.8162062740778367E-2</v>
      </c>
      <c r="N166" s="105">
        <f t="shared" si="139"/>
        <v>1.9127444992898639E-2</v>
      </c>
      <c r="O166" s="105">
        <f t="shared" si="139"/>
        <v>3.4239019314196831E-2</v>
      </c>
      <c r="P166" s="105">
        <f t="shared" si="139"/>
        <v>3.2397683565534796E-2</v>
      </c>
      <c r="Q166" s="105">
        <f t="shared" si="139"/>
        <v>2.2707746136907719E-2</v>
      </c>
      <c r="R166" s="105">
        <f t="shared" si="139"/>
        <v>2.3688312743585425E-2</v>
      </c>
      <c r="S166" s="105">
        <f t="shared" si="139"/>
        <v>3.3658396499540569E-2</v>
      </c>
      <c r="T166" s="105">
        <f t="shared" si="139"/>
        <v>3.4035713291276068E-2</v>
      </c>
      <c r="U166" s="105">
        <f t="shared" si="139"/>
        <v>3.6042857149111894E-2</v>
      </c>
      <c r="V166" s="105">
        <f t="shared" si="139"/>
        <v>4.2853788804032192E-2</v>
      </c>
      <c r="W166" s="105">
        <f t="shared" ref="W166" si="140">IF(W55=0,0,W55/W$17)</f>
        <v>3.4410791268030282E-2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15982.943963399999</v>
      </c>
      <c r="C4" s="146">
        <f t="shared" si="0"/>
        <v>16341.618187079997</v>
      </c>
      <c r="D4" s="146">
        <f t="shared" si="0"/>
        <v>16924.542385680001</v>
      </c>
      <c r="E4" s="146">
        <f t="shared" si="0"/>
        <v>17957.50165224</v>
      </c>
      <c r="F4" s="146">
        <f t="shared" si="0"/>
        <v>18066.190885919998</v>
      </c>
      <c r="G4" s="146">
        <f t="shared" si="0"/>
        <v>18544.669395479999</v>
      </c>
      <c r="H4" s="146">
        <f t="shared" si="0"/>
        <v>18974.519569079999</v>
      </c>
      <c r="I4" s="146">
        <f t="shared" si="0"/>
        <v>19738.665509759998</v>
      </c>
      <c r="J4" s="146">
        <f t="shared" si="0"/>
        <v>19307.558927880003</v>
      </c>
      <c r="K4" s="146">
        <f t="shared" si="0"/>
        <v>21017.007762120003</v>
      </c>
      <c r="L4" s="146">
        <f t="shared" ref="L4" si="1">L5+L9+L10+L15</f>
        <v>18926.917978319994</v>
      </c>
      <c r="M4" s="146">
        <f t="shared" ref="M4:V4" si="2">M5+M9+M10+M15</f>
        <v>17293.4996904</v>
      </c>
      <c r="N4" s="146">
        <f t="shared" si="2"/>
        <v>14102.204688719999</v>
      </c>
      <c r="O4" s="146">
        <f t="shared" si="2"/>
        <v>14353.389043559999</v>
      </c>
      <c r="P4" s="146">
        <f t="shared" si="2"/>
        <v>14256.62077356</v>
      </c>
      <c r="Q4" s="146">
        <f t="shared" si="2"/>
        <v>14356.6203726</v>
      </c>
      <c r="R4" s="146">
        <f t="shared" si="2"/>
        <v>14699.852541720002</v>
      </c>
      <c r="S4" s="146">
        <f t="shared" si="2"/>
        <v>14364.167197319997</v>
      </c>
      <c r="T4" s="146">
        <f t="shared" si="2"/>
        <v>14431.168811879996</v>
      </c>
      <c r="U4" s="146">
        <f t="shared" si="2"/>
        <v>14810.49708408</v>
      </c>
      <c r="V4" s="146">
        <f t="shared" si="2"/>
        <v>12905.828079479998</v>
      </c>
      <c r="W4" s="146">
        <f t="shared" ref="W4" si="3">W5+W9+W10+W15</f>
        <v>13655.144325239997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15982.943963399999</v>
      </c>
      <c r="C5" s="101">
        <f t="shared" si="4"/>
        <v>16327.279027079998</v>
      </c>
      <c r="D5" s="101">
        <f t="shared" si="4"/>
        <v>16901.872173719999</v>
      </c>
      <c r="E5" s="101">
        <f t="shared" si="4"/>
        <v>17932.509102240001</v>
      </c>
      <c r="F5" s="101">
        <f t="shared" si="4"/>
        <v>18041.299113959998</v>
      </c>
      <c r="G5" s="101">
        <f t="shared" si="4"/>
        <v>18516.798511559999</v>
      </c>
      <c r="H5" s="101">
        <f t="shared" si="4"/>
        <v>18945.134187119998</v>
      </c>
      <c r="I5" s="101">
        <f t="shared" si="4"/>
        <v>19704.988881719997</v>
      </c>
      <c r="J5" s="101">
        <f t="shared" si="4"/>
        <v>19274.235325920003</v>
      </c>
      <c r="K5" s="101">
        <f t="shared" si="4"/>
        <v>20982.422314080002</v>
      </c>
      <c r="L5" s="101">
        <f t="shared" ref="L5" si="5">SUM(L6:L8)</f>
        <v>18893.695962239995</v>
      </c>
      <c r="M5" s="101">
        <f t="shared" ref="M5:V5" si="6">SUM(M6:M8)</f>
        <v>17258.409140399999</v>
      </c>
      <c r="N5" s="101">
        <f t="shared" si="6"/>
        <v>14067.61924068</v>
      </c>
      <c r="O5" s="101">
        <f t="shared" si="6"/>
        <v>14321.883081599999</v>
      </c>
      <c r="P5" s="101">
        <f t="shared" si="6"/>
        <v>14224.307173560001</v>
      </c>
      <c r="Q5" s="101">
        <f t="shared" si="6"/>
        <v>14321.12610456</v>
      </c>
      <c r="R5" s="101">
        <f t="shared" si="6"/>
        <v>14655.320361720002</v>
      </c>
      <c r="S5" s="101">
        <f t="shared" si="6"/>
        <v>14334.125647319997</v>
      </c>
      <c r="T5" s="101">
        <f t="shared" si="6"/>
        <v>14395.487124959996</v>
      </c>
      <c r="U5" s="101">
        <f t="shared" si="6"/>
        <v>14768.47486296</v>
      </c>
      <c r="V5" s="101">
        <f t="shared" si="6"/>
        <v>12863.253699719997</v>
      </c>
      <c r="W5" s="101">
        <f t="shared" ref="W5" si="7">SUM(W6:W8)</f>
        <v>13605.734205359997</v>
      </c>
      <c r="DA5" s="175"/>
    </row>
    <row r="6" spans="1:105" ht="11.45" customHeight="1" x14ac:dyDescent="0.25">
      <c r="A6" s="128" t="s">
        <v>52</v>
      </c>
      <c r="B6" s="101">
        <v>44.769374280000008</v>
      </c>
      <c r="C6" s="101">
        <v>47.754029520000003</v>
      </c>
      <c r="D6" s="101">
        <v>44.769374280000008</v>
      </c>
      <c r="E6" s="101">
        <v>35.815635719999996</v>
      </c>
      <c r="F6" s="101">
        <v>32.830980479999994</v>
      </c>
      <c r="G6" s="101">
        <v>32.830980479999994</v>
      </c>
      <c r="H6" s="101">
        <v>32.830980479999994</v>
      </c>
      <c r="I6" s="101">
        <v>35.815635719999996</v>
      </c>
      <c r="J6" s="101">
        <v>35.815635719999996</v>
      </c>
      <c r="K6" s="101">
        <v>49.344149519999995</v>
      </c>
      <c r="L6" s="101">
        <v>121.90927572000002</v>
      </c>
      <c r="M6" s="101">
        <v>519.56534952000004</v>
      </c>
      <c r="N6" s="101">
        <v>223.50022524000005</v>
      </c>
      <c r="O6" s="101">
        <v>539.88367572000004</v>
      </c>
      <c r="P6" s="101">
        <v>586.32517475999998</v>
      </c>
      <c r="Q6" s="101">
        <v>679.20839999999998</v>
      </c>
      <c r="R6" s="101">
        <v>690.81877476000011</v>
      </c>
      <c r="S6" s="101">
        <v>649.65988152</v>
      </c>
      <c r="T6" s="101">
        <v>622.34366436000005</v>
      </c>
      <c r="U6" s="101">
        <v>634.9176518400003</v>
      </c>
      <c r="V6" s="101">
        <v>511.77489732000009</v>
      </c>
      <c r="W6" s="101">
        <v>498.17323799999991</v>
      </c>
      <c r="DA6" s="175" t="s">
        <v>740</v>
      </c>
    </row>
    <row r="7" spans="1:105" ht="11.45" customHeight="1" x14ac:dyDescent="0.25">
      <c r="A7" s="128" t="s">
        <v>53</v>
      </c>
      <c r="B7" s="101">
        <v>9916.0675891200008</v>
      </c>
      <c r="C7" s="101">
        <v>10241.486556839998</v>
      </c>
      <c r="D7" s="101">
        <v>10723.475180879999</v>
      </c>
      <c r="E7" s="101">
        <v>11205.463555439999</v>
      </c>
      <c r="F7" s="101">
        <v>11451.062644559999</v>
      </c>
      <c r="G7" s="101">
        <v>11936.12112</v>
      </c>
      <c r="H7" s="101">
        <v>12068.13071772</v>
      </c>
      <c r="I7" s="101">
        <v>12611.518864560001</v>
      </c>
      <c r="J7" s="101">
        <v>12375.129579120003</v>
      </c>
      <c r="K7" s="101">
        <v>12324.86634456</v>
      </c>
      <c r="L7" s="101">
        <v>11221.05605544</v>
      </c>
      <c r="M7" s="101">
        <v>10147.737710879997</v>
      </c>
      <c r="N7" s="101">
        <v>8806.0896554400006</v>
      </c>
      <c r="O7" s="101">
        <v>8059.0355168399983</v>
      </c>
      <c r="P7" s="101">
        <v>7668.7380277200009</v>
      </c>
      <c r="Q7" s="101">
        <v>7467.490744560002</v>
      </c>
      <c r="R7" s="101">
        <v>7360.7686891199992</v>
      </c>
      <c r="S7" s="101">
        <v>7110.7465690799982</v>
      </c>
      <c r="T7" s="101">
        <v>6971.9211611999981</v>
      </c>
      <c r="U7" s="101">
        <v>6805.4239637999999</v>
      </c>
      <c r="V7" s="101">
        <v>5456.5312125599985</v>
      </c>
      <c r="W7" s="101">
        <v>5834.2966189199988</v>
      </c>
      <c r="DA7" s="175" t="s">
        <v>741</v>
      </c>
    </row>
    <row r="8" spans="1:105" ht="11.45" customHeight="1" x14ac:dyDescent="0.25">
      <c r="A8" s="128" t="s">
        <v>54</v>
      </c>
      <c r="B8" s="101">
        <v>6022.1069999999982</v>
      </c>
      <c r="C8" s="101">
        <v>6038.0384407199999</v>
      </c>
      <c r="D8" s="101">
        <v>6133.62761856</v>
      </c>
      <c r="E8" s="101">
        <v>6691.2299110800013</v>
      </c>
      <c r="F8" s="101">
        <v>6557.4054889199988</v>
      </c>
      <c r="G8" s="101">
        <v>6547.8464110799996</v>
      </c>
      <c r="H8" s="101">
        <v>6844.1724889199995</v>
      </c>
      <c r="I8" s="101">
        <v>7057.6543814399975</v>
      </c>
      <c r="J8" s="101">
        <v>6863.2901110799994</v>
      </c>
      <c r="K8" s="101">
        <v>8608.2118200000004</v>
      </c>
      <c r="L8" s="101">
        <v>7550.7306310799977</v>
      </c>
      <c r="M8" s="101">
        <v>6591.1060799999996</v>
      </c>
      <c r="N8" s="101">
        <v>5038.0293599999995</v>
      </c>
      <c r="O8" s="101">
        <v>5722.9638890400001</v>
      </c>
      <c r="P8" s="101">
        <v>5969.243971079999</v>
      </c>
      <c r="Q8" s="101">
        <v>6174.4269599999998</v>
      </c>
      <c r="R8" s="101">
        <v>6603.732897840001</v>
      </c>
      <c r="S8" s="101">
        <v>6573.7191967199988</v>
      </c>
      <c r="T8" s="101">
        <v>6801.2222993999985</v>
      </c>
      <c r="U8" s="101">
        <v>7328.13324732</v>
      </c>
      <c r="V8" s="101">
        <v>6894.9475898399978</v>
      </c>
      <c r="W8" s="101">
        <v>7273.2643484399987</v>
      </c>
      <c r="DA8" s="175" t="s">
        <v>742</v>
      </c>
    </row>
    <row r="9" spans="1:105" ht="11.45" customHeight="1" x14ac:dyDescent="0.25">
      <c r="A9" s="92" t="s">
        <v>55</v>
      </c>
      <c r="B9" s="101">
        <v>0</v>
      </c>
      <c r="C9" s="101">
        <v>14.339160000000001</v>
      </c>
      <c r="D9" s="101">
        <v>22.670211960000003</v>
      </c>
      <c r="E9" s="101">
        <v>24.992549999999994</v>
      </c>
      <c r="F9" s="101">
        <v>24.89177196</v>
      </c>
      <c r="G9" s="101">
        <v>27.870883920000004</v>
      </c>
      <c r="H9" s="101">
        <v>29.385381959999997</v>
      </c>
      <c r="I9" s="101">
        <v>33.67662803999999</v>
      </c>
      <c r="J9" s="101">
        <v>33.323601959999991</v>
      </c>
      <c r="K9" s="101">
        <v>34.585448040000003</v>
      </c>
      <c r="L9" s="101">
        <v>33.22201608000001</v>
      </c>
      <c r="M9" s="101">
        <v>35.09055</v>
      </c>
      <c r="N9" s="101">
        <v>34.585448040000003</v>
      </c>
      <c r="O9" s="101">
        <v>31.505961960000011</v>
      </c>
      <c r="P9" s="101">
        <v>32.313600000000015</v>
      </c>
      <c r="Q9" s="101">
        <v>35.494268039999994</v>
      </c>
      <c r="R9" s="101">
        <v>44.532180000000011</v>
      </c>
      <c r="S9" s="101">
        <v>30.041550000000012</v>
      </c>
      <c r="T9" s="101">
        <v>35.68168691999999</v>
      </c>
      <c r="U9" s="101">
        <v>42.022221120000005</v>
      </c>
      <c r="V9" s="101">
        <v>42.574379760000014</v>
      </c>
      <c r="W9" s="101">
        <v>49.410119879999989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15982.943963400001</v>
      </c>
      <c r="C17" s="79">
        <f t="shared" si="12"/>
        <v>16341.618187079997</v>
      </c>
      <c r="D17" s="79">
        <f t="shared" si="12"/>
        <v>16924.542385679997</v>
      </c>
      <c r="E17" s="79">
        <f t="shared" si="12"/>
        <v>17957.50165224</v>
      </c>
      <c r="F17" s="79">
        <f t="shared" si="12"/>
        <v>18066.190885919998</v>
      </c>
      <c r="G17" s="79">
        <f t="shared" si="12"/>
        <v>18544.669395479996</v>
      </c>
      <c r="H17" s="79">
        <f t="shared" si="12"/>
        <v>18974.519569079996</v>
      </c>
      <c r="I17" s="79">
        <f t="shared" si="12"/>
        <v>19738.665509760001</v>
      </c>
      <c r="J17" s="79">
        <f t="shared" si="12"/>
        <v>19307.558927880003</v>
      </c>
      <c r="K17" s="79">
        <f t="shared" si="12"/>
        <v>21017.00776212</v>
      </c>
      <c r="L17" s="79">
        <f t="shared" ref="L17" si="13">SUM(L18,L33)</f>
        <v>18926.917978319994</v>
      </c>
      <c r="M17" s="79">
        <f t="shared" ref="M17:V17" si="14">SUM(M18,M33)</f>
        <v>17293.499690399996</v>
      </c>
      <c r="N17" s="79">
        <f t="shared" si="14"/>
        <v>14102.204688720001</v>
      </c>
      <c r="O17" s="79">
        <f t="shared" si="14"/>
        <v>14353.389043559999</v>
      </c>
      <c r="P17" s="79">
        <f t="shared" si="14"/>
        <v>14256.620773559998</v>
      </c>
      <c r="Q17" s="79">
        <f t="shared" si="14"/>
        <v>14356.620372600002</v>
      </c>
      <c r="R17" s="79">
        <f t="shared" si="14"/>
        <v>14699.85254172</v>
      </c>
      <c r="S17" s="79">
        <f t="shared" si="14"/>
        <v>14364.167197319995</v>
      </c>
      <c r="T17" s="79">
        <f t="shared" si="14"/>
        <v>14431.168811879996</v>
      </c>
      <c r="U17" s="79">
        <f t="shared" si="14"/>
        <v>14810.497084080002</v>
      </c>
      <c r="V17" s="79">
        <f t="shared" si="14"/>
        <v>12905.828079479998</v>
      </c>
      <c r="W17" s="79">
        <f t="shared" ref="W17" si="15">SUM(W18,W33)</f>
        <v>13655.144325239997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10264.410344570928</v>
      </c>
      <c r="C18" s="32">
        <f t="shared" si="16"/>
        <v>10584.235069724778</v>
      </c>
      <c r="D18" s="32">
        <f t="shared" si="16"/>
        <v>11047.699428563088</v>
      </c>
      <c r="E18" s="32">
        <f t="shared" si="16"/>
        <v>12053.138303894189</v>
      </c>
      <c r="F18" s="32">
        <f t="shared" si="16"/>
        <v>11808.648208996363</v>
      </c>
      <c r="G18" s="32">
        <f t="shared" si="16"/>
        <v>12560.932923157841</v>
      </c>
      <c r="H18" s="32">
        <f t="shared" si="16"/>
        <v>12753.338654130052</v>
      </c>
      <c r="I18" s="32">
        <f t="shared" si="16"/>
        <v>13321.514083778429</v>
      </c>
      <c r="J18" s="32">
        <f t="shared" si="16"/>
        <v>12943.855614219221</v>
      </c>
      <c r="K18" s="32">
        <f t="shared" si="16"/>
        <v>13599.98908408128</v>
      </c>
      <c r="L18" s="32">
        <f t="shared" ref="L18" si="17">SUM(L19,L20,L27)</f>
        <v>12328.97650937911</v>
      </c>
      <c r="M18" s="32">
        <f t="shared" ref="M18:V18" si="18">SUM(M19,M20,M27)</f>
        <v>11945.627604290665</v>
      </c>
      <c r="N18" s="32">
        <f t="shared" si="18"/>
        <v>10164.897777683283</v>
      </c>
      <c r="O18" s="32">
        <f t="shared" si="18"/>
        <v>9740.0441191823757</v>
      </c>
      <c r="P18" s="32">
        <f t="shared" si="18"/>
        <v>9504.1032180419479</v>
      </c>
      <c r="Q18" s="32">
        <f t="shared" si="18"/>
        <v>9717.2266175058267</v>
      </c>
      <c r="R18" s="32">
        <f t="shared" si="18"/>
        <v>9834.2651873760315</v>
      </c>
      <c r="S18" s="32">
        <f t="shared" si="18"/>
        <v>9812.8437593839353</v>
      </c>
      <c r="T18" s="32">
        <f t="shared" si="18"/>
        <v>9811.0004179685729</v>
      </c>
      <c r="U18" s="32">
        <f t="shared" si="18"/>
        <v>10020.910741700694</v>
      </c>
      <c r="V18" s="32">
        <f t="shared" si="18"/>
        <v>8586.6573678594159</v>
      </c>
      <c r="W18" s="32">
        <f t="shared" ref="W18" si="19">SUM(W19,W20,W27)</f>
        <v>8987.3362188067149</v>
      </c>
      <c r="DA18" s="173" t="s">
        <v>402</v>
      </c>
    </row>
    <row r="19" spans="1:105" ht="11.45" customHeight="1" x14ac:dyDescent="0.25">
      <c r="A19" s="136" t="s">
        <v>180</v>
      </c>
      <c r="B19" s="141">
        <v>490.71143408492213</v>
      </c>
      <c r="C19" s="141">
        <v>531.78359930403531</v>
      </c>
      <c r="D19" s="141">
        <v>585.01950814085353</v>
      </c>
      <c r="E19" s="141">
        <v>613.13938355808773</v>
      </c>
      <c r="F19" s="141">
        <v>617.4217171029477</v>
      </c>
      <c r="G19" s="141">
        <v>635.88752121057269</v>
      </c>
      <c r="H19" s="141">
        <v>580.46135845409731</v>
      </c>
      <c r="I19" s="141">
        <v>581.03628007626685</v>
      </c>
      <c r="J19" s="141">
        <v>622.80963254135304</v>
      </c>
      <c r="K19" s="141">
        <v>638.75528437689479</v>
      </c>
      <c r="L19" s="141">
        <v>755.33470424190648</v>
      </c>
      <c r="M19" s="141">
        <v>772.64321644038671</v>
      </c>
      <c r="N19" s="141">
        <v>794.42912231804758</v>
      </c>
      <c r="O19" s="141">
        <v>795.07432550700003</v>
      </c>
      <c r="P19" s="141">
        <v>813.42260999999996</v>
      </c>
      <c r="Q19" s="141">
        <v>836.01632684406025</v>
      </c>
      <c r="R19" s="141">
        <v>808.8987747685012</v>
      </c>
      <c r="S19" s="141">
        <v>794.58208450247753</v>
      </c>
      <c r="T19" s="141">
        <v>729.91482680476122</v>
      </c>
      <c r="U19" s="141">
        <v>756.34274767467275</v>
      </c>
      <c r="V19" s="141">
        <v>623.88211989561762</v>
      </c>
      <c r="W19" s="141">
        <v>645.44299287085312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8016.4219568535627</v>
      </c>
      <c r="C20" s="130">
        <f t="shared" si="20"/>
        <v>8354.6946273004924</v>
      </c>
      <c r="D20" s="130">
        <f t="shared" si="20"/>
        <v>8774.3114610055527</v>
      </c>
      <c r="E20" s="130">
        <f t="shared" si="20"/>
        <v>9265.3434410388891</v>
      </c>
      <c r="F20" s="130">
        <f t="shared" si="20"/>
        <v>9548.8903254132019</v>
      </c>
      <c r="G20" s="130">
        <f t="shared" si="20"/>
        <v>10069.339638416042</v>
      </c>
      <c r="H20" s="130">
        <f t="shared" si="20"/>
        <v>10392.961476304512</v>
      </c>
      <c r="I20" s="130">
        <f t="shared" si="20"/>
        <v>10935.22707221426</v>
      </c>
      <c r="J20" s="130">
        <f t="shared" si="20"/>
        <v>10659.204931616274</v>
      </c>
      <c r="K20" s="130">
        <f t="shared" si="20"/>
        <v>10984.743744173715</v>
      </c>
      <c r="L20" s="130">
        <f t="shared" ref="L20" si="21">SUM(L21:L26)</f>
        <v>9877.3663284709655</v>
      </c>
      <c r="M20" s="130">
        <f t="shared" ref="M20:V20" si="22">SUM(M21:M26)</f>
        <v>9364.1845011359364</v>
      </c>
      <c r="N20" s="130">
        <f t="shared" si="22"/>
        <v>7903.5871294217595</v>
      </c>
      <c r="O20" s="130">
        <f t="shared" si="22"/>
        <v>7273.2008968521823</v>
      </c>
      <c r="P20" s="130">
        <f t="shared" si="22"/>
        <v>7076.8360707975553</v>
      </c>
      <c r="Q20" s="130">
        <f t="shared" si="22"/>
        <v>7335.7021846188882</v>
      </c>
      <c r="R20" s="130">
        <f t="shared" si="22"/>
        <v>7460.0319841654982</v>
      </c>
      <c r="S20" s="130">
        <f t="shared" si="22"/>
        <v>7459.4464061800063</v>
      </c>
      <c r="T20" s="130">
        <f t="shared" si="22"/>
        <v>7479.9313944475107</v>
      </c>
      <c r="U20" s="130">
        <f t="shared" si="22"/>
        <v>7599.6693840662574</v>
      </c>
      <c r="V20" s="130">
        <f t="shared" si="22"/>
        <v>6343.1671823962779</v>
      </c>
      <c r="W20" s="130">
        <f t="shared" ref="W20" si="23">SUM(W21:W26)</f>
        <v>6703.2087118421032</v>
      </c>
      <c r="DA20" s="176" t="s">
        <v>404</v>
      </c>
    </row>
    <row r="21" spans="1:105" ht="11.45" customHeight="1" x14ac:dyDescent="0.25">
      <c r="A21" s="111" t="s">
        <v>110</v>
      </c>
      <c r="B21" s="96">
        <v>7495.1940624212575</v>
      </c>
      <c r="C21" s="96">
        <v>7846.3697204495411</v>
      </c>
      <c r="D21" s="96">
        <v>8270.9656688840441</v>
      </c>
      <c r="E21" s="96">
        <v>8745.381968516398</v>
      </c>
      <c r="F21" s="96">
        <v>9079.5291372227475</v>
      </c>
      <c r="G21" s="96">
        <v>9582.8662464473728</v>
      </c>
      <c r="H21" s="96">
        <v>9868.9071114319449</v>
      </c>
      <c r="I21" s="96">
        <v>10374.805105109261</v>
      </c>
      <c r="J21" s="96">
        <v>10139.201202345901</v>
      </c>
      <c r="K21" s="96">
        <v>10340.309435221019</v>
      </c>
      <c r="L21" s="96">
        <v>9208.9519484237826</v>
      </c>
      <c r="M21" s="96">
        <v>8336.2864375065237</v>
      </c>
      <c r="N21" s="96">
        <v>7178.3850599567586</v>
      </c>
      <c r="O21" s="96">
        <v>6436.2016831845012</v>
      </c>
      <c r="P21" s="96">
        <v>6041.7064983308037</v>
      </c>
      <c r="Q21" s="96">
        <v>5804.972010064841</v>
      </c>
      <c r="R21" s="96">
        <v>5725.5550340871778</v>
      </c>
      <c r="S21" s="96">
        <v>5536.6906271059315</v>
      </c>
      <c r="T21" s="96">
        <v>5384.9904331720054</v>
      </c>
      <c r="U21" s="96">
        <v>5203.5074642874724</v>
      </c>
      <c r="V21" s="96">
        <v>4095.307276171477</v>
      </c>
      <c r="W21" s="96">
        <v>4378.8959450788061</v>
      </c>
      <c r="DA21" s="171" t="s">
        <v>750</v>
      </c>
    </row>
    <row r="22" spans="1:105" ht="11.45" customHeight="1" x14ac:dyDescent="0.25">
      <c r="A22" s="111" t="s">
        <v>111</v>
      </c>
      <c r="B22" s="96">
        <v>476.45852015230548</v>
      </c>
      <c r="C22" s="96">
        <v>458.37352893149989</v>
      </c>
      <c r="D22" s="96">
        <v>455.03023417256253</v>
      </c>
      <c r="E22" s="96">
        <v>480.25128317729173</v>
      </c>
      <c r="F22" s="96">
        <v>432.66712751167682</v>
      </c>
      <c r="G22" s="96">
        <v>449.36841847817254</v>
      </c>
      <c r="H22" s="96">
        <v>486.75902014522029</v>
      </c>
      <c r="I22" s="96">
        <v>519.59953982431273</v>
      </c>
      <c r="J22" s="96">
        <v>479.30975212574418</v>
      </c>
      <c r="K22" s="96">
        <v>588.9322774237537</v>
      </c>
      <c r="L22" s="96">
        <v>539.60770016535071</v>
      </c>
      <c r="M22" s="96">
        <v>501.11824947764359</v>
      </c>
      <c r="N22" s="96">
        <v>494.59129370768926</v>
      </c>
      <c r="O22" s="96">
        <v>290.36308892849274</v>
      </c>
      <c r="P22" s="96">
        <v>442.0089121557786</v>
      </c>
      <c r="Q22" s="96">
        <v>844.51916769229774</v>
      </c>
      <c r="R22" s="96">
        <v>1036.6225183683257</v>
      </c>
      <c r="S22" s="96">
        <v>1266.3702881809627</v>
      </c>
      <c r="T22" s="96">
        <v>1465.8466108045345</v>
      </c>
      <c r="U22" s="96">
        <v>1754.125112779403</v>
      </c>
      <c r="V22" s="96">
        <v>1727.3652076211267</v>
      </c>
      <c r="W22" s="96">
        <v>1815.6516935554373</v>
      </c>
      <c r="DA22" s="171" t="s">
        <v>751</v>
      </c>
    </row>
    <row r="23" spans="1:105" ht="11.45" customHeight="1" x14ac:dyDescent="0.25">
      <c r="A23" s="111" t="s">
        <v>112</v>
      </c>
      <c r="B23" s="96">
        <v>44.769374280000008</v>
      </c>
      <c r="C23" s="96">
        <v>47.754029520000003</v>
      </c>
      <c r="D23" s="96">
        <v>44.769374280000008</v>
      </c>
      <c r="E23" s="96">
        <v>35.815635719999996</v>
      </c>
      <c r="F23" s="96">
        <v>32.830980479999994</v>
      </c>
      <c r="G23" s="96">
        <v>32.830980479999994</v>
      </c>
      <c r="H23" s="96">
        <v>32.830980479999994</v>
      </c>
      <c r="I23" s="96">
        <v>35.815635719999996</v>
      </c>
      <c r="J23" s="96">
        <v>35.815635719999996</v>
      </c>
      <c r="K23" s="96">
        <v>49.344149519999995</v>
      </c>
      <c r="L23" s="96">
        <v>121.90927572000002</v>
      </c>
      <c r="M23" s="96">
        <v>519.56534952000004</v>
      </c>
      <c r="N23" s="96">
        <v>223.50022524000005</v>
      </c>
      <c r="O23" s="96">
        <v>539.88367572000004</v>
      </c>
      <c r="P23" s="96">
        <v>586.32517475999998</v>
      </c>
      <c r="Q23" s="96">
        <v>679.20839999999998</v>
      </c>
      <c r="R23" s="96">
        <v>690.81877476000011</v>
      </c>
      <c r="S23" s="96">
        <v>649.65988152</v>
      </c>
      <c r="T23" s="96">
        <v>622.34366436000005</v>
      </c>
      <c r="U23" s="96">
        <v>634.9176518400003</v>
      </c>
      <c r="V23" s="96">
        <v>511.77489732000009</v>
      </c>
      <c r="W23" s="96">
        <v>498.17323799999991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2.197348399451899</v>
      </c>
      <c r="D24" s="96">
        <v>3.5461836689460418</v>
      </c>
      <c r="E24" s="96">
        <v>3.8945536251993205</v>
      </c>
      <c r="F24" s="96">
        <v>3.8630801987779351</v>
      </c>
      <c r="G24" s="96">
        <v>4.2739930104979891</v>
      </c>
      <c r="H24" s="96">
        <v>4.4643642473475964</v>
      </c>
      <c r="I24" s="96">
        <v>5.0067915606860298</v>
      </c>
      <c r="J24" s="96">
        <v>4.8783414246282986</v>
      </c>
      <c r="K24" s="96">
        <v>6.1578820089418382</v>
      </c>
      <c r="L24" s="96">
        <v>6.8974041618334487</v>
      </c>
      <c r="M24" s="96">
        <v>7.2144646317689078</v>
      </c>
      <c r="N24" s="96">
        <v>7.1101895396707073</v>
      </c>
      <c r="O24" s="96">
        <v>6.75233487069156</v>
      </c>
      <c r="P24" s="96">
        <v>6.7907421617768025</v>
      </c>
      <c r="Q24" s="96">
        <v>6.9914032106483042</v>
      </c>
      <c r="R24" s="96">
        <v>7.0058906523006659</v>
      </c>
      <c r="S24" s="96">
        <v>6.6368352722904032</v>
      </c>
      <c r="T24" s="96">
        <v>6.579038015793012</v>
      </c>
      <c r="U24" s="96">
        <v>6.8361432859572009</v>
      </c>
      <c r="V24" s="96">
        <v>8.0140858713920817</v>
      </c>
      <c r="W24" s="96">
        <v>8.2950954597316908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3.6097764111118677E-4</v>
      </c>
      <c r="O25" s="96">
        <v>1.1414849704047469E-4</v>
      </c>
      <c r="P25" s="96">
        <v>4.7433891965039257E-3</v>
      </c>
      <c r="Q25" s="96">
        <v>1.1203651100889805E-2</v>
      </c>
      <c r="R25" s="96">
        <v>2.9766297693900483E-2</v>
      </c>
      <c r="S25" s="96">
        <v>8.8774100822082896E-2</v>
      </c>
      <c r="T25" s="96">
        <v>0.17164809517720481</v>
      </c>
      <c r="U25" s="96">
        <v>0.28301187342438028</v>
      </c>
      <c r="V25" s="96">
        <v>0.70571541228132362</v>
      </c>
      <c r="W25" s="96">
        <v>2.1927397481276221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1757.2769536324431</v>
      </c>
      <c r="C27" s="130">
        <f t="shared" si="24"/>
        <v>1697.7568431202503</v>
      </c>
      <c r="D27" s="130">
        <f t="shared" si="24"/>
        <v>1688.3684594166823</v>
      </c>
      <c r="E27" s="130">
        <f t="shared" si="24"/>
        <v>2174.6554792972133</v>
      </c>
      <c r="F27" s="130">
        <f t="shared" si="24"/>
        <v>1642.3361664802121</v>
      </c>
      <c r="G27" s="130">
        <f t="shared" si="24"/>
        <v>1855.7057635312271</v>
      </c>
      <c r="H27" s="130">
        <f t="shared" si="24"/>
        <v>1779.9158193714434</v>
      </c>
      <c r="I27" s="130">
        <f t="shared" si="24"/>
        <v>1805.2507314879015</v>
      </c>
      <c r="J27" s="130">
        <f t="shared" si="24"/>
        <v>1661.8410500615942</v>
      </c>
      <c r="K27" s="130">
        <f t="shared" si="24"/>
        <v>1976.490055530671</v>
      </c>
      <c r="L27" s="130">
        <f t="shared" ref="L27" si="25">SUM(L28:L32)</f>
        <v>1696.2754766662379</v>
      </c>
      <c r="M27" s="130">
        <f t="shared" ref="M27:V27" si="26">SUM(M28:M32)</f>
        <v>1808.7998867143422</v>
      </c>
      <c r="N27" s="130">
        <f t="shared" si="26"/>
        <v>1466.8815259434753</v>
      </c>
      <c r="O27" s="130">
        <f t="shared" si="26"/>
        <v>1671.7688968231932</v>
      </c>
      <c r="P27" s="130">
        <f t="shared" si="26"/>
        <v>1613.8445372443937</v>
      </c>
      <c r="Q27" s="130">
        <f t="shared" si="26"/>
        <v>1545.5081060428784</v>
      </c>
      <c r="R27" s="130">
        <f t="shared" si="26"/>
        <v>1565.3344284420323</v>
      </c>
      <c r="S27" s="130">
        <f t="shared" si="26"/>
        <v>1558.8152687014517</v>
      </c>
      <c r="T27" s="130">
        <f t="shared" si="26"/>
        <v>1601.1541967163018</v>
      </c>
      <c r="U27" s="130">
        <f t="shared" si="26"/>
        <v>1664.8986099597637</v>
      </c>
      <c r="V27" s="130">
        <f t="shared" si="26"/>
        <v>1619.608065567521</v>
      </c>
      <c r="W27" s="130">
        <f t="shared" ref="W27" si="27">SUM(W28:W32)</f>
        <v>1638.6845140937592</v>
      </c>
      <c r="DA27" s="176" t="s">
        <v>405</v>
      </c>
    </row>
    <row r="28" spans="1:105" ht="11.45" customHeight="1" x14ac:dyDescent="0.25">
      <c r="A28" s="111" t="s">
        <v>110</v>
      </c>
      <c r="B28" s="97">
        <v>0</v>
      </c>
      <c r="C28" s="97">
        <v>0</v>
      </c>
      <c r="D28" s="97">
        <v>0</v>
      </c>
      <c r="E28" s="97">
        <v>0</v>
      </c>
      <c r="F28" s="97">
        <v>0</v>
      </c>
      <c r="G28" s="97">
        <v>0</v>
      </c>
      <c r="H28" s="97">
        <v>0</v>
      </c>
      <c r="I28" s="97">
        <v>0</v>
      </c>
      <c r="J28" s="97">
        <v>0</v>
      </c>
      <c r="K28" s="97">
        <v>0</v>
      </c>
      <c r="L28" s="97">
        <v>0</v>
      </c>
      <c r="M28" s="97">
        <v>0</v>
      </c>
      <c r="N28" s="97">
        <v>0</v>
      </c>
      <c r="O28" s="97">
        <v>0</v>
      </c>
      <c r="P28" s="97">
        <v>0</v>
      </c>
      <c r="Q28" s="97">
        <v>0</v>
      </c>
      <c r="R28" s="97">
        <v>0</v>
      </c>
      <c r="S28" s="97">
        <v>0</v>
      </c>
      <c r="T28" s="97">
        <v>0</v>
      </c>
      <c r="U28" s="97">
        <v>0</v>
      </c>
      <c r="V28" s="97">
        <v>0</v>
      </c>
      <c r="W28" s="97">
        <v>0</v>
      </c>
      <c r="DA28" s="175" t="s">
        <v>756</v>
      </c>
    </row>
    <row r="29" spans="1:105" ht="11.45" customHeight="1" x14ac:dyDescent="0.25">
      <c r="A29" s="111" t="s">
        <v>111</v>
      </c>
      <c r="B29" s="97">
        <v>1757.2769536324431</v>
      </c>
      <c r="C29" s="97">
        <v>1685.6150315197021</v>
      </c>
      <c r="D29" s="97">
        <v>1669.2444311256284</v>
      </c>
      <c r="E29" s="97">
        <v>2153.5574829224129</v>
      </c>
      <c r="F29" s="97">
        <v>1621.3074747189901</v>
      </c>
      <c r="G29" s="97">
        <v>1832.1088726217251</v>
      </c>
      <c r="H29" s="97">
        <v>1754.9948016587909</v>
      </c>
      <c r="I29" s="97">
        <v>1776.5808950085875</v>
      </c>
      <c r="J29" s="97">
        <v>1633.3957895262224</v>
      </c>
      <c r="K29" s="97">
        <v>1948.0624894996129</v>
      </c>
      <c r="L29" s="97">
        <v>1669.9508647480714</v>
      </c>
      <c r="M29" s="97">
        <v>1780.9238013461111</v>
      </c>
      <c r="N29" s="97">
        <v>1439.4062674431459</v>
      </c>
      <c r="O29" s="97">
        <v>1647.0152697338849</v>
      </c>
      <c r="P29" s="97">
        <v>1588.3216794061705</v>
      </c>
      <c r="Q29" s="97">
        <v>1517.0052412135267</v>
      </c>
      <c r="R29" s="97">
        <v>1527.808139094333</v>
      </c>
      <c r="S29" s="97">
        <v>1535.410553973742</v>
      </c>
      <c r="T29" s="97">
        <v>1572.0515478120949</v>
      </c>
      <c r="U29" s="97">
        <v>1629.7125321257208</v>
      </c>
      <c r="V29" s="97">
        <v>1585.047771678913</v>
      </c>
      <c r="W29" s="97">
        <v>1597.5694896734908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0</v>
      </c>
      <c r="U30" s="97">
        <v>0</v>
      </c>
      <c r="V30" s="97">
        <v>0</v>
      </c>
      <c r="W30" s="97">
        <v>0</v>
      </c>
      <c r="DA30" s="175" t="s">
        <v>758</v>
      </c>
    </row>
    <row r="31" spans="1:105" ht="11.45" customHeight="1" x14ac:dyDescent="0.25">
      <c r="A31" s="111" t="s">
        <v>113</v>
      </c>
      <c r="B31" s="97">
        <v>0</v>
      </c>
      <c r="C31" s="97">
        <v>12.141811600548104</v>
      </c>
      <c r="D31" s="97">
        <v>19.124028291053957</v>
      </c>
      <c r="E31" s="97">
        <v>21.097996374800672</v>
      </c>
      <c r="F31" s="97">
        <v>21.028691761222067</v>
      </c>
      <c r="G31" s="97">
        <v>23.596890909502015</v>
      </c>
      <c r="H31" s="97">
        <v>24.9210177126524</v>
      </c>
      <c r="I31" s="97">
        <v>28.669836479313965</v>
      </c>
      <c r="J31" s="97">
        <v>28.445260535371691</v>
      </c>
      <c r="K31" s="97">
        <v>28.427566031058166</v>
      </c>
      <c r="L31" s="97">
        <v>26.324611918166561</v>
      </c>
      <c r="M31" s="97">
        <v>27.876085368231095</v>
      </c>
      <c r="N31" s="97">
        <v>27.4752585003293</v>
      </c>
      <c r="O31" s="97">
        <v>24.753627089308452</v>
      </c>
      <c r="P31" s="97">
        <v>25.52285783822321</v>
      </c>
      <c r="Q31" s="97">
        <v>28.502864829351694</v>
      </c>
      <c r="R31" s="97">
        <v>37.526289347699347</v>
      </c>
      <c r="S31" s="97">
        <v>23.404714727709607</v>
      </c>
      <c r="T31" s="97">
        <v>29.10264890420698</v>
      </c>
      <c r="U31" s="97">
        <v>35.186077834042806</v>
      </c>
      <c r="V31" s="97">
        <v>34.56029388860793</v>
      </c>
      <c r="W31" s="97">
        <v>41.115024420268298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5718.533618829073</v>
      </c>
      <c r="C33" s="32">
        <f t="shared" si="28"/>
        <v>5757.3831173552189</v>
      </c>
      <c r="D33" s="32">
        <f t="shared" si="28"/>
        <v>5876.8429571169108</v>
      </c>
      <c r="E33" s="32">
        <f t="shared" si="28"/>
        <v>5904.3633483458098</v>
      </c>
      <c r="F33" s="32">
        <f t="shared" si="28"/>
        <v>6257.5426769236356</v>
      </c>
      <c r="G33" s="32">
        <f t="shared" si="28"/>
        <v>5983.7364723221554</v>
      </c>
      <c r="H33" s="32">
        <f t="shared" si="28"/>
        <v>6221.180914949945</v>
      </c>
      <c r="I33" s="32">
        <f t="shared" si="28"/>
        <v>6417.1514259815713</v>
      </c>
      <c r="J33" s="32">
        <f t="shared" si="28"/>
        <v>6363.7033136607824</v>
      </c>
      <c r="K33" s="32">
        <f t="shared" si="28"/>
        <v>7417.0186780387194</v>
      </c>
      <c r="L33" s="32">
        <f t="shared" ref="L33" si="29">L34+L40</f>
        <v>6597.9414689408859</v>
      </c>
      <c r="M33" s="32">
        <f t="shared" ref="M33:V33" si="30">M34+M40</f>
        <v>5347.8720861093316</v>
      </c>
      <c r="N33" s="32">
        <f t="shared" si="30"/>
        <v>3937.3069110367187</v>
      </c>
      <c r="O33" s="32">
        <f t="shared" si="30"/>
        <v>4613.3449243776231</v>
      </c>
      <c r="P33" s="32">
        <f t="shared" si="30"/>
        <v>4752.5175555180504</v>
      </c>
      <c r="Q33" s="32">
        <f t="shared" si="30"/>
        <v>4639.3937550941755</v>
      </c>
      <c r="R33" s="32">
        <f t="shared" si="30"/>
        <v>4865.5873543439684</v>
      </c>
      <c r="S33" s="32">
        <f t="shared" si="30"/>
        <v>4551.3234379360611</v>
      </c>
      <c r="T33" s="32">
        <f t="shared" si="30"/>
        <v>4620.1683939114228</v>
      </c>
      <c r="U33" s="32">
        <f t="shared" si="30"/>
        <v>4789.5863423793062</v>
      </c>
      <c r="V33" s="32">
        <f t="shared" si="30"/>
        <v>4319.1707116205816</v>
      </c>
      <c r="W33" s="32">
        <f t="shared" ref="W33" si="31">W34+W40</f>
        <v>4667.8081064332819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2339.8202078946092</v>
      </c>
      <c r="C34" s="141">
        <f t="shared" si="32"/>
        <v>2320.711355876751</v>
      </c>
      <c r="D34" s="141">
        <f t="shared" si="32"/>
        <v>2369.8686743484573</v>
      </c>
      <c r="E34" s="141">
        <f t="shared" si="32"/>
        <v>2431.7016950347843</v>
      </c>
      <c r="F34" s="141">
        <f t="shared" si="32"/>
        <v>2386.1662977500841</v>
      </c>
      <c r="G34" s="141">
        <f t="shared" si="32"/>
        <v>2388.2637916359827</v>
      </c>
      <c r="H34" s="141">
        <f t="shared" si="32"/>
        <v>2384.200547152765</v>
      </c>
      <c r="I34" s="141">
        <f t="shared" si="32"/>
        <v>2511.5618852421126</v>
      </c>
      <c r="J34" s="141">
        <f t="shared" si="32"/>
        <v>2464.2522620546133</v>
      </c>
      <c r="K34" s="141">
        <f t="shared" si="32"/>
        <v>2324.2057030953601</v>
      </c>
      <c r="L34" s="141">
        <f t="shared" ref="L34" si="33">SUM(L35:L39)</f>
        <v>2316.0678707170327</v>
      </c>
      <c r="M34" s="141">
        <f t="shared" ref="M34:V34" si="34">SUM(M35:M39)</f>
        <v>1989.8095493395067</v>
      </c>
      <c r="N34" s="141">
        <f t="shared" si="34"/>
        <v>1617.6876943938703</v>
      </c>
      <c r="O34" s="141">
        <f t="shared" si="34"/>
        <v>1878.873002713673</v>
      </c>
      <c r="P34" s="141">
        <f t="shared" si="34"/>
        <v>1874.5942846033308</v>
      </c>
      <c r="Q34" s="141">
        <f t="shared" si="34"/>
        <v>2232.81840116284</v>
      </c>
      <c r="R34" s="141">
        <f t="shared" si="34"/>
        <v>2352.9809801296069</v>
      </c>
      <c r="S34" s="141">
        <f t="shared" si="34"/>
        <v>2064.6840857357502</v>
      </c>
      <c r="T34" s="141">
        <f t="shared" si="34"/>
        <v>2054.9970468891897</v>
      </c>
      <c r="U34" s="141">
        <f t="shared" si="34"/>
        <v>2054.1614046576574</v>
      </c>
      <c r="V34" s="141">
        <f t="shared" si="34"/>
        <v>1761.3525998522064</v>
      </c>
      <c r="W34" s="141">
        <f t="shared" ref="W34" si="35">SUM(W35:W39)</f>
        <v>1915.5086051466533</v>
      </c>
      <c r="DA34" s="174" t="s">
        <v>411</v>
      </c>
    </row>
    <row r="35" spans="1:105" ht="11.45" customHeight="1" x14ac:dyDescent="0.25">
      <c r="A35" s="111" t="s">
        <v>110</v>
      </c>
      <c r="B35" s="96">
        <v>1930.1620926138226</v>
      </c>
      <c r="C35" s="96">
        <v>1863.3332370864211</v>
      </c>
      <c r="D35" s="96">
        <v>1867.4900038551016</v>
      </c>
      <c r="E35" s="96">
        <v>1846.9422033655137</v>
      </c>
      <c r="F35" s="96">
        <v>1754.1117902343033</v>
      </c>
      <c r="G35" s="96">
        <v>1717.3673523420532</v>
      </c>
      <c r="H35" s="96">
        <v>1618.7622478339558</v>
      </c>
      <c r="I35" s="96">
        <v>1655.6774793744728</v>
      </c>
      <c r="J35" s="96">
        <v>1613.1187442327489</v>
      </c>
      <c r="K35" s="96">
        <v>1345.8016249620857</v>
      </c>
      <c r="L35" s="96">
        <v>1256.7694027743098</v>
      </c>
      <c r="M35" s="96">
        <v>1038.8080569330864</v>
      </c>
      <c r="N35" s="96">
        <v>833.27511218755399</v>
      </c>
      <c r="O35" s="96">
        <v>827.75939400000004</v>
      </c>
      <c r="P35" s="96">
        <v>813.60417599999994</v>
      </c>
      <c r="Q35" s="96">
        <v>826.49120400000004</v>
      </c>
      <c r="R35" s="96">
        <v>826.28511396662566</v>
      </c>
      <c r="S35" s="96">
        <v>779.38508337076712</v>
      </c>
      <c r="T35" s="96">
        <v>856.84425312805377</v>
      </c>
      <c r="U35" s="96">
        <v>845.29073996443014</v>
      </c>
      <c r="V35" s="96">
        <v>736.63610108062301</v>
      </c>
      <c r="W35" s="96">
        <v>807.76494122221231</v>
      </c>
      <c r="DA35" s="171" t="s">
        <v>761</v>
      </c>
    </row>
    <row r="36" spans="1:105" ht="11.45" customHeight="1" x14ac:dyDescent="0.25">
      <c r="A36" s="111" t="s">
        <v>111</v>
      </c>
      <c r="B36" s="96">
        <v>409.65811528078677</v>
      </c>
      <c r="C36" s="96">
        <v>457.37811879032972</v>
      </c>
      <c r="D36" s="96">
        <v>502.37867049335568</v>
      </c>
      <c r="E36" s="96">
        <v>584.7594916692708</v>
      </c>
      <c r="F36" s="96">
        <v>632.05450751578087</v>
      </c>
      <c r="G36" s="96">
        <v>670.89643929392957</v>
      </c>
      <c r="H36" s="96">
        <v>765.43829931880907</v>
      </c>
      <c r="I36" s="96">
        <v>855.88440586763977</v>
      </c>
      <c r="J36" s="96">
        <v>851.13351782186453</v>
      </c>
      <c r="K36" s="96">
        <v>978.4040781332742</v>
      </c>
      <c r="L36" s="96">
        <v>1059.2984679427227</v>
      </c>
      <c r="M36" s="96">
        <v>951.00149240642031</v>
      </c>
      <c r="N36" s="96">
        <v>784.4125822063163</v>
      </c>
      <c r="O36" s="96">
        <v>1051.1136087136729</v>
      </c>
      <c r="P36" s="96">
        <v>1060.9901086033308</v>
      </c>
      <c r="Q36" s="96">
        <v>1406.3271971628401</v>
      </c>
      <c r="R36" s="96">
        <v>1526.6958661629812</v>
      </c>
      <c r="S36" s="96">
        <v>1285.2990023649829</v>
      </c>
      <c r="T36" s="96">
        <v>1198.1527937611361</v>
      </c>
      <c r="U36" s="96">
        <v>1208.8706646932271</v>
      </c>
      <c r="V36" s="96">
        <v>1024.7164987715835</v>
      </c>
      <c r="W36" s="96">
        <v>1107.7436639244409</v>
      </c>
      <c r="DA36" s="171" t="s">
        <v>762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0</v>
      </c>
      <c r="O37" s="96">
        <v>0</v>
      </c>
      <c r="P37" s="96">
        <v>0</v>
      </c>
      <c r="Q37" s="96">
        <v>0</v>
      </c>
      <c r="R37" s="96">
        <v>0</v>
      </c>
      <c r="S37" s="96">
        <v>0</v>
      </c>
      <c r="T37" s="96">
        <v>0</v>
      </c>
      <c r="U37" s="96">
        <v>0</v>
      </c>
      <c r="V37" s="96">
        <v>0</v>
      </c>
      <c r="W37" s="96">
        <v>0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0</v>
      </c>
      <c r="Q38" s="96">
        <v>0</v>
      </c>
      <c r="R38" s="96">
        <v>0</v>
      </c>
      <c r="S38" s="96">
        <v>0</v>
      </c>
      <c r="T38" s="96">
        <v>0</v>
      </c>
      <c r="U38" s="96">
        <v>0</v>
      </c>
      <c r="V38" s="96">
        <v>0</v>
      </c>
      <c r="W38" s="96">
        <v>0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3378.7134109344634</v>
      </c>
      <c r="C40" s="130">
        <f t="shared" si="36"/>
        <v>3436.6717614784679</v>
      </c>
      <c r="D40" s="130">
        <f t="shared" si="36"/>
        <v>3506.9742827684531</v>
      </c>
      <c r="E40" s="130">
        <f t="shared" si="36"/>
        <v>3472.6616533110255</v>
      </c>
      <c r="F40" s="130">
        <f t="shared" si="36"/>
        <v>3871.3763791735514</v>
      </c>
      <c r="G40" s="130">
        <f t="shared" si="36"/>
        <v>3595.4726806861727</v>
      </c>
      <c r="H40" s="130">
        <f t="shared" si="36"/>
        <v>3836.98036779718</v>
      </c>
      <c r="I40" s="130">
        <f t="shared" si="36"/>
        <v>3905.5895407394587</v>
      </c>
      <c r="J40" s="130">
        <f t="shared" si="36"/>
        <v>3899.4510516061687</v>
      </c>
      <c r="K40" s="130">
        <f t="shared" si="36"/>
        <v>5092.8129749433592</v>
      </c>
      <c r="L40" s="130">
        <f t="shared" ref="L40" si="37">SUM(L41:L42)</f>
        <v>4281.8735982238532</v>
      </c>
      <c r="M40" s="130">
        <f t="shared" ref="M40:V40" si="38">SUM(M41:M42)</f>
        <v>3358.0625367698244</v>
      </c>
      <c r="N40" s="130">
        <f t="shared" si="38"/>
        <v>2319.6192166428482</v>
      </c>
      <c r="O40" s="130">
        <f t="shared" si="38"/>
        <v>2734.4719216639496</v>
      </c>
      <c r="P40" s="130">
        <f t="shared" si="38"/>
        <v>2877.9232709147191</v>
      </c>
      <c r="Q40" s="130">
        <f t="shared" si="38"/>
        <v>2406.5753539313359</v>
      </c>
      <c r="R40" s="130">
        <f t="shared" si="38"/>
        <v>2512.6063742143615</v>
      </c>
      <c r="S40" s="130">
        <f t="shared" si="38"/>
        <v>2486.6393522003109</v>
      </c>
      <c r="T40" s="130">
        <f t="shared" si="38"/>
        <v>2565.1713470222335</v>
      </c>
      <c r="U40" s="130">
        <f t="shared" si="38"/>
        <v>2735.4249377216488</v>
      </c>
      <c r="V40" s="130">
        <f t="shared" si="38"/>
        <v>2557.8181117683753</v>
      </c>
      <c r="W40" s="130">
        <f t="shared" ref="W40" si="39">SUM(W41:W42)</f>
        <v>2752.299501286629</v>
      </c>
      <c r="DA40" s="176" t="s">
        <v>412</v>
      </c>
    </row>
    <row r="41" spans="1:105" ht="11.45" customHeight="1" x14ac:dyDescent="0.25">
      <c r="A41" s="128" t="s">
        <v>27</v>
      </c>
      <c r="B41" s="97">
        <v>3085.6815983904844</v>
      </c>
      <c r="C41" s="97">
        <v>3133.380317824824</v>
      </c>
      <c r="D41" s="97">
        <v>3192.4318003286271</v>
      </c>
      <c r="E41" s="97">
        <v>2882.2911427502777</v>
      </c>
      <c r="F41" s="97">
        <v>3507.357811350751</v>
      </c>
      <c r="G41" s="97">
        <v>3094.3920609593288</v>
      </c>
      <c r="H41" s="97">
        <v>3317.9804668572133</v>
      </c>
      <c r="I41" s="97">
        <v>3387.5269202436539</v>
      </c>
      <c r="J41" s="97">
        <v>3473.9046324893097</v>
      </c>
      <c r="K41" s="97">
        <v>4396.4672664590471</v>
      </c>
      <c r="L41" s="97">
        <v>3742.0451288168065</v>
      </c>
      <c r="M41" s="97">
        <v>2863.4194321973596</v>
      </c>
      <c r="N41" s="97">
        <v>2048.3897634868404</v>
      </c>
      <c r="O41" s="97">
        <v>2239.8358285412542</v>
      </c>
      <c r="P41" s="97">
        <v>2413.6247053768889</v>
      </c>
      <c r="Q41" s="97">
        <v>2078.9528782867574</v>
      </c>
      <c r="R41" s="97">
        <v>2162.4783100855375</v>
      </c>
      <c r="S41" s="97">
        <v>2002.7350168686216</v>
      </c>
      <c r="T41" s="97">
        <v>2072.1779367339695</v>
      </c>
      <c r="U41" s="97">
        <v>2196.0256959892617</v>
      </c>
      <c r="V41" s="97">
        <v>1992.3354540308837</v>
      </c>
      <c r="W41" s="97">
        <v>2272.1054624445128</v>
      </c>
      <c r="DA41" s="175" t="s">
        <v>766</v>
      </c>
    </row>
    <row r="42" spans="1:105" ht="11.45" customHeight="1" x14ac:dyDescent="0.25">
      <c r="A42" s="138" t="s">
        <v>116</v>
      </c>
      <c r="B42" s="98">
        <v>293.03181254397884</v>
      </c>
      <c r="C42" s="98">
        <v>303.29144365364402</v>
      </c>
      <c r="D42" s="98">
        <v>314.54248243982613</v>
      </c>
      <c r="E42" s="98">
        <v>590.37051056074802</v>
      </c>
      <c r="F42" s="98">
        <v>364.01856782280032</v>
      </c>
      <c r="G42" s="98">
        <v>501.08061972684408</v>
      </c>
      <c r="H42" s="98">
        <v>518.99990093996678</v>
      </c>
      <c r="I42" s="98">
        <v>518.06262049580482</v>
      </c>
      <c r="J42" s="98">
        <v>425.54641911685911</v>
      </c>
      <c r="K42" s="98">
        <v>696.34570848431235</v>
      </c>
      <c r="L42" s="98">
        <v>539.82846940704701</v>
      </c>
      <c r="M42" s="98">
        <v>494.64310457246495</v>
      </c>
      <c r="N42" s="98">
        <v>271.22945315600776</v>
      </c>
      <c r="O42" s="98">
        <v>494.6360931226954</v>
      </c>
      <c r="P42" s="98">
        <v>464.29856553783014</v>
      </c>
      <c r="Q42" s="98">
        <v>327.62247564457857</v>
      </c>
      <c r="R42" s="98">
        <v>350.12806412882406</v>
      </c>
      <c r="S42" s="98">
        <v>483.90433533168925</v>
      </c>
      <c r="T42" s="98">
        <v>492.99341028826376</v>
      </c>
      <c r="U42" s="98">
        <v>539.39924173238694</v>
      </c>
      <c r="V42" s="98">
        <v>565.48265773749154</v>
      </c>
      <c r="W42" s="98">
        <v>480.19403884211641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2.9732010751597588</v>
      </c>
      <c r="C47" s="145">
        <f>IF(C4=0,0,C4/TrRoad_ene!C4)</f>
        <v>2.9710975428224091</v>
      </c>
      <c r="D47" s="145">
        <f>IF(D4=0,0,D4/TrRoad_ene!D4)</f>
        <v>2.9694555510959466</v>
      </c>
      <c r="E47" s="145">
        <f>IF(E4=0,0,E4/TrRoad_ene!E4)</f>
        <v>2.971622951196764</v>
      </c>
      <c r="F47" s="145">
        <f>IF(F4=0,0,F4/TrRoad_ene!F4)</f>
        <v>2.9697847471965977</v>
      </c>
      <c r="G47" s="145">
        <f>IF(G4=0,0,G4/TrRoad_ene!G4)</f>
        <v>2.9677651333483186</v>
      </c>
      <c r="H47" s="145">
        <f>IF(H4=0,0,H4/TrRoad_ene!H4)</f>
        <v>2.9484481947985679</v>
      </c>
      <c r="I47" s="145">
        <f>IF(I4=0,0,I4/TrRoad_ene!I4)</f>
        <v>2.9318583884728295</v>
      </c>
      <c r="J47" s="145">
        <f>IF(J4=0,0,J4/TrRoad_ene!J4)</f>
        <v>2.9377188791761339</v>
      </c>
      <c r="K47" s="145">
        <f>IF(K4=0,0,K4/TrRoad_ene!K4)</f>
        <v>2.9468986138571727</v>
      </c>
      <c r="L47" s="145">
        <f>IF(L4=0,0,L4/TrRoad_ene!L4)</f>
        <v>2.9180698551418573</v>
      </c>
      <c r="M47" s="145">
        <f>IF(M4=0,0,M4/TrRoad_ene!M4)</f>
        <v>2.9128466094058676</v>
      </c>
      <c r="N47" s="145">
        <f>IF(N4=0,0,N4/TrRoad_ene!N4)</f>
        <v>2.9006813777661469</v>
      </c>
      <c r="O47" s="145">
        <f>IF(O4=0,0,O4/TrRoad_ene!O4)</f>
        <v>2.8935895267170499</v>
      </c>
      <c r="P47" s="145">
        <f>IF(P4=0,0,P4/TrRoad_ene!P4)</f>
        <v>2.8895843446968588</v>
      </c>
      <c r="Q47" s="145">
        <f>IF(Q4=0,0,Q4/TrRoad_ene!Q4)</f>
        <v>2.8857506656572669</v>
      </c>
      <c r="R47" s="145">
        <f>IF(R4=0,0,R4/TrRoad_ene!R4)</f>
        <v>2.8864193624520498</v>
      </c>
      <c r="S47" s="145">
        <f>IF(S4=0,0,S4/TrRoad_ene!S4)</f>
        <v>2.8773841022874977</v>
      </c>
      <c r="T47" s="145">
        <f>IF(T4=0,0,T4/TrRoad_ene!T4)</f>
        <v>2.8846081014907403</v>
      </c>
      <c r="U47" s="145">
        <f>IF(U4=0,0,U4/TrRoad_ene!U4)</f>
        <v>2.8748802839098726</v>
      </c>
      <c r="V47" s="145">
        <f>IF(V4=0,0,V4/TrRoad_ene!V4)</f>
        <v>2.858706826073294</v>
      </c>
      <c r="W47" s="145">
        <f>IF(W4=0,0,W4/TrRoad_ene!W4)</f>
        <v>2.8552163129540746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2.9014524000000006</v>
      </c>
      <c r="C48" s="97">
        <f>IF(C7=0,0,(C7+C12)/(TrRoad_ene!C7+TrRoad_ene!C12))</f>
        <v>2.9014524000000002</v>
      </c>
      <c r="D48" s="97">
        <f>IF(D7=0,0,(D7+D12)/(TrRoad_ene!D7+TrRoad_ene!D12))</f>
        <v>2.9014523999999997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2.9014524000000002</v>
      </c>
      <c r="I48" s="97">
        <f>IF(I7=0,0,(I7+I12)/(TrRoad_ene!I7+TrRoad_ene!I12))</f>
        <v>2.9014524000000002</v>
      </c>
      <c r="J48" s="97">
        <f>IF(J7=0,0,(J7+J12)/(TrRoad_ene!J7+TrRoad_ene!J12))</f>
        <v>2.9014524000000002</v>
      </c>
      <c r="K48" s="97">
        <f>IF(K7=0,0,(K7+K12)/(TrRoad_ene!K7+TrRoad_ene!K12))</f>
        <v>2.9014524000000002</v>
      </c>
      <c r="L48" s="97">
        <f>IF(L7=0,0,(L7+L12)/(TrRoad_ene!L7+TrRoad_ene!L12))</f>
        <v>2.9014524000000002</v>
      </c>
      <c r="M48" s="97">
        <f>IF(M7=0,0,(M7+M12)/(TrRoad_ene!M7+TrRoad_ene!M12))</f>
        <v>2.9014524000000002</v>
      </c>
      <c r="N48" s="97">
        <f>IF(N7=0,0,(N7+N12)/(TrRoad_ene!N7+TrRoad_ene!N12))</f>
        <v>2.9014524000000002</v>
      </c>
      <c r="O48" s="97">
        <f>IF(O7=0,0,(O7+O12)/(TrRoad_ene!O7+TrRoad_ene!O12))</f>
        <v>2.9014524000000002</v>
      </c>
      <c r="P48" s="97">
        <f>IF(P7=0,0,(P7+P12)/(TrRoad_ene!P7+TrRoad_ene!P12))</f>
        <v>2.9014524000000002</v>
      </c>
      <c r="Q48" s="97">
        <f>IF(Q7=0,0,(Q7+Q12)/(TrRoad_ene!Q7+TrRoad_ene!Q12))</f>
        <v>2.9014524000000002</v>
      </c>
      <c r="R48" s="97">
        <f>IF(R7=0,0,(R7+R12)/(TrRoad_ene!R7+TrRoad_ene!R12))</f>
        <v>2.9014524000000002</v>
      </c>
      <c r="S48" s="97">
        <f>IF(S7=0,0,(S7+S12)/(TrRoad_ene!S7+TrRoad_ene!S12))</f>
        <v>2.9014524000000002</v>
      </c>
      <c r="T48" s="97">
        <f>IF(T7=0,0,(T7+T12)/(TrRoad_ene!T7+TrRoad_ene!T12))</f>
        <v>2.9014542619456796</v>
      </c>
      <c r="U48" s="97">
        <f>IF(U7=0,0,(U7+U12)/(TrRoad_ene!U7+TrRoad_ene!U12))</f>
        <v>2.8706662113205259</v>
      </c>
      <c r="V48" s="97">
        <f>IF(V7=0,0,(V7+V12)/(TrRoad_ene!V7+TrRoad_ene!V12))</f>
        <v>2.8078910466170441</v>
      </c>
      <c r="W48" s="97">
        <f>IF(W7=0,0,(W7+W12)/(TrRoad_ene!W7+TrRoad_ene!W12))</f>
        <v>2.8067438456745664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3.1024188000000001</v>
      </c>
      <c r="H49" s="97">
        <f>IF(H8=0,0,(H8+H13+H14)/(TrRoad_ene!H8+TrRoad_ene!H13+TrRoad_ene!H14))</f>
        <v>3.0403052112908089</v>
      </c>
      <c r="I49" s="97">
        <f>IF(I8=0,0,(I8+I13+I14)/(TrRoad_ene!I8+TrRoad_ene!I13+TrRoad_ene!I14))</f>
        <v>2.9931209508257628</v>
      </c>
      <c r="J49" s="97">
        <f>IF(J8=0,0,(J8+J13+J14)/(TrRoad_ene!J8+TrRoad_ene!J13+TrRoad_ene!J14))</f>
        <v>3.0110048325366767</v>
      </c>
      <c r="K49" s="97">
        <f>IF(K8=0,0,(K8+K13+K14)/(TrRoad_ene!K8+TrRoad_ene!K13+TrRoad_ene!K14))</f>
        <v>3.0197064760589032</v>
      </c>
      <c r="L49" s="97">
        <f>IF(L8=0,0,(L8+L13+L14)/(TrRoad_ene!L8+TrRoad_ene!L13+TrRoad_ene!L14))</f>
        <v>2.9513181952128384</v>
      </c>
      <c r="M49" s="97">
        <f>IF(M8=0,0,(M8+M13+M14)/(TrRoad_ene!M8+TrRoad_ene!M13+TrRoad_ene!M14))</f>
        <v>2.9584362984272787</v>
      </c>
      <c r="N49" s="97">
        <f>IF(N8=0,0,(N8+N13+N14)/(TrRoad_ene!N8+TrRoad_ene!N13+TrRoad_ene!N14))</f>
        <v>2.9167076415262465</v>
      </c>
      <c r="O49" s="97">
        <f>IF(O8=0,0,(O8+O13+O14)/(TrRoad_ene!O8+TrRoad_ene!O13+TrRoad_ene!O14))</f>
        <v>2.9123727152968191</v>
      </c>
      <c r="P49" s="97">
        <f>IF(P8=0,0,(P8+P13+P14)/(TrRoad_ene!P8+TrRoad_ene!P13+TrRoad_ene!P14))</f>
        <v>2.9047058597150017</v>
      </c>
      <c r="Q49" s="97">
        <f>IF(Q8=0,0,(Q8+Q13+Q14)/(TrRoad_ene!Q8+TrRoad_ene!Q13+TrRoad_ene!Q14))</f>
        <v>2.9000550720361455</v>
      </c>
      <c r="R49" s="97">
        <f>IF(R8=0,0,(R8+R13+R14)/(TrRoad_ene!R8+TrRoad_ene!R13+TrRoad_ene!R14))</f>
        <v>2.9022795740106102</v>
      </c>
      <c r="S49" s="97">
        <f>IF(S8=0,0,(S8+S13+S14)/(TrRoad_ene!S8+TrRoad_ene!S13+TrRoad_ene!S14))</f>
        <v>2.8799402594794712</v>
      </c>
      <c r="T49" s="97">
        <f>IF(T8=0,0,(T8+T13+T14)/(TrRoad_ene!T8+TrRoad_ene!T13+TrRoad_ene!T14))</f>
        <v>2.8952866613338255</v>
      </c>
      <c r="U49" s="97">
        <f>IF(U8=0,0,(U8+U13+U14)/(TrRoad_ene!U8+TrRoad_ene!U13+TrRoad_ene!U14))</f>
        <v>2.9049673162533383</v>
      </c>
      <c r="V49" s="97">
        <f>IF(V8=0,0,(V8+V13+V14)/(TrRoad_ene!V8+TrRoad_ene!V13+TrRoad_ene!V14))</f>
        <v>2.9228990002270203</v>
      </c>
      <c r="W49" s="97">
        <f>IF(W8=0,0,(W8+W13+W14)/(TrRoad_ene!W8+TrRoad_ene!W13+TrRoad_ene!W14))</f>
        <v>2.9178625280463821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</v>
      </c>
      <c r="G50" s="97">
        <f>IF(G6=0,0,G6/TrRoad_ene!G6)</f>
        <v>2.6418708</v>
      </c>
      <c r="H50" s="97">
        <f>IF(H6=0,0,H6/TrRoad_ene!H6)</f>
        <v>2.6418708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2.3487948000000003</v>
      </c>
      <c r="D51" s="97">
        <f>IF(D9=0,0,(D9+D11)/(TrRoad_ene!D9+TrRoad_ene!D11))</f>
        <v>2.3487948000000003</v>
      </c>
      <c r="E51" s="97">
        <f>IF(E9=0,0,(E9+E11)/(TrRoad_ene!E9+TrRoad_ene!E11))</f>
        <v>2.3487948000000003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2.3487947999999998</v>
      </c>
      <c r="K51" s="97">
        <f>IF(K9=0,0,(K9+K11)/(TrRoad_ene!K9+TrRoad_ene!K11))</f>
        <v>2.3487948000000003</v>
      </c>
      <c r="L51" s="97">
        <f>IF(L9=0,0,(L9+L11)/(TrRoad_ene!L9+TrRoad_ene!L11))</f>
        <v>2.3487948000000003</v>
      </c>
      <c r="M51" s="97">
        <f>IF(M9=0,0,(M9+M11)/(TrRoad_ene!M9+TrRoad_ene!M11))</f>
        <v>2.3487948000000003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2.3487948000000003</v>
      </c>
      <c r="S51" s="97">
        <f>IF(S9=0,0,(S9+S11)/(TrRoad_ene!S9+TrRoad_ene!S11))</f>
        <v>2.3487948000000003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350.75731204144313</v>
      </c>
      <c r="C54" s="62">
        <f>IF(TrRoad_act!C30=0,0,C17/TrRoad_act!C30*1000
)</f>
        <v>333.77794565562436</v>
      </c>
      <c r="D54" s="62">
        <f>IF(TrRoad_act!D30=0,0,D17/TrRoad_act!D30*1000
)</f>
        <v>323.69231308388447</v>
      </c>
      <c r="E54" s="62">
        <f>IF(TrRoad_act!E30=0,0,E17/TrRoad_act!E30*1000
)</f>
        <v>329.4532989463932</v>
      </c>
      <c r="F54" s="62">
        <f>IF(TrRoad_act!F30=0,0,F17/TrRoad_act!F30*1000
)</f>
        <v>308.57462731381867</v>
      </c>
      <c r="G54" s="62">
        <f>IF(TrRoad_act!G30=0,0,G17/TrRoad_act!G30*1000
)</f>
        <v>302.79611085541688</v>
      </c>
      <c r="H54" s="62">
        <f>IF(TrRoad_act!H30=0,0,H17/TrRoad_act!H30*1000
)</f>
        <v>294.72622873366157</v>
      </c>
      <c r="I54" s="62">
        <f>IF(TrRoad_act!I30=0,0,I17/TrRoad_act!I30*1000
)</f>
        <v>291.07723949918653</v>
      </c>
      <c r="J54" s="62">
        <f>IF(TrRoad_act!J30=0,0,J17/TrRoad_act!J30*1000
)</f>
        <v>272.21365861779486</v>
      </c>
      <c r="K54" s="62">
        <f>IF(TrRoad_act!K30=0,0,K17/TrRoad_act!K30*1000
)</f>
        <v>294.35802018365831</v>
      </c>
      <c r="L54" s="62">
        <f>IF(TrRoad_act!L30=0,0,L17/TrRoad_act!L30*1000
)</f>
        <v>263.53038321684522</v>
      </c>
      <c r="M54" s="62">
        <f>IF(TrRoad_act!M30=0,0,M17/TrRoad_act!M30*1000
)</f>
        <v>260.79134301734047</v>
      </c>
      <c r="N54" s="62">
        <f>IF(TrRoad_act!N30=0,0,N17/TrRoad_act!N30*1000
)</f>
        <v>241.17494535393212</v>
      </c>
      <c r="O54" s="62">
        <f>IF(TrRoad_act!O30=0,0,O17/TrRoad_act!O30*1000
)</f>
        <v>250.42620437085367</v>
      </c>
      <c r="P54" s="62">
        <f>IF(TrRoad_act!P30=0,0,P17/TrRoad_act!P30*1000
)</f>
        <v>248.07797372969</v>
      </c>
      <c r="Q54" s="62">
        <f>IF(TrRoad_act!Q30=0,0,Q17/TrRoad_act!Q30*1000
)</f>
        <v>243.1886722958329</v>
      </c>
      <c r="R54" s="62">
        <f>IF(TrRoad_act!R30=0,0,R17/TrRoad_act!R30*1000
)</f>
        <v>242.04013226088145</v>
      </c>
      <c r="S54" s="62">
        <f>IF(TrRoad_act!S30=0,0,S17/TrRoad_act!S30*1000
)</f>
        <v>239.98238653422166</v>
      </c>
      <c r="T54" s="62">
        <f>IF(TrRoad_act!T30=0,0,T17/TrRoad_act!T30*1000
)</f>
        <v>239.98898642829329</v>
      </c>
      <c r="U54" s="62">
        <f>IF(TrRoad_act!U30=0,0,U17/TrRoad_act!U30*1000
)</f>
        <v>240.78509376601318</v>
      </c>
      <c r="V54" s="62">
        <f>IF(TrRoad_act!V30=0,0,V17/TrRoad_act!V30*1000
)</f>
        <v>228.56403221453508</v>
      </c>
      <c r="W54" s="62">
        <f>IF(TrRoad_act!W30=0,0,W17/TrRoad_act!W30*1000
)</f>
        <v>232.59076434243948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279.96525068916111</v>
      </c>
      <c r="C55" s="29">
        <f>IF(TrRoad_act!C31=0,0,C18/TrRoad_act!C31*1000
)</f>
        <v>266.0253866437983</v>
      </c>
      <c r="D55" s="29">
        <f>IF(TrRoad_act!D31=0,0,D18/TrRoad_act!D31*1000
)</f>
        <v>258.93937398866638</v>
      </c>
      <c r="E55" s="29">
        <f>IF(TrRoad_act!E31=0,0,E18/TrRoad_act!E31*1000
)</f>
        <v>265.41080373623225</v>
      </c>
      <c r="F55" s="29">
        <f>IF(TrRoad_act!F31=0,0,F18/TrRoad_act!F31*1000
)</f>
        <v>245.46745094452757</v>
      </c>
      <c r="G55" s="29">
        <f>IF(TrRoad_act!G31=0,0,G18/TrRoad_act!G31*1000
)</f>
        <v>244.68728745245494</v>
      </c>
      <c r="H55" s="29">
        <f>IF(TrRoad_act!H31=0,0,H18/TrRoad_act!H31*1000
)</f>
        <v>237.00989079363194</v>
      </c>
      <c r="I55" s="29">
        <f>IF(TrRoad_act!I31=0,0,I18/TrRoad_act!I31*1000
)</f>
        <v>235.47541308837114</v>
      </c>
      <c r="J55" s="29">
        <f>IF(TrRoad_act!J31=0,0,J18/TrRoad_act!J31*1000
)</f>
        <v>217.75603049715158</v>
      </c>
      <c r="K55" s="29">
        <f>IF(TrRoad_act!K31=0,0,K18/TrRoad_act!K31*1000
)</f>
        <v>225.78462507169525</v>
      </c>
      <c r="L55" s="29">
        <f>IF(TrRoad_act!L31=0,0,L18/TrRoad_act!L31*1000
)</f>
        <v>204.25339163168579</v>
      </c>
      <c r="M55" s="29">
        <f>IF(TrRoad_act!M31=0,0,M18/TrRoad_act!M31*1000
)</f>
        <v>210.07035049357444</v>
      </c>
      <c r="N55" s="29">
        <f>IF(TrRoad_act!N31=0,0,N18/TrRoad_act!N31*1000
)</f>
        <v>201.74989264375648</v>
      </c>
      <c r="O55" s="29">
        <f>IF(TrRoad_act!O31=0,0,O18/TrRoad_act!O31*1000
)</f>
        <v>201.28370189069406</v>
      </c>
      <c r="P55" s="29">
        <f>IF(TrRoad_act!P31=0,0,P18/TrRoad_act!P31*1000
)</f>
        <v>196.94213540250976</v>
      </c>
      <c r="Q55" s="29">
        <f>IF(TrRoad_act!Q31=0,0,Q18/TrRoad_act!Q31*1000
)</f>
        <v>202.03910575294819</v>
      </c>
      <c r="R55" s="29">
        <f>IF(TrRoad_act!R31=0,0,R18/TrRoad_act!R31*1000
)</f>
        <v>200.54440704679345</v>
      </c>
      <c r="S55" s="29">
        <f>IF(TrRoad_act!S31=0,0,S18/TrRoad_act!S31*1000
)</f>
        <v>199.12734747272944</v>
      </c>
      <c r="T55" s="29">
        <f>IF(TrRoad_act!T31=0,0,T18/TrRoad_act!T31*1000
)</f>
        <v>197.81334949853832</v>
      </c>
      <c r="U55" s="29">
        <f>IF(TrRoad_act!U31=0,0,U18/TrRoad_act!U31*1000
)</f>
        <v>197.05531072355376</v>
      </c>
      <c r="V55" s="29">
        <f>IF(TrRoad_act!V31=0,0,V18/TrRoad_act!V31*1000
)</f>
        <v>182.3495015778588</v>
      </c>
      <c r="W55" s="29">
        <f>IF(TrRoad_act!W31=0,0,W18/TrRoad_act!W31*1000
)</f>
        <v>186.0884542227885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129.36349520603864</v>
      </c>
      <c r="C56" s="152">
        <f>IF(TrRoad_act!C32=0,0,C19/TrRoad_act!C32*1000
)</f>
        <v>132.54662566281027</v>
      </c>
      <c r="D56" s="152">
        <f>IF(TrRoad_act!D32=0,0,D19/TrRoad_act!D32*1000
)</f>
        <v>131.54809522067009</v>
      </c>
      <c r="E56" s="152">
        <f>IF(TrRoad_act!E32=0,0,E19/TrRoad_act!E32*1000
)</f>
        <v>130.02352058297095</v>
      </c>
      <c r="F56" s="152">
        <f>IF(TrRoad_act!F32=0,0,F19/TrRoad_act!F32*1000
)</f>
        <v>126.12905090605369</v>
      </c>
      <c r="G56" s="152">
        <f>IF(TrRoad_act!G32=0,0,G19/TrRoad_act!G32*1000
)</f>
        <v>126.91408108660448</v>
      </c>
      <c r="H56" s="152">
        <f>IF(TrRoad_act!H32=0,0,H19/TrRoad_act!H32*1000
)</f>
        <v>122.19797380114242</v>
      </c>
      <c r="I56" s="152">
        <f>IF(TrRoad_act!I32=0,0,I19/TrRoad_act!I32*1000
)</f>
        <v>119.55174862356145</v>
      </c>
      <c r="J56" s="152">
        <f>IF(TrRoad_act!J32=0,0,J19/TrRoad_act!J32*1000
)</f>
        <v>119.94226559519169</v>
      </c>
      <c r="K56" s="152">
        <f>IF(TrRoad_act!K32=0,0,K19/TrRoad_act!K32*1000
)</f>
        <v>120.28527664578839</v>
      </c>
      <c r="L56" s="152">
        <f>IF(TrRoad_act!L32=0,0,L19/TrRoad_act!L32*1000
)</f>
        <v>119.14064077986616</v>
      </c>
      <c r="M56" s="152">
        <f>IF(TrRoad_act!M32=0,0,M19/TrRoad_act!M32*1000
)</f>
        <v>117.66962190011355</v>
      </c>
      <c r="N56" s="152">
        <f>IF(TrRoad_act!N32=0,0,N19/TrRoad_act!N32*1000
)</f>
        <v>115.49087757484317</v>
      </c>
      <c r="O56" s="152">
        <f>IF(TrRoad_act!O32=0,0,O19/TrRoad_act!O32*1000
)</f>
        <v>113.36615994760571</v>
      </c>
      <c r="P56" s="152">
        <f>IF(TrRoad_act!P32=0,0,P19/TrRoad_act!P32*1000
)</f>
        <v>110.91383422480997</v>
      </c>
      <c r="Q56" s="152">
        <f>IF(TrRoad_act!Q32=0,0,Q19/TrRoad_act!Q32*1000
)</f>
        <v>113.05680344512136</v>
      </c>
      <c r="R56" s="152">
        <f>IF(TrRoad_act!R32=0,0,R19/TrRoad_act!R32*1000
)</f>
        <v>106.28728928286429</v>
      </c>
      <c r="S56" s="152">
        <f>IF(TrRoad_act!S32=0,0,S19/TrRoad_act!S32*1000
)</f>
        <v>111.06313405855018</v>
      </c>
      <c r="T56" s="152">
        <f>IF(TrRoad_act!T32=0,0,T19/TrRoad_act!T32*1000
)</f>
        <v>108.98180731074569</v>
      </c>
      <c r="U56" s="152">
        <f>IF(TrRoad_act!U32=0,0,U19/TrRoad_act!U32*1000
)</f>
        <v>106.44470844266108</v>
      </c>
      <c r="V56" s="152">
        <f>IF(TrRoad_act!V32=0,0,V19/TrRoad_act!V32*1000
)</f>
        <v>98.108551724727008</v>
      </c>
      <c r="W56" s="152">
        <f>IF(TrRoad_act!W32=0,0,W19/TrRoad_act!W32*1000
)</f>
        <v>97.656631017952208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249.80996800624308</v>
      </c>
      <c r="C57" s="116">
        <f>IF(TrRoad_act!C33=0,0,C20/TrRoad_act!C33*1000
)</f>
        <v>238.81963950148327</v>
      </c>
      <c r="D57" s="116">
        <f>IF(TrRoad_act!D33=0,0,D20/TrRoad_act!D33*1000
)</f>
        <v>234.53493762262303</v>
      </c>
      <c r="E57" s="116">
        <f>IF(TrRoad_act!E33=0,0,E20/TrRoad_act!E33*1000
)</f>
        <v>232.30232301802377</v>
      </c>
      <c r="F57" s="116">
        <f>IF(TrRoad_act!F33=0,0,F20/TrRoad_act!F33*1000
)</f>
        <v>225.18899745783011</v>
      </c>
      <c r="G57" s="116">
        <f>IF(TrRoad_act!G33=0,0,G20/TrRoad_act!G33*1000
)</f>
        <v>221.28141481106218</v>
      </c>
      <c r="H57" s="116">
        <f>IF(TrRoad_act!H33=0,0,H20/TrRoad_act!H33*1000
)</f>
        <v>215.56255860304509</v>
      </c>
      <c r="I57" s="116">
        <f>IF(TrRoad_act!I33=0,0,I20/TrRoad_act!I33*1000
)</f>
        <v>214.9867044602677</v>
      </c>
      <c r="J57" s="116">
        <f>IF(TrRoad_act!J33=0,0,J20/TrRoad_act!J33*1000
)</f>
        <v>199.52842681849435</v>
      </c>
      <c r="K57" s="116">
        <f>IF(TrRoad_act!K33=0,0,K20/TrRoad_act!K33*1000
)</f>
        <v>202.98336651207461</v>
      </c>
      <c r="L57" s="116">
        <f>IF(TrRoad_act!L33=0,0,L20/TrRoad_act!L33*1000
)</f>
        <v>185.63582354099955</v>
      </c>
      <c r="M57" s="116">
        <f>IF(TrRoad_act!M33=0,0,M20/TrRoad_act!M33*1000
)</f>
        <v>189.26272419473915</v>
      </c>
      <c r="N57" s="116">
        <f>IF(TrRoad_act!N33=0,0,N20/TrRoad_act!N33*1000
)</f>
        <v>185.14156851395217</v>
      </c>
      <c r="O57" s="116">
        <f>IF(TrRoad_act!O33=0,0,O20/TrRoad_act!O33*1000
)</f>
        <v>179.31169620530747</v>
      </c>
      <c r="P57" s="116">
        <f>IF(TrRoad_act!P33=0,0,P20/TrRoad_act!P33*1000
)</f>
        <v>176.43398801759662</v>
      </c>
      <c r="Q57" s="116">
        <f>IF(TrRoad_act!Q33=0,0,Q20/TrRoad_act!Q33*1000
)</f>
        <v>183.90501516695829</v>
      </c>
      <c r="R57" s="116">
        <f>IF(TrRoad_act!R33=0,0,R20/TrRoad_act!R33*1000
)</f>
        <v>183.63471141073256</v>
      </c>
      <c r="S57" s="116">
        <f>IF(TrRoad_act!S33=0,0,S20/TrRoad_act!S33*1000
)</f>
        <v>180.44640863688588</v>
      </c>
      <c r="T57" s="116">
        <f>IF(TrRoad_act!T33=0,0,T20/TrRoad_act!T33*1000
)</f>
        <v>177.62685511836864</v>
      </c>
      <c r="U57" s="116">
        <f>IF(TrRoad_act!U33=0,0,U20/TrRoad_act!U33*1000
)</f>
        <v>176.87326847124518</v>
      </c>
      <c r="V57" s="116">
        <f>IF(TrRoad_act!V33=0,0,V20/TrRoad_act!V33*1000
)</f>
        <v>158.76902972421502</v>
      </c>
      <c r="W57" s="116">
        <f>IF(TrRoad_act!W33=0,0,W20/TrRoad_act!W33*1000
)</f>
        <v>163.85765031561024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252.5120035803653</v>
      </c>
      <c r="C58" s="87">
        <f>IF(TrRoad_act!C34=0,0,C21/TrRoad_act!C34*1000
)</f>
        <v>240.43614070618699</v>
      </c>
      <c r="D58" s="87">
        <f>IF(TrRoad_act!D34=0,0,D21/TrRoad_act!D34*1000
)</f>
        <v>235.96347070935306</v>
      </c>
      <c r="E58" s="87">
        <f>IF(TrRoad_act!E34=0,0,E21/TrRoad_act!E34*1000
)</f>
        <v>233.873447680373</v>
      </c>
      <c r="F58" s="87">
        <f>IF(TrRoad_act!F34=0,0,F21/TrRoad_act!F34*1000
)</f>
        <v>226.17198721845071</v>
      </c>
      <c r="G58" s="87">
        <f>IF(TrRoad_act!G34=0,0,G21/TrRoad_act!G34*1000
)</f>
        <v>221.97360646610522</v>
      </c>
      <c r="H58" s="87">
        <f>IF(TrRoad_act!H34=0,0,H21/TrRoad_act!H34*1000
)</f>
        <v>216.3227949504614</v>
      </c>
      <c r="I58" s="87">
        <f>IF(TrRoad_act!I34=0,0,I21/TrRoad_act!I34*1000
)</f>
        <v>215.59794126094417</v>
      </c>
      <c r="J58" s="87">
        <f>IF(TrRoad_act!J34=0,0,J21/TrRoad_act!J34*1000
)</f>
        <v>199.74384687945187</v>
      </c>
      <c r="K58" s="87">
        <f>IF(TrRoad_act!K34=0,0,K21/TrRoad_act!K34*1000
)</f>
        <v>202.58944133711145</v>
      </c>
      <c r="L58" s="87">
        <f>IF(TrRoad_act!L34=0,0,L21/TrRoad_act!L34*1000
)</f>
        <v>184.27199298602324</v>
      </c>
      <c r="M58" s="87">
        <f>IF(TrRoad_act!M34=0,0,M21/TrRoad_act!M34*1000
)</f>
        <v>182.64323642336313</v>
      </c>
      <c r="N58" s="87">
        <f>IF(TrRoad_act!N34=0,0,N21/TrRoad_act!N34*1000
)</f>
        <v>181.47630075757519</v>
      </c>
      <c r="O58" s="87">
        <f>IF(TrRoad_act!O34=0,0,O21/TrRoad_act!O34*1000
)</f>
        <v>177.904138365655</v>
      </c>
      <c r="P58" s="87">
        <f>IF(TrRoad_act!P34=0,0,P21/TrRoad_act!P34*1000
)</f>
        <v>175.46800770765665</v>
      </c>
      <c r="Q58" s="87">
        <f>IF(TrRoad_act!Q34=0,0,Q21/TrRoad_act!Q34*1000
)</f>
        <v>170.51852702194554</v>
      </c>
      <c r="R58" s="87">
        <f>IF(TrRoad_act!R34=0,0,R21/TrRoad_act!R34*1000
)</f>
        <v>170.7003332766154</v>
      </c>
      <c r="S58" s="87">
        <f>IF(TrRoad_act!S34=0,0,S21/TrRoad_act!S34*1000
)</f>
        <v>165.36915178507346</v>
      </c>
      <c r="T58" s="87">
        <f>IF(TrRoad_act!T34=0,0,T21/TrRoad_act!T34*1000
)</f>
        <v>163.09987983553427</v>
      </c>
      <c r="U58" s="87">
        <f>IF(TrRoad_act!U34=0,0,U21/TrRoad_act!U34*1000
)</f>
        <v>161.23427494497793</v>
      </c>
      <c r="V58" s="87">
        <f>IF(TrRoad_act!V34=0,0,V21/TrRoad_act!V34*1000
)</f>
        <v>143.41199104651196</v>
      </c>
      <c r="W58" s="87">
        <f>IF(TrRoad_act!W34=0,0,W21/TrRoad_act!W34*1000
)</f>
        <v>148.48895464795766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214.26462194024722</v>
      </c>
      <c r="C59" s="87">
        <f>IF(TrRoad_act!C35=0,0,C22/TrRoad_act!C35*1000
)</f>
        <v>212.26143038795504</v>
      </c>
      <c r="D59" s="87">
        <f>IF(TrRoad_act!D35=0,0,D22/TrRoad_act!D35*1000
)</f>
        <v>208.91207141781001</v>
      </c>
      <c r="E59" s="87">
        <f>IF(TrRoad_act!E35=0,0,E22/TrRoad_act!E35*1000
)</f>
        <v>206.41638970073168</v>
      </c>
      <c r="F59" s="87">
        <f>IF(TrRoad_act!F35=0,0,F22/TrRoad_act!F35*1000
)</f>
        <v>205.28743305430245</v>
      </c>
      <c r="G59" s="87">
        <f>IF(TrRoad_act!G35=0,0,G22/TrRoad_act!G35*1000
)</f>
        <v>206.15923858715678</v>
      </c>
      <c r="H59" s="87">
        <f>IF(TrRoad_act!H35=0,0,H22/TrRoad_act!H35*1000
)</f>
        <v>199.82538963336611</v>
      </c>
      <c r="I59" s="87">
        <f>IF(TrRoad_act!I35=0,0,I22/TrRoad_act!I35*1000
)</f>
        <v>202.16907888944579</v>
      </c>
      <c r="J59" s="87">
        <f>IF(TrRoad_act!J35=0,0,J22/TrRoad_act!J35*1000
)</f>
        <v>192.74523723339973</v>
      </c>
      <c r="K59" s="87">
        <f>IF(TrRoad_act!K35=0,0,K22/TrRoad_act!K35*1000
)</f>
        <v>208.47894381692734</v>
      </c>
      <c r="L59" s="87">
        <f>IF(TrRoad_act!L35=0,0,L22/TrRoad_act!L35*1000
)</f>
        <v>204.29649430472321</v>
      </c>
      <c r="M59" s="87">
        <f>IF(TrRoad_act!M35=0,0,M22/TrRoad_act!M35*1000
)</f>
        <v>212.77279348420535</v>
      </c>
      <c r="N59" s="87">
        <f>IF(TrRoad_act!N35=0,0,N22/TrRoad_act!N35*1000
)</f>
        <v>238.1713762737505</v>
      </c>
      <c r="O59" s="87">
        <f>IF(TrRoad_act!O35=0,0,O22/TrRoad_act!O35*1000
)</f>
        <v>157.74226399935344</v>
      </c>
      <c r="P59" s="87">
        <f>IF(TrRoad_act!P35=0,0,P22/TrRoad_act!P35*1000
)</f>
        <v>151.66455458067719</v>
      </c>
      <c r="Q59" s="87">
        <f>IF(TrRoad_act!Q35=0,0,Q22/TrRoad_act!Q35*1000
)</f>
        <v>316.40756489400349</v>
      </c>
      <c r="R59" s="87">
        <f>IF(TrRoad_act!R35=0,0,R22/TrRoad_act!R35*1000
)</f>
        <v>293.72741792541638</v>
      </c>
      <c r="S59" s="87">
        <f>IF(TrRoad_act!S35=0,0,S22/TrRoad_act!S35*1000
)</f>
        <v>283.92594767935242</v>
      </c>
      <c r="T59" s="87">
        <f>IF(TrRoad_act!T35=0,0,T22/TrRoad_act!T35*1000
)</f>
        <v>251.92653399557773</v>
      </c>
      <c r="U59" s="87">
        <f>IF(TrRoad_act!U35=0,0,U22/TrRoad_act!U35*1000
)</f>
        <v>238.0476873316905</v>
      </c>
      <c r="V59" s="87">
        <f>IF(TrRoad_act!V35=0,0,V22/TrRoad_act!V35*1000
)</f>
        <v>200.22607584323993</v>
      </c>
      <c r="W59" s="87">
        <f>IF(TrRoad_act!W35=0,0,W22/TrRoad_act!W35*1000
)</f>
        <v>210.12619590941267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243.49362204649447</v>
      </c>
      <c r="C60" s="87">
        <f>IF(TrRoad_act!C36=0,0,C23/TrRoad_act!C36*1000
)</f>
        <v>265.9669528403428</v>
      </c>
      <c r="D60" s="87">
        <f>IF(TrRoad_act!D36=0,0,D23/TrRoad_act!D36*1000
)</f>
        <v>271.64407560621362</v>
      </c>
      <c r="E60" s="87">
        <f>IF(TrRoad_act!E36=0,0,E23/TrRoad_act!E36*1000
)</f>
        <v>245.01758678344083</v>
      </c>
      <c r="F60" s="87">
        <f>IF(TrRoad_act!F36=0,0,F23/TrRoad_act!F36*1000
)</f>
        <v>245.63799048747649</v>
      </c>
      <c r="G60" s="87">
        <f>IF(TrRoad_act!G36=0,0,G23/TrRoad_act!G36*1000
)</f>
        <v>245.92377247681364</v>
      </c>
      <c r="H60" s="87">
        <f>IF(TrRoad_act!H36=0,0,H23/TrRoad_act!H36*1000
)</f>
        <v>243.47678481394419</v>
      </c>
      <c r="I60" s="87">
        <f>IF(TrRoad_act!I36=0,0,I23/TrRoad_act!I36*1000
)</f>
        <v>239.62371278520072</v>
      </c>
      <c r="J60" s="87">
        <f>IF(TrRoad_act!J36=0,0,J23/TrRoad_act!J36*1000
)</f>
        <v>237.52852176024911</v>
      </c>
      <c r="K60" s="87">
        <f>IF(TrRoad_act!K36=0,0,K23/TrRoad_act!K36*1000
)</f>
        <v>224.29619060423531</v>
      </c>
      <c r="L60" s="87">
        <f>IF(TrRoad_act!L36=0,0,L23/TrRoad_act!L36*1000
)</f>
        <v>218.96185172041646</v>
      </c>
      <c r="M60" s="87">
        <f>IF(TrRoad_act!M36=0,0,M23/TrRoad_act!M36*1000
)</f>
        <v>360.41588750779488</v>
      </c>
      <c r="N60" s="87">
        <f>IF(TrRoad_act!N36=0,0,N23/TrRoad_act!N36*1000
)</f>
        <v>219.201886600949</v>
      </c>
      <c r="O60" s="87">
        <f>IF(TrRoad_act!O36=0,0,O23/TrRoad_act!O36*1000
)</f>
        <v>215.34557620266636</v>
      </c>
      <c r="P60" s="87">
        <f>IF(TrRoad_act!P36=0,0,P23/TrRoad_act!P36*1000
)</f>
        <v>215.01729057783956</v>
      </c>
      <c r="Q60" s="87">
        <f>IF(TrRoad_act!Q36=0,0,Q23/TrRoad_act!Q36*1000
)</f>
        <v>216.69899906069566</v>
      </c>
      <c r="R60" s="87">
        <f>IF(TrRoad_act!R36=0,0,R23/TrRoad_act!R36*1000
)</f>
        <v>196.85120067476936</v>
      </c>
      <c r="S60" s="87">
        <f>IF(TrRoad_act!S36=0,0,S23/TrRoad_act!S36*1000
)</f>
        <v>193.72139160341757</v>
      </c>
      <c r="T60" s="87">
        <f>IF(TrRoad_act!T36=0,0,T23/TrRoad_act!T36*1000
)</f>
        <v>192.7958580677757</v>
      </c>
      <c r="U60" s="87">
        <f>IF(TrRoad_act!U36=0,0,U23/TrRoad_act!U36*1000
)</f>
        <v>194.20403777884664</v>
      </c>
      <c r="V60" s="87">
        <f>IF(TrRoad_act!V36=0,0,V23/TrRoad_act!V36*1000
)</f>
        <v>191.03639045118231</v>
      </c>
      <c r="W60" s="87">
        <f>IF(TrRoad_act!W36=0,0,W23/TrRoad_act!W36*1000
)</f>
        <v>190.9856131520194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212.23968065276668</v>
      </c>
      <c r="D61" s="87">
        <f>IF(TrRoad_act!D37=0,0,D24/TrRoad_act!D37*1000
)</f>
        <v>211.85254250030744</v>
      </c>
      <c r="E61" s="87">
        <f>IF(TrRoad_act!E37=0,0,E24/TrRoad_act!E37*1000
)</f>
        <v>211.54355215469101</v>
      </c>
      <c r="F61" s="87">
        <f>IF(TrRoad_act!F37=0,0,F24/TrRoad_act!F37*1000
)</f>
        <v>211.51387279043013</v>
      </c>
      <c r="G61" s="87">
        <f>IF(TrRoad_act!G37=0,0,G24/TrRoad_act!G37*1000
)</f>
        <v>210.89570710262672</v>
      </c>
      <c r="H61" s="87">
        <f>IF(TrRoad_act!H37=0,0,H24/TrRoad_act!H37*1000
)</f>
        <v>210.26826739420159</v>
      </c>
      <c r="I61" s="87">
        <f>IF(TrRoad_act!I37=0,0,I24/TrRoad_act!I37*1000
)</f>
        <v>208.61633414576755</v>
      </c>
      <c r="J61" s="87">
        <f>IF(TrRoad_act!J37=0,0,J24/TrRoad_act!J37*1000
)</f>
        <v>208.20720619975759</v>
      </c>
      <c r="K61" s="87">
        <f>IF(TrRoad_act!K37=0,0,K24/TrRoad_act!K37*1000
)</f>
        <v>199.51773433841512</v>
      </c>
      <c r="L61" s="87">
        <f>IF(TrRoad_act!L37=0,0,L24/TrRoad_act!L37*1000
)</f>
        <v>194.49417308212665</v>
      </c>
      <c r="M61" s="87">
        <f>IF(TrRoad_act!M37=0,0,M24/TrRoad_act!M37*1000
)</f>
        <v>190.04489551307998</v>
      </c>
      <c r="N61" s="87">
        <f>IF(TrRoad_act!N37=0,0,N24/TrRoad_act!N37*1000
)</f>
        <v>188.70527213256136</v>
      </c>
      <c r="O61" s="87">
        <f>IF(TrRoad_act!O37=0,0,O24/TrRoad_act!O37*1000
)</f>
        <v>187.53481462808679</v>
      </c>
      <c r="P61" s="87">
        <f>IF(TrRoad_act!P37=0,0,P24/TrRoad_act!P37*1000
)</f>
        <v>186.66604287258639</v>
      </c>
      <c r="Q61" s="87">
        <f>IF(TrRoad_act!Q37=0,0,Q24/TrRoad_act!Q37*1000
)</f>
        <v>172.3637602391847</v>
      </c>
      <c r="R61" s="87">
        <f>IF(TrRoad_act!R37=0,0,R24/TrRoad_act!R37*1000
)</f>
        <v>166.87169008384319</v>
      </c>
      <c r="S61" s="87">
        <f>IF(TrRoad_act!S37=0,0,S24/TrRoad_act!S37*1000
)</f>
        <v>163.77272321683617</v>
      </c>
      <c r="T61" s="87">
        <f>IF(TrRoad_act!T37=0,0,T24/TrRoad_act!T37*1000
)</f>
        <v>159.31785094794543</v>
      </c>
      <c r="U61" s="87">
        <f>IF(TrRoad_act!U37=0,0,U24/TrRoad_act!U37*1000
)</f>
        <v>151.58845091043116</v>
      </c>
      <c r="V61" s="87">
        <f>IF(TrRoad_act!V37=0,0,V24/TrRoad_act!V37*1000
)</f>
        <v>133.24354769548989</v>
      </c>
      <c r="W61" s="87">
        <f>IF(TrRoad_act!W37=0,0,W24/TrRoad_act!W37*1000
)</f>
        <v>119.8767570584502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42.045455680389303</v>
      </c>
      <c r="O62" s="87">
        <f>IF(TrRoad_act!O38=0,0,O25/TrRoad_act!O38*1000
)</f>
        <v>12.8168796981527</v>
      </c>
      <c r="P62" s="87">
        <f>IF(TrRoad_act!P38=0,0,P25/TrRoad_act!P38*1000
)</f>
        <v>25.440898297033851</v>
      </c>
      <c r="Q62" s="87">
        <f>IF(TrRoad_act!Q38=0,0,Q25/TrRoad_act!Q38*1000
)</f>
        <v>31.874184997607717</v>
      </c>
      <c r="R62" s="87">
        <f>IF(TrRoad_act!R38=0,0,R25/TrRoad_act!R38*1000
)</f>
        <v>43.694752771646385</v>
      </c>
      <c r="S62" s="87">
        <f>IF(TrRoad_act!S38=0,0,S25/TrRoad_act!S38*1000
)</f>
        <v>50.84058861581353</v>
      </c>
      <c r="T62" s="87">
        <f>IF(TrRoad_act!T38=0,0,T25/TrRoad_act!T38*1000
)</f>
        <v>55.039608588729273</v>
      </c>
      <c r="U62" s="87">
        <f>IF(TrRoad_act!U38=0,0,U25/TrRoad_act!U38*1000
)</f>
        <v>58.456734898855558</v>
      </c>
      <c r="V62" s="87">
        <f>IF(TrRoad_act!V38=0,0,V25/TrRoad_act!V38*1000
)</f>
        <v>42.152480383644502</v>
      </c>
      <c r="W62" s="87">
        <f>IF(TrRoad_act!W38=0,0,W25/TrRoad_act!W38*1000
)</f>
        <v>38.571270652832524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2253.49090438851</v>
      </c>
      <c r="C64" s="116">
        <f>IF(TrRoad_act!C40=0,0,C27/TrRoad_act!C40*1000
)</f>
        <v>2145.7195207467707</v>
      </c>
      <c r="D64" s="116">
        <f>IF(TrRoad_act!D40=0,0,D27/TrRoad_act!D40*1000
)</f>
        <v>2093.52008606036</v>
      </c>
      <c r="E64" s="116">
        <f>IF(TrRoad_act!E40=0,0,E27/TrRoad_act!E40*1000
)</f>
        <v>2675.8831665414577</v>
      </c>
      <c r="F64" s="116">
        <f>IF(TrRoad_act!F40=0,0,F27/TrRoad_act!F40*1000
)</f>
        <v>2033.2844553066654</v>
      </c>
      <c r="G64" s="116">
        <f>IF(TrRoad_act!G40=0,0,G27/TrRoad_act!G40*1000
)</f>
        <v>2264.2159416700079</v>
      </c>
      <c r="H64" s="116">
        <f>IF(TrRoad_act!H40=0,0,H27/TrRoad_act!H40*1000
)</f>
        <v>2104.0816100297166</v>
      </c>
      <c r="I64" s="116">
        <f>IF(TrRoad_act!I40=0,0,I27/TrRoad_act!I40*1000
)</f>
        <v>2128.6958615787426</v>
      </c>
      <c r="J64" s="116">
        <f>IF(TrRoad_act!J40=0,0,J27/TrRoad_act!J40*1000
)</f>
        <v>2008.406660373086</v>
      </c>
      <c r="K64" s="116">
        <f>IF(TrRoad_act!K40=0,0,K27/TrRoad_act!K40*1000
)</f>
        <v>2447.5548081506222</v>
      </c>
      <c r="L64" s="116">
        <f>IF(TrRoad_act!L40=0,0,L27/TrRoad_act!L40*1000
)</f>
        <v>2086.3690696978097</v>
      </c>
      <c r="M64" s="116">
        <f>IF(TrRoad_act!M40=0,0,M27/TrRoad_act!M40*1000
)</f>
        <v>2201.7981484301381</v>
      </c>
      <c r="N64" s="116">
        <f>IF(TrRoad_act!N40=0,0,N27/TrRoad_act!N40*1000
)</f>
        <v>1798.7152333965323</v>
      </c>
      <c r="O64" s="116">
        <f>IF(TrRoad_act!O40=0,0,O27/TrRoad_act!O40*1000
)</f>
        <v>2052.4470163884557</v>
      </c>
      <c r="P64" s="116">
        <f>IF(TrRoad_act!P40=0,0,P27/TrRoad_act!P40*1000
)</f>
        <v>1982.271508116462</v>
      </c>
      <c r="Q64" s="116">
        <f>IF(TrRoad_act!Q40=0,0,Q27/TrRoad_act!Q40*1000
)</f>
        <v>1901.9861782926687</v>
      </c>
      <c r="R64" s="116">
        <f>IF(TrRoad_act!R40=0,0,R27/TrRoad_act!R40*1000
)</f>
        <v>1949.2434425043309</v>
      </c>
      <c r="S64" s="116">
        <f>IF(TrRoad_act!S40=0,0,S27/TrRoad_act!S40*1000
)</f>
        <v>1983.0678511779693</v>
      </c>
      <c r="T64" s="116">
        <f>IF(TrRoad_act!T40=0,0,T27/TrRoad_act!T40*1000
)</f>
        <v>2028.5388383142258</v>
      </c>
      <c r="U64" s="116">
        <f>IF(TrRoad_act!U40=0,0,U27/TrRoad_act!U40*1000
)</f>
        <v>2131.639676445332</v>
      </c>
      <c r="V64" s="116">
        <f>IF(TrRoad_act!V40=0,0,V27/TrRoad_act!V40*1000
)</f>
        <v>2082.455730203962</v>
      </c>
      <c r="W64" s="116">
        <f>IF(TrRoad_act!W40=0,0,W27/TrRoad_act!W40*1000
)</f>
        <v>2106.2736080629388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0</v>
      </c>
      <c r="C65" s="101">
        <f>IF(TrRoad_act!C41=0,0,C28/TrRoad_act!C41*1000
)</f>
        <v>0</v>
      </c>
      <c r="D65" s="101">
        <f>IF(TrRoad_act!D41=0,0,D28/TrRoad_act!D41*1000
)</f>
        <v>0</v>
      </c>
      <c r="E65" s="101">
        <f>IF(TrRoad_act!E41=0,0,E28/TrRoad_act!E41*1000
)</f>
        <v>0</v>
      </c>
      <c r="F65" s="101">
        <f>IF(TrRoad_act!F41=0,0,F28/TrRoad_act!F41*1000
)</f>
        <v>0</v>
      </c>
      <c r="G65" s="101">
        <f>IF(TrRoad_act!G41=0,0,G28/TrRoad_act!G41*1000
)</f>
        <v>0</v>
      </c>
      <c r="H65" s="101">
        <f>IF(TrRoad_act!H41=0,0,H28/TrRoad_act!H41*1000
)</f>
        <v>0</v>
      </c>
      <c r="I65" s="101">
        <f>IF(TrRoad_act!I41=0,0,I28/TrRoad_act!I41*1000
)</f>
        <v>0</v>
      </c>
      <c r="J65" s="101">
        <f>IF(TrRoad_act!J41=0,0,J28/TrRoad_act!J41*1000
)</f>
        <v>0</v>
      </c>
      <c r="K65" s="101">
        <f>IF(TrRoad_act!K41=0,0,K28/TrRoad_act!K41*1000
)</f>
        <v>0</v>
      </c>
      <c r="L65" s="101">
        <f>IF(TrRoad_act!L41=0,0,L28/TrRoad_act!L41*1000
)</f>
        <v>0</v>
      </c>
      <c r="M65" s="101">
        <f>IF(TrRoad_act!M41=0,0,M28/TrRoad_act!M41*1000
)</f>
        <v>0</v>
      </c>
      <c r="N65" s="101">
        <f>IF(TrRoad_act!N41=0,0,N28/TrRoad_act!N41*1000
)</f>
        <v>0</v>
      </c>
      <c r="O65" s="101">
        <f>IF(TrRoad_act!O41=0,0,O28/TrRoad_act!O41*1000
)</f>
        <v>0</v>
      </c>
      <c r="P65" s="101">
        <f>IF(TrRoad_act!P41=0,0,P28/TrRoad_act!P41*1000
)</f>
        <v>0</v>
      </c>
      <c r="Q65" s="101">
        <f>IF(TrRoad_act!Q41=0,0,Q28/TrRoad_act!Q41*1000
)</f>
        <v>0</v>
      </c>
      <c r="R65" s="101">
        <f>IF(TrRoad_act!R41=0,0,R28/TrRoad_act!R41*1000
)</f>
        <v>0</v>
      </c>
      <c r="S65" s="101">
        <f>IF(TrRoad_act!S41=0,0,S28/TrRoad_act!S41*1000
)</f>
        <v>0</v>
      </c>
      <c r="T65" s="101">
        <f>IF(TrRoad_act!T41=0,0,T28/TrRoad_act!T41*1000
)</f>
        <v>0</v>
      </c>
      <c r="U65" s="101">
        <f>IF(TrRoad_act!U41=0,0,U28/TrRoad_act!U41*1000
)</f>
        <v>0</v>
      </c>
      <c r="V65" s="101">
        <f>IF(TrRoad_act!V41=0,0,V28/TrRoad_act!V41*1000
)</f>
        <v>0</v>
      </c>
      <c r="W65" s="101">
        <f>IF(TrRoad_act!W41=0,0,W28/TrRoad_act!W41*1000
)</f>
        <v>0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2253.49090438851</v>
      </c>
      <c r="C66" s="101">
        <f>IF(TrRoad_act!C42=0,0,C29/TrRoad_act!C42*1000
)</f>
        <v>2162.9935797227349</v>
      </c>
      <c r="D66" s="101">
        <f>IF(TrRoad_act!D42=0,0,D29/TrRoad_act!D42*1000
)</f>
        <v>2118.4579032247493</v>
      </c>
      <c r="E66" s="101">
        <f>IF(TrRoad_act!E42=0,0,E29/TrRoad_act!E42*1000
)</f>
        <v>2718.3010967195255</v>
      </c>
      <c r="F66" s="101">
        <f>IF(TrRoad_act!F42=0,0,F29/TrRoad_act!F42*1000
)</f>
        <v>2059.2182800908863</v>
      </c>
      <c r="G66" s="101">
        <f>IF(TrRoad_act!G42=0,0,G29/TrRoad_act!G42*1000
)</f>
        <v>2296.8416618104575</v>
      </c>
      <c r="H66" s="101">
        <f>IF(TrRoad_act!H42=0,0,H29/TrRoad_act!H42*1000
)</f>
        <v>2133.4093836002771</v>
      </c>
      <c r="I66" s="101">
        <f>IF(TrRoad_act!I42=0,0,I29/TrRoad_act!I42*1000
)</f>
        <v>2164.1046737703973</v>
      </c>
      <c r="J66" s="101">
        <f>IF(TrRoad_act!J42=0,0,J29/TrRoad_act!J42*1000
)</f>
        <v>2042.1369366537467</v>
      </c>
      <c r="K66" s="101">
        <f>IF(TrRoad_act!K42=0,0,K29/TrRoad_act!K42*1000
)</f>
        <v>2492.1632624299232</v>
      </c>
      <c r="L66" s="101">
        <f>IF(TrRoad_act!L42=0,0,L29/TrRoad_act!L42*1000
)</f>
        <v>2119.1472356879658</v>
      </c>
      <c r="M66" s="101">
        <f>IF(TrRoad_act!M42=0,0,M29/TrRoad_act!M42*1000
)</f>
        <v>2234.8233821746508</v>
      </c>
      <c r="N66" s="101">
        <f>IF(TrRoad_act!N42=0,0,N29/TrRoad_act!N42*1000
)</f>
        <v>1819.4946427476827</v>
      </c>
      <c r="O66" s="101">
        <f>IF(TrRoad_act!O42=0,0,O29/TrRoad_act!O42*1000
)</f>
        <v>2080.9776535241567</v>
      </c>
      <c r="P66" s="101">
        <f>IF(TrRoad_act!P42=0,0,P29/TrRoad_act!P42*1000
)</f>
        <v>2009.0262268446452</v>
      </c>
      <c r="Q66" s="101">
        <f>IF(TrRoad_act!Q42=0,0,Q29/TrRoad_act!Q42*1000
)</f>
        <v>1926.495122852898</v>
      </c>
      <c r="R66" s="101">
        <f>IF(TrRoad_act!R42=0,0,R29/TrRoad_act!R42*1000
)</f>
        <v>1964.9269320357068</v>
      </c>
      <c r="S66" s="101">
        <f>IF(TrRoad_act!S42=0,0,S29/TrRoad_act!S42*1000
)</f>
        <v>2012.2732499173517</v>
      </c>
      <c r="T66" s="101">
        <f>IF(TrRoad_act!T42=0,0,T29/TrRoad_act!T42*1000
)</f>
        <v>2062.5886096744744</v>
      </c>
      <c r="U66" s="101">
        <f>IF(TrRoad_act!U42=0,0,U29/TrRoad_act!U42*1000
)</f>
        <v>2169.0081398445113</v>
      </c>
      <c r="V66" s="101">
        <f>IF(TrRoad_act!V42=0,0,V29/TrRoad_act!V42*1000
)</f>
        <v>2128.4399317254383</v>
      </c>
      <c r="W66" s="101">
        <f>IF(TrRoad_act!W42=0,0,W29/TrRoad_act!W42*1000
)</f>
        <v>2155.7807006814551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0</v>
      </c>
      <c r="U67" s="101">
        <f>IF(TrRoad_act!U43=0,0,U30/TrRoad_act!U43*1000
)</f>
        <v>0</v>
      </c>
      <c r="V67" s="101">
        <f>IF(TrRoad_act!V43=0,0,V30/TrRoad_act!V43*1000
)</f>
        <v>0</v>
      </c>
      <c r="W67" s="101">
        <f>IF(TrRoad_act!W43=0,0,W30/TrRoad_act!W43*1000
)</f>
        <v>0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1017.5555810930362</v>
      </c>
      <c r="D68" s="101">
        <f>IF(TrRoad_act!D44=0,0,D31/TrRoad_act!D44*1000
)</f>
        <v>1032.5655330142085</v>
      </c>
      <c r="E68" s="101">
        <f>IF(TrRoad_act!E44=0,0,E31/TrRoad_act!E44*1000
)</f>
        <v>1032.0351575425718</v>
      </c>
      <c r="F68" s="101">
        <f>IF(TrRoad_act!F44=0,0,F31/TrRoad_act!F44*1000
)</f>
        <v>1031.6026722079639</v>
      </c>
      <c r="G68" s="101">
        <f>IF(TrRoad_act!G44=0,0,G31/TrRoad_act!G44*1000
)</f>
        <v>1076.7249557727123</v>
      </c>
      <c r="H68" s="101">
        <f>IF(TrRoad_act!H44=0,0,H31/TrRoad_act!H44*1000
)</f>
        <v>1069.0992122089031</v>
      </c>
      <c r="I68" s="101">
        <f>IF(TrRoad_act!I44=0,0,I31/TrRoad_act!I44*1000
)</f>
        <v>1057.0045329488503</v>
      </c>
      <c r="J68" s="101">
        <f>IF(TrRoad_act!J44=0,0,J31/TrRoad_act!J44*1000
)</f>
        <v>1030.7690236680326</v>
      </c>
      <c r="K68" s="101">
        <f>IF(TrRoad_act!K44=0,0,K31/TrRoad_act!K44*1000
)</f>
        <v>1099.2328731448604</v>
      </c>
      <c r="L68" s="101">
        <f>IF(TrRoad_act!L44=0,0,L31/TrRoad_act!L44*1000
)</f>
        <v>1053.0742799349935</v>
      </c>
      <c r="M68" s="101">
        <f>IF(TrRoad_act!M44=0,0,M31/TrRoad_act!M44*1000
)</f>
        <v>1132.5561758230001</v>
      </c>
      <c r="N68" s="101">
        <f>IF(TrRoad_act!N44=0,0,N31/TrRoad_act!N44*1000
)</f>
        <v>1125.3878842271461</v>
      </c>
      <c r="O68" s="101">
        <f>IF(TrRoad_act!O44=0,0,O31/TrRoad_act!O44*1000
)</f>
        <v>1073.3282255139741</v>
      </c>
      <c r="P68" s="101">
        <f>IF(TrRoad_act!P44=0,0,P31/TrRoad_act!P44*1000
)</f>
        <v>1083.9484194676618</v>
      </c>
      <c r="Q68" s="101">
        <f>IF(TrRoad_act!Q44=0,0,Q31/TrRoad_act!Q44*1000
)</f>
        <v>1134.0897064763419</v>
      </c>
      <c r="R68" s="101">
        <f>IF(TrRoad_act!R44=0,0,R31/TrRoad_act!R44*1000
)</f>
        <v>1471.1718852230376</v>
      </c>
      <c r="S68" s="101">
        <f>IF(TrRoad_act!S44=0,0,S31/TrRoad_act!S44*1000
)</f>
        <v>1015.846991435479</v>
      </c>
      <c r="T68" s="101">
        <f>IF(TrRoad_act!T44=0,0,T31/TrRoad_act!T44*1000
)</f>
        <v>1072.3165569517191</v>
      </c>
      <c r="U68" s="101">
        <f>IF(TrRoad_act!U44=0,0,U31/TrRoad_act!U44*1000
)</f>
        <v>1187.4314927937155</v>
      </c>
      <c r="V68" s="101">
        <f>IF(TrRoad_act!V44=0,0,V31/TrRoad_act!V44*1000
)</f>
        <v>1047.4649150498908</v>
      </c>
      <c r="W68" s="101">
        <f>IF(TrRoad_act!W44=0,0,W31/TrRoad_act!W44*1000
)</f>
        <v>1114.4549087128237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642.25762394184744</v>
      </c>
      <c r="C70" s="29">
        <f>IF(TrRoad_act!C46=0,0,C33/TrRoad_act!C46*1000
)</f>
        <v>627.64517885316968</v>
      </c>
      <c r="D70" s="29">
        <f>IF(TrRoad_act!D46=0,0,D33/TrRoad_act!D46*1000
)</f>
        <v>610.85410294533494</v>
      </c>
      <c r="E70" s="29">
        <f>IF(TrRoad_act!E46=0,0,E33/TrRoad_act!E46*1000
)</f>
        <v>649.27131895649734</v>
      </c>
      <c r="F70" s="29">
        <f>IF(TrRoad_act!F46=0,0,F33/TrRoad_act!F46*1000
)</f>
        <v>599.35531793946836</v>
      </c>
      <c r="G70" s="29">
        <f>IF(TrRoad_act!G46=0,0,G33/TrRoad_act!G46*1000
)</f>
        <v>603.80154082815227</v>
      </c>
      <c r="H70" s="29">
        <f>IF(TrRoad_act!H46=0,0,H33/TrRoad_act!H46*1000
)</f>
        <v>588.52270280403673</v>
      </c>
      <c r="I70" s="29">
        <f>IF(TrRoad_act!I46=0,0,I33/TrRoad_act!I46*1000
)</f>
        <v>570.94018703530423</v>
      </c>
      <c r="J70" s="29">
        <f>IF(TrRoad_act!J46=0,0,J33/TrRoad_act!J46*1000
)</f>
        <v>554.04238341212181</v>
      </c>
      <c r="K70" s="29">
        <f>IF(TrRoad_act!K46=0,0,K33/TrRoad_act!K46*1000
)</f>
        <v>664.30213426956482</v>
      </c>
      <c r="L70" s="29">
        <f>IF(TrRoad_act!L46=0,0,L33/TrRoad_act!L46*1000
)</f>
        <v>575.76445743140016</v>
      </c>
      <c r="M70" s="29">
        <f>IF(TrRoad_act!M46=0,0,M33/TrRoad_act!M46*1000
)</f>
        <v>566.10759997655452</v>
      </c>
      <c r="N70" s="29">
        <f>IF(TrRoad_act!N46=0,0,N33/TrRoad_act!N46*1000
)</f>
        <v>486.73222924874824</v>
      </c>
      <c r="O70" s="29">
        <f>IF(TrRoad_act!O46=0,0,O33/TrRoad_act!O46*1000
)</f>
        <v>516.83121695986927</v>
      </c>
      <c r="P70" s="29">
        <f>IF(TrRoad_act!P46=0,0,P33/TrRoad_act!P46*1000
)</f>
        <v>516.0198064693061</v>
      </c>
      <c r="Q70" s="29">
        <f>IF(TrRoad_act!Q46=0,0,Q33/TrRoad_act!Q46*1000
)</f>
        <v>424.10976121181966</v>
      </c>
      <c r="R70" s="29">
        <f>IF(TrRoad_act!R46=0,0,R33/TrRoad_act!R46*1000
)</f>
        <v>416.03009398311525</v>
      </c>
      <c r="S70" s="29">
        <f>IF(TrRoad_act!S46=0,0,S33/TrRoad_act!S46*1000
)</f>
        <v>430.35050917788072</v>
      </c>
      <c r="T70" s="29">
        <f>IF(TrRoad_act!T46=0,0,T33/TrRoad_act!T46*1000
)</f>
        <v>438.53886922009224</v>
      </c>
      <c r="U70" s="29">
        <f>IF(TrRoad_act!U46=0,0,U33/TrRoad_act!U46*1000
)</f>
        <v>449.47720943995796</v>
      </c>
      <c r="V70" s="29">
        <f>IF(TrRoad_act!V46=0,0,V33/TrRoad_act!V46*1000
)</f>
        <v>460.67145854492998</v>
      </c>
      <c r="W70" s="29">
        <f>IF(TrRoad_act!W46=0,0,W33/TrRoad_act!W46*1000
)</f>
        <v>448.27424425834027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376.46726250298769</v>
      </c>
      <c r="C71" s="152">
        <f>IF(TrRoad_act!C47=0,0,C34/TrRoad_act!C47*1000
)</f>
        <v>361.47766599893913</v>
      </c>
      <c r="D71" s="152">
        <f>IF(TrRoad_act!D47=0,0,D34/TrRoad_act!D47*1000
)</f>
        <v>348.23556154025658</v>
      </c>
      <c r="E71" s="152">
        <f>IF(TrRoad_act!E47=0,0,E34/TrRoad_act!E47*1000
)</f>
        <v>335.35661321453472</v>
      </c>
      <c r="F71" s="152">
        <f>IF(TrRoad_act!F47=0,0,F34/TrRoad_act!F47*1000
)</f>
        <v>326.60238204512501</v>
      </c>
      <c r="G71" s="152">
        <f>IF(TrRoad_act!G47=0,0,G34/TrRoad_act!G47*1000
)</f>
        <v>318.54812530796551</v>
      </c>
      <c r="H71" s="152">
        <f>IF(TrRoad_act!H47=0,0,H34/TrRoad_act!H47*1000
)</f>
        <v>306.62218099260258</v>
      </c>
      <c r="I71" s="152">
        <f>IF(TrRoad_act!I47=0,0,I34/TrRoad_act!I47*1000
)</f>
        <v>295.1796623287658</v>
      </c>
      <c r="J71" s="152">
        <f>IF(TrRoad_act!J47=0,0,J34/TrRoad_act!J47*1000
)</f>
        <v>289.02458023386282</v>
      </c>
      <c r="K71" s="152">
        <f>IF(TrRoad_act!K47=0,0,K34/TrRoad_act!K47*1000
)</f>
        <v>282.59276761364492</v>
      </c>
      <c r="L71" s="152">
        <f>IF(TrRoad_act!L47=0,0,L34/TrRoad_act!L47*1000
)</f>
        <v>274.80911608382485</v>
      </c>
      <c r="M71" s="152">
        <f>IF(TrRoad_act!M47=0,0,M34/TrRoad_act!M47*1000
)</f>
        <v>271.99995917805353</v>
      </c>
      <c r="N71" s="152">
        <f>IF(TrRoad_act!N47=0,0,N34/TrRoad_act!N47*1000
)</f>
        <v>267.91418068495977</v>
      </c>
      <c r="O71" s="152">
        <f>IF(TrRoad_act!O47=0,0,O34/TrRoad_act!O47*1000
)</f>
        <v>263.28793869142476</v>
      </c>
      <c r="P71" s="152">
        <f>IF(TrRoad_act!P47=0,0,P34/TrRoad_act!P47*1000
)</f>
        <v>260.23738128929472</v>
      </c>
      <c r="Q71" s="152">
        <f>IF(TrRoad_act!Q47=0,0,Q34/TrRoad_act!Q47*1000
)</f>
        <v>252.88530912110113</v>
      </c>
      <c r="R71" s="152">
        <f>IF(TrRoad_act!R47=0,0,R34/TrRoad_act!R47*1000
)</f>
        <v>246.89755519684539</v>
      </c>
      <c r="S71" s="152">
        <f>IF(TrRoad_act!S47=0,0,S34/TrRoad_act!S47*1000
)</f>
        <v>245.04784701289813</v>
      </c>
      <c r="T71" s="152">
        <f>IF(TrRoad_act!T47=0,0,T34/TrRoad_act!T47*1000
)</f>
        <v>244.47602520930596</v>
      </c>
      <c r="U71" s="152">
        <f>IF(TrRoad_act!U47=0,0,U34/TrRoad_act!U47*1000
)</f>
        <v>239.74530588549666</v>
      </c>
      <c r="V71" s="152">
        <f>IF(TrRoad_act!V47=0,0,V34/TrRoad_act!V47*1000
)</f>
        <v>236.11745565262964</v>
      </c>
      <c r="W71" s="152">
        <f>IF(TrRoad_act!W47=0,0,W34/TrRoad_act!W47*1000
)</f>
        <v>232.97740430078682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379.09502184498422</v>
      </c>
      <c r="C72" s="87">
        <f>IF(TrRoad_act!C48=0,0,C35/TrRoad_act!C48*1000
)</f>
        <v>367.07916728429052</v>
      </c>
      <c r="D72" s="87">
        <f>IF(TrRoad_act!D48=0,0,D35/TrRoad_act!D48*1000
)</f>
        <v>355.42974349798908</v>
      </c>
      <c r="E72" s="87">
        <f>IF(TrRoad_act!E48=0,0,E35/TrRoad_act!E48*1000
)</f>
        <v>346.79892053432752</v>
      </c>
      <c r="F72" s="87">
        <f>IF(TrRoad_act!F48=0,0,F35/TrRoad_act!F48*1000
)</f>
        <v>340.01548260906958</v>
      </c>
      <c r="G72" s="87">
        <f>IF(TrRoad_act!G48=0,0,G35/TrRoad_act!G48*1000
)</f>
        <v>332.72458701512835</v>
      </c>
      <c r="H72" s="87">
        <f>IF(TrRoad_act!H48=0,0,H35/TrRoad_act!H48*1000
)</f>
        <v>325.53374177185646</v>
      </c>
      <c r="I72" s="87">
        <f>IF(TrRoad_act!I48=0,0,I35/TrRoad_act!I48*1000
)</f>
        <v>314.70427844122582</v>
      </c>
      <c r="J72" s="87">
        <f>IF(TrRoad_act!J48=0,0,J35/TrRoad_act!J48*1000
)</f>
        <v>305.28390744548489</v>
      </c>
      <c r="K72" s="87">
        <f>IF(TrRoad_act!K48=0,0,K35/TrRoad_act!K48*1000
)</f>
        <v>301.31432065188113</v>
      </c>
      <c r="L72" s="87">
        <f>IF(TrRoad_act!L48=0,0,L35/TrRoad_act!L48*1000
)</f>
        <v>296.29001908967263</v>
      </c>
      <c r="M72" s="87">
        <f>IF(TrRoad_act!M48=0,0,M35/TrRoad_act!M48*1000
)</f>
        <v>292.21290383700966</v>
      </c>
      <c r="N72" s="87">
        <f>IF(TrRoad_act!N48=0,0,N35/TrRoad_act!N48*1000
)</f>
        <v>289.3349691291819</v>
      </c>
      <c r="O72" s="87">
        <f>IF(TrRoad_act!O48=0,0,O35/TrRoad_act!O48*1000
)</f>
        <v>286.63310842574276</v>
      </c>
      <c r="P72" s="87">
        <f>IF(TrRoad_act!P48=0,0,P35/TrRoad_act!P48*1000
)</f>
        <v>281.74265673806258</v>
      </c>
      <c r="Q72" s="87">
        <f>IF(TrRoad_act!Q48=0,0,Q35/TrRoad_act!Q48*1000
)</f>
        <v>273.04060801841246</v>
      </c>
      <c r="R72" s="87">
        <f>IF(TrRoad_act!R48=0,0,R35/TrRoad_act!R48*1000
)</f>
        <v>261.19777264474851</v>
      </c>
      <c r="S72" s="87">
        <f>IF(TrRoad_act!S48=0,0,S35/TrRoad_act!S48*1000
)</f>
        <v>260.0738446084008</v>
      </c>
      <c r="T72" s="87">
        <f>IF(TrRoad_act!T48=0,0,T35/TrRoad_act!T48*1000
)</f>
        <v>255.27924375808831</v>
      </c>
      <c r="U72" s="87">
        <f>IF(TrRoad_act!U48=0,0,U35/TrRoad_act!U48*1000
)</f>
        <v>243.30215633467296</v>
      </c>
      <c r="V72" s="87">
        <f>IF(TrRoad_act!V48=0,0,V35/TrRoad_act!V48*1000
)</f>
        <v>232.33513214211706</v>
      </c>
      <c r="W72" s="87">
        <f>IF(TrRoad_act!W48=0,0,W35/TrRoad_act!W48*1000
)</f>
        <v>226.11246781323905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364.56088105927029</v>
      </c>
      <c r="C73" s="87">
        <f>IF(TrRoad_act!C49=0,0,C36/TrRoad_act!C49*1000
)</f>
        <v>340.32093726870346</v>
      </c>
      <c r="D73" s="87">
        <f>IF(TrRoad_act!D49=0,0,D36/TrRoad_act!D49*1000
)</f>
        <v>323.86744105998093</v>
      </c>
      <c r="E73" s="87">
        <f>IF(TrRoad_act!E49=0,0,E36/TrRoad_act!E49*1000
)</f>
        <v>303.70711277612929</v>
      </c>
      <c r="F73" s="87">
        <f>IF(TrRoad_act!F49=0,0,F36/TrRoad_act!F49*1000
)</f>
        <v>294.37439005553028</v>
      </c>
      <c r="G73" s="87">
        <f>IF(TrRoad_act!G49=0,0,G36/TrRoad_act!G49*1000
)</f>
        <v>287.22189000389824</v>
      </c>
      <c r="H73" s="87">
        <f>IF(TrRoad_act!H49=0,0,H36/TrRoad_act!H49*1000
)</f>
        <v>273.07292567411173</v>
      </c>
      <c r="I73" s="87">
        <f>IF(TrRoad_act!I49=0,0,I36/TrRoad_act!I49*1000
)</f>
        <v>263.54941805567989</v>
      </c>
      <c r="J73" s="87">
        <f>IF(TrRoad_act!J49=0,0,J36/TrRoad_act!J49*1000
)</f>
        <v>262.5250567437123</v>
      </c>
      <c r="K73" s="87">
        <f>IF(TrRoad_act!K49=0,0,K36/TrRoad_act!K49*1000
)</f>
        <v>260.34274893384111</v>
      </c>
      <c r="L73" s="87">
        <f>IF(TrRoad_act!L49=0,0,L36/TrRoad_act!L49*1000
)</f>
        <v>253.04363898491823</v>
      </c>
      <c r="M73" s="87">
        <f>IF(TrRoad_act!M49=0,0,M36/TrRoad_act!M49*1000
)</f>
        <v>252.89179161814863</v>
      </c>
      <c r="N73" s="87">
        <f>IF(TrRoad_act!N49=0,0,N36/TrRoad_act!N49*1000
)</f>
        <v>248.38000800672958</v>
      </c>
      <c r="O73" s="87">
        <f>IF(TrRoad_act!O49=0,0,O36/TrRoad_act!O49*1000
)</f>
        <v>247.41864609486279</v>
      </c>
      <c r="P73" s="87">
        <f>IF(TrRoad_act!P49=0,0,P36/TrRoad_act!P49*1000
)</f>
        <v>245.84741163100287</v>
      </c>
      <c r="Q73" s="87">
        <f>IF(TrRoad_act!Q49=0,0,Q36/TrRoad_act!Q49*1000
)</f>
        <v>242.37068038150753</v>
      </c>
      <c r="R73" s="87">
        <f>IF(TrRoad_act!R49=0,0,R36/TrRoad_act!R49*1000
)</f>
        <v>239.79220269716174</v>
      </c>
      <c r="S73" s="87">
        <f>IF(TrRoad_act!S49=0,0,S36/TrRoad_act!S49*1000
)</f>
        <v>236.75333829839289</v>
      </c>
      <c r="T73" s="87">
        <f>IF(TrRoad_act!T49=0,0,T36/TrRoad_act!T49*1000
)</f>
        <v>237.29452690373097</v>
      </c>
      <c r="U73" s="87">
        <f>IF(TrRoad_act!U49=0,0,U36/TrRoad_act!U49*1000
)</f>
        <v>237.31937117339723</v>
      </c>
      <c r="V73" s="87">
        <f>IF(TrRoad_act!V49=0,0,V36/TrRoad_act!V49*1000
)</f>
        <v>238.9134328498628</v>
      </c>
      <c r="W73" s="87">
        <f>IF(TrRoad_act!W49=0,0,W36/TrRoad_act!W49*1000
)</f>
        <v>238.25206356212783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0</v>
      </c>
      <c r="O74" s="87">
        <f>IF(TrRoad_act!O50=0,0,O37/TrRoad_act!O50*1000
)</f>
        <v>0</v>
      </c>
      <c r="P74" s="87">
        <f>IF(TrRoad_act!P50=0,0,P37/TrRoad_act!P50*1000
)</f>
        <v>0</v>
      </c>
      <c r="Q74" s="87">
        <f>IF(TrRoad_act!Q50=0,0,Q37/TrRoad_act!Q50*1000
)</f>
        <v>0</v>
      </c>
      <c r="R74" s="87">
        <f>IF(TrRoad_act!R50=0,0,R37/TrRoad_act!R50*1000
)</f>
        <v>0</v>
      </c>
      <c r="S74" s="87">
        <f>IF(TrRoad_act!S50=0,0,S37/TrRoad_act!S50*1000
)</f>
        <v>0</v>
      </c>
      <c r="T74" s="87">
        <f>IF(TrRoad_act!T50=0,0,T37/TrRoad_act!T50*1000
)</f>
        <v>0</v>
      </c>
      <c r="U74" s="87">
        <f>IF(TrRoad_act!U50=0,0,U37/TrRoad_act!U50*1000
)</f>
        <v>0</v>
      </c>
      <c r="V74" s="87">
        <f>IF(TrRoad_act!V50=0,0,V37/TrRoad_act!V50*1000
)</f>
        <v>0</v>
      </c>
      <c r="W74" s="87">
        <f>IF(TrRoad_act!W50=0,0,W37/TrRoad_act!W50*1000
)</f>
        <v>0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0</v>
      </c>
      <c r="P75" s="87">
        <f>IF(TrRoad_act!P51=0,0,P38/TrRoad_act!P51*1000
)</f>
        <v>0</v>
      </c>
      <c r="Q75" s="87">
        <f>IF(TrRoad_act!Q51=0,0,Q38/TrRoad_act!Q51*1000
)</f>
        <v>0</v>
      </c>
      <c r="R75" s="87">
        <f>IF(TrRoad_act!R51=0,0,R38/TrRoad_act!R51*1000
)</f>
        <v>0</v>
      </c>
      <c r="S75" s="87">
        <f>IF(TrRoad_act!S51=0,0,S38/TrRoad_act!S51*1000
)</f>
        <v>0</v>
      </c>
      <c r="T75" s="87">
        <f>IF(TrRoad_act!T51=0,0,T38/TrRoad_act!T51*1000
)</f>
        <v>0</v>
      </c>
      <c r="U75" s="87">
        <f>IF(TrRoad_act!U51=0,0,U38/TrRoad_act!U51*1000
)</f>
        <v>0</v>
      </c>
      <c r="V75" s="87">
        <f>IF(TrRoad_act!V51=0,0,V38/TrRoad_act!V51*1000
)</f>
        <v>0</v>
      </c>
      <c r="W75" s="87">
        <f>IF(TrRoad_act!W51=0,0,W38/TrRoad_act!W51*1000
)</f>
        <v>0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1256.6822793555352</v>
      </c>
      <c r="C77" s="116">
        <f>IF(TrRoad_act!C53=0,0,C40/TrRoad_act!C53*1000
)</f>
        <v>1248.3724487745437</v>
      </c>
      <c r="D77" s="116">
        <f>IF(TrRoad_act!D53=0,0,D40/TrRoad_act!D53*1000
)</f>
        <v>1245.6675460517508</v>
      </c>
      <c r="E77" s="116">
        <f>IF(TrRoad_act!E53=0,0,E40/TrRoad_act!E53*1000
)</f>
        <v>1884.5114506139296</v>
      </c>
      <c r="F77" s="116">
        <f>IF(TrRoad_act!F53=0,0,F40/TrRoad_act!F53*1000
)</f>
        <v>1235.1144294722753</v>
      </c>
      <c r="G77" s="116">
        <f>IF(TrRoad_act!G53=0,0,G40/TrRoad_act!G53*1000
)</f>
        <v>1490.1882502439546</v>
      </c>
      <c r="H77" s="116">
        <f>IF(TrRoad_act!H53=0,0,H40/TrRoad_act!H53*1000
)</f>
        <v>1372.7290032122778</v>
      </c>
      <c r="I77" s="116">
        <f>IF(TrRoad_act!I53=0,0,I40/TrRoad_act!I53*1000
)</f>
        <v>1430.0772147685589</v>
      </c>
      <c r="J77" s="116">
        <f>IF(TrRoad_act!J53=0,0,J40/TrRoad_act!J53*1000
)</f>
        <v>1317.4483883573041</v>
      </c>
      <c r="K77" s="116">
        <f>IF(TrRoad_act!K53=0,0,K40/TrRoad_act!K53*1000
)</f>
        <v>1731.9238698064578</v>
      </c>
      <c r="L77" s="116">
        <f>IF(TrRoad_act!L53=0,0,L40/TrRoad_act!L53*1000
)</f>
        <v>1412.4461144707707</v>
      </c>
      <c r="M77" s="116">
        <f>IF(TrRoad_act!M53=0,0,M40/TrRoad_act!M53*1000
)</f>
        <v>1575.6201727162459</v>
      </c>
      <c r="N77" s="116">
        <f>IF(TrRoad_act!N53=0,0,N40/TrRoad_act!N53*1000
)</f>
        <v>1130.8677269140983</v>
      </c>
      <c r="O77" s="116">
        <f>IF(TrRoad_act!O53=0,0,O40/TrRoad_act!O53*1000
)</f>
        <v>1527.6201148074531</v>
      </c>
      <c r="P77" s="116">
        <f>IF(TrRoad_act!P53=0,0,P40/TrRoad_act!P53*1000
)</f>
        <v>1434.2640313983427</v>
      </c>
      <c r="Q77" s="116">
        <f>IF(TrRoad_act!Q53=0,0,Q40/TrRoad_act!Q53*1000
)</f>
        <v>1140.6852485976699</v>
      </c>
      <c r="R77" s="116">
        <f>IF(TrRoad_act!R53=0,0,R40/TrRoad_act!R53*1000
)</f>
        <v>1160.5111696227925</v>
      </c>
      <c r="S77" s="116">
        <f>IF(TrRoad_act!S53=0,0,S40/TrRoad_act!S53*1000
)</f>
        <v>1156.4603507145011</v>
      </c>
      <c r="T77" s="116">
        <f>IF(TrRoad_act!T53=0,0,T40/TrRoad_act!T53*1000
)</f>
        <v>1204.5048942600069</v>
      </c>
      <c r="U77" s="116">
        <f>IF(TrRoad_act!U53=0,0,U40/TrRoad_act!U53*1000
)</f>
        <v>1310.1909976297311</v>
      </c>
      <c r="V77" s="116">
        <f>IF(TrRoad_act!V53=0,0,V40/TrRoad_act!V53*1000
)</f>
        <v>1334.8597823713067</v>
      </c>
      <c r="W77" s="116">
        <f>IF(TrRoad_act!W53=0,0,W40/TrRoad_act!W53*1000
)</f>
        <v>1256.1979406285441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1199.9000126517931</v>
      </c>
      <c r="C78" s="101">
        <f>IF(TrRoad_act!C54=0,0,C41/TrRoad_act!C54*1000
)</f>
        <v>1192.523736486422</v>
      </c>
      <c r="D78" s="101">
        <f>IF(TrRoad_act!D54=0,0,D41/TrRoad_act!D54*1000
)</f>
        <v>1189.6855040451821</v>
      </c>
      <c r="E78" s="101">
        <f>IF(TrRoad_act!E54=0,0,E41/TrRoad_act!E54*1000
)</f>
        <v>1687.5240882612868</v>
      </c>
      <c r="F78" s="101">
        <f>IF(TrRoad_act!F54=0,0,F41/TrRoad_act!F54*1000
)</f>
        <v>1178.9438021347062</v>
      </c>
      <c r="G78" s="101">
        <f>IF(TrRoad_act!G54=0,0,G41/TrRoad_act!G54*1000
)</f>
        <v>1376.5089239142922</v>
      </c>
      <c r="H78" s="101">
        <f>IF(TrRoad_act!H54=0,0,H41/TrRoad_act!H54*1000
)</f>
        <v>1279.0980982487331</v>
      </c>
      <c r="I78" s="101">
        <f>IF(TrRoad_act!I54=0,0,I41/TrRoad_act!I54*1000
)</f>
        <v>1323.2527032201774</v>
      </c>
      <c r="J78" s="101">
        <f>IF(TrRoad_act!J54=0,0,J41/TrRoad_act!J54*1000
)</f>
        <v>1236.705102345785</v>
      </c>
      <c r="K78" s="101">
        <f>IF(TrRoad_act!K54=0,0,K41/TrRoad_act!K54*1000
)</f>
        <v>1566.80943209517</v>
      </c>
      <c r="L78" s="101">
        <f>IF(TrRoad_act!L54=0,0,L41/TrRoad_act!L54*1000
)</f>
        <v>1307.0363705263032</v>
      </c>
      <c r="M78" s="101">
        <f>IF(TrRoad_act!M54=0,0,M41/TrRoad_act!M54*1000
)</f>
        <v>1435.2979610011828</v>
      </c>
      <c r="N78" s="101">
        <f>IF(TrRoad_act!N54=0,0,N41/TrRoad_act!N54*1000
)</f>
        <v>1078.6675953063932</v>
      </c>
      <c r="O78" s="101">
        <f>IF(TrRoad_act!O54=0,0,O41/TrRoad_act!O54*1000
)</f>
        <v>1386.8952498707456</v>
      </c>
      <c r="P78" s="101">
        <f>IF(TrRoad_act!P54=0,0,P41/TrRoad_act!P54*1000
)</f>
        <v>1314.6104059786976</v>
      </c>
      <c r="Q78" s="101">
        <f>IF(TrRoad_act!Q54=0,0,Q41/TrRoad_act!Q54*1000
)</f>
        <v>1081.6612269962318</v>
      </c>
      <c r="R78" s="101">
        <f>IF(TrRoad_act!R54=0,0,R41/TrRoad_act!R54*1000
)</f>
        <v>1096.5914351346539</v>
      </c>
      <c r="S78" s="101">
        <f>IF(TrRoad_act!S54=0,0,S41/TrRoad_act!S54*1000
)</f>
        <v>1083.7310697341027</v>
      </c>
      <c r="T78" s="101">
        <f>IF(TrRoad_act!T54=0,0,T41/TrRoad_act!T54*1000
)</f>
        <v>1121.3084073235766</v>
      </c>
      <c r="U78" s="101">
        <f>IF(TrRoad_act!U54=0,0,U41/TrRoad_act!U54*1000
)</f>
        <v>1202.6427688878759</v>
      </c>
      <c r="V78" s="101">
        <f>IF(TrRoad_act!V54=0,0,V41/TrRoad_act!V54*1000
)</f>
        <v>1215.5798987375738</v>
      </c>
      <c r="W78" s="101">
        <f>IF(TrRoad_act!W54=0,0,W41/TrRoad_act!W54*1000
)</f>
        <v>1158.0557912561226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2504.9232331263529</v>
      </c>
      <c r="C79" s="88">
        <f>IF(TrRoad_act!C55=0,0,C42/TrRoad_act!C55*1000
)</f>
        <v>2418.5624890632562</v>
      </c>
      <c r="D79" s="88">
        <f>IF(TrRoad_act!D55=0,0,D42/TrRoad_act!D55*1000
)</f>
        <v>2384.4818087266112</v>
      </c>
      <c r="E79" s="88">
        <f>IF(TrRoad_act!E55=0,0,E42/TrRoad_act!E55*1000
)</f>
        <v>4381.6048145904224</v>
      </c>
      <c r="F79" s="88">
        <f>IF(TrRoad_act!F55=0,0,F42/TrRoad_act!F55*1000
)</f>
        <v>2283.2888790776096</v>
      </c>
      <c r="G79" s="88">
        <f>IF(TrRoad_act!G55=0,0,G42/TrRoad_act!G55*1000
)</f>
        <v>3041.2006287233962</v>
      </c>
      <c r="H79" s="88">
        <f>IF(TrRoad_act!H55=0,0,H42/TrRoad_act!H55*1000
)</f>
        <v>2580.192583258362</v>
      </c>
      <c r="I79" s="88">
        <f>IF(TrRoad_act!I55=0,0,I42/TrRoad_act!I55*1000
)</f>
        <v>3029.0031576743218</v>
      </c>
      <c r="J79" s="88">
        <f>IF(TrRoad_act!J55=0,0,J42/TrRoad_act!J55*1000
)</f>
        <v>2820.9700840313399</v>
      </c>
      <c r="K79" s="88">
        <f>IF(TrRoad_act!K55=0,0,K42/TrRoad_act!K55*1000
)</f>
        <v>5175.2734292824844</v>
      </c>
      <c r="L79" s="88">
        <f>IF(TrRoad_act!L55=0,0,L42/TrRoad_act!L55*1000
)</f>
        <v>3203.1483403672933</v>
      </c>
      <c r="M79" s="88">
        <f>IF(TrRoad_act!M55=0,0,M42/TrRoad_act!M55*1000
)</f>
        <v>3630.03536637036</v>
      </c>
      <c r="N79" s="88">
        <f>IF(TrRoad_act!N55=0,0,N42/TrRoad_act!N55*1000
)</f>
        <v>1782.2320411151518</v>
      </c>
      <c r="O79" s="88">
        <f>IF(TrRoad_act!O55=0,0,O42/TrRoad_act!O55*1000
)</f>
        <v>2826.1545544642131</v>
      </c>
      <c r="P79" s="88">
        <f>IF(TrRoad_act!P55=0,0,P42/TrRoad_act!P55*1000
)</f>
        <v>2722.3517295652468</v>
      </c>
      <c r="Q79" s="88">
        <f>IF(TrRoad_act!Q55=0,0,Q42/TrRoad_act!Q55*1000
)</f>
        <v>1744.8738475683642</v>
      </c>
      <c r="R79" s="88">
        <f>IF(TrRoad_act!R55=0,0,R42/TrRoad_act!R55*1000
)</f>
        <v>1813.3279424698135</v>
      </c>
      <c r="S79" s="88">
        <f>IF(TrRoad_act!S55=0,0,S42/TrRoad_act!S55*1000
)</f>
        <v>1601.1879201165525</v>
      </c>
      <c r="T79" s="88">
        <f>IF(TrRoad_act!T55=0,0,T42/TrRoad_act!T55*1000
)</f>
        <v>1750.388939473044</v>
      </c>
      <c r="U79" s="88">
        <f>IF(TrRoad_act!U55=0,0,U42/TrRoad_act!U55*1000
)</f>
        <v>2060.2994260642572</v>
      </c>
      <c r="V79" s="88">
        <f>IF(TrRoad_act!V55=0,0,V42/TrRoad_act!V55*1000
)</f>
        <v>2040.2023968523308</v>
      </c>
      <c r="W79" s="88">
        <f>IF(TrRoad_act!W55=0,0,W42/TrRoad_act!W55*1000
)</f>
        <v>2097.13726364379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115.22554150590884</v>
      </c>
      <c r="C82" s="29">
        <f>IF(TrRoad_act!C4=0,0,C18/TrRoad_act!C4*1000)</f>
        <v>112.08122127398904</v>
      </c>
      <c r="D82" s="29">
        <f>IF(TrRoad_act!D4=0,0,D18/TrRoad_act!D4*1000)</f>
        <v>111.44064367210015</v>
      </c>
      <c r="E82" s="29">
        <f>IF(TrRoad_act!E4=0,0,E18/TrRoad_act!E4*1000)</f>
        <v>116.57087639599568</v>
      </c>
      <c r="F82" s="29">
        <f>IF(TrRoad_act!F4=0,0,F18/TrRoad_act!F4*1000)</f>
        <v>110.09810436748663</v>
      </c>
      <c r="G82" s="29">
        <f>IF(TrRoad_act!G4=0,0,G18/TrRoad_act!G4*1000)</f>
        <v>111.66904684272795</v>
      </c>
      <c r="H82" s="29">
        <f>IF(TrRoad_act!H4=0,0,H18/TrRoad_act!H4*1000)</f>
        <v>108.73826307711012</v>
      </c>
      <c r="I82" s="29">
        <f>IF(TrRoad_act!I4=0,0,I18/TrRoad_act!I4*1000)</f>
        <v>108.64001038840493</v>
      </c>
      <c r="J82" s="29">
        <f>IF(TrRoad_act!J4=0,0,J18/TrRoad_act!J4*1000)</f>
        <v>101.03835105638623</v>
      </c>
      <c r="K82" s="29">
        <f>IF(TrRoad_act!K4=0,0,K18/TrRoad_act!K4*1000)</f>
        <v>105.94648446295439</v>
      </c>
      <c r="L82" s="29">
        <f>IF(TrRoad_act!L4=0,0,L18/TrRoad_act!L4*1000)</f>
        <v>96.299987262575257</v>
      </c>
      <c r="M82" s="29">
        <f>IF(TrRoad_act!M4=0,0,M18/TrRoad_act!M4*1000)</f>
        <v>94.01156373423953</v>
      </c>
      <c r="N82" s="29">
        <f>IF(TrRoad_act!N4=0,0,N18/TrRoad_act!N4*1000)</f>
        <v>80.722408855801106</v>
      </c>
      <c r="O82" s="29">
        <f>IF(TrRoad_act!O4=0,0,O18/TrRoad_act!O4*1000)</f>
        <v>77.993122862414367</v>
      </c>
      <c r="P82" s="29">
        <f>IF(TrRoad_act!P4=0,0,P18/TrRoad_act!P4*1000)</f>
        <v>75.246722016006203</v>
      </c>
      <c r="Q82" s="29">
        <f>IF(TrRoad_act!Q4=0,0,Q18/TrRoad_act!Q4*1000)</f>
        <v>75.952394413183129</v>
      </c>
      <c r="R82" s="29">
        <f>IF(TrRoad_act!R4=0,0,R18/TrRoad_act!R4*1000)</f>
        <v>75.883236517685688</v>
      </c>
      <c r="S82" s="29">
        <f>IF(TrRoad_act!S4=0,0,S18/TrRoad_act!S4*1000)</f>
        <v>75.149699890553194</v>
      </c>
      <c r="T82" s="29">
        <f>IF(TrRoad_act!T4=0,0,T18/TrRoad_act!T4*1000)</f>
        <v>74.527035539887336</v>
      </c>
      <c r="U82" s="29">
        <f>IF(TrRoad_act!U4=0,0,U18/TrRoad_act!U4*1000)</f>
        <v>74.885692887991624</v>
      </c>
      <c r="V82" s="29">
        <f>IF(TrRoad_act!V4=0,0,V18/TrRoad_act!V4*1000)</f>
        <v>76.894793364129342</v>
      </c>
      <c r="W82" s="29">
        <f>IF(TrRoad_act!W4=0,0,W18/TrRoad_act!W4*1000)</f>
        <v>75.516833893208357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112.00813987416316</v>
      </c>
      <c r="C83" s="152">
        <f>IF(TrRoad_act!C5=0,0,C19/TrRoad_act!C5*1000)</f>
        <v>114.76642405448648</v>
      </c>
      <c r="D83" s="152">
        <f>IF(TrRoad_act!D5=0,0,D19/TrRoad_act!D5*1000)</f>
        <v>113.92163485988731</v>
      </c>
      <c r="E83" s="152">
        <f>IF(TrRoad_act!E5=0,0,E19/TrRoad_act!E5*1000)</f>
        <v>112.55407253367898</v>
      </c>
      <c r="F83" s="152">
        <f>IF(TrRoad_act!F5=0,0,F19/TrRoad_act!F5*1000)</f>
        <v>109.16822884880779</v>
      </c>
      <c r="G83" s="152">
        <f>IF(TrRoad_act!G5=0,0,G19/TrRoad_act!G5*1000)</f>
        <v>109.9472546376806</v>
      </c>
      <c r="H83" s="152">
        <f>IF(TrRoad_act!H5=0,0,H19/TrRoad_act!H5*1000)</f>
        <v>105.83211062959568</v>
      </c>
      <c r="I83" s="152">
        <f>IF(TrRoad_act!I5=0,0,I19/TrRoad_act!I5*1000)</f>
        <v>103.37436907980175</v>
      </c>
      <c r="J83" s="152">
        <f>IF(TrRoad_act!J5=0,0,J19/TrRoad_act!J5*1000)</f>
        <v>103.65749004251997</v>
      </c>
      <c r="K83" s="152">
        <f>IF(TrRoad_act!K5=0,0,K19/TrRoad_act!K5*1000)</f>
        <v>103.9040672671745</v>
      </c>
      <c r="L83" s="152">
        <f>IF(TrRoad_act!L5=0,0,L19/TrRoad_act!L5*1000)</f>
        <v>103.09242705758467</v>
      </c>
      <c r="M83" s="152">
        <f>IF(TrRoad_act!M5=0,0,M19/TrRoad_act!M5*1000)</f>
        <v>101.90882639982044</v>
      </c>
      <c r="N83" s="152">
        <f>IF(TrRoad_act!N5=0,0,N19/TrRoad_act!N5*1000)</f>
        <v>100.64305397746395</v>
      </c>
      <c r="O83" s="152">
        <f>IF(TrRoad_act!O5=0,0,O19/TrRoad_act!O5*1000)</f>
        <v>98.842344107277995</v>
      </c>
      <c r="P83" s="152">
        <f>IF(TrRoad_act!P5=0,0,P19/TrRoad_act!P5*1000)</f>
        <v>96.494679416760533</v>
      </c>
      <c r="Q83" s="152">
        <f>IF(TrRoad_act!Q5=0,0,Q19/TrRoad_act!Q5*1000)</f>
        <v>98.189352650568097</v>
      </c>
      <c r="R83" s="152">
        <f>IF(TrRoad_act!R5=0,0,R19/TrRoad_act!R5*1000)</f>
        <v>92.211043016505087</v>
      </c>
      <c r="S83" s="152">
        <f>IF(TrRoad_act!S5=0,0,S19/TrRoad_act!S5*1000)</f>
        <v>96.485509988325788</v>
      </c>
      <c r="T83" s="152">
        <f>IF(TrRoad_act!T5=0,0,T19/TrRoad_act!T5*1000)</f>
        <v>94.801632910443047</v>
      </c>
      <c r="U83" s="152">
        <f>IF(TrRoad_act!U5=0,0,U19/TrRoad_act!U5*1000)</f>
        <v>92.514316453511697</v>
      </c>
      <c r="V83" s="152">
        <f>IF(TrRoad_act!V5=0,0,V19/TrRoad_act!V5*1000)</f>
        <v>85.372009962938606</v>
      </c>
      <c r="W83" s="152">
        <f>IF(TrRoad_act!W5=0,0,W19/TrRoad_act!W5*1000)</f>
        <v>84.976069007823654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127.24479296592955</v>
      </c>
      <c r="C84" s="116">
        <f>IF(TrRoad_act!C6=0,0,C20/TrRoad_act!C6*1000)</f>
        <v>122.86315628383073</v>
      </c>
      <c r="D84" s="116">
        <f>IF(TrRoad_act!D6=0,0,D20/TrRoad_act!D6*1000)</f>
        <v>121.86543695841046</v>
      </c>
      <c r="E84" s="116">
        <f>IF(TrRoad_act!E6=0,0,E20/TrRoad_act!E6*1000)</f>
        <v>121.91241369788013</v>
      </c>
      <c r="F84" s="116">
        <f>IF(TrRoad_act!F6=0,0,F20/TrRoad_act!F6*1000)</f>
        <v>119.36112906766502</v>
      </c>
      <c r="G84" s="116">
        <f>IF(TrRoad_act!G6=0,0,G20/TrRoad_act!G6*1000)</f>
        <v>118.46281927548286</v>
      </c>
      <c r="H84" s="116">
        <f>IF(TrRoad_act!H6=0,0,H20/TrRoad_act!H6*1000)</f>
        <v>115.4773497367168</v>
      </c>
      <c r="I84" s="116">
        <f>IF(TrRoad_act!I6=0,0,I20/TrRoad_act!I6*1000)</f>
        <v>115.10765339172906</v>
      </c>
      <c r="J84" s="116">
        <f>IF(TrRoad_act!J6=0,0,J20/TrRoad_act!J6*1000)</f>
        <v>106.59204931616274</v>
      </c>
      <c r="K84" s="116">
        <f>IF(TrRoad_act!K6=0,0,K20/TrRoad_act!K6*1000)</f>
        <v>108.43774673419264</v>
      </c>
      <c r="L84" s="116">
        <f>IF(TrRoad_act!L6=0,0,L20/TrRoad_act!L6*1000)</f>
        <v>99.17034466336311</v>
      </c>
      <c r="M84" s="116">
        <f>IF(TrRoad_act!M6=0,0,M20/TrRoad_act!M6*1000)</f>
        <v>95.239894301771429</v>
      </c>
      <c r="N84" s="116">
        <f>IF(TrRoad_act!N6=0,0,N20/TrRoad_act!N6*1000)</f>
        <v>81.535352589220821</v>
      </c>
      <c r="O84" s="116">
        <f>IF(TrRoad_act!O6=0,0,O20/TrRoad_act!O6*1000)</f>
        <v>75.911660561005789</v>
      </c>
      <c r="P84" s="116">
        <f>IF(TrRoad_act!P6=0,0,P20/TrRoad_act!P6*1000)</f>
        <v>73.054950361322824</v>
      </c>
      <c r="Q84" s="116">
        <f>IF(TrRoad_act!Q6=0,0,Q20/TrRoad_act!Q6*1000)</f>
        <v>74.64404604631828</v>
      </c>
      <c r="R84" s="116">
        <f>IF(TrRoad_act!R6=0,0,R20/TrRoad_act!R6*1000)</f>
        <v>74.658282313653146</v>
      </c>
      <c r="S84" s="116">
        <f>IF(TrRoad_act!S6=0,0,S20/TrRoad_act!S6*1000)</f>
        <v>73.22005947574803</v>
      </c>
      <c r="T84" s="116">
        <f>IF(TrRoad_act!T6=0,0,T20/TrRoad_act!T6*1000)</f>
        <v>72.343012172751031</v>
      </c>
      <c r="U84" s="116">
        <f>IF(TrRoad_act!U6=0,0,U20/TrRoad_act!U6*1000)</f>
        <v>72.168059326896795</v>
      </c>
      <c r="V84" s="116">
        <f>IF(TrRoad_act!V6=0,0,V20/TrRoad_act!V6*1000)</f>
        <v>69.669187686756558</v>
      </c>
      <c r="W84" s="116">
        <f>IF(TrRoad_act!W6=0,0,W20/TrRoad_act!W6*1000)</f>
        <v>68.64796261125835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128.73332685265999</v>
      </c>
      <c r="C85" s="87">
        <f>IF(TrRoad_act!C7=0,0,C21/TrRoad_act!C7*1000)</f>
        <v>123.78967033845935</v>
      </c>
      <c r="D85" s="87">
        <f>IF(TrRoad_act!D7=0,0,D21/TrRoad_act!D7*1000)</f>
        <v>122.69735494996024</v>
      </c>
      <c r="E85" s="87">
        <f>IF(TrRoad_act!E7=0,0,E21/TrRoad_act!E7*1000)</f>
        <v>122.82951190304436</v>
      </c>
      <c r="F85" s="87">
        <f>IF(TrRoad_act!F7=0,0,F21/TrRoad_act!F7*1000)</f>
        <v>119.95892143464555</v>
      </c>
      <c r="G85" s="87">
        <f>IF(TrRoad_act!G7=0,0,G21/TrRoad_act!G7*1000)</f>
        <v>118.90696143261559</v>
      </c>
      <c r="H85" s="87">
        <f>IF(TrRoad_act!H7=0,0,H21/TrRoad_act!H7*1000)</f>
        <v>115.96142136363669</v>
      </c>
      <c r="I85" s="87">
        <f>IF(TrRoad_act!I7=0,0,I21/TrRoad_act!I7*1000)</f>
        <v>115.51085287874245</v>
      </c>
      <c r="J85" s="87">
        <f>IF(TrRoad_act!J7=0,0,J21/TrRoad_act!J7*1000)</f>
        <v>106.77140183312521</v>
      </c>
      <c r="K85" s="87">
        <f>IF(TrRoad_act!K7=0,0,K21/TrRoad_act!K7*1000)</f>
        <v>108.29731068774309</v>
      </c>
      <c r="L85" s="87">
        <f>IF(TrRoad_act!L7=0,0,L21/TrRoad_act!L7*1000)</f>
        <v>98.482630760572079</v>
      </c>
      <c r="M85" s="87">
        <f>IF(TrRoad_act!M7=0,0,M21/TrRoad_act!M7*1000)</f>
        <v>91.891537540744281</v>
      </c>
      <c r="N85" s="87">
        <f>IF(TrRoad_act!N7=0,0,N21/TrRoad_act!N7*1000)</f>
        <v>79.920091066713226</v>
      </c>
      <c r="O85" s="87">
        <f>IF(TrRoad_act!O7=0,0,O21/TrRoad_act!O7*1000)</f>
        <v>75.21951016816918</v>
      </c>
      <c r="P85" s="87">
        <f>IF(TrRoad_act!P7=0,0,P21/TrRoad_act!P7*1000)</f>
        <v>72.578680607132483</v>
      </c>
      <c r="Q85" s="87">
        <f>IF(TrRoad_act!Q7=0,0,Q21/TrRoad_act!Q7*1000)</f>
        <v>69.106447850227042</v>
      </c>
      <c r="R85" s="87">
        <f>IF(TrRoad_act!R7=0,0,R21/TrRoad_act!R7*1000)</f>
        <v>69.299070059444333</v>
      </c>
      <c r="S85" s="87">
        <f>IF(TrRoad_act!S7=0,0,S21/TrRoad_act!S7*1000)</f>
        <v>67.039843679610968</v>
      </c>
      <c r="T85" s="87">
        <f>IF(TrRoad_act!T7=0,0,T21/TrRoad_act!T7*1000)</f>
        <v>66.407128723911541</v>
      </c>
      <c r="U85" s="87">
        <f>IF(TrRoad_act!U7=0,0,U21/TrRoad_act!U7*1000)</f>
        <v>65.803507620478328</v>
      </c>
      <c r="V85" s="87">
        <f>IF(TrRoad_act!V7=0,0,V21/TrRoad_act!V7*1000)</f>
        <v>63.005775168805847</v>
      </c>
      <c r="W85" s="87">
        <f>IF(TrRoad_act!W7=0,0,W21/TrRoad_act!W7*1000)</f>
        <v>62.275319695408143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107.62010010350551</v>
      </c>
      <c r="C86" s="87">
        <f>IF(TrRoad_act!C8=0,0,C22/TrRoad_act!C8*1000)</f>
        <v>107.6687577353913</v>
      </c>
      <c r="D86" s="87">
        <f>IF(TrRoad_act!D8=0,0,D22/TrRoad_act!D8*1000)</f>
        <v>107.02566082961317</v>
      </c>
      <c r="E86" s="87">
        <f>IF(TrRoad_act!E8=0,0,E22/TrRoad_act!E8*1000)</f>
        <v>106.80705581493561</v>
      </c>
      <c r="F86" s="87">
        <f>IF(TrRoad_act!F8=0,0,F22/TrRoad_act!F8*1000)</f>
        <v>107.27290963162447</v>
      </c>
      <c r="G86" s="87">
        <f>IF(TrRoad_act!G8=0,0,G22/TrRoad_act!G8*1000)</f>
        <v>108.80345899374235</v>
      </c>
      <c r="H86" s="87">
        <f>IF(TrRoad_act!H8=0,0,H22/TrRoad_act!H8*1000)</f>
        <v>105.53484355096141</v>
      </c>
      <c r="I86" s="87">
        <f>IF(TrRoad_act!I8=0,0,I22/TrRoad_act!I8*1000)</f>
        <v>106.71534461172941</v>
      </c>
      <c r="J86" s="87">
        <f>IF(TrRoad_act!J8=0,0,J22/TrRoad_act!J8*1000)</f>
        <v>101.50773755003738</v>
      </c>
      <c r="K86" s="87">
        <f>IF(TrRoad_act!K8=0,0,K22/TrRoad_act!K8*1000)</f>
        <v>109.79865525160828</v>
      </c>
      <c r="L86" s="87">
        <f>IF(TrRoad_act!L8=0,0,L22/TrRoad_act!L8*1000)</f>
        <v>107.57099368265924</v>
      </c>
      <c r="M86" s="87">
        <f>IF(TrRoad_act!M8=0,0,M22/TrRoad_act!M8*1000)</f>
        <v>105.46830762342026</v>
      </c>
      <c r="N86" s="87">
        <f>IF(TrRoad_act!N8=0,0,N22/TrRoad_act!N8*1000)</f>
        <v>103.33788677472869</v>
      </c>
      <c r="O86" s="87">
        <f>IF(TrRoad_act!O8=0,0,O22/TrRoad_act!O8*1000)</f>
        <v>65.709245095534541</v>
      </c>
      <c r="P86" s="87">
        <f>IF(TrRoad_act!P8=0,0,P22/TrRoad_act!P8*1000)</f>
        <v>61.805791952244064</v>
      </c>
      <c r="Q86" s="87">
        <f>IF(TrRoad_act!Q8=0,0,Q22/TrRoad_act!Q8*1000)</f>
        <v>126.33620120300476</v>
      </c>
      <c r="R86" s="87">
        <f>IF(TrRoad_act!R8=0,0,R22/TrRoad_act!R8*1000)</f>
        <v>117.48204104147155</v>
      </c>
      <c r="S86" s="87">
        <f>IF(TrRoad_act!S8=0,0,S22/TrRoad_act!S8*1000)</f>
        <v>113.40117015048723</v>
      </c>
      <c r="T86" s="87">
        <f>IF(TrRoad_act!T8=0,0,T22/TrRoad_act!T8*1000)</f>
        <v>101.0575886394295</v>
      </c>
      <c r="U86" s="87">
        <f>IF(TrRoad_act!U8=0,0,U22/TrRoad_act!U8*1000)</f>
        <v>95.717114853136124</v>
      </c>
      <c r="V86" s="87">
        <f>IF(TrRoad_act!V8=0,0,V22/TrRoad_act!V8*1000)</f>
        <v>86.666146652712754</v>
      </c>
      <c r="W86" s="87">
        <f>IF(TrRoad_act!W8=0,0,W22/TrRoad_act!W8*1000)</f>
        <v>86.823236667172893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127.86335963346521</v>
      </c>
      <c r="C87" s="87">
        <f>IF(TrRoad_act!C9=0,0,C23/TrRoad_act!C9*1000)</f>
        <v>141.06119960916047</v>
      </c>
      <c r="D87" s="87">
        <f>IF(TrRoad_act!D9=0,0,D23/TrRoad_act!D9*1000)</f>
        <v>145.51290357747394</v>
      </c>
      <c r="E87" s="87">
        <f>IF(TrRoad_act!E9=0,0,E23/TrRoad_act!E9*1000)</f>
        <v>132.56226039477266</v>
      </c>
      <c r="F87" s="87">
        <f>IF(TrRoad_act!F9=0,0,F23/TrRoad_act!F9*1000)</f>
        <v>134.22689759611461</v>
      </c>
      <c r="G87" s="87">
        <f>IF(TrRoad_act!G9=0,0,G23/TrRoad_act!G9*1000)</f>
        <v>135.72689146649802</v>
      </c>
      <c r="H87" s="87">
        <f>IF(TrRoad_act!H9=0,0,H23/TrRoad_act!H9*1000)</f>
        <v>134.46501422052069</v>
      </c>
      <c r="I87" s="87">
        <f>IF(TrRoad_act!I9=0,0,I23/TrRoad_act!I9*1000)</f>
        <v>132.26674215637473</v>
      </c>
      <c r="J87" s="87">
        <f>IF(TrRoad_act!J9=0,0,J23/TrRoad_act!J9*1000)</f>
        <v>130.81696383577179</v>
      </c>
      <c r="K87" s="87">
        <f>IF(TrRoad_act!K9=0,0,K23/TrRoad_act!K9*1000)</f>
        <v>123.52936159974881</v>
      </c>
      <c r="L87" s="87">
        <f>IF(TrRoad_act!L9=0,0,L23/TrRoad_act!L9*1000)</f>
        <v>120.59151644464521</v>
      </c>
      <c r="M87" s="87">
        <f>IF(TrRoad_act!M9=0,0,M23/TrRoad_act!M9*1000)</f>
        <v>186.97606278000347</v>
      </c>
      <c r="N87" s="87">
        <f>IF(TrRoad_act!N9=0,0,N23/TrRoad_act!N9*1000)</f>
        <v>99.520962655248226</v>
      </c>
      <c r="O87" s="87">
        <f>IF(TrRoad_act!O9=0,0,O23/TrRoad_act!O9*1000)</f>
        <v>93.986200519607124</v>
      </c>
      <c r="P87" s="87">
        <f>IF(TrRoad_act!P9=0,0,P23/TrRoad_act!P9*1000)</f>
        <v>91.784437349806026</v>
      </c>
      <c r="Q87" s="87">
        <f>IF(TrRoad_act!Q9=0,0,Q23/TrRoad_act!Q9*1000)</f>
        <v>90.674834245011979</v>
      </c>
      <c r="R87" s="87">
        <f>IF(TrRoad_act!R9=0,0,R23/TrRoad_act!R9*1000)</f>
        <v>82.506763388534566</v>
      </c>
      <c r="S87" s="87">
        <f>IF(TrRoad_act!S9=0,0,S23/TrRoad_act!S9*1000)</f>
        <v>81.037807086135729</v>
      </c>
      <c r="T87" s="87">
        <f>IF(TrRoad_act!T9=0,0,T23/TrRoad_act!T9*1000)</f>
        <v>80.94945445044678</v>
      </c>
      <c r="U87" s="87">
        <f>IF(TrRoad_act!U9=0,0,U23/TrRoad_act!U9*1000)</f>
        <v>81.690084734052633</v>
      </c>
      <c r="V87" s="87">
        <f>IF(TrRoad_act!V9=0,0,V23/TrRoad_act!V9*1000)</f>
        <v>86.421007617117169</v>
      </c>
      <c r="W87" s="87">
        <f>IF(TrRoad_act!W9=0,0,W23/TrRoad_act!W9*1000)</f>
        <v>82.487824259648974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112.56580427688075</v>
      </c>
      <c r="D88" s="87">
        <f>IF(TrRoad_act!D10=0,0,D24/TrRoad_act!D10*1000)</f>
        <v>113.48408214202475</v>
      </c>
      <c r="E88" s="87">
        <f>IF(TrRoad_act!E10=0,0,E24/TrRoad_act!E10*1000)</f>
        <v>114.45174941809749</v>
      </c>
      <c r="F88" s="87">
        <f>IF(TrRoad_act!F10=0,0,F24/TrRoad_act!F10*1000)</f>
        <v>115.58004886319139</v>
      </c>
      <c r="G88" s="87">
        <f>IF(TrRoad_act!G10=0,0,G24/TrRoad_act!G10*1000)</f>
        <v>116.39467978382343</v>
      </c>
      <c r="H88" s="87">
        <f>IF(TrRoad_act!H10=0,0,H24/TrRoad_act!H10*1000)</f>
        <v>116.1249339927471</v>
      </c>
      <c r="I88" s="87">
        <f>IF(TrRoad_act!I10=0,0,I24/TrRoad_act!I10*1000)</f>
        <v>115.15138696978954</v>
      </c>
      <c r="J88" s="87">
        <f>IF(TrRoad_act!J10=0,0,J24/TrRoad_act!J10*1000)</f>
        <v>114.66848007109074</v>
      </c>
      <c r="K88" s="87">
        <f>IF(TrRoad_act!K10=0,0,K24/TrRoad_act!K10*1000)</f>
        <v>109.88282183597332</v>
      </c>
      <c r="L88" s="87">
        <f>IF(TrRoad_act!L10=0,0,L24/TrRoad_act!L10*1000)</f>
        <v>107.11613501318419</v>
      </c>
      <c r="M88" s="87">
        <f>IF(TrRoad_act!M10=0,0,M24/TrRoad_act!M10*1000)</f>
        <v>98.591231813287777</v>
      </c>
      <c r="N88" s="87">
        <f>IF(TrRoad_act!N10=0,0,N24/TrRoad_act!N10*1000)</f>
        <v>85.675039717800445</v>
      </c>
      <c r="O88" s="87">
        <f>IF(TrRoad_act!O10=0,0,O24/TrRoad_act!O10*1000)</f>
        <v>81.848371361270992</v>
      </c>
      <c r="P88" s="87">
        <f>IF(TrRoad_act!P10=0,0,P24/TrRoad_act!P10*1000)</f>
        <v>79.682139382054444</v>
      </c>
      <c r="Q88" s="87">
        <f>IF(TrRoad_act!Q10=0,0,Q24/TrRoad_act!Q10*1000)</f>
        <v>72.123339089155124</v>
      </c>
      <c r="R88" s="87">
        <f>IF(TrRoad_act!R10=0,0,R24/TrRoad_act!R10*1000)</f>
        <v>69.941371974355391</v>
      </c>
      <c r="S88" s="87">
        <f>IF(TrRoad_act!S10=0,0,S24/TrRoad_act!S10*1000)</f>
        <v>68.509637682072764</v>
      </c>
      <c r="T88" s="87">
        <f>IF(TrRoad_act!T10=0,0,T24/TrRoad_act!T10*1000)</f>
        <v>66.89299888340993</v>
      </c>
      <c r="U88" s="87">
        <f>IF(TrRoad_act!U10=0,0,U24/TrRoad_act!U10*1000)</f>
        <v>63.764242706830707</v>
      </c>
      <c r="V88" s="87">
        <f>IF(TrRoad_act!V10=0,0,V24/TrRoad_act!V10*1000)</f>
        <v>60.276691907378861</v>
      </c>
      <c r="W88" s="87">
        <f>IF(TrRoad_act!W10=0,0,W24/TrRoad_act!W10*1000)</f>
        <v>51.775485628769303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18.51659290342813</v>
      </c>
      <c r="O89" s="87">
        <f>IF(TrRoad_act!O11=0,0,O25/TrRoad_act!O11*1000)</f>
        <v>5.4260298780700271</v>
      </c>
      <c r="P89" s="87">
        <f>IF(TrRoad_act!P11=0,0,P25/TrRoad_act!P11*1000)</f>
        <v>10.534158316774574</v>
      </c>
      <c r="Q89" s="87">
        <f>IF(TrRoad_act!Q11=0,0,Q25/TrRoad_act!Q11*1000)</f>
        <v>12.93721180192026</v>
      </c>
      <c r="R89" s="87">
        <f>IF(TrRoad_act!R11=0,0,R25/TrRoad_act!R11*1000)</f>
        <v>17.764480162764027</v>
      </c>
      <c r="S89" s="87">
        <f>IF(TrRoad_act!S11=0,0,S25/TrRoad_act!S11*1000)</f>
        <v>20.629675870816754</v>
      </c>
      <c r="T89" s="87">
        <f>IF(TrRoad_act!T11=0,0,T25/TrRoad_act!T11*1000)</f>
        <v>22.416267357008095</v>
      </c>
      <c r="U89" s="87">
        <f>IF(TrRoad_act!U11=0,0,U25/TrRoad_act!U11*1000)</f>
        <v>23.851592435083735</v>
      </c>
      <c r="V89" s="87">
        <f>IF(TrRoad_act!V11=0,0,V25/TrRoad_act!V11*1000)</f>
        <v>18.496863477792928</v>
      </c>
      <c r="W89" s="87">
        <f>IF(TrRoad_act!W11=0,0,W25/TrRoad_act!W11*1000)</f>
        <v>16.159386763720249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80.980504775688615</v>
      </c>
      <c r="C91" s="116">
        <f>IF(TrRoad_act!C13=0,0,C27/TrRoad_act!C13*1000)</f>
        <v>77.878754271571125</v>
      </c>
      <c r="D91" s="116">
        <f>IF(TrRoad_act!D13=0,0,D27/TrRoad_act!D13*1000)</f>
        <v>76.744020882576464</v>
      </c>
      <c r="E91" s="116">
        <f>IF(TrRoad_act!E13=0,0,E27/TrRoad_act!E13*1000)</f>
        <v>99.073142564793315</v>
      </c>
      <c r="F91" s="116">
        <f>IF(TrRoad_act!F13=0,0,F27/TrRoad_act!F13*1000)</f>
        <v>76.034081781491309</v>
      </c>
      <c r="G91" s="116">
        <f>IF(TrRoad_act!G13=0,0,G27/TrRoad_act!G13*1000)</f>
        <v>85.516394632775445</v>
      </c>
      <c r="H91" s="116">
        <f>IF(TrRoad_act!H13=0,0,H27/TrRoad_act!H13*1000)</f>
        <v>81.647514650066213</v>
      </c>
      <c r="I91" s="116">
        <f>IF(TrRoad_act!I13=0,0,I27/TrRoad_act!I13*1000)</f>
        <v>82.056851431268242</v>
      </c>
      <c r="J91" s="116">
        <f>IF(TrRoad_act!J13=0,0,J27/TrRoad_act!J13*1000)</f>
        <v>75.196427604597019</v>
      </c>
      <c r="K91" s="116">
        <f>IF(TrRoad_act!K13=0,0,K27/TrRoad_act!K13*1000)</f>
        <v>94.482814285226269</v>
      </c>
      <c r="L91" s="116">
        <f>IF(TrRoad_act!L13=0,0,L27/TrRoad_act!L13*1000)</f>
        <v>80.392202685603692</v>
      </c>
      <c r="M91" s="116">
        <f>IF(TrRoad_act!M13=0,0,M27/TrRoad_act!M13*1000)</f>
        <v>85.475076601784011</v>
      </c>
      <c r="N91" s="116">
        <f>IF(TrRoad_act!N13=0,0,N27/TrRoad_act!N13*1000)</f>
        <v>69.533302097409162</v>
      </c>
      <c r="O91" s="116">
        <f>IF(TrRoad_act!O13=0,0,O27/TrRoad_act!O13*1000)</f>
        <v>79.501553996840869</v>
      </c>
      <c r="P91" s="116">
        <f>IF(TrRoad_act!P13=0,0,P27/TrRoad_act!P13*1000)</f>
        <v>76.827346729029841</v>
      </c>
      <c r="Q91" s="116">
        <f>IF(TrRoad_act!Q13=0,0,Q27/TrRoad_act!Q13*1000)</f>
        <v>73.079640185742477</v>
      </c>
      <c r="R91" s="116">
        <f>IF(TrRoad_act!R13=0,0,R27/TrRoad_act!R13*1000)</f>
        <v>74.886650166045783</v>
      </c>
      <c r="S91" s="116">
        <f>IF(TrRoad_act!S13=0,0,S27/TrRoad_act!S13*1000)</f>
        <v>76.17000351589661</v>
      </c>
      <c r="T91" s="116">
        <f>IF(TrRoad_act!T13=0,0,T27/TrRoad_act!T13*1000)</f>
        <v>77.91973714531153</v>
      </c>
      <c r="U91" s="116">
        <f>IF(TrRoad_act!U13=0,0,U27/TrRoad_act!U13*1000)</f>
        <v>81.871480072254258</v>
      </c>
      <c r="V91" s="116">
        <f>IF(TrRoad_act!V13=0,0,V27/TrRoad_act!V13*1000)</f>
        <v>121.65753683819266</v>
      </c>
      <c r="W91" s="116">
        <f>IF(TrRoad_act!W13=0,0,W27/TrRoad_act!W13*1000)</f>
        <v>119.00998356072898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0</v>
      </c>
      <c r="C92" s="101">
        <f>IF(TrRoad_act!C14=0,0,C28/TrRoad_act!C14*1000)</f>
        <v>0</v>
      </c>
      <c r="D92" s="101">
        <f>IF(TrRoad_act!D14=0,0,D28/TrRoad_act!D14*1000)</f>
        <v>0</v>
      </c>
      <c r="E92" s="101">
        <f>IF(TrRoad_act!E14=0,0,E28/TrRoad_act!E14*1000)</f>
        <v>0</v>
      </c>
      <c r="F92" s="101">
        <f>IF(TrRoad_act!F14=0,0,F28/TrRoad_act!F14*1000)</f>
        <v>0</v>
      </c>
      <c r="G92" s="101">
        <f>IF(TrRoad_act!G14=0,0,G28/TrRoad_act!G14*1000)</f>
        <v>0</v>
      </c>
      <c r="H92" s="101">
        <f>IF(TrRoad_act!H14=0,0,H28/TrRoad_act!H14*1000)</f>
        <v>0</v>
      </c>
      <c r="I92" s="101">
        <f>IF(TrRoad_act!I14=0,0,I28/TrRoad_act!I14*1000)</f>
        <v>0</v>
      </c>
      <c r="J92" s="101">
        <f>IF(TrRoad_act!J14=0,0,J28/TrRoad_act!J14*1000)</f>
        <v>0</v>
      </c>
      <c r="K92" s="101">
        <f>IF(TrRoad_act!K14=0,0,K28/TrRoad_act!K14*1000)</f>
        <v>0</v>
      </c>
      <c r="L92" s="101">
        <f>IF(TrRoad_act!L14=0,0,L28/TrRoad_act!L14*1000)</f>
        <v>0</v>
      </c>
      <c r="M92" s="101">
        <f>IF(TrRoad_act!M14=0,0,M28/TrRoad_act!M14*1000)</f>
        <v>0</v>
      </c>
      <c r="N92" s="101">
        <f>IF(TrRoad_act!N14=0,0,N28/TrRoad_act!N14*1000)</f>
        <v>0</v>
      </c>
      <c r="O92" s="101">
        <f>IF(TrRoad_act!O14=0,0,O28/TrRoad_act!O14*1000)</f>
        <v>0</v>
      </c>
      <c r="P92" s="101">
        <f>IF(TrRoad_act!P14=0,0,P28/TrRoad_act!P14*1000)</f>
        <v>0</v>
      </c>
      <c r="Q92" s="101">
        <f>IF(TrRoad_act!Q14=0,0,Q28/TrRoad_act!Q14*1000)</f>
        <v>0</v>
      </c>
      <c r="R92" s="101">
        <f>IF(TrRoad_act!R14=0,0,R28/TrRoad_act!R14*1000)</f>
        <v>0</v>
      </c>
      <c r="S92" s="101">
        <f>IF(TrRoad_act!S14=0,0,S28/TrRoad_act!S14*1000)</f>
        <v>0</v>
      </c>
      <c r="T92" s="101">
        <f>IF(TrRoad_act!T14=0,0,T28/TrRoad_act!T14*1000)</f>
        <v>0</v>
      </c>
      <c r="U92" s="101">
        <f>IF(TrRoad_act!U14=0,0,U28/TrRoad_act!U14*1000)</f>
        <v>0</v>
      </c>
      <c r="V92" s="101">
        <f>IF(TrRoad_act!V14=0,0,V28/TrRoad_act!V14*1000)</f>
        <v>0</v>
      </c>
      <c r="W92" s="101">
        <f>IF(TrRoad_act!W14=0,0,W28/TrRoad_act!W14*1000)</f>
        <v>0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80.980504775688615</v>
      </c>
      <c r="C93" s="101">
        <f>IF(TrRoad_act!C15=0,0,C29/TrRoad_act!C15*1000)</f>
        <v>78.505715149381246</v>
      </c>
      <c r="D93" s="101">
        <f>IF(TrRoad_act!D15=0,0,D29/TrRoad_act!D15*1000)</f>
        <v>77.658188544006109</v>
      </c>
      <c r="E93" s="101">
        <f>IF(TrRoad_act!E15=0,0,E29/TrRoad_act!E15*1000)</f>
        <v>100.64364373479275</v>
      </c>
      <c r="F93" s="101">
        <f>IF(TrRoad_act!F15=0,0,F29/TrRoad_act!F15*1000)</f>
        <v>77.003869628638796</v>
      </c>
      <c r="G93" s="101">
        <f>IF(TrRoad_act!G15=0,0,G29/TrRoad_act!G15*1000)</f>
        <v>86.748624256886018</v>
      </c>
      <c r="H93" s="101">
        <f>IF(TrRoad_act!H15=0,0,H29/TrRoad_act!H15*1000)</f>
        <v>82.785559776662964</v>
      </c>
      <c r="I93" s="101">
        <f>IF(TrRoad_act!I15=0,0,I29/TrRoad_act!I15*1000)</f>
        <v>83.421788383423262</v>
      </c>
      <c r="J93" s="101">
        <f>IF(TrRoad_act!J15=0,0,J29/TrRoad_act!J15*1000)</f>
        <v>76.459317401004398</v>
      </c>
      <c r="K93" s="101">
        <f>IF(TrRoad_act!K15=0,0,K29/TrRoad_act!K15*1000)</f>
        <v>96.204831821743397</v>
      </c>
      <c r="L93" s="101">
        <f>IF(TrRoad_act!L15=0,0,L29/TrRoad_act!L15*1000)</f>
        <v>81.655214586141824</v>
      </c>
      <c r="M93" s="101">
        <f>IF(TrRoad_act!M15=0,0,M29/TrRoad_act!M15*1000)</f>
        <v>86.757135261937151</v>
      </c>
      <c r="N93" s="101">
        <f>IF(TrRoad_act!N15=0,0,N29/TrRoad_act!N15*1000)</f>
        <v>70.336575968110154</v>
      </c>
      <c r="O93" s="101">
        <f>IF(TrRoad_act!O15=0,0,O29/TrRoad_act!O15*1000)</f>
        <v>80.606688487863877</v>
      </c>
      <c r="P93" s="101">
        <f>IF(TrRoad_act!P15=0,0,P29/TrRoad_act!P15*1000)</f>
        <v>77.864285434929386</v>
      </c>
      <c r="Q93" s="101">
        <f>IF(TrRoad_act!Q15=0,0,Q29/TrRoad_act!Q15*1000)</f>
        <v>74.021342533654192</v>
      </c>
      <c r="R93" s="101">
        <f>IF(TrRoad_act!R15=0,0,R29/TrRoad_act!R15*1000)</f>
        <v>75.489183419875815</v>
      </c>
      <c r="S93" s="101">
        <f>IF(TrRoad_act!S15=0,0,S29/TrRoad_act!S15*1000)</f>
        <v>77.291788291611908</v>
      </c>
      <c r="T93" s="101">
        <f>IF(TrRoad_act!T15=0,0,T29/TrRoad_act!T15*1000)</f>
        <v>79.227648625307324</v>
      </c>
      <c r="U93" s="101">
        <f>IF(TrRoad_act!U15=0,0,U29/TrRoad_act!U15*1000)</f>
        <v>83.306718607323418</v>
      </c>
      <c r="V93" s="101">
        <f>IF(TrRoad_act!V15=0,0,V29/TrRoad_act!V15*1000)</f>
        <v>124.3439443374896</v>
      </c>
      <c r="W93" s="101">
        <f>IF(TrRoad_act!W15=0,0,W29/TrRoad_act!W15*1000)</f>
        <v>121.80726414959207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0</v>
      </c>
      <c r="U94" s="101">
        <f>IF(TrRoad_act!U16=0,0,U30/TrRoad_act!U16*1000)</f>
        <v>0</v>
      </c>
      <c r="V94" s="101">
        <f>IF(TrRoad_act!V16=0,0,V30/TrRoad_act!V16*1000)</f>
        <v>0</v>
      </c>
      <c r="W94" s="101">
        <f>IF(TrRoad_act!W16=0,0,W30/TrRoad_act!W16*1000)</f>
        <v>0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36.932115447237251</v>
      </c>
      <c r="D95" s="101">
        <f>IF(TrRoad_act!D17=0,0,D31/TrRoad_act!D17*1000)</f>
        <v>37.851669709743788</v>
      </c>
      <c r="E95" s="101">
        <f>IF(TrRoad_act!E17=0,0,E31/TrRoad_act!E17*1000)</f>
        <v>38.210549538770394</v>
      </c>
      <c r="F95" s="101">
        <f>IF(TrRoad_act!F17=0,0,F31/TrRoad_act!F17*1000)</f>
        <v>38.57648237065542</v>
      </c>
      <c r="G95" s="101">
        <f>IF(TrRoad_act!G17=0,0,G31/TrRoad_act!G17*1000)</f>
        <v>40.666455232579835</v>
      </c>
      <c r="H95" s="101">
        <f>IF(TrRoad_act!H17=0,0,H31/TrRoad_act!H17*1000)</f>
        <v>41.485697691149845</v>
      </c>
      <c r="I95" s="101">
        <f>IF(TrRoad_act!I17=0,0,I31/TrRoad_act!I17*1000)</f>
        <v>40.745352818055693</v>
      </c>
      <c r="J95" s="101">
        <f>IF(TrRoad_act!J17=0,0,J31/TrRoad_act!J17*1000)</f>
        <v>38.5928556176546</v>
      </c>
      <c r="K95" s="101">
        <f>IF(TrRoad_act!K17=0,0,K31/TrRoad_act!K17*1000)</f>
        <v>42.433621941253818</v>
      </c>
      <c r="L95" s="101">
        <f>IF(TrRoad_act!L17=0,0,L31/TrRoad_act!L17*1000)</f>
        <v>40.577174089238291</v>
      </c>
      <c r="M95" s="101">
        <f>IF(TrRoad_act!M17=0,0,M31/TrRoad_act!M17*1000)</f>
        <v>43.966485280821857</v>
      </c>
      <c r="N95" s="101">
        <f>IF(TrRoad_act!N17=0,0,N31/TrRoad_act!N17*1000)</f>
        <v>43.504349258757529</v>
      </c>
      <c r="O95" s="101">
        <f>IF(TrRoad_act!O17=0,0,O31/TrRoad_act!O17*1000)</f>
        <v>41.575378655661424</v>
      </c>
      <c r="P95" s="101">
        <f>IF(TrRoad_act!P17=0,0,P31/TrRoad_act!P17*1000)</f>
        <v>42.010834902205168</v>
      </c>
      <c r="Q95" s="101">
        <f>IF(TrRoad_act!Q17=0,0,Q31/TrRoad_act!Q17*1000)</f>
        <v>43.57490534554892</v>
      </c>
      <c r="R95" s="101">
        <f>IF(TrRoad_act!R17=0,0,R31/TrRoad_act!R17*1000)</f>
        <v>56.519946098305205</v>
      </c>
      <c r="S95" s="101">
        <f>IF(TrRoad_act!S17=0,0,S31/TrRoad_act!S17*1000)</f>
        <v>39.018871120970658</v>
      </c>
      <c r="T95" s="101">
        <f>IF(TrRoad_act!T17=0,0,T31/TrRoad_act!T17*1000)</f>
        <v>41.189561016085719</v>
      </c>
      <c r="U95" s="101">
        <f>IF(TrRoad_act!U17=0,0,U31/TrRoad_act!U17*1000)</f>
        <v>45.6065698502779</v>
      </c>
      <c r="V95" s="101">
        <f>IF(TrRoad_act!V17=0,0,V31/TrRoad_act!V17*1000)</f>
        <v>61.193138293948429</v>
      </c>
      <c r="W95" s="101">
        <f>IF(TrRoad_act!W17=0,0,W31/TrRoad_act!W17*1000)</f>
        <v>62.969625530779382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220.11263788761593</v>
      </c>
      <c r="C97" s="29">
        <f>IF(TrRoad_act!C19=0,0,C33/TrRoad_act!C19*1000)</f>
        <v>215.91334360779143</v>
      </c>
      <c r="D97" s="29">
        <f>IF(TrRoad_act!D19=0,0,D33/TrRoad_act!D19*1000)</f>
        <v>214.79571057858823</v>
      </c>
      <c r="E97" s="29">
        <f>IF(TrRoad_act!E19=0,0,E33/TrRoad_act!E19*1000)</f>
        <v>314.26501919410947</v>
      </c>
      <c r="F97" s="29">
        <f>IF(TrRoad_act!F19=0,0,F33/TrRoad_act!F19*1000)</f>
        <v>175.77085592788416</v>
      </c>
      <c r="G97" s="29">
        <f>IF(TrRoad_act!G19=0,0,G33/TrRoad_act!G19*1000)</f>
        <v>253.66182257681814</v>
      </c>
      <c r="H97" s="29">
        <f>IF(TrRoad_act!H19=0,0,H33/TrRoad_act!H19*1000)</f>
        <v>202.32023235485337</v>
      </c>
      <c r="I97" s="29">
        <f>IF(TrRoad_act!I19=0,0,I33/TrRoad_act!I19*1000)</f>
        <v>245.84798943121442</v>
      </c>
      <c r="J97" s="29">
        <f>IF(TrRoad_act!J19=0,0,J33/TrRoad_act!J19*1000)</f>
        <v>223.96559469120561</v>
      </c>
      <c r="K97" s="29">
        <f>IF(TrRoad_act!K19=0,0,K33/TrRoad_act!K19*1000)</f>
        <v>264.29044618225453</v>
      </c>
      <c r="L97" s="29">
        <f>IF(TrRoad_act!L19=0,0,L33/TrRoad_act!L19*1000)</f>
        <v>221.91391939591756</v>
      </c>
      <c r="M97" s="29">
        <f>IF(TrRoad_act!M19=0,0,M33/TrRoad_act!M19*1000)</f>
        <v>259.74359928346638</v>
      </c>
      <c r="N97" s="29">
        <f>IF(TrRoad_act!N19=0,0,N33/TrRoad_act!N19*1000)</f>
        <v>194.87753752585448</v>
      </c>
      <c r="O97" s="29">
        <f>IF(TrRoad_act!O19=0,0,O33/TrRoad_act!O19*1000)</f>
        <v>270.61579048587288</v>
      </c>
      <c r="P97" s="29">
        <f>IF(TrRoad_act!P19=0,0,P33/TrRoad_act!P19*1000)</f>
        <v>244.95548802721376</v>
      </c>
      <c r="Q97" s="29">
        <f>IF(TrRoad_act!Q19=0,0,Q33/TrRoad_act!Q19*1000)</f>
        <v>232.51562751894437</v>
      </c>
      <c r="R97" s="29">
        <f>IF(TrRoad_act!R19=0,0,R33/TrRoad_act!R19*1000)</f>
        <v>222.88448682852916</v>
      </c>
      <c r="S97" s="29">
        <f>IF(TrRoad_act!S19=0,0,S33/TrRoad_act!S19*1000)</f>
        <v>207.84610575258412</v>
      </c>
      <c r="T97" s="29">
        <f>IF(TrRoad_act!T19=0,0,T33/TrRoad_act!T19*1000)</f>
        <v>214.88689800978403</v>
      </c>
      <c r="U97" s="29">
        <f>IF(TrRoad_act!U19=0,0,U33/TrRoad_act!U19*1000)</f>
        <v>226.88399250951215</v>
      </c>
      <c r="V97" s="29">
        <f>IF(TrRoad_act!V19=0,0,V33/TrRoad_act!V19*1000)</f>
        <v>231.42454683089878</v>
      </c>
      <c r="W97" s="29">
        <f>IF(TrRoad_act!W19=0,0,W33/TrRoad_act!W19*1000)</f>
        <v>215.0467478574044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1783.1734699853857</v>
      </c>
      <c r="C98" s="152">
        <f>IF(TrRoad_act!C20=0,0,C34/TrRoad_act!C20*1000)</f>
        <v>1683.020016541589</v>
      </c>
      <c r="D98" s="152">
        <f>IF(TrRoad_act!D20=0,0,D34/TrRoad_act!D20*1000)</f>
        <v>1613.5690906715763</v>
      </c>
      <c r="E98" s="152">
        <f>IF(TrRoad_act!E20=0,0,E34/TrRoad_act!E20*1000)</f>
        <v>1528.1555616217718</v>
      </c>
      <c r="F98" s="152">
        <f>IF(TrRoad_act!F20=0,0,F34/TrRoad_act!F20*1000)</f>
        <v>1468.6974596991579</v>
      </c>
      <c r="G98" s="152">
        <f>IF(TrRoad_act!G20=0,0,G34/TrRoad_act!G20*1000)</f>
        <v>1427.6822338781089</v>
      </c>
      <c r="H98" s="152">
        <f>IF(TrRoad_act!H20=0,0,H34/TrRoad_act!H20*1000)</f>
        <v>1340.7655157394706</v>
      </c>
      <c r="I98" s="152">
        <f>IF(TrRoad_act!I20=0,0,I34/TrRoad_act!I20*1000)</f>
        <v>1282.1152786852051</v>
      </c>
      <c r="J98" s="152">
        <f>IF(TrRoad_act!J20=0,0,J34/TrRoad_act!J20*1000)</f>
        <v>1251.783213435581</v>
      </c>
      <c r="K98" s="152">
        <f>IF(TrRoad_act!K20=0,0,K34/TrRoad_act!K20*1000)</f>
        <v>1168.9734842617238</v>
      </c>
      <c r="L98" s="152">
        <f>IF(TrRoad_act!L20=0,0,L34/TrRoad_act!L20*1000)</f>
        <v>1110.0567302071943</v>
      </c>
      <c r="M98" s="152">
        <f>IF(TrRoad_act!M20=0,0,M34/TrRoad_act!M20*1000)</f>
        <v>1073.1386866975295</v>
      </c>
      <c r="N98" s="152">
        <f>IF(TrRoad_act!N20=0,0,N34/TrRoad_act!N20*1000)</f>
        <v>1027.5865040513745</v>
      </c>
      <c r="O98" s="152">
        <f>IF(TrRoad_act!O20=0,0,O34/TrRoad_act!O20*1000)</f>
        <v>1010.2101170204219</v>
      </c>
      <c r="P98" s="152">
        <f>IF(TrRoad_act!P20=0,0,P34/TrRoad_act!P20*1000)</f>
        <v>1001.7732291295144</v>
      </c>
      <c r="Q98" s="152">
        <f>IF(TrRoad_act!Q20=0,0,Q34/TrRoad_act!Q20*1000)</f>
        <v>970.65661082559041</v>
      </c>
      <c r="R98" s="152">
        <f>IF(TrRoad_act!R20=0,0,R34/TrRoad_act!R20*1000)</f>
        <v>945.65707047284832</v>
      </c>
      <c r="S98" s="152">
        <f>IF(TrRoad_act!S20=0,0,S34/TrRoad_act!S20*1000)</f>
        <v>946.8707621304136</v>
      </c>
      <c r="T98" s="152">
        <f>IF(TrRoad_act!T20=0,0,T34/TrRoad_act!T20*1000)</f>
        <v>968.66849384079694</v>
      </c>
      <c r="U98" s="152">
        <f>IF(TrRoad_act!U20=0,0,U34/TrRoad_act!U20*1000)</f>
        <v>962.90878354766085</v>
      </c>
      <c r="V98" s="152">
        <f>IF(TrRoad_act!V20=0,0,V34/TrRoad_act!V20*1000)</f>
        <v>936.68645822463918</v>
      </c>
      <c r="W98" s="152">
        <f>IF(TrRoad_act!W20=0,0,W34/TrRoad_act!W20*1000)</f>
        <v>953.45621794939871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2027.5376384281888</v>
      </c>
      <c r="C99" s="87">
        <f>IF(TrRoad_act!C21=0,0,C35/TrRoad_act!C21*1000)</f>
        <v>1955.8447034364474</v>
      </c>
      <c r="D99" s="87">
        <f>IF(TrRoad_act!D21=0,0,D35/TrRoad_act!D21*1000)</f>
        <v>1902.1399363623968</v>
      </c>
      <c r="E99" s="87">
        <f>IF(TrRoad_act!E21=0,0,E35/TrRoad_act!E21*1000)</f>
        <v>1865.8803690968523</v>
      </c>
      <c r="F99" s="87">
        <f>IF(TrRoad_act!F21=0,0,F35/TrRoad_act!F21*1000)</f>
        <v>1830.7000849924329</v>
      </c>
      <c r="G99" s="87">
        <f>IF(TrRoad_act!G21=0,0,G35/TrRoad_act!G21*1000)</f>
        <v>1804.5125357997692</v>
      </c>
      <c r="H99" s="87">
        <f>IF(TrRoad_act!H21=0,0,H35/TrRoad_act!H21*1000)</f>
        <v>1765.558074375688</v>
      </c>
      <c r="I99" s="87">
        <f>IF(TrRoad_act!I21=0,0,I35/TrRoad_act!I21*1000)</f>
        <v>1716.0658743947524</v>
      </c>
      <c r="J99" s="87">
        <f>IF(TrRoad_act!J21=0,0,J35/TrRoad_act!J21*1000)</f>
        <v>1655.5405018729743</v>
      </c>
      <c r="K99" s="87">
        <f>IF(TrRoad_act!K21=0,0,K35/TrRoad_act!K21*1000)</f>
        <v>1608.2942610749601</v>
      </c>
      <c r="L99" s="87">
        <f>IF(TrRoad_act!L21=0,0,L35/TrRoad_act!L21*1000)</f>
        <v>1582.994113229706</v>
      </c>
      <c r="M99" s="87">
        <f>IF(TrRoad_act!M21=0,0,M35/TrRoad_act!M21*1000)</f>
        <v>1544.599846188285</v>
      </c>
      <c r="N99" s="87">
        <f>IF(TrRoad_act!N21=0,0,N35/TrRoad_act!N21*1000)</f>
        <v>1496.1373245434479</v>
      </c>
      <c r="O99" s="87">
        <f>IF(TrRoad_act!O21=0,0,O35/TrRoad_act!O21*1000)</f>
        <v>1516.394627604338</v>
      </c>
      <c r="P99" s="87">
        <f>IF(TrRoad_act!P21=0,0,P35/TrRoad_act!P21*1000)</f>
        <v>1512.1836013478637</v>
      </c>
      <c r="Q99" s="87">
        <f>IF(TrRoad_act!Q21=0,0,Q35/TrRoad_act!Q21*1000)</f>
        <v>1485.2058154010494</v>
      </c>
      <c r="R99" s="87">
        <f>IF(TrRoad_act!R21=0,0,R35/TrRoad_act!R21*1000)</f>
        <v>1418.9878047150585</v>
      </c>
      <c r="S99" s="87">
        <f>IF(TrRoad_act!S21=0,0,S35/TrRoad_act!S21*1000)</f>
        <v>1428.0648565150111</v>
      </c>
      <c r="T99" s="87">
        <f>IF(TrRoad_act!T21=0,0,T35/TrRoad_act!T21*1000)</f>
        <v>1438.4031191903678</v>
      </c>
      <c r="U99" s="87">
        <f>IF(TrRoad_act!U21=0,0,U35/TrRoad_act!U21*1000)</f>
        <v>1380.2381147155756</v>
      </c>
      <c r="V99" s="87">
        <f>IF(TrRoad_act!V21=0,0,V35/TrRoad_act!V21*1000)</f>
        <v>1293.9751680116879</v>
      </c>
      <c r="W99" s="87">
        <f>IF(TrRoad_act!W21=0,0,W35/TrRoad_act!W21*1000)</f>
        <v>1289.5800217959516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1137.3299607870115</v>
      </c>
      <c r="C100" s="87">
        <f>IF(TrRoad_act!C22=0,0,C36/TrRoad_act!C22*1000)</f>
        <v>1073.1611106537168</v>
      </c>
      <c r="D100" s="87">
        <f>IF(TrRoad_act!D22=0,0,D36/TrRoad_act!D22*1000)</f>
        <v>1031.7297901835461</v>
      </c>
      <c r="E100" s="87">
        <f>IF(TrRoad_act!E22=0,0,E36/TrRoad_act!E22*1000)</f>
        <v>972.30527455006472</v>
      </c>
      <c r="F100" s="87">
        <f>IF(TrRoad_act!F22=0,0,F36/TrRoad_act!F22*1000)</f>
        <v>948.2939374838794</v>
      </c>
      <c r="G100" s="87">
        <f>IF(TrRoad_act!G22=0,0,G36/TrRoad_act!G22*1000)</f>
        <v>930.3549369571972</v>
      </c>
      <c r="H100" s="87">
        <f>IF(TrRoad_act!H22=0,0,H36/TrRoad_act!H22*1000)</f>
        <v>888.61611710253396</v>
      </c>
      <c r="I100" s="87">
        <f>IF(TrRoad_act!I22=0,0,I36/TrRoad_act!I22*1000)</f>
        <v>860.9549935659129</v>
      </c>
      <c r="J100" s="87">
        <f>IF(TrRoad_act!J22=0,0,J36/TrRoad_act!J22*1000)</f>
        <v>856.08374913661032</v>
      </c>
      <c r="K100" s="87">
        <f>IF(TrRoad_act!K22=0,0,K36/TrRoad_act!K22*1000)</f>
        <v>849.70973008592057</v>
      </c>
      <c r="L100" s="87">
        <f>IF(TrRoad_act!L22=0,0,L36/TrRoad_act!L22*1000)</f>
        <v>819.55945472536916</v>
      </c>
      <c r="M100" s="87">
        <f>IF(TrRoad_act!M22=0,0,M36/TrRoad_act!M22*1000)</f>
        <v>804.80522619644069</v>
      </c>
      <c r="N100" s="87">
        <f>IF(TrRoad_act!N22=0,0,N36/TrRoad_act!N22*1000)</f>
        <v>771.06663225240811</v>
      </c>
      <c r="O100" s="87">
        <f>IF(TrRoad_act!O22=0,0,O36/TrRoad_act!O22*1000)</f>
        <v>799.9281412176922</v>
      </c>
      <c r="P100" s="87">
        <f>IF(TrRoad_act!P22=0,0,P36/TrRoad_act!P22*1000)</f>
        <v>795.79624814457202</v>
      </c>
      <c r="Q100" s="87">
        <f>IF(TrRoad_act!Q22=0,0,Q36/TrRoad_act!Q22*1000)</f>
        <v>806.45661589577162</v>
      </c>
      <c r="R100" s="87">
        <f>IF(TrRoad_act!R22=0,0,R36/TrRoad_act!R22*1000)</f>
        <v>801.04054031446867</v>
      </c>
      <c r="S100" s="87">
        <f>IF(TrRoad_act!S22=0,0,S36/TrRoad_act!S22*1000)</f>
        <v>786.22565971641507</v>
      </c>
      <c r="T100" s="87">
        <f>IF(TrRoad_act!T22=0,0,T36/TrRoad_act!T22*1000)</f>
        <v>785.27517499989665</v>
      </c>
      <c r="U100" s="87">
        <f>IF(TrRoad_act!U22=0,0,U36/TrRoad_act!U22*1000)</f>
        <v>794.85794452842651</v>
      </c>
      <c r="V100" s="87">
        <f>IF(TrRoad_act!V22=0,0,V36/TrRoad_act!V22*1000)</f>
        <v>781.55431690241062</v>
      </c>
      <c r="W100" s="87">
        <f>IF(TrRoad_act!W22=0,0,W36/TrRoad_act!W22*1000)</f>
        <v>801.18155676892297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0</v>
      </c>
      <c r="O101" s="87">
        <f>IF(TrRoad_act!O23=0,0,O37/TrRoad_act!O23*1000)</f>
        <v>0</v>
      </c>
      <c r="P101" s="87">
        <f>IF(TrRoad_act!P23=0,0,P37/TrRoad_act!P23*1000)</f>
        <v>0</v>
      </c>
      <c r="Q101" s="87">
        <f>IF(TrRoad_act!Q23=0,0,Q37/TrRoad_act!Q23*1000)</f>
        <v>0</v>
      </c>
      <c r="R101" s="87">
        <f>IF(TrRoad_act!R23=0,0,R37/TrRoad_act!R23*1000)</f>
        <v>0</v>
      </c>
      <c r="S101" s="87">
        <f>IF(TrRoad_act!S23=0,0,S37/TrRoad_act!S23*1000)</f>
        <v>0</v>
      </c>
      <c r="T101" s="87">
        <f>IF(TrRoad_act!T23=0,0,T37/TrRoad_act!T23*1000)</f>
        <v>0</v>
      </c>
      <c r="U101" s="87">
        <f>IF(TrRoad_act!U23=0,0,U37/TrRoad_act!U23*1000)</f>
        <v>0</v>
      </c>
      <c r="V101" s="87">
        <f>IF(TrRoad_act!V23=0,0,V37/TrRoad_act!V23*1000)</f>
        <v>0</v>
      </c>
      <c r="W101" s="87">
        <f>IF(TrRoad_act!W23=0,0,W37/TrRoad_act!W23*1000)</f>
        <v>0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0</v>
      </c>
      <c r="P102" s="87">
        <f>IF(TrRoad_act!P24=0,0,P38/TrRoad_act!P24*1000)</f>
        <v>0</v>
      </c>
      <c r="Q102" s="87">
        <f>IF(TrRoad_act!Q24=0,0,Q38/TrRoad_act!Q24*1000)</f>
        <v>0</v>
      </c>
      <c r="R102" s="87">
        <f>IF(TrRoad_act!R24=0,0,R38/TrRoad_act!R24*1000)</f>
        <v>0</v>
      </c>
      <c r="S102" s="87">
        <f>IF(TrRoad_act!S24=0,0,S38/TrRoad_act!S24*1000)</f>
        <v>0</v>
      </c>
      <c r="T102" s="87">
        <f>IF(TrRoad_act!T24=0,0,T38/TrRoad_act!T24*1000)</f>
        <v>0</v>
      </c>
      <c r="U102" s="87">
        <f>IF(TrRoad_act!U24=0,0,U38/TrRoad_act!U24*1000)</f>
        <v>0</v>
      </c>
      <c r="V102" s="87">
        <f>IF(TrRoad_act!V24=0,0,V38/TrRoad_act!V24*1000)</f>
        <v>0</v>
      </c>
      <c r="W102" s="87">
        <f>IF(TrRoad_act!W24=0,0,W38/TrRoad_act!W24*1000)</f>
        <v>0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136.96820416171568</v>
      </c>
      <c r="C104" s="116">
        <f>IF(TrRoad_act!C26=0,0,C40/TrRoad_act!C26*1000)</f>
        <v>135.91014393476448</v>
      </c>
      <c r="D104" s="116">
        <f>IF(TrRoad_act!D26=0,0,D40/TrRoad_act!D26*1000)</f>
        <v>135.4491880519542</v>
      </c>
      <c r="E104" s="116">
        <f>IF(TrRoad_act!E26=0,0,E40/TrRoad_act!E26*1000)</f>
        <v>201.93906299089696</v>
      </c>
      <c r="F104" s="116">
        <f>IF(TrRoad_act!F26=0,0,F40/TrRoad_act!F26*1000)</f>
        <v>113.94481775624597</v>
      </c>
      <c r="G104" s="116">
        <f>IF(TrRoad_act!G26=0,0,G40/TrRoad_act!G26*1000)</f>
        <v>164.05249301785756</v>
      </c>
      <c r="H104" s="116">
        <f>IF(TrRoad_act!H26=0,0,H40/TrRoad_act!H26*1000)</f>
        <v>132.44238373268576</v>
      </c>
      <c r="I104" s="116">
        <f>IF(TrRoad_act!I26=0,0,I40/TrRoad_act!I26*1000)</f>
        <v>161.76774951612484</v>
      </c>
      <c r="J104" s="116">
        <f>IF(TrRoad_act!J26=0,0,J40/TrRoad_act!J26*1000)</f>
        <v>147.45424011946105</v>
      </c>
      <c r="K104" s="116">
        <f>IF(TrRoad_act!K26=0,0,K40/TrRoad_act!K26*1000)</f>
        <v>195.30916623689248</v>
      </c>
      <c r="L104" s="116">
        <f>IF(TrRoad_act!L26=0,0,L40/TrRoad_act!L26*1000)</f>
        <v>154.88476174367088</v>
      </c>
      <c r="M104" s="116">
        <f>IF(TrRoad_act!M26=0,0,M40/TrRoad_act!M26*1000)</f>
        <v>179.24152703865741</v>
      </c>
      <c r="N104" s="116">
        <f>IF(TrRoad_act!N26=0,0,N40/TrRoad_act!N26*1000)</f>
        <v>124.51158252566752</v>
      </c>
      <c r="O104" s="116">
        <f>IF(TrRoad_act!O26=0,0,O40/TrRoad_act!O26*1000)</f>
        <v>180.04517728482963</v>
      </c>
      <c r="P104" s="116">
        <f>IF(TrRoad_act!P26=0,0,P40/TrRoad_act!P26*1000)</f>
        <v>164.1687027694656</v>
      </c>
      <c r="Q104" s="116">
        <f>IF(TrRoad_act!Q26=0,0,Q40/TrRoad_act!Q26*1000)</f>
        <v>136.32884527999619</v>
      </c>
      <c r="R104" s="116">
        <f>IF(TrRoad_act!R26=0,0,R40/TrRoad_act!R26*1000)</f>
        <v>129.90491537034953</v>
      </c>
      <c r="S104" s="116">
        <f>IF(TrRoad_act!S26=0,0,S40/TrRoad_act!S26*1000)</f>
        <v>126.1163246662875</v>
      </c>
      <c r="T104" s="116">
        <f>IF(TrRoad_act!T26=0,0,T40/TrRoad_act!T26*1000)</f>
        <v>132.36861277786434</v>
      </c>
      <c r="U104" s="116">
        <f>IF(TrRoad_act!U26=0,0,U40/TrRoad_act!U26*1000)</f>
        <v>144.14422394064653</v>
      </c>
      <c r="V104" s="116">
        <f>IF(TrRoad_act!V26=0,0,V40/TrRoad_act!V26*1000)</f>
        <v>152.40529772796134</v>
      </c>
      <c r="W104" s="116">
        <f>IF(TrRoad_act!W26=0,0,W40/TrRoad_act!W26*1000)</f>
        <v>139.73191355468492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134.16006949523845</v>
      </c>
      <c r="C105" s="101">
        <f>IF(TrRoad_act!C27=0,0,C41/TrRoad_act!C27*1000)</f>
        <v>133.33533267339675</v>
      </c>
      <c r="D105" s="101">
        <f>IF(TrRoad_act!D27=0,0,D41/TrRoad_act!D27*1000)</f>
        <v>133.01799168035947</v>
      </c>
      <c r="E105" s="101">
        <f>IF(TrRoad_act!E27=0,0,E41/TrRoad_act!E27*1000)</f>
        <v>188.6810122250771</v>
      </c>
      <c r="F105" s="101">
        <f>IF(TrRoad_act!F27=0,0,F41/TrRoad_act!F27*1000)</f>
        <v>110.48536183180819</v>
      </c>
      <c r="G105" s="101">
        <f>IF(TrRoad_act!G27=0,0,G41/TrRoad_act!G27*1000)</f>
        <v>157.79663747880309</v>
      </c>
      <c r="H105" s="101">
        <f>IF(TrRoad_act!H27=0,0,H41/TrRoad_act!H27*1000)</f>
        <v>126.94572700987922</v>
      </c>
      <c r="I105" s="101">
        <f>IF(TrRoad_act!I27=0,0,I41/TrRoad_act!I27*1000)</f>
        <v>155.89888721264916</v>
      </c>
      <c r="J105" s="101">
        <f>IF(TrRoad_act!J27=0,0,J41/TrRoad_act!J27*1000)</f>
        <v>142.688927646813</v>
      </c>
      <c r="K105" s="101">
        <f>IF(TrRoad_act!K27=0,0,K41/TrRoad_act!K27*1000)</f>
        <v>181.46224477707807</v>
      </c>
      <c r="L105" s="101">
        <f>IF(TrRoad_act!L27=0,0,L41/TrRoad_act!L27*1000)</f>
        <v>148.16459965223342</v>
      </c>
      <c r="M105" s="101">
        <f>IF(TrRoad_act!M27=0,0,M41/TrRoad_act!M27*1000)</f>
        <v>170.35037374010111</v>
      </c>
      <c r="N105" s="101">
        <f>IF(TrRoad_act!N27=0,0,N41/TrRoad_act!N27*1000)</f>
        <v>124.25025861257069</v>
      </c>
      <c r="O105" s="101">
        <f>IF(TrRoad_act!O27=0,0,O41/TrRoad_act!O27*1000)</f>
        <v>176.10156683239674</v>
      </c>
      <c r="P105" s="101">
        <f>IF(TrRoad_act!P27=0,0,P41/TrRoad_act!P27*1000)</f>
        <v>159.64182190468213</v>
      </c>
      <c r="Q105" s="101">
        <f>IF(TrRoad_act!Q27=0,0,Q41/TrRoad_act!Q27*1000)</f>
        <v>138.38466872706897</v>
      </c>
      <c r="R105" s="101">
        <f>IF(TrRoad_act!R27=0,0,R41/TrRoad_act!R27*1000)</f>
        <v>129.86297802579494</v>
      </c>
      <c r="S105" s="101">
        <f>IF(TrRoad_act!S27=0,0,S41/TrRoad_act!S27*1000)</f>
        <v>129.45090924107177</v>
      </c>
      <c r="T105" s="101">
        <f>IF(TrRoad_act!T27=0,0,T41/TrRoad_act!T27*1000)</f>
        <v>134.62694495413004</v>
      </c>
      <c r="U105" s="101">
        <f>IF(TrRoad_act!U27=0,0,U41/TrRoad_act!U27*1000)</f>
        <v>143.67194609023628</v>
      </c>
      <c r="V105" s="101">
        <f>IF(TrRoad_act!V27=0,0,V41/TrRoad_act!V27*1000)</f>
        <v>154.03861558921324</v>
      </c>
      <c r="W105" s="101">
        <f>IF(TrRoad_act!W27=0,0,W41/TrRoad_act!W27*1000)</f>
        <v>137.85374726638227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175.69257878706858</v>
      </c>
      <c r="C106" s="88">
        <f>IF(TrRoad_act!C28=0,0,C42/TrRoad_act!C28*1000)</f>
        <v>169.78256060599702</v>
      </c>
      <c r="D106" s="88">
        <f>IF(TrRoad_act!D28=0,0,D42/TrRoad_act!D28*1000)</f>
        <v>166.2980482854264</v>
      </c>
      <c r="E106" s="88">
        <f>IF(TrRoad_act!E28=0,0,E42/TrRoad_act!E28*1000)</f>
        <v>307.39146479401023</v>
      </c>
      <c r="F106" s="88">
        <f>IF(TrRoad_act!F28=0,0,F42/TrRoad_act!F28*1000)</f>
        <v>163.17204150980854</v>
      </c>
      <c r="G106" s="88">
        <f>IF(TrRoad_act!G28=0,0,G42/TrRoad_act!G28*1000)</f>
        <v>217.23786889644407</v>
      </c>
      <c r="H106" s="88">
        <f>IF(TrRoad_act!H28=0,0,H42/TrRoad_act!H28*1000)</f>
        <v>183.137215288059</v>
      </c>
      <c r="I106" s="88">
        <f>IF(TrRoad_act!I28=0,0,I42/TrRoad_act!I28*1000)</f>
        <v>214.59064239179594</v>
      </c>
      <c r="J106" s="88">
        <f>IF(TrRoad_act!J28=0,0,J42/TrRoad_act!J28*1000)</f>
        <v>202.72218913741665</v>
      </c>
      <c r="K106" s="88">
        <f>IF(TrRoad_act!K28=0,0,K42/TrRoad_act!K28*1000)</f>
        <v>376.88233464817705</v>
      </c>
      <c r="L106" s="88">
        <f>IF(TrRoad_act!L28=0,0,L42/TrRoad_act!L28*1000)</f>
        <v>225.91269291877106</v>
      </c>
      <c r="M106" s="88">
        <f>IF(TrRoad_act!M28=0,0,M42/TrRoad_act!M28*1000)</f>
        <v>256.84448133711993</v>
      </c>
      <c r="N106" s="88">
        <f>IF(TrRoad_act!N28=0,0,N42/TrRoad_act!N28*1000)</f>
        <v>126.52123528339749</v>
      </c>
      <c r="O106" s="88">
        <f>IF(TrRoad_act!O28=0,0,O42/TrRoad_act!O28*1000)</f>
        <v>200.36307977445526</v>
      </c>
      <c r="P106" s="88">
        <f>IF(TrRoad_act!P28=0,0,P42/TrRoad_act!P28*1000)</f>
        <v>192.55276494991756</v>
      </c>
      <c r="Q106" s="88">
        <f>IF(TrRoad_act!Q28=0,0,Q42/TrRoad_act!Q28*1000)</f>
        <v>124.58440121784768</v>
      </c>
      <c r="R106" s="88">
        <f>IF(TrRoad_act!R28=0,0,R42/TrRoad_act!R28*1000)</f>
        <v>130.1645323360577</v>
      </c>
      <c r="S106" s="88">
        <f>IF(TrRoad_act!S28=0,0,S42/TrRoad_act!S28*1000)</f>
        <v>113.96630254853982</v>
      </c>
      <c r="T106" s="88">
        <f>IF(TrRoad_act!T28=0,0,T42/TrRoad_act!T28*1000)</f>
        <v>123.65021577332925</v>
      </c>
      <c r="U106" s="88">
        <f>IF(TrRoad_act!U28=0,0,U42/TrRoad_act!U28*1000)</f>
        <v>146.0994695916541</v>
      </c>
      <c r="V106" s="88">
        <f>IF(TrRoad_act!V28=0,0,V42/TrRoad_act!V28*1000)</f>
        <v>146.91677260002379</v>
      </c>
      <c r="W106" s="88">
        <f>IF(TrRoad_act!W28=0,0,W42/TrRoad_act!W28*1000)</f>
        <v>149.36050974871429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628.02140634728653</v>
      </c>
      <c r="C110" s="152">
        <f>IF(C19=0,0,1000000*C19/TrRoad_act!C59)</f>
        <v>623.1600500887489</v>
      </c>
      <c r="D110" s="152">
        <f>IF(D19=0,0,1000000*D19/TrRoad_act!D59)</f>
        <v>642.48673406971955</v>
      </c>
      <c r="E110" s="152">
        <f>IF(E19=0,0,1000000*E19/TrRoad_act!E59)</f>
        <v>632.17088814571446</v>
      </c>
      <c r="F110" s="152">
        <f>IF(F19=0,0,1000000*F19/TrRoad_act!F59)</f>
        <v>592.19140240354466</v>
      </c>
      <c r="G110" s="152">
        <f>IF(G19=0,0,1000000*G19/TrRoad_act!G59)</f>
        <v>565.64967034454935</v>
      </c>
      <c r="H110" s="152">
        <f>IF(H19=0,0,1000000*H19/TrRoad_act!H59)</f>
        <v>481.3846875925492</v>
      </c>
      <c r="I110" s="152">
        <f>IF(I19=0,0,1000000*I19/TrRoad_act!I59)</f>
        <v>447.4025170605002</v>
      </c>
      <c r="J110" s="152">
        <f>IF(J19=0,0,1000000*J19/TrRoad_act!J59)</f>
        <v>448.51396582427782</v>
      </c>
      <c r="K110" s="152">
        <f>IF(K19=0,0,1000000*K19/TrRoad_act!K59)</f>
        <v>440.87023743428057</v>
      </c>
      <c r="L110" s="152">
        <f>IF(L19=0,0,1000000*L19/TrRoad_act!L59)</f>
        <v>503.84769346142508</v>
      </c>
      <c r="M110" s="152">
        <f>IF(M19=0,0,1000000*M19/TrRoad_act!M59)</f>
        <v>503.38276739517352</v>
      </c>
      <c r="N110" s="152">
        <f>IF(N19=0,0,1000000*N19/TrRoad_act!N59)</f>
        <v>510.41586851879293</v>
      </c>
      <c r="O110" s="152">
        <f>IF(O19=0,0,1000000*O19/TrRoad_act!O59)</f>
        <v>506.87004525511986</v>
      </c>
      <c r="P110" s="152">
        <f>IF(P19=0,0,1000000*P19/TrRoad_act!P59)</f>
        <v>510.6458668277117</v>
      </c>
      <c r="Q110" s="152">
        <f>IF(Q19=0,0,1000000*Q19/TrRoad_act!Q59)</f>
        <v>516.18022169634764</v>
      </c>
      <c r="R110" s="152">
        <f>IF(R19=0,0,1000000*R19/TrRoad_act!R59)</f>
        <v>489.19569234297887</v>
      </c>
      <c r="S110" s="152">
        <f>IF(S19=0,0,1000000*S19/TrRoad_act!S59)</f>
        <v>479.62981142293035</v>
      </c>
      <c r="T110" s="152">
        <f>IF(T19=0,0,1000000*T19/TrRoad_act!T59)</f>
        <v>460.9529367737241</v>
      </c>
      <c r="U110" s="152">
        <f>IF(U19=0,0,1000000*U19/TrRoad_act!U59)</f>
        <v>469.8005728688097</v>
      </c>
      <c r="V110" s="152">
        <f>IF(V19=0,0,1000000*V19/TrRoad_act!V59)</f>
        <v>380.97158776435975</v>
      </c>
      <c r="W110" s="152">
        <f>IF(W19=0,0,1000000*W19/TrRoad_act!W59)</f>
        <v>385.15422619283225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2254.9297852088675</v>
      </c>
      <c r="C111" s="116">
        <f>IF(C20=0,0,1000000*C20/TrRoad_act!C60)</f>
        <v>2218.5456555943761</v>
      </c>
      <c r="D111" s="116">
        <f>IF(D20=0,0,1000000*D20/TrRoad_act!D60)</f>
        <v>2209.3543120551963</v>
      </c>
      <c r="E111" s="116">
        <f>IF(E20=0,0,1000000*E20/TrRoad_act!E60)</f>
        <v>2216.3072644914305</v>
      </c>
      <c r="F111" s="116">
        <f>IF(F20=0,0,1000000*F20/TrRoad_act!F60)</f>
        <v>2229.2927920837142</v>
      </c>
      <c r="G111" s="116">
        <f>IF(G20=0,0,1000000*G20/TrRoad_act!G60)</f>
        <v>2233.003255567693</v>
      </c>
      <c r="H111" s="116">
        <f>IF(H20=0,0,1000000*H20/TrRoad_act!H60)</f>
        <v>2236.3608437015132</v>
      </c>
      <c r="I111" s="116">
        <f>IF(I20=0,0,1000000*I20/TrRoad_act!I60)</f>
        <v>2232.3486989391226</v>
      </c>
      <c r="J111" s="116">
        <f>IF(J20=0,0,1000000*J20/TrRoad_act!J60)</f>
        <v>2121.6806818738969</v>
      </c>
      <c r="K111" s="116">
        <f>IF(K20=0,0,1000000*K20/TrRoad_act!K60)</f>
        <v>2140.4577869222899</v>
      </c>
      <c r="L111" s="116">
        <f>IF(L20=0,0,1000000*L20/TrRoad_act!L60)</f>
        <v>1900.6364651341232</v>
      </c>
      <c r="M111" s="116">
        <f>IF(M20=0,0,1000000*M20/TrRoad_act!M60)</f>
        <v>1807.606526546321</v>
      </c>
      <c r="N111" s="116">
        <f>IF(N20=0,0,1000000*N20/TrRoad_act!N60)</f>
        <v>1532.4780808551923</v>
      </c>
      <c r="O111" s="116">
        <f>IF(O20=0,0,1000000*O20/TrRoad_act!O60)</f>
        <v>1424.6950832927398</v>
      </c>
      <c r="P111" s="116">
        <f>IF(P20=0,0,1000000*P20/TrRoad_act!P60)</f>
        <v>1390.6249371527026</v>
      </c>
      <c r="Q111" s="116">
        <f>IF(Q20=0,0,1000000*Q20/TrRoad_act!Q60)</f>
        <v>1437.647106533248</v>
      </c>
      <c r="R111" s="116">
        <f>IF(R20=0,0,1000000*R20/TrRoad_act!R60)</f>
        <v>1445.7269425303714</v>
      </c>
      <c r="S111" s="116">
        <f>IF(S20=0,0,1000000*S20/TrRoad_act!S60)</f>
        <v>1424.6655809972951</v>
      </c>
      <c r="T111" s="116">
        <f>IF(T20=0,0,1000000*T20/TrRoad_act!T60)</f>
        <v>1415.9309584307841</v>
      </c>
      <c r="U111" s="116">
        <f>IF(U20=0,0,1000000*U20/TrRoad_act!U60)</f>
        <v>1405.6409315414314</v>
      </c>
      <c r="V111" s="116">
        <f>IF(V20=0,0,1000000*V20/TrRoad_act!V60)</f>
        <v>1154.9460873788964</v>
      </c>
      <c r="W111" s="116">
        <f>IF(W20=0,0,1000000*W20/TrRoad_act!W60)</f>
        <v>1196.106184770633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2180.2856267253505</v>
      </c>
      <c r="C112" s="87">
        <f>IF(C21=0,0,1000000*C21/TrRoad_act!C61)</f>
        <v>2147.8808183378501</v>
      </c>
      <c r="D112" s="87">
        <f>IF(D21=0,0,1000000*D21/TrRoad_act!D61)</f>
        <v>2143.1714064569669</v>
      </c>
      <c r="E112" s="87">
        <f>IF(E21=0,0,1000000*E21/TrRoad_act!E61)</f>
        <v>2152.2151265977309</v>
      </c>
      <c r="F112" s="87">
        <f>IF(F21=0,0,1000000*F21/TrRoad_act!F61)</f>
        <v>2173.075570521215</v>
      </c>
      <c r="G112" s="87">
        <f>IF(G21=0,0,1000000*G21/TrRoad_act!G61)</f>
        <v>2176.8876515494039</v>
      </c>
      <c r="H112" s="87">
        <f>IF(H21=0,0,1000000*H21/TrRoad_act!H61)</f>
        <v>2178.7374311743956</v>
      </c>
      <c r="I112" s="87">
        <f>IF(I21=0,0,1000000*I21/TrRoad_act!I61)</f>
        <v>2173.1199813305611</v>
      </c>
      <c r="J112" s="87">
        <f>IF(J21=0,0,1000000*J21/TrRoad_act!J61)</f>
        <v>2068.7050258079862</v>
      </c>
      <c r="K112" s="87">
        <f>IF(K21=0,0,1000000*K21/TrRoad_act!K61)</f>
        <v>2073.4079621337696</v>
      </c>
      <c r="L112" s="87">
        <f>IF(L21=0,0,1000000*L21/TrRoad_act!L61)</f>
        <v>1829.532885260091</v>
      </c>
      <c r="M112" s="87">
        <f>IF(M21=0,0,1000000*M21/TrRoad_act!M61)</f>
        <v>1675.2542813387033</v>
      </c>
      <c r="N112" s="87">
        <f>IF(N21=0,0,1000000*N21/TrRoad_act!N61)</f>
        <v>1441.0894557693302</v>
      </c>
      <c r="O112" s="87">
        <f>IF(O21=0,0,1000000*O21/TrRoad_act!O61)</f>
        <v>1325.8974058638223</v>
      </c>
      <c r="P112" s="87">
        <f>IF(P21=0,0,1000000*P21/TrRoad_act!P61)</f>
        <v>1267.1122464589714</v>
      </c>
      <c r="Q112" s="87">
        <f>IF(Q21=0,0,1000000*Q21/TrRoad_act!Q61)</f>
        <v>1219.8540686195579</v>
      </c>
      <c r="R112" s="87">
        <f>IF(R21=0,0,1000000*R21/TrRoad_act!R61)</f>
        <v>1205.5401536682407</v>
      </c>
      <c r="S112" s="87">
        <f>IF(S21=0,0,1000000*S21/TrRoad_act!S61)</f>
        <v>1156.9872239711246</v>
      </c>
      <c r="T112" s="87">
        <f>IF(T21=0,0,1000000*T21/TrRoad_act!T61)</f>
        <v>1127.1674061481294</v>
      </c>
      <c r="U112" s="87">
        <f>IF(U21=0,0,1000000*U21/TrRoad_act!U61)</f>
        <v>1075.5452882332131</v>
      </c>
      <c r="V112" s="87">
        <f>IF(V21=0,0,1000000*V21/TrRoad_act!V61)</f>
        <v>840.04080223753601</v>
      </c>
      <c r="W112" s="87">
        <f>IF(W21=0,0,1000000*W21/TrRoad_act!W61)</f>
        <v>876.93850171502845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4459.0092945664182</v>
      </c>
      <c r="C113" s="87">
        <f>IF(C22=0,0,1000000*C22/TrRoad_act!C62)</f>
        <v>4477.7032757453489</v>
      </c>
      <c r="D113" s="87">
        <f>IF(D22=0,0,1000000*D22/TrRoad_act!D62)</f>
        <v>4466.2475625975394</v>
      </c>
      <c r="E113" s="87">
        <f>IF(E22=0,0,1000000*E22/TrRoad_act!E62)</f>
        <v>4471.7383462973057</v>
      </c>
      <c r="F113" s="87">
        <f>IF(F22=0,0,1000000*F22/TrRoad_act!F62)</f>
        <v>4500.1989464935605</v>
      </c>
      <c r="G113" s="87">
        <f>IF(G22=0,0,1000000*G22/TrRoad_act!G62)</f>
        <v>4579.597432617632</v>
      </c>
      <c r="H113" s="87">
        <f>IF(H22=0,0,1000000*H22/TrRoad_act!H62)</f>
        <v>4493.0910614780105</v>
      </c>
      <c r="I113" s="87">
        <f>IF(I22=0,0,1000000*I22/TrRoad_act!I62)</f>
        <v>4549.9880893212903</v>
      </c>
      <c r="J113" s="87">
        <f>IF(J22=0,0,1000000*J22/TrRoad_act!J62)</f>
        <v>4267.1309592235475</v>
      </c>
      <c r="K113" s="87">
        <f>IF(K22=0,0,1000000*K22/TrRoad_act!K62)</f>
        <v>4533.3518903230188</v>
      </c>
      <c r="L113" s="87">
        <f>IF(L22=0,0,1000000*L22/TrRoad_act!L62)</f>
        <v>4200.556590446522</v>
      </c>
      <c r="M113" s="87">
        <f>IF(M22=0,0,1000000*M22/TrRoad_act!M62)</f>
        <v>4182.8522614428985</v>
      </c>
      <c r="N113" s="87">
        <f>IF(N22=0,0,1000000*N22/TrRoad_act!N62)</f>
        <v>4411.8182230004577</v>
      </c>
      <c r="O113" s="87">
        <f>IF(O22=0,0,1000000*O22/TrRoad_act!O62)</f>
        <v>2776.9200283895138</v>
      </c>
      <c r="P113" s="87">
        <f>IF(P22=0,0,1000000*P22/TrRoad_act!P62)</f>
        <v>2748.1280288222993</v>
      </c>
      <c r="Q113" s="87">
        <f>IF(Q22=0,0,1000000*Q22/TrRoad_act!Q62)</f>
        <v>5404.2309316714509</v>
      </c>
      <c r="R113" s="87">
        <f>IF(R22=0,0,1000000*R22/TrRoad_act!R62)</f>
        <v>5306.9774454176768</v>
      </c>
      <c r="S113" s="87">
        <f>IF(S22=0,0,1000000*S22/TrRoad_act!S62)</f>
        <v>5402.4653301577728</v>
      </c>
      <c r="T113" s="87">
        <f>IF(T22=0,0,1000000*T22/TrRoad_act!T62)</f>
        <v>5084.2548872728912</v>
      </c>
      <c r="U113" s="87">
        <f>IF(U22=0,0,1000000*U22/TrRoad_act!U62)</f>
        <v>5028.2787909468861</v>
      </c>
      <c r="V113" s="87">
        <f>IF(V22=0,0,1000000*V22/TrRoad_act!V62)</f>
        <v>4091.9249718603464</v>
      </c>
      <c r="W113" s="87">
        <f>IF(W22=0,0,1000000*W22/TrRoad_act!W62)</f>
        <v>4466.3610465378752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4263.7499314285724</v>
      </c>
      <c r="C114" s="87">
        <f>IF(C23=0,0,1000000*C23/TrRoad_act!C63)</f>
        <v>4902.8777741273107</v>
      </c>
      <c r="D114" s="87">
        <f>IF(D23=0,0,1000000*D23/TrRoad_act!D63)</f>
        <v>4833.1398337471674</v>
      </c>
      <c r="E114" s="87">
        <f>IF(E23=0,0,1000000*E23/TrRoad_act!E63)</f>
        <v>4207.1697075061666</v>
      </c>
      <c r="F114" s="87">
        <f>IF(F23=0,0,1000000*F23/TrRoad_act!F63)</f>
        <v>4184.4226969156252</v>
      </c>
      <c r="G114" s="87">
        <f>IF(G23=0,0,1000000*G23/TrRoad_act!G63)</f>
        <v>4220.46284612418</v>
      </c>
      <c r="H114" s="87">
        <f>IF(H23=0,0,1000000*H23/TrRoad_act!H63)</f>
        <v>4164.7825041227952</v>
      </c>
      <c r="I114" s="87">
        <f>IF(I23=0,0,1000000*I23/TrRoad_act!I63)</f>
        <v>4181.6270542907178</v>
      </c>
      <c r="J114" s="87">
        <f>IF(J23=0,0,1000000*J23/TrRoad_act!J63)</f>
        <v>4077.3720081967213</v>
      </c>
      <c r="K114" s="87">
        <f>IF(K23=0,0,1000000*K23/TrRoad_act!K63)</f>
        <v>3864.9760726873969</v>
      </c>
      <c r="L114" s="87">
        <f>IF(L23=0,0,1000000*L23/TrRoad_act!L63)</f>
        <v>3769.6127309833032</v>
      </c>
      <c r="M114" s="87">
        <f>IF(M23=0,0,1000000*M23/TrRoad_act!M63)</f>
        <v>6353.9849519383642</v>
      </c>
      <c r="N114" s="87">
        <f>IF(N23=0,0,1000000*N23/TrRoad_act!N63)</f>
        <v>3641.3142156112031</v>
      </c>
      <c r="O114" s="87">
        <f>IF(O23=0,0,1000000*O23/TrRoad_act!O63)</f>
        <v>3754.7722011878768</v>
      </c>
      <c r="P114" s="87">
        <f>IF(P23=0,0,1000000*P23/TrRoad_act!P63)</f>
        <v>3723.5506195701873</v>
      </c>
      <c r="Q114" s="87">
        <f>IF(Q23=0,0,1000000*Q23/TrRoad_act!Q63)</f>
        <v>3677.7981134731804</v>
      </c>
      <c r="R114" s="87">
        <f>IF(R23=0,0,1000000*R23/TrRoad_act!R63)</f>
        <v>3252.7487275638014</v>
      </c>
      <c r="S114" s="87">
        <f>IF(S23=0,0,1000000*S23/TrRoad_act!S63)</f>
        <v>3050.0607116465335</v>
      </c>
      <c r="T114" s="87">
        <f>IF(T23=0,0,1000000*T23/TrRoad_act!T63)</f>
        <v>2912.9257069305263</v>
      </c>
      <c r="U114" s="87">
        <f>IF(U23=0,0,1000000*U23/TrRoad_act!U63)</f>
        <v>2942.3623135991857</v>
      </c>
      <c r="V114" s="87">
        <f>IF(V23=0,0,1000000*V23/TrRoad_act!V63)</f>
        <v>2723.0325009178318</v>
      </c>
      <c r="W114" s="87">
        <f>IF(W23=0,0,1000000*W23/TrRoad_act!W63)</f>
        <v>2624.4230805702182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3329.3157567453013</v>
      </c>
      <c r="D115" s="87">
        <f>IF(D24=0,0,1000000*D24/TrRoad_act!D64)</f>
        <v>3301.8469915698711</v>
      </c>
      <c r="E115" s="87">
        <f>IF(E24=0,0,1000000*E24/TrRoad_act!E64)</f>
        <v>3275.4866486117076</v>
      </c>
      <c r="F115" s="87">
        <f>IF(F24=0,0,1000000*F24/TrRoad_act!F64)</f>
        <v>3249.0161469957402</v>
      </c>
      <c r="G115" s="87">
        <f>IF(G24=0,0,1000000*G24/TrRoad_act!G64)</f>
        <v>3218.3682307966787</v>
      </c>
      <c r="H115" s="87">
        <f>IF(H24=0,0,1000000*H24/TrRoad_act!H64)</f>
        <v>3184.2826300624793</v>
      </c>
      <c r="I115" s="87">
        <f>IF(I24=0,0,1000000*I24/TrRoad_act!I64)</f>
        <v>3100.1805329325261</v>
      </c>
      <c r="J115" s="87">
        <f>IF(J24=0,0,1000000*J24/TrRoad_act!J64)</f>
        <v>3043.257282987086</v>
      </c>
      <c r="K115" s="87">
        <f>IF(K24=0,0,1000000*K24/TrRoad_act!K64)</f>
        <v>2832.512423616301</v>
      </c>
      <c r="L115" s="87">
        <f>IF(L24=0,0,1000000*L24/TrRoad_act!L64)</f>
        <v>2680.6856439306057</v>
      </c>
      <c r="M115" s="87">
        <f>IF(M24=0,0,1000000*M24/TrRoad_act!M64)</f>
        <v>2644.5984720560509</v>
      </c>
      <c r="N115" s="87">
        <f>IF(N24=0,0,1000000*N24/TrRoad_act!N64)</f>
        <v>2651.077382427557</v>
      </c>
      <c r="O115" s="87">
        <f>IF(O24=0,0,1000000*O24/TrRoad_act!O64)</f>
        <v>2682.6916450900121</v>
      </c>
      <c r="P115" s="87">
        <f>IF(P24=0,0,1000000*P24/TrRoad_act!P64)</f>
        <v>2716.2968647107209</v>
      </c>
      <c r="Q115" s="87">
        <f>IF(Q24=0,0,1000000*Q24/TrRoad_act!Q64)</f>
        <v>2533.1171053073563</v>
      </c>
      <c r="R115" s="87">
        <f>IF(R24=0,0,1000000*R24/TrRoad_act!R64)</f>
        <v>2520.1045511872899</v>
      </c>
      <c r="S115" s="87">
        <f>IF(S24=0,0,1000000*S24/TrRoad_act!S64)</f>
        <v>2431.0751913151657</v>
      </c>
      <c r="T115" s="87">
        <f>IF(T24=0,0,1000000*T24/TrRoad_act!T64)</f>
        <v>2436.6807465900042</v>
      </c>
      <c r="U115" s="87">
        <f>IF(U24=0,0,1000000*U24/TrRoad_act!U64)</f>
        <v>2357.2907882611034</v>
      </c>
      <c r="V115" s="87">
        <f>IF(V24=0,0,1000000*V24/TrRoad_act!V64)</f>
        <v>2092.9970935993947</v>
      </c>
      <c r="W115" s="87">
        <f>IF(W24=0,0,1000000*W24/TrRoad_act!W64)</f>
        <v>1902.5448302136906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360.97764111118676</v>
      </c>
      <c r="O116" s="87">
        <f>IF(O25=0,0,1000000*O25/TrRoad_act!O65)</f>
        <v>114.14849704047469</v>
      </c>
      <c r="P116" s="87">
        <f>IF(P25=0,0,1000000*P25/TrRoad_act!P65)</f>
        <v>225.87567602399645</v>
      </c>
      <c r="Q116" s="87">
        <f>IF(Q25=0,0,1000000*Q25/TrRoad_act!Q65)</f>
        <v>280.09127752224515</v>
      </c>
      <c r="R116" s="87">
        <f>IF(R25=0,0,1000000*R25/TrRoad_act!R65)</f>
        <v>367.48515671482079</v>
      </c>
      <c r="S116" s="87">
        <f>IF(S25=0,0,1000000*S25/TrRoad_act!S65)</f>
        <v>428.86039044484488</v>
      </c>
      <c r="T116" s="87">
        <f>IF(T25=0,0,1000000*T25/TrRoad_act!T65)</f>
        <v>468.98386660438473</v>
      </c>
      <c r="U116" s="87">
        <f>IF(U25=0,0,1000000*U25/TrRoad_act!U65)</f>
        <v>496.51205863926361</v>
      </c>
      <c r="V116" s="87">
        <f>IF(V25=0,0,1000000*V25/TrRoad_act!V65)</f>
        <v>347.4718918174907</v>
      </c>
      <c r="W116" s="87">
        <f>IF(W25=0,0,1000000*W25/TrRoad_act!W65)</f>
        <v>321.37472491977462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63996.392936102668</v>
      </c>
      <c r="C118" s="116">
        <f>IF(C27=0,0,1000000*C27/TrRoad_act!C67)</f>
        <v>61696.229490524391</v>
      </c>
      <c r="D118" s="116">
        <f>IF(D27=0,0,1000000*D27/TrRoad_act!D67)</f>
        <v>61062.150430983085</v>
      </c>
      <c r="E118" s="116">
        <f>IF(E27=0,0,1000000*E27/TrRoad_act!E67)</f>
        <v>79084.132638636031</v>
      </c>
      <c r="F118" s="116">
        <f>IF(F27=0,0,1000000*F27/TrRoad_act!F67)</f>
        <v>60486.747439607112</v>
      </c>
      <c r="G118" s="116">
        <f>IF(G27=0,0,1000000*G27/TrRoad_act!G67)</f>
        <v>68229.493474932984</v>
      </c>
      <c r="H118" s="116">
        <f>IF(H27=0,0,1000000*H27/TrRoad_act!H67)</f>
        <v>65181.668413646439</v>
      </c>
      <c r="I118" s="116">
        <f>IF(I27=0,0,1000000*I27/TrRoad_act!I67)</f>
        <v>65714.780367948071</v>
      </c>
      <c r="J118" s="116">
        <f>IF(J27=0,0,1000000*J27/TrRoad_act!J67)</f>
        <v>60309.963711181066</v>
      </c>
      <c r="K118" s="116">
        <f>IF(K27=0,0,1000000*K27/TrRoad_act!K67)</f>
        <v>71374.04505021924</v>
      </c>
      <c r="L118" s="116">
        <f>IF(L27=0,0,1000000*L27/TrRoad_act!L67)</f>
        <v>61288.27100719868</v>
      </c>
      <c r="M118" s="116">
        <f>IF(M27=0,0,1000000*M27/TrRoad_act!M67)</f>
        <v>65805.649460266388</v>
      </c>
      <c r="N118" s="116">
        <f>IF(N27=0,0,1000000*N27/TrRoad_act!N67)</f>
        <v>53676.870826385952</v>
      </c>
      <c r="O118" s="116">
        <f>IF(O27=0,0,1000000*O27/TrRoad_act!O67)</f>
        <v>61577.549700659081</v>
      </c>
      <c r="P118" s="116">
        <f>IF(P27=0,0,1000000*P27/TrRoad_act!P67)</f>
        <v>59668.153112892134</v>
      </c>
      <c r="Q118" s="116">
        <f>IF(Q27=0,0,1000000*Q27/TrRoad_act!Q67)</f>
        <v>57364.267910432725</v>
      </c>
      <c r="R118" s="116">
        <f>IF(R27=0,0,1000000*R27/TrRoad_act!R67)</f>
        <v>58197.361357847803</v>
      </c>
      <c r="S118" s="116">
        <f>IF(S27=0,0,1000000*S27/TrRoad_act!S67)</f>
        <v>58088.886480396934</v>
      </c>
      <c r="T118" s="116">
        <f>IF(T27=0,0,1000000*T27/TrRoad_act!T67)</f>
        <v>59871.89906578551</v>
      </c>
      <c r="U118" s="116">
        <f>IF(U27=0,0,1000000*U27/TrRoad_act!U67)</f>
        <v>62046.681696409782</v>
      </c>
      <c r="V118" s="116">
        <f>IF(V27=0,0,1000000*V27/TrRoad_act!V67)</f>
        <v>60224.149985777745</v>
      </c>
      <c r="W118" s="116">
        <f>IF(W27=0,0,1000000*W27/TrRoad_act!W67)</f>
        <v>60831.706663217723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0</v>
      </c>
      <c r="C119" s="101">
        <f>IF(C28=0,0,1000000*C28/TrRoad_act!C68)</f>
        <v>0</v>
      </c>
      <c r="D119" s="101">
        <f>IF(D28=0,0,1000000*D28/TrRoad_act!D68)</f>
        <v>0</v>
      </c>
      <c r="E119" s="101">
        <f>IF(E28=0,0,1000000*E28/TrRoad_act!E68)</f>
        <v>0</v>
      </c>
      <c r="F119" s="101">
        <f>IF(F28=0,0,1000000*F28/TrRoad_act!F68)</f>
        <v>0</v>
      </c>
      <c r="G119" s="101">
        <f>IF(G28=0,0,1000000*G28/TrRoad_act!G68)</f>
        <v>0</v>
      </c>
      <c r="H119" s="101">
        <f>IF(H28=0,0,1000000*H28/TrRoad_act!H68)</f>
        <v>0</v>
      </c>
      <c r="I119" s="101">
        <f>IF(I28=0,0,1000000*I28/TrRoad_act!I68)</f>
        <v>0</v>
      </c>
      <c r="J119" s="101">
        <f>IF(J28=0,0,1000000*J28/TrRoad_act!J68)</f>
        <v>0</v>
      </c>
      <c r="K119" s="101">
        <f>IF(K28=0,0,1000000*K28/TrRoad_act!K68)</f>
        <v>0</v>
      </c>
      <c r="L119" s="101">
        <f>IF(L28=0,0,1000000*L28/TrRoad_act!L68)</f>
        <v>0</v>
      </c>
      <c r="M119" s="101">
        <f>IF(M28=0,0,1000000*M28/TrRoad_act!M68)</f>
        <v>0</v>
      </c>
      <c r="N119" s="101">
        <f>IF(N28=0,0,1000000*N28/TrRoad_act!N68)</f>
        <v>0</v>
      </c>
      <c r="O119" s="101">
        <f>IF(O28=0,0,1000000*O28/TrRoad_act!O68)</f>
        <v>0</v>
      </c>
      <c r="P119" s="101">
        <f>IF(P28=0,0,1000000*P28/TrRoad_act!P68)</f>
        <v>0</v>
      </c>
      <c r="Q119" s="101">
        <f>IF(Q28=0,0,1000000*Q28/TrRoad_act!Q68)</f>
        <v>0</v>
      </c>
      <c r="R119" s="101">
        <f>IF(R28=0,0,1000000*R28/TrRoad_act!R68)</f>
        <v>0</v>
      </c>
      <c r="S119" s="101">
        <f>IF(S28=0,0,1000000*S28/TrRoad_act!S68)</f>
        <v>0</v>
      </c>
      <c r="T119" s="101">
        <f>IF(T28=0,0,1000000*T28/TrRoad_act!T68)</f>
        <v>0</v>
      </c>
      <c r="U119" s="101">
        <f>IF(U28=0,0,1000000*U28/TrRoad_act!U68)</f>
        <v>0</v>
      </c>
      <c r="V119" s="101">
        <f>IF(V28=0,0,1000000*V28/TrRoad_act!V68)</f>
        <v>0</v>
      </c>
      <c r="W119" s="101">
        <f>IF(W28=0,0,1000000*W28/TrRoad_act!W68)</f>
        <v>0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63996.392936102668</v>
      </c>
      <c r="C120" s="101">
        <f>IF(C29=0,0,1000000*C29/TrRoad_act!C69)</f>
        <v>61952.919417807345</v>
      </c>
      <c r="D120" s="101">
        <f>IF(D29=0,0,1000000*D29/TrRoad_act!D69)</f>
        <v>61423.477742332514</v>
      </c>
      <c r="E120" s="101">
        <f>IF(E29=0,0,1000000*E29/TrRoad_act!E69)</f>
        <v>79814.597988377907</v>
      </c>
      <c r="F120" s="101">
        <f>IF(F29=0,0,1000000*F29/TrRoad_act!F69)</f>
        <v>60857.60574749409</v>
      </c>
      <c r="G120" s="101">
        <f>IF(G29=0,0,1000000*G29/TrRoad_act!G69)</f>
        <v>68731.575353456079</v>
      </c>
      <c r="H120" s="101">
        <f>IF(H29=0,0,1000000*H29/TrRoad_act!H69)</f>
        <v>65614.640956323739</v>
      </c>
      <c r="I120" s="101">
        <f>IF(I29=0,0,1000000*I29/TrRoad_act!I69)</f>
        <v>66248.30872239951</v>
      </c>
      <c r="J120" s="101">
        <f>IF(J29=0,0,1000000*J29/TrRoad_act!J69)</f>
        <v>60788.827299077871</v>
      </c>
      <c r="K120" s="101">
        <f>IF(K29=0,0,1000000*K29/TrRoad_act!K69)</f>
        <v>72070.384369205058</v>
      </c>
      <c r="L120" s="101">
        <f>IF(L29=0,0,1000000*L29/TrRoad_act!L69)</f>
        <v>61753.970296134583</v>
      </c>
      <c r="M120" s="101">
        <f>IF(M29=0,0,1000000*M29/TrRoad_act!M69)</f>
        <v>66271.864002757822</v>
      </c>
      <c r="N120" s="101">
        <f>IF(N29=0,0,1000000*N29/TrRoad_act!N69)</f>
        <v>53874.027526130172</v>
      </c>
      <c r="O120" s="101">
        <f>IF(O29=0,0,1000000*O29/TrRoad_act!O69)</f>
        <v>61973.783478848767</v>
      </c>
      <c r="P120" s="101">
        <f>IF(P29=0,0,1000000*P29/TrRoad_act!P69)</f>
        <v>60018.201307669675</v>
      </c>
      <c r="Q120" s="101">
        <f>IF(Q29=0,0,1000000*Q29/TrRoad_act!Q69)</f>
        <v>57634.787478193335</v>
      </c>
      <c r="R120" s="101">
        <f>IF(R29=0,0,1000000*R29/TrRoad_act!R69)</f>
        <v>58180.050993691279</v>
      </c>
      <c r="S120" s="101">
        <f>IF(S29=0,0,1000000*S29/TrRoad_act!S69)</f>
        <v>58496.287487570175</v>
      </c>
      <c r="T120" s="101">
        <f>IF(T29=0,0,1000000*T29/TrRoad_act!T69)</f>
        <v>60331.256392220705</v>
      </c>
      <c r="U120" s="101">
        <f>IF(U29=0,0,1000000*U29/TrRoad_act!U69)</f>
        <v>62508.151738482695</v>
      </c>
      <c r="V120" s="101">
        <f>IF(V29=0,0,1000000*V29/TrRoad_act!V69)</f>
        <v>60869.730095196355</v>
      </c>
      <c r="W120" s="101">
        <f>IF(W29=0,0,1000000*W29/TrRoad_act!W69)</f>
        <v>61485.1822219717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0</v>
      </c>
      <c r="U121" s="101">
        <f>IF(U30=0,0,1000000*U30/TrRoad_act!U70)</f>
        <v>0</v>
      </c>
      <c r="V121" s="101">
        <f>IF(V30=0,0,1000000*V30/TrRoad_act!V70)</f>
        <v>0</v>
      </c>
      <c r="W121" s="101">
        <f>IF(W30=0,0,1000000*W30/TrRoad_act!W70)</f>
        <v>0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39167.134195316459</v>
      </c>
      <c r="D122" s="101">
        <f>IF(D31=0,0,1000000*D31/TrRoad_act!D71)</f>
        <v>40346.051246949282</v>
      </c>
      <c r="E122" s="101">
        <f>IF(E31=0,0,1000000*E31/TrRoad_act!E71)</f>
        <v>40887.589873644712</v>
      </c>
      <c r="F122" s="101">
        <f>IF(F31=0,0,1000000*F31/TrRoad_act!F71)</f>
        <v>41152.038671667455</v>
      </c>
      <c r="G122" s="101">
        <f>IF(G31=0,0,1000000*G31/TrRoad_act!G71)</f>
        <v>43536.699095022166</v>
      </c>
      <c r="H122" s="101">
        <f>IF(H31=0,0,1000000*H31/TrRoad_act!H71)</f>
        <v>44501.817344022144</v>
      </c>
      <c r="I122" s="101">
        <f>IF(I31=0,0,1000000*I31/TrRoad_act!I71)</f>
        <v>43837.670457666616</v>
      </c>
      <c r="J122" s="101">
        <f>IF(J31=0,0,1000000*J31/TrRoad_act!J71)</f>
        <v>41525.927788863781</v>
      </c>
      <c r="K122" s="101">
        <f>IF(K31=0,0,1000000*K31/TrRoad_act!K71)</f>
        <v>42941.942645102972</v>
      </c>
      <c r="L122" s="101">
        <f>IF(L31=0,0,1000000*L31/TrRoad_act!L71)</f>
        <v>41456.081760892223</v>
      </c>
      <c r="M122" s="101">
        <f>IF(M31=0,0,1000000*M31/TrRoad_act!M71)</f>
        <v>45400.790502005038</v>
      </c>
      <c r="N122" s="101">
        <f>IF(N31=0,0,1000000*N31/TrRoad_act!N71)</f>
        <v>45041.407377589021</v>
      </c>
      <c r="O122" s="101">
        <f>IF(O31=0,0,1000000*O31/TrRoad_act!O71)</f>
        <v>43200.04727628002</v>
      </c>
      <c r="P122" s="101">
        <f>IF(P31=0,0,1000000*P31/TrRoad_act!P71)</f>
        <v>43778.4868580158</v>
      </c>
      <c r="Q122" s="101">
        <f>IF(Q31=0,0,1000000*Q31/TrRoad_act!Q71)</f>
        <v>45898.333058537348</v>
      </c>
      <c r="R122" s="101">
        <f>IF(R31=0,0,1000000*R31/TrRoad_act!R71)</f>
        <v>58910.972288382014</v>
      </c>
      <c r="S122" s="101">
        <f>IF(S31=0,0,1000000*S31/TrRoad_act!S71)</f>
        <v>39871.745703082808</v>
      </c>
      <c r="T122" s="101">
        <f>IF(T31=0,0,1000000*T31/TrRoad_act!T71)</f>
        <v>42423.686449281311</v>
      </c>
      <c r="U122" s="101">
        <f>IF(U31=0,0,1000000*U31/TrRoad_act!U71)</f>
        <v>46297.470834266845</v>
      </c>
      <c r="V122" s="101">
        <f>IF(V31=0,0,1000000*V31/TrRoad_act!V71)</f>
        <v>40563.725221370805</v>
      </c>
      <c r="W122" s="101">
        <f>IF(W31=0,0,1000000*W31/TrRoad_act!W71)</f>
        <v>43097.509874495074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3268.0970223038348</v>
      </c>
      <c r="C125" s="152">
        <f>IF(C34=0,0,1000000*C34/TrRoad_act!C74)</f>
        <v>3144.9831291890341</v>
      </c>
      <c r="D125" s="152">
        <f>IF(D34=0,0,1000000*D34/TrRoad_act!D74)</f>
        <v>3136.1532146669701</v>
      </c>
      <c r="E125" s="152">
        <f>IF(E34=0,0,1000000*E34/TrRoad_act!E74)</f>
        <v>3155.7099077500666</v>
      </c>
      <c r="F125" s="152">
        <f>IF(F34=0,0,1000000*F34/TrRoad_act!F74)</f>
        <v>3142.6242346479598</v>
      </c>
      <c r="G125" s="152">
        <f>IF(G34=0,0,1000000*G34/TrRoad_act!G74)</f>
        <v>3200.8982321091598</v>
      </c>
      <c r="H125" s="152">
        <f>IF(H34=0,0,1000000*H34/TrRoad_act!H74)</f>
        <v>3175.3987855557675</v>
      </c>
      <c r="I125" s="152">
        <f>IF(I34=0,0,1000000*I34/TrRoad_act!I74)</f>
        <v>3169.6552086217957</v>
      </c>
      <c r="J125" s="152">
        <f>IF(J34=0,0,1000000*J34/TrRoad_act!J74)</f>
        <v>3031.2954903696264</v>
      </c>
      <c r="K125" s="152">
        <f>IF(K34=0,0,1000000*K34/TrRoad_act!K74)</f>
        <v>2930.5736217440417</v>
      </c>
      <c r="L125" s="152">
        <f>IF(L34=0,0,1000000*L34/TrRoad_act!L74)</f>
        <v>2894.9328544214341</v>
      </c>
      <c r="M125" s="152">
        <f>IF(M34=0,0,1000000*M34/TrRoad_act!M74)</f>
        <v>2711.1855273413212</v>
      </c>
      <c r="N125" s="152">
        <f>IF(N34=0,0,1000000*N34/TrRoad_act!N74)</f>
        <v>2392.3284221394774</v>
      </c>
      <c r="O125" s="152">
        <f>IF(O34=0,0,1000000*O34/TrRoad_act!O74)</f>
        <v>2859.5586374152244</v>
      </c>
      <c r="P125" s="152">
        <f>IF(P34=0,0,1000000*P34/TrRoad_act!P74)</f>
        <v>2958.3504843328633</v>
      </c>
      <c r="Q125" s="152">
        <f>IF(Q34=0,0,1000000*Q34/TrRoad_act!Q74)</f>
        <v>3305.0685804409877</v>
      </c>
      <c r="R125" s="152">
        <f>IF(R34=0,0,1000000*R34/TrRoad_act!R74)</f>
        <v>3274.7423609087614</v>
      </c>
      <c r="S125" s="152">
        <f>IF(S34=0,0,1000000*S34/TrRoad_act!S74)</f>
        <v>3235.2945285160813</v>
      </c>
      <c r="T125" s="152">
        <f>IF(T34=0,0,1000000*T34/TrRoad_act!T74)</f>
        <v>3334.556352280872</v>
      </c>
      <c r="U125" s="152">
        <f>IF(U34=0,0,1000000*U34/TrRoad_act!U74)</f>
        <v>3414.7013529028623</v>
      </c>
      <c r="V125" s="152">
        <f>IF(V34=0,0,1000000*V34/TrRoad_act!V74)</f>
        <v>3001.3267261453475</v>
      </c>
      <c r="W125" s="152">
        <f>IF(W34=0,0,1000000*W34/TrRoad_act!W74)</f>
        <v>3347.9191699131752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3078.6932325698749</v>
      </c>
      <c r="C126" s="87">
        <f>IF(C35=0,0,1000000*C35/TrRoad_act!C75)</f>
        <v>2925.1423645717955</v>
      </c>
      <c r="D126" s="87">
        <f>IF(D35=0,0,1000000*D35/TrRoad_act!D75)</f>
        <v>2895.4186307117598</v>
      </c>
      <c r="E126" s="87">
        <f>IF(E35=0,0,1000000*E35/TrRoad_act!E75)</f>
        <v>2901.4971429735288</v>
      </c>
      <c r="F126" s="87">
        <f>IF(F35=0,0,1000000*F35/TrRoad_act!F75)</f>
        <v>2854.9950117827011</v>
      </c>
      <c r="G126" s="87">
        <f>IF(G35=0,0,1000000*G35/TrRoad_act!G75)</f>
        <v>2897.1705107546099</v>
      </c>
      <c r="H126" s="87">
        <f>IF(H35=0,0,1000000*H35/TrRoad_act!H75)</f>
        <v>2834.9154703935592</v>
      </c>
      <c r="I126" s="87">
        <f>IF(I35=0,0,1000000*I35/TrRoad_act!I75)</f>
        <v>2815.6152184643624</v>
      </c>
      <c r="J126" s="87">
        <f>IF(J35=0,0,1000000*J35/TrRoad_act!J75)</f>
        <v>2657.0365010619935</v>
      </c>
      <c r="K126" s="87">
        <f>IF(K35=0,0,1000000*K35/TrRoad_act!K75)</f>
        <v>2422.4933127926606</v>
      </c>
      <c r="L126" s="87">
        <f>IF(L35=0,0,1000000*L35/TrRoad_act!L75)</f>
        <v>2393.5501371721784</v>
      </c>
      <c r="M126" s="87">
        <f>IF(M35=0,0,1000000*M35/TrRoad_act!M75)</f>
        <v>2237.6723410788618</v>
      </c>
      <c r="N126" s="87">
        <f>IF(N35=0,0,1000000*N35/TrRoad_act!N75)</f>
        <v>1985.0328677412497</v>
      </c>
      <c r="O126" s="87">
        <f>IF(O35=0,0,1000000*O35/TrRoad_act!O75)</f>
        <v>2204.2958822542546</v>
      </c>
      <c r="P126" s="87">
        <f>IF(P35=0,0,1000000*P35/TrRoad_act!P75)</f>
        <v>2328.7684896571263</v>
      </c>
      <c r="Q126" s="87">
        <f>IF(Q35=0,0,1000000*Q35/TrRoad_act!Q75)</f>
        <v>2412.8946109987123</v>
      </c>
      <c r="R126" s="87">
        <f>IF(R35=0,0,1000000*R35/TrRoad_act!R75)</f>
        <v>2293.6627202075956</v>
      </c>
      <c r="S126" s="87">
        <f>IF(S35=0,0,1000000*S35/TrRoad_act!S75)</f>
        <v>2409.1678826204211</v>
      </c>
      <c r="T126" s="87">
        <f>IF(T35=0,0,1000000*T35/TrRoad_act!T75)</f>
        <v>2690.6374331239481</v>
      </c>
      <c r="U126" s="87">
        <f>IF(U35=0,0,1000000*U35/TrRoad_act!U75)</f>
        <v>2652.7746951595827</v>
      </c>
      <c r="V126" s="87">
        <f>IF(V35=0,0,1000000*V35/TrRoad_act!V75)</f>
        <v>2310.3846199801874</v>
      </c>
      <c r="W126" s="87">
        <f>IF(W35=0,0,1000000*W35/TrRoad_act!W75)</f>
        <v>2531.9641949496822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4602.0728327580073</v>
      </c>
      <c r="C127" s="87">
        <f>IF(C36=0,0,1000000*C36/TrRoad_act!C76)</f>
        <v>4532.8495564089244</v>
      </c>
      <c r="D127" s="87">
        <f>IF(D36=0,0,1000000*D36/TrRoad_act!D76)</f>
        <v>4539.0194298279339</v>
      </c>
      <c r="E127" s="87">
        <f>IF(E36=0,0,1000000*E36/TrRoad_act!E76)</f>
        <v>4363.0953535879453</v>
      </c>
      <c r="F127" s="87">
        <f>IF(F36=0,0,1000000*F36/TrRoad_act!F76)</f>
        <v>4362.3059390971148</v>
      </c>
      <c r="G127" s="87">
        <f>IF(G36=0,0,1000000*G36/TrRoad_act!G76)</f>
        <v>4374.9645533647408</v>
      </c>
      <c r="H127" s="87">
        <f>IF(H36=0,0,1000000*H36/TrRoad_act!H76)</f>
        <v>4256.5496608877975</v>
      </c>
      <c r="I127" s="87">
        <f>IF(I36=0,0,1000000*I36/TrRoad_act!I76)</f>
        <v>4188.4694159704013</v>
      </c>
      <c r="J127" s="87">
        <f>IF(J36=0,0,1000000*J36/TrRoad_act!J76)</f>
        <v>4135.2290432253831</v>
      </c>
      <c r="K127" s="87">
        <f>IF(K36=0,0,1000000*K36/TrRoad_act!K76)</f>
        <v>4118.815711268493</v>
      </c>
      <c r="L127" s="87">
        <f>IF(L36=0,0,1000000*L36/TrRoad_act!L76)</f>
        <v>3852.3166226365211</v>
      </c>
      <c r="M127" s="87">
        <f>IF(M36=0,0,1000000*M36/TrRoad_act!M76)</f>
        <v>3526.2764374148851</v>
      </c>
      <c r="N127" s="87">
        <f>IF(N36=0,0,1000000*N36/TrRoad_act!N76)</f>
        <v>3059.1047551324837</v>
      </c>
      <c r="O127" s="87">
        <f>IF(O36=0,0,1000000*O36/TrRoad_act!O76)</f>
        <v>3733.5891105842484</v>
      </c>
      <c r="P127" s="87">
        <f>IF(P36=0,0,1000000*P36/TrRoad_act!P76)</f>
        <v>3732.0566201650095</v>
      </c>
      <c r="Q127" s="87">
        <f>IF(Q36=0,0,1000000*Q36/TrRoad_act!Q76)</f>
        <v>4222.6595279373541</v>
      </c>
      <c r="R127" s="87">
        <f>IF(R36=0,0,1000000*R36/TrRoad_act!R76)</f>
        <v>4261.2165061195146</v>
      </c>
      <c r="S127" s="87">
        <f>IF(S36=0,0,1000000*S36/TrRoad_act!S76)</f>
        <v>4084.6323331171775</v>
      </c>
      <c r="T127" s="87">
        <f>IF(T36=0,0,1000000*T36/TrRoad_act!T76)</f>
        <v>4023.090513906554</v>
      </c>
      <c r="U127" s="87">
        <f>IF(U36=0,0,1000000*U36/TrRoad_act!U76)</f>
        <v>4272.8356591730071</v>
      </c>
      <c r="V127" s="87">
        <f>IF(V36=0,0,1000000*V36/TrRoad_act!V76)</f>
        <v>3823.2694407213744</v>
      </c>
      <c r="W127" s="87">
        <f>IF(W36=0,0,1000000*W36/TrRoad_act!W76)</f>
        <v>4376.3231324201015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0</v>
      </c>
      <c r="O128" s="87">
        <f>IF(O37=0,0,1000000*O37/TrRoad_act!O77)</f>
        <v>0</v>
      </c>
      <c r="P128" s="87">
        <f>IF(P37=0,0,1000000*P37/TrRoad_act!P77)</f>
        <v>0</v>
      </c>
      <c r="Q128" s="87">
        <f>IF(Q37=0,0,1000000*Q37/TrRoad_act!Q77)</f>
        <v>0</v>
      </c>
      <c r="R128" s="87">
        <f>IF(R37=0,0,1000000*R37/TrRoad_act!R77)</f>
        <v>0</v>
      </c>
      <c r="S128" s="87">
        <f>IF(S37=0,0,1000000*S37/TrRoad_act!S77)</f>
        <v>0</v>
      </c>
      <c r="T128" s="87">
        <f>IF(T37=0,0,1000000*T37/TrRoad_act!T77)</f>
        <v>0</v>
      </c>
      <c r="U128" s="87">
        <f>IF(U37=0,0,1000000*U37/TrRoad_act!U77)</f>
        <v>0</v>
      </c>
      <c r="V128" s="87">
        <f>IF(V37=0,0,1000000*V37/TrRoad_act!V77)</f>
        <v>0</v>
      </c>
      <c r="W128" s="87">
        <f>IF(W37=0,0,1000000*W37/TrRoad_act!W77)</f>
        <v>0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0</v>
      </c>
      <c r="P129" s="87">
        <f>IF(P38=0,0,1000000*P38/TrRoad_act!P78)</f>
        <v>0</v>
      </c>
      <c r="Q129" s="87">
        <f>IF(Q38=0,0,1000000*Q38/TrRoad_act!Q78)</f>
        <v>0</v>
      </c>
      <c r="R129" s="87">
        <f>IF(R38=0,0,1000000*R38/TrRoad_act!R78)</f>
        <v>0</v>
      </c>
      <c r="S129" s="87">
        <f>IF(S38=0,0,1000000*S38/TrRoad_act!S78)</f>
        <v>0</v>
      </c>
      <c r="T129" s="87">
        <f>IF(T38=0,0,1000000*T38/TrRoad_act!T78)</f>
        <v>0</v>
      </c>
      <c r="U129" s="87">
        <f>IF(U38=0,0,1000000*U38/TrRoad_act!U78)</f>
        <v>0</v>
      </c>
      <c r="V129" s="87">
        <f>IF(V38=0,0,1000000*V38/TrRoad_act!V78)</f>
        <v>0</v>
      </c>
      <c r="W129" s="87">
        <f>IF(W38=0,0,1000000*W38/TrRoad_act!W78)</f>
        <v>0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17878.966281264195</v>
      </c>
      <c r="C131" s="116">
        <f>IF(C40=0,0,1000000*C40/TrRoad_act!C80)</f>
        <v>17624.409659111607</v>
      </c>
      <c r="D131" s="116">
        <f>IF(D40=0,0,1000000*D40/TrRoad_act!D80)</f>
        <v>17523.743836506084</v>
      </c>
      <c r="E131" s="116">
        <f>IF(E40=0,0,1000000*E40/TrRoad_act!E80)</f>
        <v>17417.214545573679</v>
      </c>
      <c r="F131" s="116">
        <f>IF(F40=0,0,1000000*F40/TrRoad_act!F80)</f>
        <v>16251.538012449002</v>
      </c>
      <c r="G131" s="116">
        <f>IF(G40=0,0,1000000*G40/TrRoad_act!G80)</f>
        <v>17167.159319353952</v>
      </c>
      <c r="H131" s="116">
        <f>IF(H40=0,0,1000000*H40/TrRoad_act!H80)</f>
        <v>16252.950782565074</v>
      </c>
      <c r="I131" s="116">
        <f>IF(I40=0,0,1000000*I40/TrRoad_act!I80)</f>
        <v>16858.999493829193</v>
      </c>
      <c r="J131" s="116">
        <f>IF(J40=0,0,1000000*J40/TrRoad_act!J80)</f>
        <v>15895.624629482661</v>
      </c>
      <c r="K131" s="116">
        <f>IF(K40=0,0,1000000*K40/TrRoad_act!K80)</f>
        <v>22291.143507814482</v>
      </c>
      <c r="L131" s="116">
        <f>IF(L40=0,0,1000000*L40/TrRoad_act!L80)</f>
        <v>20273.446768670648</v>
      </c>
      <c r="M131" s="116">
        <f>IF(M40=0,0,1000000*M40/TrRoad_act!M80)</f>
        <v>17362.134586453984</v>
      </c>
      <c r="N131" s="116">
        <f>IF(N40=0,0,1000000*N40/TrRoad_act!N80)</f>
        <v>13213.36373272068</v>
      </c>
      <c r="O131" s="116">
        <f>IF(O40=0,0,1000000*O40/TrRoad_act!O80)</f>
        <v>17239.1370676078</v>
      </c>
      <c r="P131" s="116">
        <f>IF(P40=0,0,1000000*P40/TrRoad_act!P80)</f>
        <v>20126.885780827331</v>
      </c>
      <c r="Q131" s="116">
        <f>IF(Q40=0,0,1000000*Q40/TrRoad_act!Q80)</f>
        <v>18673.862485306083</v>
      </c>
      <c r="R131" s="116">
        <f>IF(R40=0,0,1000000*R40/TrRoad_act!R80)</f>
        <v>21580.588807035718</v>
      </c>
      <c r="S131" s="116">
        <f>IF(S40=0,0,1000000*S40/TrRoad_act!S80)</f>
        <v>24796.467483699074</v>
      </c>
      <c r="T131" s="116">
        <f>IF(T40=0,0,1000000*T40/TrRoad_act!T80)</f>
        <v>29072.697823062044</v>
      </c>
      <c r="U131" s="116">
        <f>IF(U40=0,0,1000000*U40/TrRoad_act!U80)</f>
        <v>34641.418085730824</v>
      </c>
      <c r="V131" s="116">
        <f>IF(V40=0,0,1000000*V40/TrRoad_act!V80)</f>
        <v>35281.223092614629</v>
      </c>
      <c r="W131" s="116">
        <f>IF(W40=0,0,1000000*W40/TrRoad_act!W80)</f>
        <v>38875.384916051713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16448.108476982983</v>
      </c>
      <c r="C132" s="101">
        <f>IF(C41=0,0,1000000*C41/TrRoad_act!C81)</f>
        <v>16191.506396366391</v>
      </c>
      <c r="D132" s="101">
        <f>IF(D41=0,0,1000000*D41/TrRoad_act!D81)</f>
        <v>16076.705528533939</v>
      </c>
      <c r="E132" s="101">
        <f>IF(E41=0,0,1000000*E41/TrRoad_act!E81)</f>
        <v>14572.039590033557</v>
      </c>
      <c r="F132" s="101">
        <f>IF(F41=0,0,1000000*F41/TrRoad_act!F81)</f>
        <v>14840.305540114881</v>
      </c>
      <c r="G132" s="101">
        <f>IF(G41=0,0,1000000*G41/TrRoad_act!G81)</f>
        <v>14912.66095565481</v>
      </c>
      <c r="H132" s="101">
        <f>IF(H41=0,0,1000000*H41/TrRoad_act!H81)</f>
        <v>14196.816038719342</v>
      </c>
      <c r="I132" s="101">
        <f>IF(I41=0,0,1000000*I41/TrRoad_act!I81)</f>
        <v>14750.824821439815</v>
      </c>
      <c r="J132" s="101">
        <f>IF(J41=0,0,1000000*J41/TrRoad_act!J81)</f>
        <v>14264.14703269392</v>
      </c>
      <c r="K132" s="101">
        <f>IF(K41=0,0,1000000*K41/TrRoad_act!K81)</f>
        <v>19377.514011323125</v>
      </c>
      <c r="L132" s="101">
        <f>IF(L41=0,0,1000000*L41/TrRoad_act!L81)</f>
        <v>17885.438641147513</v>
      </c>
      <c r="M132" s="101">
        <f>IF(M41=0,0,1000000*M41/TrRoad_act!M81)</f>
        <v>14928.415787484279</v>
      </c>
      <c r="N132" s="101">
        <f>IF(N41=0,0,1000000*N41/TrRoad_act!N81)</f>
        <v>11788.547277506692</v>
      </c>
      <c r="O132" s="101">
        <f>IF(O41=0,0,1000000*O41/TrRoad_act!O81)</f>
        <v>14306.473697416688</v>
      </c>
      <c r="P132" s="101">
        <f>IF(P41=0,0,1000000*P41/TrRoad_act!P81)</f>
        <v>17119.96982172949</v>
      </c>
      <c r="Q132" s="101">
        <f>IF(Q41=0,0,1000000*Q41/TrRoad_act!Q81)</f>
        <v>16413.001841761794</v>
      </c>
      <c r="R132" s="101">
        <f>IF(R41=0,0,1000000*R41/TrRoad_act!R81)</f>
        <v>18943.019789286136</v>
      </c>
      <c r="S132" s="101">
        <f>IF(S41=0,0,1000000*S41/TrRoad_act!S81)</f>
        <v>20705.025658488546</v>
      </c>
      <c r="T132" s="101">
        <f>IF(T41=0,0,1000000*T41/TrRoad_act!T81)</f>
        <v>24401.817458212761</v>
      </c>
      <c r="U132" s="101">
        <f>IF(U41=0,0,1000000*U41/TrRoad_act!U81)</f>
        <v>28939.245374377493</v>
      </c>
      <c r="V132" s="101">
        <f>IF(V41=0,0,1000000*V41/TrRoad_act!V81)</f>
        <v>28775.588977438128</v>
      </c>
      <c r="W132" s="101">
        <f>IF(W41=0,0,1000000*W41/TrRoad_act!W81)</f>
        <v>33362.290943916843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212959.16609300789</v>
      </c>
      <c r="C133" s="88">
        <f>IF(C42=0,0,1000000*C42/TrRoad_act!C82)</f>
        <v>205621.31773128407</v>
      </c>
      <c r="D133" s="88">
        <f>IF(D42=0,0,1000000*D42/TrRoad_act!D82)</f>
        <v>202669.12528339314</v>
      </c>
      <c r="E133" s="88">
        <f>IF(E42=0,0,1000000*E42/TrRoad_act!E82)</f>
        <v>372473.50824021955</v>
      </c>
      <c r="F133" s="88">
        <f>IF(F42=0,0,1000000*F42/TrRoad_act!F82)</f>
        <v>194039.74830639677</v>
      </c>
      <c r="G133" s="88">
        <f>IF(G42=0,0,1000000*G42/TrRoad_act!G82)</f>
        <v>258555.53133480085</v>
      </c>
      <c r="H133" s="88">
        <f>IF(H42=0,0,1000000*H42/TrRoad_act!H82)</f>
        <v>219357.52364326577</v>
      </c>
      <c r="I133" s="88">
        <f>IF(I42=0,0,1000000*I42/TrRoad_act!I82)</f>
        <v>257486.39189652327</v>
      </c>
      <c r="J133" s="88">
        <f>IF(J42=0,0,1000000*J42/TrRoad_act!J82)</f>
        <v>239744.46147428683</v>
      </c>
      <c r="K133" s="88">
        <f>IF(K42=0,0,1000000*K42/TrRoad_act!K82)</f>
        <v>439889.89796861168</v>
      </c>
      <c r="L133" s="88">
        <f>IF(L42=0,0,1000000*L42/TrRoad_act!L82)</f>
        <v>272228.17418408825</v>
      </c>
      <c r="M133" s="88">
        <f>IF(M42=0,0,1000000*M42/TrRoad_act!M82)</f>
        <v>308573.36529785709</v>
      </c>
      <c r="N133" s="88">
        <f>IF(N42=0,0,1000000*N42/TrRoad_act!N82)</f>
        <v>151524.83416536747</v>
      </c>
      <c r="O133" s="88">
        <f>IF(O42=0,0,1000000*O42/TrRoad_act!O82)</f>
        <v>240231.22541170247</v>
      </c>
      <c r="P133" s="88">
        <f>IF(P42=0,0,1000000*P42/TrRoad_act!P82)</f>
        <v>231454.91801487043</v>
      </c>
      <c r="Q133" s="88">
        <f>IF(Q42=0,0,1000000*Q42/TrRoad_act!Q82)</f>
        <v>148312.57385449461</v>
      </c>
      <c r="R133" s="88">
        <f>IF(R42=0,0,1000000*R42/TrRoad_act!R82)</f>
        <v>154105.66202853172</v>
      </c>
      <c r="S133" s="88">
        <f>IF(S42=0,0,1000000*S42/TrRoad_act!S82)</f>
        <v>136119.36296250048</v>
      </c>
      <c r="T133" s="88">
        <f>IF(T42=0,0,1000000*T42/TrRoad_act!T82)</f>
        <v>148760.83593490155</v>
      </c>
      <c r="U133" s="88">
        <f>IF(U42=0,0,1000000*U42/TrRoad_act!U82)</f>
        <v>175129.62393908668</v>
      </c>
      <c r="V133" s="88">
        <f>IF(V42=0,0,1000000*V42/TrRoad_act!V82)</f>
        <v>173407.74539634821</v>
      </c>
      <c r="W133" s="88">
        <f>IF(W42=0,0,1000000*W42/TrRoad_act!W82)</f>
        <v>178245.74567264901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0.64221024412497607</v>
      </c>
      <c r="C136" s="46">
        <f t="shared" si="40"/>
        <v>0.64768586247431004</v>
      </c>
      <c r="D136" s="46">
        <f t="shared" si="40"/>
        <v>0.65276207632713557</v>
      </c>
      <c r="E136" s="46">
        <f t="shared" si="40"/>
        <v>0.67120351913712306</v>
      </c>
      <c r="F136" s="46">
        <f t="shared" si="40"/>
        <v>0.65363242775207853</v>
      </c>
      <c r="G136" s="46">
        <f t="shared" si="40"/>
        <v>0.67733388259913618</v>
      </c>
      <c r="H136" s="46">
        <f t="shared" si="40"/>
        <v>0.67212972680016125</v>
      </c>
      <c r="I136" s="46">
        <f t="shared" si="40"/>
        <v>0.67489436290368565</v>
      </c>
      <c r="J136" s="46">
        <f t="shared" si="40"/>
        <v>0.6704035275805047</v>
      </c>
      <c r="K136" s="46">
        <f t="shared" si="40"/>
        <v>0.64709445026676049</v>
      </c>
      <c r="L136" s="46">
        <f t="shared" si="41"/>
        <v>0.65139905628066042</v>
      </c>
      <c r="M136" s="46">
        <f t="shared" si="40"/>
        <v>0.69075825125911017</v>
      </c>
      <c r="N136" s="46">
        <f t="shared" si="40"/>
        <v>0.72080203075012306</v>
      </c>
      <c r="O136" s="46">
        <f t="shared" si="40"/>
        <v>0.67858845667898104</v>
      </c>
      <c r="P136" s="46">
        <f t="shared" si="40"/>
        <v>0.66664487812343576</v>
      </c>
      <c r="Q136" s="46">
        <f t="shared" si="40"/>
        <v>0.67684638621854321</v>
      </c>
      <c r="R136" s="46">
        <f t="shared" si="40"/>
        <v>0.66900434269426656</v>
      </c>
      <c r="S136" s="46">
        <f t="shared" si="40"/>
        <v>0.6831474198667622</v>
      </c>
      <c r="T136" s="46">
        <f t="shared" si="40"/>
        <v>0.67984794203862287</v>
      </c>
      <c r="U136" s="46">
        <f t="shared" si="40"/>
        <v>0.67660867051331475</v>
      </c>
      <c r="V136" s="46">
        <f t="shared" si="40"/>
        <v>0.66533176445392339</v>
      </c>
      <c r="W136" s="46">
        <f t="shared" si="42"/>
        <v>0.65816486481176439</v>
      </c>
      <c r="DA136" s="211"/>
    </row>
    <row r="137" spans="1:105" ht="11.45" customHeight="1" x14ac:dyDescent="0.25">
      <c r="A137" s="153" t="s">
        <v>180</v>
      </c>
      <c r="B137" s="154">
        <f t="shared" si="40"/>
        <v>3.0702193238531173E-2</v>
      </c>
      <c r="C137" s="154">
        <f t="shared" si="40"/>
        <v>3.2541673242890583E-2</v>
      </c>
      <c r="D137" s="154">
        <f t="shared" si="40"/>
        <v>3.4566341281749728E-2</v>
      </c>
      <c r="E137" s="154">
        <f t="shared" si="40"/>
        <v>3.4143913526055857E-2</v>
      </c>
      <c r="F137" s="154">
        <f t="shared" si="40"/>
        <v>3.4175533791361595E-2</v>
      </c>
      <c r="G137" s="154">
        <f t="shared" si="40"/>
        <v>3.4289504312520203E-2</v>
      </c>
      <c r="H137" s="154">
        <f t="shared" si="40"/>
        <v>3.0591623484369557E-2</v>
      </c>
      <c r="I137" s="154">
        <f t="shared" si="40"/>
        <v>2.9436452012876303E-2</v>
      </c>
      <c r="J137" s="154">
        <f t="shared" si="40"/>
        <v>3.2257295438939175E-2</v>
      </c>
      <c r="K137" s="154">
        <f t="shared" si="40"/>
        <v>3.0392303776380351E-2</v>
      </c>
      <c r="L137" s="154">
        <f t="shared" si="41"/>
        <v>3.9907960984831833E-2</v>
      </c>
      <c r="M137" s="154">
        <f t="shared" si="40"/>
        <v>4.4678245021121894E-2</v>
      </c>
      <c r="N137" s="154">
        <f t="shared" si="40"/>
        <v>5.6333682559117262E-2</v>
      </c>
      <c r="O137" s="154">
        <f t="shared" si="40"/>
        <v>5.5392794210070526E-2</v>
      </c>
      <c r="P137" s="154">
        <f t="shared" si="40"/>
        <v>5.7055779410823279E-2</v>
      </c>
      <c r="Q137" s="154">
        <f t="shared" si="40"/>
        <v>5.8232112095101436E-2</v>
      </c>
      <c r="R137" s="154">
        <f t="shared" si="40"/>
        <v>5.5027679527583452E-2</v>
      </c>
      <c r="S137" s="154">
        <f t="shared" si="40"/>
        <v>5.5316961546557832E-2</v>
      </c>
      <c r="T137" s="154">
        <f t="shared" si="40"/>
        <v>5.057905124108051E-2</v>
      </c>
      <c r="U137" s="154">
        <f t="shared" si="40"/>
        <v>5.1068019080039898E-2</v>
      </c>
      <c r="V137" s="154">
        <f t="shared" si="40"/>
        <v>4.8341115041473197E-2</v>
      </c>
      <c r="W137" s="154">
        <f t="shared" si="42"/>
        <v>4.7267387110499041E-2</v>
      </c>
      <c r="DA137" s="212"/>
    </row>
    <row r="138" spans="1:105" ht="11.45" customHeight="1" x14ac:dyDescent="0.25">
      <c r="A138" s="155" t="s">
        <v>20</v>
      </c>
      <c r="B138" s="156">
        <f t="shared" si="40"/>
        <v>0.50156103751666126</v>
      </c>
      <c r="C138" s="156">
        <f t="shared" si="40"/>
        <v>0.51125259026709347</v>
      </c>
      <c r="D138" s="156">
        <f t="shared" si="40"/>
        <v>0.51843714654462825</v>
      </c>
      <c r="E138" s="156">
        <f t="shared" si="40"/>
        <v>0.5159594926103287</v>
      </c>
      <c r="F138" s="156">
        <f t="shared" si="40"/>
        <v>0.52855028410306415</v>
      </c>
      <c r="G138" s="156">
        <f t="shared" si="40"/>
        <v>0.54297757612601616</v>
      </c>
      <c r="H138" s="156">
        <f t="shared" si="40"/>
        <v>0.54773252300102526</v>
      </c>
      <c r="I138" s="156">
        <f t="shared" si="40"/>
        <v>0.5540003232137054</v>
      </c>
      <c r="J138" s="156">
        <f t="shared" si="40"/>
        <v>0.55207418873778202</v>
      </c>
      <c r="K138" s="156">
        <f t="shared" si="40"/>
        <v>0.52265973674768607</v>
      </c>
      <c r="L138" s="156">
        <f t="shared" si="41"/>
        <v>0.52186871310929139</v>
      </c>
      <c r="M138" s="156">
        <f t="shared" si="40"/>
        <v>0.54148579921820006</v>
      </c>
      <c r="N138" s="156">
        <f t="shared" si="40"/>
        <v>0.56045046174543478</v>
      </c>
      <c r="O138" s="156">
        <f t="shared" si="40"/>
        <v>0.5067235950185216</v>
      </c>
      <c r="P138" s="156">
        <f t="shared" si="40"/>
        <v>0.49638944482005815</v>
      </c>
      <c r="Q138" s="156">
        <f t="shared" si="40"/>
        <v>0.51096302571455288</v>
      </c>
      <c r="R138" s="156">
        <f t="shared" si="40"/>
        <v>0.50749025971471518</v>
      </c>
      <c r="S138" s="156">
        <f t="shared" si="40"/>
        <v>0.51930935526646871</v>
      </c>
      <c r="T138" s="156">
        <f t="shared" si="40"/>
        <v>0.51831778090558389</v>
      </c>
      <c r="U138" s="156">
        <f t="shared" si="40"/>
        <v>0.5131272327270664</v>
      </c>
      <c r="V138" s="156">
        <f t="shared" si="40"/>
        <v>0.49149633354265609</v>
      </c>
      <c r="W138" s="156">
        <f t="shared" si="42"/>
        <v>0.49089255684042654</v>
      </c>
      <c r="DA138" s="213"/>
    </row>
    <row r="139" spans="1:105" ht="11.45" customHeight="1" x14ac:dyDescent="0.25">
      <c r="A139" s="157" t="s">
        <v>110</v>
      </c>
      <c r="B139" s="103">
        <f t="shared" si="40"/>
        <v>0.46894953017321528</v>
      </c>
      <c r="C139" s="103">
        <f t="shared" si="40"/>
        <v>0.48014643535442741</v>
      </c>
      <c r="D139" s="103">
        <f t="shared" si="40"/>
        <v>0.48869656150243568</v>
      </c>
      <c r="E139" s="103">
        <f t="shared" si="40"/>
        <v>0.48700438055788836</v>
      </c>
      <c r="F139" s="103">
        <f t="shared" si="40"/>
        <v>0.5025701983642239</v>
      </c>
      <c r="G139" s="103">
        <f t="shared" si="40"/>
        <v>0.51674505714203045</v>
      </c>
      <c r="H139" s="103">
        <f t="shared" si="40"/>
        <v>0.52011367536882791</v>
      </c>
      <c r="I139" s="103">
        <f t="shared" si="40"/>
        <v>0.52560823324045503</v>
      </c>
      <c r="J139" s="103">
        <f t="shared" si="40"/>
        <v>0.52514153861806701</v>
      </c>
      <c r="K139" s="103">
        <f t="shared" si="40"/>
        <v>0.49199722207163449</v>
      </c>
      <c r="L139" s="103">
        <f t="shared" si="41"/>
        <v>0.48655317040905754</v>
      </c>
      <c r="M139" s="103">
        <f t="shared" si="40"/>
        <v>0.48204739276308428</v>
      </c>
      <c r="N139" s="103">
        <f t="shared" si="40"/>
        <v>0.50902573167857701</v>
      </c>
      <c r="O139" s="103">
        <f t="shared" si="40"/>
        <v>0.44840989564567413</v>
      </c>
      <c r="P139" s="103">
        <f t="shared" si="40"/>
        <v>0.4237825073902235</v>
      </c>
      <c r="Q139" s="103">
        <f t="shared" si="40"/>
        <v>0.40434112342649853</v>
      </c>
      <c r="R139" s="103">
        <f t="shared" si="40"/>
        <v>0.38949744685107174</v>
      </c>
      <c r="S139" s="103">
        <f t="shared" si="40"/>
        <v>0.38545155810626763</v>
      </c>
      <c r="T139" s="103">
        <f t="shared" si="40"/>
        <v>0.37314998551877415</v>
      </c>
      <c r="U139" s="103">
        <f t="shared" si="40"/>
        <v>0.35133915051918085</v>
      </c>
      <c r="V139" s="103">
        <f t="shared" si="40"/>
        <v>0.31732231755689755</v>
      </c>
      <c r="W139" s="103">
        <f t="shared" si="42"/>
        <v>0.32067738288089054</v>
      </c>
      <c r="DA139" s="191"/>
    </row>
    <row r="140" spans="1:105" ht="11.45" customHeight="1" x14ac:dyDescent="0.25">
      <c r="A140" s="157" t="s">
        <v>111</v>
      </c>
      <c r="B140" s="103">
        <f t="shared" si="40"/>
        <v>2.9810435501955546E-2</v>
      </c>
      <c r="C140" s="103">
        <f t="shared" si="40"/>
        <v>2.8049457751613542E-2</v>
      </c>
      <c r="D140" s="103">
        <f t="shared" si="40"/>
        <v>2.6885822009436875E-2</v>
      </c>
      <c r="E140" s="103">
        <f t="shared" si="40"/>
        <v>2.6743769399424539E-2</v>
      </c>
      <c r="F140" s="103">
        <f t="shared" si="40"/>
        <v>2.3948995681700603E-2</v>
      </c>
      <c r="G140" s="103">
        <f t="shared" si="40"/>
        <v>2.4231675900768541E-2</v>
      </c>
      <c r="H140" s="103">
        <f t="shared" si="40"/>
        <v>2.5653298802801858E-2</v>
      </c>
      <c r="I140" s="103">
        <f t="shared" si="40"/>
        <v>2.6323944725006408E-2</v>
      </c>
      <c r="J140" s="103">
        <f t="shared" si="40"/>
        <v>2.4824979372903722E-2</v>
      </c>
      <c r="K140" s="103">
        <f t="shared" si="40"/>
        <v>2.8021699572534569E-2</v>
      </c>
      <c r="L140" s="103">
        <f t="shared" si="41"/>
        <v>2.8510067026414398E-2</v>
      </c>
      <c r="M140" s="103">
        <f t="shared" si="40"/>
        <v>2.8977260730852841E-2</v>
      </c>
      <c r="N140" s="103">
        <f t="shared" si="40"/>
        <v>3.5071912840926242E-2</v>
      </c>
      <c r="O140" s="103">
        <f t="shared" si="40"/>
        <v>2.0229583971234397E-2</v>
      </c>
      <c r="P140" s="103">
        <f t="shared" si="40"/>
        <v>3.1003764438731384E-2</v>
      </c>
      <c r="Q140" s="103">
        <f t="shared" si="40"/>
        <v>5.8824371319595899E-2</v>
      </c>
      <c r="R140" s="103">
        <f t="shared" si="40"/>
        <v>7.0519246055445989E-2</v>
      </c>
      <c r="S140" s="103">
        <f t="shared" si="40"/>
        <v>8.8161761888794821E-2</v>
      </c>
      <c r="T140" s="103">
        <f t="shared" si="40"/>
        <v>0.10157504426099039</v>
      </c>
      <c r="U140" s="103">
        <f t="shared" si="40"/>
        <v>0.11843796348097832</v>
      </c>
      <c r="V140" s="103">
        <f t="shared" si="40"/>
        <v>0.13384381048493912</v>
      </c>
      <c r="W140" s="103">
        <f t="shared" si="42"/>
        <v>0.1329646652067536</v>
      </c>
      <c r="DA140" s="191"/>
    </row>
    <row r="141" spans="1:105" ht="11.45" customHeight="1" x14ac:dyDescent="0.25">
      <c r="A141" s="157" t="s">
        <v>112</v>
      </c>
      <c r="B141" s="103">
        <f t="shared" si="40"/>
        <v>2.8010718414904811E-3</v>
      </c>
      <c r="C141" s="103">
        <f t="shared" si="40"/>
        <v>2.92223383102631E-3</v>
      </c>
      <c r="D141" s="103">
        <f t="shared" si="40"/>
        <v>2.6452339602327899E-3</v>
      </c>
      <c r="E141" s="103">
        <f t="shared" si="40"/>
        <v>1.9944665139725822E-3</v>
      </c>
      <c r="F141" s="103">
        <f t="shared" si="40"/>
        <v>1.8172607987656673E-3</v>
      </c>
      <c r="G141" s="103">
        <f t="shared" si="40"/>
        <v>1.7703729184841703E-3</v>
      </c>
      <c r="H141" s="103">
        <f t="shared" si="40"/>
        <v>1.7302667590856872E-3</v>
      </c>
      <c r="I141" s="103">
        <f t="shared" si="40"/>
        <v>1.8144912432043877E-3</v>
      </c>
      <c r="J141" s="103">
        <f t="shared" si="40"/>
        <v>1.8550058996988181E-3</v>
      </c>
      <c r="K141" s="103">
        <f t="shared" si="40"/>
        <v>2.3478199217747547E-3</v>
      </c>
      <c r="L141" s="103">
        <f t="shared" si="41"/>
        <v>6.4410526774428926E-3</v>
      </c>
      <c r="M141" s="103">
        <f t="shared" si="40"/>
        <v>3.0043967896701801E-2</v>
      </c>
      <c r="N141" s="103">
        <f t="shared" si="40"/>
        <v>1.5848601702595642E-2</v>
      </c>
      <c r="O141" s="103">
        <f t="shared" si="40"/>
        <v>3.7613672567610931E-2</v>
      </c>
      <c r="P141" s="103">
        <f t="shared" si="40"/>
        <v>4.1126518273347443E-2</v>
      </c>
      <c r="Q141" s="103">
        <f t="shared" si="40"/>
        <v>4.7309769456346955E-2</v>
      </c>
      <c r="R141" s="103">
        <f t="shared" si="40"/>
        <v>4.6994945888019689E-2</v>
      </c>
      <c r="S141" s="103">
        <f t="shared" si="40"/>
        <v>4.5227813948114634E-2</v>
      </c>
      <c r="T141" s="103">
        <f t="shared" si="40"/>
        <v>4.3124966000513805E-2</v>
      </c>
      <c r="U141" s="103">
        <f t="shared" si="40"/>
        <v>4.2869435660095545E-2</v>
      </c>
      <c r="V141" s="103">
        <f t="shared" si="40"/>
        <v>3.9654557163496675E-2</v>
      </c>
      <c r="W141" s="103">
        <f t="shared" si="42"/>
        <v>3.6482458634961683E-2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1.3446333002622505E-4</v>
      </c>
      <c r="D142" s="103">
        <f t="shared" si="40"/>
        <v>2.0952907252290017E-4</v>
      </c>
      <c r="E142" s="103">
        <f t="shared" si="40"/>
        <v>2.1687613904317909E-4</v>
      </c>
      <c r="F142" s="103">
        <f t="shared" si="40"/>
        <v>2.1382925837391942E-4</v>
      </c>
      <c r="G142" s="103">
        <f t="shared" si="40"/>
        <v>2.304701647331451E-4</v>
      </c>
      <c r="H142" s="103">
        <f t="shared" si="40"/>
        <v>2.3528207030983379E-4</v>
      </c>
      <c r="I142" s="103">
        <f t="shared" si="40"/>
        <v>2.536540050395183E-4</v>
      </c>
      <c r="J142" s="103">
        <f t="shared" si="40"/>
        <v>2.5266484711249548E-4</v>
      </c>
      <c r="K142" s="103">
        <f t="shared" si="40"/>
        <v>2.9299518174230756E-4</v>
      </c>
      <c r="L142" s="103">
        <f t="shared" si="41"/>
        <v>3.6442299637659661E-4</v>
      </c>
      <c r="M142" s="103">
        <f t="shared" si="40"/>
        <v>4.1717782756105849E-4</v>
      </c>
      <c r="N142" s="103">
        <f t="shared" si="40"/>
        <v>5.0418992608708684E-4</v>
      </c>
      <c r="O142" s="103">
        <f t="shared" si="40"/>
        <v>4.7043488128130698E-4</v>
      </c>
      <c r="P142" s="103">
        <f t="shared" si="40"/>
        <v>4.7632200292307394E-4</v>
      </c>
      <c r="Q142" s="103">
        <f t="shared" si="40"/>
        <v>4.8698112990377501E-4</v>
      </c>
      <c r="R142" s="103">
        <f t="shared" si="40"/>
        <v>4.7659598165471944E-4</v>
      </c>
      <c r="S142" s="103">
        <f t="shared" si="40"/>
        <v>4.6204107632001634E-4</v>
      </c>
      <c r="T142" s="103">
        <f t="shared" si="40"/>
        <v>4.5589086383474568E-4</v>
      </c>
      <c r="U142" s="103">
        <f t="shared" si="40"/>
        <v>4.6157419613589211E-4</v>
      </c>
      <c r="V142" s="103">
        <f t="shared" si="40"/>
        <v>6.2096642090981474E-4</v>
      </c>
      <c r="W142" s="103">
        <f t="shared" si="42"/>
        <v>6.0747036151050711E-4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2.5597248733733364E-8</v>
      </c>
      <c r="O143" s="103">
        <f t="shared" si="40"/>
        <v>7.9527209005520708E-9</v>
      </c>
      <c r="P143" s="103">
        <f t="shared" si="40"/>
        <v>3.3271483276744703E-7</v>
      </c>
      <c r="Q143" s="103">
        <f t="shared" si="40"/>
        <v>7.8038220765886354E-7</v>
      </c>
      <c r="R143" s="103">
        <f t="shared" si="40"/>
        <v>2.0249385229831419E-6</v>
      </c>
      <c r="S143" s="103">
        <f t="shared" si="40"/>
        <v>6.1802469716898024E-6</v>
      </c>
      <c r="T143" s="103">
        <f t="shared" si="40"/>
        <v>1.1894261470761885E-5</v>
      </c>
      <c r="U143" s="103">
        <f t="shared" si="40"/>
        <v>1.9108870675825827E-5</v>
      </c>
      <c r="V143" s="103">
        <f t="shared" si="40"/>
        <v>5.4681916412895405E-5</v>
      </c>
      <c r="W143" s="103">
        <f t="shared" si="42"/>
        <v>1.6057975631019803E-4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0.10994701336978367</v>
      </c>
      <c r="C145" s="156">
        <f t="shared" si="40"/>
        <v>0.10389159896432595</v>
      </c>
      <c r="D145" s="156">
        <f t="shared" si="40"/>
        <v>9.9758588500757667E-2</v>
      </c>
      <c r="E145" s="156">
        <f t="shared" si="40"/>
        <v>0.12110011300073856</v>
      </c>
      <c r="F145" s="156">
        <f t="shared" si="40"/>
        <v>9.0906609857652809E-2</v>
      </c>
      <c r="G145" s="156">
        <f t="shared" si="40"/>
        <v>0.10006680216059982</v>
      </c>
      <c r="H145" s="156">
        <f t="shared" si="40"/>
        <v>9.380558031476656E-2</v>
      </c>
      <c r="I145" s="156">
        <f t="shared" si="40"/>
        <v>9.1457587677103866E-2</v>
      </c>
      <c r="J145" s="156">
        <f t="shared" si="40"/>
        <v>8.6072043403783438E-2</v>
      </c>
      <c r="K145" s="156">
        <f t="shared" si="40"/>
        <v>9.404240974269408E-2</v>
      </c>
      <c r="L145" s="156">
        <f t="shared" si="41"/>
        <v>8.9622382186537272E-2</v>
      </c>
      <c r="M145" s="156">
        <f t="shared" si="40"/>
        <v>0.1045942070197883</v>
      </c>
      <c r="N145" s="156">
        <f t="shared" si="40"/>
        <v>0.10401788644557095</v>
      </c>
      <c r="O145" s="156">
        <f t="shared" si="40"/>
        <v>0.11647206745038891</v>
      </c>
      <c r="P145" s="156">
        <f t="shared" si="40"/>
        <v>0.11319965389255444</v>
      </c>
      <c r="Q145" s="156">
        <f t="shared" si="40"/>
        <v>0.10765124840888893</v>
      </c>
      <c r="R145" s="156">
        <f t="shared" si="40"/>
        <v>0.10648640345196794</v>
      </c>
      <c r="S145" s="156">
        <f t="shared" si="40"/>
        <v>0.10852110305373561</v>
      </c>
      <c r="T145" s="156">
        <f t="shared" si="40"/>
        <v>0.11095110989195851</v>
      </c>
      <c r="U145" s="156">
        <f t="shared" si="40"/>
        <v>0.1124134187062084</v>
      </c>
      <c r="V145" s="156">
        <f t="shared" si="40"/>
        <v>0.12549431586979409</v>
      </c>
      <c r="W145" s="156">
        <f t="shared" si="42"/>
        <v>0.1200049208608389</v>
      </c>
      <c r="DA145" s="213"/>
    </row>
    <row r="146" spans="1:105" ht="11.45" customHeight="1" x14ac:dyDescent="0.25">
      <c r="A146" s="157" t="s">
        <v>110</v>
      </c>
      <c r="B146" s="103">
        <f t="shared" si="40"/>
        <v>0</v>
      </c>
      <c r="C146" s="103">
        <f t="shared" si="40"/>
        <v>0</v>
      </c>
      <c r="D146" s="103">
        <f t="shared" si="40"/>
        <v>0</v>
      </c>
      <c r="E146" s="103">
        <f t="shared" si="40"/>
        <v>0</v>
      </c>
      <c r="F146" s="103">
        <f t="shared" si="40"/>
        <v>0</v>
      </c>
      <c r="G146" s="103">
        <f t="shared" si="40"/>
        <v>0</v>
      </c>
      <c r="H146" s="103">
        <f t="shared" si="40"/>
        <v>0</v>
      </c>
      <c r="I146" s="103">
        <f t="shared" si="40"/>
        <v>0</v>
      </c>
      <c r="J146" s="103">
        <f t="shared" si="40"/>
        <v>0</v>
      </c>
      <c r="K146" s="103">
        <f t="shared" si="40"/>
        <v>0</v>
      </c>
      <c r="L146" s="103">
        <f t="shared" si="41"/>
        <v>0</v>
      </c>
      <c r="M146" s="103">
        <f t="shared" si="40"/>
        <v>0</v>
      </c>
      <c r="N146" s="103">
        <f t="shared" si="40"/>
        <v>0</v>
      </c>
      <c r="O146" s="103">
        <f t="shared" si="40"/>
        <v>0</v>
      </c>
      <c r="P146" s="103">
        <f t="shared" si="40"/>
        <v>0</v>
      </c>
      <c r="Q146" s="103">
        <f t="shared" si="40"/>
        <v>0</v>
      </c>
      <c r="R146" s="103">
        <f t="shared" si="40"/>
        <v>0</v>
      </c>
      <c r="S146" s="103">
        <f t="shared" si="40"/>
        <v>0</v>
      </c>
      <c r="T146" s="103">
        <f t="shared" si="40"/>
        <v>0</v>
      </c>
      <c r="U146" s="103">
        <f t="shared" si="40"/>
        <v>0</v>
      </c>
      <c r="V146" s="103">
        <f t="shared" si="40"/>
        <v>0</v>
      </c>
      <c r="W146" s="103">
        <f t="shared" si="42"/>
        <v>0</v>
      </c>
      <c r="DA146" s="191"/>
    </row>
    <row r="147" spans="1:105" ht="11.45" customHeight="1" x14ac:dyDescent="0.25">
      <c r="A147" s="157" t="s">
        <v>111</v>
      </c>
      <c r="B147" s="103">
        <f t="shared" si="40"/>
        <v>0.10994701336978367</v>
      </c>
      <c r="C147" s="103">
        <f t="shared" si="40"/>
        <v>0.10314859961985787</v>
      </c>
      <c r="D147" s="103">
        <f t="shared" si="40"/>
        <v>9.8628630132888598E-2</v>
      </c>
      <c r="E147" s="103">
        <f t="shared" si="40"/>
        <v>0.11992522816523202</v>
      </c>
      <c r="F147" s="103">
        <f t="shared" si="40"/>
        <v>8.9742629476065511E-2</v>
      </c>
      <c r="G147" s="103">
        <f t="shared" si="40"/>
        <v>9.8794366917550766E-2</v>
      </c>
      <c r="H147" s="103">
        <f t="shared" si="40"/>
        <v>9.2492186443479174E-2</v>
      </c>
      <c r="I147" s="103">
        <f t="shared" si="40"/>
        <v>9.0005116816541497E-2</v>
      </c>
      <c r="J147" s="103">
        <f t="shared" si="40"/>
        <v>8.4598772720439988E-2</v>
      </c>
      <c r="K147" s="103">
        <f t="shared" si="40"/>
        <v>9.2689811582536641E-2</v>
      </c>
      <c r="L147" s="103">
        <f t="shared" si="41"/>
        <v>8.8231526477841313E-2</v>
      </c>
      <c r="M147" s="103">
        <f t="shared" si="40"/>
        <v>0.10298226693436385</v>
      </c>
      <c r="N147" s="103">
        <f t="shared" si="40"/>
        <v>0.10206959118913447</v>
      </c>
      <c r="O147" s="103">
        <f t="shared" si="40"/>
        <v>0.114747483311118</v>
      </c>
      <c r="P147" s="103">
        <f t="shared" si="40"/>
        <v>0.11140940792588348</v>
      </c>
      <c r="Q147" s="103">
        <f t="shared" si="40"/>
        <v>0.10566590199102653</v>
      </c>
      <c r="R147" s="103">
        <f t="shared" ref="R147:V147" si="43">IF(R29=0,0,R29/R$17)</f>
        <v>0.10393356904487473</v>
      </c>
      <c r="S147" s="103">
        <f t="shared" si="43"/>
        <v>0.10689172110585098</v>
      </c>
      <c r="T147" s="103">
        <f t="shared" si="43"/>
        <v>0.10893445765238045</v>
      </c>
      <c r="U147" s="103">
        <f t="shared" si="43"/>
        <v>0.1100376660468419</v>
      </c>
      <c r="V147" s="103">
        <f t="shared" si="43"/>
        <v>0.12281643315852832</v>
      </c>
      <c r="W147" s="103">
        <f t="shared" ref="W147" si="44">IF(W29=0,0,W29/W$17)</f>
        <v>0.11699396590928471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0</v>
      </c>
      <c r="U148" s="103">
        <f t="shared" si="47"/>
        <v>0</v>
      </c>
      <c r="V148" s="103">
        <f t="shared" si="47"/>
        <v>0</v>
      </c>
      <c r="W148" s="103">
        <f t="shared" ref="W148" si="48">IF(W30=0,0,W30/W$17)</f>
        <v>0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7.4299934446808073E-4</v>
      </c>
      <c r="D149" s="103">
        <f t="shared" si="49"/>
        <v>1.1299583678690754E-3</v>
      </c>
      <c r="E149" s="103">
        <f t="shared" si="49"/>
        <v>1.1748848355065545E-3</v>
      </c>
      <c r="F149" s="103">
        <f t="shared" si="49"/>
        <v>1.1639803815872948E-3</v>
      </c>
      <c r="G149" s="103">
        <f t="shared" si="49"/>
        <v>1.272435243049058E-3</v>
      </c>
      <c r="H149" s="103">
        <f t="shared" si="49"/>
        <v>1.3133938712873946E-3</v>
      </c>
      <c r="I149" s="103">
        <f t="shared" si="49"/>
        <v>1.4524708605623742E-3</v>
      </c>
      <c r="J149" s="103">
        <f t="shared" si="49"/>
        <v>1.4732706833434494E-3</v>
      </c>
      <c r="K149" s="103">
        <f t="shared" si="49"/>
        <v>1.3525981601574409E-3</v>
      </c>
      <c r="L149" s="103">
        <f t="shared" si="46"/>
        <v>1.3908557086959599E-3</v>
      </c>
      <c r="M149" s="103">
        <f t="shared" ref="M149:V149" si="50">IF(M31=0,0,M31/M$17)</f>
        <v>1.6119400854244514E-3</v>
      </c>
      <c r="N149" s="103">
        <f t="shared" si="50"/>
        <v>1.9482952564364683E-3</v>
      </c>
      <c r="O149" s="103">
        <f t="shared" si="50"/>
        <v>1.7245841392709116E-3</v>
      </c>
      <c r="P149" s="103">
        <f t="shared" si="50"/>
        <v>1.7902459666709601E-3</v>
      </c>
      <c r="Q149" s="103">
        <f t="shared" si="50"/>
        <v>1.9853464178623947E-3</v>
      </c>
      <c r="R149" s="103">
        <f t="shared" si="50"/>
        <v>2.5528344070932072E-3</v>
      </c>
      <c r="S149" s="103">
        <f t="shared" si="50"/>
        <v>1.6293819478846194E-3</v>
      </c>
      <c r="T149" s="103">
        <f t="shared" si="50"/>
        <v>2.0166522395780695E-3</v>
      </c>
      <c r="U149" s="103">
        <f t="shared" si="50"/>
        <v>2.3757526593664964E-3</v>
      </c>
      <c r="V149" s="103">
        <f t="shared" si="50"/>
        <v>2.6778827112657801E-3</v>
      </c>
      <c r="W149" s="103">
        <f t="shared" ref="W149" si="51">IF(W31=0,0,W31/W$17)</f>
        <v>3.0109549515541776E-3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0.35778975587502387</v>
      </c>
      <c r="C151" s="46">
        <f t="shared" si="55"/>
        <v>0.35231413752568996</v>
      </c>
      <c r="D151" s="46">
        <f t="shared" si="55"/>
        <v>0.34723792367286449</v>
      </c>
      <c r="E151" s="46">
        <f t="shared" si="55"/>
        <v>0.32879648086287694</v>
      </c>
      <c r="F151" s="46">
        <f t="shared" si="55"/>
        <v>0.34636757224792147</v>
      </c>
      <c r="G151" s="46">
        <f t="shared" si="55"/>
        <v>0.32266611740086387</v>
      </c>
      <c r="H151" s="46">
        <f t="shared" si="55"/>
        <v>0.32787027319983875</v>
      </c>
      <c r="I151" s="46">
        <f t="shared" si="55"/>
        <v>0.32510563709631435</v>
      </c>
      <c r="J151" s="46">
        <f t="shared" si="55"/>
        <v>0.32959647241949536</v>
      </c>
      <c r="K151" s="46">
        <f t="shared" si="55"/>
        <v>0.35290554973323945</v>
      </c>
      <c r="L151" s="46">
        <f t="shared" ref="L151" si="56">IF(L33=0,0,L33/L$17)</f>
        <v>0.34860094371933964</v>
      </c>
      <c r="M151" s="46">
        <f t="shared" ref="M151:V151" si="57">IF(M33=0,0,M33/M$17)</f>
        <v>0.30924174874088983</v>
      </c>
      <c r="N151" s="46">
        <f t="shared" si="57"/>
        <v>0.27919796924987705</v>
      </c>
      <c r="O151" s="46">
        <f t="shared" si="57"/>
        <v>0.32141154332101896</v>
      </c>
      <c r="P151" s="46">
        <f t="shared" si="57"/>
        <v>0.33335512187656419</v>
      </c>
      <c r="Q151" s="46">
        <f t="shared" si="57"/>
        <v>0.32315361378145679</v>
      </c>
      <c r="R151" s="46">
        <f t="shared" si="57"/>
        <v>0.33099565730573349</v>
      </c>
      <c r="S151" s="46">
        <f t="shared" si="57"/>
        <v>0.31685258013323792</v>
      </c>
      <c r="T151" s="46">
        <f t="shared" si="57"/>
        <v>0.32015205796137713</v>
      </c>
      <c r="U151" s="46">
        <f t="shared" si="57"/>
        <v>0.3233913294866852</v>
      </c>
      <c r="V151" s="46">
        <f t="shared" si="57"/>
        <v>0.33466823554607661</v>
      </c>
      <c r="W151" s="46">
        <f t="shared" ref="W151" si="58">IF(W33=0,0,W33/W$17)</f>
        <v>0.34183513518823555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0.1463948202066315</v>
      </c>
      <c r="C152" s="154">
        <f t="shared" si="59"/>
        <v>0.14201233496640808</v>
      </c>
      <c r="D152" s="154">
        <f t="shared" si="59"/>
        <v>0.14002556880673026</v>
      </c>
      <c r="E152" s="154">
        <f t="shared" si="59"/>
        <v>0.13541425428361056</v>
      </c>
      <c r="F152" s="154">
        <f t="shared" si="59"/>
        <v>0.13207910360394554</v>
      </c>
      <c r="G152" s="154">
        <f t="shared" si="59"/>
        <v>0.12878438222350239</v>
      </c>
      <c r="H152" s="154">
        <f t="shared" si="59"/>
        <v>0.12565274912351132</v>
      </c>
      <c r="I152" s="154">
        <f t="shared" si="59"/>
        <v>0.12724071361360489</v>
      </c>
      <c r="J152" s="154">
        <f t="shared" si="59"/>
        <v>0.12763147693913016</v>
      </c>
      <c r="K152" s="154">
        <f t="shared" si="59"/>
        <v>0.110586898449188</v>
      </c>
      <c r="L152" s="154">
        <f t="shared" ref="L152" si="60">IF(L34=0,0,L34/L$17)</f>
        <v>0.1223689917909505</v>
      </c>
      <c r="M152" s="154">
        <f t="shared" ref="M152:V152" si="61">IF(M34=0,0,M34/M$17)</f>
        <v>0.11506112614348928</v>
      </c>
      <c r="N152" s="154">
        <f t="shared" si="61"/>
        <v>0.1147116872929676</v>
      </c>
      <c r="O152" s="154">
        <f t="shared" si="61"/>
        <v>0.13090100163882032</v>
      </c>
      <c r="P152" s="154">
        <f t="shared" si="61"/>
        <v>0.13148938408180924</v>
      </c>
      <c r="Q152" s="154">
        <f t="shared" si="61"/>
        <v>0.15552534950525224</v>
      </c>
      <c r="R152" s="154">
        <f t="shared" si="61"/>
        <v>0.16006833901575243</v>
      </c>
      <c r="S152" s="154">
        <f t="shared" si="61"/>
        <v>0.14373851664167275</v>
      </c>
      <c r="T152" s="154">
        <f t="shared" si="61"/>
        <v>0.14239990354748533</v>
      </c>
      <c r="U152" s="154">
        <f t="shared" si="61"/>
        <v>0.13869631741568639</v>
      </c>
      <c r="V152" s="154">
        <f t="shared" si="61"/>
        <v>0.13647730227033791</v>
      </c>
      <c r="W152" s="154">
        <f t="shared" ref="W152" si="62">IF(W34=0,0,W34/W$17)</f>
        <v>0.14027743387567507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0.12076386534506908</v>
      </c>
      <c r="C153" s="103">
        <f t="shared" si="63"/>
        <v>0.11402378979577486</v>
      </c>
      <c r="D153" s="103">
        <f t="shared" si="63"/>
        <v>0.11034212691240627</v>
      </c>
      <c r="E153" s="103">
        <f t="shared" si="63"/>
        <v>0.10285073275408152</v>
      </c>
      <c r="F153" s="103">
        <f t="shared" si="63"/>
        <v>9.7093615433975156E-2</v>
      </c>
      <c r="G153" s="103">
        <f t="shared" si="63"/>
        <v>9.2607062208433732E-2</v>
      </c>
      <c r="H153" s="103">
        <f t="shared" si="63"/>
        <v>8.5312423428723666E-2</v>
      </c>
      <c r="I153" s="103">
        <f t="shared" si="63"/>
        <v>8.3879909640082045E-2</v>
      </c>
      <c r="J153" s="103">
        <f t="shared" si="63"/>
        <v>8.3548559932318259E-2</v>
      </c>
      <c r="K153" s="103">
        <f t="shared" si="63"/>
        <v>6.4033931004569125E-2</v>
      </c>
      <c r="L153" s="103">
        <f t="shared" ref="L153" si="64">IF(L35=0,0,L35/L$17)</f>
        <v>6.6401164955323805E-2</v>
      </c>
      <c r="M153" s="103">
        <f t="shared" ref="M153:V153" si="65">IF(M35=0,0,M35/M$17)</f>
        <v>6.0069278950503679E-2</v>
      </c>
      <c r="N153" s="103">
        <f t="shared" si="65"/>
        <v>5.9088286589264287E-2</v>
      </c>
      <c r="O153" s="103">
        <f t="shared" si="65"/>
        <v>5.7669961532283182E-2</v>
      </c>
      <c r="P153" s="103">
        <f t="shared" si="65"/>
        <v>5.7068514967368117E-2</v>
      </c>
      <c r="Q153" s="103">
        <f t="shared" si="65"/>
        <v>5.7568646558167742E-2</v>
      </c>
      <c r="R153" s="103">
        <f t="shared" si="65"/>
        <v>5.6210435555154467E-2</v>
      </c>
      <c r="S153" s="103">
        <f t="shared" si="65"/>
        <v>5.4258981579954138E-2</v>
      </c>
      <c r="T153" s="103">
        <f t="shared" si="65"/>
        <v>5.9374556856592535E-2</v>
      </c>
      <c r="U153" s="103">
        <f t="shared" si="65"/>
        <v>5.7073758913402328E-2</v>
      </c>
      <c r="V153" s="103">
        <f t="shared" si="65"/>
        <v>5.707778660494163E-2</v>
      </c>
      <c r="W153" s="103">
        <f t="shared" ref="W153" si="66">IF(W35=0,0,W35/W$17)</f>
        <v>5.9154624951795624E-2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2.5630954861562406E-2</v>
      </c>
      <c r="C154" s="103">
        <f t="shared" si="67"/>
        <v>2.7988545170633213E-2</v>
      </c>
      <c r="D154" s="103">
        <f t="shared" si="67"/>
        <v>2.9683441894323988E-2</v>
      </c>
      <c r="E154" s="103">
        <f t="shared" si="67"/>
        <v>3.2563521529529051E-2</v>
      </c>
      <c r="F154" s="103">
        <f t="shared" si="67"/>
        <v>3.4985488169970387E-2</v>
      </c>
      <c r="G154" s="103">
        <f t="shared" si="67"/>
        <v>3.6177320015068654E-2</v>
      </c>
      <c r="H154" s="103">
        <f t="shared" si="67"/>
        <v>4.0340325694787661E-2</v>
      </c>
      <c r="I154" s="103">
        <f t="shared" si="67"/>
        <v>4.3360803973522842E-2</v>
      </c>
      <c r="J154" s="103">
        <f t="shared" si="67"/>
        <v>4.4082917006811911E-2</v>
      </c>
      <c r="K154" s="103">
        <f t="shared" si="67"/>
        <v>4.6552967444618856E-2</v>
      </c>
      <c r="L154" s="103">
        <f t="shared" ref="L154" si="68">IF(L36=0,0,L36/L$17)</f>
        <v>5.596782683562667E-2</v>
      </c>
      <c r="M154" s="103">
        <f t="shared" ref="M154:V154" si="69">IF(M36=0,0,M36/M$17)</f>
        <v>5.4991847192985596E-2</v>
      </c>
      <c r="N154" s="103">
        <f t="shared" si="69"/>
        <v>5.5623400703703314E-2</v>
      </c>
      <c r="O154" s="103">
        <f t="shared" si="69"/>
        <v>7.3231040106537124E-2</v>
      </c>
      <c r="P154" s="103">
        <f t="shared" si="69"/>
        <v>7.442086911444111E-2</v>
      </c>
      <c r="Q154" s="103">
        <f t="shared" si="69"/>
        <v>9.7956702947084501E-2</v>
      </c>
      <c r="R154" s="103">
        <f t="shared" si="69"/>
        <v>0.10385790346059795</v>
      </c>
      <c r="S154" s="103">
        <f t="shared" si="69"/>
        <v>8.9479535061718615E-2</v>
      </c>
      <c r="T154" s="103">
        <f t="shared" si="69"/>
        <v>8.3025346690892787E-2</v>
      </c>
      <c r="U154" s="103">
        <f t="shared" si="69"/>
        <v>8.1622558502284046E-2</v>
      </c>
      <c r="V154" s="103">
        <f t="shared" si="69"/>
        <v>7.9399515665396297E-2</v>
      </c>
      <c r="W154" s="103">
        <f t="shared" ref="W154" si="70">IF(W36=0,0,W36/W$17)</f>
        <v>8.1122808923879436E-2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0</v>
      </c>
      <c r="O155" s="103">
        <f t="shared" si="73"/>
        <v>0</v>
      </c>
      <c r="P155" s="103">
        <f t="shared" si="73"/>
        <v>0</v>
      </c>
      <c r="Q155" s="103">
        <f t="shared" si="73"/>
        <v>0</v>
      </c>
      <c r="R155" s="103">
        <f t="shared" si="73"/>
        <v>0</v>
      </c>
      <c r="S155" s="103">
        <f t="shared" si="73"/>
        <v>0</v>
      </c>
      <c r="T155" s="103">
        <f t="shared" si="73"/>
        <v>0</v>
      </c>
      <c r="U155" s="103">
        <f t="shared" si="73"/>
        <v>0</v>
      </c>
      <c r="V155" s="103">
        <f t="shared" si="73"/>
        <v>0</v>
      </c>
      <c r="W155" s="103">
        <f t="shared" ref="W155" si="74">IF(W37=0,0,W37/W$17)</f>
        <v>0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0</v>
      </c>
      <c r="P156" s="103">
        <f t="shared" si="77"/>
        <v>0</v>
      </c>
      <c r="Q156" s="103">
        <f t="shared" si="77"/>
        <v>0</v>
      </c>
      <c r="R156" s="103">
        <f t="shared" si="77"/>
        <v>0</v>
      </c>
      <c r="S156" s="103">
        <f t="shared" si="77"/>
        <v>0</v>
      </c>
      <c r="T156" s="103">
        <f t="shared" si="77"/>
        <v>0</v>
      </c>
      <c r="U156" s="103">
        <f t="shared" si="77"/>
        <v>0</v>
      </c>
      <c r="V156" s="103">
        <f t="shared" si="77"/>
        <v>0</v>
      </c>
      <c r="W156" s="103">
        <f t="shared" ref="W156" si="78">IF(W38=0,0,W38/W$17)</f>
        <v>0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0.21139493566839238</v>
      </c>
      <c r="C158" s="156">
        <f t="shared" si="83"/>
        <v>0.21030180255928191</v>
      </c>
      <c r="D158" s="156">
        <f t="shared" si="83"/>
        <v>0.20721235486613421</v>
      </c>
      <c r="E158" s="156">
        <f t="shared" si="83"/>
        <v>0.19338222657926635</v>
      </c>
      <c r="F158" s="156">
        <f t="shared" si="83"/>
        <v>0.21428846864397594</v>
      </c>
      <c r="G158" s="156">
        <f t="shared" si="83"/>
        <v>0.19388173517736149</v>
      </c>
      <c r="H158" s="156">
        <f t="shared" si="83"/>
        <v>0.20221752407632743</v>
      </c>
      <c r="I158" s="156">
        <f t="shared" si="83"/>
        <v>0.19786492348270945</v>
      </c>
      <c r="J158" s="156">
        <f t="shared" si="83"/>
        <v>0.20196499548036514</v>
      </c>
      <c r="K158" s="156">
        <f t="shared" si="83"/>
        <v>0.24231865128405147</v>
      </c>
      <c r="L158" s="156">
        <f t="shared" ref="L158" si="84">IF(L40=0,0,L40/L$17)</f>
        <v>0.22623195192838913</v>
      </c>
      <c r="M158" s="156">
        <f t="shared" ref="M158:V158" si="85">IF(M40=0,0,M40/M$17)</f>
        <v>0.19418062259740052</v>
      </c>
      <c r="N158" s="156">
        <f t="shared" si="85"/>
        <v>0.16448628195690942</v>
      </c>
      <c r="O158" s="156">
        <f t="shared" si="85"/>
        <v>0.19051054168219858</v>
      </c>
      <c r="P158" s="156">
        <f t="shared" si="85"/>
        <v>0.20186573779475495</v>
      </c>
      <c r="Q158" s="156">
        <f t="shared" si="85"/>
        <v>0.16762826427620459</v>
      </c>
      <c r="R158" s="156">
        <f t="shared" si="85"/>
        <v>0.17092731828998106</v>
      </c>
      <c r="S158" s="156">
        <f t="shared" si="85"/>
        <v>0.17311406349156513</v>
      </c>
      <c r="T158" s="156">
        <f t="shared" si="85"/>
        <v>0.17775215441389186</v>
      </c>
      <c r="U158" s="156">
        <f t="shared" si="85"/>
        <v>0.18469501207099884</v>
      </c>
      <c r="V158" s="156">
        <f t="shared" si="85"/>
        <v>0.19819093327573872</v>
      </c>
      <c r="W158" s="156">
        <f t="shared" ref="W158" si="86">IF(W40=0,0,W40/W$17)</f>
        <v>0.20155770131256051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0.1930609032639114</v>
      </c>
      <c r="C159" s="103">
        <f t="shared" si="87"/>
        <v>0.1917423526821925</v>
      </c>
      <c r="D159" s="103">
        <f t="shared" si="87"/>
        <v>0.18862736300804042</v>
      </c>
      <c r="E159" s="103">
        <f t="shared" si="87"/>
        <v>0.16050624405153507</v>
      </c>
      <c r="F159" s="103">
        <f t="shared" si="87"/>
        <v>0.19413930880605457</v>
      </c>
      <c r="G159" s="103">
        <f t="shared" si="87"/>
        <v>0.16686153821181324</v>
      </c>
      <c r="H159" s="103">
        <f t="shared" si="87"/>
        <v>0.17486505809949685</v>
      </c>
      <c r="I159" s="103">
        <f t="shared" si="87"/>
        <v>0.17161884214354076</v>
      </c>
      <c r="J159" s="103">
        <f t="shared" si="87"/>
        <v>0.17992459043970657</v>
      </c>
      <c r="K159" s="103">
        <f t="shared" si="87"/>
        <v>0.20918616561502248</v>
      </c>
      <c r="L159" s="103">
        <f t="shared" ref="L159" si="88">IF(L41=0,0,L41/L$17)</f>
        <v>0.19771022060238044</v>
      </c>
      <c r="M159" s="103">
        <f t="shared" ref="M159:V159" si="89">IF(M41=0,0,M41/M$17)</f>
        <v>0.16557778838640203</v>
      </c>
      <c r="N159" s="103">
        <f t="shared" si="89"/>
        <v>0.14525315783604359</v>
      </c>
      <c r="O159" s="103">
        <f t="shared" si="89"/>
        <v>0.15604926625647422</v>
      </c>
      <c r="P159" s="103">
        <f t="shared" si="89"/>
        <v>0.16929851356172299</v>
      </c>
      <c r="Q159" s="103">
        <f t="shared" si="89"/>
        <v>0.14480795788502529</v>
      </c>
      <c r="R159" s="103">
        <f t="shared" si="89"/>
        <v>0.14710884370766009</v>
      </c>
      <c r="S159" s="103">
        <f t="shared" si="89"/>
        <v>0.13942576616918545</v>
      </c>
      <c r="T159" s="103">
        <f t="shared" si="89"/>
        <v>0.14359044397208601</v>
      </c>
      <c r="U159" s="103">
        <f t="shared" si="89"/>
        <v>0.1482749487422538</v>
      </c>
      <c r="V159" s="103">
        <f t="shared" si="89"/>
        <v>0.15437486395767633</v>
      </c>
      <c r="W159" s="103">
        <f t="shared" ref="W159" si="90">IF(W41=0,0,W41/W$17)</f>
        <v>0.16639190391014627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1.8334032404480952E-2</v>
      </c>
      <c r="C160" s="105">
        <f t="shared" si="91"/>
        <v>1.8559449877089417E-2</v>
      </c>
      <c r="D160" s="105">
        <f t="shared" si="91"/>
        <v>1.8584991858093799E-2</v>
      </c>
      <c r="E160" s="105">
        <f t="shared" si="91"/>
        <v>3.2875982527731287E-2</v>
      </c>
      <c r="F160" s="105">
        <f t="shared" si="91"/>
        <v>2.0149159837921371E-2</v>
      </c>
      <c r="G160" s="105">
        <f t="shared" si="91"/>
        <v>2.7020196965548249E-2</v>
      </c>
      <c r="H160" s="105">
        <f t="shared" si="91"/>
        <v>2.7352465976830588E-2</v>
      </c>
      <c r="I160" s="105">
        <f t="shared" si="91"/>
        <v>2.6246081339168701E-2</v>
      </c>
      <c r="J160" s="105">
        <f t="shared" si="91"/>
        <v>2.2040405040658587E-2</v>
      </c>
      <c r="K160" s="105">
        <f t="shared" si="91"/>
        <v>3.3132485669029009E-2</v>
      </c>
      <c r="L160" s="105">
        <f t="shared" ref="L160" si="92">IF(L42=0,0,L42/L$17)</f>
        <v>2.8521731326008718E-2</v>
      </c>
      <c r="M160" s="105">
        <f t="shared" ref="M160:V160" si="93">IF(M42=0,0,M42/M$17)</f>
        <v>2.8602834210998497E-2</v>
      </c>
      <c r="N160" s="105">
        <f t="shared" si="93"/>
        <v>1.9233124120865822E-2</v>
      </c>
      <c r="O160" s="105">
        <f t="shared" si="93"/>
        <v>3.4461275425724358E-2</v>
      </c>
      <c r="P160" s="105">
        <f t="shared" si="93"/>
        <v>3.2567224233031968E-2</v>
      </c>
      <c r="Q160" s="105">
        <f t="shared" si="93"/>
        <v>2.2820306391179285E-2</v>
      </c>
      <c r="R160" s="105">
        <f t="shared" si="93"/>
        <v>2.3818474582320965E-2</v>
      </c>
      <c r="S160" s="105">
        <f t="shared" si="93"/>
        <v>3.3688297322379684E-2</v>
      </c>
      <c r="T160" s="105">
        <f t="shared" si="93"/>
        <v>3.4161710441805847E-2</v>
      </c>
      <c r="U160" s="105">
        <f t="shared" si="93"/>
        <v>3.6420063328745006E-2</v>
      </c>
      <c r="V160" s="105">
        <f t="shared" si="93"/>
        <v>4.3816069318062388E-2</v>
      </c>
      <c r="W160" s="105">
        <f t="shared" ref="W160" si="94">IF(W42=0,0,W42/W$17)</f>
        <v>3.5165797402414253E-2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5268820</v>
      </c>
      <c r="C3" s="54">
        <f>TrRoad_act!C57</f>
        <v>5579631</v>
      </c>
      <c r="D3" s="54">
        <f>TrRoad_act!D57</f>
        <v>5865430</v>
      </c>
      <c r="E3" s="54">
        <f>TrRoad_act!E57</f>
        <v>6147878</v>
      </c>
      <c r="F3" s="54">
        <f>TrRoad_act!F57</f>
        <v>6350636</v>
      </c>
      <c r="G3" s="54">
        <f>TrRoad_act!G57</f>
        <v>6616258</v>
      </c>
      <c r="H3" s="54">
        <f>TrRoad_act!H57</f>
        <v>6867302</v>
      </c>
      <c r="I3" s="54">
        <f>TrRoad_act!I57</f>
        <v>7248728</v>
      </c>
      <c r="J3" s="54">
        <f>TrRoad_act!J57</f>
        <v>7498359</v>
      </c>
      <c r="K3" s="54">
        <f>TrRoad_act!K57</f>
        <v>7630060</v>
      </c>
      <c r="L3" s="54">
        <f>TrRoad_act!L57</f>
        <v>7734931</v>
      </c>
      <c r="M3" s="54">
        <f>TrRoad_act!M57</f>
        <v>7670161</v>
      </c>
      <c r="N3" s="54">
        <f>TrRoad_act!N57</f>
        <v>7592902</v>
      </c>
      <c r="O3" s="54">
        <f>TrRoad_act!O57</f>
        <v>7516508</v>
      </c>
      <c r="P3" s="54">
        <f>TrRoad_act!P57</f>
        <v>7485588</v>
      </c>
      <c r="Q3" s="54">
        <f>TrRoad_act!Q57</f>
        <v>7553586</v>
      </c>
      <c r="R3" s="54">
        <f>TrRoad_act!R57</f>
        <v>7675434</v>
      </c>
      <c r="S3" s="54">
        <f>TrRoad_act!S57</f>
        <v>7657877</v>
      </c>
      <c r="T3" s="54">
        <f>TrRoad_act!T57</f>
        <v>7597435</v>
      </c>
      <c r="U3" s="54">
        <f>TrRoad_act!U57</f>
        <v>7723835</v>
      </c>
      <c r="V3" s="54">
        <f>TrRoad_act!V57</f>
        <v>7816033</v>
      </c>
      <c r="W3" s="54">
        <f>TrRoad_act!W57</f>
        <v>7949881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4363885</v>
      </c>
      <c r="C4" s="28">
        <f>TrRoad_act!C58</f>
        <v>4646727</v>
      </c>
      <c r="D4" s="28">
        <f>TrRoad_act!D58</f>
        <v>4909642</v>
      </c>
      <c r="E4" s="28">
        <f>TrRoad_act!E58</f>
        <v>5177925</v>
      </c>
      <c r="F4" s="28">
        <f>TrRoad_act!F58</f>
        <v>5353129</v>
      </c>
      <c r="G4" s="28">
        <f>TrRoad_act!G58</f>
        <v>5660696</v>
      </c>
      <c r="H4" s="28">
        <f>TrRoad_act!H58</f>
        <v>5880388</v>
      </c>
      <c r="I4" s="28">
        <f>TrRoad_act!I58</f>
        <v>6224689</v>
      </c>
      <c r="J4" s="28">
        <f>TrRoad_act!J58</f>
        <v>6440106</v>
      </c>
      <c r="K4" s="28">
        <f>TrRoad_act!K58</f>
        <v>6608503</v>
      </c>
      <c r="L4" s="28">
        <f>TrRoad_act!L58</f>
        <v>6723683</v>
      </c>
      <c r="M4" s="28">
        <f>TrRoad_act!M58</f>
        <v>6742822</v>
      </c>
      <c r="N4" s="28">
        <f>TrRoad_act!N58</f>
        <v>6741153</v>
      </c>
      <c r="O4" s="28">
        <f>TrRoad_act!O58</f>
        <v>6700838</v>
      </c>
      <c r="P4" s="28">
        <f>TrRoad_act!P58</f>
        <v>6708937</v>
      </c>
      <c r="Q4" s="28">
        <f>TrRoad_act!Q58</f>
        <v>6749138</v>
      </c>
      <c r="R4" s="28">
        <f>TrRoad_act!R58</f>
        <v>6840481</v>
      </c>
      <c r="S4" s="28">
        <f>TrRoad_act!S58</f>
        <v>6919420</v>
      </c>
      <c r="T4" s="28">
        <f>TrRoad_act!T58</f>
        <v>6892929</v>
      </c>
      <c r="U4" s="28">
        <f>TrRoad_act!U58</f>
        <v>7043307</v>
      </c>
      <c r="V4" s="28">
        <f>TrRoad_act!V58</f>
        <v>7156677</v>
      </c>
      <c r="W4" s="28">
        <f>TrRoad_act!W58</f>
        <v>7306934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781361</v>
      </c>
      <c r="C5" s="137">
        <f>TrRoad_act!C59</f>
        <v>853366</v>
      </c>
      <c r="D5" s="137">
        <f>TrRoad_act!D59</f>
        <v>910555</v>
      </c>
      <c r="E5" s="137">
        <f>TrRoad_act!E59</f>
        <v>969895</v>
      </c>
      <c r="F5" s="137">
        <f>TrRoad_act!F59</f>
        <v>1042605</v>
      </c>
      <c r="G5" s="137">
        <f>TrRoad_act!G59</f>
        <v>1124172</v>
      </c>
      <c r="H5" s="137">
        <f>TrRoad_act!H59</f>
        <v>1205816</v>
      </c>
      <c r="I5" s="137">
        <f>TrRoad_act!I59</f>
        <v>1298688</v>
      </c>
      <c r="J5" s="137">
        <f>TrRoad_act!J59</f>
        <v>1388607</v>
      </c>
      <c r="K5" s="137">
        <f>TrRoad_act!K59</f>
        <v>1448851</v>
      </c>
      <c r="L5" s="137">
        <f>TrRoad_act!L59</f>
        <v>1499133</v>
      </c>
      <c r="M5" s="137">
        <f>TrRoad_act!M59</f>
        <v>1534902</v>
      </c>
      <c r="N5" s="137">
        <f>TrRoad_act!N59</f>
        <v>1556435</v>
      </c>
      <c r="O5" s="137">
        <f>TrRoad_act!O59</f>
        <v>1568596</v>
      </c>
      <c r="P5" s="137">
        <f>TrRoad_act!P59</f>
        <v>1592929</v>
      </c>
      <c r="Q5" s="137">
        <f>TrRoad_act!Q59</f>
        <v>1619621</v>
      </c>
      <c r="R5" s="137">
        <f>TrRoad_act!R59</f>
        <v>1653528</v>
      </c>
      <c r="S5" s="137">
        <f>TrRoad_act!S59</f>
        <v>1656657</v>
      </c>
      <c r="T5" s="137">
        <f>TrRoad_act!T59</f>
        <v>1583491</v>
      </c>
      <c r="U5" s="137">
        <f>TrRoad_act!U59</f>
        <v>1609923</v>
      </c>
      <c r="V5" s="137">
        <f>TrRoad_act!V59</f>
        <v>1637608</v>
      </c>
      <c r="W5" s="137">
        <f>TrRoad_act!W59</f>
        <v>1675804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3555065</v>
      </c>
      <c r="C6" s="110">
        <f>TrRoad_act!C60</f>
        <v>3765843</v>
      </c>
      <c r="D6" s="110">
        <f>TrRoad_act!D60</f>
        <v>3971437</v>
      </c>
      <c r="E6" s="110">
        <f>TrRoad_act!E60</f>
        <v>4180532</v>
      </c>
      <c r="F6" s="110">
        <f>TrRoad_act!F60</f>
        <v>4283372</v>
      </c>
      <c r="G6" s="110">
        <f>TrRoad_act!G60</f>
        <v>4509326</v>
      </c>
      <c r="H6" s="110">
        <f>TrRoad_act!H60</f>
        <v>4647265</v>
      </c>
      <c r="I6" s="110">
        <f>TrRoad_act!I60</f>
        <v>4898530</v>
      </c>
      <c r="J6" s="110">
        <f>TrRoad_act!J60</f>
        <v>5023944</v>
      </c>
      <c r="K6" s="110">
        <f>TrRoad_act!K60</f>
        <v>5131960</v>
      </c>
      <c r="L6" s="110">
        <f>TrRoad_act!L60</f>
        <v>5196873</v>
      </c>
      <c r="M6" s="110">
        <f>TrRoad_act!M60</f>
        <v>5180433</v>
      </c>
      <c r="N6" s="110">
        <f>TrRoad_act!N60</f>
        <v>5157390</v>
      </c>
      <c r="O6" s="110">
        <f>TrRoad_act!O60</f>
        <v>5105093</v>
      </c>
      <c r="P6" s="110">
        <f>TrRoad_act!P60</f>
        <v>5088961</v>
      </c>
      <c r="Q6" s="110">
        <f>TrRoad_act!Q60</f>
        <v>5102575</v>
      </c>
      <c r="R6" s="110">
        <f>TrRoad_act!R60</f>
        <v>5160056</v>
      </c>
      <c r="S6" s="110">
        <f>TrRoad_act!S60</f>
        <v>5235928</v>
      </c>
      <c r="T6" s="110">
        <f>TrRoad_act!T60</f>
        <v>5282695</v>
      </c>
      <c r="U6" s="110">
        <f>TrRoad_act!U60</f>
        <v>5406551</v>
      </c>
      <c r="V6" s="110">
        <f>TrRoad_act!V60</f>
        <v>5492176</v>
      </c>
      <c r="W6" s="110">
        <f>TrRoad_act!W60</f>
        <v>5604192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3437712</v>
      </c>
      <c r="C7" s="84">
        <f>TrRoad_act!C61</f>
        <v>3653075</v>
      </c>
      <c r="D7" s="84">
        <f>TrRoad_act!D61</f>
        <v>3859218</v>
      </c>
      <c r="E7" s="84">
        <f>TrRoad_act!E61</f>
        <v>4063433</v>
      </c>
      <c r="F7" s="84">
        <f>TrRoad_act!F61</f>
        <v>4178193</v>
      </c>
      <c r="G7" s="84">
        <f>TrRoad_act!G61</f>
        <v>4402095</v>
      </c>
      <c r="H7" s="84">
        <f>TrRoad_act!H61</f>
        <v>4529645</v>
      </c>
      <c r="I7" s="84">
        <f>TrRoad_act!I61</f>
        <v>4774152</v>
      </c>
      <c r="J7" s="84">
        <f>TrRoad_act!J61</f>
        <v>4901231</v>
      </c>
      <c r="K7" s="84">
        <f>TrRoad_act!K61</f>
        <v>4987108</v>
      </c>
      <c r="L7" s="84">
        <f>TrRoad_act!L61</f>
        <v>5033499</v>
      </c>
      <c r="M7" s="84">
        <f>TrRoad_act!M61</f>
        <v>4976132</v>
      </c>
      <c r="N7" s="84">
        <f>TrRoad_act!N61</f>
        <v>4981221</v>
      </c>
      <c r="O7" s="84">
        <f>TrRoad_act!O61</f>
        <v>4854223</v>
      </c>
      <c r="P7" s="84">
        <f>TrRoad_act!P61</f>
        <v>4768091</v>
      </c>
      <c r="Q7" s="84">
        <f>TrRoad_act!Q61</f>
        <v>4758743</v>
      </c>
      <c r="R7" s="84">
        <f>TrRoad_act!R61</f>
        <v>4749369</v>
      </c>
      <c r="S7" s="84">
        <f>TrRoad_act!S61</f>
        <v>4785438</v>
      </c>
      <c r="T7" s="84">
        <f>TrRoad_act!T61</f>
        <v>4777454</v>
      </c>
      <c r="U7" s="84">
        <f>TrRoad_act!U61</f>
        <v>4838018</v>
      </c>
      <c r="V7" s="84">
        <f>TrRoad_act!V61</f>
        <v>4875129</v>
      </c>
      <c r="W7" s="84">
        <f>TrRoad_act!W61</f>
        <v>4993390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106853</v>
      </c>
      <c r="C8" s="84">
        <f>TrRoad_act!C62</f>
        <v>102368</v>
      </c>
      <c r="D8" s="84">
        <f>TrRoad_act!D62</f>
        <v>101882</v>
      </c>
      <c r="E8" s="84">
        <f>TrRoad_act!E62</f>
        <v>107397</v>
      </c>
      <c r="F8" s="84">
        <f>TrRoad_act!F62</f>
        <v>96144</v>
      </c>
      <c r="G8" s="84">
        <f>TrRoad_act!G62</f>
        <v>98124</v>
      </c>
      <c r="H8" s="84">
        <f>TrRoad_act!H62</f>
        <v>108335</v>
      </c>
      <c r="I8" s="84">
        <f>TrRoad_act!I62</f>
        <v>114198</v>
      </c>
      <c r="J8" s="84">
        <f>TrRoad_act!J62</f>
        <v>112326</v>
      </c>
      <c r="K8" s="84">
        <f>TrRoad_act!K62</f>
        <v>129911</v>
      </c>
      <c r="L8" s="84">
        <f>TrRoad_act!L62</f>
        <v>128461</v>
      </c>
      <c r="M8" s="84">
        <f>TrRoad_act!M62</f>
        <v>119803</v>
      </c>
      <c r="N8" s="84">
        <f>TrRoad_act!N62</f>
        <v>112106</v>
      </c>
      <c r="O8" s="84">
        <f>TrRoad_act!O62</f>
        <v>104563</v>
      </c>
      <c r="P8" s="84">
        <f>TrRoad_act!P62</f>
        <v>160840</v>
      </c>
      <c r="Q8" s="84">
        <f>TrRoad_act!Q62</f>
        <v>156270</v>
      </c>
      <c r="R8" s="84">
        <f>TrRoad_act!R62</f>
        <v>195332</v>
      </c>
      <c r="S8" s="84">
        <f>TrRoad_act!S62</f>
        <v>234406</v>
      </c>
      <c r="T8" s="84">
        <f>TrRoad_act!T62</f>
        <v>288311</v>
      </c>
      <c r="U8" s="84">
        <f>TrRoad_act!U62</f>
        <v>348852</v>
      </c>
      <c r="V8" s="84">
        <f>TrRoad_act!V62</f>
        <v>422140</v>
      </c>
      <c r="W8" s="84">
        <f>TrRoad_act!W62</f>
        <v>406517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10500</v>
      </c>
      <c r="C9" s="84">
        <f>TrRoad_act!C63</f>
        <v>9740</v>
      </c>
      <c r="D9" s="84">
        <f>TrRoad_act!D63</f>
        <v>9263</v>
      </c>
      <c r="E9" s="84">
        <f>TrRoad_act!E63</f>
        <v>8513</v>
      </c>
      <c r="F9" s="84">
        <f>TrRoad_act!F63</f>
        <v>7846</v>
      </c>
      <c r="G9" s="84">
        <f>TrRoad_act!G63</f>
        <v>7779</v>
      </c>
      <c r="H9" s="84">
        <f>TrRoad_act!H63</f>
        <v>7883</v>
      </c>
      <c r="I9" s="84">
        <f>TrRoad_act!I63</f>
        <v>8565</v>
      </c>
      <c r="J9" s="84">
        <f>TrRoad_act!J63</f>
        <v>8784</v>
      </c>
      <c r="K9" s="84">
        <f>TrRoad_act!K63</f>
        <v>12767</v>
      </c>
      <c r="L9" s="84">
        <f>TrRoad_act!L63</f>
        <v>32340</v>
      </c>
      <c r="M9" s="84">
        <f>TrRoad_act!M63</f>
        <v>81770</v>
      </c>
      <c r="N9" s="84">
        <f>TrRoad_act!N63</f>
        <v>61379</v>
      </c>
      <c r="O9" s="84">
        <f>TrRoad_act!O63</f>
        <v>143786</v>
      </c>
      <c r="P9" s="84">
        <f>TrRoad_act!P63</f>
        <v>157464</v>
      </c>
      <c r="Q9" s="84">
        <f>TrRoad_act!Q63</f>
        <v>184678</v>
      </c>
      <c r="R9" s="84">
        <f>TrRoad_act!R63</f>
        <v>212380</v>
      </c>
      <c r="S9" s="84">
        <f>TrRoad_act!S63</f>
        <v>212999</v>
      </c>
      <c r="T9" s="84">
        <f>TrRoad_act!T63</f>
        <v>213649</v>
      </c>
      <c r="U9" s="84">
        <f>TrRoad_act!U63</f>
        <v>215785</v>
      </c>
      <c r="V9" s="84">
        <f>TrRoad_act!V63</f>
        <v>187943</v>
      </c>
      <c r="W9" s="84">
        <f>TrRoad_act!W63</f>
        <v>189822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660</v>
      </c>
      <c r="D10" s="84">
        <f>TrRoad_act!D64</f>
        <v>1074</v>
      </c>
      <c r="E10" s="84">
        <f>TrRoad_act!E64</f>
        <v>1189</v>
      </c>
      <c r="F10" s="84">
        <f>TrRoad_act!F64</f>
        <v>1189</v>
      </c>
      <c r="G10" s="84">
        <f>TrRoad_act!G64</f>
        <v>1328</v>
      </c>
      <c r="H10" s="84">
        <f>TrRoad_act!H64</f>
        <v>1402</v>
      </c>
      <c r="I10" s="84">
        <f>TrRoad_act!I64</f>
        <v>1615</v>
      </c>
      <c r="J10" s="84">
        <f>TrRoad_act!J64</f>
        <v>1603</v>
      </c>
      <c r="K10" s="84">
        <f>TrRoad_act!K64</f>
        <v>2174</v>
      </c>
      <c r="L10" s="84">
        <f>TrRoad_act!L64</f>
        <v>2573</v>
      </c>
      <c r="M10" s="84">
        <f>TrRoad_act!M64</f>
        <v>2728</v>
      </c>
      <c r="N10" s="84">
        <f>TrRoad_act!N64</f>
        <v>2682</v>
      </c>
      <c r="O10" s="84">
        <f>TrRoad_act!O64</f>
        <v>2517</v>
      </c>
      <c r="P10" s="84">
        <f>TrRoad_act!P64</f>
        <v>2500</v>
      </c>
      <c r="Q10" s="84">
        <f>TrRoad_act!Q64</f>
        <v>2760</v>
      </c>
      <c r="R10" s="84">
        <f>TrRoad_act!R64</f>
        <v>2780</v>
      </c>
      <c r="S10" s="84">
        <f>TrRoad_act!S64</f>
        <v>2730</v>
      </c>
      <c r="T10" s="84">
        <f>TrRoad_act!T64</f>
        <v>2700</v>
      </c>
      <c r="U10" s="84">
        <f>TrRoad_act!U64</f>
        <v>2900</v>
      </c>
      <c r="V10" s="84">
        <f>TrRoad_act!V64</f>
        <v>3829</v>
      </c>
      <c r="W10" s="84">
        <f>TrRoad_act!W64</f>
        <v>4360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1</v>
      </c>
      <c r="O11" s="84">
        <f>TrRoad_act!O65</f>
        <v>1</v>
      </c>
      <c r="P11" s="84">
        <f>TrRoad_act!P65</f>
        <v>21</v>
      </c>
      <c r="Q11" s="84">
        <f>TrRoad_act!Q65</f>
        <v>40</v>
      </c>
      <c r="R11" s="84">
        <f>TrRoad_act!R65</f>
        <v>81</v>
      </c>
      <c r="S11" s="84">
        <f>TrRoad_act!S65</f>
        <v>207</v>
      </c>
      <c r="T11" s="84">
        <f>TrRoad_act!T65</f>
        <v>366</v>
      </c>
      <c r="U11" s="84">
        <f>TrRoad_act!U65</f>
        <v>570</v>
      </c>
      <c r="V11" s="84">
        <f>TrRoad_act!V65</f>
        <v>2031</v>
      </c>
      <c r="W11" s="84">
        <f>TrRoad_act!W65</f>
        <v>6823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0</v>
      </c>
      <c r="L12" s="84">
        <f>TrRoad_act!L66</f>
        <v>0</v>
      </c>
      <c r="M12" s="84">
        <f>TrRoad_act!M66</f>
        <v>0</v>
      </c>
      <c r="N12" s="84">
        <f>TrRoad_act!N66</f>
        <v>1</v>
      </c>
      <c r="O12" s="84">
        <f>TrRoad_act!O66</f>
        <v>3</v>
      </c>
      <c r="P12" s="84">
        <f>TrRoad_act!P66</f>
        <v>45</v>
      </c>
      <c r="Q12" s="84">
        <f>TrRoad_act!Q66</f>
        <v>84</v>
      </c>
      <c r="R12" s="84">
        <f>TrRoad_act!R66</f>
        <v>114</v>
      </c>
      <c r="S12" s="84">
        <f>TrRoad_act!S66</f>
        <v>148</v>
      </c>
      <c r="T12" s="84">
        <f>TrRoad_act!T66</f>
        <v>215</v>
      </c>
      <c r="U12" s="84">
        <f>TrRoad_act!U66</f>
        <v>426</v>
      </c>
      <c r="V12" s="84">
        <f>TrRoad_act!V66</f>
        <v>1104</v>
      </c>
      <c r="W12" s="84">
        <f>TrRoad_act!W66</f>
        <v>3280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27459</v>
      </c>
      <c r="C13" s="110">
        <f>TrRoad_act!C67</f>
        <v>27518</v>
      </c>
      <c r="D13" s="110">
        <f>TrRoad_act!D67</f>
        <v>27650</v>
      </c>
      <c r="E13" s="110">
        <f>TrRoad_act!E67</f>
        <v>27498</v>
      </c>
      <c r="F13" s="110">
        <f>TrRoad_act!F67</f>
        <v>27152</v>
      </c>
      <c r="G13" s="110">
        <f>TrRoad_act!G67</f>
        <v>27198</v>
      </c>
      <c r="H13" s="110">
        <f>TrRoad_act!H67</f>
        <v>27307</v>
      </c>
      <c r="I13" s="110">
        <f>TrRoad_act!I67</f>
        <v>27471</v>
      </c>
      <c r="J13" s="110">
        <f>TrRoad_act!J67</f>
        <v>27555</v>
      </c>
      <c r="K13" s="110">
        <f>TrRoad_act!K67</f>
        <v>27692</v>
      </c>
      <c r="L13" s="110">
        <f>TrRoad_act!L67</f>
        <v>27677</v>
      </c>
      <c r="M13" s="110">
        <f>TrRoad_act!M67</f>
        <v>27487</v>
      </c>
      <c r="N13" s="110">
        <f>TrRoad_act!N67</f>
        <v>27328</v>
      </c>
      <c r="O13" s="110">
        <f>TrRoad_act!O67</f>
        <v>27149</v>
      </c>
      <c r="P13" s="110">
        <f>TrRoad_act!P67</f>
        <v>27047</v>
      </c>
      <c r="Q13" s="110">
        <f>TrRoad_act!Q67</f>
        <v>26942</v>
      </c>
      <c r="R13" s="110">
        <f>TrRoad_act!R67</f>
        <v>26897</v>
      </c>
      <c r="S13" s="110">
        <f>TrRoad_act!S67</f>
        <v>26835</v>
      </c>
      <c r="T13" s="110">
        <f>TrRoad_act!T67</f>
        <v>26743</v>
      </c>
      <c r="U13" s="110">
        <f>TrRoad_act!U67</f>
        <v>26833</v>
      </c>
      <c r="V13" s="110">
        <f>TrRoad_act!V67</f>
        <v>26893</v>
      </c>
      <c r="W13" s="110">
        <f>TrRoad_act!W67</f>
        <v>26938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0</v>
      </c>
      <c r="C14" s="102">
        <f>TrRoad_act!C68</f>
        <v>0</v>
      </c>
      <c r="D14" s="102">
        <f>TrRoad_act!D68</f>
        <v>0</v>
      </c>
      <c r="E14" s="102">
        <f>TrRoad_act!E68</f>
        <v>0</v>
      </c>
      <c r="F14" s="102">
        <f>TrRoad_act!F68</f>
        <v>0</v>
      </c>
      <c r="G14" s="102">
        <f>TrRoad_act!G68</f>
        <v>0</v>
      </c>
      <c r="H14" s="102">
        <f>TrRoad_act!H68</f>
        <v>0</v>
      </c>
      <c r="I14" s="102">
        <f>TrRoad_act!I68</f>
        <v>0</v>
      </c>
      <c r="J14" s="102">
        <f>TrRoad_act!J68</f>
        <v>0</v>
      </c>
      <c r="K14" s="102">
        <f>TrRoad_act!K68</f>
        <v>0</v>
      </c>
      <c r="L14" s="102">
        <f>TrRoad_act!L68</f>
        <v>0</v>
      </c>
      <c r="M14" s="102">
        <f>TrRoad_act!M68</f>
        <v>0</v>
      </c>
      <c r="N14" s="102">
        <f>TrRoad_act!N68</f>
        <v>0</v>
      </c>
      <c r="O14" s="102">
        <f>TrRoad_act!O68</f>
        <v>0</v>
      </c>
      <c r="P14" s="102">
        <f>TrRoad_act!P68</f>
        <v>0</v>
      </c>
      <c r="Q14" s="102">
        <f>TrRoad_act!Q68</f>
        <v>0</v>
      </c>
      <c r="R14" s="102">
        <f>TrRoad_act!R68</f>
        <v>0</v>
      </c>
      <c r="S14" s="102">
        <f>TrRoad_act!S68</f>
        <v>0</v>
      </c>
      <c r="T14" s="102">
        <f>TrRoad_act!T68</f>
        <v>0</v>
      </c>
      <c r="U14" s="102">
        <f>TrRoad_act!U68</f>
        <v>0</v>
      </c>
      <c r="V14" s="102">
        <f>TrRoad_act!V68</f>
        <v>0</v>
      </c>
      <c r="W14" s="102">
        <f>TrRoad_act!W68</f>
        <v>0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27459</v>
      </c>
      <c r="C15" s="102">
        <f>TrRoad_act!C69</f>
        <v>27208</v>
      </c>
      <c r="D15" s="102">
        <f>TrRoad_act!D69</f>
        <v>27176</v>
      </c>
      <c r="E15" s="102">
        <f>TrRoad_act!E69</f>
        <v>26982</v>
      </c>
      <c r="F15" s="102">
        <f>TrRoad_act!F69</f>
        <v>26641</v>
      </c>
      <c r="G15" s="102">
        <f>TrRoad_act!G69</f>
        <v>26656</v>
      </c>
      <c r="H15" s="102">
        <f>TrRoad_act!H69</f>
        <v>26747</v>
      </c>
      <c r="I15" s="102">
        <f>TrRoad_act!I69</f>
        <v>26817</v>
      </c>
      <c r="J15" s="102">
        <f>TrRoad_act!J69</f>
        <v>26870</v>
      </c>
      <c r="K15" s="102">
        <f>TrRoad_act!K69</f>
        <v>27030</v>
      </c>
      <c r="L15" s="102">
        <f>TrRoad_act!L69</f>
        <v>27042</v>
      </c>
      <c r="M15" s="102">
        <f>TrRoad_act!M69</f>
        <v>26873</v>
      </c>
      <c r="N15" s="102">
        <f>TrRoad_act!N69</f>
        <v>26718</v>
      </c>
      <c r="O15" s="102">
        <f>TrRoad_act!O69</f>
        <v>26576</v>
      </c>
      <c r="P15" s="102">
        <f>TrRoad_act!P69</f>
        <v>26464</v>
      </c>
      <c r="Q15" s="102">
        <f>TrRoad_act!Q69</f>
        <v>26321</v>
      </c>
      <c r="R15" s="102">
        <f>TrRoad_act!R69</f>
        <v>26260</v>
      </c>
      <c r="S15" s="102">
        <f>TrRoad_act!S69</f>
        <v>26248</v>
      </c>
      <c r="T15" s="102">
        <f>TrRoad_act!T69</f>
        <v>26057</v>
      </c>
      <c r="U15" s="102">
        <f>TrRoad_act!U69</f>
        <v>26072</v>
      </c>
      <c r="V15" s="102">
        <f>TrRoad_act!V69</f>
        <v>26040</v>
      </c>
      <c r="W15" s="102">
        <f>TrRoad_act!W69</f>
        <v>25983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0</v>
      </c>
      <c r="U16" s="102">
        <f>TrRoad_act!U70</f>
        <v>0</v>
      </c>
      <c r="V16" s="102">
        <f>TrRoad_act!V70</f>
        <v>0</v>
      </c>
      <c r="W16" s="102">
        <f>TrRoad_act!W70</f>
        <v>0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310</v>
      </c>
      <c r="D17" s="102">
        <f>TrRoad_act!D71</f>
        <v>474</v>
      </c>
      <c r="E17" s="102">
        <f>TrRoad_act!E71</f>
        <v>516</v>
      </c>
      <c r="F17" s="102">
        <f>TrRoad_act!F71</f>
        <v>511</v>
      </c>
      <c r="G17" s="102">
        <f>TrRoad_act!G71</f>
        <v>542</v>
      </c>
      <c r="H17" s="102">
        <f>TrRoad_act!H71</f>
        <v>560</v>
      </c>
      <c r="I17" s="102">
        <f>TrRoad_act!I71</f>
        <v>654</v>
      </c>
      <c r="J17" s="102">
        <f>TrRoad_act!J71</f>
        <v>685</v>
      </c>
      <c r="K17" s="102">
        <f>TrRoad_act!K71</f>
        <v>662</v>
      </c>
      <c r="L17" s="102">
        <f>TrRoad_act!L71</f>
        <v>635</v>
      </c>
      <c r="M17" s="102">
        <f>TrRoad_act!M71</f>
        <v>614</v>
      </c>
      <c r="N17" s="102">
        <f>TrRoad_act!N71</f>
        <v>610</v>
      </c>
      <c r="O17" s="102">
        <f>TrRoad_act!O71</f>
        <v>573</v>
      </c>
      <c r="P17" s="102">
        <f>TrRoad_act!P71</f>
        <v>583</v>
      </c>
      <c r="Q17" s="102">
        <f>TrRoad_act!Q71</f>
        <v>621</v>
      </c>
      <c r="R17" s="102">
        <f>TrRoad_act!R71</f>
        <v>637</v>
      </c>
      <c r="S17" s="102">
        <f>TrRoad_act!S71</f>
        <v>587</v>
      </c>
      <c r="T17" s="102">
        <f>TrRoad_act!T71</f>
        <v>686</v>
      </c>
      <c r="U17" s="102">
        <f>TrRoad_act!U71</f>
        <v>760</v>
      </c>
      <c r="V17" s="102">
        <f>TrRoad_act!V71</f>
        <v>852</v>
      </c>
      <c r="W17" s="102">
        <f>TrRoad_act!W71</f>
        <v>954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0</v>
      </c>
      <c r="K18" s="102">
        <f>TrRoad_act!K72</f>
        <v>0</v>
      </c>
      <c r="L18" s="102">
        <f>TrRoad_act!L72</f>
        <v>0</v>
      </c>
      <c r="M18" s="102">
        <f>TrRoad_act!M72</f>
        <v>0</v>
      </c>
      <c r="N18" s="102">
        <f>TrRoad_act!N72</f>
        <v>0</v>
      </c>
      <c r="O18" s="102">
        <f>TrRoad_act!O72</f>
        <v>0</v>
      </c>
      <c r="P18" s="102">
        <f>TrRoad_act!P72</f>
        <v>0</v>
      </c>
      <c r="Q18" s="102">
        <f>TrRoad_act!Q72</f>
        <v>0</v>
      </c>
      <c r="R18" s="102">
        <f>TrRoad_act!R72</f>
        <v>0</v>
      </c>
      <c r="S18" s="102">
        <f>TrRoad_act!S72</f>
        <v>0</v>
      </c>
      <c r="T18" s="102">
        <f>TrRoad_act!T72</f>
        <v>0</v>
      </c>
      <c r="U18" s="102">
        <f>TrRoad_act!U72</f>
        <v>1</v>
      </c>
      <c r="V18" s="102">
        <f>TrRoad_act!V72</f>
        <v>1</v>
      </c>
      <c r="W18" s="102">
        <f>TrRoad_act!W72</f>
        <v>1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904935</v>
      </c>
      <c r="C19" s="28">
        <f>TrRoad_act!C73</f>
        <v>932904</v>
      </c>
      <c r="D19" s="28">
        <f>TrRoad_act!D73</f>
        <v>955788</v>
      </c>
      <c r="E19" s="28">
        <f>TrRoad_act!E73</f>
        <v>969953</v>
      </c>
      <c r="F19" s="28">
        <f>TrRoad_act!F73</f>
        <v>997507</v>
      </c>
      <c r="G19" s="28">
        <f>TrRoad_act!G73</f>
        <v>955562</v>
      </c>
      <c r="H19" s="28">
        <f>TrRoad_act!H73</f>
        <v>986914</v>
      </c>
      <c r="I19" s="28">
        <f>TrRoad_act!I73</f>
        <v>1024039</v>
      </c>
      <c r="J19" s="28">
        <f>TrRoad_act!J73</f>
        <v>1058253</v>
      </c>
      <c r="K19" s="28">
        <f>TrRoad_act!K73</f>
        <v>1021557</v>
      </c>
      <c r="L19" s="28">
        <f>TrRoad_act!L73</f>
        <v>1011248</v>
      </c>
      <c r="M19" s="28">
        <f>TrRoad_act!M73</f>
        <v>927339</v>
      </c>
      <c r="N19" s="28">
        <f>TrRoad_act!N73</f>
        <v>851749</v>
      </c>
      <c r="O19" s="28">
        <f>TrRoad_act!O73</f>
        <v>815670</v>
      </c>
      <c r="P19" s="28">
        <f>TrRoad_act!P73</f>
        <v>776651</v>
      </c>
      <c r="Q19" s="28">
        <f>TrRoad_act!Q73</f>
        <v>804448</v>
      </c>
      <c r="R19" s="28">
        <f>TrRoad_act!R73</f>
        <v>834953</v>
      </c>
      <c r="S19" s="28">
        <f>TrRoad_act!S73</f>
        <v>738457</v>
      </c>
      <c r="T19" s="28">
        <f>TrRoad_act!T73</f>
        <v>704506</v>
      </c>
      <c r="U19" s="28">
        <f>TrRoad_act!U73</f>
        <v>680528</v>
      </c>
      <c r="V19" s="28">
        <f>TrRoad_act!V73</f>
        <v>659356</v>
      </c>
      <c r="W19" s="28">
        <f>TrRoad_act!W73</f>
        <v>642947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715958</v>
      </c>
      <c r="C20" s="137">
        <f>TrRoad_act!C74</f>
        <v>737909</v>
      </c>
      <c r="D20" s="137">
        <f>TrRoad_act!D74</f>
        <v>755661</v>
      </c>
      <c r="E20" s="137">
        <f>TrRoad_act!E74</f>
        <v>770572</v>
      </c>
      <c r="F20" s="137">
        <f>TrRoad_act!F74</f>
        <v>759291</v>
      </c>
      <c r="G20" s="137">
        <f>TrRoad_act!G74</f>
        <v>746123</v>
      </c>
      <c r="H20" s="137">
        <f>TrRoad_act!H74</f>
        <v>750835</v>
      </c>
      <c r="I20" s="137">
        <f>TrRoad_act!I74</f>
        <v>792377</v>
      </c>
      <c r="J20" s="137">
        <f>TrRoad_act!J74</f>
        <v>812937</v>
      </c>
      <c r="K20" s="137">
        <f>TrRoad_act!K74</f>
        <v>793089</v>
      </c>
      <c r="L20" s="137">
        <f>TrRoad_act!L74</f>
        <v>800042</v>
      </c>
      <c r="M20" s="137">
        <f>TrRoad_act!M74</f>
        <v>733926</v>
      </c>
      <c r="N20" s="137">
        <f>TrRoad_act!N74</f>
        <v>676198</v>
      </c>
      <c r="O20" s="137">
        <f>TrRoad_act!O74</f>
        <v>657050</v>
      </c>
      <c r="P20" s="137">
        <f>TrRoad_act!P74</f>
        <v>633662</v>
      </c>
      <c r="Q20" s="137">
        <f>TrRoad_act!Q74</f>
        <v>675574</v>
      </c>
      <c r="R20" s="137">
        <f>TrRoad_act!R74</f>
        <v>718524</v>
      </c>
      <c r="S20" s="137">
        <f>TrRoad_act!S74</f>
        <v>638175</v>
      </c>
      <c r="T20" s="137">
        <f>TrRoad_act!T74</f>
        <v>616273</v>
      </c>
      <c r="U20" s="137">
        <f>TrRoad_act!U74</f>
        <v>601564</v>
      </c>
      <c r="V20" s="137">
        <f>TrRoad_act!V74</f>
        <v>586858</v>
      </c>
      <c r="W20" s="137">
        <f>TrRoad_act!W74</f>
        <v>572149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626942</v>
      </c>
      <c r="C21" s="84">
        <f>TrRoad_act!C75</f>
        <v>637006</v>
      </c>
      <c r="D21" s="84">
        <f>TrRoad_act!D75</f>
        <v>644981</v>
      </c>
      <c r="E21" s="84">
        <f>TrRoad_act!E75</f>
        <v>636548</v>
      </c>
      <c r="F21" s="84">
        <f>TrRoad_act!F75</f>
        <v>614401</v>
      </c>
      <c r="G21" s="84">
        <f>TrRoad_act!G75</f>
        <v>592774</v>
      </c>
      <c r="H21" s="84">
        <f>TrRoad_act!H75</f>
        <v>571009</v>
      </c>
      <c r="I21" s="84">
        <f>TrRoad_act!I75</f>
        <v>588034</v>
      </c>
      <c r="J21" s="84">
        <f>TrRoad_act!J75</f>
        <v>607112</v>
      </c>
      <c r="K21" s="84">
        <f>TrRoad_act!K75</f>
        <v>555544</v>
      </c>
      <c r="L21" s="84">
        <f>TrRoad_act!L75</f>
        <v>525065</v>
      </c>
      <c r="M21" s="84">
        <f>TrRoad_act!M75</f>
        <v>464236</v>
      </c>
      <c r="N21" s="84">
        <f>TrRoad_act!N75</f>
        <v>419779</v>
      </c>
      <c r="O21" s="84">
        <f>TrRoad_act!O75</f>
        <v>375521</v>
      </c>
      <c r="P21" s="84">
        <f>TrRoad_act!P75</f>
        <v>349371</v>
      </c>
      <c r="Q21" s="84">
        <f>TrRoad_act!Q75</f>
        <v>342531</v>
      </c>
      <c r="R21" s="84">
        <f>TrRoad_act!R75</f>
        <v>360247</v>
      </c>
      <c r="S21" s="84">
        <f>TrRoad_act!S75</f>
        <v>323508</v>
      </c>
      <c r="T21" s="84">
        <f>TrRoad_act!T75</f>
        <v>318454</v>
      </c>
      <c r="U21" s="84">
        <f>TrRoad_act!U75</f>
        <v>318644</v>
      </c>
      <c r="V21" s="84">
        <f>TrRoad_act!V75</f>
        <v>318837</v>
      </c>
      <c r="W21" s="84">
        <f>TrRoad_act!W75</f>
        <v>319027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89016</v>
      </c>
      <c r="C22" s="84">
        <f>TrRoad_act!C76</f>
        <v>100903</v>
      </c>
      <c r="D22" s="84">
        <f>TrRoad_act!D76</f>
        <v>110680</v>
      </c>
      <c r="E22" s="84">
        <f>TrRoad_act!E76</f>
        <v>134024</v>
      </c>
      <c r="F22" s="84">
        <f>TrRoad_act!F76</f>
        <v>144890</v>
      </c>
      <c r="G22" s="84">
        <f>TrRoad_act!G76</f>
        <v>153349</v>
      </c>
      <c r="H22" s="84">
        <f>TrRoad_act!H76</f>
        <v>179826</v>
      </c>
      <c r="I22" s="84">
        <f>TrRoad_act!I76</f>
        <v>204343</v>
      </c>
      <c r="J22" s="84">
        <f>TrRoad_act!J76</f>
        <v>205825</v>
      </c>
      <c r="K22" s="84">
        <f>TrRoad_act!K76</f>
        <v>237545</v>
      </c>
      <c r="L22" s="84">
        <f>TrRoad_act!L76</f>
        <v>274977</v>
      </c>
      <c r="M22" s="84">
        <f>TrRoad_act!M76</f>
        <v>269690</v>
      </c>
      <c r="N22" s="84">
        <f>TrRoad_act!N76</f>
        <v>256419</v>
      </c>
      <c r="O22" s="84">
        <f>TrRoad_act!O76</f>
        <v>281529</v>
      </c>
      <c r="P22" s="84">
        <f>TrRoad_act!P76</f>
        <v>284291</v>
      </c>
      <c r="Q22" s="84">
        <f>TrRoad_act!Q76</f>
        <v>333043</v>
      </c>
      <c r="R22" s="84">
        <f>TrRoad_act!R76</f>
        <v>358277</v>
      </c>
      <c r="S22" s="84">
        <f>TrRoad_act!S76</f>
        <v>314667</v>
      </c>
      <c r="T22" s="84">
        <f>TrRoad_act!T76</f>
        <v>297819</v>
      </c>
      <c r="U22" s="84">
        <f>TrRoad_act!U76</f>
        <v>282920</v>
      </c>
      <c r="V22" s="84">
        <f>TrRoad_act!V76</f>
        <v>268021</v>
      </c>
      <c r="W22" s="84">
        <f>TrRoad_act!W76</f>
        <v>253122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0</v>
      </c>
      <c r="O23" s="84">
        <f>TrRoad_act!O77</f>
        <v>0</v>
      </c>
      <c r="P23" s="84">
        <f>TrRoad_act!P77</f>
        <v>0</v>
      </c>
      <c r="Q23" s="84">
        <f>TrRoad_act!Q77</f>
        <v>0</v>
      </c>
      <c r="R23" s="84">
        <f>TrRoad_act!R77</f>
        <v>0</v>
      </c>
      <c r="S23" s="84">
        <f>TrRoad_act!S77</f>
        <v>0</v>
      </c>
      <c r="T23" s="84">
        <f>TrRoad_act!T77</f>
        <v>0</v>
      </c>
      <c r="U23" s="84">
        <f>TrRoad_act!U77</f>
        <v>0</v>
      </c>
      <c r="V23" s="84">
        <f>TrRoad_act!V77</f>
        <v>0</v>
      </c>
      <c r="W23" s="84">
        <f>TrRoad_act!W77</f>
        <v>0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0</v>
      </c>
      <c r="P24" s="84">
        <f>TrRoad_act!P78</f>
        <v>0</v>
      </c>
      <c r="Q24" s="84">
        <f>TrRoad_act!Q78</f>
        <v>0</v>
      </c>
      <c r="R24" s="84">
        <f>TrRoad_act!R78</f>
        <v>0</v>
      </c>
      <c r="S24" s="84">
        <f>TrRoad_act!S78</f>
        <v>0</v>
      </c>
      <c r="T24" s="84">
        <f>TrRoad_act!T78</f>
        <v>0</v>
      </c>
      <c r="U24" s="84">
        <f>TrRoad_act!U78</f>
        <v>0</v>
      </c>
      <c r="V24" s="84">
        <f>TrRoad_act!V78</f>
        <v>0</v>
      </c>
      <c r="W24" s="84">
        <f>TrRoad_act!W78</f>
        <v>0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0</v>
      </c>
      <c r="N25" s="84">
        <f>TrRoad_act!N79</f>
        <v>0</v>
      </c>
      <c r="O25" s="84">
        <f>TrRoad_act!O79</f>
        <v>0</v>
      </c>
      <c r="P25" s="84">
        <f>TrRoad_act!P79</f>
        <v>0</v>
      </c>
      <c r="Q25" s="84">
        <f>TrRoad_act!Q79</f>
        <v>0</v>
      </c>
      <c r="R25" s="84">
        <f>TrRoad_act!R79</f>
        <v>0</v>
      </c>
      <c r="S25" s="84">
        <f>TrRoad_act!S79</f>
        <v>0</v>
      </c>
      <c r="T25" s="84">
        <f>TrRoad_act!T79</f>
        <v>0</v>
      </c>
      <c r="U25" s="84">
        <f>TrRoad_act!U79</f>
        <v>0</v>
      </c>
      <c r="V25" s="84">
        <f>TrRoad_act!V79</f>
        <v>0</v>
      </c>
      <c r="W25" s="84">
        <f>TrRoad_act!W79</f>
        <v>0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188977</v>
      </c>
      <c r="C26" s="110">
        <f>TrRoad_act!C80</f>
        <v>194995</v>
      </c>
      <c r="D26" s="110">
        <f>TrRoad_act!D80</f>
        <v>200127</v>
      </c>
      <c r="E26" s="110">
        <f>TrRoad_act!E80</f>
        <v>199381</v>
      </c>
      <c r="F26" s="110">
        <f>TrRoad_act!F80</f>
        <v>238216</v>
      </c>
      <c r="G26" s="110">
        <f>TrRoad_act!G80</f>
        <v>209439</v>
      </c>
      <c r="H26" s="110">
        <f>TrRoad_act!H80</f>
        <v>236079</v>
      </c>
      <c r="I26" s="110">
        <f>TrRoad_act!I80</f>
        <v>231662</v>
      </c>
      <c r="J26" s="110">
        <f>TrRoad_act!J80</f>
        <v>245316</v>
      </c>
      <c r="K26" s="110">
        <f>TrRoad_act!K80</f>
        <v>228468</v>
      </c>
      <c r="L26" s="110">
        <f>TrRoad_act!L80</f>
        <v>211206</v>
      </c>
      <c r="M26" s="110">
        <f>TrRoad_act!M80</f>
        <v>193413</v>
      </c>
      <c r="N26" s="110">
        <f>TrRoad_act!N80</f>
        <v>175551</v>
      </c>
      <c r="O26" s="110">
        <f>TrRoad_act!O80</f>
        <v>158620</v>
      </c>
      <c r="P26" s="110">
        <f>TrRoad_act!P80</f>
        <v>142989</v>
      </c>
      <c r="Q26" s="110">
        <f>TrRoad_act!Q80</f>
        <v>128874</v>
      </c>
      <c r="R26" s="110">
        <f>TrRoad_act!R80</f>
        <v>116429</v>
      </c>
      <c r="S26" s="110">
        <f>TrRoad_act!S80</f>
        <v>100282</v>
      </c>
      <c r="T26" s="110">
        <f>TrRoad_act!T80</f>
        <v>88233</v>
      </c>
      <c r="U26" s="110">
        <f>TrRoad_act!U80</f>
        <v>78964</v>
      </c>
      <c r="V26" s="110">
        <f>TrRoad_act!V80</f>
        <v>72498</v>
      </c>
      <c r="W26" s="110">
        <f>TrRoad_act!W80</f>
        <v>70798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187601</v>
      </c>
      <c r="C27" s="102">
        <f>TrRoad_act!C81</f>
        <v>193520</v>
      </c>
      <c r="D27" s="102">
        <f>TrRoad_act!D81</f>
        <v>198575</v>
      </c>
      <c r="E27" s="102">
        <f>TrRoad_act!E81</f>
        <v>197796</v>
      </c>
      <c r="F27" s="102">
        <f>TrRoad_act!F81</f>
        <v>236340</v>
      </c>
      <c r="G27" s="102">
        <f>TrRoad_act!G81</f>
        <v>207501</v>
      </c>
      <c r="H27" s="102">
        <f>TrRoad_act!H81</f>
        <v>233713</v>
      </c>
      <c r="I27" s="102">
        <f>TrRoad_act!I81</f>
        <v>229650</v>
      </c>
      <c r="J27" s="102">
        <f>TrRoad_act!J81</f>
        <v>243541</v>
      </c>
      <c r="K27" s="102">
        <f>TrRoad_act!K81</f>
        <v>226885</v>
      </c>
      <c r="L27" s="102">
        <f>TrRoad_act!L81</f>
        <v>209223</v>
      </c>
      <c r="M27" s="102">
        <f>TrRoad_act!M81</f>
        <v>191810</v>
      </c>
      <c r="N27" s="102">
        <f>TrRoad_act!N81</f>
        <v>173761</v>
      </c>
      <c r="O27" s="102">
        <f>TrRoad_act!O81</f>
        <v>156561</v>
      </c>
      <c r="P27" s="102">
        <f>TrRoad_act!P81</f>
        <v>140983</v>
      </c>
      <c r="Q27" s="102">
        <f>TrRoad_act!Q81</f>
        <v>126665</v>
      </c>
      <c r="R27" s="102">
        <f>TrRoad_act!R81</f>
        <v>114157</v>
      </c>
      <c r="S27" s="102">
        <f>TrRoad_act!S81</f>
        <v>96727</v>
      </c>
      <c r="T27" s="102">
        <f>TrRoad_act!T81</f>
        <v>84919</v>
      </c>
      <c r="U27" s="102">
        <f>TrRoad_act!U81</f>
        <v>75884</v>
      </c>
      <c r="V27" s="102">
        <f>TrRoad_act!V81</f>
        <v>69237</v>
      </c>
      <c r="W27" s="102">
        <f>TrRoad_act!W81</f>
        <v>68104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1376</v>
      </c>
      <c r="C28" s="86">
        <f>TrRoad_act!C82</f>
        <v>1475</v>
      </c>
      <c r="D28" s="86">
        <f>TrRoad_act!D82</f>
        <v>1552</v>
      </c>
      <c r="E28" s="86">
        <f>TrRoad_act!E82</f>
        <v>1585</v>
      </c>
      <c r="F28" s="86">
        <f>TrRoad_act!F82</f>
        <v>1876</v>
      </c>
      <c r="G28" s="86">
        <f>TrRoad_act!G82</f>
        <v>1938</v>
      </c>
      <c r="H28" s="86">
        <f>TrRoad_act!H82</f>
        <v>2366</v>
      </c>
      <c r="I28" s="86">
        <f>TrRoad_act!I82</f>
        <v>2012</v>
      </c>
      <c r="J28" s="86">
        <f>TrRoad_act!J82</f>
        <v>1775</v>
      </c>
      <c r="K28" s="86">
        <f>TrRoad_act!K82</f>
        <v>1583</v>
      </c>
      <c r="L28" s="86">
        <f>TrRoad_act!L82</f>
        <v>1983</v>
      </c>
      <c r="M28" s="86">
        <f>TrRoad_act!M82</f>
        <v>1603</v>
      </c>
      <c r="N28" s="86">
        <f>TrRoad_act!N82</f>
        <v>1790</v>
      </c>
      <c r="O28" s="86">
        <f>TrRoad_act!O82</f>
        <v>2059</v>
      </c>
      <c r="P28" s="86">
        <f>TrRoad_act!P82</f>
        <v>2006</v>
      </c>
      <c r="Q28" s="86">
        <f>TrRoad_act!Q82</f>
        <v>2209</v>
      </c>
      <c r="R28" s="86">
        <f>TrRoad_act!R82</f>
        <v>2272</v>
      </c>
      <c r="S28" s="86">
        <f>TrRoad_act!S82</f>
        <v>3555</v>
      </c>
      <c r="T28" s="86">
        <f>TrRoad_act!T82</f>
        <v>3314</v>
      </c>
      <c r="U28" s="86">
        <f>TrRoad_act!U82</f>
        <v>3080</v>
      </c>
      <c r="V28" s="86">
        <f>TrRoad_act!V82</f>
        <v>3261</v>
      </c>
      <c r="W28" s="86">
        <f>TrRoad_act!W82</f>
        <v>2694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394315</v>
      </c>
      <c r="C30" s="54">
        <f>TrRoad_act!C111</f>
        <v>614026</v>
      </c>
      <c r="D30" s="54">
        <f>TrRoad_act!D111</f>
        <v>517548</v>
      </c>
      <c r="E30" s="54">
        <f>TrRoad_act!E111</f>
        <v>540707</v>
      </c>
      <c r="F30" s="54">
        <f>TrRoad_act!F111</f>
        <v>501645</v>
      </c>
      <c r="G30" s="54">
        <f>TrRoad_act!G111</f>
        <v>600644</v>
      </c>
      <c r="H30" s="54">
        <f>TrRoad_act!H111</f>
        <v>586517</v>
      </c>
      <c r="I30" s="54">
        <f>TrRoad_act!I111</f>
        <v>753597</v>
      </c>
      <c r="J30" s="54">
        <f>TrRoad_act!J111</f>
        <v>644947</v>
      </c>
      <c r="K30" s="54">
        <f>TrRoad_act!K111</f>
        <v>538194</v>
      </c>
      <c r="L30" s="54">
        <f>TrRoad_act!L111</f>
        <v>524215</v>
      </c>
      <c r="M30" s="54">
        <f>TrRoad_act!M111</f>
        <v>371411</v>
      </c>
      <c r="N30" s="54">
        <f>TrRoad_act!N111</f>
        <v>369281</v>
      </c>
      <c r="O30" s="54">
        <f>TrRoad_act!O111</f>
        <v>354832</v>
      </c>
      <c r="P30" s="54">
        <f>TrRoad_act!P111</f>
        <v>412289</v>
      </c>
      <c r="Q30" s="54">
        <f>TrRoad_act!Q111</f>
        <v>515347</v>
      </c>
      <c r="R30" s="54">
        <f>TrRoad_act!R111</f>
        <v>446512</v>
      </c>
      <c r="S30" s="54">
        <f>TrRoad_act!S111</f>
        <v>343641</v>
      </c>
      <c r="T30" s="54">
        <f>TrRoad_act!T111</f>
        <v>362843</v>
      </c>
      <c r="U30" s="54">
        <f>TrRoad_act!U111</f>
        <v>484926</v>
      </c>
      <c r="V30" s="54">
        <f>TrRoad_act!V111</f>
        <v>483736</v>
      </c>
      <c r="W30" s="54">
        <f>TrRoad_act!W111</f>
        <v>685429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394177</v>
      </c>
      <c r="C31" s="28">
        <f>TrRoad_act!C112</f>
        <v>536588</v>
      </c>
      <c r="D31" s="28">
        <f>TrRoad_act!D112</f>
        <v>438179</v>
      </c>
      <c r="E31" s="28">
        <f>TrRoad_act!E112</f>
        <v>465927</v>
      </c>
      <c r="F31" s="28">
        <f>TrRoad_act!F112</f>
        <v>405043</v>
      </c>
      <c r="G31" s="28">
        <f>TrRoad_act!G112</f>
        <v>550148</v>
      </c>
      <c r="H31" s="28">
        <f>TrRoad_act!H112</f>
        <v>489198</v>
      </c>
      <c r="I31" s="28">
        <f>TrRoad_act!I112</f>
        <v>638985</v>
      </c>
      <c r="J31" s="28">
        <f>TrRoad_act!J112</f>
        <v>528575</v>
      </c>
      <c r="K31" s="28">
        <f>TrRoad_act!K112</f>
        <v>488194</v>
      </c>
      <c r="L31" s="28">
        <f>TrRoad_act!L112</f>
        <v>447337</v>
      </c>
      <c r="M31" s="28">
        <f>TrRoad_act!M112</f>
        <v>360867</v>
      </c>
      <c r="N31" s="28">
        <f>TrRoad_act!N112</f>
        <v>364721</v>
      </c>
      <c r="O31" s="28">
        <f>TrRoad_act!O112</f>
        <v>312043</v>
      </c>
      <c r="P31" s="28">
        <f>TrRoad_act!P112</f>
        <v>373191</v>
      </c>
      <c r="Q31" s="28">
        <f>TrRoad_act!Q112</f>
        <v>411657</v>
      </c>
      <c r="R31" s="28">
        <f>TrRoad_act!R112</f>
        <v>343712</v>
      </c>
      <c r="S31" s="28">
        <f>TrRoad_act!S112</f>
        <v>333439</v>
      </c>
      <c r="T31" s="28">
        <f>TrRoad_act!T112</f>
        <v>327309</v>
      </c>
      <c r="U31" s="28">
        <f>TrRoad_act!U112</f>
        <v>443720</v>
      </c>
      <c r="V31" s="28">
        <f>TrRoad_act!V112</f>
        <v>447087</v>
      </c>
      <c r="W31" s="28">
        <f>TrRoad_act!W112</f>
        <v>646000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89659</v>
      </c>
      <c r="C32" s="137">
        <f>TrRoad_act!C113</f>
        <v>117215</v>
      </c>
      <c r="D32" s="137">
        <f>TrRoad_act!D113</f>
        <v>97985</v>
      </c>
      <c r="E32" s="137">
        <f>TrRoad_act!E113</f>
        <v>102197</v>
      </c>
      <c r="F32" s="137">
        <f>TrRoad_act!F113</f>
        <v>122161</v>
      </c>
      <c r="G32" s="137">
        <f>TrRoad_act!G113</f>
        <v>136088</v>
      </c>
      <c r="H32" s="137">
        <f>TrRoad_act!H113</f>
        <v>137910</v>
      </c>
      <c r="I32" s="137">
        <f>TrRoad_act!I113</f>
        <v>155343</v>
      </c>
      <c r="J32" s="137">
        <f>TrRoad_act!J113</f>
        <v>153159</v>
      </c>
      <c r="K32" s="137">
        <f>TrRoad_act!K113</f>
        <v>113502</v>
      </c>
      <c r="L32" s="137">
        <f>TrRoad_act!L113</f>
        <v>100821</v>
      </c>
      <c r="M32" s="137">
        <f>TrRoad_act!M113</f>
        <v>81558</v>
      </c>
      <c r="N32" s="137">
        <f>TrRoad_act!N113</f>
        <v>62380</v>
      </c>
      <c r="O32" s="137">
        <f>TrRoad_act!O113</f>
        <v>49711</v>
      </c>
      <c r="P32" s="137">
        <f>TrRoad_act!P113</f>
        <v>67007</v>
      </c>
      <c r="Q32" s="137">
        <f>TrRoad_act!Q113</f>
        <v>70820</v>
      </c>
      <c r="R32" s="137">
        <f>TrRoad_act!R113</f>
        <v>81481</v>
      </c>
      <c r="S32" s="137">
        <f>TrRoad_act!S113</f>
        <v>39105</v>
      </c>
      <c r="T32" s="137">
        <f>TrRoad_act!T113</f>
        <v>45605</v>
      </c>
      <c r="U32" s="137">
        <f>TrRoad_act!U113</f>
        <v>70258</v>
      </c>
      <c r="V32" s="137">
        <f>TrRoad_act!V113</f>
        <v>72568</v>
      </c>
      <c r="W32" s="137">
        <f>TrRoad_act!W113</f>
        <v>87864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302605</v>
      </c>
      <c r="C33" s="110">
        <f>TrRoad_act!C114</f>
        <v>417069</v>
      </c>
      <c r="D33" s="110">
        <f>TrRoad_act!D114</f>
        <v>337740</v>
      </c>
      <c r="E33" s="110">
        <f>TrRoad_act!E114</f>
        <v>361325</v>
      </c>
      <c r="F33" s="110">
        <f>TrRoad_act!F114</f>
        <v>281026</v>
      </c>
      <c r="G33" s="110">
        <f>TrRoad_act!G114</f>
        <v>411633</v>
      </c>
      <c r="H33" s="110">
        <f>TrRoad_act!H114</f>
        <v>348835</v>
      </c>
      <c r="I33" s="110">
        <f>TrRoad_act!I114</f>
        <v>481191</v>
      </c>
      <c r="J33" s="110">
        <f>TrRoad_act!J114</f>
        <v>373118</v>
      </c>
      <c r="K33" s="110">
        <f>TrRoad_act!K114</f>
        <v>372422</v>
      </c>
      <c r="L33" s="110">
        <f>TrRoad_act!L114</f>
        <v>344483</v>
      </c>
      <c r="M33" s="110">
        <f>TrRoad_act!M114</f>
        <v>277532</v>
      </c>
      <c r="N33" s="110">
        <f>TrRoad_act!N114</f>
        <v>300606</v>
      </c>
      <c r="O33" s="110">
        <f>TrRoad_act!O114</f>
        <v>260676</v>
      </c>
      <c r="P33" s="110">
        <f>TrRoad_act!P114</f>
        <v>304496</v>
      </c>
      <c r="Q33" s="110">
        <f>TrRoad_act!Q114</f>
        <v>339178</v>
      </c>
      <c r="R33" s="110">
        <f>TrRoad_act!R114</f>
        <v>260881</v>
      </c>
      <c r="S33" s="110">
        <f>TrRoad_act!S114</f>
        <v>292889</v>
      </c>
      <c r="T33" s="110">
        <f>TrRoad_act!T114</f>
        <v>280206</v>
      </c>
      <c r="U33" s="110">
        <f>TrRoad_act!U114</f>
        <v>371699</v>
      </c>
      <c r="V33" s="110">
        <f>TrRoad_act!V114</f>
        <v>372719</v>
      </c>
      <c r="W33" s="110">
        <f>TrRoad_act!W114</f>
        <v>556303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300456</v>
      </c>
      <c r="C34" s="84">
        <f>TrRoad_act!C115</f>
        <v>415608</v>
      </c>
      <c r="D34" s="84">
        <f>TrRoad_act!D115</f>
        <v>333584</v>
      </c>
      <c r="E34" s="84">
        <f>TrRoad_act!E115</f>
        <v>350929</v>
      </c>
      <c r="F34" s="84">
        <f>TrRoad_act!F115</f>
        <v>281015</v>
      </c>
      <c r="G34" s="84">
        <f>TrRoad_act!G115</f>
        <v>409497</v>
      </c>
      <c r="H34" s="84">
        <f>TrRoad_act!H115</f>
        <v>332050</v>
      </c>
      <c r="I34" s="84">
        <f>TrRoad_act!I115</f>
        <v>467255</v>
      </c>
      <c r="J34" s="84">
        <f>TrRoad_act!J115</f>
        <v>367233</v>
      </c>
      <c r="K34" s="84">
        <f>TrRoad_act!K115</f>
        <v>342420</v>
      </c>
      <c r="L34" s="84">
        <f>TrRoad_act!L115</f>
        <v>317810</v>
      </c>
      <c r="M34" s="84">
        <f>TrRoad_act!M115</f>
        <v>227147</v>
      </c>
      <c r="N34" s="84">
        <f>TrRoad_act!N115</f>
        <v>300568</v>
      </c>
      <c r="O34" s="84">
        <f>TrRoad_act!O115</f>
        <v>177253</v>
      </c>
      <c r="P34" s="84">
        <f>TrRoad_act!P115</f>
        <v>224649</v>
      </c>
      <c r="Q34" s="84">
        <f>TrRoad_act!Q115</f>
        <v>305677</v>
      </c>
      <c r="R34" s="84">
        <f>TrRoad_act!R115</f>
        <v>185763</v>
      </c>
      <c r="S34" s="84">
        <f>TrRoad_act!S115</f>
        <v>247505</v>
      </c>
      <c r="T34" s="84">
        <f>TrRoad_act!T115</f>
        <v>218265</v>
      </c>
      <c r="U34" s="84">
        <f>TrRoad_act!U115</f>
        <v>299960</v>
      </c>
      <c r="V34" s="84">
        <f>TrRoad_act!V115</f>
        <v>287907</v>
      </c>
      <c r="W34" s="84">
        <f>TrRoad_act!W115</f>
        <v>501067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2149</v>
      </c>
      <c r="C35" s="84">
        <f>TrRoad_act!C116</f>
        <v>801</v>
      </c>
      <c r="D35" s="84">
        <f>TrRoad_act!D116</f>
        <v>3741</v>
      </c>
      <c r="E35" s="84">
        <f>TrRoad_act!E116</f>
        <v>10275</v>
      </c>
      <c r="F35" s="84">
        <f>TrRoad_act!F116</f>
        <v>0</v>
      </c>
      <c r="G35" s="84">
        <f>TrRoad_act!G116</f>
        <v>1980</v>
      </c>
      <c r="H35" s="84">
        <f>TrRoad_act!H116</f>
        <v>16155</v>
      </c>
      <c r="I35" s="84">
        <f>TrRoad_act!I116</f>
        <v>12399</v>
      </c>
      <c r="J35" s="84">
        <f>TrRoad_act!J116</f>
        <v>5008</v>
      </c>
      <c r="K35" s="84">
        <f>TrRoad_act!K116</f>
        <v>24754</v>
      </c>
      <c r="L35" s="84">
        <f>TrRoad_act!L116</f>
        <v>5979</v>
      </c>
      <c r="M35" s="84">
        <f>TrRoad_act!M116</f>
        <v>0</v>
      </c>
      <c r="N35" s="84">
        <f>TrRoad_act!N116</f>
        <v>0</v>
      </c>
      <c r="O35" s="84">
        <f>TrRoad_act!O116</f>
        <v>0</v>
      </c>
      <c r="P35" s="84">
        <f>TrRoad_act!P116</f>
        <v>63578</v>
      </c>
      <c r="Q35" s="84">
        <f>TrRoad_act!Q116</f>
        <v>3323</v>
      </c>
      <c r="R35" s="84">
        <f>TrRoad_act!R116</f>
        <v>42973</v>
      </c>
      <c r="S35" s="84">
        <f>TrRoad_act!S116</f>
        <v>43668</v>
      </c>
      <c r="T35" s="84">
        <f>TrRoad_act!T116</f>
        <v>59414</v>
      </c>
      <c r="U35" s="84">
        <f>TrRoad_act!U116</f>
        <v>67144</v>
      </c>
      <c r="V35" s="84">
        <f>TrRoad_act!V116</f>
        <v>81245</v>
      </c>
      <c r="W35" s="84">
        <f>TrRoad_act!W116</f>
        <v>44894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0</v>
      </c>
      <c r="D36" s="84">
        <f>TrRoad_act!D117</f>
        <v>0</v>
      </c>
      <c r="E36" s="84">
        <f>TrRoad_act!E117</f>
        <v>0</v>
      </c>
      <c r="F36" s="84">
        <f>TrRoad_act!F117</f>
        <v>0</v>
      </c>
      <c r="G36" s="84">
        <f>TrRoad_act!G117</f>
        <v>0</v>
      </c>
      <c r="H36" s="84">
        <f>TrRoad_act!H117</f>
        <v>532</v>
      </c>
      <c r="I36" s="84">
        <f>TrRoad_act!I117</f>
        <v>1294</v>
      </c>
      <c r="J36" s="84">
        <f>TrRoad_act!J117</f>
        <v>850</v>
      </c>
      <c r="K36" s="84">
        <f>TrRoad_act!K117</f>
        <v>4630</v>
      </c>
      <c r="L36" s="84">
        <f>TrRoad_act!L117</f>
        <v>20238</v>
      </c>
      <c r="M36" s="84">
        <f>TrRoad_act!M117</f>
        <v>50161</v>
      </c>
      <c r="N36" s="84">
        <f>TrRoad_act!N117</f>
        <v>0</v>
      </c>
      <c r="O36" s="84">
        <f>TrRoad_act!O117</f>
        <v>83419</v>
      </c>
      <c r="P36" s="84">
        <f>TrRoad_act!P117</f>
        <v>16186</v>
      </c>
      <c r="Q36" s="84">
        <f>TrRoad_act!Q117</f>
        <v>29722</v>
      </c>
      <c r="R36" s="84">
        <f>TrRoad_act!R117</f>
        <v>31873</v>
      </c>
      <c r="S36" s="84">
        <f>TrRoad_act!S117</f>
        <v>1428</v>
      </c>
      <c r="T36" s="84">
        <f>TrRoad_act!T117</f>
        <v>2136</v>
      </c>
      <c r="U36" s="84">
        <f>TrRoad_act!U117</f>
        <v>3730</v>
      </c>
      <c r="V36" s="84">
        <f>TrRoad_act!V117</f>
        <v>71</v>
      </c>
      <c r="W36" s="84">
        <f>TrRoad_act!W117</f>
        <v>1986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660</v>
      </c>
      <c r="D37" s="84">
        <f>TrRoad_act!D118</f>
        <v>415</v>
      </c>
      <c r="E37" s="84">
        <f>TrRoad_act!E118</f>
        <v>121</v>
      </c>
      <c r="F37" s="84">
        <f>TrRoad_act!F118</f>
        <v>11</v>
      </c>
      <c r="G37" s="84">
        <f>TrRoad_act!G118</f>
        <v>156</v>
      </c>
      <c r="H37" s="84">
        <f>TrRoad_act!H118</f>
        <v>98</v>
      </c>
      <c r="I37" s="84">
        <f>TrRoad_act!I118</f>
        <v>243</v>
      </c>
      <c r="J37" s="84">
        <f>TrRoad_act!J118</f>
        <v>27</v>
      </c>
      <c r="K37" s="84">
        <f>TrRoad_act!K118</f>
        <v>618</v>
      </c>
      <c r="L37" s="84">
        <f>TrRoad_act!L118</f>
        <v>456</v>
      </c>
      <c r="M37" s="84">
        <f>TrRoad_act!M118</f>
        <v>224</v>
      </c>
      <c r="N37" s="84">
        <f>TrRoad_act!N118</f>
        <v>36</v>
      </c>
      <c r="O37" s="84">
        <f>TrRoad_act!O118</f>
        <v>0</v>
      </c>
      <c r="P37" s="84">
        <f>TrRoad_act!P118</f>
        <v>20</v>
      </c>
      <c r="Q37" s="84">
        <f>TrRoad_act!Q118</f>
        <v>378</v>
      </c>
      <c r="R37" s="84">
        <f>TrRoad_act!R118</f>
        <v>150</v>
      </c>
      <c r="S37" s="84">
        <f>TrRoad_act!S118</f>
        <v>90</v>
      </c>
      <c r="T37" s="84">
        <f>TrRoad_act!T118</f>
        <v>120</v>
      </c>
      <c r="U37" s="84">
        <f>TrRoad_act!U118</f>
        <v>359</v>
      </c>
      <c r="V37" s="84">
        <f>TrRoad_act!V118</f>
        <v>1354</v>
      </c>
      <c r="W37" s="84">
        <f>TrRoad_act!W118</f>
        <v>1349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1</v>
      </c>
      <c r="O38" s="84">
        <f>TrRoad_act!O119</f>
        <v>1</v>
      </c>
      <c r="P38" s="84">
        <f>TrRoad_act!P119</f>
        <v>21</v>
      </c>
      <c r="Q38" s="84">
        <f>TrRoad_act!Q119</f>
        <v>39</v>
      </c>
      <c r="R38" s="84">
        <f>TrRoad_act!R119</f>
        <v>81</v>
      </c>
      <c r="S38" s="84">
        <f>TrRoad_act!S119</f>
        <v>155</v>
      </c>
      <c r="T38" s="84">
        <f>TrRoad_act!T119</f>
        <v>194</v>
      </c>
      <c r="U38" s="84">
        <f>TrRoad_act!U119</f>
        <v>294</v>
      </c>
      <c r="V38" s="84">
        <f>TrRoad_act!V119</f>
        <v>1463</v>
      </c>
      <c r="W38" s="84">
        <f>TrRoad_act!W119</f>
        <v>4811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0</v>
      </c>
      <c r="L39" s="84">
        <f>TrRoad_act!L120</f>
        <v>0</v>
      </c>
      <c r="M39" s="84">
        <f>TrRoad_act!M120</f>
        <v>0</v>
      </c>
      <c r="N39" s="84">
        <f>TrRoad_act!N120</f>
        <v>1</v>
      </c>
      <c r="O39" s="84">
        <f>TrRoad_act!O120</f>
        <v>3</v>
      </c>
      <c r="P39" s="84">
        <f>TrRoad_act!P120</f>
        <v>42</v>
      </c>
      <c r="Q39" s="84">
        <f>TrRoad_act!Q120</f>
        <v>39</v>
      </c>
      <c r="R39" s="84">
        <f>TrRoad_act!R120</f>
        <v>41</v>
      </c>
      <c r="S39" s="84">
        <f>TrRoad_act!S120</f>
        <v>43</v>
      </c>
      <c r="T39" s="84">
        <f>TrRoad_act!T120</f>
        <v>77</v>
      </c>
      <c r="U39" s="84">
        <f>TrRoad_act!U120</f>
        <v>212</v>
      </c>
      <c r="V39" s="84">
        <f>TrRoad_act!V120</f>
        <v>679</v>
      </c>
      <c r="W39" s="84">
        <f>TrRoad_act!W120</f>
        <v>2196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1913</v>
      </c>
      <c r="C40" s="110">
        <f>TrRoad_act!C121</f>
        <v>2304</v>
      </c>
      <c r="D40" s="110">
        <f>TrRoad_act!D121</f>
        <v>2454</v>
      </c>
      <c r="E40" s="110">
        <f>TrRoad_act!E121</f>
        <v>2405</v>
      </c>
      <c r="F40" s="110">
        <f>TrRoad_act!F121</f>
        <v>1856</v>
      </c>
      <c r="G40" s="110">
        <f>TrRoad_act!G121</f>
        <v>2427</v>
      </c>
      <c r="H40" s="110">
        <f>TrRoad_act!H121</f>
        <v>2453</v>
      </c>
      <c r="I40" s="110">
        <f>TrRoad_act!I121</f>
        <v>2451</v>
      </c>
      <c r="J40" s="110">
        <f>TrRoad_act!J121</f>
        <v>2298</v>
      </c>
      <c r="K40" s="110">
        <f>TrRoad_act!K121</f>
        <v>2270</v>
      </c>
      <c r="L40" s="110">
        <f>TrRoad_act!L121</f>
        <v>2033</v>
      </c>
      <c r="M40" s="110">
        <f>TrRoad_act!M121</f>
        <v>1777</v>
      </c>
      <c r="N40" s="110">
        <f>TrRoad_act!N121</f>
        <v>1735</v>
      </c>
      <c r="O40" s="110">
        <f>TrRoad_act!O121</f>
        <v>1656</v>
      </c>
      <c r="P40" s="110">
        <f>TrRoad_act!P121</f>
        <v>1688</v>
      </c>
      <c r="Q40" s="110">
        <f>TrRoad_act!Q121</f>
        <v>1659</v>
      </c>
      <c r="R40" s="110">
        <f>TrRoad_act!R121</f>
        <v>1350</v>
      </c>
      <c r="S40" s="110">
        <f>TrRoad_act!S121</f>
        <v>1445</v>
      </c>
      <c r="T40" s="110">
        <f>TrRoad_act!T121</f>
        <v>1498</v>
      </c>
      <c r="U40" s="110">
        <f>TrRoad_act!U121</f>
        <v>1763</v>
      </c>
      <c r="V40" s="110">
        <f>TrRoad_act!V121</f>
        <v>1800</v>
      </c>
      <c r="W40" s="110">
        <f>TrRoad_act!W121</f>
        <v>1833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0</v>
      </c>
      <c r="K41" s="102">
        <f>TrRoad_act!K122</f>
        <v>0</v>
      </c>
      <c r="L41" s="102">
        <f>TrRoad_act!L122</f>
        <v>0</v>
      </c>
      <c r="M41" s="102">
        <f>TrRoad_act!M122</f>
        <v>0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1913</v>
      </c>
      <c r="C42" s="102">
        <f>TrRoad_act!C123</f>
        <v>1994</v>
      </c>
      <c r="D42" s="102">
        <f>TrRoad_act!D123</f>
        <v>2289</v>
      </c>
      <c r="E42" s="102">
        <f>TrRoad_act!E123</f>
        <v>2360</v>
      </c>
      <c r="F42" s="102">
        <f>TrRoad_act!F123</f>
        <v>1856</v>
      </c>
      <c r="G42" s="102">
        <f>TrRoad_act!G123</f>
        <v>2387</v>
      </c>
      <c r="H42" s="102">
        <f>TrRoad_act!H123</f>
        <v>2423</v>
      </c>
      <c r="I42" s="102">
        <f>TrRoad_act!I123</f>
        <v>2341</v>
      </c>
      <c r="J42" s="102">
        <f>TrRoad_act!J123</f>
        <v>2248</v>
      </c>
      <c r="K42" s="102">
        <f>TrRoad_act!K123</f>
        <v>2270</v>
      </c>
      <c r="L42" s="102">
        <f>TrRoad_act!L123</f>
        <v>2033</v>
      </c>
      <c r="M42" s="102">
        <f>TrRoad_act!M123</f>
        <v>1767</v>
      </c>
      <c r="N42" s="102">
        <f>TrRoad_act!N123</f>
        <v>1705</v>
      </c>
      <c r="O42" s="102">
        <f>TrRoad_act!O123</f>
        <v>1656</v>
      </c>
      <c r="P42" s="102">
        <f>TrRoad_act!P123</f>
        <v>1638</v>
      </c>
      <c r="Q42" s="102">
        <f>TrRoad_act!Q123</f>
        <v>1579</v>
      </c>
      <c r="R42" s="102">
        <f>TrRoad_act!R123</f>
        <v>1290</v>
      </c>
      <c r="S42" s="102">
        <f>TrRoad_act!S123</f>
        <v>1445</v>
      </c>
      <c r="T42" s="102">
        <f>TrRoad_act!T123</f>
        <v>1358</v>
      </c>
      <c r="U42" s="102">
        <f>TrRoad_act!U123</f>
        <v>1642</v>
      </c>
      <c r="V42" s="102">
        <f>TrRoad_act!V123</f>
        <v>1660</v>
      </c>
      <c r="W42" s="102">
        <f>TrRoad_act!W123</f>
        <v>1683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310</v>
      </c>
      <c r="D44" s="102">
        <f>TrRoad_act!D125</f>
        <v>165</v>
      </c>
      <c r="E44" s="102">
        <f>TrRoad_act!E125</f>
        <v>45</v>
      </c>
      <c r="F44" s="102">
        <f>TrRoad_act!F125</f>
        <v>0</v>
      </c>
      <c r="G44" s="102">
        <f>TrRoad_act!G125</f>
        <v>40</v>
      </c>
      <c r="H44" s="102">
        <f>TrRoad_act!H125</f>
        <v>30</v>
      </c>
      <c r="I44" s="102">
        <f>TrRoad_act!I125</f>
        <v>110</v>
      </c>
      <c r="J44" s="102">
        <f>TrRoad_act!J125</f>
        <v>50</v>
      </c>
      <c r="K44" s="102">
        <f>TrRoad_act!K125</f>
        <v>0</v>
      </c>
      <c r="L44" s="102">
        <f>TrRoad_act!L125</f>
        <v>0</v>
      </c>
      <c r="M44" s="102">
        <f>TrRoad_act!M125</f>
        <v>10</v>
      </c>
      <c r="N44" s="102">
        <f>TrRoad_act!N125</f>
        <v>30</v>
      </c>
      <c r="O44" s="102">
        <f>TrRoad_act!O125</f>
        <v>0</v>
      </c>
      <c r="P44" s="102">
        <f>TrRoad_act!P125</f>
        <v>50</v>
      </c>
      <c r="Q44" s="102">
        <f>TrRoad_act!Q125</f>
        <v>80</v>
      </c>
      <c r="R44" s="102">
        <f>TrRoad_act!R125</f>
        <v>60</v>
      </c>
      <c r="S44" s="102">
        <f>TrRoad_act!S125</f>
        <v>0</v>
      </c>
      <c r="T44" s="102">
        <f>TrRoad_act!T125</f>
        <v>140</v>
      </c>
      <c r="U44" s="102">
        <f>TrRoad_act!U125</f>
        <v>120</v>
      </c>
      <c r="V44" s="102">
        <f>TrRoad_act!V125</f>
        <v>140</v>
      </c>
      <c r="W44" s="102">
        <f>TrRoad_act!W125</f>
        <v>150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0</v>
      </c>
      <c r="P45" s="102">
        <f>TrRoad_act!P126</f>
        <v>0</v>
      </c>
      <c r="Q45" s="102">
        <f>TrRoad_act!Q126</f>
        <v>0</v>
      </c>
      <c r="R45" s="102">
        <f>TrRoad_act!R126</f>
        <v>0</v>
      </c>
      <c r="S45" s="102">
        <f>TrRoad_act!S126</f>
        <v>0</v>
      </c>
      <c r="T45" s="102">
        <f>TrRoad_act!T126</f>
        <v>0</v>
      </c>
      <c r="U45" s="102">
        <f>TrRoad_act!U126</f>
        <v>1</v>
      </c>
      <c r="V45" s="102">
        <f>TrRoad_act!V126</f>
        <v>0</v>
      </c>
      <c r="W45" s="102">
        <f>TrRoad_act!W126</f>
        <v>0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138</v>
      </c>
      <c r="C46" s="28">
        <f>TrRoad_act!C127</f>
        <v>77438</v>
      </c>
      <c r="D46" s="28">
        <f>TrRoad_act!D127</f>
        <v>79369</v>
      </c>
      <c r="E46" s="28">
        <f>TrRoad_act!E127</f>
        <v>74780</v>
      </c>
      <c r="F46" s="28">
        <f>TrRoad_act!F127</f>
        <v>96602</v>
      </c>
      <c r="G46" s="28">
        <f>TrRoad_act!G127</f>
        <v>50496</v>
      </c>
      <c r="H46" s="28">
        <f>TrRoad_act!H127</f>
        <v>97319</v>
      </c>
      <c r="I46" s="28">
        <f>TrRoad_act!I127</f>
        <v>114612</v>
      </c>
      <c r="J46" s="28">
        <f>TrRoad_act!J127</f>
        <v>116372</v>
      </c>
      <c r="K46" s="28">
        <f>TrRoad_act!K127</f>
        <v>50000</v>
      </c>
      <c r="L46" s="28">
        <f>TrRoad_act!L127</f>
        <v>76878</v>
      </c>
      <c r="M46" s="28">
        <f>TrRoad_act!M127</f>
        <v>10544</v>
      </c>
      <c r="N46" s="28">
        <f>TrRoad_act!N127</f>
        <v>4560</v>
      </c>
      <c r="O46" s="28">
        <f>TrRoad_act!O127</f>
        <v>42789</v>
      </c>
      <c r="P46" s="28">
        <f>TrRoad_act!P127</f>
        <v>39098</v>
      </c>
      <c r="Q46" s="28">
        <f>TrRoad_act!Q127</f>
        <v>103690</v>
      </c>
      <c r="R46" s="28">
        <f>TrRoad_act!R127</f>
        <v>102800</v>
      </c>
      <c r="S46" s="28">
        <f>TrRoad_act!S127</f>
        <v>10202</v>
      </c>
      <c r="T46" s="28">
        <f>TrRoad_act!T127</f>
        <v>35534</v>
      </c>
      <c r="U46" s="28">
        <f>TrRoad_act!U127</f>
        <v>41206</v>
      </c>
      <c r="V46" s="28">
        <f>TrRoad_act!V127</f>
        <v>36649</v>
      </c>
      <c r="W46" s="28">
        <f>TrRoad_act!W127</f>
        <v>39429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0</v>
      </c>
      <c r="C47" s="137">
        <f>TrRoad_act!C128</f>
        <v>63609</v>
      </c>
      <c r="D47" s="137">
        <f>TrRoad_act!D128</f>
        <v>65072</v>
      </c>
      <c r="E47" s="137">
        <f>TrRoad_act!E128</f>
        <v>67491</v>
      </c>
      <c r="F47" s="137">
        <f>TrRoad_act!F128</f>
        <v>45983</v>
      </c>
      <c r="G47" s="137">
        <f>TrRoad_act!G128</f>
        <v>47975</v>
      </c>
      <c r="H47" s="137">
        <f>TrRoad_act!H128</f>
        <v>68730</v>
      </c>
      <c r="I47" s="137">
        <f>TrRoad_act!I128</f>
        <v>107432</v>
      </c>
      <c r="J47" s="137">
        <f>TrRoad_act!J128</f>
        <v>87533</v>
      </c>
      <c r="K47" s="137">
        <f>TrRoad_act!K128</f>
        <v>47565</v>
      </c>
      <c r="L47" s="137">
        <f>TrRoad_act!L128</f>
        <v>74098</v>
      </c>
      <c r="M47" s="137">
        <f>TrRoad_act!M128</f>
        <v>8452</v>
      </c>
      <c r="N47" s="137">
        <f>TrRoad_act!N128</f>
        <v>2364</v>
      </c>
      <c r="O47" s="137">
        <f>TrRoad_act!O128</f>
        <v>40684</v>
      </c>
      <c r="P47" s="137">
        <f>TrRoad_act!P128</f>
        <v>37418</v>
      </c>
      <c r="Q47" s="137">
        <f>TrRoad_act!Q128</f>
        <v>100797</v>
      </c>
      <c r="R47" s="137">
        <f>TrRoad_act!R128</f>
        <v>100141</v>
      </c>
      <c r="S47" s="137">
        <f>TrRoad_act!S128</f>
        <v>6451</v>
      </c>
      <c r="T47" s="137">
        <f>TrRoad_act!T128</f>
        <v>33241</v>
      </c>
      <c r="U47" s="137">
        <f>TrRoad_act!U128</f>
        <v>38921</v>
      </c>
      <c r="V47" s="137">
        <f>TrRoad_act!V128</f>
        <v>34040</v>
      </c>
      <c r="W47" s="137">
        <f>TrRoad_act!W128</f>
        <v>37011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46543</v>
      </c>
      <c r="D48" s="84">
        <f>TrRoad_act!D129</f>
        <v>49379</v>
      </c>
      <c r="E48" s="84">
        <f>TrRoad_act!E129</f>
        <v>37481</v>
      </c>
      <c r="F48" s="84">
        <f>TrRoad_act!F129</f>
        <v>27664</v>
      </c>
      <c r="G48" s="84">
        <f>TrRoad_act!G129</f>
        <v>31241</v>
      </c>
      <c r="H48" s="84">
        <f>TrRoad_act!H129</f>
        <v>33183</v>
      </c>
      <c r="I48" s="84">
        <f>TrRoad_act!I129</f>
        <v>73030</v>
      </c>
      <c r="J48" s="84">
        <f>TrRoad_act!J129</f>
        <v>75268</v>
      </c>
      <c r="K48" s="84">
        <f>TrRoad_act!K129</f>
        <v>4160</v>
      </c>
      <c r="L48" s="84">
        <f>TrRoad_act!L129</f>
        <v>24044</v>
      </c>
      <c r="M48" s="84">
        <f>TrRoad_act!M129</f>
        <v>0</v>
      </c>
      <c r="N48" s="84">
        <f>TrRoad_act!N129</f>
        <v>187</v>
      </c>
      <c r="O48" s="84">
        <f>TrRoad_act!O129</f>
        <v>91</v>
      </c>
      <c r="P48" s="84">
        <f>TrRoad_act!P129</f>
        <v>17572</v>
      </c>
      <c r="Q48" s="84">
        <f>TrRoad_act!Q129</f>
        <v>33837</v>
      </c>
      <c r="R48" s="84">
        <f>TrRoad_act!R129</f>
        <v>55451</v>
      </c>
      <c r="S48" s="84">
        <f>TrRoad_act!S129</f>
        <v>61</v>
      </c>
      <c r="T48" s="84">
        <f>TrRoad_act!T129</f>
        <v>26620</v>
      </c>
      <c r="U48" s="84">
        <f>TrRoad_act!U129</f>
        <v>31586</v>
      </c>
      <c r="V48" s="84">
        <f>TrRoad_act!V129</f>
        <v>27729</v>
      </c>
      <c r="W48" s="84">
        <f>TrRoad_act!W129</f>
        <v>27503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0</v>
      </c>
      <c r="C49" s="84">
        <f>TrRoad_act!C130</f>
        <v>17066</v>
      </c>
      <c r="D49" s="84">
        <f>TrRoad_act!D130</f>
        <v>15693</v>
      </c>
      <c r="E49" s="84">
        <f>TrRoad_act!E130</f>
        <v>30010</v>
      </c>
      <c r="F49" s="84">
        <f>TrRoad_act!F130</f>
        <v>18319</v>
      </c>
      <c r="G49" s="84">
        <f>TrRoad_act!G130</f>
        <v>16734</v>
      </c>
      <c r="H49" s="84">
        <f>TrRoad_act!H130</f>
        <v>35547</v>
      </c>
      <c r="I49" s="84">
        <f>TrRoad_act!I130</f>
        <v>34402</v>
      </c>
      <c r="J49" s="84">
        <f>TrRoad_act!J130</f>
        <v>12265</v>
      </c>
      <c r="K49" s="84">
        <f>TrRoad_act!K130</f>
        <v>43405</v>
      </c>
      <c r="L49" s="84">
        <f>TrRoad_act!L130</f>
        <v>50054</v>
      </c>
      <c r="M49" s="84">
        <f>TrRoad_act!M130</f>
        <v>8452</v>
      </c>
      <c r="N49" s="84">
        <f>TrRoad_act!N130</f>
        <v>2177</v>
      </c>
      <c r="O49" s="84">
        <f>TrRoad_act!O130</f>
        <v>40593</v>
      </c>
      <c r="P49" s="84">
        <f>TrRoad_act!P130</f>
        <v>19846</v>
      </c>
      <c r="Q49" s="84">
        <f>TrRoad_act!Q130</f>
        <v>66960</v>
      </c>
      <c r="R49" s="84">
        <f>TrRoad_act!R130</f>
        <v>44690</v>
      </c>
      <c r="S49" s="84">
        <f>TrRoad_act!S130</f>
        <v>6390</v>
      </c>
      <c r="T49" s="84">
        <f>TrRoad_act!T130</f>
        <v>6621</v>
      </c>
      <c r="U49" s="84">
        <f>TrRoad_act!U130</f>
        <v>7335</v>
      </c>
      <c r="V49" s="84">
        <f>TrRoad_act!V130</f>
        <v>6311</v>
      </c>
      <c r="W49" s="84">
        <f>TrRoad_act!W130</f>
        <v>9508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0</v>
      </c>
      <c r="O50" s="84">
        <f>TrRoad_act!O131</f>
        <v>0</v>
      </c>
      <c r="P50" s="84">
        <f>TrRoad_act!P131</f>
        <v>0</v>
      </c>
      <c r="Q50" s="84">
        <f>TrRoad_act!Q131</f>
        <v>0</v>
      </c>
      <c r="R50" s="84">
        <f>TrRoad_act!R131</f>
        <v>0</v>
      </c>
      <c r="S50" s="84">
        <f>TrRoad_act!S131</f>
        <v>0</v>
      </c>
      <c r="T50" s="84">
        <f>TrRoad_act!T131</f>
        <v>0</v>
      </c>
      <c r="U50" s="84">
        <f>TrRoad_act!U131</f>
        <v>0</v>
      </c>
      <c r="V50" s="84">
        <f>TrRoad_act!V131</f>
        <v>0</v>
      </c>
      <c r="W50" s="84">
        <f>TrRoad_act!W131</f>
        <v>0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0</v>
      </c>
      <c r="P51" s="84">
        <f>TrRoad_act!P132</f>
        <v>0</v>
      </c>
      <c r="Q51" s="84">
        <f>TrRoad_act!Q132</f>
        <v>0</v>
      </c>
      <c r="R51" s="84">
        <f>TrRoad_act!R132</f>
        <v>0</v>
      </c>
      <c r="S51" s="84">
        <f>TrRoad_act!S132</f>
        <v>0</v>
      </c>
      <c r="T51" s="84">
        <f>TrRoad_act!T132</f>
        <v>0</v>
      </c>
      <c r="U51" s="84">
        <f>TrRoad_act!U132</f>
        <v>0</v>
      </c>
      <c r="V51" s="84">
        <f>TrRoad_act!V132</f>
        <v>0</v>
      </c>
      <c r="W51" s="84">
        <f>TrRoad_act!W132</f>
        <v>0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0</v>
      </c>
      <c r="N52" s="84">
        <f>TrRoad_act!N133</f>
        <v>0</v>
      </c>
      <c r="O52" s="84">
        <f>TrRoad_act!O133</f>
        <v>0</v>
      </c>
      <c r="P52" s="84">
        <f>TrRoad_act!P133</f>
        <v>0</v>
      </c>
      <c r="Q52" s="84">
        <f>TrRoad_act!Q133</f>
        <v>0</v>
      </c>
      <c r="R52" s="84">
        <f>TrRoad_act!R133</f>
        <v>0</v>
      </c>
      <c r="S52" s="84">
        <f>TrRoad_act!S133</f>
        <v>0</v>
      </c>
      <c r="T52" s="84">
        <f>TrRoad_act!T133</f>
        <v>0</v>
      </c>
      <c r="U52" s="84">
        <f>TrRoad_act!U133</f>
        <v>0</v>
      </c>
      <c r="V52" s="84">
        <f>TrRoad_act!V133</f>
        <v>0</v>
      </c>
      <c r="W52" s="84">
        <f>TrRoad_act!W133</f>
        <v>0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138</v>
      </c>
      <c r="C53" s="110">
        <f>TrRoad_act!C134</f>
        <v>13829</v>
      </c>
      <c r="D53" s="110">
        <f>TrRoad_act!D134</f>
        <v>14297</v>
      </c>
      <c r="E53" s="110">
        <f>TrRoad_act!E134</f>
        <v>7289</v>
      </c>
      <c r="F53" s="110">
        <f>TrRoad_act!F134</f>
        <v>50619</v>
      </c>
      <c r="G53" s="110">
        <f>TrRoad_act!G134</f>
        <v>2521</v>
      </c>
      <c r="H53" s="110">
        <f>TrRoad_act!H134</f>
        <v>28589</v>
      </c>
      <c r="I53" s="110">
        <f>TrRoad_act!I134</f>
        <v>7180</v>
      </c>
      <c r="J53" s="110">
        <f>TrRoad_act!J134</f>
        <v>28839</v>
      </c>
      <c r="K53" s="110">
        <f>TrRoad_act!K134</f>
        <v>2435</v>
      </c>
      <c r="L53" s="110">
        <f>TrRoad_act!L134</f>
        <v>2780</v>
      </c>
      <c r="M53" s="110">
        <f>TrRoad_act!M134</f>
        <v>2092</v>
      </c>
      <c r="N53" s="110">
        <f>TrRoad_act!N134</f>
        <v>2196</v>
      </c>
      <c r="O53" s="110">
        <f>TrRoad_act!O134</f>
        <v>2105</v>
      </c>
      <c r="P53" s="110">
        <f>TrRoad_act!P134</f>
        <v>1680</v>
      </c>
      <c r="Q53" s="110">
        <f>TrRoad_act!Q134</f>
        <v>2893</v>
      </c>
      <c r="R53" s="110">
        <f>TrRoad_act!R134</f>
        <v>2659</v>
      </c>
      <c r="S53" s="110">
        <f>TrRoad_act!S134</f>
        <v>3751</v>
      </c>
      <c r="T53" s="110">
        <f>TrRoad_act!T134</f>
        <v>2293</v>
      </c>
      <c r="U53" s="110">
        <f>TrRoad_act!U134</f>
        <v>2285</v>
      </c>
      <c r="V53" s="110">
        <f>TrRoad_act!V134</f>
        <v>2609</v>
      </c>
      <c r="W53" s="110">
        <f>TrRoad_act!W134</f>
        <v>2418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13680</v>
      </c>
      <c r="D54" s="102">
        <f>TrRoad_act!D135</f>
        <v>14159</v>
      </c>
      <c r="E54" s="102">
        <f>TrRoad_act!E135</f>
        <v>7184</v>
      </c>
      <c r="F54" s="102">
        <f>TrRoad_act!F135</f>
        <v>50245</v>
      </c>
      <c r="G54" s="102">
        <f>TrRoad_act!G135</f>
        <v>2363</v>
      </c>
      <c r="H54" s="102">
        <f>TrRoad_act!H135</f>
        <v>28053</v>
      </c>
      <c r="I54" s="102">
        <f>TrRoad_act!I135</f>
        <v>7180</v>
      </c>
      <c r="J54" s="102">
        <f>TrRoad_act!J135</f>
        <v>28839</v>
      </c>
      <c r="K54" s="102">
        <f>TrRoad_act!K135</f>
        <v>2435</v>
      </c>
      <c r="L54" s="102">
        <f>TrRoad_act!L135</f>
        <v>2269</v>
      </c>
      <c r="M54" s="102">
        <f>TrRoad_act!M135</f>
        <v>2092</v>
      </c>
      <c r="N54" s="102">
        <f>TrRoad_act!N135</f>
        <v>1918</v>
      </c>
      <c r="O54" s="102">
        <f>TrRoad_act!O135</f>
        <v>1738</v>
      </c>
      <c r="P54" s="102">
        <f>TrRoad_act!P135</f>
        <v>1626</v>
      </c>
      <c r="Q54" s="102">
        <f>TrRoad_act!Q135</f>
        <v>2571</v>
      </c>
      <c r="R54" s="102">
        <f>TrRoad_act!R135</f>
        <v>2469</v>
      </c>
      <c r="S54" s="102">
        <f>TrRoad_act!S135</f>
        <v>2331</v>
      </c>
      <c r="T54" s="102">
        <f>TrRoad_act!T135</f>
        <v>2293</v>
      </c>
      <c r="U54" s="102">
        <f>TrRoad_act!U135</f>
        <v>2285</v>
      </c>
      <c r="V54" s="102">
        <f>TrRoad_act!V135</f>
        <v>2261</v>
      </c>
      <c r="W54" s="102">
        <f>TrRoad_act!W135</f>
        <v>2418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138</v>
      </c>
      <c r="C55" s="86">
        <f>TrRoad_act!C136</f>
        <v>149</v>
      </c>
      <c r="D55" s="86">
        <f>TrRoad_act!D136</f>
        <v>138</v>
      </c>
      <c r="E55" s="86">
        <f>TrRoad_act!E136</f>
        <v>105</v>
      </c>
      <c r="F55" s="86">
        <f>TrRoad_act!F136</f>
        <v>374</v>
      </c>
      <c r="G55" s="86">
        <f>TrRoad_act!G136</f>
        <v>158</v>
      </c>
      <c r="H55" s="86">
        <f>TrRoad_act!H136</f>
        <v>536</v>
      </c>
      <c r="I55" s="86">
        <f>TrRoad_act!I136</f>
        <v>0</v>
      </c>
      <c r="J55" s="86">
        <f>TrRoad_act!J136</f>
        <v>0</v>
      </c>
      <c r="K55" s="86">
        <f>TrRoad_act!K136</f>
        <v>0</v>
      </c>
      <c r="L55" s="86">
        <f>TrRoad_act!L136</f>
        <v>511</v>
      </c>
      <c r="M55" s="86">
        <f>TrRoad_act!M136</f>
        <v>0</v>
      </c>
      <c r="N55" s="86">
        <f>TrRoad_act!N136</f>
        <v>278</v>
      </c>
      <c r="O55" s="86">
        <f>TrRoad_act!O136</f>
        <v>367</v>
      </c>
      <c r="P55" s="86">
        <f>TrRoad_act!P136</f>
        <v>54</v>
      </c>
      <c r="Q55" s="86">
        <f>TrRoad_act!Q136</f>
        <v>322</v>
      </c>
      <c r="R55" s="86">
        <f>TrRoad_act!R136</f>
        <v>190</v>
      </c>
      <c r="S55" s="86">
        <f>TrRoad_act!S136</f>
        <v>1420</v>
      </c>
      <c r="T55" s="86">
        <f>TrRoad_act!T136</f>
        <v>0</v>
      </c>
      <c r="U55" s="86">
        <f>TrRoad_act!U136</f>
        <v>0</v>
      </c>
      <c r="V55" s="86">
        <f>TrRoad_act!V136</f>
        <v>348</v>
      </c>
      <c r="W55" s="86">
        <f>TrRoad_act!W136</f>
        <v>0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28752</v>
      </c>
      <c r="C59" s="54">
        <f t="shared" si="0"/>
        <v>182700</v>
      </c>
      <c r="D59" s="54">
        <f t="shared" si="0"/>
        <v>209541</v>
      </c>
      <c r="E59" s="54">
        <f t="shared" si="0"/>
        <v>244693</v>
      </c>
      <c r="F59" s="54">
        <f t="shared" si="0"/>
        <v>255325</v>
      </c>
      <c r="G59" s="54">
        <f t="shared" si="0"/>
        <v>351177</v>
      </c>
      <c r="H59" s="54">
        <f t="shared" si="0"/>
        <v>340974</v>
      </c>
      <c r="I59" s="54">
        <f t="shared" si="0"/>
        <v>484647</v>
      </c>
      <c r="J59" s="54">
        <f t="shared" si="0"/>
        <v>451260</v>
      </c>
      <c r="K59" s="54">
        <f t="shared" si="0"/>
        <v>396562</v>
      </c>
      <c r="L59" s="54">
        <f t="shared" ref="L59" si="1">L60+L75</f>
        <v>398455</v>
      </c>
      <c r="M59" s="54">
        <f t="shared" ref="M59:V59" si="2">M60+M75</f>
        <v>309747</v>
      </c>
      <c r="N59" s="54">
        <f t="shared" si="2"/>
        <v>329658</v>
      </c>
      <c r="O59" s="54">
        <f t="shared" si="2"/>
        <v>317744</v>
      </c>
      <c r="P59" s="54">
        <f t="shared" si="2"/>
        <v>381357</v>
      </c>
      <c r="Q59" s="54">
        <f t="shared" si="2"/>
        <v>487609</v>
      </c>
      <c r="R59" s="54">
        <f t="shared" si="2"/>
        <v>429650</v>
      </c>
      <c r="S59" s="54">
        <f t="shared" si="2"/>
        <v>338280</v>
      </c>
      <c r="T59" s="54">
        <f t="shared" si="2"/>
        <v>359826</v>
      </c>
      <c r="U59" s="54">
        <f t="shared" si="2"/>
        <v>483693</v>
      </c>
      <c r="V59" s="54">
        <f t="shared" si="2"/>
        <v>482802</v>
      </c>
      <c r="W59" s="54">
        <f t="shared" ref="W59" si="3">W60+W75</f>
        <v>685429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26472</v>
      </c>
      <c r="C60" s="28">
        <f t="shared" si="4"/>
        <v>179154</v>
      </c>
      <c r="D60" s="28">
        <f t="shared" si="4"/>
        <v>203462</v>
      </c>
      <c r="E60" s="28">
        <f t="shared" si="4"/>
        <v>237968</v>
      </c>
      <c r="F60" s="28">
        <f t="shared" si="4"/>
        <v>238101</v>
      </c>
      <c r="G60" s="28">
        <f t="shared" si="4"/>
        <v>342979</v>
      </c>
      <c r="H60" s="28">
        <f t="shared" si="4"/>
        <v>320851</v>
      </c>
      <c r="I60" s="28">
        <f t="shared" si="4"/>
        <v>448663</v>
      </c>
      <c r="J60" s="28">
        <f t="shared" si="4"/>
        <v>399758</v>
      </c>
      <c r="K60" s="28">
        <f t="shared" si="4"/>
        <v>372858</v>
      </c>
      <c r="L60" s="28">
        <f t="shared" ref="L60" si="5">L61+L62+L69</f>
        <v>355296</v>
      </c>
      <c r="M60" s="28">
        <f t="shared" ref="M60:V60" si="6">M61+M62+M69</f>
        <v>302818</v>
      </c>
      <c r="N60" s="28">
        <f t="shared" si="6"/>
        <v>326244</v>
      </c>
      <c r="O60" s="28">
        <f t="shared" si="6"/>
        <v>283849</v>
      </c>
      <c r="P60" s="28">
        <f t="shared" si="6"/>
        <v>348603</v>
      </c>
      <c r="Q60" s="28">
        <f t="shared" si="6"/>
        <v>395338</v>
      </c>
      <c r="R60" s="28">
        <f t="shared" si="6"/>
        <v>334768</v>
      </c>
      <c r="S60" s="28">
        <f t="shared" si="6"/>
        <v>328587</v>
      </c>
      <c r="T60" s="28">
        <f t="shared" si="6"/>
        <v>325230</v>
      </c>
      <c r="U60" s="28">
        <f t="shared" si="6"/>
        <v>442933</v>
      </c>
      <c r="V60" s="28">
        <f t="shared" si="6"/>
        <v>447002</v>
      </c>
      <c r="W60" s="28">
        <f t="shared" ref="W60" si="7">W61+W62+W69</f>
        <v>646000</v>
      </c>
      <c r="DA60" s="173" t="s">
        <v>837</v>
      </c>
    </row>
    <row r="61" spans="1:105" ht="11.45" customHeight="1" x14ac:dyDescent="0.25">
      <c r="A61" s="136" t="s">
        <v>180</v>
      </c>
      <c r="B61" s="137">
        <v>26472</v>
      </c>
      <c r="C61" s="137">
        <v>69235</v>
      </c>
      <c r="D61" s="137">
        <v>63009</v>
      </c>
      <c r="E61" s="137">
        <v>70773</v>
      </c>
      <c r="F61" s="137">
        <v>88553</v>
      </c>
      <c r="G61" s="137">
        <v>102841</v>
      </c>
      <c r="H61" s="137">
        <v>108267</v>
      </c>
      <c r="I61" s="137">
        <v>126268</v>
      </c>
      <c r="J61" s="137">
        <v>128486</v>
      </c>
      <c r="K61" s="137">
        <v>97971</v>
      </c>
      <c r="L61" s="137">
        <v>89281</v>
      </c>
      <c r="M61" s="137">
        <v>73888</v>
      </c>
      <c r="N61" s="137">
        <v>57662</v>
      </c>
      <c r="O61" s="137">
        <v>46765</v>
      </c>
      <c r="P61" s="137">
        <v>63995</v>
      </c>
      <c r="Q61" s="137">
        <v>68506</v>
      </c>
      <c r="R61" s="137">
        <v>79653</v>
      </c>
      <c r="S61" s="137">
        <v>38550</v>
      </c>
      <c r="T61" s="137">
        <v>45245</v>
      </c>
      <c r="U61" s="137">
        <v>70014</v>
      </c>
      <c r="V61" s="137">
        <v>72506</v>
      </c>
      <c r="W61" s="137">
        <v>87864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0</v>
      </c>
      <c r="C62" s="110">
        <f t="shared" si="8"/>
        <v>109865</v>
      </c>
      <c r="D62" s="110">
        <f t="shared" si="8"/>
        <v>140418</v>
      </c>
      <c r="E62" s="110">
        <f t="shared" si="8"/>
        <v>166806</v>
      </c>
      <c r="F62" s="110">
        <f t="shared" si="8"/>
        <v>148922</v>
      </c>
      <c r="G62" s="110">
        <f t="shared" si="8"/>
        <v>239122</v>
      </c>
      <c r="H62" s="110">
        <f t="shared" si="8"/>
        <v>211356</v>
      </c>
      <c r="I62" s="110">
        <f t="shared" si="8"/>
        <v>320981</v>
      </c>
      <c r="J62" s="110">
        <f t="shared" si="8"/>
        <v>269769</v>
      </c>
      <c r="K62" s="110">
        <f t="shared" si="8"/>
        <v>273240</v>
      </c>
      <c r="L62" s="110">
        <f t="shared" ref="L62" si="9">SUM(L63:L68)</f>
        <v>264414</v>
      </c>
      <c r="M62" s="110">
        <f t="shared" ref="M62:V62" si="10">SUM(M63:M68)</f>
        <v>227437</v>
      </c>
      <c r="N62" s="110">
        <f t="shared" si="10"/>
        <v>267047</v>
      </c>
      <c r="O62" s="110">
        <f t="shared" si="10"/>
        <v>235554</v>
      </c>
      <c r="P62" s="110">
        <f t="shared" si="10"/>
        <v>283005</v>
      </c>
      <c r="Q62" s="110">
        <f t="shared" si="10"/>
        <v>325222</v>
      </c>
      <c r="R62" s="110">
        <f t="shared" si="10"/>
        <v>253786</v>
      </c>
      <c r="S62" s="110">
        <f t="shared" si="10"/>
        <v>288598</v>
      </c>
      <c r="T62" s="110">
        <f t="shared" si="10"/>
        <v>278491</v>
      </c>
      <c r="U62" s="110">
        <f t="shared" si="10"/>
        <v>371157</v>
      </c>
      <c r="V62" s="110">
        <f t="shared" si="10"/>
        <v>372699</v>
      </c>
      <c r="W62" s="110">
        <f t="shared" ref="W62" si="11">SUM(W63:W68)</f>
        <v>556303</v>
      </c>
      <c r="DA62" s="176" t="s">
        <v>839</v>
      </c>
    </row>
    <row r="63" spans="1:105" ht="11.45" customHeight="1" x14ac:dyDescent="0.25">
      <c r="A63" s="111" t="s">
        <v>110</v>
      </c>
      <c r="B63" s="84">
        <v>0</v>
      </c>
      <c r="C63" s="84">
        <v>109865</v>
      </c>
      <c r="D63" s="84">
        <v>140418</v>
      </c>
      <c r="E63" s="84">
        <v>166806</v>
      </c>
      <c r="F63" s="84">
        <v>148922</v>
      </c>
      <c r="G63" s="84">
        <v>239122</v>
      </c>
      <c r="H63" s="84">
        <v>211356</v>
      </c>
      <c r="I63" s="84">
        <v>320981</v>
      </c>
      <c r="J63" s="84">
        <v>269769</v>
      </c>
      <c r="K63" s="84">
        <v>266718</v>
      </c>
      <c r="L63" s="84">
        <v>260449</v>
      </c>
      <c r="M63" s="84">
        <v>194451</v>
      </c>
      <c r="N63" s="84">
        <v>267018</v>
      </c>
      <c r="O63" s="84">
        <v>162429</v>
      </c>
      <c r="P63" s="84">
        <v>211177</v>
      </c>
      <c r="Q63" s="84">
        <v>293283</v>
      </c>
      <c r="R63" s="84">
        <v>181078</v>
      </c>
      <c r="S63" s="84">
        <v>244092</v>
      </c>
      <c r="T63" s="84">
        <v>216961</v>
      </c>
      <c r="U63" s="84">
        <v>299522</v>
      </c>
      <c r="V63" s="84">
        <v>287906</v>
      </c>
      <c r="W63" s="84">
        <v>501067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6450</v>
      </c>
      <c r="L64" s="84">
        <v>3671</v>
      </c>
      <c r="M64" s="84">
        <v>0</v>
      </c>
      <c r="N64" s="84">
        <v>0</v>
      </c>
      <c r="O64" s="84">
        <v>0</v>
      </c>
      <c r="P64" s="84">
        <v>56842</v>
      </c>
      <c r="Q64" s="84">
        <v>3103</v>
      </c>
      <c r="R64" s="84">
        <v>41374</v>
      </c>
      <c r="S64" s="84">
        <v>42881</v>
      </c>
      <c r="T64" s="84">
        <v>59014</v>
      </c>
      <c r="U64" s="84">
        <v>67046</v>
      </c>
      <c r="V64" s="84">
        <v>81242</v>
      </c>
      <c r="W64" s="84">
        <v>44894</v>
      </c>
      <c r="DA64" s="171" t="s">
        <v>841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32822</v>
      </c>
      <c r="N65" s="84">
        <v>0</v>
      </c>
      <c r="O65" s="84">
        <v>73125</v>
      </c>
      <c r="P65" s="84">
        <v>14958</v>
      </c>
      <c r="Q65" s="84">
        <v>28443</v>
      </c>
      <c r="R65" s="84">
        <v>31149</v>
      </c>
      <c r="S65" s="84">
        <v>1413</v>
      </c>
      <c r="T65" s="84">
        <v>2129</v>
      </c>
      <c r="U65" s="84">
        <v>3726</v>
      </c>
      <c r="V65" s="84">
        <v>71</v>
      </c>
      <c r="W65" s="84">
        <v>1986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72</v>
      </c>
      <c r="L66" s="84">
        <v>294</v>
      </c>
      <c r="M66" s="84">
        <v>164</v>
      </c>
      <c r="N66" s="84">
        <v>29</v>
      </c>
      <c r="O66" s="84">
        <v>0</v>
      </c>
      <c r="P66" s="84">
        <v>19</v>
      </c>
      <c r="Q66" s="84">
        <v>363</v>
      </c>
      <c r="R66" s="84">
        <v>148</v>
      </c>
      <c r="S66" s="84">
        <v>89</v>
      </c>
      <c r="T66" s="84">
        <v>120</v>
      </c>
      <c r="U66" s="84">
        <v>359</v>
      </c>
      <c r="V66" s="84">
        <v>1354</v>
      </c>
      <c r="W66" s="84">
        <v>1349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81</v>
      </c>
      <c r="T67" s="84">
        <v>191</v>
      </c>
      <c r="U67" s="84">
        <v>293</v>
      </c>
      <c r="V67" s="84">
        <v>1447</v>
      </c>
      <c r="W67" s="84">
        <v>4811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9</v>
      </c>
      <c r="Q68" s="84">
        <v>30</v>
      </c>
      <c r="R68" s="84">
        <v>37</v>
      </c>
      <c r="S68" s="84">
        <v>42</v>
      </c>
      <c r="T68" s="84">
        <v>76</v>
      </c>
      <c r="U68" s="84">
        <v>211</v>
      </c>
      <c r="V68" s="84">
        <v>679</v>
      </c>
      <c r="W68" s="84">
        <v>2196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0</v>
      </c>
      <c r="C69" s="110">
        <f t="shared" si="12"/>
        <v>54</v>
      </c>
      <c r="D69" s="110">
        <f t="shared" si="12"/>
        <v>35</v>
      </c>
      <c r="E69" s="110">
        <f t="shared" si="12"/>
        <v>389</v>
      </c>
      <c r="F69" s="110">
        <f t="shared" si="12"/>
        <v>626</v>
      </c>
      <c r="G69" s="110">
        <f t="shared" si="12"/>
        <v>1016</v>
      </c>
      <c r="H69" s="110">
        <f t="shared" si="12"/>
        <v>1228</v>
      </c>
      <c r="I69" s="110">
        <f t="shared" si="12"/>
        <v>1414</v>
      </c>
      <c r="J69" s="110">
        <f t="shared" si="12"/>
        <v>1503</v>
      </c>
      <c r="K69" s="110">
        <f t="shared" si="12"/>
        <v>1647</v>
      </c>
      <c r="L69" s="110">
        <f t="shared" ref="L69" si="13">SUM(L70:L74)</f>
        <v>1601</v>
      </c>
      <c r="M69" s="110">
        <f t="shared" ref="M69:V69" si="14">SUM(M70:M74)</f>
        <v>1493</v>
      </c>
      <c r="N69" s="110">
        <f t="shared" si="14"/>
        <v>1535</v>
      </c>
      <c r="O69" s="110">
        <f t="shared" si="14"/>
        <v>1530</v>
      </c>
      <c r="P69" s="110">
        <f t="shared" si="14"/>
        <v>1603</v>
      </c>
      <c r="Q69" s="110">
        <f t="shared" si="14"/>
        <v>1610</v>
      </c>
      <c r="R69" s="110">
        <f t="shared" si="14"/>
        <v>1329</v>
      </c>
      <c r="S69" s="110">
        <f t="shared" si="14"/>
        <v>1439</v>
      </c>
      <c r="T69" s="110">
        <f t="shared" si="14"/>
        <v>1494</v>
      </c>
      <c r="U69" s="110">
        <f t="shared" si="14"/>
        <v>1762</v>
      </c>
      <c r="V69" s="110">
        <f t="shared" si="14"/>
        <v>1797</v>
      </c>
      <c r="W69" s="110">
        <f t="shared" ref="W69" si="15">SUM(W70:W74)</f>
        <v>1833</v>
      </c>
      <c r="DA69" s="176" t="s">
        <v>846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377</v>
      </c>
      <c r="F71" s="102">
        <v>626</v>
      </c>
      <c r="G71" s="102">
        <v>1001</v>
      </c>
      <c r="H71" s="102">
        <v>1215</v>
      </c>
      <c r="I71" s="102">
        <v>1360</v>
      </c>
      <c r="J71" s="102">
        <v>1476</v>
      </c>
      <c r="K71" s="102">
        <v>1647</v>
      </c>
      <c r="L71" s="102">
        <v>1601</v>
      </c>
      <c r="M71" s="102">
        <v>1486</v>
      </c>
      <c r="N71" s="102">
        <v>1512</v>
      </c>
      <c r="O71" s="102">
        <v>1530</v>
      </c>
      <c r="P71" s="102">
        <v>1560</v>
      </c>
      <c r="Q71" s="102">
        <v>1538</v>
      </c>
      <c r="R71" s="102">
        <v>1273</v>
      </c>
      <c r="S71" s="102">
        <v>1439</v>
      </c>
      <c r="T71" s="102">
        <v>1357</v>
      </c>
      <c r="U71" s="102">
        <v>1642</v>
      </c>
      <c r="V71" s="102">
        <v>1660</v>
      </c>
      <c r="W71" s="102">
        <v>1683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54</v>
      </c>
      <c r="D73" s="102">
        <v>35</v>
      </c>
      <c r="E73" s="102">
        <v>12</v>
      </c>
      <c r="F73" s="102">
        <v>0</v>
      </c>
      <c r="G73" s="102">
        <v>15</v>
      </c>
      <c r="H73" s="102">
        <v>13</v>
      </c>
      <c r="I73" s="102">
        <v>54</v>
      </c>
      <c r="J73" s="102">
        <v>27</v>
      </c>
      <c r="K73" s="102">
        <v>0</v>
      </c>
      <c r="L73" s="102">
        <v>0</v>
      </c>
      <c r="M73" s="102">
        <v>7</v>
      </c>
      <c r="N73" s="102">
        <v>23</v>
      </c>
      <c r="O73" s="102">
        <v>0</v>
      </c>
      <c r="P73" s="102">
        <v>43</v>
      </c>
      <c r="Q73" s="102">
        <v>72</v>
      </c>
      <c r="R73" s="102">
        <v>56</v>
      </c>
      <c r="S73" s="102">
        <v>0</v>
      </c>
      <c r="T73" s="102">
        <v>137</v>
      </c>
      <c r="U73" s="102">
        <v>119</v>
      </c>
      <c r="V73" s="102">
        <v>137</v>
      </c>
      <c r="W73" s="102">
        <v>150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0</v>
      </c>
      <c r="S74" s="102">
        <v>0</v>
      </c>
      <c r="T74" s="102">
        <v>0</v>
      </c>
      <c r="U74" s="102">
        <v>1</v>
      </c>
      <c r="V74" s="102">
        <v>0</v>
      </c>
      <c r="W74" s="102">
        <v>0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2280</v>
      </c>
      <c r="C75" s="28">
        <f t="shared" si="16"/>
        <v>3546</v>
      </c>
      <c r="D75" s="28">
        <f t="shared" si="16"/>
        <v>6079</v>
      </c>
      <c r="E75" s="28">
        <f t="shared" si="16"/>
        <v>6725</v>
      </c>
      <c r="F75" s="28">
        <f t="shared" si="16"/>
        <v>17224</v>
      </c>
      <c r="G75" s="28">
        <f t="shared" si="16"/>
        <v>8198</v>
      </c>
      <c r="H75" s="28">
        <f t="shared" si="16"/>
        <v>20123</v>
      </c>
      <c r="I75" s="28">
        <f t="shared" si="16"/>
        <v>35984</v>
      </c>
      <c r="J75" s="28">
        <f t="shared" si="16"/>
        <v>51502</v>
      </c>
      <c r="K75" s="28">
        <f t="shared" si="16"/>
        <v>23704</v>
      </c>
      <c r="L75" s="28">
        <f t="shared" ref="L75" si="17">L76+L82</f>
        <v>43159</v>
      </c>
      <c r="M75" s="28">
        <f t="shared" ref="M75:V75" si="18">M76+M82</f>
        <v>6929</v>
      </c>
      <c r="N75" s="28">
        <f t="shared" si="18"/>
        <v>3414</v>
      </c>
      <c r="O75" s="28">
        <f t="shared" si="18"/>
        <v>33895</v>
      </c>
      <c r="P75" s="28">
        <f t="shared" si="18"/>
        <v>32754</v>
      </c>
      <c r="Q75" s="28">
        <f t="shared" si="18"/>
        <v>92271</v>
      </c>
      <c r="R75" s="28">
        <f t="shared" si="18"/>
        <v>94882</v>
      </c>
      <c r="S75" s="28">
        <f t="shared" si="18"/>
        <v>9693</v>
      </c>
      <c r="T75" s="28">
        <f t="shared" si="18"/>
        <v>34596</v>
      </c>
      <c r="U75" s="28">
        <f t="shared" si="18"/>
        <v>40760</v>
      </c>
      <c r="V75" s="28">
        <f t="shared" si="18"/>
        <v>35800</v>
      </c>
      <c r="W75" s="28">
        <f t="shared" ref="W75" si="19">W76+W82</f>
        <v>39429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2280</v>
      </c>
      <c r="C76" s="137">
        <f t="shared" si="20"/>
        <v>3546</v>
      </c>
      <c r="D76" s="137">
        <f t="shared" si="20"/>
        <v>5252</v>
      </c>
      <c r="E76" s="137">
        <f t="shared" si="20"/>
        <v>5385</v>
      </c>
      <c r="F76" s="137">
        <f t="shared" si="20"/>
        <v>5207</v>
      </c>
      <c r="G76" s="137">
        <f t="shared" si="20"/>
        <v>7491</v>
      </c>
      <c r="H76" s="137">
        <f t="shared" si="20"/>
        <v>9875</v>
      </c>
      <c r="I76" s="137">
        <f t="shared" si="20"/>
        <v>32853</v>
      </c>
      <c r="J76" s="137">
        <f t="shared" si="20"/>
        <v>36803</v>
      </c>
      <c r="K76" s="137">
        <f t="shared" si="20"/>
        <v>22282</v>
      </c>
      <c r="L76" s="137">
        <f t="shared" ref="L76" si="21">SUM(L77:L81)</f>
        <v>41397</v>
      </c>
      <c r="M76" s="137">
        <f t="shared" ref="M76:V76" si="22">SUM(M77:M81)</f>
        <v>5413</v>
      </c>
      <c r="N76" s="137">
        <f t="shared" si="22"/>
        <v>1698</v>
      </c>
      <c r="O76" s="137">
        <f t="shared" si="22"/>
        <v>32152</v>
      </c>
      <c r="P76" s="137">
        <f t="shared" si="22"/>
        <v>31262</v>
      </c>
      <c r="Q76" s="137">
        <f t="shared" si="22"/>
        <v>89626</v>
      </c>
      <c r="R76" s="137">
        <f t="shared" si="22"/>
        <v>92359</v>
      </c>
      <c r="S76" s="137">
        <f t="shared" si="22"/>
        <v>6236</v>
      </c>
      <c r="T76" s="137">
        <f t="shared" si="22"/>
        <v>32320</v>
      </c>
      <c r="U76" s="137">
        <f t="shared" si="22"/>
        <v>38478</v>
      </c>
      <c r="V76" s="137">
        <f t="shared" si="22"/>
        <v>33223</v>
      </c>
      <c r="W76" s="137">
        <f t="shared" ref="W76" si="23">SUM(W77:W81)</f>
        <v>37011</v>
      </c>
      <c r="DA76" s="174" t="s">
        <v>853</v>
      </c>
    </row>
    <row r="77" spans="1:105" ht="11.45" customHeight="1" x14ac:dyDescent="0.25">
      <c r="A77" s="111" t="s">
        <v>110</v>
      </c>
      <c r="B77" s="84">
        <v>2280</v>
      </c>
      <c r="C77" s="84">
        <v>3546</v>
      </c>
      <c r="D77" s="84">
        <v>5252</v>
      </c>
      <c r="E77" s="84">
        <v>5385</v>
      </c>
      <c r="F77" s="84">
        <v>5207</v>
      </c>
      <c r="G77" s="84">
        <v>7491</v>
      </c>
      <c r="H77" s="84">
        <v>9875</v>
      </c>
      <c r="I77" s="84">
        <v>26340</v>
      </c>
      <c r="J77" s="84">
        <v>32186</v>
      </c>
      <c r="K77" s="84">
        <v>2067</v>
      </c>
      <c r="L77" s="84">
        <v>13624</v>
      </c>
      <c r="M77" s="84">
        <v>0</v>
      </c>
      <c r="N77" s="84">
        <v>131</v>
      </c>
      <c r="O77" s="84">
        <v>69</v>
      </c>
      <c r="P77" s="84">
        <v>14378</v>
      </c>
      <c r="Q77" s="84">
        <v>29349</v>
      </c>
      <c r="R77" s="84">
        <v>50413</v>
      </c>
      <c r="S77" s="84">
        <v>58</v>
      </c>
      <c r="T77" s="84">
        <v>25793</v>
      </c>
      <c r="U77" s="84">
        <v>31168</v>
      </c>
      <c r="V77" s="84">
        <v>26912</v>
      </c>
      <c r="W77" s="84">
        <v>27503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6513</v>
      </c>
      <c r="J78" s="84">
        <v>4617</v>
      </c>
      <c r="K78" s="84">
        <v>20215</v>
      </c>
      <c r="L78" s="84">
        <v>27773</v>
      </c>
      <c r="M78" s="84">
        <v>5413</v>
      </c>
      <c r="N78" s="84">
        <v>1567</v>
      </c>
      <c r="O78" s="84">
        <v>32083</v>
      </c>
      <c r="P78" s="84">
        <v>16884</v>
      </c>
      <c r="Q78" s="84">
        <v>60277</v>
      </c>
      <c r="R78" s="84">
        <v>41946</v>
      </c>
      <c r="S78" s="84">
        <v>6178</v>
      </c>
      <c r="T78" s="84">
        <v>6527</v>
      </c>
      <c r="U78" s="84">
        <v>7310</v>
      </c>
      <c r="V78" s="84">
        <v>6311</v>
      </c>
      <c r="W78" s="84">
        <v>9508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827</v>
      </c>
      <c r="E82" s="110">
        <f t="shared" si="24"/>
        <v>1340</v>
      </c>
      <c r="F82" s="110">
        <f t="shared" si="24"/>
        <v>12017</v>
      </c>
      <c r="G82" s="110">
        <f t="shared" si="24"/>
        <v>707</v>
      </c>
      <c r="H82" s="110">
        <f t="shared" si="24"/>
        <v>10248</v>
      </c>
      <c r="I82" s="110">
        <f t="shared" si="24"/>
        <v>3131</v>
      </c>
      <c r="J82" s="110">
        <f t="shared" si="24"/>
        <v>14699</v>
      </c>
      <c r="K82" s="110">
        <f t="shared" si="24"/>
        <v>1422</v>
      </c>
      <c r="L82" s="110">
        <f t="shared" ref="L82" si="25">SUM(L83:L84)</f>
        <v>1762</v>
      </c>
      <c r="M82" s="110">
        <f t="shared" ref="M82:V82" si="26">SUM(M83:M84)</f>
        <v>1516</v>
      </c>
      <c r="N82" s="110">
        <f t="shared" si="26"/>
        <v>1716</v>
      </c>
      <c r="O82" s="110">
        <f t="shared" si="26"/>
        <v>1743</v>
      </c>
      <c r="P82" s="110">
        <f t="shared" si="26"/>
        <v>1492</v>
      </c>
      <c r="Q82" s="110">
        <f t="shared" si="26"/>
        <v>2645</v>
      </c>
      <c r="R82" s="110">
        <f t="shared" si="26"/>
        <v>2523</v>
      </c>
      <c r="S82" s="110">
        <f t="shared" si="26"/>
        <v>3457</v>
      </c>
      <c r="T82" s="110">
        <f t="shared" si="26"/>
        <v>2276</v>
      </c>
      <c r="U82" s="110">
        <f t="shared" si="26"/>
        <v>2282</v>
      </c>
      <c r="V82" s="110">
        <f t="shared" si="26"/>
        <v>2577</v>
      </c>
      <c r="W82" s="110">
        <f t="shared" ref="W82" si="27">SUM(W83:W84)</f>
        <v>2418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827</v>
      </c>
      <c r="E83" s="102">
        <v>1340</v>
      </c>
      <c r="F83" s="102">
        <v>12017</v>
      </c>
      <c r="G83" s="102">
        <v>707</v>
      </c>
      <c r="H83" s="102">
        <v>10248</v>
      </c>
      <c r="I83" s="102">
        <v>3131</v>
      </c>
      <c r="J83" s="102">
        <v>14699</v>
      </c>
      <c r="K83" s="102">
        <v>1422</v>
      </c>
      <c r="L83" s="102">
        <v>1488</v>
      </c>
      <c r="M83" s="102">
        <v>1516</v>
      </c>
      <c r="N83" s="102">
        <v>1511</v>
      </c>
      <c r="O83" s="102">
        <v>1466</v>
      </c>
      <c r="P83" s="102">
        <v>1450</v>
      </c>
      <c r="Q83" s="102">
        <v>2391</v>
      </c>
      <c r="R83" s="102">
        <v>2369</v>
      </c>
      <c r="S83" s="102">
        <v>2285</v>
      </c>
      <c r="T83" s="102">
        <v>2276</v>
      </c>
      <c r="U83" s="102">
        <v>2282</v>
      </c>
      <c r="V83" s="102">
        <v>2261</v>
      </c>
      <c r="W83" s="102">
        <v>2418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274</v>
      </c>
      <c r="M84" s="86">
        <v>0</v>
      </c>
      <c r="N84" s="86">
        <v>205</v>
      </c>
      <c r="O84" s="86">
        <v>277</v>
      </c>
      <c r="P84" s="86">
        <v>42</v>
      </c>
      <c r="Q84" s="86">
        <v>254</v>
      </c>
      <c r="R84" s="86">
        <v>154</v>
      </c>
      <c r="S84" s="86">
        <v>1172</v>
      </c>
      <c r="T84" s="86">
        <v>0</v>
      </c>
      <c r="U84" s="86">
        <v>0</v>
      </c>
      <c r="V84" s="86">
        <v>316</v>
      </c>
      <c r="W84" s="86">
        <v>0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4.1347622233306165</v>
      </c>
      <c r="C90" s="141">
        <v>4.0673088507991393</v>
      </c>
      <c r="D90" s="141">
        <v>4.0161279749156789</v>
      </c>
      <c r="E90" s="141">
        <v>3.9643184709707135</v>
      </c>
      <c r="F90" s="141">
        <v>3.9100812223054318</v>
      </c>
      <c r="G90" s="141">
        <v>3.8523143425700255</v>
      </c>
      <c r="H90" s="141">
        <v>3.7933525449318002</v>
      </c>
      <c r="I90" s="141">
        <v>3.7302096167355905</v>
      </c>
      <c r="J90" s="141">
        <v>3.6574930393146157</v>
      </c>
      <c r="K90" s="141">
        <v>3.5930638771723218</v>
      </c>
      <c r="L90" s="141">
        <v>3.5315258833132628</v>
      </c>
      <c r="M90" s="141">
        <v>3.4733954241815046</v>
      </c>
      <c r="N90" s="141">
        <v>3.4388253692329949</v>
      </c>
      <c r="O90" s="141">
        <v>3.3928770715841399</v>
      </c>
      <c r="P90" s="141">
        <v>3.3491400894296666</v>
      </c>
      <c r="Q90" s="141">
        <v>3.2847512309654321</v>
      </c>
      <c r="R90" s="141">
        <v>3.2296516742116435</v>
      </c>
      <c r="S90" s="141">
        <v>3.2010365276790158</v>
      </c>
      <c r="T90" s="141">
        <v>3.1155322757377397</v>
      </c>
      <c r="U90" s="141">
        <v>3.0605903720972907</v>
      </c>
      <c r="V90" s="141">
        <v>3.004846476919623</v>
      </c>
      <c r="W90" s="141">
        <v>2.845965370791498</v>
      </c>
      <c r="DA90" s="174" t="s">
        <v>862</v>
      </c>
    </row>
    <row r="91" spans="1:105" ht="11.45" customHeight="1" x14ac:dyDescent="0.25">
      <c r="A91" s="109" t="s">
        <v>20</v>
      </c>
      <c r="B91" s="130">
        <v>8.1192476575412922</v>
      </c>
      <c r="C91" s="130">
        <v>7.950198499637712</v>
      </c>
      <c r="D91" s="130">
        <v>7.8829112407561102</v>
      </c>
      <c r="E91" s="130">
        <v>7.8152358356492355</v>
      </c>
      <c r="F91" s="130">
        <v>7.7622786955051746</v>
      </c>
      <c r="G91" s="130">
        <v>7.6985301491700824</v>
      </c>
      <c r="H91" s="130">
        <v>7.637826674822902</v>
      </c>
      <c r="I91" s="130">
        <v>7.5610609872505021</v>
      </c>
      <c r="J91" s="130">
        <v>7.4869757989940853</v>
      </c>
      <c r="K91" s="130">
        <v>7.4262724051460385</v>
      </c>
      <c r="L91" s="130">
        <v>7.3371264205169826</v>
      </c>
      <c r="M91" s="130">
        <v>7.259253713053452</v>
      </c>
      <c r="N91" s="130">
        <v>7.1694700243261753</v>
      </c>
      <c r="O91" s="130">
        <v>7.0856764302342512</v>
      </c>
      <c r="P91" s="130">
        <v>6.9578493254004607</v>
      </c>
      <c r="Q91" s="130">
        <v>6.817659666320055</v>
      </c>
      <c r="R91" s="130">
        <v>6.7243219254268176</v>
      </c>
      <c r="S91" s="130">
        <v>6.6175539899430031</v>
      </c>
      <c r="T91" s="130">
        <v>6.4837617747382703</v>
      </c>
      <c r="U91" s="130">
        <v>6.3279826329795217</v>
      </c>
      <c r="V91" s="130">
        <v>6.1815068788466725</v>
      </c>
      <c r="W91" s="130">
        <v>5.9421227234969489</v>
      </c>
      <c r="DA91" s="176" t="s">
        <v>863</v>
      </c>
    </row>
    <row r="92" spans="1:105" ht="11.45" customHeight="1" x14ac:dyDescent="0.25">
      <c r="A92" s="111" t="s">
        <v>110</v>
      </c>
      <c r="B92" s="96">
        <v>8.1214517065894007</v>
      </c>
      <c r="C92" s="96">
        <v>7.8994571375327425</v>
      </c>
      <c r="D92" s="96">
        <v>7.8184381062603245</v>
      </c>
      <c r="E92" s="96">
        <v>7.74153002069776</v>
      </c>
      <c r="F92" s="96">
        <v>7.6836565072780978</v>
      </c>
      <c r="G92" s="96">
        <v>7.6105464155101332</v>
      </c>
      <c r="H92" s="96">
        <v>7.5501583371103465</v>
      </c>
      <c r="I92" s="96">
        <v>7.4736724978705098</v>
      </c>
      <c r="J92" s="96">
        <v>7.4011109893646188</v>
      </c>
      <c r="K92" s="96">
        <v>7.3370758315058149</v>
      </c>
      <c r="L92" s="96">
        <v>7.2442148830757747</v>
      </c>
      <c r="M92" s="96">
        <v>7.1574322854064301</v>
      </c>
      <c r="N92" s="96">
        <v>7.0718176617428909</v>
      </c>
      <c r="O92" s="96">
        <v>6.9824897398341985</v>
      </c>
      <c r="P92" s="96">
        <v>6.8791573619209725</v>
      </c>
      <c r="Q92" s="96">
        <v>6.725856797643325</v>
      </c>
      <c r="R92" s="96">
        <v>6.6427149501594718</v>
      </c>
      <c r="S92" s="96">
        <v>6.5250717161784326</v>
      </c>
      <c r="T92" s="96">
        <v>6.3913252982465094</v>
      </c>
      <c r="U92" s="96">
        <v>6.2265235361200304</v>
      </c>
      <c r="V92" s="96">
        <v>6.0765193468181105</v>
      </c>
      <c r="W92" s="96">
        <v>5.8177119193376541</v>
      </c>
      <c r="DA92" s="171" t="s">
        <v>864</v>
      </c>
    </row>
    <row r="93" spans="1:105" ht="11.45" customHeight="1" x14ac:dyDescent="0.25">
      <c r="A93" s="111" t="s">
        <v>111</v>
      </c>
      <c r="B93" s="96">
        <v>8.0552568484374039</v>
      </c>
      <c r="C93" s="96">
        <v>8.0193784644260049</v>
      </c>
      <c r="D93" s="96">
        <v>7.9737052513969253</v>
      </c>
      <c r="E93" s="96">
        <v>7.8646498537857497</v>
      </c>
      <c r="F93" s="96">
        <v>7.8478828891925856</v>
      </c>
      <c r="G93" s="96">
        <v>7.82816626424282</v>
      </c>
      <c r="H93" s="96">
        <v>7.6925687242827561</v>
      </c>
      <c r="I93" s="96">
        <v>7.6003829359303756</v>
      </c>
      <c r="J93" s="96">
        <v>7.5418348851420935</v>
      </c>
      <c r="K93" s="96">
        <v>7.3215648521953849</v>
      </c>
      <c r="L93" s="96">
        <v>7.2407040420294262</v>
      </c>
      <c r="M93" s="96">
        <v>7.2100049604981962</v>
      </c>
      <c r="N93" s="96">
        <v>7.1827567302716862</v>
      </c>
      <c r="O93" s="96">
        <v>7.1563411548280982</v>
      </c>
      <c r="P93" s="96">
        <v>6.09649598156793</v>
      </c>
      <c r="Q93" s="96">
        <v>6.0011309586083321</v>
      </c>
      <c r="R93" s="96">
        <v>5.5220169563367438</v>
      </c>
      <c r="S93" s="96">
        <v>5.249230489291234</v>
      </c>
      <c r="T93" s="96">
        <v>5.0357087997542829</v>
      </c>
      <c r="U93" s="96">
        <v>4.8754985892637137</v>
      </c>
      <c r="V93" s="96">
        <v>4.7299110833292346</v>
      </c>
      <c r="W93" s="96">
        <v>4.4582336279877399</v>
      </c>
      <c r="DA93" s="171" t="s">
        <v>865</v>
      </c>
    </row>
    <row r="94" spans="1:105" ht="11.45" customHeight="1" x14ac:dyDescent="0.25">
      <c r="A94" s="111" t="s">
        <v>112</v>
      </c>
      <c r="B94" s="96">
        <v>8.0488404255324202</v>
      </c>
      <c r="C94" s="96">
        <v>8.0488404255324202</v>
      </c>
      <c r="D94" s="96">
        <v>8.0488404255324202</v>
      </c>
      <c r="E94" s="96">
        <v>8.0488404255324202</v>
      </c>
      <c r="F94" s="96">
        <v>8.0488404255324202</v>
      </c>
      <c r="G94" s="96">
        <v>8.0488404255324184</v>
      </c>
      <c r="H94" s="96">
        <v>8.030223716827301</v>
      </c>
      <c r="I94" s="96">
        <v>8.0455750750758614</v>
      </c>
      <c r="J94" s="96">
        <v>8.0792238567685448</v>
      </c>
      <c r="K94" s="96">
        <v>8.1114789660916902</v>
      </c>
      <c r="L94" s="96">
        <v>7.9446440295768008</v>
      </c>
      <c r="M94" s="96">
        <v>7.9202371070748505</v>
      </c>
      <c r="N94" s="96">
        <v>7.8995439736765336</v>
      </c>
      <c r="O94" s="96">
        <v>7.6521135621803769</v>
      </c>
      <c r="P94" s="96">
        <v>7.5972654846590872</v>
      </c>
      <c r="Q94" s="96">
        <v>7.4742055400424956</v>
      </c>
      <c r="R94" s="96">
        <v>7.1068598530961316</v>
      </c>
      <c r="S94" s="96">
        <v>7.0881992755632472</v>
      </c>
      <c r="T94" s="96">
        <v>7.0644281309326393</v>
      </c>
      <c r="U94" s="96">
        <v>7.0064677441314451</v>
      </c>
      <c r="V94" s="96">
        <v>6.9127575537868138</v>
      </c>
      <c r="W94" s="96">
        <v>6.8807303250055876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8.7823962806957283</v>
      </c>
      <c r="D95" s="96">
        <v>8.7614097907572788</v>
      </c>
      <c r="E95" s="96">
        <v>8.7461357979576615</v>
      </c>
      <c r="F95" s="96">
        <v>8.7444561667960379</v>
      </c>
      <c r="G95" s="96">
        <v>8.7110273256127542</v>
      </c>
      <c r="H95" s="96">
        <v>8.6789402847024029</v>
      </c>
      <c r="I95" s="96">
        <v>8.594084152521237</v>
      </c>
      <c r="J95" s="96">
        <v>8.5744009723090393</v>
      </c>
      <c r="K95" s="96">
        <v>8.1753417211599828</v>
      </c>
      <c r="L95" s="96">
        <v>7.9448795487514561</v>
      </c>
      <c r="M95" s="96">
        <v>7.7507494290521164</v>
      </c>
      <c r="N95" s="96">
        <v>7.6913812290892869</v>
      </c>
      <c r="O95" s="96">
        <v>7.637529057708675</v>
      </c>
      <c r="P95" s="96">
        <v>7.6011193405915973</v>
      </c>
      <c r="Q95" s="96">
        <v>6.9881624711878914</v>
      </c>
      <c r="R95" s="96">
        <v>6.749372959312721</v>
      </c>
      <c r="S95" s="96">
        <v>6.6162000975904647</v>
      </c>
      <c r="T95" s="96">
        <v>6.41914434389302</v>
      </c>
      <c r="U95" s="96">
        <v>6.0720355041518692</v>
      </c>
      <c r="V95" s="96">
        <v>5.2609104677376237</v>
      </c>
      <c r="W95" s="96">
        <v>4.6781185683181947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2.5169352771570628</v>
      </c>
      <c r="O96" s="96">
        <v>1.4750416540404268</v>
      </c>
      <c r="P96" s="96">
        <v>1.9487941257352628</v>
      </c>
      <c r="Q96" s="96">
        <v>2.2208448695844947</v>
      </c>
      <c r="R96" s="96">
        <v>3.0041870895838589</v>
      </c>
      <c r="S96" s="96">
        <v>3.2442698508834535</v>
      </c>
      <c r="T96" s="96">
        <v>3.4471269171216541</v>
      </c>
      <c r="U96" s="96">
        <v>3.5308175055179225</v>
      </c>
      <c r="V96" s="96">
        <v>3.2049572830831186</v>
      </c>
      <c r="W96" s="96">
        <v>2.8452336722459384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0</v>
      </c>
      <c r="M97" s="96">
        <v>0</v>
      </c>
      <c r="N97" s="96">
        <v>1.0732538457002374</v>
      </c>
      <c r="O97" s="96">
        <v>1.1175652588822278</v>
      </c>
      <c r="P97" s="96">
        <v>1.1097391631478448</v>
      </c>
      <c r="Q97" s="96">
        <v>1.1632877727248938</v>
      </c>
      <c r="R97" s="96">
        <v>1.1683010580658582</v>
      </c>
      <c r="S97" s="96">
        <v>1.153259087227678</v>
      </c>
      <c r="T97" s="96">
        <v>1.1754489879679284</v>
      </c>
      <c r="U97" s="96">
        <v>1.3391155710495171</v>
      </c>
      <c r="V97" s="96">
        <v>1.4617102768536498</v>
      </c>
      <c r="W97" s="96">
        <v>1.4455638829622506</v>
      </c>
      <c r="DA97" s="171" t="s">
        <v>869</v>
      </c>
    </row>
    <row r="98" spans="1:105" ht="11.45" customHeight="1" x14ac:dyDescent="0.25">
      <c r="A98" s="109" t="s">
        <v>21</v>
      </c>
      <c r="B98" s="130">
        <v>58.147288754182696</v>
      </c>
      <c r="C98" s="130">
        <v>56.568240129636855</v>
      </c>
      <c r="D98" s="130">
        <v>55.66123578961728</v>
      </c>
      <c r="E98" s="130">
        <v>54.776317477690341</v>
      </c>
      <c r="F98" s="130">
        <v>54.074535666512347</v>
      </c>
      <c r="G98" s="130">
        <v>53.20535079954648</v>
      </c>
      <c r="H98" s="130">
        <v>52.345195604915084</v>
      </c>
      <c r="I98" s="130">
        <v>51.493534271169707</v>
      </c>
      <c r="J98" s="130">
        <v>50.689896345128453</v>
      </c>
      <c r="K98" s="130">
        <v>49.917621649508199</v>
      </c>
      <c r="L98" s="130">
        <v>49.058876226010064</v>
      </c>
      <c r="M98" s="130">
        <v>48.221261690286404</v>
      </c>
      <c r="N98" s="130">
        <v>47.396703553816764</v>
      </c>
      <c r="O98" s="130">
        <v>47.16125032687615</v>
      </c>
      <c r="P98" s="130">
        <v>46.551592670979801</v>
      </c>
      <c r="Q98" s="130">
        <v>46.232854549274592</v>
      </c>
      <c r="R98" s="130">
        <v>45.963621057151222</v>
      </c>
      <c r="S98" s="130">
        <v>45.677462042720542</v>
      </c>
      <c r="T98" s="130">
        <v>45.418015552685006</v>
      </c>
      <c r="U98" s="130">
        <v>45.020774008649532</v>
      </c>
      <c r="V98" s="130">
        <v>44.602101836844241</v>
      </c>
      <c r="W98" s="130">
        <v>44.173881333242711</v>
      </c>
      <c r="DA98" s="176" t="s">
        <v>870</v>
      </c>
    </row>
    <row r="99" spans="1:105" ht="11.45" customHeight="1" x14ac:dyDescent="0.25">
      <c r="A99" s="111" t="s">
        <v>110</v>
      </c>
      <c r="B99" s="97">
        <v>0</v>
      </c>
      <c r="C99" s="97">
        <v>0</v>
      </c>
      <c r="D99" s="97">
        <v>0</v>
      </c>
      <c r="E99" s="97">
        <v>0</v>
      </c>
      <c r="F99" s="97">
        <v>0</v>
      </c>
      <c r="G99" s="97">
        <v>0</v>
      </c>
      <c r="H99" s="97">
        <v>0</v>
      </c>
      <c r="I99" s="97">
        <v>0</v>
      </c>
      <c r="J99" s="97">
        <v>0</v>
      </c>
      <c r="K99" s="97">
        <v>0</v>
      </c>
      <c r="L99" s="97">
        <v>0</v>
      </c>
      <c r="M99" s="97">
        <v>0</v>
      </c>
      <c r="N99" s="97">
        <v>0</v>
      </c>
      <c r="O99" s="97">
        <v>0</v>
      </c>
      <c r="P99" s="97">
        <v>0</v>
      </c>
      <c r="Q99" s="97">
        <v>0</v>
      </c>
      <c r="R99" s="97">
        <v>0</v>
      </c>
      <c r="S99" s="97">
        <v>0</v>
      </c>
      <c r="T99" s="97">
        <v>0</v>
      </c>
      <c r="U99" s="97">
        <v>0</v>
      </c>
      <c r="V99" s="97">
        <v>0</v>
      </c>
      <c r="W99" s="97">
        <v>0</v>
      </c>
      <c r="DA99" s="175" t="s">
        <v>871</v>
      </c>
    </row>
    <row r="100" spans="1:105" ht="11.45" customHeight="1" x14ac:dyDescent="0.25">
      <c r="A100" s="111" t="s">
        <v>111</v>
      </c>
      <c r="B100" s="97">
        <v>58.147288754182696</v>
      </c>
      <c r="C100" s="97">
        <v>55.925664832422662</v>
      </c>
      <c r="D100" s="97">
        <v>54.760606387273043</v>
      </c>
      <c r="E100" s="97">
        <v>53.639786926299351</v>
      </c>
      <c r="F100" s="97">
        <v>52.810292760539234</v>
      </c>
      <c r="G100" s="97">
        <v>51.885069863158513</v>
      </c>
      <c r="H100" s="97">
        <v>51.046537802433463</v>
      </c>
      <c r="I100" s="97">
        <v>50.321567353330771</v>
      </c>
      <c r="J100" s="97">
        <v>49.652431274393813</v>
      </c>
      <c r="K100" s="97">
        <v>49.012293459371961</v>
      </c>
      <c r="L100" s="97">
        <v>48.372316798452196</v>
      </c>
      <c r="M100" s="97">
        <v>47.783824203165523</v>
      </c>
      <c r="N100" s="97">
        <v>47.235812379250184</v>
      </c>
      <c r="O100" s="97">
        <v>46.937524231710839</v>
      </c>
      <c r="P100" s="97">
        <v>46.484344535287455</v>
      </c>
      <c r="Q100" s="97">
        <v>46.147619658713346</v>
      </c>
      <c r="R100" s="97">
        <v>45.85979436935321</v>
      </c>
      <c r="S100" s="97">
        <v>45.527785807245884</v>
      </c>
      <c r="T100" s="97">
        <v>45.261825360621692</v>
      </c>
      <c r="U100" s="97">
        <v>44.865345163067438</v>
      </c>
      <c r="V100" s="97">
        <v>44.463239723679344</v>
      </c>
      <c r="W100" s="97">
        <v>44.061260510990522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0</v>
      </c>
      <c r="U101" s="97">
        <v>0</v>
      </c>
      <c r="V101" s="97">
        <v>0</v>
      </c>
      <c r="W101" s="97">
        <v>0</v>
      </c>
      <c r="DA101" s="175" t="s">
        <v>873</v>
      </c>
    </row>
    <row r="102" spans="1:105" ht="11.45" customHeight="1" x14ac:dyDescent="0.25">
      <c r="A102" s="111" t="s">
        <v>113</v>
      </c>
      <c r="B102" s="97">
        <v>0</v>
      </c>
      <c r="C102" s="97">
        <v>40.332722191053456</v>
      </c>
      <c r="D102" s="97">
        <v>40.310886090384798</v>
      </c>
      <c r="E102" s="97">
        <v>40.295406892955711</v>
      </c>
      <c r="F102" s="97">
        <v>40.295287252184615</v>
      </c>
      <c r="G102" s="97">
        <v>40.26986117486004</v>
      </c>
      <c r="H102" s="97">
        <v>40.239417381353334</v>
      </c>
      <c r="I102" s="97">
        <v>40.121276532954887</v>
      </c>
      <c r="J102" s="97">
        <v>40.032321866194508</v>
      </c>
      <c r="K102" s="97">
        <v>40.026091059300747</v>
      </c>
      <c r="L102" s="97">
        <v>40.017728897550946</v>
      </c>
      <c r="M102" s="97">
        <v>39.959259951258659</v>
      </c>
      <c r="N102" s="97">
        <v>39.769724508422897</v>
      </c>
      <c r="O102" s="97">
        <v>39.747248935910775</v>
      </c>
      <c r="P102" s="97">
        <v>39.323883624343445</v>
      </c>
      <c r="Q102" s="97">
        <v>38.709257742370532</v>
      </c>
      <c r="R102" s="97">
        <v>38.255054488581649</v>
      </c>
      <c r="S102" s="97">
        <v>38.1469871441493</v>
      </c>
      <c r="T102" s="97">
        <v>37.289007744311981</v>
      </c>
      <c r="U102" s="97">
        <v>36.724209970656439</v>
      </c>
      <c r="V102" s="97">
        <v>36.225834853031799</v>
      </c>
      <c r="W102" s="97">
        <v>35.839183791710106</v>
      </c>
      <c r="DA102" s="175" t="s">
        <v>874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0</v>
      </c>
      <c r="M103" s="97">
        <v>0</v>
      </c>
      <c r="N103" s="97">
        <v>0</v>
      </c>
      <c r="O103" s="97">
        <v>0</v>
      </c>
      <c r="P103" s="97">
        <v>0</v>
      </c>
      <c r="Q103" s="97">
        <v>0</v>
      </c>
      <c r="R103" s="97">
        <v>0</v>
      </c>
      <c r="S103" s="97">
        <v>0</v>
      </c>
      <c r="T103" s="97">
        <v>0</v>
      </c>
      <c r="U103" s="97">
        <v>26.248944005540601</v>
      </c>
      <c r="V103" s="97">
        <v>26.248944005540597</v>
      </c>
      <c r="W103" s="97">
        <v>26.248944005540601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11.729293489565988</v>
      </c>
      <c r="C105" s="141">
        <v>11.395836366327778</v>
      </c>
      <c r="D105" s="141">
        <v>11.079524431058118</v>
      </c>
      <c r="E105" s="141">
        <v>10.758563453451865</v>
      </c>
      <c r="F105" s="141">
        <v>10.525673064474981</v>
      </c>
      <c r="G105" s="141">
        <v>10.28820990091898</v>
      </c>
      <c r="H105" s="141">
        <v>9.9863822155495452</v>
      </c>
      <c r="I105" s="141">
        <v>9.6423084531406467</v>
      </c>
      <c r="J105" s="141">
        <v>9.3813211622679287</v>
      </c>
      <c r="K105" s="141">
        <v>9.1437471364273932</v>
      </c>
      <c r="L105" s="141">
        <v>8.8956320333961632</v>
      </c>
      <c r="M105" s="141">
        <v>8.7297864756370043</v>
      </c>
      <c r="N105" s="141">
        <v>8.6165986122064808</v>
      </c>
      <c r="O105" s="141">
        <v>8.4363375908074385</v>
      </c>
      <c r="P105" s="141">
        <v>8.2649165968374518</v>
      </c>
      <c r="Q105" s="141">
        <v>7.9190381202769355</v>
      </c>
      <c r="R105" s="141">
        <v>7.6081378973765732</v>
      </c>
      <c r="S105" s="141">
        <v>7.5379200029134639</v>
      </c>
      <c r="T105" s="141">
        <v>7.3880236690017433</v>
      </c>
      <c r="U105" s="141">
        <v>7.1998966040742127</v>
      </c>
      <c r="V105" s="141">
        <v>7.0669797279903515</v>
      </c>
      <c r="W105" s="141">
        <v>6.8957028271786029</v>
      </c>
      <c r="DA105" s="174" t="s">
        <v>876</v>
      </c>
    </row>
    <row r="106" spans="1:105" ht="11.45" customHeight="1" x14ac:dyDescent="0.25">
      <c r="A106" s="111" t="s">
        <v>110</v>
      </c>
      <c r="B106" s="96">
        <v>11.877907700253365</v>
      </c>
      <c r="C106" s="96">
        <v>11.501406791361624</v>
      </c>
      <c r="D106" s="96">
        <v>11.13636368768983</v>
      </c>
      <c r="E106" s="96">
        <v>10.865888006344539</v>
      </c>
      <c r="F106" s="96">
        <v>10.653285469157744</v>
      </c>
      <c r="G106" s="96">
        <v>10.424746642195087</v>
      </c>
      <c r="H106" s="96">
        <v>10.196840460039745</v>
      </c>
      <c r="I106" s="96">
        <v>9.8455453527235726</v>
      </c>
      <c r="J106" s="96">
        <v>9.531723733455344</v>
      </c>
      <c r="K106" s="96">
        <v>9.403415969433258</v>
      </c>
      <c r="L106" s="96">
        <v>9.2304513587260324</v>
      </c>
      <c r="M106" s="96">
        <v>9.0981950496994006</v>
      </c>
      <c r="N106" s="96">
        <v>9.00399826806958</v>
      </c>
      <c r="O106" s="96">
        <v>8.9152014851504795</v>
      </c>
      <c r="P106" s="96">
        <v>8.7240016256083877</v>
      </c>
      <c r="Q106" s="96">
        <v>8.3723240297181789</v>
      </c>
      <c r="R106" s="96">
        <v>7.8885687941462459</v>
      </c>
      <c r="S106" s="96">
        <v>7.8333558543925275</v>
      </c>
      <c r="T106" s="96">
        <v>7.5961468188574957</v>
      </c>
      <c r="U106" s="96">
        <v>7.2289753707899456</v>
      </c>
      <c r="V106" s="96">
        <v>6.9676307472862611</v>
      </c>
      <c r="W106" s="96">
        <v>6.6980801091181474</v>
      </c>
      <c r="DA106" s="171" t="s">
        <v>877</v>
      </c>
    </row>
    <row r="107" spans="1:105" ht="11.45" customHeight="1" x14ac:dyDescent="0.25">
      <c r="A107" s="111" t="s">
        <v>111</v>
      </c>
      <c r="B107" s="96">
        <v>10.682599743758871</v>
      </c>
      <c r="C107" s="96">
        <v>9.9718195358912318</v>
      </c>
      <c r="D107" s="96">
        <v>9.4888229340687733</v>
      </c>
      <c r="E107" s="96">
        <v>8.8959679239642355</v>
      </c>
      <c r="F107" s="96">
        <v>8.6208628334160906</v>
      </c>
      <c r="G107" s="96">
        <v>8.4093258880858617</v>
      </c>
      <c r="H107" s="96">
        <v>8.1480405864893175</v>
      </c>
      <c r="I107" s="96">
        <v>7.9727408317347743</v>
      </c>
      <c r="J107" s="96">
        <v>7.8857097327882366</v>
      </c>
      <c r="K107" s="96">
        <v>7.7628581779415455</v>
      </c>
      <c r="L107" s="96">
        <v>7.6851235325653979</v>
      </c>
      <c r="M107" s="96">
        <v>7.6512895282051909</v>
      </c>
      <c r="N107" s="96">
        <v>7.6114058208935491</v>
      </c>
      <c r="O107" s="96">
        <v>7.5270178247433499</v>
      </c>
      <c r="P107" s="96">
        <v>7.4544374458002833</v>
      </c>
      <c r="Q107" s="96">
        <v>7.2504951103501352</v>
      </c>
      <c r="R107" s="96">
        <v>7.097679441671505</v>
      </c>
      <c r="S107" s="96">
        <v>6.9997398311137911</v>
      </c>
      <c r="T107" s="96">
        <v>6.9329328602276874</v>
      </c>
      <c r="U107" s="96">
        <v>6.8598701447547192</v>
      </c>
      <c r="V107" s="96">
        <v>6.8329880787363555</v>
      </c>
      <c r="W107" s="96">
        <v>6.7542745815216554</v>
      </c>
      <c r="DA107" s="171" t="s">
        <v>878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0</v>
      </c>
      <c r="P108" s="96">
        <v>0</v>
      </c>
      <c r="Q108" s="96">
        <v>0</v>
      </c>
      <c r="R108" s="96">
        <v>0</v>
      </c>
      <c r="S108" s="96">
        <v>0</v>
      </c>
      <c r="T108" s="96">
        <v>0</v>
      </c>
      <c r="U108" s="96">
        <v>0</v>
      </c>
      <c r="V108" s="96">
        <v>0</v>
      </c>
      <c r="W108" s="96">
        <v>0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0</v>
      </c>
      <c r="P109" s="96">
        <v>0</v>
      </c>
      <c r="Q109" s="96">
        <v>0</v>
      </c>
      <c r="R109" s="96">
        <v>0</v>
      </c>
      <c r="S109" s="96">
        <v>0</v>
      </c>
      <c r="T109" s="96">
        <v>0</v>
      </c>
      <c r="U109" s="96">
        <v>0</v>
      </c>
      <c r="V109" s="96">
        <v>0</v>
      </c>
      <c r="W109" s="96">
        <v>0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0</v>
      </c>
      <c r="N110" s="96">
        <v>0</v>
      </c>
      <c r="O110" s="96">
        <v>0</v>
      </c>
      <c r="P110" s="96">
        <v>0</v>
      </c>
      <c r="Q110" s="96">
        <v>0</v>
      </c>
      <c r="R110" s="96">
        <v>0</v>
      </c>
      <c r="S110" s="96">
        <v>0</v>
      </c>
      <c r="T110" s="96">
        <v>0</v>
      </c>
      <c r="U110" s="96">
        <v>0</v>
      </c>
      <c r="V110" s="96">
        <v>0</v>
      </c>
      <c r="W110" s="96">
        <v>0</v>
      </c>
      <c r="DA110" s="171" t="s">
        <v>881</v>
      </c>
    </row>
    <row r="111" spans="1:105" ht="11.45" customHeight="1" x14ac:dyDescent="0.25">
      <c r="A111" s="109" t="s">
        <v>158</v>
      </c>
      <c r="B111" s="130">
        <v>29.994743422522095</v>
      </c>
      <c r="C111" s="130">
        <v>29.89093123330484</v>
      </c>
      <c r="D111" s="130">
        <v>29.778315897404585</v>
      </c>
      <c r="E111" s="130">
        <v>29.712461371214737</v>
      </c>
      <c r="F111" s="130">
        <v>29.328759297082037</v>
      </c>
      <c r="G111" s="130">
        <v>29.222590077003982</v>
      </c>
      <c r="H111" s="130">
        <v>29.004023021790211</v>
      </c>
      <c r="I111" s="130">
        <v>28.894103741008689</v>
      </c>
      <c r="J111" s="130">
        <v>28.57966012014208</v>
      </c>
      <c r="K111" s="130">
        <v>28.458176980268586</v>
      </c>
      <c r="L111" s="130">
        <v>28.328522606831921</v>
      </c>
      <c r="M111" s="130">
        <v>28.176637921777907</v>
      </c>
      <c r="N111" s="130">
        <v>28.023310437930167</v>
      </c>
      <c r="O111" s="130">
        <v>27.869260486352498</v>
      </c>
      <c r="P111" s="130">
        <v>27.716885693229873</v>
      </c>
      <c r="Q111" s="130">
        <v>27.52539618405963</v>
      </c>
      <c r="R111" s="130">
        <v>27.297696218506552</v>
      </c>
      <c r="S111" s="130">
        <v>26.966771586964239</v>
      </c>
      <c r="T111" s="130">
        <v>26.605412409158411</v>
      </c>
      <c r="U111" s="130">
        <v>26.169431204796442</v>
      </c>
      <c r="V111" s="130">
        <v>25.673835152718127</v>
      </c>
      <c r="W111" s="130">
        <v>25.12782553834413</v>
      </c>
      <c r="DA111" s="176" t="s">
        <v>882</v>
      </c>
    </row>
    <row r="112" spans="1:105" ht="11.45" customHeight="1" x14ac:dyDescent="0.25">
      <c r="A112" s="128" t="s">
        <v>27</v>
      </c>
      <c r="B112" s="97">
        <v>29.945252247766888</v>
      </c>
      <c r="C112" s="97">
        <v>29.841337794599099</v>
      </c>
      <c r="D112" s="97">
        <v>29.728880032822126</v>
      </c>
      <c r="E112" s="97">
        <v>29.66306559399407</v>
      </c>
      <c r="F112" s="97">
        <v>29.281894885438238</v>
      </c>
      <c r="G112" s="97">
        <v>29.168970857972919</v>
      </c>
      <c r="H112" s="97">
        <v>28.950567785266731</v>
      </c>
      <c r="I112" s="97">
        <v>28.848971543719689</v>
      </c>
      <c r="J112" s="97">
        <v>28.541284540364156</v>
      </c>
      <c r="K112" s="97">
        <v>28.421941139326055</v>
      </c>
      <c r="L112" s="97">
        <v>28.286608629250715</v>
      </c>
      <c r="M112" s="97">
        <v>28.142598890243505</v>
      </c>
      <c r="N112" s="97">
        <v>27.985263019412841</v>
      </c>
      <c r="O112" s="97">
        <v>27.825546815676333</v>
      </c>
      <c r="P112" s="97">
        <v>27.669311295352742</v>
      </c>
      <c r="Q112" s="97">
        <v>27.473060952272878</v>
      </c>
      <c r="R112" s="97">
        <v>27.24072116440793</v>
      </c>
      <c r="S112" s="97">
        <v>26.905005469849176</v>
      </c>
      <c r="T112" s="97">
        <v>26.531507751892732</v>
      </c>
      <c r="U112" s="97">
        <v>26.081126697495279</v>
      </c>
      <c r="V112" s="97">
        <v>25.57072133588057</v>
      </c>
      <c r="W112" s="97">
        <v>25.035981662906647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36.397590391497957</v>
      </c>
      <c r="D113" s="98">
        <v>36.103526470511866</v>
      </c>
      <c r="E113" s="98">
        <v>35.876680394015288</v>
      </c>
      <c r="F113" s="98">
        <v>35.232775847132579</v>
      </c>
      <c r="G113" s="98">
        <v>34.963581598244645</v>
      </c>
      <c r="H113" s="98">
        <v>34.28432044089967</v>
      </c>
      <c r="I113" s="98">
        <v>34.045499917658105</v>
      </c>
      <c r="J113" s="98">
        <v>33.845027486167524</v>
      </c>
      <c r="K113" s="98">
        <v>33.65171379154193</v>
      </c>
      <c r="L113" s="98">
        <v>32.750795996379104</v>
      </c>
      <c r="M113" s="98">
        <v>32.249642686976529</v>
      </c>
      <c r="N113" s="98">
        <v>31.716694509991608</v>
      </c>
      <c r="O113" s="98">
        <v>31.19313420890294</v>
      </c>
      <c r="P113" s="98">
        <v>31.060445681221772</v>
      </c>
      <c r="Q113" s="98">
        <v>30.526320645023361</v>
      </c>
      <c r="R113" s="98">
        <v>30.160416839429171</v>
      </c>
      <c r="S113" s="98">
        <v>28.647348579984904</v>
      </c>
      <c r="T113" s="98">
        <v>28.499169074923145</v>
      </c>
      <c r="U113" s="98">
        <v>28.345047838576207</v>
      </c>
      <c r="V113" s="98">
        <v>27.863130257404421</v>
      </c>
      <c r="W113" s="98">
        <v>27.449627799960492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1.0783152597997749</v>
      </c>
      <c r="C117" s="150">
        <f>IF(TrRoad_act!C59=0,0,TrRoad_ene!C62/TrRoad_tech!C90)</f>
        <v>1.1231714981473238</v>
      </c>
      <c r="D117" s="150">
        <f>IF(TrRoad_act!D59=0,0,TrRoad_ene!D62/TrRoad_tech!D90)</f>
        <v>1.1289158501401608</v>
      </c>
      <c r="E117" s="150">
        <f>IF(TrRoad_act!E59=0,0,TrRoad_ene!E62/TrRoad_tech!E90)</f>
        <v>1.13041506043347</v>
      </c>
      <c r="F117" s="150">
        <f>IF(TrRoad_act!F59=0,0,TrRoad_ene!F62/TrRoad_tech!F90)</f>
        <v>1.1117673067292007</v>
      </c>
      <c r="G117" s="150">
        <f>IF(TrRoad_act!G59=0,0,TrRoad_ene!G62/TrRoad_tech!G90)</f>
        <v>1.1354620979095129</v>
      </c>
      <c r="H117" s="150">
        <f>IF(TrRoad_act!H59=0,0,TrRoad_ene!H62/TrRoad_tech!H90)</f>
        <v>1.1102616728056385</v>
      </c>
      <c r="I117" s="150">
        <f>IF(TrRoad_act!I59=0,0,TrRoad_ene!I62/TrRoad_tech!I90)</f>
        <v>1.1046056116387979</v>
      </c>
      <c r="J117" s="150">
        <f>IF(TrRoad_act!J59=0,0,TrRoad_ene!J62/TrRoad_tech!J90)</f>
        <v>1.1302468090712201</v>
      </c>
      <c r="K117" s="150">
        <f>IF(TrRoad_act!K59=0,0,TrRoad_ene!K62/TrRoad_tech!K90)</f>
        <v>1.1538041139984117</v>
      </c>
      <c r="L117" s="150">
        <f>IF(TrRoad_act!L59=0,0,TrRoad_ene!L62/TrRoad_tech!L90)</f>
        <v>1.1627385936318595</v>
      </c>
      <c r="M117" s="150">
        <f>IF(TrRoad_act!M59=0,0,TrRoad_ene!M62/TrRoad_tech!M90)</f>
        <v>1.1676015962373865</v>
      </c>
      <c r="N117" s="150">
        <f>IF(TrRoad_act!N59=0,0,TrRoad_ene!N62/TrRoad_tech!N90)</f>
        <v>1.1575029574006404</v>
      </c>
      <c r="O117" s="150">
        <f>IF(TrRoad_act!O59=0,0,TrRoad_ene!O62/TrRoad_tech!O90)</f>
        <v>1.151595239876656</v>
      </c>
      <c r="P117" s="150">
        <f>IF(TrRoad_act!P59=0,0,TrRoad_ene!P62/TrRoad_tech!P90)</f>
        <v>1.1413975997869952</v>
      </c>
      <c r="Q117" s="150">
        <f>IF(TrRoad_act!Q59=0,0,TrRoad_ene!Q62/TrRoad_tech!Q90)</f>
        <v>1.1862569447189066</v>
      </c>
      <c r="R117" s="150">
        <f>IF(TrRoad_act!R59=0,0,TrRoad_ene!R62/TrRoad_tech!R90)</f>
        <v>1.1342536770280898</v>
      </c>
      <c r="S117" s="150">
        <f>IF(TrRoad_act!S59=0,0,TrRoad_ene!S62/TrRoad_tech!S90)</f>
        <v>1.1958145804805438</v>
      </c>
      <c r="T117" s="150">
        <f>IF(TrRoad_act!T59=0,0,TrRoad_ene!T62/TrRoad_tech!T90)</f>
        <v>1.2056077254559818</v>
      </c>
      <c r="U117" s="150">
        <f>IF(TrRoad_act!U59=0,0,TrRoad_ene!U62/TrRoad_tech!U90)</f>
        <v>1.2115355760822846</v>
      </c>
      <c r="V117" s="150">
        <f>IF(TrRoad_act!V59=0,0,TrRoad_ene!V62/TrRoad_tech!V90)</f>
        <v>1.1627981299874768</v>
      </c>
      <c r="W117" s="150">
        <f>IF(TrRoad_act!W59=0,0,TrRoad_ene!W62/TrRoad_tech!W90)</f>
        <v>1.2225576496211104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1.0569207048369376</v>
      </c>
      <c r="C118" s="151">
        <f>IF(TrRoad_act!C60=0,0,TrRoad_ene!C63/TrRoad_tech!C91)</f>
        <v>1.0322908275970821</v>
      </c>
      <c r="D118" s="151">
        <f>IF(TrRoad_act!D60=0,0,TrRoad_ene!D63/TrRoad_tech!D91)</f>
        <v>1.0225955457784268</v>
      </c>
      <c r="E118" s="151">
        <f>IF(TrRoad_act!E60=0,0,TrRoad_ene!E63/TrRoad_tech!E91)</f>
        <v>1.0215130649899751</v>
      </c>
      <c r="F118" s="151">
        <f>IF(TrRoad_act!F60=0,0,TrRoad_ene!F63/TrRoad_tech!F91)</f>
        <v>0.99736581749780073</v>
      </c>
      <c r="G118" s="151">
        <f>IF(TrRoad_act!G60=0,0,TrRoad_ene!G63/TrRoad_tech!G91)</f>
        <v>0.98820574908146031</v>
      </c>
      <c r="H118" s="151">
        <f>IF(TrRoad_act!H60=0,0,TrRoad_ene!H63/TrRoad_tech!H91)</f>
        <v>0.97104010863733881</v>
      </c>
      <c r="I118" s="151">
        <f>IF(TrRoad_act!I60=0,0,TrRoad_ene!I63/TrRoad_tech!I91)</f>
        <v>0.97896626506100659</v>
      </c>
      <c r="J118" s="151">
        <f>IF(TrRoad_act!J60=0,0,TrRoad_ene!J63/TrRoad_tech!J91)</f>
        <v>0.91740731741767156</v>
      </c>
      <c r="K118" s="151">
        <f>IF(TrRoad_act!K60=0,0,TrRoad_ene!K63/TrRoad_tech!K91)</f>
        <v>0.94061254369374614</v>
      </c>
      <c r="L118" s="151">
        <f>IF(TrRoad_act!L60=0,0,TrRoad_ene!L63/TrRoad_tech!L91)</f>
        <v>0.8724036017732032</v>
      </c>
      <c r="M118" s="151">
        <f>IF(TrRoad_act!M60=0,0,TrRoad_ene!M63/TrRoad_tech!M91)</f>
        <v>0.90271736058198893</v>
      </c>
      <c r="N118" s="151">
        <f>IF(TrRoad_act!N60=0,0,TrRoad_ene!N63/TrRoad_tech!N91)</f>
        <v>0.89239355024902167</v>
      </c>
      <c r="O118" s="151">
        <f>IF(TrRoad_act!O60=0,0,TrRoad_ene!O63/TrRoad_tech!O91)</f>
        <v>0.87861301275944614</v>
      </c>
      <c r="P118" s="151">
        <f>IF(TrRoad_act!P60=0,0,TrRoad_ene!P63/TrRoad_tech!P91)</f>
        <v>0.88121461020045966</v>
      </c>
      <c r="Q118" s="151">
        <f>IF(TrRoad_act!Q60=0,0,TrRoad_ene!Q63/TrRoad_tech!Q91)</f>
        <v>0.93842466718309347</v>
      </c>
      <c r="R118" s="151">
        <f>IF(TrRoad_act!R60=0,0,TrRoad_ene!R63/TrRoad_tech!R91)</f>
        <v>0.94996487662138374</v>
      </c>
      <c r="S118" s="151">
        <f>IF(TrRoad_act!S60=0,0,TrRoad_ene!S63/TrRoad_tech!S91)</f>
        <v>0.94924880229566244</v>
      </c>
      <c r="T118" s="151">
        <f>IF(TrRoad_act!T60=0,0,TrRoad_ene!T63/TrRoad_tech!T91)</f>
        <v>0.95254352477245396</v>
      </c>
      <c r="U118" s="151">
        <f>IF(TrRoad_act!U60=0,0,TrRoad_ene!U63/TrRoad_tech!U91)</f>
        <v>0.97831882389612934</v>
      </c>
      <c r="V118" s="151">
        <f>IF(TrRoad_act!V60=0,0,TrRoad_ene!V63/TrRoad_tech!V91)</f>
        <v>0.90998451524979529</v>
      </c>
      <c r="W118" s="151">
        <f>IF(TrRoad_act!W60=0,0,TrRoad_ene!W63/TrRoad_tech!W91)</f>
        <v>0.97778009036668478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1.0716005099050723</v>
      </c>
      <c r="C119" s="91">
        <f>IF(TrRoad_act!C61=0,0,TrRoad_ene!C64/TrRoad_tech!C92)</f>
        <v>1.0490279301222762</v>
      </c>
      <c r="D119" s="91">
        <f>IF(TrRoad_act!D61=0,0,TrRoad_ene!D64/TrRoad_tech!D92)</f>
        <v>1.0401819728732775</v>
      </c>
      <c r="E119" s="91">
        <f>IF(TrRoad_act!E61=0,0,TrRoad_ene!E64/TrRoad_tech!E92)</f>
        <v>1.0412108032187961</v>
      </c>
      <c r="F119" s="91">
        <f>IF(TrRoad_act!F61=0,0,TrRoad_ene!F64/TrRoad_tech!F92)</f>
        <v>1.0145078737547462</v>
      </c>
      <c r="G119" s="91">
        <f>IF(TrRoad_act!G61=0,0,TrRoad_ene!G64/TrRoad_tech!G92)</f>
        <v>1.0052406657135287</v>
      </c>
      <c r="H119" s="91">
        <f>IF(TrRoad_act!H61=0,0,TrRoad_ene!H64/TrRoad_tech!H92)</f>
        <v>0.98748561062804974</v>
      </c>
      <c r="I119" s="91">
        <f>IF(TrRoad_act!I61=0,0,TrRoad_ene!I64/TrRoad_tech!I92)</f>
        <v>0.99424884821521897</v>
      </c>
      <c r="J119" s="91">
        <f>IF(TrRoad_act!J61=0,0,TrRoad_ene!J64/TrRoad_tech!J92)</f>
        <v>0.93016724583167798</v>
      </c>
      <c r="K119" s="91">
        <f>IF(TrRoad_act!K61=0,0,TrRoad_ene!K64/TrRoad_tech!K92)</f>
        <v>0.95165240398983231</v>
      </c>
      <c r="L119" s="91">
        <f>IF(TrRoad_act!L61=0,0,TrRoad_ene!L64/TrRoad_tech!L92)</f>
        <v>0.87670313322202686</v>
      </c>
      <c r="M119" s="91">
        <f>IF(TrRoad_act!M61=0,0,TrRoad_ene!M64/TrRoad_tech!M92)</f>
        <v>0.87948998044575188</v>
      </c>
      <c r="N119" s="91">
        <f>IF(TrRoad_act!N61=0,0,TrRoad_ene!N64/TrRoad_tech!N92)</f>
        <v>0.88445025901543206</v>
      </c>
      <c r="O119" s="91">
        <f>IF(TrRoad_act!O61=0,0,TrRoad_ene!O64/TrRoad_tech!O92)</f>
        <v>0.87813299233514297</v>
      </c>
      <c r="P119" s="91">
        <f>IF(TrRoad_act!P61=0,0,TrRoad_ene!P64/TrRoad_tech!P92)</f>
        <v>0.87911815885057687</v>
      </c>
      <c r="Q119" s="91">
        <f>IF(TrRoad_act!Q61=0,0,TrRoad_ene!Q64/TrRoad_tech!Q92)</f>
        <v>0.87379288882021189</v>
      </c>
      <c r="R119" s="91">
        <f>IF(TrRoad_act!R61=0,0,TrRoad_ene!R64/TrRoad_tech!R92)</f>
        <v>0.88567279013694666</v>
      </c>
      <c r="S119" s="91">
        <f>IF(TrRoad_act!S61=0,0,TrRoad_ene!S64/TrRoad_tech!S92)</f>
        <v>0.8734815968838523</v>
      </c>
      <c r="T119" s="91">
        <f>IF(TrRoad_act!T61=0,0,TrRoad_ene!T64/TrRoad_tech!T92)</f>
        <v>0.87952257261117928</v>
      </c>
      <c r="U119" s="91">
        <f>IF(TrRoad_act!U61=0,0,TrRoad_ene!U64/TrRoad_tech!U92)</f>
        <v>0.90204673179866113</v>
      </c>
      <c r="V119" s="91">
        <f>IF(TrRoad_act!V61=0,0,TrRoad_ene!V64/TrRoad_tech!V92)</f>
        <v>0.84052440581232579</v>
      </c>
      <c r="W119" s="91">
        <f>IF(TrRoad_act!W61=0,0,TrRoad_ene!W64/TrRoad_tech!W92)</f>
        <v>0.90936693435863192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0.85737467775363652</v>
      </c>
      <c r="C120" s="91">
        <f>IF(TrRoad_act!C62=0,0,TrRoad_ene!C65/TrRoad_tech!C93)</f>
        <v>0.85315895401627129</v>
      </c>
      <c r="D120" s="91">
        <f>IF(TrRoad_act!D62=0,0,TrRoad_ene!D65/TrRoad_tech!D93)</f>
        <v>0.84450637800959671</v>
      </c>
      <c r="E120" s="91">
        <f>IF(TrRoad_act!E62=0,0,TrRoad_ene!E65/TrRoad_tech!E93)</f>
        <v>0.84598831091041593</v>
      </c>
      <c r="F120" s="91">
        <f>IF(TrRoad_act!F62=0,0,TrRoad_ene!F65/TrRoad_tech!F93)</f>
        <v>0.84315889725266657</v>
      </c>
      <c r="G120" s="91">
        <f>IF(TrRoad_act!G62=0,0,TrRoad_ene!G65/TrRoad_tech!G93)</f>
        <v>0.84887225073329908</v>
      </c>
      <c r="H120" s="91">
        <f>IF(TrRoad_act!H62=0,0,TrRoad_ene!H65/TrRoad_tech!H93)</f>
        <v>0.85440169190871973</v>
      </c>
      <c r="I120" s="91">
        <f>IF(TrRoad_act!I62=0,0,TrRoad_ene!I65/TrRoad_tech!I93)</f>
        <v>0.88869961352419924</v>
      </c>
      <c r="J120" s="91">
        <f>IF(TrRoad_act!J62=0,0,TrRoad_ene!J65/TrRoad_tech!J93)</f>
        <v>0.84878008817645123</v>
      </c>
      <c r="K120" s="91">
        <f>IF(TrRoad_act!K62=0,0,TrRoad_ene!K65/TrRoad_tech!K93)</f>
        <v>0.94296061600550629</v>
      </c>
      <c r="L120" s="91">
        <f>IF(TrRoad_act!L62=0,0,TrRoad_ene!L65/TrRoad_tech!L93)</f>
        <v>0.95601362657901279</v>
      </c>
      <c r="M120" s="91">
        <f>IF(TrRoad_act!M62=0,0,TrRoad_ene!M65/TrRoad_tech!M93)</f>
        <v>0.99751241482341946</v>
      </c>
      <c r="N120" s="91">
        <f>IF(TrRoad_act!N62=0,0,TrRoad_ene!N65/TrRoad_tech!N93)</f>
        <v>1.136856133058006</v>
      </c>
      <c r="O120" s="91">
        <f>IF(TrRoad_act!O62=0,0,TrRoad_ene!O65/TrRoad_tech!O93)</f>
        <v>0.75685046158343472</v>
      </c>
      <c r="P120" s="91">
        <f>IF(TrRoad_act!P62=0,0,TrRoad_ene!P65/TrRoad_tech!P93)</f>
        <v>0.85644926554355805</v>
      </c>
      <c r="Q120" s="91">
        <f>IF(TrRoad_act!Q62=0,0,TrRoad_ene!Q65/TrRoad_tech!Q93)</f>
        <v>1.8180570577257762</v>
      </c>
      <c r="R120" s="91">
        <f>IF(TrRoad_act!R62=0,0,TrRoad_ene!R65/TrRoad_tech!R93)</f>
        <v>1.8327680542098099</v>
      </c>
      <c r="S120" s="91">
        <f>IF(TrRoad_act!S62=0,0,TrRoad_ene!S65/TrRoad_tech!S93)</f>
        <v>1.8781313513197126</v>
      </c>
      <c r="T120" s="91">
        <f>IF(TrRoad_act!T62=0,0,TrRoad_ene!T65/TrRoad_tech!T93)</f>
        <v>1.7279124504965166</v>
      </c>
      <c r="U120" s="91">
        <f>IF(TrRoad_act!U62=0,0,TrRoad_ene!U65/TrRoad_tech!U93)</f>
        <v>1.6807521712909037</v>
      </c>
      <c r="V120" s="91">
        <f>IF(TrRoad_act!V62=0,0,TrRoad_ene!V65/TrRoad_tech!V93)</f>
        <v>1.448284392627444</v>
      </c>
      <c r="W120" s="91">
        <f>IF(TrRoad_act!W62=0,0,TrRoad_ene!W65/TrRoad_tech!W93)</f>
        <v>1.6152976010640983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1.1450981103874649</v>
      </c>
      <c r="C121" s="91">
        <f>IF(TrRoad_act!C63=0,0,TrRoad_ene!C66/TrRoad_tech!C94)</f>
        <v>1.2507853493790235</v>
      </c>
      <c r="D121" s="91">
        <f>IF(TrRoad_act!D63=0,0,TrRoad_ene!D66/TrRoad_tech!D94)</f>
        <v>1.2774836361636976</v>
      </c>
      <c r="E121" s="91">
        <f>IF(TrRoad_act!E63=0,0,TrRoad_ene!E66/TrRoad_tech!E94)</f>
        <v>1.1522649886239764</v>
      </c>
      <c r="F121" s="91">
        <f>IF(TrRoad_act!F63=0,0,TrRoad_ene!F66/TrRoad_tech!F94)</f>
        <v>1.1551826137477794</v>
      </c>
      <c r="G121" s="91">
        <f>IF(TrRoad_act!G63=0,0,TrRoad_ene!G66/TrRoad_tech!G94)</f>
        <v>1.1565265849500737</v>
      </c>
      <c r="H121" s="91">
        <f>IF(TrRoad_act!H63=0,0,TrRoad_ene!H66/TrRoad_tech!H94)</f>
        <v>1.147673460260479</v>
      </c>
      <c r="I121" s="91">
        <f>IF(TrRoad_act!I63=0,0,TrRoad_ene!I66/TrRoad_tech!I94)</f>
        <v>1.1273561192438775</v>
      </c>
      <c r="J121" s="91">
        <f>IF(TrRoad_act!J63=0,0,TrRoad_ene!J66/TrRoad_tech!J94)</f>
        <v>1.1128446688209104</v>
      </c>
      <c r="K121" s="91">
        <f>IF(TrRoad_act!K63=0,0,TrRoad_ene!K66/TrRoad_tech!K94)</f>
        <v>1.0466712053634601</v>
      </c>
      <c r="L121" s="91">
        <f>IF(TrRoad_act!L63=0,0,TrRoad_ene!L66/TrRoad_tech!L94)</f>
        <v>1.0432356980713027</v>
      </c>
      <c r="M121" s="91">
        <f>IF(TrRoad_act!M63=0,0,TrRoad_ene!M66/TrRoad_tech!M94)</f>
        <v>1.7224799246378353</v>
      </c>
      <c r="N121" s="91">
        <f>IF(TrRoad_act!N63=0,0,TrRoad_ene!N66/TrRoad_tech!N94)</f>
        <v>1.0503419032254191</v>
      </c>
      <c r="O121" s="91">
        <f>IF(TrRoad_act!O63=0,0,TrRoad_ene!O66/TrRoad_tech!O94)</f>
        <v>1.0652289803339485</v>
      </c>
      <c r="P121" s="91">
        <f>IF(TrRoad_act!P63=0,0,TrRoad_ene!P66/TrRoad_tech!P94)</f>
        <v>1.0712837254174861</v>
      </c>
      <c r="Q121" s="91">
        <f>IF(TrRoad_act!Q63=0,0,TrRoad_ene!Q66/TrRoad_tech!Q94)</f>
        <v>1.0974387575252071</v>
      </c>
      <c r="R121" s="91">
        <f>IF(TrRoad_act!R63=0,0,TrRoad_ene!R66/TrRoad_tech!R94)</f>
        <v>1.0484524576926033</v>
      </c>
      <c r="S121" s="91">
        <f>IF(TrRoad_act!S63=0,0,TrRoad_ene!S66/TrRoad_tech!S94)</f>
        <v>1.0344990274978614</v>
      </c>
      <c r="T121" s="91">
        <f>IF(TrRoad_act!T63=0,0,TrRoad_ene!T66/TrRoad_tech!T94)</f>
        <v>1.0330209125774401</v>
      </c>
      <c r="U121" s="91">
        <f>IF(TrRoad_act!U63=0,0,TrRoad_ene!U66/TrRoad_tech!U94)</f>
        <v>1.0491740819595068</v>
      </c>
      <c r="V121" s="91">
        <f>IF(TrRoad_act!V63=0,0,TrRoad_ene!V66/TrRoad_tech!V94)</f>
        <v>1.0460518298886403</v>
      </c>
      <c r="W121" s="91">
        <f>IF(TrRoad_act!W63=0,0,TrRoad_ene!W66/TrRoad_tech!W94)</f>
        <v>1.0506414765178202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1.0288888888925898</v>
      </c>
      <c r="D122" s="91">
        <f>IF(TrRoad_act!D64=0,0,TrRoad_ene!D67/TrRoad_tech!D95)</f>
        <v>1.0294721682365613</v>
      </c>
      <c r="E122" s="91">
        <f>IF(TrRoad_act!E64=0,0,TrRoad_ene!E67/TrRoad_tech!E95)</f>
        <v>1.0297658840561819</v>
      </c>
      <c r="F122" s="91">
        <f>IF(TrRoad_act!F64=0,0,TrRoad_ene!F67/TrRoad_tech!F95)</f>
        <v>1.0298191780689847</v>
      </c>
      <c r="G122" s="91">
        <f>IF(TrRoad_act!G64=0,0,TrRoad_ene!G67/TrRoad_tech!G95)</f>
        <v>1.0307498652466291</v>
      </c>
      <c r="H122" s="91">
        <f>IF(TrRoad_act!H64=0,0,TrRoad_ene!H67/TrRoad_tech!H95)</f>
        <v>1.0314827255844572</v>
      </c>
      <c r="I122" s="91">
        <f>IF(TrRoad_act!I64=0,0,TrRoad_ene!I67/TrRoad_tech!I95)</f>
        <v>1.0334836989251008</v>
      </c>
      <c r="J122" s="91">
        <f>IF(TrRoad_act!J64=0,0,TrRoad_ene!J67/TrRoad_tech!J95)</f>
        <v>1.0338246688549049</v>
      </c>
      <c r="K122" s="91">
        <f>IF(TrRoad_act!K64=0,0,TrRoad_ene!K67/TrRoad_tech!K95)</f>
        <v>1.0390358035100682</v>
      </c>
      <c r="L122" s="91">
        <f>IF(TrRoad_act!L64=0,0,TrRoad_ene!L67/TrRoad_tech!L95)</f>
        <v>1.0422555120712695</v>
      </c>
      <c r="M122" s="91">
        <f>IF(TrRoad_act!M64=0,0,TrRoad_ene!M67/TrRoad_tech!M95)</f>
        <v>1.0439205224862937</v>
      </c>
      <c r="N122" s="91">
        <f>IF(TrRoad_act!N64=0,0,TrRoad_ene!N67/TrRoad_tech!N95)</f>
        <v>1.0445629535059031</v>
      </c>
      <c r="O122" s="91">
        <f>IF(TrRoad_act!O64=0,0,TrRoad_ene!O67/TrRoad_tech!O95)</f>
        <v>1.0454035034136682</v>
      </c>
      <c r="P122" s="91">
        <f>IF(TrRoad_act!P64=0,0,TrRoad_ene!P67/TrRoad_tech!P95)</f>
        <v>1.0455449122755713</v>
      </c>
      <c r="Q122" s="91">
        <f>IF(TrRoad_act!Q64=0,0,TrRoad_ene!Q67/TrRoad_tech!Q95)</f>
        <v>1.050117484743377</v>
      </c>
      <c r="R122" s="91">
        <f>IF(TrRoad_act!R64=0,0,TrRoad_ene!R67/TrRoad_tech!R95)</f>
        <v>1.0526261638883396</v>
      </c>
      <c r="S122" s="91">
        <f>IF(TrRoad_act!S64=0,0,TrRoad_ene!S67/TrRoad_tech!S95)</f>
        <v>1.0538719912646615</v>
      </c>
      <c r="T122" s="91">
        <f>IF(TrRoad_act!T64=0,0,TrRoad_ene!T67/TrRoad_tech!T95)</f>
        <v>1.0566769190386018</v>
      </c>
      <c r="U122" s="91">
        <f>IF(TrRoad_act!U64=0,0,TrRoad_ene!U67/TrRoad_tech!U95)</f>
        <v>1.062886120335917</v>
      </c>
      <c r="V122" s="91">
        <f>IF(TrRoad_act!V64=0,0,TrRoad_ene!V67/TrRoad_tech!V95)</f>
        <v>1.0783014766141996</v>
      </c>
      <c r="W122" s="91">
        <f>IF(TrRoad_act!W64=0,0,TrRoad_ene!W67/TrRoad_tech!W95)</f>
        <v>1.0909847603102092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0.96807954982412081</v>
      </c>
      <c r="O123" s="91">
        <f>IF(TrRoad_act!O65=0,0,TrRoad_ene!O68/TrRoad_tech!O96)</f>
        <v>1.0175159278763739</v>
      </c>
      <c r="P123" s="91">
        <f>IF(TrRoad_act!P65=0,0,TrRoad_ene!P68/TrRoad_tech!P96)</f>
        <v>0.99642703001460531</v>
      </c>
      <c r="Q123" s="91">
        <f>IF(TrRoad_act!Q65=0,0,TrRoad_ene!Q68/TrRoad_tech!Q96)</f>
        <v>0.98980224643927617</v>
      </c>
      <c r="R123" s="91">
        <f>IF(TrRoad_act!R65=0,0,TrRoad_ene!R68/TrRoad_tech!R96)</f>
        <v>1.00099047516312</v>
      </c>
      <c r="S123" s="91">
        <f>IF(TrRoad_act!S65=0,0,TrRoad_ene!S68/TrRoad_tech!S96)</f>
        <v>0.9868631778606981</v>
      </c>
      <c r="T123" s="91">
        <f>IF(TrRoad_act!T65=0,0,TrRoad_ene!T68/TrRoad_tech!T96)</f>
        <v>0.99013152286403527</v>
      </c>
      <c r="U123" s="91">
        <f>IF(TrRoad_act!U65=0,0,TrRoad_ene!U68/TrRoad_tech!U96)</f>
        <v>1.0022884478552967</v>
      </c>
      <c r="V123" s="91">
        <f>IF(TrRoad_act!V65=0,0,TrRoad_ene!V68/TrRoad_tech!V96)</f>
        <v>0.98031470721585401</v>
      </c>
      <c r="W123" s="91">
        <f>IF(TrRoad_act!W65=0,0,TrRoad_ene!W68/TrRoad_tech!W96)</f>
        <v>1.020747827043591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0</v>
      </c>
      <c r="L124" s="91">
        <f>IF(TrRoad_act!L66=0,0,TrRoad_ene!L69/TrRoad_tech!L97)</f>
        <v>0</v>
      </c>
      <c r="M124" s="91">
        <f>IF(TrRoad_act!M66=0,0,TrRoad_ene!M69/TrRoad_tech!M97)</f>
        <v>0</v>
      </c>
      <c r="N124" s="91">
        <f>IF(TrRoad_act!N66=0,0,TrRoad_ene!N69/TrRoad_tech!N97)</f>
        <v>1.0655555555606799</v>
      </c>
      <c r="O124" s="91">
        <f>IF(TrRoad_act!O66=0,0,TrRoad_ene!O69/TrRoad_tech!O97)</f>
        <v>1.0711111111163003</v>
      </c>
      <c r="P124" s="91">
        <f>IF(TrRoad_act!P66=0,0,TrRoad_ene!P69/TrRoad_tech!P97)</f>
        <v>1.0766526314125229</v>
      </c>
      <c r="Q124" s="91">
        <f>IF(TrRoad_act!Q66=0,0,TrRoad_ene!Q69/TrRoad_tech!Q97)</f>
        <v>1.0799813374344343</v>
      </c>
      <c r="R124" s="91">
        <f>IF(TrRoad_act!R66=0,0,TrRoad_ene!R69/TrRoad_tech!R97)</f>
        <v>1.0834903662891044</v>
      </c>
      <c r="S124" s="91">
        <f>IF(TrRoad_act!S66=0,0,TrRoad_ene!S69/TrRoad_tech!S97)</f>
        <v>1.0862276797915675</v>
      </c>
      <c r="T124" s="91">
        <f>IF(TrRoad_act!T66=0,0,TrRoad_ene!T69/TrRoad_tech!T97)</f>
        <v>1.0896993873214134</v>
      </c>
      <c r="U124" s="91">
        <f>IF(TrRoad_act!U66=0,0,TrRoad_ene!U69/TrRoad_tech!U97)</f>
        <v>1.0936117821837719</v>
      </c>
      <c r="V124" s="91">
        <f>IF(TrRoad_act!V66=0,0,TrRoad_ene!V69/TrRoad_tech!V97)</f>
        <v>1.0964723117181516</v>
      </c>
      <c r="W124" s="91">
        <f>IF(TrRoad_act!W66=0,0,TrRoad_ene!W69/TrRoad_tech!W97)</f>
        <v>1.0982488172434235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1.2491825716974172</v>
      </c>
      <c r="C125" s="151">
        <f>IF(TrRoad_act!C67=0,0,TrRoad_ene!C70/TrRoad_tech!C98)</f>
        <v>1.2254490963061961</v>
      </c>
      <c r="D125" s="151">
        <f>IF(TrRoad_act!D67=0,0,TrRoad_ene!D70/TrRoad_tech!D98)</f>
        <v>1.2167444198833495</v>
      </c>
      <c r="E125" s="151">
        <f>IF(TrRoad_act!E67=0,0,TrRoad_ene!E70/TrRoad_tech!E98)</f>
        <v>1.5795147748628446</v>
      </c>
      <c r="F125" s="151">
        <f>IF(TrRoad_act!F67=0,0,TrRoad_ene!F70/TrRoad_tech!F98)</f>
        <v>1.2169856733167239</v>
      </c>
      <c r="G125" s="151">
        <f>IF(TrRoad_act!G67=0,0,TrRoad_ene!G70/TrRoad_tech!G98)</f>
        <v>1.377305894686133</v>
      </c>
      <c r="H125" s="151">
        <f>IF(TrRoad_act!H67=0,0,TrRoad_ene!H70/TrRoad_tech!H98)</f>
        <v>1.3275628819198133</v>
      </c>
      <c r="I125" s="151">
        <f>IF(TrRoad_act!I67=0,0,TrRoad_ene!I70/TrRoad_tech!I98)</f>
        <v>1.387153713979842</v>
      </c>
      <c r="J125" s="151">
        <f>IF(TrRoad_act!J67=0,0,TrRoad_ene!J70/TrRoad_tech!J98)</f>
        <v>1.3222378451149093</v>
      </c>
      <c r="K125" s="151">
        <f>IF(TrRoad_act!K67=0,0,TrRoad_ene!K70/TrRoad_tech!K98)</f>
        <v>1.6304008021925198</v>
      </c>
      <c r="L125" s="151">
        <f>IF(TrRoad_act!L67=0,0,TrRoad_ene!L70/TrRoad_tech!L98)</f>
        <v>1.4467150772797801</v>
      </c>
      <c r="M125" s="151">
        <f>IF(TrRoad_act!M67=0,0,TrRoad_ene!M70/TrRoad_tech!M98)</f>
        <v>1.5495673817205922</v>
      </c>
      <c r="N125" s="151">
        <f>IF(TrRoad_act!N67=0,0,TrRoad_ene!N70/TrRoad_tech!N98)</f>
        <v>1.3070246230090385</v>
      </c>
      <c r="O125" s="151">
        <f>IF(TrRoad_act!O67=0,0,TrRoad_ene!O70/TrRoad_tech!O98)</f>
        <v>1.4996154981836547</v>
      </c>
      <c r="P125" s="151">
        <f>IF(TrRoad_act!P67=0,0,TrRoad_ene!P70/TrRoad_tech!P98)</f>
        <v>1.4714618041664951</v>
      </c>
      <c r="Q125" s="151">
        <f>IF(TrRoad_act!Q67=0,0,TrRoad_ene!Q70/TrRoad_tech!Q98)</f>
        <v>1.4247089497514294</v>
      </c>
      <c r="R125" s="151">
        <f>IF(TrRoad_act!R67=0,0,TrRoad_ene!R70/TrRoad_tech!R98)</f>
        <v>1.4694645909348483</v>
      </c>
      <c r="S125" s="151">
        <f>IF(TrRoad_act!S67=0,0,TrRoad_ene!S70/TrRoad_tech!S98)</f>
        <v>1.5126003216823956</v>
      </c>
      <c r="T125" s="151">
        <f>IF(TrRoad_act!T67=0,0,TrRoad_ene!T70/TrRoad_tech!T98)</f>
        <v>1.5491603141576837</v>
      </c>
      <c r="U125" s="151">
        <f>IF(TrRoad_act!U67=0,0,TrRoad_ene!U70/TrRoad_tech!U98)</f>
        <v>1.6380978627564422</v>
      </c>
      <c r="V125" s="151">
        <f>IF(TrRoad_act!V67=0,0,TrRoad_ene!V70/TrRoad_tech!V98)</f>
        <v>1.6057524139825368</v>
      </c>
      <c r="W125" s="151">
        <f>IF(TrRoad_act!W67=0,0,TrRoad_ene!W70/TrRoad_tech!W98)</f>
        <v>1.6441028574686416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0</v>
      </c>
      <c r="C126" s="93">
        <f>IF(TrRoad_act!C68=0,0,TrRoad_ene!C71/TrRoad_tech!C99)</f>
        <v>0</v>
      </c>
      <c r="D126" s="93">
        <f>IF(TrRoad_act!D68=0,0,TrRoad_ene!D71/TrRoad_tech!D99)</f>
        <v>0</v>
      </c>
      <c r="E126" s="93">
        <f>IF(TrRoad_act!E68=0,0,TrRoad_ene!E71/TrRoad_tech!E99)</f>
        <v>0</v>
      </c>
      <c r="F126" s="93">
        <f>IF(TrRoad_act!F68=0,0,TrRoad_ene!F71/TrRoad_tech!F99)</f>
        <v>0</v>
      </c>
      <c r="G126" s="93">
        <f>IF(TrRoad_act!G68=0,0,TrRoad_ene!G71/TrRoad_tech!G99)</f>
        <v>0</v>
      </c>
      <c r="H126" s="93">
        <f>IF(TrRoad_act!H68=0,0,TrRoad_ene!H71/TrRoad_tech!H99)</f>
        <v>0</v>
      </c>
      <c r="I126" s="93">
        <f>IF(TrRoad_act!I68=0,0,TrRoad_ene!I71/TrRoad_tech!I99)</f>
        <v>0</v>
      </c>
      <c r="J126" s="93">
        <f>IF(TrRoad_act!J68=0,0,TrRoad_ene!J71/TrRoad_tech!J99)</f>
        <v>0</v>
      </c>
      <c r="K126" s="93">
        <f>IF(TrRoad_act!K68=0,0,TrRoad_ene!K71/TrRoad_tech!K99)</f>
        <v>0</v>
      </c>
      <c r="L126" s="93">
        <f>IF(TrRoad_act!L68=0,0,TrRoad_ene!L71/TrRoad_tech!L99)</f>
        <v>0</v>
      </c>
      <c r="M126" s="93">
        <f>IF(TrRoad_act!M68=0,0,TrRoad_ene!M71/TrRoad_tech!M99)</f>
        <v>0</v>
      </c>
      <c r="N126" s="93">
        <f>IF(TrRoad_act!N68=0,0,TrRoad_ene!N71/TrRoad_tech!N99)</f>
        <v>0</v>
      </c>
      <c r="O126" s="93">
        <f>IF(TrRoad_act!O68=0,0,TrRoad_ene!O71/TrRoad_tech!O99)</f>
        <v>0</v>
      </c>
      <c r="P126" s="93">
        <f>IF(TrRoad_act!P68=0,0,TrRoad_ene!P71/TrRoad_tech!P99)</f>
        <v>0</v>
      </c>
      <c r="Q126" s="93">
        <f>IF(TrRoad_act!Q68=0,0,TrRoad_ene!Q71/TrRoad_tech!Q99)</f>
        <v>0</v>
      </c>
      <c r="R126" s="93">
        <f>IF(TrRoad_act!R68=0,0,TrRoad_ene!R71/TrRoad_tech!R99)</f>
        <v>0</v>
      </c>
      <c r="S126" s="93">
        <f>IF(TrRoad_act!S68=0,0,TrRoad_ene!S71/TrRoad_tech!S99)</f>
        <v>0</v>
      </c>
      <c r="T126" s="93">
        <f>IF(TrRoad_act!T68=0,0,TrRoad_ene!T71/TrRoad_tech!T99)</f>
        <v>0</v>
      </c>
      <c r="U126" s="93">
        <f>IF(TrRoad_act!U68=0,0,TrRoad_ene!U71/TrRoad_tech!U99)</f>
        <v>0</v>
      </c>
      <c r="V126" s="93">
        <f>IF(TrRoad_act!V68=0,0,TrRoad_ene!V71/TrRoad_tech!V99)</f>
        <v>0</v>
      </c>
      <c r="W126" s="93">
        <f>IF(TrRoad_act!W68=0,0,TrRoad_ene!W71/TrRoad_tech!W99)</f>
        <v>0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1.2491825716974172</v>
      </c>
      <c r="C127" s="93">
        <f>IF(TrRoad_act!C69=0,0,TrRoad_ene!C72/TrRoad_tech!C100)</f>
        <v>1.2466474449867091</v>
      </c>
      <c r="D127" s="93">
        <f>IF(TrRoad_act!D69=0,0,TrRoad_ene!D72/TrRoad_tech!D100)</f>
        <v>1.2469561062884187</v>
      </c>
      <c r="E127" s="93">
        <f>IF(TrRoad_act!E69=0,0,TrRoad_ene!E72/TrRoad_tech!E100)</f>
        <v>1.6334659759769627</v>
      </c>
      <c r="F127" s="93">
        <f>IF(TrRoad_act!F69=0,0,TrRoad_ene!F72/TrRoad_tech!F100)</f>
        <v>1.256849817339357</v>
      </c>
      <c r="G127" s="93">
        <f>IF(TrRoad_act!G69=0,0,TrRoad_ene!G72/TrRoad_tech!G100)</f>
        <v>1.4268825532469844</v>
      </c>
      <c r="H127" s="93">
        <f>IF(TrRoad_act!H69=0,0,TrRoad_ene!H72/TrRoad_tech!H100)</f>
        <v>1.3746455336974068</v>
      </c>
      <c r="I127" s="93">
        <f>IF(TrRoad_act!I69=0,0,TrRoad_ene!I72/TrRoad_tech!I100)</f>
        <v>1.4368116364366348</v>
      </c>
      <c r="J127" s="93">
        <f>IF(TrRoad_act!J69=0,0,TrRoad_ene!J72/TrRoad_tech!J100)</f>
        <v>1.3659439820104797</v>
      </c>
      <c r="K127" s="93">
        <f>IF(TrRoad_act!K69=0,0,TrRoad_ene!K72/TrRoad_tech!K100)</f>
        <v>1.6838629224069737</v>
      </c>
      <c r="L127" s="93">
        <f>IF(TrRoad_act!L69=0,0,TrRoad_ene!L72/TrRoad_tech!L100)</f>
        <v>1.4843906434612713</v>
      </c>
      <c r="M127" s="93">
        <f>IF(TrRoad_act!M69=0,0,TrRoad_ene!M72/TrRoad_tech!M100)</f>
        <v>1.5808842773194185</v>
      </c>
      <c r="N127" s="93">
        <f>IF(TrRoad_act!N69=0,0,TrRoad_ene!N72/TrRoad_tech!N100)</f>
        <v>1.3206462205550846</v>
      </c>
      <c r="O127" s="93">
        <f>IF(TrRoad_act!O69=0,0,TrRoad_ene!O72/TrRoad_tech!O100)</f>
        <v>1.5223001295630134</v>
      </c>
      <c r="P127" s="93">
        <f>IF(TrRoad_act!P69=0,0,TrRoad_ene!P72/TrRoad_tech!P100)</f>
        <v>1.4879102445967334</v>
      </c>
      <c r="Q127" s="93">
        <f>IF(TrRoad_act!Q69=0,0,TrRoad_ene!Q72/TrRoad_tech!Q100)</f>
        <v>1.4395023031442509</v>
      </c>
      <c r="R127" s="93">
        <f>IF(TrRoad_act!R69=0,0,TrRoad_ene!R72/TrRoad_tech!R100)</f>
        <v>1.4763014860310324</v>
      </c>
      <c r="S127" s="93">
        <f>IF(TrRoad_act!S69=0,0,TrRoad_ene!S72/TrRoad_tech!S100)</f>
        <v>1.5347122002307461</v>
      </c>
      <c r="T127" s="93">
        <f>IF(TrRoad_act!T69=0,0,TrRoad_ene!T72/TrRoad_tech!T100)</f>
        <v>1.5739429294327518</v>
      </c>
      <c r="U127" s="93">
        <f>IF(TrRoad_act!U69=0,0,TrRoad_ene!U72/TrRoad_tech!U100)</f>
        <v>1.6642130302033797</v>
      </c>
      <c r="V127" s="93">
        <f>IF(TrRoad_act!V69=0,0,TrRoad_ene!V72/TrRoad_tech!V100)</f>
        <v>1.6377457681826915</v>
      </c>
      <c r="W127" s="93">
        <f>IF(TrRoad_act!W69=0,0,TrRoad_ene!W72/TrRoad_tech!W100)</f>
        <v>1.676806062776109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0</v>
      </c>
      <c r="U128" s="93">
        <f>IF(TrRoad_act!U70=0,0,TrRoad_ene!U73/TrRoad_tech!U101)</f>
        <v>0</v>
      </c>
      <c r="V128" s="93">
        <f>IF(TrRoad_act!V70=0,0,TrRoad_ene!V73/TrRoad_tech!V101)</f>
        <v>0</v>
      </c>
      <c r="W128" s="93">
        <f>IF(TrRoad_act!W70=0,0,TrRoad_ene!W73/TrRoad_tech!W101)</f>
        <v>0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1.0741267414452162</v>
      </c>
      <c r="D129" s="93">
        <f>IF(TrRoad_act!D71=0,0,TrRoad_ene!D74/TrRoad_tech!D102)</f>
        <v>1.0905616030736063</v>
      </c>
      <c r="E129" s="93">
        <f>IF(TrRoad_act!E71=0,0,TrRoad_ene!E74/TrRoad_tech!E102)</f>
        <v>1.0904201544161987</v>
      </c>
      <c r="F129" s="93">
        <f>IF(TrRoad_act!F71=0,0,TrRoad_ene!F74/TrRoad_tech!F102)</f>
        <v>1.0899664384369026</v>
      </c>
      <c r="G129" s="93">
        <f>IF(TrRoad_act!G71=0,0,TrRoad_ene!G74/TrRoad_tech!G102)</f>
        <v>1.1383598501897885</v>
      </c>
      <c r="H129" s="93">
        <f>IF(TrRoad_act!H71=0,0,TrRoad_ene!H74/TrRoad_tech!H102)</f>
        <v>1.1311527319410866</v>
      </c>
      <c r="I129" s="93">
        <f>IF(TrRoad_act!I71=0,0,TrRoad_ene!I74/TrRoad_tech!I102)</f>
        <v>1.1216491474307548</v>
      </c>
      <c r="J129" s="93">
        <f>IF(TrRoad_act!J71=0,0,TrRoad_ene!J74/TrRoad_tech!J102)</f>
        <v>1.0962396403176911</v>
      </c>
      <c r="K129" s="93">
        <f>IF(TrRoad_act!K71=0,0,TrRoad_ene!K74/TrRoad_tech!K102)</f>
        <v>1.1692340437452442</v>
      </c>
      <c r="L129" s="93">
        <f>IF(TrRoad_act!L71=0,0,TrRoad_ene!L74/TrRoad_tech!L102)</f>
        <v>1.1203700516592041</v>
      </c>
      <c r="M129" s="93">
        <f>IF(TrRoad_act!M71=0,0,TrRoad_ene!M74/TrRoad_tech!M102)</f>
        <v>1.2066942392297568</v>
      </c>
      <c r="N129" s="93">
        <f>IF(TrRoad_act!N71=0,0,TrRoad_ene!N74/TrRoad_tech!N102)</f>
        <v>1.2047711966139152</v>
      </c>
      <c r="O129" s="93">
        <f>IF(TrRoad_act!O71=0,0,TrRoad_ene!O74/TrRoad_tech!O102)</f>
        <v>1.1496890596960421</v>
      </c>
      <c r="P129" s="93">
        <f>IF(TrRoad_act!P71=0,0,TrRoad_ene!P74/TrRoad_tech!P102)</f>
        <v>1.1735649695906278</v>
      </c>
      <c r="Q129" s="93">
        <f>IF(TrRoad_act!Q71=0,0,TrRoad_ene!Q74/TrRoad_tech!Q102)</f>
        <v>1.2473475780927985</v>
      </c>
      <c r="R129" s="93">
        <f>IF(TrRoad_act!R71=0,0,TrRoad_ene!R74/TrRoad_tech!R102)</f>
        <v>1.6373047248907733</v>
      </c>
      <c r="S129" s="93">
        <f>IF(TrRoad_act!S71=0,0,TrRoad_ene!S74/TrRoad_tech!S102)</f>
        <v>1.1337648251992334</v>
      </c>
      <c r="T129" s="93">
        <f>IF(TrRoad_act!T71=0,0,TrRoad_ene!T74/TrRoad_tech!T102)</f>
        <v>1.224326100393915</v>
      </c>
      <c r="U129" s="93">
        <f>IF(TrRoad_act!U71=0,0,TrRoad_ene!U74/TrRoad_tech!U102)</f>
        <v>1.3766103309439923</v>
      </c>
      <c r="V129" s="93">
        <f>IF(TrRoad_act!V71=0,0,TrRoad_ene!V74/TrRoad_tech!V102)</f>
        <v>1.2310508872069994</v>
      </c>
      <c r="W129" s="93">
        <f>IF(TrRoad_act!W71=0,0,TrRoad_ene!W74/TrRoad_tech!W102)</f>
        <v>1.323912596405673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0</v>
      </c>
      <c r="K130" s="93">
        <f>IF(TrRoad_act!K72=0,0,TrRoad_ene!K75/TrRoad_tech!K103)</f>
        <v>0</v>
      </c>
      <c r="L130" s="93">
        <f>IF(TrRoad_act!L72=0,0,TrRoad_ene!L75/TrRoad_tech!L103)</f>
        <v>0</v>
      </c>
      <c r="M130" s="93">
        <f>IF(TrRoad_act!M72=0,0,TrRoad_ene!M75/TrRoad_tech!M103)</f>
        <v>0</v>
      </c>
      <c r="N130" s="93">
        <f>IF(TrRoad_act!N72=0,0,TrRoad_ene!N75/TrRoad_tech!N103)</f>
        <v>0</v>
      </c>
      <c r="O130" s="93">
        <f>IF(TrRoad_act!O72=0,0,TrRoad_ene!O75/TrRoad_tech!O103)</f>
        <v>0</v>
      </c>
      <c r="P130" s="93">
        <f>IF(TrRoad_act!P72=0,0,TrRoad_ene!P75/TrRoad_tech!P103)</f>
        <v>0</v>
      </c>
      <c r="Q130" s="93">
        <f>IF(TrRoad_act!Q72=0,0,TrRoad_ene!Q75/TrRoad_tech!Q103)</f>
        <v>0</v>
      </c>
      <c r="R130" s="93">
        <f>IF(TrRoad_act!R72=0,0,TrRoad_ene!R75/TrRoad_tech!R103)</f>
        <v>0</v>
      </c>
      <c r="S130" s="93">
        <f>IF(TrRoad_act!S72=0,0,TrRoad_ene!S75/TrRoad_tech!S103)</f>
        <v>0</v>
      </c>
      <c r="T130" s="93">
        <f>IF(TrRoad_act!T72=0,0,TrRoad_ene!T75/TrRoad_tech!T103)</f>
        <v>0</v>
      </c>
      <c r="U130" s="93">
        <f>IF(TrRoad_act!U72=0,0,TrRoad_ene!U75/TrRoad_tech!U103)</f>
        <v>1.3477504606298742</v>
      </c>
      <c r="V130" s="93">
        <f>IF(TrRoad_act!V72=0,0,TrRoad_ene!V75/TrRoad_tech!V103)</f>
        <v>1.3477504606298742</v>
      </c>
      <c r="W130" s="93">
        <f>IF(TrRoad_act!W72=0,0,TrRoad_ene!W75/TrRoad_tech!W103)</f>
        <v>1.3477504606298742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1.0936700355962228</v>
      </c>
      <c r="C132" s="150">
        <f>IF(TrRoad_act!C74=0,0,TrRoad_ene!C77/TrRoad_tech!C105)</f>
        <v>1.0792936662408594</v>
      </c>
      <c r="D132" s="150">
        <f>IF(TrRoad_act!D74=0,0,TrRoad_ene!D77/TrRoad_tech!D105)</f>
        <v>1.068394258210789</v>
      </c>
      <c r="E132" s="150">
        <f>IF(TrRoad_act!E74=0,0,TrRoad_ene!E77/TrRoad_tech!E105)</f>
        <v>1.0575935494419928</v>
      </c>
      <c r="F132" s="150">
        <f>IF(TrRoad_act!F74=0,0,TrRoad_ene!F77/TrRoad_tech!F105)</f>
        <v>1.0510843034173987</v>
      </c>
      <c r="G132" s="150">
        <f>IF(TrRoad_act!G74=0,0,TrRoad_ene!G77/TrRoad_tech!G105)</f>
        <v>1.0477175248570383</v>
      </c>
      <c r="H132" s="150">
        <f>IF(TrRoad_act!H74=0,0,TrRoad_ene!H77/TrRoad_tech!H105)</f>
        <v>1.0427134901168849</v>
      </c>
      <c r="I132" s="150">
        <f>IF(TrRoad_act!I74=0,0,TrRoad_ene!I77/TrRoad_tech!I105)</f>
        <v>1.0440793298323663</v>
      </c>
      <c r="J132" s="150">
        <f>IF(TrRoad_act!J74=0,0,TrRoad_ene!J77/TrRoad_tech!J105)</f>
        <v>1.048487049581347</v>
      </c>
      <c r="K132" s="150">
        <f>IF(TrRoad_act!K74=0,0,TrRoad_ene!K77/TrRoad_tech!K105)</f>
        <v>1.0476163562878715</v>
      </c>
      <c r="L132" s="150">
        <f>IF(TrRoad_act!L74=0,0,TrRoad_ene!L77/TrRoad_tech!L105)</f>
        <v>1.0565005208402203</v>
      </c>
      <c r="M132" s="150">
        <f>IF(TrRoad_act!M74=0,0,TrRoad_ene!M77/TrRoad_tech!M105)</f>
        <v>1.0639794521434425</v>
      </c>
      <c r="N132" s="150">
        <f>IF(TrRoad_act!N74=0,0,TrRoad_ene!N77/TrRoad_tech!N105)</f>
        <v>1.0689110109142184</v>
      </c>
      <c r="O132" s="150">
        <f>IF(TrRoad_act!O74=0,0,TrRoad_ene!O77/TrRoad_tech!O105)</f>
        <v>1.0733703482170069</v>
      </c>
      <c r="P132" s="150">
        <f>IF(TrRoad_act!P74=0,0,TrRoad_ene!P77/TrRoad_tech!P105)</f>
        <v>1.0845269567265217</v>
      </c>
      <c r="Q132" s="150">
        <f>IF(TrRoad_act!Q74=0,0,TrRoad_ene!Q77/TrRoad_tech!Q105)</f>
        <v>1.1009497447358318</v>
      </c>
      <c r="R132" s="150">
        <f>IF(TrRoad_act!R74=0,0,TrRoad_ene!R77/TrRoad_tech!R105)</f>
        <v>1.1182596258631461</v>
      </c>
      <c r="S132" s="150">
        <f>IF(TrRoad_act!S74=0,0,TrRoad_ene!S77/TrRoad_tech!S105)</f>
        <v>1.1256378684370609</v>
      </c>
      <c r="T132" s="150">
        <f>IF(TrRoad_act!T74=0,0,TrRoad_ene!T77/TrRoad_tech!T105)</f>
        <v>1.1419085722960689</v>
      </c>
      <c r="U132" s="150">
        <f>IF(TrRoad_act!U74=0,0,TrRoad_ene!U77/TrRoad_tech!U105)</f>
        <v>1.1518946990763479</v>
      </c>
      <c r="V132" s="150">
        <f>IF(TrRoad_act!V74=0,0,TrRoad_ene!V77/TrRoad_tech!V105)</f>
        <v>1.1626710346052864</v>
      </c>
      <c r="W132" s="150">
        <f>IF(TrRoad_act!W74=0,0,TrRoad_ene!W77/TrRoad_tech!W105)</f>
        <v>1.1772294174836102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1.1000016168765701</v>
      </c>
      <c r="D133" s="91">
        <f>IF(TrRoad_act!D75=0,0,TrRoad_ene!D78/TrRoad_tech!D106)</f>
        <v>1.1000056414978492</v>
      </c>
      <c r="E133" s="91">
        <f>IF(TrRoad_act!E75=0,0,TrRoad_ene!E78/TrRoad_tech!E106)</f>
        <v>1.1000110869244293</v>
      </c>
      <c r="F133" s="91">
        <f>IF(TrRoad_act!F75=0,0,TrRoad_ene!F78/TrRoad_tech!F106)</f>
        <v>1.1000177126911854</v>
      </c>
      <c r="G133" s="91">
        <f>IF(TrRoad_act!G75=0,0,TrRoad_ene!G78/TrRoad_tech!G106)</f>
        <v>1.100028496160248</v>
      </c>
      <c r="H133" s="91">
        <f>IF(TrRoad_act!H75=0,0,TrRoad_ene!H78/TrRoad_tech!H106)</f>
        <v>1.1003096849427203</v>
      </c>
      <c r="I133" s="91">
        <f>IF(TrRoad_act!I75=0,0,TrRoad_ene!I78/TrRoad_tech!I106)</f>
        <v>1.1016595917955732</v>
      </c>
      <c r="J133" s="91">
        <f>IF(TrRoad_act!J75=0,0,TrRoad_ene!J78/TrRoad_tech!J106)</f>
        <v>1.1038676735643451</v>
      </c>
      <c r="K133" s="91">
        <f>IF(TrRoad_act!K75=0,0,TrRoad_ene!K78/TrRoad_tech!K106)</f>
        <v>1.1043803606427447</v>
      </c>
      <c r="L133" s="91">
        <f>IF(TrRoad_act!L75=0,0,TrRoad_ene!L78/TrRoad_tech!L106)</f>
        <v>1.1063145745056784</v>
      </c>
      <c r="M133" s="91">
        <f>IF(TrRoad_act!M75=0,0,TrRoad_ene!M78/TrRoad_tech!M106)</f>
        <v>1.106951764331048</v>
      </c>
      <c r="N133" s="91">
        <f>IF(TrRoad_act!N75=0,0,TrRoad_ene!N78/TrRoad_tech!N106)</f>
        <v>1.1075161627710912</v>
      </c>
      <c r="O133" s="91">
        <f>IF(TrRoad_act!O75=0,0,TrRoad_ene!O78/TrRoad_tech!O106)</f>
        <v>1.1081020047604559</v>
      </c>
      <c r="P133" s="91">
        <f>IF(TrRoad_act!P75=0,0,TrRoad_ene!P78/TrRoad_tech!P106)</f>
        <v>1.1130672832932984</v>
      </c>
      <c r="Q133" s="91">
        <f>IF(TrRoad_act!Q75=0,0,TrRoad_ene!Q78/TrRoad_tech!Q106)</f>
        <v>1.123998583712531</v>
      </c>
      <c r="R133" s="91">
        <f>IF(TrRoad_act!R75=0,0,TrRoad_ene!R78/TrRoad_tech!R106)</f>
        <v>1.1411843359079297</v>
      </c>
      <c r="S133" s="91">
        <f>IF(TrRoad_act!S75=0,0,TrRoad_ene!S78/TrRoad_tech!S106)</f>
        <v>1.1442828040077451</v>
      </c>
      <c r="T133" s="91">
        <f>IF(TrRoad_act!T75=0,0,TrRoad_ene!T78/TrRoad_tech!T106)</f>
        <v>1.1582609792351146</v>
      </c>
      <c r="U133" s="91">
        <f>IF(TrRoad_act!U75=0,0,TrRoad_ene!U78/TrRoad_tech!U106)</f>
        <v>1.172428900649255</v>
      </c>
      <c r="V133" s="91">
        <f>IF(TrRoad_act!V75=0,0,TrRoad_ene!V78/TrRoad_tech!V106)</f>
        <v>1.1875434450654119</v>
      </c>
      <c r="W133" s="91">
        <f>IF(TrRoad_act!W75=0,0,TrRoad_ene!W78/TrRoad_tech!W106)</f>
        <v>1.202738999657224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1.1000000000067305</v>
      </c>
      <c r="C134" s="91">
        <f>IF(TrRoad_act!C76=0,0,TrRoad_ene!C79/TrRoad_tech!C107)</f>
        <v>1.1000535702076477</v>
      </c>
      <c r="D134" s="91">
        <f>IF(TrRoad_act!D76=0,0,TrRoad_ene!D79/TrRoad_tech!D107)</f>
        <v>1.1001566387665938</v>
      </c>
      <c r="E134" s="91">
        <f>IF(TrRoad_act!E76=0,0,TrRoad_ene!E79/TrRoad_tech!E107)</f>
        <v>1.1004272374076054</v>
      </c>
      <c r="F134" s="91">
        <f>IF(TrRoad_act!F76=0,0,TrRoad_ene!F79/TrRoad_tech!F107)</f>
        <v>1.1006490575537426</v>
      </c>
      <c r="G134" s="91">
        <f>IF(TrRoad_act!G76=0,0,TrRoad_ene!G79/TrRoad_tech!G107)</f>
        <v>1.1009204249313693</v>
      </c>
      <c r="H134" s="91">
        <f>IF(TrRoad_act!H76=0,0,TrRoad_ene!H79/TrRoad_tech!H107)</f>
        <v>1.1023214941796826</v>
      </c>
      <c r="I134" s="91">
        <f>IF(TrRoad_act!I76=0,0,TrRoad_ene!I79/TrRoad_tech!I107)</f>
        <v>1.1044095360841977</v>
      </c>
      <c r="J134" s="91">
        <f>IF(TrRoad_act!J76=0,0,TrRoad_ene!J79/TrRoad_tech!J107)</f>
        <v>1.1056521671865611</v>
      </c>
      <c r="K134" s="91">
        <f>IF(TrRoad_act!K76=0,0,TrRoad_ene!K79/TrRoad_tech!K107)</f>
        <v>1.1106036689747878</v>
      </c>
      <c r="L134" s="91">
        <f>IF(TrRoad_act!L76=0,0,TrRoad_ene!L79/TrRoad_tech!L107)</f>
        <v>1.1156514553899266</v>
      </c>
      <c r="M134" s="91">
        <f>IF(TrRoad_act!M76=0,0,TrRoad_ene!M79/TrRoad_tech!M107)</f>
        <v>1.1172178724820219</v>
      </c>
      <c r="N134" s="91">
        <f>IF(TrRoad_act!N76=0,0,TrRoad_ene!N79/TrRoad_tech!N107)</f>
        <v>1.1188164913614496</v>
      </c>
      <c r="O134" s="91">
        <f>IF(TrRoad_act!O76=0,0,TrRoad_ene!O79/TrRoad_tech!O107)</f>
        <v>1.1286584252844927</v>
      </c>
      <c r="P134" s="91">
        <f>IF(TrRoad_act!P76=0,0,TrRoad_ene!P79/TrRoad_tech!P107)</f>
        <v>1.135399254450002</v>
      </c>
      <c r="Q134" s="91">
        <f>IF(TrRoad_act!Q76=0,0,TrRoad_ene!Q79/TrRoad_tech!Q107)</f>
        <v>1.1526731388892044</v>
      </c>
      <c r="R134" s="91">
        <f>IF(TrRoad_act!R76=0,0,TrRoad_ene!R79/TrRoad_tech!R107)</f>
        <v>1.1640708947266725</v>
      </c>
      <c r="S134" s="91">
        <f>IF(TrRoad_act!S76=0,0,TrRoad_ene!S79/TrRoad_tech!S107)</f>
        <v>1.174439728907638</v>
      </c>
      <c r="T134" s="91">
        <f>IF(TrRoad_act!T76=0,0,TrRoad_ene!T79/TrRoad_tech!T107)</f>
        <v>1.1821678863592942</v>
      </c>
      <c r="U134" s="91">
        <f>IF(TrRoad_act!U76=0,0,TrRoad_ene!U79/TrRoad_tech!U107)</f>
        <v>1.1909020522775815</v>
      </c>
      <c r="V134" s="91">
        <f>IF(TrRoad_act!V76=0,0,TrRoad_ene!V79/TrRoad_tech!V107)</f>
        <v>1.1962338754784205</v>
      </c>
      <c r="W134" s="91">
        <f>IF(TrRoad_act!W76=0,0,TrRoad_ene!W79/TrRoad_tech!W107)</f>
        <v>1.2089076675117056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0</v>
      </c>
      <c r="O135" s="91">
        <f>IF(TrRoad_act!O77=0,0,TrRoad_ene!O80/TrRoad_tech!O108)</f>
        <v>0</v>
      </c>
      <c r="P135" s="91">
        <f>IF(TrRoad_act!P77=0,0,TrRoad_ene!P80/TrRoad_tech!P108)</f>
        <v>0</v>
      </c>
      <c r="Q135" s="91">
        <f>IF(TrRoad_act!Q77=0,0,TrRoad_ene!Q80/TrRoad_tech!Q108)</f>
        <v>0</v>
      </c>
      <c r="R135" s="91">
        <f>IF(TrRoad_act!R77=0,0,TrRoad_ene!R80/TrRoad_tech!R108)</f>
        <v>0</v>
      </c>
      <c r="S135" s="91">
        <f>IF(TrRoad_act!S77=0,0,TrRoad_ene!S80/TrRoad_tech!S108)</f>
        <v>0</v>
      </c>
      <c r="T135" s="91">
        <f>IF(TrRoad_act!T77=0,0,TrRoad_ene!T80/TrRoad_tech!T108)</f>
        <v>0</v>
      </c>
      <c r="U135" s="91">
        <f>IF(TrRoad_act!U77=0,0,TrRoad_ene!U80/TrRoad_tech!U108)</f>
        <v>0</v>
      </c>
      <c r="V135" s="91">
        <f>IF(TrRoad_act!V77=0,0,TrRoad_ene!V80/TrRoad_tech!V108)</f>
        <v>0</v>
      </c>
      <c r="W135" s="91">
        <f>IF(TrRoad_act!W77=0,0,TrRoad_ene!W80/TrRoad_tech!W108)</f>
        <v>0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0</v>
      </c>
      <c r="P136" s="91">
        <f>IF(TrRoad_act!P78=0,0,TrRoad_ene!P81/TrRoad_tech!P109)</f>
        <v>0</v>
      </c>
      <c r="Q136" s="91">
        <f>IF(TrRoad_act!Q78=0,0,TrRoad_ene!Q81/TrRoad_tech!Q109)</f>
        <v>0</v>
      </c>
      <c r="R136" s="91">
        <f>IF(TrRoad_act!R78=0,0,TrRoad_ene!R81/TrRoad_tech!R109)</f>
        <v>0</v>
      </c>
      <c r="S136" s="91">
        <f>IF(TrRoad_act!S78=0,0,TrRoad_ene!S81/TrRoad_tech!S109)</f>
        <v>0</v>
      </c>
      <c r="T136" s="91">
        <f>IF(TrRoad_act!T78=0,0,TrRoad_ene!T81/TrRoad_tech!T109)</f>
        <v>0</v>
      </c>
      <c r="U136" s="91">
        <f>IF(TrRoad_act!U78=0,0,TrRoad_ene!U81/TrRoad_tech!U109)</f>
        <v>0</v>
      </c>
      <c r="V136" s="91">
        <f>IF(TrRoad_act!V78=0,0,TrRoad_ene!V81/TrRoad_tech!V109)</f>
        <v>0</v>
      </c>
      <c r="W136" s="91">
        <f>IF(TrRoad_act!W78=0,0,TrRoad_ene!W81/TrRoad_tech!W109)</f>
        <v>0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0</v>
      </c>
      <c r="N137" s="91">
        <f>IF(TrRoad_act!N79=0,0,TrRoad_ene!N82/TrRoad_tech!N110)</f>
        <v>0</v>
      </c>
      <c r="O137" s="91">
        <f>IF(TrRoad_act!O79=0,0,TrRoad_ene!O82/TrRoad_tech!O110)</f>
        <v>0</v>
      </c>
      <c r="P137" s="91">
        <f>IF(TrRoad_act!P79=0,0,TrRoad_ene!P82/TrRoad_tech!P110)</f>
        <v>0</v>
      </c>
      <c r="Q137" s="91">
        <f>IF(TrRoad_act!Q79=0,0,TrRoad_ene!Q82/TrRoad_tech!Q110)</f>
        <v>0</v>
      </c>
      <c r="R137" s="91">
        <f>IF(TrRoad_act!R79=0,0,TrRoad_ene!R82/TrRoad_tech!R110)</f>
        <v>0</v>
      </c>
      <c r="S137" s="91">
        <f>IF(TrRoad_act!S79=0,0,TrRoad_ene!S82/TrRoad_tech!S110)</f>
        <v>0</v>
      </c>
      <c r="T137" s="91">
        <f>IF(TrRoad_act!T79=0,0,TrRoad_ene!T82/TrRoad_tech!T110)</f>
        <v>0</v>
      </c>
      <c r="U137" s="91">
        <f>IF(TrRoad_act!U79=0,0,TrRoad_ene!U82/TrRoad_tech!U110)</f>
        <v>0</v>
      </c>
      <c r="V137" s="91">
        <f>IF(TrRoad_act!V79=0,0,TrRoad_ene!V82/TrRoad_tech!V110)</f>
        <v>0</v>
      </c>
      <c r="W137" s="91">
        <f>IF(TrRoad_act!W79=0,0,TrRoad_ene!W82/TrRoad_tech!W110)</f>
        <v>0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1.3504543754378977</v>
      </c>
      <c r="C138" s="151">
        <f>IF(TrRoad_act!C80=0,0,TrRoad_ene!C83/TrRoad_tech!C111)</f>
        <v>1.3461836341658169</v>
      </c>
      <c r="D138" s="151">
        <f>IF(TrRoad_act!D80=0,0,TrRoad_ene!D83/TrRoad_tech!D111)</f>
        <v>1.3483467525941966</v>
      </c>
      <c r="E138" s="151">
        <f>IF(TrRoad_act!E80=0,0,TrRoad_ene!E83/TrRoad_tech!E111)</f>
        <v>2.0443710721041071</v>
      </c>
      <c r="F138" s="151">
        <f>IF(TrRoad_act!F80=0,0,TrRoad_ene!F83/TrRoad_tech!F111)</f>
        <v>1.3574163649423732</v>
      </c>
      <c r="G138" s="151">
        <f>IF(TrRoad_act!G80=0,0,TrRoad_ene!G83/TrRoad_tech!G111)</f>
        <v>1.6436979189437879</v>
      </c>
      <c r="H138" s="151">
        <f>IF(TrRoad_act!H80=0,0,TrRoad_ene!H83/TrRoad_tech!H111)</f>
        <v>1.5567159834751803</v>
      </c>
      <c r="I138" s="151">
        <f>IF(TrRoad_act!I80=0,0,TrRoad_ene!I83/TrRoad_tech!I111)</f>
        <v>1.6535829762245295</v>
      </c>
      <c r="J138" s="151">
        <f>IF(TrRoad_act!J80=0,0,TrRoad_ene!J83/TrRoad_tech!J111)</f>
        <v>1.5309644221069878</v>
      </c>
      <c r="K138" s="151">
        <f>IF(TrRoad_act!K80=0,0,TrRoad_ene!K83/TrRoad_tech!K111)</f>
        <v>2.0153802185688128</v>
      </c>
      <c r="L138" s="151">
        <f>IF(TrRoad_act!L80=0,0,TrRoad_ene!L83/TrRoad_tech!L111)</f>
        <v>1.6893978113846484</v>
      </c>
      <c r="M138" s="151">
        <f>IF(TrRoad_act!M80=0,0,TrRoad_ene!M83/TrRoad_tech!M111)</f>
        <v>1.8901668354894425</v>
      </c>
      <c r="N138" s="151">
        <f>IF(TrRoad_act!N80=0,0,TrRoad_ene!N83/TrRoad_tech!N111)</f>
        <v>1.3835646996652473</v>
      </c>
      <c r="O138" s="151">
        <f>IF(TrRoad_act!O80=0,0,TrRoad_ene!O83/TrRoad_tech!O111)</f>
        <v>1.8821011920568635</v>
      </c>
      <c r="P138" s="151">
        <f>IF(TrRoad_act!P80=0,0,TrRoad_ene!P83/TrRoad_tech!P111)</f>
        <v>1.7814864181078995</v>
      </c>
      <c r="Q138" s="151">
        <f>IF(TrRoad_act!Q80=0,0,TrRoad_ene!Q83/TrRoad_tech!Q111)</f>
        <v>1.4289795094871882</v>
      </c>
      <c r="R138" s="151">
        <f>IF(TrRoad_act!R80=0,0,TrRoad_ene!R83/TrRoad_tech!R111)</f>
        <v>1.4648193997787979</v>
      </c>
      <c r="S138" s="151">
        <f>IF(TrRoad_act!S80=0,0,TrRoad_ene!S83/TrRoad_tech!S111)</f>
        <v>1.4890809646421499</v>
      </c>
      <c r="T138" s="151">
        <f>IF(TrRoad_act!T80=0,0,TrRoad_ene!T83/TrRoad_tech!T111)</f>
        <v>1.5636768414584461</v>
      </c>
      <c r="U138" s="151">
        <f>IF(TrRoad_act!U80=0,0,TrRoad_ene!U83/TrRoad_tech!U111)</f>
        <v>1.7234515431973587</v>
      </c>
      <c r="V138" s="151">
        <f>IF(TrRoad_act!V80=0,0,TrRoad_ene!V83/TrRoad_tech!V111)</f>
        <v>1.7788162633116866</v>
      </c>
      <c r="W138" s="151">
        <f>IF(TrRoad_act!W80=0,0,TrRoad_ene!W83/TrRoad_tech!W111)</f>
        <v>1.7133194387359449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1.2915661630063546</v>
      </c>
      <c r="C139" s="93">
        <f>IF(TrRoad_act!C81=0,0,TrRoad_ene!C84/TrRoad_tech!C112)</f>
        <v>1.2880962620152414</v>
      </c>
      <c r="D139" s="93">
        <f>IF(TrRoad_act!D81=0,0,TrRoad_ene!D84/TrRoad_tech!D112)</f>
        <v>1.2898915505979622</v>
      </c>
      <c r="E139" s="93">
        <f>IF(TrRoad_act!E81=0,0,TrRoad_ene!E84/TrRoad_tech!E112)</f>
        <v>1.8337221256791012</v>
      </c>
      <c r="F139" s="93">
        <f>IF(TrRoad_act!F81=0,0,TrRoad_ene!F84/TrRoad_tech!F112)</f>
        <v>1.2977573668719766</v>
      </c>
      <c r="G139" s="93">
        <f>IF(TrRoad_act!G81=0,0,TrRoad_ene!G84/TrRoad_tech!G112)</f>
        <v>1.5210990714398105</v>
      </c>
      <c r="H139" s="93">
        <f>IF(TrRoad_act!H81=0,0,TrRoad_ene!H84/TrRoad_tech!H112)</f>
        <v>1.4532140353399035</v>
      </c>
      <c r="I139" s="93">
        <f>IF(TrRoad_act!I81=0,0,TrRoad_ene!I84/TrRoad_tech!I112)</f>
        <v>1.5324566133452739</v>
      </c>
      <c r="J139" s="93">
        <f>IF(TrRoad_act!J81=0,0,TrRoad_ene!J84/TrRoad_tech!J112)</f>
        <v>1.439067565079893</v>
      </c>
      <c r="K139" s="93">
        <f>IF(TrRoad_act!K81=0,0,TrRoad_ene!K84/TrRoad_tech!K112)</f>
        <v>1.8255667252923424</v>
      </c>
      <c r="L139" s="93">
        <f>IF(TrRoad_act!L81=0,0,TrRoad_ene!L84/TrRoad_tech!L112)</f>
        <v>1.5656358446735139</v>
      </c>
      <c r="M139" s="93">
        <f>IF(TrRoad_act!M81=0,0,TrRoad_ene!M84/TrRoad_tech!M112)</f>
        <v>1.7239141907097399</v>
      </c>
      <c r="N139" s="93">
        <f>IF(TrRoad_act!N81=0,0,TrRoad_ene!N84/TrRoad_tech!N112)</f>
        <v>1.3214944382906604</v>
      </c>
      <c r="O139" s="93">
        <f>IF(TrRoad_act!O81=0,0,TrRoad_ene!O84/TrRoad_tech!O112)</f>
        <v>1.7114057994377276</v>
      </c>
      <c r="P139" s="93">
        <f>IF(TrRoad_act!P81=0,0,TrRoad_ene!P84/TrRoad_tech!P112)</f>
        <v>1.6356732656920308</v>
      </c>
      <c r="Q139" s="93">
        <f>IF(TrRoad_act!Q81=0,0,TrRoad_ene!Q84/TrRoad_tech!Q112)</f>
        <v>1.357619187872052</v>
      </c>
      <c r="R139" s="93">
        <f>IF(TrRoad_act!R81=0,0,TrRoad_ene!R84/TrRoad_tech!R112)</f>
        <v>1.3870336693099088</v>
      </c>
      <c r="S139" s="93">
        <f>IF(TrRoad_act!S81=0,0,TrRoad_ene!S84/TrRoad_tech!S112)</f>
        <v>1.3986368317027311</v>
      </c>
      <c r="T139" s="93">
        <f>IF(TrRoad_act!T81=0,0,TrRoad_ene!T84/TrRoad_tech!T112)</f>
        <v>1.4597267872733841</v>
      </c>
      <c r="U139" s="93">
        <f>IF(TrRoad_act!U81=0,0,TrRoad_ene!U84/TrRoad_tech!U112)</f>
        <v>1.587336654308336</v>
      </c>
      <c r="V139" s="93">
        <f>IF(TrRoad_act!V81=0,0,TrRoad_ene!V84/TrRoad_tech!V112)</f>
        <v>1.6263975885077893</v>
      </c>
      <c r="W139" s="93">
        <f>IF(TrRoad_act!W81=0,0,TrRoad_ene!W84/TrRoad_tech!W112)</f>
        <v>1.5852582836479976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2.1974957118504439</v>
      </c>
      <c r="C140" s="94">
        <f>IF(TrRoad_act!C82=0,0,TrRoad_ene!C85/TrRoad_tech!C113)</f>
        <v>2.1418263446543477</v>
      </c>
      <c r="D140" s="94">
        <f>IF(TrRoad_act!D82=0,0,TrRoad_ene!D85/TrRoad_tech!D113)</f>
        <v>2.1288446265489238</v>
      </c>
      <c r="E140" s="94">
        <f>IF(TrRoad_act!E82=0,0,TrRoad_ene!E85/TrRoad_tech!E113)</f>
        <v>3.9365931272992691</v>
      </c>
      <c r="F140" s="94">
        <f>IF(TrRoad_act!F82=0,0,TrRoad_ene!F85/TrRoad_tech!F113)</f>
        <v>2.0888804104923433</v>
      </c>
      <c r="G140" s="94">
        <f>IF(TrRoad_act!G82=0,0,TrRoad_ene!G85/TrRoad_tech!G113)</f>
        <v>2.8036818723059143</v>
      </c>
      <c r="H140" s="94">
        <f>IF(TrRoad_act!H82=0,0,TrRoad_ene!H85/TrRoad_tech!H113)</f>
        <v>2.4753658377432788</v>
      </c>
      <c r="I140" s="94">
        <f>IF(TrRoad_act!I82=0,0,TrRoad_ene!I85/TrRoad_tech!I113)</f>
        <v>2.9724581141700455</v>
      </c>
      <c r="J140" s="94">
        <f>IF(TrRoad_act!J82=0,0,TrRoad_ene!J85/TrRoad_tech!J113)</f>
        <v>2.7681661705716101</v>
      </c>
      <c r="K140" s="94">
        <f>IF(TrRoad_act!K82=0,0,TrRoad_ene!K85/TrRoad_tech!K113)</f>
        <v>5.0928558416521232</v>
      </c>
      <c r="L140" s="94">
        <f>IF(TrRoad_act!L82=0,0,TrRoad_ene!L85/TrRoad_tech!L113)</f>
        <v>3.3138981493713584</v>
      </c>
      <c r="M140" s="94">
        <f>IF(TrRoad_act!M82=0,0,TrRoad_ene!M85/TrRoad_tech!M113)</f>
        <v>3.8047289825798516</v>
      </c>
      <c r="N140" s="94">
        <f>IF(TrRoad_act!N82=0,0,TrRoad_ene!N85/TrRoad_tech!N113)</f>
        <v>1.9265639459663677</v>
      </c>
      <c r="O140" s="94">
        <f>IF(TrRoad_act!O82=0,0,TrRoad_ene!O85/TrRoad_tech!O113)</f>
        <v>3.1109278654516102</v>
      </c>
      <c r="P140" s="94">
        <f>IF(TrRoad_act!P82=0,0,TrRoad_ene!P85/TrRoad_tech!P113)</f>
        <v>3.0174104614856692</v>
      </c>
      <c r="Q140" s="94">
        <f>IF(TrRoad_act!Q82=0,0,TrRoad_ene!Q85/TrRoad_tech!Q113)</f>
        <v>1.9709850334594339</v>
      </c>
      <c r="R140" s="94">
        <f>IF(TrRoad_act!R82=0,0,TrRoad_ene!R85/TrRoad_tech!R113)</f>
        <v>2.0715707440773965</v>
      </c>
      <c r="S140" s="94">
        <f>IF(TrRoad_act!S82=0,0,TrRoad_ene!S85/TrRoad_tech!S113)</f>
        <v>1.9407714437562151</v>
      </c>
      <c r="T140" s="94">
        <f>IF(TrRoad_act!T82=0,0,TrRoad_ene!T85/TrRoad_tech!T113)</f>
        <v>2.121342500448693</v>
      </c>
      <c r="U140" s="94">
        <f>IF(TrRoad_act!U82=0,0,TrRoad_ene!U85/TrRoad_tech!U113)</f>
        <v>2.5021416766566453</v>
      </c>
      <c r="V140" s="94">
        <f>IF(TrRoad_act!V82=0,0,TrRoad_ene!V85/TrRoad_tech!V113)</f>
        <v>2.5051257985710498</v>
      </c>
      <c r="W140" s="94">
        <f>IF(TrRoad_act!W82=0,0,TrRoad_ene!W85/TrRoad_tech!W113)</f>
        <v>2.6183371663832098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3.6861690991147427</v>
      </c>
      <c r="C144" s="141">
        <v>3.6661012617550752</v>
      </c>
      <c r="D144" s="141">
        <v>3.6439317728490392</v>
      </c>
      <c r="E144" s="141">
        <v>3.5983216087464829</v>
      </c>
      <c r="F144" s="141">
        <v>3.5933385584877873</v>
      </c>
      <c r="G144" s="141">
        <v>3.5449317845461659</v>
      </c>
      <c r="H144" s="141">
        <v>3.4734402675693605</v>
      </c>
      <c r="I144" s="141">
        <v>3.422491121046773</v>
      </c>
      <c r="J144" s="141">
        <v>3.2563216491547395</v>
      </c>
      <c r="K144" s="141">
        <v>3.0770843821965337</v>
      </c>
      <c r="L144" s="141">
        <v>2.9651691411823466</v>
      </c>
      <c r="M144" s="141">
        <v>2.7885427829520069</v>
      </c>
      <c r="N144" s="141">
        <v>2.6785041936544745</v>
      </c>
      <c r="O144" s="141">
        <v>2.5131799575839464</v>
      </c>
      <c r="P144" s="141">
        <v>2.4346952183895416</v>
      </c>
      <c r="Q144" s="141">
        <v>2.3445579804973122</v>
      </c>
      <c r="R144" s="141">
        <v>2.2688337934071776</v>
      </c>
      <c r="S144" s="141">
        <v>2.2082544437350697</v>
      </c>
      <c r="T144" s="141">
        <v>2.1597909639973834</v>
      </c>
      <c r="U144" s="141">
        <v>2.1210201802072346</v>
      </c>
      <c r="V144" s="141">
        <v>2.0900035531751153</v>
      </c>
      <c r="W144" s="141">
        <v>2.0651902515494198</v>
      </c>
      <c r="DA144" s="174" t="s">
        <v>885</v>
      </c>
    </row>
    <row r="145" spans="1:105" ht="11.45" customHeight="1" x14ac:dyDescent="0.25">
      <c r="A145" s="109" t="s">
        <v>20</v>
      </c>
      <c r="B145" s="130">
        <v>7.2424212089024405</v>
      </c>
      <c r="C145" s="130">
        <v>7.2452792390413885</v>
      </c>
      <c r="D145" s="130">
        <v>7.2008369821944553</v>
      </c>
      <c r="E145" s="130">
        <v>7.1120705095051866</v>
      </c>
      <c r="F145" s="130">
        <v>7.0992589252105676</v>
      </c>
      <c r="G145" s="130">
        <v>7.0049366835035025</v>
      </c>
      <c r="H145" s="130">
        <v>6.8807854985009405</v>
      </c>
      <c r="I145" s="130">
        <v>6.7753290281739567</v>
      </c>
      <c r="J145" s="130">
        <v>6.4411751612184229</v>
      </c>
      <c r="K145" s="130">
        <v>6.1272219171112674</v>
      </c>
      <c r="L145" s="130">
        <v>5.9298602858731151</v>
      </c>
      <c r="M145" s="130">
        <v>5.4707470495337667</v>
      </c>
      <c r="N145" s="130">
        <v>5.291780653138435</v>
      </c>
      <c r="O145" s="130">
        <v>5.0266950451645691</v>
      </c>
      <c r="P145" s="130">
        <v>4.6824219058664971</v>
      </c>
      <c r="Q145" s="130">
        <v>4.6058368579409299</v>
      </c>
      <c r="R145" s="130">
        <v>4.5082736010135731</v>
      </c>
      <c r="S145" s="130">
        <v>4.5852314480510703</v>
      </c>
      <c r="T145" s="130">
        <v>4.6385423175362659</v>
      </c>
      <c r="U145" s="130">
        <v>4.7485747390405892</v>
      </c>
      <c r="V145" s="130">
        <v>4.5353485034163521</v>
      </c>
      <c r="W145" s="130">
        <v>4.3351856039115448</v>
      </c>
      <c r="DA145" s="176" t="s">
        <v>886</v>
      </c>
    </row>
    <row r="146" spans="1:105" ht="11.45" customHeight="1" x14ac:dyDescent="0.25">
      <c r="A146" s="111" t="s">
        <v>110</v>
      </c>
      <c r="B146" s="96">
        <v>7.2403303270648181</v>
      </c>
      <c r="C146" s="96">
        <v>7.2429539145175612</v>
      </c>
      <c r="D146" s="96">
        <v>7.1991546370317154</v>
      </c>
      <c r="E146" s="96">
        <v>7.109044655598673</v>
      </c>
      <c r="F146" s="96">
        <v>7.0991998638702016</v>
      </c>
      <c r="G146" s="96">
        <v>7.0035647442222002</v>
      </c>
      <c r="H146" s="96">
        <v>6.8623221200361861</v>
      </c>
      <c r="I146" s="96">
        <v>6.7616641474654973</v>
      </c>
      <c r="J146" s="96">
        <v>6.4333704804385432</v>
      </c>
      <c r="K146" s="96">
        <v>6.0792593493889671</v>
      </c>
      <c r="L146" s="96">
        <v>5.858153363732197</v>
      </c>
      <c r="M146" s="96">
        <v>5.5091887542428459</v>
      </c>
      <c r="N146" s="96">
        <v>5.2917675982319627</v>
      </c>
      <c r="O146" s="96">
        <v>4.9653590807004617</v>
      </c>
      <c r="P146" s="96">
        <v>4.813241722280039</v>
      </c>
      <c r="Q146" s="96">
        <v>4.6367309393549156</v>
      </c>
      <c r="R146" s="96">
        <v>4.605871610037453</v>
      </c>
      <c r="S146" s="96">
        <v>4.626798010469841</v>
      </c>
      <c r="T146" s="96">
        <v>4.6864211895702823</v>
      </c>
      <c r="U146" s="96">
        <v>4.8030843232903662</v>
      </c>
      <c r="V146" s="96">
        <v>4.617031950161202</v>
      </c>
      <c r="W146" s="96">
        <v>4.384767801334494</v>
      </c>
      <c r="DA146" s="171" t="s">
        <v>887</v>
      </c>
    </row>
    <row r="147" spans="1:105" ht="11.45" customHeight="1" x14ac:dyDescent="0.25">
      <c r="A147" s="111" t="s">
        <v>111</v>
      </c>
      <c r="B147" s="96">
        <v>7.1457715328015077</v>
      </c>
      <c r="C147" s="96">
        <v>7.1852620445436939</v>
      </c>
      <c r="D147" s="96">
        <v>7.1812957789035385</v>
      </c>
      <c r="E147" s="96">
        <v>7.1976566246691789</v>
      </c>
      <c r="F147" s="96">
        <v>0</v>
      </c>
      <c r="G147" s="96">
        <v>7.1715040606044065</v>
      </c>
      <c r="H147" s="96">
        <v>7.2174879528699494</v>
      </c>
      <c r="I147" s="96">
        <v>7.1510530033973625</v>
      </c>
      <c r="J147" s="96">
        <v>6.8284220827310422</v>
      </c>
      <c r="K147" s="96">
        <v>6.5600794230143364</v>
      </c>
      <c r="L147" s="96">
        <v>6.3080976090633119</v>
      </c>
      <c r="M147" s="96">
        <v>0</v>
      </c>
      <c r="N147" s="96">
        <v>0</v>
      </c>
      <c r="O147" s="96">
        <v>0</v>
      </c>
      <c r="P147" s="96">
        <v>4.3329101273092308</v>
      </c>
      <c r="Q147" s="96">
        <v>4.3089471026104853</v>
      </c>
      <c r="R147" s="96">
        <v>4.2585749363300964</v>
      </c>
      <c r="S147" s="96">
        <v>4.3645787999620849</v>
      </c>
      <c r="T147" s="96">
        <v>4.4793332757706725</v>
      </c>
      <c r="U147" s="96">
        <v>4.5020811822279434</v>
      </c>
      <c r="V147" s="96">
        <v>4.2974941421681727</v>
      </c>
      <c r="W147" s="96">
        <v>4.0897150122933787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7.9150129529012432</v>
      </c>
      <c r="I148" s="96">
        <v>7.8421574817131301</v>
      </c>
      <c r="J148" s="96">
        <v>7.4883463035365239</v>
      </c>
      <c r="K148" s="96">
        <v>7.1940700066666237</v>
      </c>
      <c r="L148" s="96">
        <v>6.9177357288207029</v>
      </c>
      <c r="M148" s="96">
        <v>5.2938329184849113</v>
      </c>
      <c r="N148" s="96">
        <v>0</v>
      </c>
      <c r="O148" s="96">
        <v>5.1572080308381727</v>
      </c>
      <c r="P148" s="96">
        <v>4.2531502392261089</v>
      </c>
      <c r="Q148" s="96">
        <v>4.3331322637984337</v>
      </c>
      <c r="R148" s="96">
        <v>4.2849161728797265</v>
      </c>
      <c r="S148" s="96">
        <v>4.3845253839637488</v>
      </c>
      <c r="T148" s="96">
        <v>4.3965660578310501</v>
      </c>
      <c r="U148" s="96">
        <v>5.0808308077460245</v>
      </c>
      <c r="V148" s="96">
        <v>4.6873349496626897</v>
      </c>
      <c r="W148" s="96">
        <v>4.4939292612324904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8.7823962806957283</v>
      </c>
      <c r="D149" s="96">
        <v>8.7292877539497749</v>
      </c>
      <c r="E149" s="96">
        <v>8.6200254867683022</v>
      </c>
      <c r="F149" s="96">
        <v>8.6080882491052222</v>
      </c>
      <c r="G149" s="96">
        <v>8.4921265118067151</v>
      </c>
      <c r="H149" s="96">
        <v>8.3208636939057694</v>
      </c>
      <c r="I149" s="96">
        <v>8.1988115292281396</v>
      </c>
      <c r="J149" s="96">
        <v>7.8007411957286443</v>
      </c>
      <c r="K149" s="96">
        <v>7.371366065500454</v>
      </c>
      <c r="L149" s="96">
        <v>7.1032654522714491</v>
      </c>
      <c r="M149" s="96">
        <v>6.1058891387675818</v>
      </c>
      <c r="N149" s="96">
        <v>5.5950378562412117</v>
      </c>
      <c r="O149" s="96">
        <v>0</v>
      </c>
      <c r="P149" s="96">
        <v>4.1020021485300333</v>
      </c>
      <c r="Q149" s="96">
        <v>4.2697926303521943</v>
      </c>
      <c r="R149" s="96">
        <v>4.3630801601542704</v>
      </c>
      <c r="S149" s="96">
        <v>4.3549103898937664</v>
      </c>
      <c r="T149" s="96">
        <v>4.5963074903478667</v>
      </c>
      <c r="U149" s="96">
        <v>4.7551481947760266</v>
      </c>
      <c r="V149" s="96">
        <v>4.503337014227121</v>
      </c>
      <c r="W149" s="96">
        <v>4.3968103715517755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2.5169352771570628</v>
      </c>
      <c r="O150" s="96">
        <v>1.4750416540404268</v>
      </c>
      <c r="P150" s="96">
        <v>1.9487941257352626</v>
      </c>
      <c r="Q150" s="96">
        <v>2.2275686149937552</v>
      </c>
      <c r="R150" s="96">
        <v>3.0041870895838589</v>
      </c>
      <c r="S150" s="96">
        <v>3.3219050324471437</v>
      </c>
      <c r="T150" s="96">
        <v>3.5811228479168169</v>
      </c>
      <c r="U150" s="96">
        <v>3.5546074105893224</v>
      </c>
      <c r="V150" s="96">
        <v>3.0854944615616136</v>
      </c>
      <c r="W150" s="96">
        <v>2.7023515123083293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0</v>
      </c>
      <c r="L151" s="96">
        <v>0</v>
      </c>
      <c r="M151" s="96">
        <v>0</v>
      </c>
      <c r="N151" s="96">
        <v>1.0732538457002374</v>
      </c>
      <c r="O151" s="96">
        <v>1.117565258882228</v>
      </c>
      <c r="P151" s="96">
        <v>1.1092003439380911</v>
      </c>
      <c r="Q151" s="96">
        <v>1.2226999140154771</v>
      </c>
      <c r="R151" s="96">
        <v>1.1639589084491109</v>
      </c>
      <c r="S151" s="96">
        <v>1.1126862029699518</v>
      </c>
      <c r="T151" s="96">
        <v>1.2103975130630336</v>
      </c>
      <c r="U151" s="96">
        <v>1.490177921820226</v>
      </c>
      <c r="V151" s="96">
        <v>1.5323005793383422</v>
      </c>
      <c r="W151" s="96">
        <v>1.4359697221713208</v>
      </c>
      <c r="DA151" s="171" t="s">
        <v>892</v>
      </c>
    </row>
    <row r="152" spans="1:105" ht="11.45" customHeight="1" x14ac:dyDescent="0.25">
      <c r="A152" s="109" t="s">
        <v>21</v>
      </c>
      <c r="B152" s="130">
        <v>48.465514775860754</v>
      </c>
      <c r="C152" s="130">
        <v>47.31392427863684</v>
      </c>
      <c r="D152" s="130">
        <v>47.784215896520756</v>
      </c>
      <c r="E152" s="130">
        <v>48.022882428493354</v>
      </c>
      <c r="F152" s="130">
        <v>48.156415236532105</v>
      </c>
      <c r="G152" s="130">
        <v>47.860748467285795</v>
      </c>
      <c r="H152" s="130">
        <v>47.649568981022142</v>
      </c>
      <c r="I152" s="130">
        <v>47.214034814735818</v>
      </c>
      <c r="J152" s="130">
        <v>46.80029737118133</v>
      </c>
      <c r="K152" s="130">
        <v>46.296447804207567</v>
      </c>
      <c r="L152" s="130">
        <v>45.863686193507448</v>
      </c>
      <c r="M152" s="130">
        <v>45.106409930938682</v>
      </c>
      <c r="N152" s="130">
        <v>44.56097902848844</v>
      </c>
      <c r="O152" s="130">
        <v>43.966703795603287</v>
      </c>
      <c r="P152" s="130">
        <v>43.399889302667347</v>
      </c>
      <c r="Q152" s="130">
        <v>42.852802893218289</v>
      </c>
      <c r="R152" s="130">
        <v>42.512435342583728</v>
      </c>
      <c r="S152" s="130">
        <v>42.499130177845942</v>
      </c>
      <c r="T152" s="130">
        <v>41.546426011663272</v>
      </c>
      <c r="U152" s="130">
        <v>41.455092214315684</v>
      </c>
      <c r="V152" s="130">
        <v>41.162947753294404</v>
      </c>
      <c r="W152" s="130">
        <v>40.926184743089479</v>
      </c>
      <c r="DA152" s="176" t="s">
        <v>893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48.465514775860754</v>
      </c>
      <c r="C154" s="97">
        <v>48.399266629264147</v>
      </c>
      <c r="D154" s="97">
        <v>48.325763779131229</v>
      </c>
      <c r="E154" s="97">
        <v>48.17311042357727</v>
      </c>
      <c r="F154" s="97">
        <v>48.156415236532105</v>
      </c>
      <c r="G154" s="97">
        <v>47.992578100854963</v>
      </c>
      <c r="H154" s="97">
        <v>47.746892447078153</v>
      </c>
      <c r="I154" s="97">
        <v>47.569854479686555</v>
      </c>
      <c r="J154" s="97">
        <v>46.97062892370419</v>
      </c>
      <c r="K154" s="97">
        <v>46.296447804207567</v>
      </c>
      <c r="L154" s="97">
        <v>45.863686193507448</v>
      </c>
      <c r="M154" s="97">
        <v>45.148755415289919</v>
      </c>
      <c r="N154" s="97">
        <v>44.689767985218175</v>
      </c>
      <c r="O154" s="97">
        <v>43.966703795603287</v>
      </c>
      <c r="P154" s="97">
        <v>43.615209253563691</v>
      </c>
      <c r="Q154" s="97">
        <v>43.199999999908329</v>
      </c>
      <c r="R154" s="97">
        <v>42.829692322752265</v>
      </c>
      <c r="S154" s="97">
        <v>42.499130177845942</v>
      </c>
      <c r="T154" s="97">
        <v>42.203806170075666</v>
      </c>
      <c r="U154" s="97">
        <v>41.939769592326648</v>
      </c>
      <c r="V154" s="97">
        <v>41.703549318534662</v>
      </c>
      <c r="W154" s="97">
        <v>41.492088846284844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40.332722191053456</v>
      </c>
      <c r="D156" s="97">
        <v>40.271469815942687</v>
      </c>
      <c r="E156" s="97">
        <v>40.144258686314394</v>
      </c>
      <c r="F156" s="97">
        <v>0</v>
      </c>
      <c r="G156" s="97">
        <v>39.993815084045799</v>
      </c>
      <c r="H156" s="97">
        <v>39.789077039231792</v>
      </c>
      <c r="I156" s="97">
        <v>39.641545399738796</v>
      </c>
      <c r="J156" s="97">
        <v>39.142190769753491</v>
      </c>
      <c r="K156" s="97">
        <v>0</v>
      </c>
      <c r="L156" s="97">
        <v>0</v>
      </c>
      <c r="M156" s="97">
        <v>37.623962846074932</v>
      </c>
      <c r="N156" s="97">
        <v>37.241473321015143</v>
      </c>
      <c r="O156" s="97">
        <v>0</v>
      </c>
      <c r="P156" s="97">
        <v>36.346007711303081</v>
      </c>
      <c r="Q156" s="97">
        <v>35.99999999992361</v>
      </c>
      <c r="R156" s="97">
        <v>35.691410268960219</v>
      </c>
      <c r="S156" s="97">
        <v>0</v>
      </c>
      <c r="T156" s="97">
        <v>35.169838475063052</v>
      </c>
      <c r="U156" s="97">
        <v>34.949807993605539</v>
      </c>
      <c r="V156" s="97">
        <v>34.752957765445551</v>
      </c>
      <c r="W156" s="97">
        <v>34.57674070523737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0</v>
      </c>
      <c r="O157" s="97">
        <v>0</v>
      </c>
      <c r="P157" s="97">
        <v>0</v>
      </c>
      <c r="Q157" s="97">
        <v>0</v>
      </c>
      <c r="R157" s="97">
        <v>0</v>
      </c>
      <c r="S157" s="97">
        <v>0</v>
      </c>
      <c r="T157" s="97">
        <v>0</v>
      </c>
      <c r="U157" s="97">
        <v>26.248944005540601</v>
      </c>
      <c r="V157" s="97">
        <v>0</v>
      </c>
      <c r="W157" s="97">
        <v>0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0</v>
      </c>
      <c r="C159" s="141">
        <v>7.8609644564188876</v>
      </c>
      <c r="D159" s="141">
        <v>7.9580206784687855</v>
      </c>
      <c r="E159" s="141">
        <v>7.8924099755118116</v>
      </c>
      <c r="F159" s="141">
        <v>8.01407575473519</v>
      </c>
      <c r="G159" s="141">
        <v>8.160689407461577</v>
      </c>
      <c r="H159" s="141">
        <v>8.0870900218126192</v>
      </c>
      <c r="I159" s="141">
        <v>8.2715974844267954</v>
      </c>
      <c r="J159" s="141">
        <v>8.369260561858912</v>
      </c>
      <c r="K159" s="141">
        <v>7.5944553262910786</v>
      </c>
      <c r="L159" s="141">
        <v>7.8197801754905818</v>
      </c>
      <c r="M159" s="141">
        <v>7.5437882835378929</v>
      </c>
      <c r="N159" s="141">
        <v>6.2236827192578641</v>
      </c>
      <c r="O159" s="141">
        <v>7.2209720697692594</v>
      </c>
      <c r="P159" s="141">
        <v>7.0557793137469709</v>
      </c>
      <c r="Q159" s="141">
        <v>6.8204845997663748</v>
      </c>
      <c r="R159" s="141">
        <v>6.3838941137157441</v>
      </c>
      <c r="S159" s="141">
        <v>5.5659677282821383</v>
      </c>
      <c r="T159" s="141">
        <v>6.3294905843118165</v>
      </c>
      <c r="U159" s="141">
        <v>5.2516298506165473</v>
      </c>
      <c r="V159" s="141">
        <v>5.6225945051609507</v>
      </c>
      <c r="W159" s="141">
        <v>5.3850854729578002</v>
      </c>
      <c r="DA159" s="174" t="s">
        <v>899</v>
      </c>
    </row>
    <row r="160" spans="1:105" ht="11.45" customHeight="1" x14ac:dyDescent="0.25">
      <c r="A160" s="111" t="s">
        <v>110</v>
      </c>
      <c r="B160" s="96">
        <v>0</v>
      </c>
      <c r="C160" s="96">
        <v>8.6719790109682631</v>
      </c>
      <c r="D160" s="96">
        <v>8.6195381947576948</v>
      </c>
      <c r="E160" s="96">
        <v>8.5116496348015431</v>
      </c>
      <c r="F160" s="96">
        <v>8.4998624788643067</v>
      </c>
      <c r="G160" s="96">
        <v>8.3853586783311318</v>
      </c>
      <c r="H160" s="96">
        <v>8.2162490737621816</v>
      </c>
      <c r="I160" s="96">
        <v>8.095731418158989</v>
      </c>
      <c r="J160" s="96">
        <v>7.7026658507825063</v>
      </c>
      <c r="K160" s="96">
        <v>7.2786890683461252</v>
      </c>
      <c r="L160" s="96">
        <v>7.0139591681638604</v>
      </c>
      <c r="M160" s="96">
        <v>0</v>
      </c>
      <c r="N160" s="96">
        <v>6.3358675851310657</v>
      </c>
      <c r="O160" s="96">
        <v>6.4996835080113566</v>
      </c>
      <c r="P160" s="96">
        <v>5.1309828524796472</v>
      </c>
      <c r="Q160" s="96">
        <v>5.4656691222801186</v>
      </c>
      <c r="R160" s="96">
        <v>5.1077784367931605</v>
      </c>
      <c r="S160" s="96">
        <v>5.2729917904149399</v>
      </c>
      <c r="T160" s="96">
        <v>5.123980870234023</v>
      </c>
      <c r="U160" s="96">
        <v>5.1299288497686053</v>
      </c>
      <c r="V160" s="96">
        <v>4.9867602088749177</v>
      </c>
      <c r="W160" s="96">
        <v>5.3704124479538873</v>
      </c>
      <c r="DA160" s="171" t="s">
        <v>900</v>
      </c>
    </row>
    <row r="161" spans="1:105" ht="11.45" customHeight="1" x14ac:dyDescent="0.25">
      <c r="A161" s="111" t="s">
        <v>111</v>
      </c>
      <c r="B161" s="96">
        <v>0</v>
      </c>
      <c r="C161" s="96">
        <v>7.5434039295264199</v>
      </c>
      <c r="D161" s="96">
        <v>7.5460046106808392</v>
      </c>
      <c r="E161" s="96">
        <v>7.5394551782529291</v>
      </c>
      <c r="F161" s="96">
        <v>7.5339683011871461</v>
      </c>
      <c r="G161" s="96">
        <v>7.5480982015764457</v>
      </c>
      <c r="H161" s="96">
        <v>7.5437882835378929</v>
      </c>
      <c r="I161" s="96">
        <v>7.460644554823685</v>
      </c>
      <c r="J161" s="96">
        <v>7.3330419523558206</v>
      </c>
      <c r="K161" s="96">
        <v>7.2177158227040312</v>
      </c>
      <c r="L161" s="96">
        <v>6.8156984352436769</v>
      </c>
      <c r="M161" s="96">
        <v>6.3866166992364253</v>
      </c>
      <c r="N161" s="96">
        <v>6.2140462608663674</v>
      </c>
      <c r="O161" s="96">
        <v>5.8567115326270418</v>
      </c>
      <c r="P161" s="96">
        <v>5.7216044133552719</v>
      </c>
      <c r="Q161" s="96">
        <v>5.6766872387572276</v>
      </c>
      <c r="R161" s="96">
        <v>5.6605687020043769</v>
      </c>
      <c r="S161" s="96">
        <v>5.5687645251850952</v>
      </c>
      <c r="T161" s="96">
        <v>5.6741042435429465</v>
      </c>
      <c r="U161" s="96">
        <v>5.7712162296495011</v>
      </c>
      <c r="V161" s="96">
        <v>6.3362937422515628</v>
      </c>
      <c r="W161" s="96">
        <v>6.1728371658292103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</v>
      </c>
      <c r="P162" s="96">
        <v>0</v>
      </c>
      <c r="Q162" s="96">
        <v>0</v>
      </c>
      <c r="R162" s="96">
        <v>0</v>
      </c>
      <c r="S162" s="96">
        <v>0</v>
      </c>
      <c r="T162" s="96">
        <v>0</v>
      </c>
      <c r="U162" s="96">
        <v>0</v>
      </c>
      <c r="V162" s="96">
        <v>0</v>
      </c>
      <c r="W162" s="96">
        <v>0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0</v>
      </c>
      <c r="P163" s="96">
        <v>0</v>
      </c>
      <c r="Q163" s="96">
        <v>0</v>
      </c>
      <c r="R163" s="96">
        <v>0</v>
      </c>
      <c r="S163" s="96">
        <v>0</v>
      </c>
      <c r="T163" s="96">
        <v>0</v>
      </c>
      <c r="U163" s="96">
        <v>0</v>
      </c>
      <c r="V163" s="96">
        <v>0</v>
      </c>
      <c r="W163" s="96">
        <v>0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0</v>
      </c>
      <c r="N164" s="96">
        <v>0</v>
      </c>
      <c r="O164" s="96">
        <v>0</v>
      </c>
      <c r="P164" s="96">
        <v>0</v>
      </c>
      <c r="Q164" s="96">
        <v>0</v>
      </c>
      <c r="R164" s="96">
        <v>0</v>
      </c>
      <c r="S164" s="96">
        <v>0</v>
      </c>
      <c r="T164" s="96">
        <v>0</v>
      </c>
      <c r="U164" s="96">
        <v>0</v>
      </c>
      <c r="V164" s="96">
        <v>0</v>
      </c>
      <c r="W164" s="96">
        <v>0</v>
      </c>
      <c r="DA164" s="171" t="s">
        <v>904</v>
      </c>
    </row>
    <row r="165" spans="1:105" ht="11.45" customHeight="1" x14ac:dyDescent="0.25">
      <c r="A165" s="109" t="s">
        <v>158</v>
      </c>
      <c r="B165" s="130">
        <v>33.546147315091126</v>
      </c>
      <c r="C165" s="130">
        <v>28.528341383245728</v>
      </c>
      <c r="D165" s="130">
        <v>28.377148395992077</v>
      </c>
      <c r="E165" s="130">
        <v>28.219037644701643</v>
      </c>
      <c r="F165" s="130">
        <v>27.968098410993221</v>
      </c>
      <c r="G165" s="130">
        <v>27.985014176809049</v>
      </c>
      <c r="H165" s="130">
        <v>27.48625498312439</v>
      </c>
      <c r="I165" s="130">
        <v>27.077310467848697</v>
      </c>
      <c r="J165" s="130">
        <v>26.726251577568394</v>
      </c>
      <c r="K165" s="130">
        <v>26.343482719665932</v>
      </c>
      <c r="L165" s="130">
        <v>26.791040772211669</v>
      </c>
      <c r="M165" s="130">
        <v>25.486532134561422</v>
      </c>
      <c r="N165" s="130">
        <v>25.596393802357102</v>
      </c>
      <c r="O165" s="130">
        <v>25.307761004811564</v>
      </c>
      <c r="P165" s="130">
        <v>24.132596086517086</v>
      </c>
      <c r="Q165" s="130">
        <v>23.931035917367431</v>
      </c>
      <c r="R165" s="130">
        <v>21.902380932950859</v>
      </c>
      <c r="S165" s="130">
        <v>22.574502883412062</v>
      </c>
      <c r="T165" s="130">
        <v>18.72708088429059</v>
      </c>
      <c r="U165" s="130">
        <v>16.989841046275146</v>
      </c>
      <c r="V165" s="130">
        <v>17.029079073252092</v>
      </c>
      <c r="W165" s="130">
        <v>15.266813004879612</v>
      </c>
      <c r="DA165" s="176" t="s">
        <v>905</v>
      </c>
    </row>
    <row r="166" spans="1:105" ht="11.45" customHeight="1" x14ac:dyDescent="0.25">
      <c r="A166" s="128" t="s">
        <v>27</v>
      </c>
      <c r="B166" s="97">
        <v>0</v>
      </c>
      <c r="C166" s="97">
        <v>28.475257731902065</v>
      </c>
      <c r="D166" s="97">
        <v>28.329726607551049</v>
      </c>
      <c r="E166" s="97">
        <v>28.148513269188573</v>
      </c>
      <c r="F166" s="97">
        <v>27.932078183320485</v>
      </c>
      <c r="G166" s="97">
        <v>27.680967433715715</v>
      </c>
      <c r="H166" s="97">
        <v>27.395809316042968</v>
      </c>
      <c r="I166" s="97">
        <v>27.077310467848694</v>
      </c>
      <c r="J166" s="97">
        <v>26.726251577568394</v>
      </c>
      <c r="K166" s="97">
        <v>26.343482719665932</v>
      </c>
      <c r="L166" s="97">
        <v>25.929918367280472</v>
      </c>
      <c r="M166" s="97">
        <v>25.486532134561422</v>
      </c>
      <c r="N166" s="97">
        <v>25.014351302892813</v>
      </c>
      <c r="O166" s="97">
        <v>24.514451185843171</v>
      </c>
      <c r="P166" s="97">
        <v>23.987949386386653</v>
      </c>
      <c r="Q166" s="97">
        <v>23.435999999950262</v>
      </c>
      <c r="R166" s="97">
        <v>21.502152313847727</v>
      </c>
      <c r="S166" s="97">
        <v>20.148458933575952</v>
      </c>
      <c r="T166" s="97">
        <v>18.72708088429059</v>
      </c>
      <c r="U166" s="97">
        <v>16.989841046275146</v>
      </c>
      <c r="V166" s="97">
        <v>15.820809312080765</v>
      </c>
      <c r="W166" s="97">
        <v>15.26681300487961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0</v>
      </c>
      <c r="J167" s="98">
        <v>0</v>
      </c>
      <c r="K167" s="98">
        <v>0</v>
      </c>
      <c r="L167" s="98">
        <v>30.614693877473673</v>
      </c>
      <c r="M167" s="98">
        <v>0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0</v>
      </c>
      <c r="U167" s="98">
        <v>0</v>
      </c>
      <c r="V167" s="98">
        <v>24.879360481322131</v>
      </c>
      <c r="W167" s="98">
        <v>0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119.96815776311952</v>
      </c>
      <c r="C171" s="152">
        <v>118.01103026692404</v>
      </c>
      <c r="D171" s="152">
        <v>116.52604151526235</v>
      </c>
      <c r="E171" s="152">
        <v>115.02281341962308</v>
      </c>
      <c r="F171" s="152">
        <v>113.4491454665303</v>
      </c>
      <c r="G171" s="152">
        <v>111.77306694804223</v>
      </c>
      <c r="H171" s="152">
        <v>110.06231845538478</v>
      </c>
      <c r="I171" s="152">
        <v>108.23025644980559</v>
      </c>
      <c r="J171" s="152">
        <v>106.12041956902685</v>
      </c>
      <c r="K171" s="152">
        <v>104.2510380977494</v>
      </c>
      <c r="L171" s="152">
        <v>102.46554249801387</v>
      </c>
      <c r="M171" s="152">
        <v>100.77891489640444</v>
      </c>
      <c r="N171" s="152">
        <v>99.775881207419602</v>
      </c>
      <c r="O171" s="152">
        <v>98.442713222527743</v>
      </c>
      <c r="P171" s="152">
        <v>97.173705504119212</v>
      </c>
      <c r="Q171" s="152">
        <v>95.30549342487609</v>
      </c>
      <c r="R171" s="152">
        <v>93.706806013053921</v>
      </c>
      <c r="S171" s="152">
        <v>92.876551157219467</v>
      </c>
      <c r="T171" s="152">
        <v>90.395685987167255</v>
      </c>
      <c r="U171" s="152">
        <v>88.801572805385774</v>
      </c>
      <c r="V171" s="152">
        <v>87.18419022089985</v>
      </c>
      <c r="W171" s="152">
        <v>82.57433055399882</v>
      </c>
      <c r="DA171" s="174" t="s">
        <v>908</v>
      </c>
    </row>
    <row r="172" spans="1:105" ht="11.45" customHeight="1" x14ac:dyDescent="0.25">
      <c r="A172" s="109" t="s">
        <v>20</v>
      </c>
      <c r="B172" s="116">
        <v>235.52195810659379</v>
      </c>
      <c r="C172" s="116">
        <v>230.6173752998468</v>
      </c>
      <c r="D172" s="116">
        <v>228.82902226003262</v>
      </c>
      <c r="E172" s="116">
        <v>227.18982330649558</v>
      </c>
      <c r="F172" s="116">
        <v>225.21678547034529</v>
      </c>
      <c r="G172" s="116">
        <v>223.42582931117138</v>
      </c>
      <c r="H172" s="116">
        <v>222.30442168436159</v>
      </c>
      <c r="I172" s="116">
        <v>219.7072105648711</v>
      </c>
      <c r="J172" s="116">
        <v>217.39003386516049</v>
      </c>
      <c r="K172" s="116">
        <v>216.16850151119283</v>
      </c>
      <c r="L172" s="116">
        <v>211.7858543077671</v>
      </c>
      <c r="M172" s="116">
        <v>207.29198982925735</v>
      </c>
      <c r="N172" s="116">
        <v>208.01348149454975</v>
      </c>
      <c r="O172" s="116">
        <v>199.54803908480008</v>
      </c>
      <c r="P172" s="116">
        <v>203.69654941877045</v>
      </c>
      <c r="Q172" s="116">
        <v>196.42775924529428</v>
      </c>
      <c r="R172" s="116">
        <v>195.13166751665273</v>
      </c>
      <c r="S172" s="116">
        <v>193.76605456630526</v>
      </c>
      <c r="T172" s="116">
        <v>190.60031985890853</v>
      </c>
      <c r="U172" s="116">
        <v>185.49735980762063</v>
      </c>
      <c r="V172" s="116">
        <v>181.44459827336522</v>
      </c>
      <c r="W172" s="116">
        <v>172.48970752496018</v>
      </c>
      <c r="DA172" s="176" t="s">
        <v>909</v>
      </c>
    </row>
    <row r="173" spans="1:105" ht="11.45" customHeight="1" x14ac:dyDescent="0.25">
      <c r="A173" s="111" t="s">
        <v>110</v>
      </c>
      <c r="B173" s="87">
        <v>235.64005545567915</v>
      </c>
      <c r="C173" s="87">
        <v>229.19898870391509</v>
      </c>
      <c r="D173" s="87">
        <v>226.84826007660473</v>
      </c>
      <c r="E173" s="87">
        <v>224.61680858225569</v>
      </c>
      <c r="F173" s="87">
        <v>222.93763613817652</v>
      </c>
      <c r="G173" s="87">
        <v>220.81638162593271</v>
      </c>
      <c r="H173" s="87">
        <v>219.06425027588821</v>
      </c>
      <c r="I173" s="87">
        <v>216.84505005760383</v>
      </c>
      <c r="J173" s="87">
        <v>214.7397124275835</v>
      </c>
      <c r="K173" s="87">
        <v>212.88176280304543</v>
      </c>
      <c r="L173" s="87">
        <v>210.1874465861593</v>
      </c>
      <c r="M173" s="87">
        <v>207.66949082329972</v>
      </c>
      <c r="N173" s="87">
        <v>205.18542327026299</v>
      </c>
      <c r="O173" s="87">
        <v>202.59361613617313</v>
      </c>
      <c r="P173" s="87">
        <v>199.59547637723273</v>
      </c>
      <c r="Q173" s="87">
        <v>195.14753347578539</v>
      </c>
      <c r="R173" s="87">
        <v>192.73521234656081</v>
      </c>
      <c r="S173" s="87">
        <v>189.32184991078034</v>
      </c>
      <c r="T173" s="87">
        <v>185.4412612577805</v>
      </c>
      <c r="U173" s="87">
        <v>180.65961657531949</v>
      </c>
      <c r="V173" s="87">
        <v>176.30731642471841</v>
      </c>
      <c r="W173" s="87">
        <v>168.79814210870845</v>
      </c>
      <c r="DA173" s="171" t="s">
        <v>910</v>
      </c>
    </row>
    <row r="174" spans="1:105" ht="11.45" customHeight="1" x14ac:dyDescent="0.25">
      <c r="A174" s="111" t="s">
        <v>111</v>
      </c>
      <c r="B174" s="87">
        <v>249.90780285420951</v>
      </c>
      <c r="C174" s="87">
        <v>248.79470512350375</v>
      </c>
      <c r="D174" s="87">
        <v>247.3777307759255</v>
      </c>
      <c r="E174" s="87">
        <v>243.99437561802159</v>
      </c>
      <c r="F174" s="87">
        <v>243.47419415629398</v>
      </c>
      <c r="G174" s="87">
        <v>242.86250187712696</v>
      </c>
      <c r="H174" s="87">
        <v>238.6556983050684</v>
      </c>
      <c r="I174" s="87">
        <v>235.79570907629594</v>
      </c>
      <c r="J174" s="87">
        <v>233.97930334160674</v>
      </c>
      <c r="K174" s="87">
        <v>227.14560442870186</v>
      </c>
      <c r="L174" s="87">
        <v>224.63696345228084</v>
      </c>
      <c r="M174" s="87">
        <v>223.68454937542862</v>
      </c>
      <c r="N174" s="87">
        <v>222.83919515821404</v>
      </c>
      <c r="O174" s="87">
        <v>222.01967337952408</v>
      </c>
      <c r="P174" s="87">
        <v>189.13883747340805</v>
      </c>
      <c r="Q174" s="87">
        <v>186.18021507248511</v>
      </c>
      <c r="R174" s="87">
        <v>171.31609219257894</v>
      </c>
      <c r="S174" s="87">
        <v>162.85311355510325</v>
      </c>
      <c r="T174" s="87">
        <v>156.22877651683123</v>
      </c>
      <c r="U174" s="87">
        <v>151.25838482705228</v>
      </c>
      <c r="V174" s="87">
        <v>146.74165067248984</v>
      </c>
      <c r="W174" s="87">
        <v>138.31307822261371</v>
      </c>
      <c r="DA174" s="171" t="s">
        <v>911</v>
      </c>
    </row>
    <row r="175" spans="1:105" ht="11.45" customHeight="1" x14ac:dyDescent="0.25">
      <c r="A175" s="111" t="s">
        <v>112</v>
      </c>
      <c r="B175" s="87">
        <v>212.63996494073677</v>
      </c>
      <c r="C175" s="87">
        <v>212.63996494073677</v>
      </c>
      <c r="D175" s="87">
        <v>212.63996494073675</v>
      </c>
      <c r="E175" s="87">
        <v>212.63996494073677</v>
      </c>
      <c r="F175" s="87">
        <v>212.63996494073677</v>
      </c>
      <c r="G175" s="87">
        <v>212.63996494073672</v>
      </c>
      <c r="H175" s="87">
        <v>212.1481355495352</v>
      </c>
      <c r="I175" s="87">
        <v>212.55369860050729</v>
      </c>
      <c r="J175" s="87">
        <v>213.44265593860206</v>
      </c>
      <c r="K175" s="87">
        <v>214.29479425331829</v>
      </c>
      <c r="L175" s="87">
        <v>209.88723078133293</v>
      </c>
      <c r="M175" s="87">
        <v>209.24243142257527</v>
      </c>
      <c r="N175" s="87">
        <v>208.69574557372005</v>
      </c>
      <c r="O175" s="87">
        <v>202.15895378208324</v>
      </c>
      <c r="P175" s="87">
        <v>200.70993843768696</v>
      </c>
      <c r="Q175" s="87">
        <v>197.45885369436505</v>
      </c>
      <c r="R175" s="87">
        <v>187.75405525586962</v>
      </c>
      <c r="S175" s="87">
        <v>187.26106690691699</v>
      </c>
      <c r="T175" s="87">
        <v>186.63306397809518</v>
      </c>
      <c r="U175" s="87">
        <v>185.1018254436274</v>
      </c>
      <c r="V175" s="87">
        <v>182.62612328828811</v>
      </c>
      <c r="W175" s="87">
        <v>181.78000528306774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206.2804671563747</v>
      </c>
      <c r="D176" s="87">
        <v>205.78753757199786</v>
      </c>
      <c r="E176" s="87">
        <v>205.42878282336807</v>
      </c>
      <c r="F176" s="87">
        <v>205.38933173398465</v>
      </c>
      <c r="G176" s="87">
        <v>204.60415685057146</v>
      </c>
      <c r="H176" s="87">
        <v>203.85049810219522</v>
      </c>
      <c r="I176" s="87">
        <v>201.85740168204288</v>
      </c>
      <c r="J176" s="87">
        <v>201.39508416874418</v>
      </c>
      <c r="K176" s="87">
        <v>192.02200122883619</v>
      </c>
      <c r="L176" s="87">
        <v>186.60891770733772</v>
      </c>
      <c r="M176" s="87">
        <v>182.04919955060583</v>
      </c>
      <c r="N176" s="87">
        <v>180.65476235702528</v>
      </c>
      <c r="O176" s="87">
        <v>179.38988535595038</v>
      </c>
      <c r="P176" s="87">
        <v>178.53469581360974</v>
      </c>
      <c r="Q176" s="87">
        <v>164.13759673881273</v>
      </c>
      <c r="R176" s="87">
        <v>158.52892110094334</v>
      </c>
      <c r="S176" s="87">
        <v>155.40096384979978</v>
      </c>
      <c r="T176" s="87">
        <v>150.77252855385339</v>
      </c>
      <c r="U176" s="87">
        <v>142.61965417567291</v>
      </c>
      <c r="V176" s="87">
        <v>123.56799149887699</v>
      </c>
      <c r="W176" s="87">
        <v>109.87940567049222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46.139219941647873</v>
      </c>
      <c r="O177" s="87">
        <v>14.107431472155657</v>
      </c>
      <c r="P177" s="87">
        <v>27.853133932204788</v>
      </c>
      <c r="Q177" s="87">
        <v>34.981938298751068</v>
      </c>
      <c r="R177" s="87">
        <v>47.14534791122103</v>
      </c>
      <c r="S177" s="87">
        <v>55.587237132405853</v>
      </c>
      <c r="T177" s="87">
        <v>59.776128902469857</v>
      </c>
      <c r="U177" s="87">
        <v>62.63746185158903</v>
      </c>
      <c r="V177" s="87">
        <v>49.600638922290891</v>
      </c>
      <c r="W177" s="87">
        <v>42.136884183562451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1803.9724180000496</v>
      </c>
      <c r="C179" s="116">
        <v>1706.087509515276</v>
      </c>
      <c r="D179" s="116">
        <v>1703.0746004467435</v>
      </c>
      <c r="E179" s="116">
        <v>1692.9339287035791</v>
      </c>
      <c r="F179" s="116">
        <v>1677.6185605305843</v>
      </c>
      <c r="G179" s="116">
        <v>1645.130587206073</v>
      </c>
      <c r="H179" s="116">
        <v>1619.9385337378017</v>
      </c>
      <c r="I179" s="116">
        <v>1582.9220955499572</v>
      </c>
      <c r="J179" s="116">
        <v>1565.66114832523</v>
      </c>
      <c r="K179" s="116">
        <v>1548.6536785672124</v>
      </c>
      <c r="L179" s="116">
        <v>1522.0117991044667</v>
      </c>
      <c r="M179" s="116">
        <v>1494.319672461769</v>
      </c>
      <c r="N179" s="116">
        <v>1465.2824940444225</v>
      </c>
      <c r="O179" s="116">
        <v>1463.1394964560673</v>
      </c>
      <c r="P179" s="116">
        <v>1435.5226445568339</v>
      </c>
      <c r="Q179" s="116">
        <v>1420.2220503180729</v>
      </c>
      <c r="R179" s="116">
        <v>1413.0589133917085</v>
      </c>
      <c r="S179" s="116">
        <v>1417.1061697762261</v>
      </c>
      <c r="T179" s="116">
        <v>1381.9778548712106</v>
      </c>
      <c r="U179" s="116">
        <v>1376.7614224449453</v>
      </c>
      <c r="V179" s="116">
        <v>1361.6715253428615</v>
      </c>
      <c r="W179" s="116">
        <v>1347.4426921852903</v>
      </c>
      <c r="DA179" s="176" t="s">
        <v>916</v>
      </c>
    </row>
    <row r="180" spans="1:105" ht="11.45" customHeight="1" x14ac:dyDescent="0.25">
      <c r="A180" s="111" t="s">
        <v>110</v>
      </c>
      <c r="B180" s="101">
        <v>0</v>
      </c>
      <c r="C180" s="101">
        <v>0</v>
      </c>
      <c r="D180" s="101">
        <v>0</v>
      </c>
      <c r="E180" s="101">
        <v>0</v>
      </c>
      <c r="F180" s="101">
        <v>0</v>
      </c>
      <c r="G180" s="101">
        <v>0</v>
      </c>
      <c r="H180" s="101">
        <v>0</v>
      </c>
      <c r="I180" s="101">
        <v>0</v>
      </c>
      <c r="J180" s="101">
        <v>0</v>
      </c>
      <c r="K180" s="101">
        <v>0</v>
      </c>
      <c r="L180" s="101">
        <v>0</v>
      </c>
      <c r="M180" s="101">
        <v>0</v>
      </c>
      <c r="N180" s="101">
        <v>0</v>
      </c>
      <c r="O180" s="101">
        <v>0</v>
      </c>
      <c r="P180" s="101">
        <v>0</v>
      </c>
      <c r="Q180" s="101">
        <v>0</v>
      </c>
      <c r="R180" s="101">
        <v>0</v>
      </c>
      <c r="S180" s="101">
        <v>0</v>
      </c>
      <c r="T180" s="101">
        <v>0</v>
      </c>
      <c r="U180" s="101">
        <v>0</v>
      </c>
      <c r="V180" s="101">
        <v>0</v>
      </c>
      <c r="W180" s="101">
        <v>0</v>
      </c>
      <c r="DA180" s="175" t="s">
        <v>917</v>
      </c>
    </row>
    <row r="181" spans="1:105" ht="11.45" customHeight="1" x14ac:dyDescent="0.25">
      <c r="A181" s="111" t="s">
        <v>111</v>
      </c>
      <c r="B181" s="101">
        <v>1803.9724180000496</v>
      </c>
      <c r="C181" s="101">
        <v>1735.0483397860692</v>
      </c>
      <c r="D181" s="101">
        <v>1698.9033475527599</v>
      </c>
      <c r="E181" s="101">
        <v>1664.1308338814533</v>
      </c>
      <c r="F181" s="101">
        <v>1638.396450938008</v>
      </c>
      <c r="G181" s="101">
        <v>1609.6921618277638</v>
      </c>
      <c r="H181" s="101">
        <v>1583.6773855318024</v>
      </c>
      <c r="I181" s="101">
        <v>1561.1857660243963</v>
      </c>
      <c r="J181" s="101">
        <v>1540.4263625138735</v>
      </c>
      <c r="K181" s="101">
        <v>1520.566606594726</v>
      </c>
      <c r="L181" s="101">
        <v>1500.7118503507393</v>
      </c>
      <c r="M181" s="101">
        <v>1482.4543454379573</v>
      </c>
      <c r="N181" s="101">
        <v>1465.4527235865851</v>
      </c>
      <c r="O181" s="101">
        <v>1456.1985760191528</v>
      </c>
      <c r="P181" s="101">
        <v>1442.1390439195306</v>
      </c>
      <c r="Q181" s="101">
        <v>1431.6924280444189</v>
      </c>
      <c r="R181" s="101">
        <v>1422.7628821561557</v>
      </c>
      <c r="S181" s="101">
        <v>1412.4625861077279</v>
      </c>
      <c r="T181" s="101">
        <v>1404.2113792110952</v>
      </c>
      <c r="U181" s="101">
        <v>1391.9109030238949</v>
      </c>
      <c r="V181" s="101">
        <v>1379.4359082764959</v>
      </c>
      <c r="W181" s="101">
        <v>1366.964829609946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0</v>
      </c>
      <c r="W182" s="101">
        <v>0</v>
      </c>
      <c r="DA182" s="175" t="s">
        <v>919</v>
      </c>
    </row>
    <row r="183" spans="1:105" ht="11.45" customHeight="1" x14ac:dyDescent="0.25">
      <c r="A183" s="111" t="s">
        <v>113</v>
      </c>
      <c r="B183" s="101">
        <v>0</v>
      </c>
      <c r="C183" s="101">
        <v>947.33288152190971</v>
      </c>
      <c r="D183" s="101">
        <v>946.81999632488157</v>
      </c>
      <c r="E183" s="101">
        <v>946.4564217405856</v>
      </c>
      <c r="F183" s="101">
        <v>946.45361162437541</v>
      </c>
      <c r="G183" s="101">
        <v>945.85640524233168</v>
      </c>
      <c r="H183" s="101">
        <v>945.14134300352339</v>
      </c>
      <c r="I183" s="101">
        <v>942.36645689966474</v>
      </c>
      <c r="J183" s="101">
        <v>940.27709431243966</v>
      </c>
      <c r="K183" s="101">
        <v>940.13074544412098</v>
      </c>
      <c r="L183" s="101">
        <v>939.93433542377409</v>
      </c>
      <c r="M183" s="101">
        <v>938.56101985364603</v>
      </c>
      <c r="N183" s="101">
        <v>934.10922122816271</v>
      </c>
      <c r="O183" s="101">
        <v>933.58131614972774</v>
      </c>
      <c r="P183" s="101">
        <v>923.63733372663046</v>
      </c>
      <c r="Q183" s="101">
        <v>909.20103297139656</v>
      </c>
      <c r="R183" s="101">
        <v>898.53273056497233</v>
      </c>
      <c r="S183" s="101">
        <v>895.99445039844738</v>
      </c>
      <c r="T183" s="101">
        <v>875.84227486999725</v>
      </c>
      <c r="U183" s="101">
        <v>862.57633413185999</v>
      </c>
      <c r="V183" s="101">
        <v>850.87052528459867</v>
      </c>
      <c r="W183" s="101">
        <v>841.78888526212995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364.28678445150717</v>
      </c>
      <c r="C186" s="152">
        <v>357.91767491456022</v>
      </c>
      <c r="D186" s="152">
        <v>342.82288407563215</v>
      </c>
      <c r="E186" s="152">
        <v>328.73268596991596</v>
      </c>
      <c r="F186" s="152">
        <v>317.16803612051729</v>
      </c>
      <c r="G186" s="152">
        <v>302.71360940581565</v>
      </c>
      <c r="H186" s="152">
        <v>291.59912660754026</v>
      </c>
      <c r="I186" s="152">
        <v>272.53711825579109</v>
      </c>
      <c r="J186" s="152">
        <v>251.14503183567507</v>
      </c>
      <c r="K186" s="152">
        <v>268.26377400024541</v>
      </c>
      <c r="L186" s="152">
        <v>237.61049027735297</v>
      </c>
      <c r="M186" s="152">
        <v>229.29015377582908</v>
      </c>
      <c r="N186" s="152">
        <v>265.92849588274157</v>
      </c>
      <c r="O186" s="152">
        <v>212.29968620572998</v>
      </c>
      <c r="P186" s="152">
        <v>192.17550864565564</v>
      </c>
      <c r="Q186" s="152">
        <v>197.6479465315702</v>
      </c>
      <c r="R186" s="152">
        <v>191.20075121424685</v>
      </c>
      <c r="S186" s="152">
        <v>233.72214282055774</v>
      </c>
      <c r="T186" s="152">
        <v>179.89522576517001</v>
      </c>
      <c r="U186" s="152">
        <v>211.86463780636939</v>
      </c>
      <c r="V186" s="152">
        <v>193.9491481316696</v>
      </c>
      <c r="W186" s="152">
        <v>211.27010538249075</v>
      </c>
      <c r="DA186" s="174" t="s">
        <v>922</v>
      </c>
    </row>
    <row r="187" spans="1:105" ht="11.45" customHeight="1" x14ac:dyDescent="0.25">
      <c r="A187" s="111" t="s">
        <v>110</v>
      </c>
      <c r="B187" s="87">
        <v>344.6318380387861</v>
      </c>
      <c r="C187" s="87">
        <v>333.7078433817249</v>
      </c>
      <c r="D187" s="87">
        <v>323.11629148920508</v>
      </c>
      <c r="E187" s="87">
        <v>315.26856834139579</v>
      </c>
      <c r="F187" s="87">
        <v>309.10000692372859</v>
      </c>
      <c r="G187" s="87">
        <v>302.46906164388878</v>
      </c>
      <c r="H187" s="87">
        <v>295.85647225199421</v>
      </c>
      <c r="I187" s="87">
        <v>285.66381192968657</v>
      </c>
      <c r="J187" s="87">
        <v>276.5584270257097</v>
      </c>
      <c r="K187" s="87">
        <v>272.83563832710456</v>
      </c>
      <c r="L187" s="87">
        <v>267.81715247858909</v>
      </c>
      <c r="M187" s="87">
        <v>263.9797986261845</v>
      </c>
      <c r="N187" s="87">
        <v>261.24672384486325</v>
      </c>
      <c r="O187" s="87">
        <v>258.67032745573425</v>
      </c>
      <c r="P187" s="87">
        <v>253.1227545422536</v>
      </c>
      <c r="Q187" s="87">
        <v>242.91899649603482</v>
      </c>
      <c r="R187" s="87">
        <v>228.88306860340731</v>
      </c>
      <c r="S187" s="87">
        <v>227.28109143781248</v>
      </c>
      <c r="T187" s="87">
        <v>220.39858418326446</v>
      </c>
      <c r="U187" s="87">
        <v>209.74527939119378</v>
      </c>
      <c r="V187" s="87">
        <v>202.16248954027517</v>
      </c>
      <c r="W187" s="87">
        <v>194.34160607993113</v>
      </c>
      <c r="DA187" s="171" t="s">
        <v>923</v>
      </c>
    </row>
    <row r="188" spans="1:105" ht="11.45" customHeight="1" x14ac:dyDescent="0.25">
      <c r="A188" s="111" t="s">
        <v>111</v>
      </c>
      <c r="B188" s="87">
        <v>331.41898277912702</v>
      </c>
      <c r="C188" s="87">
        <v>309.36760398356233</v>
      </c>
      <c r="D188" s="87">
        <v>294.38302660526125</v>
      </c>
      <c r="E188" s="87">
        <v>275.99018131503618</v>
      </c>
      <c r="F188" s="87">
        <v>267.45526926611348</v>
      </c>
      <c r="G188" s="87">
        <v>260.89250730524276</v>
      </c>
      <c r="H188" s="87">
        <v>252.78634298687487</v>
      </c>
      <c r="I188" s="87">
        <v>247.347810439016</v>
      </c>
      <c r="J188" s="87">
        <v>244.64774126345205</v>
      </c>
      <c r="K188" s="87">
        <v>240.83637152979597</v>
      </c>
      <c r="L188" s="87">
        <v>238.42471727753303</v>
      </c>
      <c r="M188" s="87">
        <v>237.37504476546917</v>
      </c>
      <c r="N188" s="87">
        <v>236.1376851316958</v>
      </c>
      <c r="O188" s="87">
        <v>233.51961607418872</v>
      </c>
      <c r="P188" s="87">
        <v>231.26786875274783</v>
      </c>
      <c r="Q188" s="87">
        <v>224.94072339658337</v>
      </c>
      <c r="R188" s="87">
        <v>220.19974136215183</v>
      </c>
      <c r="S188" s="87">
        <v>217.16124447156253</v>
      </c>
      <c r="T188" s="87">
        <v>215.08861244708149</v>
      </c>
      <c r="U188" s="87">
        <v>212.82190102645762</v>
      </c>
      <c r="V188" s="87">
        <v>211.9879067564755</v>
      </c>
      <c r="W188" s="87">
        <v>209.54588442074916</v>
      </c>
      <c r="DA188" s="171" t="s">
        <v>924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0</v>
      </c>
      <c r="O189" s="87">
        <v>0</v>
      </c>
      <c r="P189" s="87">
        <v>0</v>
      </c>
      <c r="Q189" s="87">
        <v>0</v>
      </c>
      <c r="R189" s="87">
        <v>0</v>
      </c>
      <c r="S189" s="87">
        <v>0</v>
      </c>
      <c r="T189" s="87">
        <v>0</v>
      </c>
      <c r="U189" s="87">
        <v>0</v>
      </c>
      <c r="V189" s="87">
        <v>0</v>
      </c>
      <c r="W189" s="87">
        <v>0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0</v>
      </c>
      <c r="P190" s="87">
        <v>0</v>
      </c>
      <c r="Q190" s="87">
        <v>0</v>
      </c>
      <c r="R190" s="87">
        <v>0</v>
      </c>
      <c r="S190" s="87">
        <v>0</v>
      </c>
      <c r="T190" s="87">
        <v>0</v>
      </c>
      <c r="U190" s="87">
        <v>0</v>
      </c>
      <c r="V190" s="87">
        <v>0</v>
      </c>
      <c r="W190" s="87">
        <v>0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930.56255895208903</v>
      </c>
      <c r="C192" s="116">
        <v>927.34187007712114</v>
      </c>
      <c r="D192" s="116">
        <v>923.84807072446858</v>
      </c>
      <c r="E192" s="116">
        <v>921.80498752330379</v>
      </c>
      <c r="F192" s="116">
        <v>909.90094223942117</v>
      </c>
      <c r="G192" s="116">
        <v>906.6071283959061</v>
      </c>
      <c r="H192" s="116">
        <v>899.82626298434764</v>
      </c>
      <c r="I192" s="116">
        <v>896.41610655255693</v>
      </c>
      <c r="J192" s="116">
        <v>886.66074854339058</v>
      </c>
      <c r="K192" s="116">
        <v>882.89183277312486</v>
      </c>
      <c r="L192" s="116">
        <v>878.86941111660371</v>
      </c>
      <c r="M192" s="116">
        <v>874.15731209316709</v>
      </c>
      <c r="N192" s="116">
        <v>869.40045140870768</v>
      </c>
      <c r="O192" s="116">
        <v>864.6211767495713</v>
      </c>
      <c r="P192" s="116">
        <v>859.89387252127392</v>
      </c>
      <c r="Q192" s="116">
        <v>853.95306598874856</v>
      </c>
      <c r="R192" s="116">
        <v>846.88885944983622</v>
      </c>
      <c r="S192" s="116">
        <v>836.62219146703683</v>
      </c>
      <c r="T192" s="116">
        <v>825.41131639926357</v>
      </c>
      <c r="U192" s="116">
        <v>811.88535355067143</v>
      </c>
      <c r="V192" s="116">
        <v>796.50988845893596</v>
      </c>
      <c r="W192" s="116">
        <v>779.57038353278961</v>
      </c>
      <c r="DA192" s="176" t="s">
        <v>928</v>
      </c>
    </row>
    <row r="193" spans="1:105" ht="11.45" customHeight="1" x14ac:dyDescent="0.25">
      <c r="A193" s="128" t="s">
        <v>27</v>
      </c>
      <c r="B193" s="101">
        <v>868.84724002888652</v>
      </c>
      <c r="C193" s="101">
        <v>865.83221163350265</v>
      </c>
      <c r="D193" s="101">
        <v>862.56930320543836</v>
      </c>
      <c r="E193" s="101">
        <v>860.65972859051521</v>
      </c>
      <c r="F193" s="101">
        <v>849.60024191902494</v>
      </c>
      <c r="G193" s="101">
        <v>846.32380501395596</v>
      </c>
      <c r="H193" s="101">
        <v>839.98694381924849</v>
      </c>
      <c r="I193" s="101">
        <v>837.03917723057191</v>
      </c>
      <c r="J193" s="101">
        <v>828.11178528722485</v>
      </c>
      <c r="K193" s="101">
        <v>824.64909331356307</v>
      </c>
      <c r="L193" s="101">
        <v>820.72248495200188</v>
      </c>
      <c r="M193" s="101">
        <v>816.54411092334351</v>
      </c>
      <c r="N193" s="101">
        <v>811.97908552306637</v>
      </c>
      <c r="O193" s="101">
        <v>807.34499589656457</v>
      </c>
      <c r="P193" s="101">
        <v>802.81189664248325</v>
      </c>
      <c r="Q193" s="101">
        <v>797.11778635318433</v>
      </c>
      <c r="R193" s="101">
        <v>790.37655800202185</v>
      </c>
      <c r="S193" s="101">
        <v>780.63592692507018</v>
      </c>
      <c r="T193" s="101">
        <v>769.79906842347782</v>
      </c>
      <c r="U193" s="101">
        <v>756.7314765115176</v>
      </c>
      <c r="V193" s="101">
        <v>741.92230789721896</v>
      </c>
      <c r="W193" s="101">
        <v>726.40709082196497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1056.0587599562871</v>
      </c>
      <c r="D194" s="88">
        <v>1047.5266352633018</v>
      </c>
      <c r="E194" s="88">
        <v>1040.944804332486</v>
      </c>
      <c r="F194" s="88">
        <v>1022.2622204032486</v>
      </c>
      <c r="G194" s="88">
        <v>1014.4516774082276</v>
      </c>
      <c r="H194" s="88">
        <v>994.7432382561741</v>
      </c>
      <c r="I194" s="88">
        <v>987.81397445288917</v>
      </c>
      <c r="J194" s="88">
        <v>981.99736227806738</v>
      </c>
      <c r="K194" s="88">
        <v>976.38845744582454</v>
      </c>
      <c r="L194" s="88">
        <v>950.24875645604561</v>
      </c>
      <c r="M194" s="88">
        <v>935.70803173270497</v>
      </c>
      <c r="N194" s="88">
        <v>920.24479406081991</v>
      </c>
      <c r="O194" s="88">
        <v>905.05394113943532</v>
      </c>
      <c r="P194" s="88">
        <v>901.2040466685055</v>
      </c>
      <c r="Q194" s="88">
        <v>885.70666298672575</v>
      </c>
      <c r="R194" s="88">
        <v>875.09013823762189</v>
      </c>
      <c r="S194" s="88">
        <v>831.18918291033799</v>
      </c>
      <c r="T194" s="88">
        <v>826.88982510441554</v>
      </c>
      <c r="U194" s="88">
        <v>822.41807079351759</v>
      </c>
      <c r="V194" s="88">
        <v>808.43546156858679</v>
      </c>
      <c r="W194" s="88">
        <v>796.43788459302095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1.0783152597997752</v>
      </c>
      <c r="C198" s="150">
        <f>IF(TrRoad_act!C59=0,0,TrRoad_emi!C56/TrRoad_tech!C171)</f>
        <v>1.123171498147324</v>
      </c>
      <c r="D198" s="150">
        <f>IF(TrRoad_act!D59=0,0,TrRoad_emi!D56/TrRoad_tech!D171)</f>
        <v>1.128915850140161</v>
      </c>
      <c r="E198" s="150">
        <f>IF(TrRoad_act!E59=0,0,TrRoad_emi!E56/TrRoad_tech!E171)</f>
        <v>1.1304150604334697</v>
      </c>
      <c r="F198" s="150">
        <f>IF(TrRoad_act!F59=0,0,TrRoad_emi!F56/TrRoad_tech!F171)</f>
        <v>1.1117673067292007</v>
      </c>
      <c r="G198" s="150">
        <f>IF(TrRoad_act!G59=0,0,TrRoad_emi!G56/TrRoad_tech!G171)</f>
        <v>1.1354620979095131</v>
      </c>
      <c r="H198" s="150">
        <f>IF(TrRoad_act!H59=0,0,TrRoad_emi!H56/TrRoad_tech!H171)</f>
        <v>1.1102616728056387</v>
      </c>
      <c r="I198" s="150">
        <f>IF(TrRoad_act!I59=0,0,TrRoad_emi!I56/TrRoad_tech!I171)</f>
        <v>1.1046056116387979</v>
      </c>
      <c r="J198" s="150">
        <f>IF(TrRoad_act!J59=0,0,TrRoad_emi!J56/TrRoad_tech!J171)</f>
        <v>1.1302468090712203</v>
      </c>
      <c r="K198" s="150">
        <f>IF(TrRoad_act!K59=0,0,TrRoad_emi!K56/TrRoad_tech!K171)</f>
        <v>1.1538041139984114</v>
      </c>
      <c r="L198" s="150">
        <f>IF(TrRoad_act!L59=0,0,TrRoad_emi!L56/TrRoad_tech!L171)</f>
        <v>1.1627385936318593</v>
      </c>
      <c r="M198" s="150">
        <f>IF(TrRoad_act!M59=0,0,TrRoad_emi!M56/TrRoad_tech!M171)</f>
        <v>1.1676015962373865</v>
      </c>
      <c r="N198" s="150">
        <f>IF(TrRoad_act!N59=0,0,TrRoad_emi!N56/TrRoad_tech!N171)</f>
        <v>1.1575029574006404</v>
      </c>
      <c r="O198" s="150">
        <f>IF(TrRoad_act!O59=0,0,TrRoad_emi!O56/TrRoad_tech!O171)</f>
        <v>1.1515952398766562</v>
      </c>
      <c r="P198" s="150">
        <f>IF(TrRoad_act!P59=0,0,TrRoad_emi!P56/TrRoad_tech!P171)</f>
        <v>1.141397599786995</v>
      </c>
      <c r="Q198" s="150">
        <f>IF(TrRoad_act!Q59=0,0,TrRoad_emi!Q56/TrRoad_tech!Q171)</f>
        <v>1.1862569447189066</v>
      </c>
      <c r="R198" s="150">
        <f>IF(TrRoad_act!R59=0,0,TrRoad_emi!R56/TrRoad_tech!R171)</f>
        <v>1.1342536770280895</v>
      </c>
      <c r="S198" s="150">
        <f>IF(TrRoad_act!S59=0,0,TrRoad_emi!S56/TrRoad_tech!S171)</f>
        <v>1.195814580480544</v>
      </c>
      <c r="T198" s="150">
        <f>IF(TrRoad_act!T59=0,0,TrRoad_emi!T56/TrRoad_tech!T171)</f>
        <v>1.205608499129228</v>
      </c>
      <c r="U198" s="150">
        <f>IF(TrRoad_act!U59=0,0,TrRoad_emi!U56/TrRoad_tech!U171)</f>
        <v>1.1986804408964844</v>
      </c>
      <c r="V198" s="150">
        <f>IF(TrRoad_act!V59=0,0,TrRoad_emi!V56/TrRoad_tech!V171)</f>
        <v>1.1253020929155613</v>
      </c>
      <c r="W198" s="150">
        <f>IF(TrRoad_act!W59=0,0,TrRoad_emi!W56/TrRoad_tech!W171)</f>
        <v>1.1826511987776933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1.0606652985331531</v>
      </c>
      <c r="C199" s="151">
        <f>IF(TrRoad_act!C60=0,0,TrRoad_emi!C57/TrRoad_tech!C172)</f>
        <v>1.0355665490987918</v>
      </c>
      <c r="D199" s="151">
        <f>IF(TrRoad_act!D60=0,0,TrRoad_emi!D57/TrRoad_tech!D172)</f>
        <v>1.0249352783411645</v>
      </c>
      <c r="E199" s="151">
        <f>IF(TrRoad_act!E60=0,0,TrRoad_emi!E57/TrRoad_tech!E172)</f>
        <v>1.0225032073933658</v>
      </c>
      <c r="F199" s="151">
        <f>IF(TrRoad_act!F60=0,0,TrRoad_emi!F57/TrRoad_tech!F172)</f>
        <v>0.99987661660094673</v>
      </c>
      <c r="G199" s="151">
        <f>IF(TrRoad_act!G60=0,0,TrRoad_emi!G57/TrRoad_tech!G172)</f>
        <v>0.99040211909822373</v>
      </c>
      <c r="H199" s="151">
        <f>IF(TrRoad_act!H60=0,0,TrRoad_emi!H57/TrRoad_tech!H172)</f>
        <v>0.96967283407934679</v>
      </c>
      <c r="I199" s="151">
        <f>IF(TrRoad_act!I60=0,0,TrRoad_emi!I57/TrRoad_tech!I172)</f>
        <v>0.97851455993425573</v>
      </c>
      <c r="J199" s="151">
        <f>IF(TrRoad_act!J60=0,0,TrRoad_emi!J57/TrRoad_tech!J172)</f>
        <v>0.91783612740156673</v>
      </c>
      <c r="K199" s="151">
        <f>IF(TrRoad_act!K60=0,0,TrRoad_emi!K57/TrRoad_tech!K172)</f>
        <v>0.93900529028538637</v>
      </c>
      <c r="L199" s="151">
        <f>IF(TrRoad_act!L60=0,0,TrRoad_emi!L57/TrRoad_tech!L172)</f>
        <v>0.87652607464157484</v>
      </c>
      <c r="M199" s="151">
        <f>IF(TrRoad_act!M60=0,0,TrRoad_emi!M57/TrRoad_tech!M172)</f>
        <v>0.91302478378750396</v>
      </c>
      <c r="N199" s="151">
        <f>IF(TrRoad_act!N60=0,0,TrRoad_emi!N57/TrRoad_tech!N172)</f>
        <v>0.89004600655560462</v>
      </c>
      <c r="O199" s="151">
        <f>IF(TrRoad_act!O60=0,0,TrRoad_emi!O57/TrRoad_tech!O172)</f>
        <v>0.89858911682468123</v>
      </c>
      <c r="P199" s="151">
        <f>IF(TrRoad_act!P60=0,0,TrRoad_emi!P57/TrRoad_tech!P172)</f>
        <v>0.86616090709948179</v>
      </c>
      <c r="Q199" s="151">
        <f>IF(TrRoad_act!Q60=0,0,TrRoad_emi!Q57/TrRoad_tech!Q172)</f>
        <v>0.93624758472809388</v>
      </c>
      <c r="R199" s="151">
        <f>IF(TrRoad_act!R60=0,0,TrRoad_emi!R57/TrRoad_tech!R172)</f>
        <v>0.94108103388734177</v>
      </c>
      <c r="S199" s="151">
        <f>IF(TrRoad_act!S60=0,0,TrRoad_emi!S57/TrRoad_tech!S172)</f>
        <v>0.9312591363888173</v>
      </c>
      <c r="T199" s="151">
        <f>IF(TrRoad_act!T60=0,0,TrRoad_emi!T57/TrRoad_tech!T172)</f>
        <v>0.9319336675292913</v>
      </c>
      <c r="U199" s="151">
        <f>IF(TrRoad_act!U60=0,0,TrRoad_emi!U57/TrRoad_tech!U172)</f>
        <v>0.9535082798735276</v>
      </c>
      <c r="V199" s="151">
        <f>IF(TrRoad_act!V60=0,0,TrRoad_emi!V57/TrRoad_tech!V172)</f>
        <v>0.87502759098406946</v>
      </c>
      <c r="W199" s="151">
        <f>IF(TrRoad_act!W60=0,0,TrRoad_emi!W57/TrRoad_tech!W172)</f>
        <v>0.94995610269615172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1.0716005099050723</v>
      </c>
      <c r="C200" s="91">
        <f>IF(TrRoad_act!C61=0,0,TrRoad_emi!C58/TrRoad_tech!C173)</f>
        <v>1.049027930122276</v>
      </c>
      <c r="D200" s="91">
        <f>IF(TrRoad_act!D61=0,0,TrRoad_emi!D58/TrRoad_tech!D173)</f>
        <v>1.0401819728732775</v>
      </c>
      <c r="E200" s="91">
        <f>IF(TrRoad_act!E61=0,0,TrRoad_emi!E58/TrRoad_tech!E173)</f>
        <v>1.0412108032187961</v>
      </c>
      <c r="F200" s="91">
        <f>IF(TrRoad_act!F61=0,0,TrRoad_emi!F58/TrRoad_tech!F173)</f>
        <v>1.0145078737547462</v>
      </c>
      <c r="G200" s="91">
        <f>IF(TrRoad_act!G61=0,0,TrRoad_emi!G58/TrRoad_tech!G173)</f>
        <v>1.0052406657135289</v>
      </c>
      <c r="H200" s="91">
        <f>IF(TrRoad_act!H61=0,0,TrRoad_emi!H58/TrRoad_tech!H173)</f>
        <v>0.98748561062804985</v>
      </c>
      <c r="I200" s="91">
        <f>IF(TrRoad_act!I61=0,0,TrRoad_emi!I58/TrRoad_tech!I173)</f>
        <v>0.99424884821521919</v>
      </c>
      <c r="J200" s="91">
        <f>IF(TrRoad_act!J61=0,0,TrRoad_emi!J58/TrRoad_tech!J173)</f>
        <v>0.93016724583167787</v>
      </c>
      <c r="K200" s="91">
        <f>IF(TrRoad_act!K61=0,0,TrRoad_emi!K58/TrRoad_tech!K173)</f>
        <v>0.95165240398983231</v>
      </c>
      <c r="L200" s="91">
        <f>IF(TrRoad_act!L61=0,0,TrRoad_emi!L58/TrRoad_tech!L173)</f>
        <v>0.87670313322202675</v>
      </c>
      <c r="M200" s="91">
        <f>IF(TrRoad_act!M61=0,0,TrRoad_emi!M58/TrRoad_tech!M173)</f>
        <v>0.87948998044575188</v>
      </c>
      <c r="N200" s="91">
        <f>IF(TrRoad_act!N61=0,0,TrRoad_emi!N58/TrRoad_tech!N173)</f>
        <v>0.88445025901543217</v>
      </c>
      <c r="O200" s="91">
        <f>IF(TrRoad_act!O61=0,0,TrRoad_emi!O58/TrRoad_tech!O173)</f>
        <v>0.87813299233514297</v>
      </c>
      <c r="P200" s="91">
        <f>IF(TrRoad_act!P61=0,0,TrRoad_emi!P58/TrRoad_tech!P173)</f>
        <v>0.87911815885057687</v>
      </c>
      <c r="Q200" s="91">
        <f>IF(TrRoad_act!Q61=0,0,TrRoad_emi!Q58/TrRoad_tech!Q173)</f>
        <v>0.873792888820212</v>
      </c>
      <c r="R200" s="91">
        <f>IF(TrRoad_act!R61=0,0,TrRoad_emi!R58/TrRoad_tech!R173)</f>
        <v>0.88567279013694655</v>
      </c>
      <c r="S200" s="91">
        <f>IF(TrRoad_act!S61=0,0,TrRoad_emi!S58/TrRoad_tech!S173)</f>
        <v>0.87348159688385241</v>
      </c>
      <c r="T200" s="91">
        <f>IF(TrRoad_act!T61=0,0,TrRoad_emi!T58/TrRoad_tech!T173)</f>
        <v>0.87952313702617868</v>
      </c>
      <c r="U200" s="91">
        <f>IF(TrRoad_act!U61=0,0,TrRoad_emi!U58/TrRoad_tech!U173)</f>
        <v>0.89247546298072167</v>
      </c>
      <c r="V200" s="91">
        <f>IF(TrRoad_act!V61=0,0,TrRoad_emi!V58/TrRoad_tech!V173)</f>
        <v>0.81342053157361482</v>
      </c>
      <c r="W200" s="91">
        <f>IF(TrRoad_act!W61=0,0,TrRoad_emi!W58/TrRoad_tech!W173)</f>
        <v>0.8796835841494548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0.85737467775363663</v>
      </c>
      <c r="C201" s="91">
        <f>IF(TrRoad_act!C62=0,0,TrRoad_emi!C59/TrRoad_tech!C174)</f>
        <v>0.85315895401627106</v>
      </c>
      <c r="D201" s="91">
        <f>IF(TrRoad_act!D62=0,0,TrRoad_emi!D59/TrRoad_tech!D174)</f>
        <v>0.84450637800959683</v>
      </c>
      <c r="E201" s="91">
        <f>IF(TrRoad_act!E62=0,0,TrRoad_emi!E59/TrRoad_tech!E174)</f>
        <v>0.84598831091041604</v>
      </c>
      <c r="F201" s="91">
        <f>IF(TrRoad_act!F62=0,0,TrRoad_emi!F59/TrRoad_tech!F174)</f>
        <v>0.84315889725266657</v>
      </c>
      <c r="G201" s="91">
        <f>IF(TrRoad_act!G62=0,0,TrRoad_emi!G59/TrRoad_tech!G174)</f>
        <v>0.84887225073329886</v>
      </c>
      <c r="H201" s="91">
        <f>IF(TrRoad_act!H62=0,0,TrRoad_emi!H59/TrRoad_tech!H174)</f>
        <v>0.83729569858388064</v>
      </c>
      <c r="I201" s="91">
        <f>IF(TrRoad_act!I62=0,0,TrRoad_emi!I59/TrRoad_tech!I174)</f>
        <v>0.85739083073827416</v>
      </c>
      <c r="J201" s="91">
        <f>IF(TrRoad_act!J62=0,0,TrRoad_emi!J59/TrRoad_tech!J174)</f>
        <v>0.82377045525259218</v>
      </c>
      <c r="K201" s="91">
        <f>IF(TrRoad_act!K62=0,0,TrRoad_emi!K59/TrRoad_tech!K174)</f>
        <v>0.91782072711147822</v>
      </c>
      <c r="L201" s="91">
        <f>IF(TrRoad_act!L62=0,0,TrRoad_emi!L59/TrRoad_tech!L174)</f>
        <v>0.90945181578774981</v>
      </c>
      <c r="M201" s="91">
        <f>IF(TrRoad_act!M62=0,0,TrRoad_emi!M59/TrRoad_tech!M174)</f>
        <v>0.95121810638378446</v>
      </c>
      <c r="N201" s="91">
        <f>IF(TrRoad_act!N62=0,0,TrRoad_emi!N59/TrRoad_tech!N174)</f>
        <v>1.0688037896773535</v>
      </c>
      <c r="O201" s="91">
        <f>IF(TrRoad_act!O62=0,0,TrRoad_emi!O59/TrRoad_tech!O174)</f>
        <v>0.71048777614273051</v>
      </c>
      <c r="P201" s="91">
        <f>IF(TrRoad_act!P62=0,0,TrRoad_emi!P59/TrRoad_tech!P174)</f>
        <v>0.8018689160125585</v>
      </c>
      <c r="Q201" s="91">
        <f>IF(TrRoad_act!Q62=0,0,TrRoad_emi!Q59/TrRoad_tech!Q174)</f>
        <v>1.6994693274514547</v>
      </c>
      <c r="R201" s="91">
        <f>IF(TrRoad_act!R62=0,0,TrRoad_emi!R59/TrRoad_tech!R174)</f>
        <v>1.7145348937520304</v>
      </c>
      <c r="S201" s="91">
        <f>IF(TrRoad_act!S62=0,0,TrRoad_emi!S59/TrRoad_tech!S174)</f>
        <v>1.7434480771120335</v>
      </c>
      <c r="T201" s="91">
        <f>IF(TrRoad_act!T62=0,0,TrRoad_emi!T59/TrRoad_tech!T174)</f>
        <v>1.612548850553384</v>
      </c>
      <c r="U201" s="91">
        <f>IF(TrRoad_act!U62=0,0,TrRoad_emi!U59/TrRoad_tech!U174)</f>
        <v>1.5737817616119096</v>
      </c>
      <c r="V201" s="91">
        <f>IF(TrRoad_act!V62=0,0,TrRoad_emi!V59/TrRoad_tech!V174)</f>
        <v>1.3644801930852002</v>
      </c>
      <c r="W201" s="91">
        <f>IF(TrRoad_act!W62=0,0,TrRoad_emi!W59/TrRoad_tech!W174)</f>
        <v>1.5192069948093871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1.1450981103874649</v>
      </c>
      <c r="C202" s="91">
        <f>IF(TrRoad_act!C63=0,0,TrRoad_emi!C60/TrRoad_tech!C175)</f>
        <v>1.2507853493790237</v>
      </c>
      <c r="D202" s="91">
        <f>IF(TrRoad_act!D63=0,0,TrRoad_emi!D60/TrRoad_tech!D175)</f>
        <v>1.2774836361636979</v>
      </c>
      <c r="E202" s="91">
        <f>IF(TrRoad_act!E63=0,0,TrRoad_emi!E60/TrRoad_tech!E175)</f>
        <v>1.1522649886239766</v>
      </c>
      <c r="F202" s="91">
        <f>IF(TrRoad_act!F63=0,0,TrRoad_emi!F60/TrRoad_tech!F175)</f>
        <v>1.1551826137477794</v>
      </c>
      <c r="G202" s="91">
        <f>IF(TrRoad_act!G63=0,0,TrRoad_emi!G60/TrRoad_tech!G175)</f>
        <v>1.1565265849500737</v>
      </c>
      <c r="H202" s="91">
        <f>IF(TrRoad_act!H63=0,0,TrRoad_emi!H60/TrRoad_tech!H175)</f>
        <v>1.147673460260479</v>
      </c>
      <c r="I202" s="91">
        <f>IF(TrRoad_act!I63=0,0,TrRoad_emi!I60/TrRoad_tech!I175)</f>
        <v>1.1273561192438777</v>
      </c>
      <c r="J202" s="91">
        <f>IF(TrRoad_act!J63=0,0,TrRoad_emi!J60/TrRoad_tech!J175)</f>
        <v>1.1128446688209104</v>
      </c>
      <c r="K202" s="91">
        <f>IF(TrRoad_act!K63=0,0,TrRoad_emi!K60/TrRoad_tech!K175)</f>
        <v>1.0466712053634599</v>
      </c>
      <c r="L202" s="91">
        <f>IF(TrRoad_act!L63=0,0,TrRoad_emi!L60/TrRoad_tech!L175)</f>
        <v>1.0432356980713027</v>
      </c>
      <c r="M202" s="91">
        <f>IF(TrRoad_act!M63=0,0,TrRoad_emi!M60/TrRoad_tech!M175)</f>
        <v>1.7224799246378353</v>
      </c>
      <c r="N202" s="91">
        <f>IF(TrRoad_act!N63=0,0,TrRoad_emi!N60/TrRoad_tech!N175)</f>
        <v>1.0503419032254193</v>
      </c>
      <c r="O202" s="91">
        <f>IF(TrRoad_act!O63=0,0,TrRoad_emi!O60/TrRoad_tech!O175)</f>
        <v>1.0652289803339485</v>
      </c>
      <c r="P202" s="91">
        <f>IF(TrRoad_act!P63=0,0,TrRoad_emi!P60/TrRoad_tech!P175)</f>
        <v>1.0712837254174861</v>
      </c>
      <c r="Q202" s="91">
        <f>IF(TrRoad_act!Q63=0,0,TrRoad_emi!Q60/TrRoad_tech!Q175)</f>
        <v>1.0974387575252071</v>
      </c>
      <c r="R202" s="91">
        <f>IF(TrRoad_act!R63=0,0,TrRoad_emi!R60/TrRoad_tech!R175)</f>
        <v>1.0484524576926033</v>
      </c>
      <c r="S202" s="91">
        <f>IF(TrRoad_act!S63=0,0,TrRoad_emi!S60/TrRoad_tech!S175)</f>
        <v>1.0344990274978614</v>
      </c>
      <c r="T202" s="91">
        <f>IF(TrRoad_act!T63=0,0,TrRoad_emi!T60/TrRoad_tech!T175)</f>
        <v>1.0330209125774403</v>
      </c>
      <c r="U202" s="91">
        <f>IF(TrRoad_act!U63=0,0,TrRoad_emi!U60/TrRoad_tech!U175)</f>
        <v>1.0491740819595068</v>
      </c>
      <c r="V202" s="91">
        <f>IF(TrRoad_act!V63=0,0,TrRoad_emi!V60/TrRoad_tech!V175)</f>
        <v>1.046051829888641</v>
      </c>
      <c r="W202" s="91">
        <f>IF(TrRoad_act!W63=0,0,TrRoad_emi!W60/TrRoad_tech!W175)</f>
        <v>1.05064147651782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1.0288888888925896</v>
      </c>
      <c r="D203" s="91">
        <f>IF(TrRoad_act!D64=0,0,TrRoad_emi!D61/TrRoad_tech!D176)</f>
        <v>1.0294721682365613</v>
      </c>
      <c r="E203" s="91">
        <f>IF(TrRoad_act!E64=0,0,TrRoad_emi!E61/TrRoad_tech!E176)</f>
        <v>1.0297658840561819</v>
      </c>
      <c r="F203" s="91">
        <f>IF(TrRoad_act!F64=0,0,TrRoad_emi!F61/TrRoad_tech!F176)</f>
        <v>1.0298191780689847</v>
      </c>
      <c r="G203" s="91">
        <f>IF(TrRoad_act!G64=0,0,TrRoad_emi!G61/TrRoad_tech!G176)</f>
        <v>1.0307498652466291</v>
      </c>
      <c r="H203" s="91">
        <f>IF(TrRoad_act!H64=0,0,TrRoad_emi!H61/TrRoad_tech!H176)</f>
        <v>1.0314827255844574</v>
      </c>
      <c r="I203" s="91">
        <f>IF(TrRoad_act!I64=0,0,TrRoad_emi!I61/TrRoad_tech!I176)</f>
        <v>1.0334836989251008</v>
      </c>
      <c r="J203" s="91">
        <f>IF(TrRoad_act!J64=0,0,TrRoad_emi!J61/TrRoad_tech!J176)</f>
        <v>1.0338246688549046</v>
      </c>
      <c r="K203" s="91">
        <f>IF(TrRoad_act!K64=0,0,TrRoad_emi!K61/TrRoad_tech!K176)</f>
        <v>1.0390358035100682</v>
      </c>
      <c r="L203" s="91">
        <f>IF(TrRoad_act!L64=0,0,TrRoad_emi!L61/TrRoad_tech!L176)</f>
        <v>1.0422555120712693</v>
      </c>
      <c r="M203" s="91">
        <f>IF(TrRoad_act!M64=0,0,TrRoad_emi!M61/TrRoad_tech!M176)</f>
        <v>1.0439205224862937</v>
      </c>
      <c r="N203" s="91">
        <f>IF(TrRoad_act!N64=0,0,TrRoad_emi!N61/TrRoad_tech!N176)</f>
        <v>1.0445629535059031</v>
      </c>
      <c r="O203" s="91">
        <f>IF(TrRoad_act!O64=0,0,TrRoad_emi!O61/TrRoad_tech!O176)</f>
        <v>1.0454035034136679</v>
      </c>
      <c r="P203" s="91">
        <f>IF(TrRoad_act!P64=0,0,TrRoad_emi!P61/TrRoad_tech!P176)</f>
        <v>1.0455449122755711</v>
      </c>
      <c r="Q203" s="91">
        <f>IF(TrRoad_act!Q64=0,0,TrRoad_emi!Q61/TrRoad_tech!Q176)</f>
        <v>1.0501174847433767</v>
      </c>
      <c r="R203" s="91">
        <f>IF(TrRoad_act!R64=0,0,TrRoad_emi!R61/TrRoad_tech!R176)</f>
        <v>1.0526261638883394</v>
      </c>
      <c r="S203" s="91">
        <f>IF(TrRoad_act!S64=0,0,TrRoad_emi!S61/TrRoad_tech!S176)</f>
        <v>1.0538719912646615</v>
      </c>
      <c r="T203" s="91">
        <f>IF(TrRoad_act!T64=0,0,TrRoad_emi!T61/TrRoad_tech!T176)</f>
        <v>1.0566769190386018</v>
      </c>
      <c r="U203" s="91">
        <f>IF(TrRoad_act!U64=0,0,TrRoad_emi!U61/TrRoad_tech!U176)</f>
        <v>1.0628861203359172</v>
      </c>
      <c r="V203" s="91">
        <f>IF(TrRoad_act!V64=0,0,TrRoad_emi!V61/TrRoad_tech!V176)</f>
        <v>1.0783014766141994</v>
      </c>
      <c r="W203" s="91">
        <f>IF(TrRoad_act!W64=0,0,TrRoad_emi!W61/TrRoad_tech!W176)</f>
        <v>1.0909847603102092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0.9112736568490768</v>
      </c>
      <c r="O204" s="91">
        <f>IF(TrRoad_act!O65=0,0,TrRoad_emi!O62/TrRoad_tech!O177)</f>
        <v>0.90851972050687146</v>
      </c>
      <c r="P204" s="91">
        <f>IF(TrRoad_act!P65=0,0,TrRoad_emi!P62/TrRoad_tech!P177)</f>
        <v>0.91339446250312883</v>
      </c>
      <c r="Q204" s="91">
        <f>IF(TrRoad_act!Q65=0,0,TrRoad_emi!Q62/TrRoad_tech!Q177)</f>
        <v>0.91116120340151918</v>
      </c>
      <c r="R204" s="91">
        <f>IF(TrRoad_act!R65=0,0,TrRoad_emi!R62/TrRoad_tech!R177)</f>
        <v>0.92680942463140947</v>
      </c>
      <c r="S204" s="91">
        <f>IF(TrRoad_act!S65=0,0,TrRoad_emi!S62/TrRoad_tech!S177)</f>
        <v>0.91460902247603959</v>
      </c>
      <c r="T204" s="91">
        <f>IF(TrRoad_act!T65=0,0,TrRoad_emi!T62/TrRoad_tech!T177)</f>
        <v>0.92076234442232541</v>
      </c>
      <c r="U204" s="91">
        <f>IF(TrRoad_act!U65=0,0,TrRoad_emi!U62/TrRoad_tech!U177)</f>
        <v>0.93325516665028452</v>
      </c>
      <c r="V204" s="91">
        <f>IF(TrRoad_act!V65=0,0,TrRoad_emi!V62/TrRoad_tech!V177)</f>
        <v>0.84983744765232994</v>
      </c>
      <c r="W204" s="91">
        <f>IF(TrRoad_act!W65=0,0,TrRoad_emi!W62/TrRoad_tech!W177)</f>
        <v>0.91538022803971664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1.2491825716974172</v>
      </c>
      <c r="C206" s="151">
        <f>IF(TrRoad_act!C67=0,0,TrRoad_emi!C64/TrRoad_tech!C179)</f>
        <v>1.2576843267297588</v>
      </c>
      <c r="D206" s="151">
        <f>IF(TrRoad_act!D67=0,0,TrRoad_emi!D64/TrRoad_tech!D179)</f>
        <v>1.2292591795516159</v>
      </c>
      <c r="E206" s="151">
        <f>IF(TrRoad_act!E67=0,0,TrRoad_emi!E64/TrRoad_tech!E179)</f>
        <v>1.5806187832685266</v>
      </c>
      <c r="F206" s="151">
        <f>IF(TrRoad_act!F67=0,0,TrRoad_emi!F64/TrRoad_tech!F179)</f>
        <v>1.2120064138200723</v>
      </c>
      <c r="G206" s="151">
        <f>IF(TrRoad_act!G67=0,0,TrRoad_emi!G64/TrRoad_tech!G179)</f>
        <v>1.3763138071095793</v>
      </c>
      <c r="H206" s="151">
        <f>IF(TrRoad_act!H67=0,0,TrRoad_emi!H64/TrRoad_tech!H179)</f>
        <v>1.2988650903777297</v>
      </c>
      <c r="I206" s="151">
        <f>IF(TrRoad_act!I67=0,0,TrRoad_emi!I64/TrRoad_tech!I179)</f>
        <v>1.344788772336371</v>
      </c>
      <c r="J206" s="151">
        <f>IF(TrRoad_act!J67=0,0,TrRoad_emi!J64/TrRoad_tech!J179)</f>
        <v>1.2827850154686764</v>
      </c>
      <c r="K206" s="151">
        <f>IF(TrRoad_act!K67=0,0,TrRoad_emi!K64/TrRoad_tech!K179)</f>
        <v>1.5804403799402442</v>
      </c>
      <c r="L206" s="151">
        <f>IF(TrRoad_act!L67=0,0,TrRoad_emi!L64/TrRoad_tech!L179)</f>
        <v>1.3707969090156882</v>
      </c>
      <c r="M206" s="151">
        <f>IF(TrRoad_act!M67=0,0,TrRoad_emi!M64/TrRoad_tech!M179)</f>
        <v>1.4734451998499467</v>
      </c>
      <c r="N206" s="151">
        <f>IF(TrRoad_act!N67=0,0,TrRoad_emi!N64/TrRoad_tech!N179)</f>
        <v>1.2275552603046394</v>
      </c>
      <c r="O206" s="151">
        <f>IF(TrRoad_act!O67=0,0,TrRoad_emi!O64/TrRoad_tech!O179)</f>
        <v>1.4027691968946061</v>
      </c>
      <c r="P206" s="151">
        <f>IF(TrRoad_act!P67=0,0,TrRoad_emi!P64/TrRoad_tech!P179)</f>
        <v>1.3808709431598114</v>
      </c>
      <c r="Q206" s="151">
        <f>IF(TrRoad_act!Q67=0,0,TrRoad_emi!Q64/TrRoad_tech!Q179)</f>
        <v>1.3392174680478308</v>
      </c>
      <c r="R206" s="151">
        <f>IF(TrRoad_act!R67=0,0,TrRoad_emi!R64/TrRoad_tech!R179)</f>
        <v>1.3794495219067973</v>
      </c>
      <c r="S206" s="151">
        <f>IF(TrRoad_act!S67=0,0,TrRoad_emi!S64/TrRoad_tech!S179)</f>
        <v>1.3993784611714122</v>
      </c>
      <c r="T206" s="151">
        <f>IF(TrRoad_act!T67=0,0,TrRoad_emi!T64/TrRoad_tech!T179)</f>
        <v>1.4678519132300203</v>
      </c>
      <c r="U206" s="151">
        <f>IF(TrRoad_act!U67=0,0,TrRoad_emi!U64/TrRoad_tech!U179)</f>
        <v>1.5482999753579842</v>
      </c>
      <c r="V206" s="151">
        <f>IF(TrRoad_act!V67=0,0,TrRoad_emi!V64/TrRoad_tech!V179)</f>
        <v>1.5293377965582493</v>
      </c>
      <c r="W206" s="151">
        <f>IF(TrRoad_act!W67=0,0,TrRoad_emi!W64/TrRoad_tech!W179)</f>
        <v>1.563163777041213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0</v>
      </c>
      <c r="C207" s="93">
        <f>IF(TrRoad_act!C68=0,0,TrRoad_emi!C65/TrRoad_tech!C180)</f>
        <v>0</v>
      </c>
      <c r="D207" s="93">
        <f>IF(TrRoad_act!D68=0,0,TrRoad_emi!D65/TrRoad_tech!D180)</f>
        <v>0</v>
      </c>
      <c r="E207" s="93">
        <f>IF(TrRoad_act!E68=0,0,TrRoad_emi!E65/TrRoad_tech!E180)</f>
        <v>0</v>
      </c>
      <c r="F207" s="93">
        <f>IF(TrRoad_act!F68=0,0,TrRoad_emi!F65/TrRoad_tech!F180)</f>
        <v>0</v>
      </c>
      <c r="G207" s="93">
        <f>IF(TrRoad_act!G68=0,0,TrRoad_emi!G65/TrRoad_tech!G180)</f>
        <v>0</v>
      </c>
      <c r="H207" s="93">
        <f>IF(TrRoad_act!H68=0,0,TrRoad_emi!H65/TrRoad_tech!H180)</f>
        <v>0</v>
      </c>
      <c r="I207" s="93">
        <f>IF(TrRoad_act!I68=0,0,TrRoad_emi!I65/TrRoad_tech!I180)</f>
        <v>0</v>
      </c>
      <c r="J207" s="93">
        <f>IF(TrRoad_act!J68=0,0,TrRoad_emi!J65/TrRoad_tech!J180)</f>
        <v>0</v>
      </c>
      <c r="K207" s="93">
        <f>IF(TrRoad_act!K68=0,0,TrRoad_emi!K65/TrRoad_tech!K180)</f>
        <v>0</v>
      </c>
      <c r="L207" s="93">
        <f>IF(TrRoad_act!L68=0,0,TrRoad_emi!L65/TrRoad_tech!L180)</f>
        <v>0</v>
      </c>
      <c r="M207" s="93">
        <f>IF(TrRoad_act!M68=0,0,TrRoad_emi!M65/TrRoad_tech!M180)</f>
        <v>0</v>
      </c>
      <c r="N207" s="93">
        <f>IF(TrRoad_act!N68=0,0,TrRoad_emi!N65/TrRoad_tech!N180)</f>
        <v>0</v>
      </c>
      <c r="O207" s="93">
        <f>IF(TrRoad_act!O68=0,0,TrRoad_emi!O65/TrRoad_tech!O180)</f>
        <v>0</v>
      </c>
      <c r="P207" s="93">
        <f>IF(TrRoad_act!P68=0,0,TrRoad_emi!P65/TrRoad_tech!P180)</f>
        <v>0</v>
      </c>
      <c r="Q207" s="93">
        <f>IF(TrRoad_act!Q68=0,0,TrRoad_emi!Q65/TrRoad_tech!Q180)</f>
        <v>0</v>
      </c>
      <c r="R207" s="93">
        <f>IF(TrRoad_act!R68=0,0,TrRoad_emi!R65/TrRoad_tech!R180)</f>
        <v>0</v>
      </c>
      <c r="S207" s="93">
        <f>IF(TrRoad_act!S68=0,0,TrRoad_emi!S65/TrRoad_tech!S180)</f>
        <v>0</v>
      </c>
      <c r="T207" s="93">
        <f>IF(TrRoad_act!T68=0,0,TrRoad_emi!T65/TrRoad_tech!T180)</f>
        <v>0</v>
      </c>
      <c r="U207" s="93">
        <f>IF(TrRoad_act!U68=0,0,TrRoad_emi!U65/TrRoad_tech!U180)</f>
        <v>0</v>
      </c>
      <c r="V207" s="93">
        <f>IF(TrRoad_act!V68=0,0,TrRoad_emi!V65/TrRoad_tech!V180)</f>
        <v>0</v>
      </c>
      <c r="W207" s="93">
        <f>IF(TrRoad_act!W68=0,0,TrRoad_emi!W65/TrRoad_tech!W180)</f>
        <v>0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1.2491825716974172</v>
      </c>
      <c r="C208" s="93">
        <f>IF(TrRoad_act!C69=0,0,TrRoad_emi!C66/TrRoad_tech!C181)</f>
        <v>1.2466474449867093</v>
      </c>
      <c r="D208" s="93">
        <f>IF(TrRoad_act!D69=0,0,TrRoad_emi!D66/TrRoad_tech!D181)</f>
        <v>1.2469561062884185</v>
      </c>
      <c r="E208" s="93">
        <f>IF(TrRoad_act!E69=0,0,TrRoad_emi!E66/TrRoad_tech!E181)</f>
        <v>1.633465975976963</v>
      </c>
      <c r="F208" s="93">
        <f>IF(TrRoad_act!F69=0,0,TrRoad_emi!F66/TrRoad_tech!F181)</f>
        <v>1.2568498173393572</v>
      </c>
      <c r="G208" s="93">
        <f>IF(TrRoad_act!G69=0,0,TrRoad_emi!G66/TrRoad_tech!G181)</f>
        <v>1.4268825532469842</v>
      </c>
      <c r="H208" s="93">
        <f>IF(TrRoad_act!H69=0,0,TrRoad_emi!H66/TrRoad_tech!H181)</f>
        <v>1.3471237280337078</v>
      </c>
      <c r="I208" s="93">
        <f>IF(TrRoad_act!I69=0,0,TrRoad_emi!I66/TrRoad_tech!I181)</f>
        <v>1.3861929315954187</v>
      </c>
      <c r="J208" s="93">
        <f>IF(TrRoad_act!J69=0,0,TrRoad_emi!J66/TrRoad_tech!J181)</f>
        <v>1.3256959153315935</v>
      </c>
      <c r="K208" s="93">
        <f>IF(TrRoad_act!K69=0,0,TrRoad_emi!K66/TrRoad_tech!K181)</f>
        <v>1.6389701389083282</v>
      </c>
      <c r="L208" s="93">
        <f>IF(TrRoad_act!L69=0,0,TrRoad_emi!L66/TrRoad_tech!L181)</f>
        <v>1.4120946903915557</v>
      </c>
      <c r="M208" s="93">
        <f>IF(TrRoad_act!M69=0,0,TrRoad_emi!M66/TrRoad_tech!M181)</f>
        <v>1.5075158226976786</v>
      </c>
      <c r="N208" s="93">
        <f>IF(TrRoad_act!N69=0,0,TrRoad_emi!N66/TrRoad_tech!N181)</f>
        <v>1.2415921806706987</v>
      </c>
      <c r="O208" s="93">
        <f>IF(TrRoad_act!O69=0,0,TrRoad_emi!O66/TrRoad_tech!O181)</f>
        <v>1.4290479937241654</v>
      </c>
      <c r="P208" s="93">
        <f>IF(TrRoad_act!P69=0,0,TrRoad_emi!P66/TrRoad_tech!P181)</f>
        <v>1.3930877437340543</v>
      </c>
      <c r="Q208" s="93">
        <f>IF(TrRoad_act!Q69=0,0,TrRoad_emi!Q66/TrRoad_tech!Q181)</f>
        <v>1.3456068392317624</v>
      </c>
      <c r="R208" s="93">
        <f>IF(TrRoad_act!R69=0,0,TrRoad_emi!R66/TrRoad_tech!R181)</f>
        <v>1.3810642354247513</v>
      </c>
      <c r="S208" s="93">
        <f>IF(TrRoad_act!S69=0,0,TrRoad_emi!S66/TrRoad_tech!S181)</f>
        <v>1.4246559659059717</v>
      </c>
      <c r="T208" s="93">
        <f>IF(TrRoad_act!T69=0,0,TrRoad_emi!T66/TrRoad_tech!T181)</f>
        <v>1.4688590622540492</v>
      </c>
      <c r="U208" s="93">
        <f>IF(TrRoad_act!U69=0,0,TrRoad_emi!U66/TrRoad_tech!U181)</f>
        <v>1.5582952437058941</v>
      </c>
      <c r="V208" s="93">
        <f>IF(TrRoad_act!V69=0,0,TrRoad_emi!V66/TrRoad_tech!V181)</f>
        <v>1.5429784877680675</v>
      </c>
      <c r="W208" s="93">
        <f>IF(TrRoad_act!W69=0,0,TrRoad_emi!W66/TrRoad_tech!W181)</f>
        <v>1.577056449430811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0</v>
      </c>
      <c r="U209" s="93">
        <f>IF(TrRoad_act!U70=0,0,TrRoad_emi!U67/TrRoad_tech!U182)</f>
        <v>0</v>
      </c>
      <c r="V209" s="93">
        <f>IF(TrRoad_act!V70=0,0,TrRoad_emi!V67/TrRoad_tech!V182)</f>
        <v>0</v>
      </c>
      <c r="W209" s="93">
        <f>IF(TrRoad_act!W70=0,0,TrRoad_emi!W67/TrRoad_tech!W182)</f>
        <v>0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1.0741267414452165</v>
      </c>
      <c r="D210" s="93">
        <f>IF(TrRoad_act!D71=0,0,TrRoad_emi!D68/TrRoad_tech!D183)</f>
        <v>1.0905616030736061</v>
      </c>
      <c r="E210" s="93">
        <f>IF(TrRoad_act!E71=0,0,TrRoad_emi!E68/TrRoad_tech!E183)</f>
        <v>1.0904201544161982</v>
      </c>
      <c r="F210" s="93">
        <f>IF(TrRoad_act!F71=0,0,TrRoad_emi!F68/TrRoad_tech!F183)</f>
        <v>1.0899664384369026</v>
      </c>
      <c r="G210" s="93">
        <f>IF(TrRoad_act!G71=0,0,TrRoad_emi!G68/TrRoad_tech!G183)</f>
        <v>1.1383598501897882</v>
      </c>
      <c r="H210" s="93">
        <f>IF(TrRoad_act!H71=0,0,TrRoad_emi!H68/TrRoad_tech!H183)</f>
        <v>1.1311527319410866</v>
      </c>
      <c r="I210" s="93">
        <f>IF(TrRoad_act!I71=0,0,TrRoad_emi!I68/TrRoad_tech!I183)</f>
        <v>1.1216491474307551</v>
      </c>
      <c r="J210" s="93">
        <f>IF(TrRoad_act!J71=0,0,TrRoad_emi!J68/TrRoad_tech!J183)</f>
        <v>1.0962396403176911</v>
      </c>
      <c r="K210" s="93">
        <f>IF(TrRoad_act!K71=0,0,TrRoad_emi!K68/TrRoad_tech!K183)</f>
        <v>1.1692340437452442</v>
      </c>
      <c r="L210" s="93">
        <f>IF(TrRoad_act!L71=0,0,TrRoad_emi!L68/TrRoad_tech!L183)</f>
        <v>1.1203700516592041</v>
      </c>
      <c r="M210" s="93">
        <f>IF(TrRoad_act!M71=0,0,TrRoad_emi!M68/TrRoad_tech!M183)</f>
        <v>1.2066942392297568</v>
      </c>
      <c r="N210" s="93">
        <f>IF(TrRoad_act!N71=0,0,TrRoad_emi!N68/TrRoad_tech!N183)</f>
        <v>1.2047711966139152</v>
      </c>
      <c r="O210" s="93">
        <f>IF(TrRoad_act!O71=0,0,TrRoad_emi!O68/TrRoad_tech!O183)</f>
        <v>1.1496890596960423</v>
      </c>
      <c r="P210" s="93">
        <f>IF(TrRoad_act!P71=0,0,TrRoad_emi!P68/TrRoad_tech!P183)</f>
        <v>1.1735649695906281</v>
      </c>
      <c r="Q210" s="93">
        <f>IF(TrRoad_act!Q71=0,0,TrRoad_emi!Q68/TrRoad_tech!Q183)</f>
        <v>1.2473475780927983</v>
      </c>
      <c r="R210" s="93">
        <f>IF(TrRoad_act!R71=0,0,TrRoad_emi!R68/TrRoad_tech!R183)</f>
        <v>1.6373047248907737</v>
      </c>
      <c r="S210" s="93">
        <f>IF(TrRoad_act!S71=0,0,TrRoad_emi!S68/TrRoad_tech!S183)</f>
        <v>1.1337648251992336</v>
      </c>
      <c r="T210" s="93">
        <f>IF(TrRoad_act!T71=0,0,TrRoad_emi!T68/TrRoad_tech!T183)</f>
        <v>1.224326100393915</v>
      </c>
      <c r="U210" s="93">
        <f>IF(TrRoad_act!U71=0,0,TrRoad_emi!U68/TrRoad_tech!U183)</f>
        <v>1.3766103309439923</v>
      </c>
      <c r="V210" s="93">
        <f>IF(TrRoad_act!V71=0,0,TrRoad_emi!V68/TrRoad_tech!V183)</f>
        <v>1.2310508872069994</v>
      </c>
      <c r="W210" s="93">
        <f>IF(TrRoad_act!W71=0,0,TrRoad_emi!W68/TrRoad_tech!W183)</f>
        <v>1.323912596405673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1.0334365081890637</v>
      </c>
      <c r="C213" s="150">
        <f>IF(TrRoad_act!C74=0,0,TrRoad_emi!C71/TrRoad_tech!C186)</f>
        <v>1.0099463964310473</v>
      </c>
      <c r="D213" s="150">
        <f>IF(TrRoad_act!D74=0,0,TrRoad_emi!D71/TrRoad_tech!D186)</f>
        <v>1.0157885535535904</v>
      </c>
      <c r="E213" s="150">
        <f>IF(TrRoad_act!E74=0,0,TrRoad_emi!E71/TrRoad_tech!E186)</f>
        <v>1.020149889339647</v>
      </c>
      <c r="F213" s="150">
        <f>IF(TrRoad_act!F74=0,0,TrRoad_emi!F71/TrRoad_tech!F186)</f>
        <v>1.0297455760044587</v>
      </c>
      <c r="G213" s="150">
        <f>IF(TrRoad_act!G74=0,0,TrRoad_emi!G71/TrRoad_tech!G186)</f>
        <v>1.0523085695857242</v>
      </c>
      <c r="H213" s="150">
        <f>IF(TrRoad_act!H74=0,0,TrRoad_emi!H71/TrRoad_tech!H186)</f>
        <v>1.0515195452052286</v>
      </c>
      <c r="I213" s="150">
        <f>IF(TrRoad_act!I74=0,0,TrRoad_emi!I71/TrRoad_tech!I186)</f>
        <v>1.0830805881337728</v>
      </c>
      <c r="J213" s="150">
        <f>IF(TrRoad_act!J74=0,0,TrRoad_emi!J71/TrRoad_tech!J186)</f>
        <v>1.1508273849628547</v>
      </c>
      <c r="K213" s="150">
        <f>IF(TrRoad_act!K74=0,0,TrRoad_emi!K71/TrRoad_tech!K186)</f>
        <v>1.0534138225215097</v>
      </c>
      <c r="L213" s="150">
        <f>IF(TrRoad_act!L74=0,0,TrRoad_emi!L71/TrRoad_tech!L186)</f>
        <v>1.1565529609532452</v>
      </c>
      <c r="M213" s="150">
        <f>IF(TrRoad_act!M74=0,0,TrRoad_emi!M71/TrRoad_tech!M186)</f>
        <v>1.1862696879866053</v>
      </c>
      <c r="N213" s="150">
        <f>IF(TrRoad_act!N74=0,0,TrRoad_emi!N71/TrRoad_tech!N186)</f>
        <v>1.0074669876788751</v>
      </c>
      <c r="O213" s="150">
        <f>IF(TrRoad_act!O74=0,0,TrRoad_emi!O71/TrRoad_tech!O186)</f>
        <v>1.2401711156383168</v>
      </c>
      <c r="P213" s="150">
        <f>IF(TrRoad_act!P74=0,0,TrRoad_emi!P71/TrRoad_tech!P186)</f>
        <v>1.3541651749658459</v>
      </c>
      <c r="Q213" s="150">
        <f>IF(TrRoad_act!Q74=0,0,TrRoad_emi!Q71/TrRoad_tech!Q186)</f>
        <v>1.27947349597537</v>
      </c>
      <c r="R213" s="150">
        <f>IF(TrRoad_act!R74=0,0,TrRoad_emi!R71/TrRoad_tech!R186)</f>
        <v>1.291300131557477</v>
      </c>
      <c r="S213" s="150">
        <f>IF(TrRoad_act!S74=0,0,TrRoad_emi!S71/TrRoad_tech!S186)</f>
        <v>1.048457985433737</v>
      </c>
      <c r="T213" s="150">
        <f>IF(TrRoad_act!T74=0,0,TrRoad_emi!T71/TrRoad_tech!T186)</f>
        <v>1.3589911803909562</v>
      </c>
      <c r="U213" s="150">
        <f>IF(TrRoad_act!U74=0,0,TrRoad_emi!U71/TrRoad_tech!U186)</f>
        <v>1.1315966098344756</v>
      </c>
      <c r="V213" s="150">
        <f>IF(TrRoad_act!V74=0,0,TrRoad_emi!V71/TrRoad_tech!V186)</f>
        <v>1.2174194005344767</v>
      </c>
      <c r="W213" s="150">
        <f>IF(TrRoad_act!W74=0,0,TrRoad_emi!W71/TrRoad_tech!W186)</f>
        <v>1.1027466658332774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1.1000000000067305</v>
      </c>
      <c r="C214" s="91">
        <f>IF(TrRoad_act!C75=0,0,TrRoad_emi!C72/TrRoad_tech!C187)</f>
        <v>1.1000016168765698</v>
      </c>
      <c r="D214" s="91">
        <f>IF(TrRoad_act!D75=0,0,TrRoad_emi!D72/TrRoad_tech!D187)</f>
        <v>1.1000056414978492</v>
      </c>
      <c r="E214" s="91">
        <f>IF(TrRoad_act!E75=0,0,TrRoad_emi!E72/TrRoad_tech!E187)</f>
        <v>1.1000110869244293</v>
      </c>
      <c r="F214" s="91">
        <f>IF(TrRoad_act!F75=0,0,TrRoad_emi!F72/TrRoad_tech!F187)</f>
        <v>1.1000177126911856</v>
      </c>
      <c r="G214" s="91">
        <f>IF(TrRoad_act!G75=0,0,TrRoad_emi!G72/TrRoad_tech!G187)</f>
        <v>1.100028496160248</v>
      </c>
      <c r="H214" s="91">
        <f>IF(TrRoad_act!H75=0,0,TrRoad_emi!H72/TrRoad_tech!H187)</f>
        <v>1.1003096849427205</v>
      </c>
      <c r="I214" s="91">
        <f>IF(TrRoad_act!I75=0,0,TrRoad_emi!I72/TrRoad_tech!I187)</f>
        <v>1.1016595917955729</v>
      </c>
      <c r="J214" s="91">
        <f>IF(TrRoad_act!J75=0,0,TrRoad_emi!J72/TrRoad_tech!J187)</f>
        <v>1.1038676735643451</v>
      </c>
      <c r="K214" s="91">
        <f>IF(TrRoad_act!K75=0,0,TrRoad_emi!K72/TrRoad_tech!K187)</f>
        <v>1.1043803606427445</v>
      </c>
      <c r="L214" s="91">
        <f>IF(TrRoad_act!L75=0,0,TrRoad_emi!L72/TrRoad_tech!L187)</f>
        <v>1.1063145745056782</v>
      </c>
      <c r="M214" s="91">
        <f>IF(TrRoad_act!M75=0,0,TrRoad_emi!M72/TrRoad_tech!M187)</f>
        <v>1.1069517643310478</v>
      </c>
      <c r="N214" s="91">
        <f>IF(TrRoad_act!N75=0,0,TrRoad_emi!N72/TrRoad_tech!N187)</f>
        <v>1.1075161627710912</v>
      </c>
      <c r="O214" s="91">
        <f>IF(TrRoad_act!O75=0,0,TrRoad_emi!O72/TrRoad_tech!O187)</f>
        <v>1.1081020047604559</v>
      </c>
      <c r="P214" s="91">
        <f>IF(TrRoad_act!P75=0,0,TrRoad_emi!P72/TrRoad_tech!P187)</f>
        <v>1.1130672832932982</v>
      </c>
      <c r="Q214" s="91">
        <f>IF(TrRoad_act!Q75=0,0,TrRoad_emi!Q72/TrRoad_tech!Q187)</f>
        <v>1.1239985837125313</v>
      </c>
      <c r="R214" s="91">
        <f>IF(TrRoad_act!R75=0,0,TrRoad_emi!R72/TrRoad_tech!R187)</f>
        <v>1.1411843359079299</v>
      </c>
      <c r="S214" s="91">
        <f>IF(TrRoad_act!S75=0,0,TrRoad_emi!S72/TrRoad_tech!S187)</f>
        <v>1.1442828040077453</v>
      </c>
      <c r="T214" s="91">
        <f>IF(TrRoad_act!T75=0,0,TrRoad_emi!T72/TrRoad_tech!T187)</f>
        <v>1.1582617225245879</v>
      </c>
      <c r="U214" s="91">
        <f>IF(TrRoad_act!U75=0,0,TrRoad_emi!U72/TrRoad_tech!U187)</f>
        <v>1.1599887112638783</v>
      </c>
      <c r="V214" s="91">
        <f>IF(TrRoad_act!V75=0,0,TrRoad_emi!V72/TrRoad_tech!V187)</f>
        <v>1.1492494610174993</v>
      </c>
      <c r="W214" s="91">
        <f>IF(TrRoad_act!W75=0,0,TrRoad_emi!W72/TrRoad_tech!W187)</f>
        <v>1.1634794647124653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1.1000000000067303</v>
      </c>
      <c r="C215" s="91">
        <f>IF(TrRoad_act!C76=0,0,TrRoad_emi!C73/TrRoad_tech!C188)</f>
        <v>1.1000535702076477</v>
      </c>
      <c r="D215" s="91">
        <f>IF(TrRoad_act!D76=0,0,TrRoad_emi!D73/TrRoad_tech!D188)</f>
        <v>1.1001566387665938</v>
      </c>
      <c r="E215" s="91">
        <f>IF(TrRoad_act!E76=0,0,TrRoad_emi!E73/TrRoad_tech!E188)</f>
        <v>1.1004272374076052</v>
      </c>
      <c r="F215" s="91">
        <f>IF(TrRoad_act!F76=0,0,TrRoad_emi!F73/TrRoad_tech!F188)</f>
        <v>1.1006490575537426</v>
      </c>
      <c r="G215" s="91">
        <f>IF(TrRoad_act!G76=0,0,TrRoad_emi!G73/TrRoad_tech!G188)</f>
        <v>1.1009204249313693</v>
      </c>
      <c r="H215" s="91">
        <f>IF(TrRoad_act!H76=0,0,TrRoad_emi!H73/TrRoad_tech!H188)</f>
        <v>1.0802518935458874</v>
      </c>
      <c r="I215" s="91">
        <f>IF(TrRoad_act!I76=0,0,TrRoad_emi!I73/TrRoad_tech!I188)</f>
        <v>1.0655013181151989</v>
      </c>
      <c r="J215" s="91">
        <f>IF(TrRoad_act!J76=0,0,TrRoad_emi!J73/TrRoad_tech!J188)</f>
        <v>1.0730736993030678</v>
      </c>
      <c r="K215" s="91">
        <f>IF(TrRoad_act!K76=0,0,TrRoad_emi!K73/TrRoad_tech!K188)</f>
        <v>1.0809943169303722</v>
      </c>
      <c r="L215" s="91">
        <f>IF(TrRoad_act!L76=0,0,TrRoad_emi!L73/TrRoad_tech!L188)</f>
        <v>1.0613146232249417</v>
      </c>
      <c r="M215" s="91">
        <f>IF(TrRoad_act!M76=0,0,TrRoad_emi!M73/TrRoad_tech!M188)</f>
        <v>1.0653680628812952</v>
      </c>
      <c r="N215" s="91">
        <f>IF(TrRoad_act!N76=0,0,TrRoad_emi!N73/TrRoad_tech!N188)</f>
        <v>1.0518440030789924</v>
      </c>
      <c r="O215" s="91">
        <f>IF(TrRoad_act!O76=0,0,TrRoad_emi!O73/TrRoad_tech!O188)</f>
        <v>1.0595197536478409</v>
      </c>
      <c r="P215" s="91">
        <f>IF(TrRoad_act!P76=0,0,TrRoad_emi!P73/TrRoad_tech!P188)</f>
        <v>1.0630418006482443</v>
      </c>
      <c r="Q215" s="91">
        <f>IF(TrRoad_act!Q76=0,0,TrRoad_emi!Q73/TrRoad_tech!Q188)</f>
        <v>1.0774868895313106</v>
      </c>
      <c r="R215" s="91">
        <f>IF(TrRoad_act!R76=0,0,TrRoad_emi!R73/TrRoad_tech!R188)</f>
        <v>1.0889758598888959</v>
      </c>
      <c r="S215" s="91">
        <f>IF(TrRoad_act!S76=0,0,TrRoad_emi!S73/TrRoad_tech!S188)</f>
        <v>1.0902191082690906</v>
      </c>
      <c r="T215" s="91">
        <f>IF(TrRoad_act!T76=0,0,TrRoad_emi!T73/TrRoad_tech!T188)</f>
        <v>1.103240772275254</v>
      </c>
      <c r="U215" s="91">
        <f>IF(TrRoad_act!U76=0,0,TrRoad_emi!U73/TrRoad_tech!U188)</f>
        <v>1.1151078438299173</v>
      </c>
      <c r="V215" s="91">
        <f>IF(TrRoad_act!V76=0,0,TrRoad_emi!V73/TrRoad_tech!V188)</f>
        <v>1.1270144439150411</v>
      </c>
      <c r="W215" s="91">
        <f>IF(TrRoad_act!W76=0,0,TrRoad_emi!W73/TrRoad_tech!W188)</f>
        <v>1.1369923309194623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0</v>
      </c>
      <c r="O216" s="91">
        <f>IF(TrRoad_act!O77=0,0,TrRoad_emi!O74/TrRoad_tech!O189)</f>
        <v>0</v>
      </c>
      <c r="P216" s="91">
        <f>IF(TrRoad_act!P77=0,0,TrRoad_emi!P74/TrRoad_tech!P189)</f>
        <v>0</v>
      </c>
      <c r="Q216" s="91">
        <f>IF(TrRoad_act!Q77=0,0,TrRoad_emi!Q74/TrRoad_tech!Q189)</f>
        <v>0</v>
      </c>
      <c r="R216" s="91">
        <f>IF(TrRoad_act!R77=0,0,TrRoad_emi!R74/TrRoad_tech!R189)</f>
        <v>0</v>
      </c>
      <c r="S216" s="91">
        <f>IF(TrRoad_act!S77=0,0,TrRoad_emi!S74/TrRoad_tech!S189)</f>
        <v>0</v>
      </c>
      <c r="T216" s="91">
        <f>IF(TrRoad_act!T77=0,0,TrRoad_emi!T74/TrRoad_tech!T189)</f>
        <v>0</v>
      </c>
      <c r="U216" s="91">
        <f>IF(TrRoad_act!U77=0,0,TrRoad_emi!U74/TrRoad_tech!U189)</f>
        <v>0</v>
      </c>
      <c r="V216" s="91">
        <f>IF(TrRoad_act!V77=0,0,TrRoad_emi!V74/TrRoad_tech!V189)</f>
        <v>0</v>
      </c>
      <c r="W216" s="91">
        <f>IF(TrRoad_act!W77=0,0,TrRoad_emi!W74/TrRoad_tech!W189)</f>
        <v>0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0</v>
      </c>
      <c r="P217" s="91">
        <f>IF(TrRoad_act!P78=0,0,TrRoad_emi!P75/TrRoad_tech!P190)</f>
        <v>0</v>
      </c>
      <c r="Q217" s="91">
        <f>IF(TrRoad_act!Q78=0,0,TrRoad_emi!Q75/TrRoad_tech!Q190)</f>
        <v>0</v>
      </c>
      <c r="R217" s="91">
        <f>IF(TrRoad_act!R78=0,0,TrRoad_emi!R75/TrRoad_tech!R190)</f>
        <v>0</v>
      </c>
      <c r="S217" s="91">
        <f>IF(TrRoad_act!S78=0,0,TrRoad_emi!S75/TrRoad_tech!S190)</f>
        <v>0</v>
      </c>
      <c r="T217" s="91">
        <f>IF(TrRoad_act!T78=0,0,TrRoad_emi!T75/TrRoad_tech!T190)</f>
        <v>0</v>
      </c>
      <c r="U217" s="91">
        <f>IF(TrRoad_act!U78=0,0,TrRoad_emi!U75/TrRoad_tech!U190)</f>
        <v>0</v>
      </c>
      <c r="V217" s="91">
        <f>IF(TrRoad_act!V78=0,0,TrRoad_emi!V75/TrRoad_tech!V190)</f>
        <v>0</v>
      </c>
      <c r="W217" s="91">
        <f>IF(TrRoad_act!W78=0,0,TrRoad_emi!W75/TrRoad_tech!W190)</f>
        <v>0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1.3504543754378977</v>
      </c>
      <c r="C219" s="151">
        <f>IF(TrRoad_act!C80=0,0,TrRoad_emi!C77/TrRoad_tech!C192)</f>
        <v>1.3461836341658169</v>
      </c>
      <c r="D219" s="151">
        <f>IF(TrRoad_act!D80=0,0,TrRoad_emi!D77/TrRoad_tech!D192)</f>
        <v>1.3483467525941966</v>
      </c>
      <c r="E219" s="151">
        <f>IF(TrRoad_act!E80=0,0,TrRoad_emi!E77/TrRoad_tech!E192)</f>
        <v>2.0443710721041071</v>
      </c>
      <c r="F219" s="151">
        <f>IF(TrRoad_act!F80=0,0,TrRoad_emi!F77/TrRoad_tech!F192)</f>
        <v>1.3574163649423732</v>
      </c>
      <c r="G219" s="151">
        <f>IF(TrRoad_act!G80=0,0,TrRoad_emi!G77/TrRoad_tech!G192)</f>
        <v>1.6436979189437881</v>
      </c>
      <c r="H219" s="151">
        <f>IF(TrRoad_act!H80=0,0,TrRoad_emi!H77/TrRoad_tech!H192)</f>
        <v>1.5255489417029344</v>
      </c>
      <c r="I219" s="151">
        <f>IF(TrRoad_act!I80=0,0,TrRoad_emi!I77/TrRoad_tech!I192)</f>
        <v>1.5953274425962285</v>
      </c>
      <c r="J219" s="151">
        <f>IF(TrRoad_act!J80=0,0,TrRoad_emi!J77/TrRoad_tech!J192)</f>
        <v>1.4858539644634241</v>
      </c>
      <c r="K219" s="151">
        <f>IF(TrRoad_act!K80=0,0,TrRoad_emi!K77/TrRoad_tech!K192)</f>
        <v>1.9616489874717271</v>
      </c>
      <c r="L219" s="151">
        <f>IF(TrRoad_act!L80=0,0,TrRoad_emi!L77/TrRoad_tech!L192)</f>
        <v>1.6071171628060847</v>
      </c>
      <c r="M219" s="151">
        <f>IF(TrRoad_act!M80=0,0,TrRoad_emi!M77/TrRoad_tech!M192)</f>
        <v>1.8024446526031201</v>
      </c>
      <c r="N219" s="151">
        <f>IF(TrRoad_act!N80=0,0,TrRoad_emi!N77/TrRoad_tech!N192)</f>
        <v>1.3007443521356927</v>
      </c>
      <c r="O219" s="151">
        <f>IF(TrRoad_act!O80=0,0,TrRoad_emi!O77/TrRoad_tech!O192)</f>
        <v>1.7668085814765009</v>
      </c>
      <c r="P219" s="151">
        <f>IF(TrRoad_act!P80=0,0,TrRoad_emi!P77/TrRoad_tech!P192)</f>
        <v>1.6679547060766604</v>
      </c>
      <c r="Q219" s="151">
        <f>IF(TrRoad_act!Q80=0,0,TrRoad_emi!Q77/TrRoad_tech!Q192)</f>
        <v>1.3357704234915169</v>
      </c>
      <c r="R219" s="151">
        <f>IF(TrRoad_act!R80=0,0,TrRoad_emi!R77/TrRoad_tech!R192)</f>
        <v>1.370322866658908</v>
      </c>
      <c r="S219" s="151">
        <f>IF(TrRoad_act!S80=0,0,TrRoad_emi!S77/TrRoad_tech!S192)</f>
        <v>1.3822970063543505</v>
      </c>
      <c r="T219" s="151">
        <f>IF(TrRoad_act!T80=0,0,TrRoad_emi!T77/TrRoad_tech!T192)</f>
        <v>1.4592783868223225</v>
      </c>
      <c r="U219" s="151">
        <f>IF(TrRoad_act!U80=0,0,TrRoad_emi!U77/TrRoad_tech!U192)</f>
        <v>1.6137635589800787</v>
      </c>
      <c r="V219" s="151">
        <f>IF(TrRoad_act!V80=0,0,TrRoad_emi!V77/TrRoad_tech!V192)</f>
        <v>1.6758860143644347</v>
      </c>
      <c r="W219" s="151">
        <f>IF(TrRoad_act!W80=0,0,TrRoad_emi!W77/TrRoad_tech!W192)</f>
        <v>1.6113977225966627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1.3810252911799548</v>
      </c>
      <c r="C220" s="93">
        <f>IF(TrRoad_act!C81=0,0,TrRoad_emi!C78/TrRoad_tech!C193)</f>
        <v>1.3773150507262535</v>
      </c>
      <c r="D220" s="93">
        <f>IF(TrRoad_act!D81=0,0,TrRoad_emi!D78/TrRoad_tech!D193)</f>
        <v>1.3792346883017172</v>
      </c>
      <c r="E220" s="93">
        <f>IF(TrRoad_act!E81=0,0,TrRoad_emi!E78/TrRoad_tech!E193)</f>
        <v>1.9607331820031946</v>
      </c>
      <c r="F220" s="93">
        <f>IF(TrRoad_act!F81=0,0,TrRoad_emi!F78/TrRoad_tech!F193)</f>
        <v>1.3876453230189532</v>
      </c>
      <c r="G220" s="93">
        <f>IF(TrRoad_act!G81=0,0,TrRoad_emi!G78/TrRoad_tech!G193)</f>
        <v>1.6264565828815289</v>
      </c>
      <c r="H220" s="93">
        <f>IF(TrRoad_act!H81=0,0,TrRoad_emi!H78/TrRoad_tech!H193)</f>
        <v>1.5227594996095251</v>
      </c>
      <c r="I220" s="93">
        <f>IF(TrRoad_act!I81=0,0,TrRoad_emi!I78/TrRoad_tech!I193)</f>
        <v>1.5808730812317433</v>
      </c>
      <c r="J220" s="93">
        <f>IF(TrRoad_act!J81=0,0,TrRoad_emi!J78/TrRoad_tech!J193)</f>
        <v>1.4934035770507026</v>
      </c>
      <c r="K220" s="93">
        <f>IF(TrRoad_act!K81=0,0,TrRoad_emi!K78/TrRoad_tech!K193)</f>
        <v>1.8999710844275546</v>
      </c>
      <c r="L220" s="93">
        <f>IF(TrRoad_act!L81=0,0,TrRoad_emi!L78/TrRoad_tech!L193)</f>
        <v>1.5925436362362393</v>
      </c>
      <c r="M220" s="93">
        <f>IF(TrRoad_act!M81=0,0,TrRoad_emi!M78/TrRoad_tech!M193)</f>
        <v>1.757771493052783</v>
      </c>
      <c r="N220" s="93">
        <f>IF(TrRoad_act!N81=0,0,TrRoad_emi!N78/TrRoad_tech!N193)</f>
        <v>1.3284425849608301</v>
      </c>
      <c r="O220" s="93">
        <f>IF(TrRoad_act!O81=0,0,TrRoad_emi!O78/TrRoad_tech!O193)</f>
        <v>1.7178470875769594</v>
      </c>
      <c r="P220" s="93">
        <f>IF(TrRoad_act!P81=0,0,TrRoad_emi!P78/TrRoad_tech!P193)</f>
        <v>1.6375073805914637</v>
      </c>
      <c r="Q220" s="93">
        <f>IF(TrRoad_act!Q81=0,0,TrRoad_emi!Q78/TrRoad_tech!Q193)</f>
        <v>1.3569653638577486</v>
      </c>
      <c r="R220" s="93">
        <f>IF(TrRoad_act!R81=0,0,TrRoad_emi!R78/TrRoad_tech!R193)</f>
        <v>1.3874290982347792</v>
      </c>
      <c r="S220" s="93">
        <f>IF(TrRoad_act!S81=0,0,TrRoad_emi!S78/TrRoad_tech!S193)</f>
        <v>1.3882669658862949</v>
      </c>
      <c r="T220" s="93">
        <f>IF(TrRoad_act!T81=0,0,TrRoad_emi!T78/TrRoad_tech!T193)</f>
        <v>1.4566247912198411</v>
      </c>
      <c r="U220" s="93">
        <f>IF(TrRoad_act!U81=0,0,TrRoad_emi!U78/TrRoad_tech!U193)</f>
        <v>1.5892596068977864</v>
      </c>
      <c r="V220" s="93">
        <f>IF(TrRoad_act!V81=0,0,TrRoad_emi!V78/TrRoad_tech!V193)</f>
        <v>1.638419394859296</v>
      </c>
      <c r="W220" s="93">
        <f>IF(TrRoad_act!W81=0,0,TrRoad_emi!W78/TrRoad_tech!W193)</f>
        <v>1.5942242385681094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2.349703207043548</v>
      </c>
      <c r="C221" s="94">
        <f>IF(TrRoad_act!C82=0,0,TrRoad_emi!C79/TrRoad_tech!C194)</f>
        <v>2.2901779529420945</v>
      </c>
      <c r="D221" s="94">
        <f>IF(TrRoad_act!D82=0,0,TrRoad_emi!D79/TrRoad_tech!D194)</f>
        <v>2.2762970682146504</v>
      </c>
      <c r="E221" s="94">
        <f>IF(TrRoad_act!E82=0,0,TrRoad_emi!E79/TrRoad_tech!E194)</f>
        <v>4.2092575863329857</v>
      </c>
      <c r="F221" s="94">
        <f>IF(TrRoad_act!F82=0,0,TrRoad_emi!F79/TrRoad_tech!F194)</f>
        <v>2.2335647679290425</v>
      </c>
      <c r="G221" s="94">
        <f>IF(TrRoad_act!G82=0,0,TrRoad_emi!G79/TrRoad_tech!G194)</f>
        <v>2.9978762877037268</v>
      </c>
      <c r="H221" s="94">
        <f>IF(TrRoad_act!H82=0,0,TrRoad_emi!H79/TrRoad_tech!H194)</f>
        <v>2.5938277175741811</v>
      </c>
      <c r="I221" s="94">
        <f>IF(TrRoad_act!I82=0,0,TrRoad_emi!I79/TrRoad_tech!I194)</f>
        <v>3.0663700210881975</v>
      </c>
      <c r="J221" s="94">
        <f>IF(TrRoad_act!J82=0,0,TrRoad_emi!J79/TrRoad_tech!J194)</f>
        <v>2.8726860095501352</v>
      </c>
      <c r="K221" s="94">
        <f>IF(TrRoad_act!K82=0,0,TrRoad_emi!K79/TrRoad_tech!K194)</f>
        <v>5.3004246310128442</v>
      </c>
      <c r="L221" s="94">
        <f>IF(TrRoad_act!L82=0,0,TrRoad_emi!L79/TrRoad_tech!L194)</f>
        <v>3.3708524411159879</v>
      </c>
      <c r="M221" s="94">
        <f>IF(TrRoad_act!M82=0,0,TrRoad_emi!M79/TrRoad_tech!M194)</f>
        <v>3.8794530379828123</v>
      </c>
      <c r="N221" s="94">
        <f>IF(TrRoad_act!N82=0,0,TrRoad_emi!N79/TrRoad_tech!N194)</f>
        <v>1.9366934239862292</v>
      </c>
      <c r="O221" s="94">
        <f>IF(TrRoad_act!O82=0,0,TrRoad_emi!O79/TrRoad_tech!O194)</f>
        <v>3.122636592141868</v>
      </c>
      <c r="P221" s="94">
        <f>IF(TrRoad_act!P82=0,0,TrRoad_emi!P79/TrRoad_tech!P194)</f>
        <v>3.0207939474184622</v>
      </c>
      <c r="Q221" s="94">
        <f>IF(TrRoad_act!Q82=0,0,TrRoad_emi!Q79/TrRoad_tech!Q194)</f>
        <v>1.9700358148875243</v>
      </c>
      <c r="R221" s="94">
        <f>IF(TrRoad_act!R82=0,0,TrRoad_emi!R79/TrRoad_tech!R194)</f>
        <v>2.0721613274282182</v>
      </c>
      <c r="S221" s="94">
        <f>IF(TrRoad_act!S82=0,0,TrRoad_emi!S79/TrRoad_tech!S194)</f>
        <v>1.9263820475985138</v>
      </c>
      <c r="T221" s="94">
        <f>IF(TrRoad_act!T82=0,0,TrRoad_emi!T79/TrRoad_tech!T194)</f>
        <v>2.1168345362721253</v>
      </c>
      <c r="U221" s="94">
        <f>IF(TrRoad_act!U82=0,0,TrRoad_emi!U79/TrRoad_tech!U194)</f>
        <v>2.5051728545754819</v>
      </c>
      <c r="V221" s="94">
        <f>IF(TrRoad_act!V82=0,0,TrRoad_emi!V79/TrRoad_tech!V194)</f>
        <v>2.5236428804023241</v>
      </c>
      <c r="W221" s="94">
        <f>IF(TrRoad_act!W82=0,0,TrRoad_emi!W79/TrRoad_tech!W194)</f>
        <v>2.6331460421617505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106.95244179432308</v>
      </c>
      <c r="C225" s="152">
        <v>106.37018304562291</v>
      </c>
      <c r="D225" s="152">
        <v>105.72694587769099</v>
      </c>
      <c r="E225" s="152">
        <v>104.40358867669345</v>
      </c>
      <c r="F225" s="152">
        <v>104.25900784536931</v>
      </c>
      <c r="G225" s="152">
        <v>102.85450834107756</v>
      </c>
      <c r="H225" s="152">
        <v>100.78021600595763</v>
      </c>
      <c r="I225" s="152">
        <v>99.301950771398509</v>
      </c>
      <c r="J225" s="152">
        <v>94.480622641119766</v>
      </c>
      <c r="K225" s="152">
        <v>89.280138657266519</v>
      </c>
      <c r="L225" s="152">
        <v>86.032971210894587</v>
      </c>
      <c r="M225" s="152">
        <v>80.908241500987799</v>
      </c>
      <c r="N225" s="152">
        <v>77.715524210888404</v>
      </c>
      <c r="O225" s="152">
        <v>72.9187201956384</v>
      </c>
      <c r="P225" s="152">
        <v>70.641522846648598</v>
      </c>
      <c r="Q225" s="152">
        <v>68.02623379453081</v>
      </c>
      <c r="R225" s="152">
        <v>65.829132550823601</v>
      </c>
      <c r="S225" s="152">
        <v>64.071451555857834</v>
      </c>
      <c r="T225" s="152">
        <v>62.665306759885212</v>
      </c>
      <c r="U225" s="152">
        <v>61.54039092310714</v>
      </c>
      <c r="V225" s="152">
        <v>60.640458253684663</v>
      </c>
      <c r="W225" s="152">
        <v>59.920512118146682</v>
      </c>
      <c r="DA225" s="174" t="s">
        <v>931</v>
      </c>
    </row>
    <row r="226" spans="1:105" ht="11.45" customHeight="1" x14ac:dyDescent="0.25">
      <c r="A226" s="109" t="s">
        <v>20</v>
      </c>
      <c r="B226" s="116">
        <v>210.08710369477382</v>
      </c>
      <c r="C226" s="116">
        <v>210.16925319516716</v>
      </c>
      <c r="D226" s="116">
        <v>209.02943541596846</v>
      </c>
      <c r="E226" s="116">
        <v>206.74872471888659</v>
      </c>
      <c r="F226" s="116">
        <v>205.97975634183626</v>
      </c>
      <c r="G226" s="116">
        <v>203.2964419776593</v>
      </c>
      <c r="H226" s="116">
        <v>200.27019544978882</v>
      </c>
      <c r="I226" s="116">
        <v>196.87562948498424</v>
      </c>
      <c r="J226" s="116">
        <v>187.02441733774992</v>
      </c>
      <c r="K226" s="116">
        <v>178.35494148190139</v>
      </c>
      <c r="L226" s="116">
        <v>171.1651748370513</v>
      </c>
      <c r="M226" s="116">
        <v>156.22019653496616</v>
      </c>
      <c r="N226" s="116">
        <v>153.53460063713479</v>
      </c>
      <c r="O226" s="116">
        <v>141.56265096439199</v>
      </c>
      <c r="P226" s="116">
        <v>137.08160963847436</v>
      </c>
      <c r="Q226" s="116">
        <v>132.70158056203738</v>
      </c>
      <c r="R226" s="116">
        <v>130.82463260133773</v>
      </c>
      <c r="S226" s="116">
        <v>134.25839944977236</v>
      </c>
      <c r="T226" s="116">
        <v>136.35720745418411</v>
      </c>
      <c r="U226" s="116">
        <v>139.1988771193015</v>
      </c>
      <c r="V226" s="116">
        <v>133.12522389130223</v>
      </c>
      <c r="W226" s="116">
        <v>125.8430583953092</v>
      </c>
      <c r="DA226" s="176" t="s">
        <v>932</v>
      </c>
    </row>
    <row r="227" spans="1:105" ht="11.45" customHeight="1" x14ac:dyDescent="0.25">
      <c r="A227" s="111" t="s">
        <v>110</v>
      </c>
      <c r="B227" s="87">
        <v>210.07473804255002</v>
      </c>
      <c r="C227" s="87">
        <v>210.15086018366375</v>
      </c>
      <c r="D227" s="87">
        <v>208.88004499586799</v>
      </c>
      <c r="E227" s="87">
        <v>206.26554677693946</v>
      </c>
      <c r="F227" s="87">
        <v>205.97990483105869</v>
      </c>
      <c r="G227" s="87">
        <v>203.20509735678888</v>
      </c>
      <c r="H227" s="87">
        <v>199.1070098475208</v>
      </c>
      <c r="I227" s="87">
        <v>196.18646668657721</v>
      </c>
      <c r="J227" s="87">
        <v>186.66118220557564</v>
      </c>
      <c r="K227" s="87">
        <v>176.38681629507059</v>
      </c>
      <c r="L227" s="87">
        <v>169.97153136768858</v>
      </c>
      <c r="M227" s="87">
        <v>159.84648933050917</v>
      </c>
      <c r="N227" s="87">
        <v>153.53811798132364</v>
      </c>
      <c r="O227" s="87">
        <v>144.06753021560149</v>
      </c>
      <c r="P227" s="87">
        <v>139.65391746889551</v>
      </c>
      <c r="Q227" s="87">
        <v>134.53254112145575</v>
      </c>
      <c r="R227" s="87">
        <v>133.63717237035033</v>
      </c>
      <c r="S227" s="87">
        <v>134.24434191792946</v>
      </c>
      <c r="T227" s="87">
        <v>135.9742800788955</v>
      </c>
      <c r="U227" s="87">
        <v>139.3592053721321</v>
      </c>
      <c r="V227" s="87">
        <v>133.960984326719</v>
      </c>
      <c r="W227" s="87">
        <v>127.22195060624691</v>
      </c>
      <c r="DA227" s="171" t="s">
        <v>933</v>
      </c>
    </row>
    <row r="228" spans="1:105" ht="11.45" customHeight="1" x14ac:dyDescent="0.25">
      <c r="A228" s="111" t="s">
        <v>111</v>
      </c>
      <c r="B228" s="87">
        <v>221.69175943868214</v>
      </c>
      <c r="C228" s="87">
        <v>222.91692049918797</v>
      </c>
      <c r="D228" s="87">
        <v>222.79387032830982</v>
      </c>
      <c r="E228" s="87">
        <v>223.30145228318204</v>
      </c>
      <c r="F228" s="87">
        <v>0</v>
      </c>
      <c r="G228" s="87">
        <v>222.49009021895455</v>
      </c>
      <c r="H228" s="87">
        <v>223.91670313757245</v>
      </c>
      <c r="I228" s="87">
        <v>221.85561277536442</v>
      </c>
      <c r="J228" s="87">
        <v>211.84625043799943</v>
      </c>
      <c r="K228" s="87">
        <v>203.52113731452832</v>
      </c>
      <c r="L228" s="87">
        <v>195.70360614593071</v>
      </c>
      <c r="M228" s="87">
        <v>0</v>
      </c>
      <c r="N228" s="87">
        <v>0</v>
      </c>
      <c r="O228" s="87">
        <v>0</v>
      </c>
      <c r="P228" s="87">
        <v>134.42501837674553</v>
      </c>
      <c r="Q228" s="87">
        <v>133.68158499344298</v>
      </c>
      <c r="R228" s="87">
        <v>132.11882943679294</v>
      </c>
      <c r="S228" s="87">
        <v>135.40751323083813</v>
      </c>
      <c r="T228" s="87">
        <v>138.96767766216519</v>
      </c>
      <c r="U228" s="87">
        <v>139.67341298870201</v>
      </c>
      <c r="V228" s="87">
        <v>133.32626619552411</v>
      </c>
      <c r="W228" s="87">
        <v>126.8800874078121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0</v>
      </c>
      <c r="D229" s="87">
        <v>0</v>
      </c>
      <c r="E229" s="87">
        <v>0</v>
      </c>
      <c r="F229" s="87">
        <v>0</v>
      </c>
      <c r="G229" s="87">
        <v>0</v>
      </c>
      <c r="H229" s="87">
        <v>209.10441601891574</v>
      </c>
      <c r="I229" s="87">
        <v>207.17966859939455</v>
      </c>
      <c r="J229" s="87">
        <v>197.83243439601083</v>
      </c>
      <c r="K229" s="87">
        <v>190.05803483768361</v>
      </c>
      <c r="L229" s="87">
        <v>182.75764024088139</v>
      </c>
      <c r="M229" s="87">
        <v>139.85622607424071</v>
      </c>
      <c r="N229" s="87">
        <v>0</v>
      </c>
      <c r="O229" s="87">
        <v>136.2467730619687</v>
      </c>
      <c r="P229" s="87">
        <v>112.36273425024474</v>
      </c>
      <c r="Q229" s="87">
        <v>114.47575600266981</v>
      </c>
      <c r="R229" s="87">
        <v>113.20194917578702</v>
      </c>
      <c r="S229" s="87">
        <v>115.83349583752619</v>
      </c>
      <c r="T229" s="87">
        <v>116.15159488454964</v>
      </c>
      <c r="U229" s="87">
        <v>134.22898550724639</v>
      </c>
      <c r="V229" s="87">
        <v>123.8333333333333</v>
      </c>
      <c r="W229" s="87">
        <v>118.7238049251569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206.2804671563747</v>
      </c>
      <c r="D230" s="87">
        <v>205.03305684180913</v>
      </c>
      <c r="E230" s="87">
        <v>202.46671039188857</v>
      </c>
      <c r="F230" s="87">
        <v>202.1863291743945</v>
      </c>
      <c r="G230" s="87">
        <v>199.46262591873753</v>
      </c>
      <c r="H230" s="87">
        <v>195.44001375754664</v>
      </c>
      <c r="I230" s="87">
        <v>192.57325886031103</v>
      </c>
      <c r="J230" s="87">
        <v>183.22340356673223</v>
      </c>
      <c r="K230" s="87">
        <v>173.13826283543929</v>
      </c>
      <c r="L230" s="87">
        <v>166.84112957314832</v>
      </c>
      <c r="M230" s="87">
        <v>143.41480658513777</v>
      </c>
      <c r="N230" s="87">
        <v>131.41595822542507</v>
      </c>
      <c r="O230" s="87">
        <v>0</v>
      </c>
      <c r="P230" s="87">
        <v>96.347613160561707</v>
      </c>
      <c r="Q230" s="87">
        <v>100.28866727249559</v>
      </c>
      <c r="R230" s="87">
        <v>102.4797999215352</v>
      </c>
      <c r="S230" s="87">
        <v>102.28790878248452</v>
      </c>
      <c r="T230" s="87">
        <v>107.9578313253012</v>
      </c>
      <c r="U230" s="87">
        <v>111.6886735311932</v>
      </c>
      <c r="V230" s="87">
        <v>105.77414561664189</v>
      </c>
      <c r="W230" s="87">
        <v>103.2720533728688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46.139219941647866</v>
      </c>
      <c r="O231" s="87">
        <v>14.107431472155657</v>
      </c>
      <c r="P231" s="87">
        <v>27.853133932204791</v>
      </c>
      <c r="Q231" s="87">
        <v>35.171190100206594</v>
      </c>
      <c r="R231" s="87">
        <v>47.145347911221037</v>
      </c>
      <c r="S231" s="87">
        <v>58.523086687716692</v>
      </c>
      <c r="T231" s="87">
        <v>61.861254817830847</v>
      </c>
      <c r="U231" s="87">
        <v>64.265957446808514</v>
      </c>
      <c r="V231" s="87">
        <v>45.039201710620098</v>
      </c>
      <c r="W231" s="87">
        <v>39.263286093888397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1503.6032419230819</v>
      </c>
      <c r="C233" s="116">
        <v>1426.9790796557361</v>
      </c>
      <c r="D233" s="116">
        <v>1462.0603233320267</v>
      </c>
      <c r="E233" s="116">
        <v>1484.2101616351181</v>
      </c>
      <c r="F233" s="116">
        <v>1494.0136797042364</v>
      </c>
      <c r="G233" s="116">
        <v>1479.8733594813398</v>
      </c>
      <c r="H233" s="116">
        <v>1474.6219211970497</v>
      </c>
      <c r="I233" s="116">
        <v>1451.3693803719677</v>
      </c>
      <c r="J233" s="116">
        <v>1445.5229268025112</v>
      </c>
      <c r="K233" s="116">
        <v>1436.3097004099227</v>
      </c>
      <c r="L233" s="116">
        <v>1422.8836228403795</v>
      </c>
      <c r="M233" s="116">
        <v>1397.7941130375727</v>
      </c>
      <c r="N233" s="116">
        <v>1377.6152684075582</v>
      </c>
      <c r="O233" s="116">
        <v>1364.03128429511</v>
      </c>
      <c r="P233" s="116">
        <v>1338.3328107714253</v>
      </c>
      <c r="Q233" s="116">
        <v>1316.3906096695396</v>
      </c>
      <c r="R233" s="116">
        <v>1306.9591626850356</v>
      </c>
      <c r="S233" s="116">
        <v>1318.5010044739658</v>
      </c>
      <c r="T233" s="116">
        <v>1264.1732580887622</v>
      </c>
      <c r="U233" s="116">
        <v>1267.7208018147899</v>
      </c>
      <c r="V233" s="116">
        <v>1256.6765140322516</v>
      </c>
      <c r="W233" s="116">
        <v>1248.3777038990138</v>
      </c>
      <c r="DA233" s="176" t="s">
        <v>939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0</v>
      </c>
      <c r="K234" s="101">
        <v>0</v>
      </c>
      <c r="L234" s="101">
        <v>0</v>
      </c>
      <c r="M234" s="101">
        <v>0</v>
      </c>
      <c r="N234" s="101">
        <v>0</v>
      </c>
      <c r="O234" s="101">
        <v>0</v>
      </c>
      <c r="P234" s="101">
        <v>0</v>
      </c>
      <c r="Q234" s="101">
        <v>0</v>
      </c>
      <c r="R234" s="101">
        <v>0</v>
      </c>
      <c r="S234" s="101">
        <v>0</v>
      </c>
      <c r="T234" s="101">
        <v>0</v>
      </c>
      <c r="U234" s="101">
        <v>0</v>
      </c>
      <c r="V234" s="101">
        <v>0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1503.6032419230819</v>
      </c>
      <c r="C235" s="101">
        <v>1501.5479469684171</v>
      </c>
      <c r="D235" s="101">
        <v>1499.2675807273579</v>
      </c>
      <c r="E235" s="101">
        <v>1494.531634325821</v>
      </c>
      <c r="F235" s="101">
        <v>1494.0136797042364</v>
      </c>
      <c r="G235" s="101">
        <v>1488.9307656056071</v>
      </c>
      <c r="H235" s="101">
        <v>1481.3085676939327</v>
      </c>
      <c r="I235" s="101">
        <v>1475.816108510438</v>
      </c>
      <c r="J235" s="101">
        <v>1457.2256222072367</v>
      </c>
      <c r="K235" s="101">
        <v>1436.3097004099227</v>
      </c>
      <c r="L235" s="101">
        <v>1422.8836228403795</v>
      </c>
      <c r="M235" s="101">
        <v>1400.7034759699725</v>
      </c>
      <c r="N235" s="101">
        <v>1386.4637636497901</v>
      </c>
      <c r="O235" s="101">
        <v>1364.03128429511</v>
      </c>
      <c r="P235" s="101">
        <v>1353.1264515418998</v>
      </c>
      <c r="Q235" s="101">
        <v>1340.2449215971562</v>
      </c>
      <c r="R235" s="101">
        <v>1328.7564266032232</v>
      </c>
      <c r="S235" s="101">
        <v>1318.5010044739658</v>
      </c>
      <c r="T235" s="101">
        <v>1309.3388169359873</v>
      </c>
      <c r="U235" s="101">
        <v>1301.1472965090254</v>
      </c>
      <c r="V235" s="101">
        <v>1293.8187543254912</v>
      </c>
      <c r="W235" s="101">
        <v>1287.2583648798441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947.33288152190971</v>
      </c>
      <c r="D237" s="101">
        <v>945.89418892043159</v>
      </c>
      <c r="E237" s="101">
        <v>942.90626052270102</v>
      </c>
      <c r="F237" s="101">
        <v>0</v>
      </c>
      <c r="G237" s="101">
        <v>939.37264901568346</v>
      </c>
      <c r="H237" s="101">
        <v>934.56377246547038</v>
      </c>
      <c r="I237" s="101">
        <v>931.0985569887041</v>
      </c>
      <c r="J237" s="101">
        <v>919.36974140605003</v>
      </c>
      <c r="K237" s="101">
        <v>0</v>
      </c>
      <c r="L237" s="101">
        <v>0</v>
      </c>
      <c r="M237" s="101">
        <v>883.70968288254005</v>
      </c>
      <c r="N237" s="101">
        <v>874.72578880739104</v>
      </c>
      <c r="O237" s="101">
        <v>0</v>
      </c>
      <c r="P237" s="101">
        <v>853.69313913068584</v>
      </c>
      <c r="Q237" s="101">
        <v>845.56612799820584</v>
      </c>
      <c r="R237" s="101">
        <v>838.31798844400362</v>
      </c>
      <c r="S237" s="101">
        <v>0</v>
      </c>
      <c r="T237" s="101">
        <v>826.06733727068035</v>
      </c>
      <c r="U237" s="101">
        <v>820.89927276379126</v>
      </c>
      <c r="V237" s="101">
        <v>816.27566484098134</v>
      </c>
      <c r="W237" s="101">
        <v>812.13668769409878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0</v>
      </c>
      <c r="C240" s="152">
        <v>246.89527213122858</v>
      </c>
      <c r="D240" s="152">
        <v>246.23724759146901</v>
      </c>
      <c r="E240" s="152">
        <v>241.15609312071476</v>
      </c>
      <c r="F240" s="152">
        <v>241.48656840095362</v>
      </c>
      <c r="G240" s="152">
        <v>240.11482751259189</v>
      </c>
      <c r="H240" s="152">
        <v>236.14040963555726</v>
      </c>
      <c r="I240" s="152">
        <v>233.79436083516538</v>
      </c>
      <c r="J240" s="152">
        <v>224.05140746092778</v>
      </c>
      <c r="K240" s="152">
        <v>222.80988493117079</v>
      </c>
      <c r="L240" s="152">
        <v>208.87350043075847</v>
      </c>
      <c r="M240" s="152">
        <v>198.13959716105032</v>
      </c>
      <c r="N240" s="152">
        <v>192.07748426845191</v>
      </c>
      <c r="O240" s="152">
        <v>181.71512081057327</v>
      </c>
      <c r="P240" s="152">
        <v>164.06069711939611</v>
      </c>
      <c r="Q240" s="152">
        <v>170.22961059403005</v>
      </c>
      <c r="R240" s="152">
        <v>160.43417807076634</v>
      </c>
      <c r="S240" s="152">
        <v>172.57942560034721</v>
      </c>
      <c r="T240" s="152">
        <v>154.12039655757408</v>
      </c>
      <c r="U240" s="152">
        <v>154.53481034219087</v>
      </c>
      <c r="V240" s="152">
        <v>154.30883581660979</v>
      </c>
      <c r="W240" s="152">
        <v>164.98790679919873</v>
      </c>
      <c r="DA240" s="174" t="s">
        <v>945</v>
      </c>
    </row>
    <row r="241" spans="1:105" ht="11.45" customHeight="1" x14ac:dyDescent="0.25">
      <c r="A241" s="111" t="s">
        <v>110</v>
      </c>
      <c r="B241" s="87">
        <v>0</v>
      </c>
      <c r="C241" s="87">
        <v>251.61334314123496</v>
      </c>
      <c r="D241" s="87">
        <v>250.09179782071382</v>
      </c>
      <c r="E241" s="87">
        <v>246.96146260854061</v>
      </c>
      <c r="F241" s="87">
        <v>246.6194638897079</v>
      </c>
      <c r="G241" s="87">
        <v>243.29719062104692</v>
      </c>
      <c r="H241" s="87">
        <v>238.39055594065059</v>
      </c>
      <c r="I241" s="87">
        <v>234.89379352972804</v>
      </c>
      <c r="J241" s="87">
        <v>223.48918319150945</v>
      </c>
      <c r="K241" s="87">
        <v>211.18769866206631</v>
      </c>
      <c r="L241" s="87">
        <v>203.50668661971036</v>
      </c>
      <c r="M241" s="87">
        <v>0</v>
      </c>
      <c r="N241" s="87">
        <v>183.83218210960734</v>
      </c>
      <c r="O241" s="87">
        <v>188.5852231355997</v>
      </c>
      <c r="P241" s="87">
        <v>148.8730251168592</v>
      </c>
      <c r="Q241" s="87">
        <v>158.58378792445544</v>
      </c>
      <c r="R241" s="87">
        <v>148.19976004101764</v>
      </c>
      <c r="S241" s="87">
        <v>152.99334685479724</v>
      </c>
      <c r="T241" s="87">
        <v>148.66986593494596</v>
      </c>
      <c r="U241" s="87">
        <v>148.84244372990361</v>
      </c>
      <c r="V241" s="87">
        <v>144.68847376264631</v>
      </c>
      <c r="W241" s="87">
        <v>155.81996086105681</v>
      </c>
      <c r="DA241" s="171" t="s">
        <v>946</v>
      </c>
    </row>
    <row r="242" spans="1:105" ht="11.45" customHeight="1" x14ac:dyDescent="0.25">
      <c r="A242" s="111" t="s">
        <v>111</v>
      </c>
      <c r="B242" s="87">
        <v>0</v>
      </c>
      <c r="C242" s="87">
        <v>234.0279816695664</v>
      </c>
      <c r="D242" s="87">
        <v>234.10866569062918</v>
      </c>
      <c r="E242" s="87">
        <v>233.90547486769239</v>
      </c>
      <c r="F242" s="87">
        <v>233.73524896207064</v>
      </c>
      <c r="G242" s="87">
        <v>234.17361764816957</v>
      </c>
      <c r="H242" s="87">
        <v>234.0399059406769</v>
      </c>
      <c r="I242" s="87">
        <v>231.46043927002631</v>
      </c>
      <c r="J242" s="87">
        <v>227.50167214177404</v>
      </c>
      <c r="K242" s="87">
        <v>223.92377261414455</v>
      </c>
      <c r="L242" s="87">
        <v>211.45150960630568</v>
      </c>
      <c r="M242" s="87">
        <v>198.13959716105032</v>
      </c>
      <c r="N242" s="87">
        <v>192.78573943781524</v>
      </c>
      <c r="O242" s="87">
        <v>181.69971964998948</v>
      </c>
      <c r="P242" s="87">
        <v>177.50813098156368</v>
      </c>
      <c r="Q242" s="87">
        <v>176.11461211240513</v>
      </c>
      <c r="R242" s="87">
        <v>175.61454759789979</v>
      </c>
      <c r="S242" s="87">
        <v>172.76639755707313</v>
      </c>
      <c r="T242" s="87">
        <v>176.03447678327416</v>
      </c>
      <c r="U242" s="87">
        <v>179.04729729729729</v>
      </c>
      <c r="V242" s="87">
        <v>196.57836828283601</v>
      </c>
      <c r="W242" s="87">
        <v>191.50726072607259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0</v>
      </c>
      <c r="P243" s="87">
        <v>0</v>
      </c>
      <c r="Q243" s="87">
        <v>0</v>
      </c>
      <c r="R243" s="87">
        <v>0</v>
      </c>
      <c r="S243" s="87">
        <v>0</v>
      </c>
      <c r="T243" s="87">
        <v>0</v>
      </c>
      <c r="U243" s="87">
        <v>0</v>
      </c>
      <c r="V243" s="87">
        <v>0</v>
      </c>
      <c r="W243" s="87">
        <v>0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0</v>
      </c>
      <c r="P244" s="87">
        <v>0</v>
      </c>
      <c r="Q244" s="87">
        <v>0</v>
      </c>
      <c r="R244" s="87">
        <v>0</v>
      </c>
      <c r="S244" s="87">
        <v>0</v>
      </c>
      <c r="T244" s="87">
        <v>0</v>
      </c>
      <c r="U244" s="87">
        <v>0</v>
      </c>
      <c r="V244" s="87">
        <v>0</v>
      </c>
      <c r="W244" s="87">
        <v>0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1040.7419809790824</v>
      </c>
      <c r="C246" s="116">
        <v>885.06862640199552</v>
      </c>
      <c r="D246" s="116">
        <v>880.37798674115663</v>
      </c>
      <c r="E246" s="116">
        <v>875.47272906830096</v>
      </c>
      <c r="F246" s="116">
        <v>867.6875431051551</v>
      </c>
      <c r="G246" s="116">
        <v>868.2123410039892</v>
      </c>
      <c r="H246" s="116">
        <v>852.738742012388</v>
      </c>
      <c r="I246" s="116">
        <v>840.05157048890601</v>
      </c>
      <c r="J246" s="116">
        <v>829.1602534777785</v>
      </c>
      <c r="K246" s="116">
        <v>817.28516046966718</v>
      </c>
      <c r="L246" s="116">
        <v>831.17028563276006</v>
      </c>
      <c r="M246" s="116">
        <v>790.69896441067488</v>
      </c>
      <c r="N246" s="116">
        <v>794.10733344636151</v>
      </c>
      <c r="O246" s="116">
        <v>785.15273527234285</v>
      </c>
      <c r="P246" s="116">
        <v>748.69419791617031</v>
      </c>
      <c r="Q246" s="116">
        <v>742.44095733515962</v>
      </c>
      <c r="R246" s="116">
        <v>679.50358371148275</v>
      </c>
      <c r="S246" s="116">
        <v>700.3556214615179</v>
      </c>
      <c r="T246" s="116">
        <v>580.99247804543757</v>
      </c>
      <c r="U246" s="116">
        <v>527.09602270975688</v>
      </c>
      <c r="V246" s="116">
        <v>528.31335063543872</v>
      </c>
      <c r="W246" s="116">
        <v>473.64047682423006</v>
      </c>
      <c r="DA246" s="176" t="s">
        <v>951</v>
      </c>
    </row>
    <row r="247" spans="1:105" ht="11.45" customHeight="1" x14ac:dyDescent="0.25">
      <c r="A247" s="128" t="s">
        <v>27</v>
      </c>
      <c r="B247" s="101">
        <v>0</v>
      </c>
      <c r="C247" s="101">
        <v>826.19604886845809</v>
      </c>
      <c r="D247" s="101">
        <v>821.97353256822851</v>
      </c>
      <c r="E247" s="101">
        <v>816.7157138131904</v>
      </c>
      <c r="F247" s="101">
        <v>810.43595281982857</v>
      </c>
      <c r="G247" s="101">
        <v>803.15009394876313</v>
      </c>
      <c r="H247" s="101">
        <v>794.87636689975227</v>
      </c>
      <c r="I247" s="101">
        <v>785.63527442484713</v>
      </c>
      <c r="J247" s="101">
        <v>775.44946782739612</v>
      </c>
      <c r="K247" s="101">
        <v>764.34361161333243</v>
      </c>
      <c r="L247" s="101">
        <v>752.34423878550001</v>
      </c>
      <c r="M247" s="101">
        <v>739.4795982950036</v>
      </c>
      <c r="N247" s="101">
        <v>725.77949622221479</v>
      </c>
      <c r="O247" s="101">
        <v>711.27513227847521</v>
      </c>
      <c r="P247" s="101">
        <v>695.99893318210081</v>
      </c>
      <c r="Q247" s="101">
        <v>679.98438446255693</v>
      </c>
      <c r="R247" s="101">
        <v>623.87471436179044</v>
      </c>
      <c r="S247" s="101">
        <v>584.59794529125384</v>
      </c>
      <c r="T247" s="101">
        <v>543.35733776719064</v>
      </c>
      <c r="U247" s="101">
        <v>492.95215079333536</v>
      </c>
      <c r="V247" s="101">
        <v>459.03325148479092</v>
      </c>
      <c r="W247" s="101">
        <v>442.95931233359164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0</v>
      </c>
      <c r="J248" s="88">
        <v>0</v>
      </c>
      <c r="K248" s="88">
        <v>0</v>
      </c>
      <c r="L248" s="88">
        <v>888.27077026061306</v>
      </c>
      <c r="M248" s="88">
        <v>0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0</v>
      </c>
      <c r="U248" s="88">
        <v>0</v>
      </c>
      <c r="V248" s="88">
        <v>721.86280178997254</v>
      </c>
      <c r="W248" s="88">
        <v>0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3076</v>
      </c>
      <c r="C4" s="28">
        <f t="shared" ref="C4:V4" si="1">SUM(C5,C6,C9)</f>
        <v>3077</v>
      </c>
      <c r="D4" s="28">
        <f t="shared" si="1"/>
        <v>3186</v>
      </c>
      <c r="E4" s="28">
        <f t="shared" si="1"/>
        <v>2974</v>
      </c>
      <c r="F4" s="28">
        <f t="shared" si="1"/>
        <v>3168</v>
      </c>
      <c r="G4" s="28">
        <f t="shared" si="1"/>
        <v>3354</v>
      </c>
      <c r="H4" s="28">
        <f t="shared" si="1"/>
        <v>3361</v>
      </c>
      <c r="I4" s="28">
        <f t="shared" si="1"/>
        <v>3530</v>
      </c>
      <c r="J4" s="28">
        <f t="shared" si="1"/>
        <v>3317</v>
      </c>
      <c r="K4" s="28">
        <f t="shared" si="1"/>
        <v>3138</v>
      </c>
      <c r="L4" s="28">
        <f t="shared" si="1"/>
        <v>3075.7464982806518</v>
      </c>
      <c r="M4" s="28">
        <f t="shared" si="1"/>
        <v>2632.5821660935508</v>
      </c>
      <c r="N4" s="28">
        <f t="shared" si="1"/>
        <v>2501.3892905336879</v>
      </c>
      <c r="O4" s="28">
        <f t="shared" si="1"/>
        <v>2720.0104964628026</v>
      </c>
      <c r="P4" s="28">
        <f t="shared" si="1"/>
        <v>2734.2689779617967</v>
      </c>
      <c r="Q4" s="28">
        <f t="shared" si="1"/>
        <v>2936.9048608075291</v>
      </c>
      <c r="R4" s="28">
        <f t="shared" si="1"/>
        <v>2845.8180024778389</v>
      </c>
      <c r="S4" s="28">
        <f t="shared" si="1"/>
        <v>2800.5481805298732</v>
      </c>
      <c r="T4" s="28">
        <f t="shared" si="1"/>
        <v>2799.4635632585059</v>
      </c>
      <c r="U4" s="28">
        <f t="shared" si="1"/>
        <v>2929.8685388232807</v>
      </c>
      <c r="V4" s="28">
        <f t="shared" si="1"/>
        <v>1728.4600413566914</v>
      </c>
      <c r="W4" s="28">
        <f t="shared" ref="W4" si="2">SUM(W5,W6,W9)</f>
        <v>1778.7800102126505</v>
      </c>
      <c r="DA4" s="173" t="s">
        <v>375</v>
      </c>
    </row>
    <row r="5" spans="1:105" ht="11.45" customHeight="1" x14ac:dyDescent="0.25">
      <c r="A5" s="107" t="s">
        <v>23</v>
      </c>
      <c r="B5" s="108">
        <v>1190</v>
      </c>
      <c r="C5" s="108">
        <v>1330</v>
      </c>
      <c r="D5" s="108">
        <v>1350</v>
      </c>
      <c r="E5" s="108">
        <v>1400</v>
      </c>
      <c r="F5" s="108">
        <v>1500</v>
      </c>
      <c r="G5" s="108">
        <v>1500</v>
      </c>
      <c r="H5" s="108">
        <v>1550</v>
      </c>
      <c r="I5" s="108">
        <v>1600</v>
      </c>
      <c r="J5" s="108">
        <v>1660</v>
      </c>
      <c r="K5" s="108">
        <v>1671</v>
      </c>
      <c r="L5" s="108">
        <v>1692.7464982806518</v>
      </c>
      <c r="M5" s="108">
        <v>1674.5821660935505</v>
      </c>
      <c r="N5" s="108">
        <v>1669.3892905336882</v>
      </c>
      <c r="O5" s="108">
        <v>1664.0104964628028</v>
      </c>
      <c r="P5" s="108">
        <v>1662.268977961797</v>
      </c>
      <c r="Q5" s="108">
        <v>1673.9048608075293</v>
      </c>
      <c r="R5" s="108">
        <v>1653.8180024778389</v>
      </c>
      <c r="S5" s="108">
        <v>1688.5481805298734</v>
      </c>
      <c r="T5" s="108">
        <v>1695.4635632585057</v>
      </c>
      <c r="U5" s="108">
        <v>1677.8685388232809</v>
      </c>
      <c r="V5" s="108">
        <v>1088.4600413566914</v>
      </c>
      <c r="W5" s="108">
        <v>1125.7800102126505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1886</v>
      </c>
      <c r="C6" s="110">
        <f t="shared" ref="C6:V6" si="4">SUM(C7:C8)</f>
        <v>1747</v>
      </c>
      <c r="D6" s="110">
        <f t="shared" si="4"/>
        <v>1836</v>
      </c>
      <c r="E6" s="110">
        <f t="shared" si="4"/>
        <v>1574</v>
      </c>
      <c r="F6" s="110">
        <f t="shared" si="4"/>
        <v>1668</v>
      </c>
      <c r="G6" s="110">
        <f t="shared" si="4"/>
        <v>1854</v>
      </c>
      <c r="H6" s="110">
        <f t="shared" si="4"/>
        <v>1811</v>
      </c>
      <c r="I6" s="110">
        <f t="shared" si="4"/>
        <v>1930</v>
      </c>
      <c r="J6" s="110">
        <f t="shared" si="4"/>
        <v>1657</v>
      </c>
      <c r="K6" s="110">
        <f t="shared" si="4"/>
        <v>1467</v>
      </c>
      <c r="L6" s="110">
        <f t="shared" si="4"/>
        <v>1383</v>
      </c>
      <c r="M6" s="110">
        <f t="shared" si="4"/>
        <v>958</v>
      </c>
      <c r="N6" s="110">
        <f t="shared" si="4"/>
        <v>832</v>
      </c>
      <c r="O6" s="110">
        <f t="shared" si="4"/>
        <v>1056</v>
      </c>
      <c r="P6" s="110">
        <f t="shared" si="4"/>
        <v>1072</v>
      </c>
      <c r="Q6" s="110">
        <f t="shared" si="4"/>
        <v>1263</v>
      </c>
      <c r="R6" s="110">
        <f t="shared" si="4"/>
        <v>1192</v>
      </c>
      <c r="S6" s="110">
        <f t="shared" si="4"/>
        <v>1112</v>
      </c>
      <c r="T6" s="110">
        <f t="shared" si="4"/>
        <v>1104</v>
      </c>
      <c r="U6" s="110">
        <f t="shared" si="4"/>
        <v>1252</v>
      </c>
      <c r="V6" s="110">
        <f t="shared" si="4"/>
        <v>640</v>
      </c>
      <c r="W6" s="110">
        <f t="shared" ref="W6" si="5">SUM(W7:W8)</f>
        <v>653</v>
      </c>
      <c r="DA6" s="176" t="s">
        <v>377</v>
      </c>
    </row>
    <row r="7" spans="1:105" ht="11.45" customHeight="1" x14ac:dyDescent="0.25">
      <c r="A7" s="111" t="s">
        <v>90</v>
      </c>
      <c r="B7" s="84">
        <v>1414.2954050587387</v>
      </c>
      <c r="C7" s="84">
        <v>1543.9614619449196</v>
      </c>
      <c r="D7" s="84">
        <v>1560.2875705017309</v>
      </c>
      <c r="E7" s="84">
        <v>1373.8876381380937</v>
      </c>
      <c r="F7" s="84">
        <v>1449.9082927827287</v>
      </c>
      <c r="G7" s="84">
        <v>1706.6092273928598</v>
      </c>
      <c r="H7" s="84">
        <v>1797.4406044962861</v>
      </c>
      <c r="I7" s="84">
        <v>1813.4891736969394</v>
      </c>
      <c r="J7" s="84">
        <v>1421.7804300509461</v>
      </c>
      <c r="K7" s="84">
        <v>1279.551522186747</v>
      </c>
      <c r="L7" s="84">
        <v>1367.6503884572699</v>
      </c>
      <c r="M7" s="84">
        <v>947.36736958934534</v>
      </c>
      <c r="N7" s="84">
        <v>748.05801069845438</v>
      </c>
      <c r="O7" s="84">
        <v>723.55658091417149</v>
      </c>
      <c r="P7" s="84">
        <v>819.64580096842622</v>
      </c>
      <c r="Q7" s="84">
        <v>952.78329337689286</v>
      </c>
      <c r="R7" s="84">
        <v>965.74581264562369</v>
      </c>
      <c r="S7" s="84">
        <v>901.82385428244413</v>
      </c>
      <c r="T7" s="84">
        <v>860.17293959944163</v>
      </c>
      <c r="U7" s="84">
        <v>519.48978897830136</v>
      </c>
      <c r="V7" s="84">
        <v>270.69772620816019</v>
      </c>
      <c r="W7" s="84">
        <v>238.07205942751654</v>
      </c>
      <c r="DA7" s="171" t="s">
        <v>1029</v>
      </c>
    </row>
    <row r="8" spans="1:105" ht="11.45" customHeight="1" x14ac:dyDescent="0.25">
      <c r="A8" s="111" t="s">
        <v>93</v>
      </c>
      <c r="B8" s="84">
        <v>471.70459494126135</v>
      </c>
      <c r="C8" s="84">
        <v>203.03853805508038</v>
      </c>
      <c r="D8" s="84">
        <v>275.7124294982691</v>
      </c>
      <c r="E8" s="84">
        <v>200.11236186190627</v>
      </c>
      <c r="F8" s="84">
        <v>218.09170721727128</v>
      </c>
      <c r="G8" s="84">
        <v>147.39077260714021</v>
      </c>
      <c r="H8" s="84">
        <v>13.559395503713858</v>
      </c>
      <c r="I8" s="84">
        <v>116.51082630306064</v>
      </c>
      <c r="J8" s="84">
        <v>235.21956994905395</v>
      </c>
      <c r="K8" s="84">
        <v>187.44847781325302</v>
      </c>
      <c r="L8" s="84">
        <v>15.349611542730145</v>
      </c>
      <c r="M8" s="84">
        <v>10.632630410654656</v>
      </c>
      <c r="N8" s="84">
        <v>83.941989301545618</v>
      </c>
      <c r="O8" s="84">
        <v>332.44341908582851</v>
      </c>
      <c r="P8" s="84">
        <v>252.35419903157378</v>
      </c>
      <c r="Q8" s="84">
        <v>310.21670662310714</v>
      </c>
      <c r="R8" s="84">
        <v>226.25418735437631</v>
      </c>
      <c r="S8" s="84">
        <v>210.17614571755587</v>
      </c>
      <c r="T8" s="84">
        <v>243.82706040055837</v>
      </c>
      <c r="U8" s="84">
        <v>732.51021102169864</v>
      </c>
      <c r="V8" s="84">
        <v>369.30227379183981</v>
      </c>
      <c r="W8" s="84">
        <v>414.92794057248346</v>
      </c>
      <c r="DA8" s="171" t="s">
        <v>1030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427</v>
      </c>
      <c r="C10" s="28">
        <f t="shared" ref="C10:V10" si="7">SUM(C11:C12)</f>
        <v>380</v>
      </c>
      <c r="D10" s="28">
        <f t="shared" si="7"/>
        <v>327</v>
      </c>
      <c r="E10" s="28">
        <f t="shared" si="7"/>
        <v>456</v>
      </c>
      <c r="F10" s="28">
        <f t="shared" si="7"/>
        <v>592</v>
      </c>
      <c r="G10" s="28">
        <f t="shared" si="7"/>
        <v>613</v>
      </c>
      <c r="H10" s="28">
        <f t="shared" si="7"/>
        <v>662</v>
      </c>
      <c r="I10" s="28">
        <f t="shared" si="7"/>
        <v>835</v>
      </c>
      <c r="J10" s="28">
        <f t="shared" si="7"/>
        <v>786</v>
      </c>
      <c r="K10" s="28">
        <f t="shared" si="7"/>
        <v>552</v>
      </c>
      <c r="L10" s="28">
        <f t="shared" si="7"/>
        <v>614</v>
      </c>
      <c r="M10" s="28">
        <f t="shared" si="7"/>
        <v>352</v>
      </c>
      <c r="N10" s="28">
        <f t="shared" si="7"/>
        <v>283</v>
      </c>
      <c r="O10" s="28">
        <f t="shared" si="7"/>
        <v>237</v>
      </c>
      <c r="P10" s="28">
        <f t="shared" si="7"/>
        <v>311</v>
      </c>
      <c r="Q10" s="28">
        <f t="shared" si="7"/>
        <v>294</v>
      </c>
      <c r="R10" s="28">
        <f t="shared" si="7"/>
        <v>254</v>
      </c>
      <c r="S10" s="28">
        <f t="shared" si="7"/>
        <v>358</v>
      </c>
      <c r="T10" s="28">
        <f t="shared" si="7"/>
        <v>408</v>
      </c>
      <c r="U10" s="28">
        <f t="shared" si="7"/>
        <v>491</v>
      </c>
      <c r="V10" s="28">
        <f t="shared" si="7"/>
        <v>555</v>
      </c>
      <c r="W10" s="28">
        <f t="shared" ref="W10" si="8">SUM(W11:W12)</f>
        <v>578</v>
      </c>
      <c r="DA10" s="173" t="s">
        <v>383</v>
      </c>
    </row>
    <row r="11" spans="1:105" ht="11.45" customHeight="1" x14ac:dyDescent="0.25">
      <c r="A11" s="83" t="s">
        <v>90</v>
      </c>
      <c r="B11" s="84">
        <v>323.34680764634032</v>
      </c>
      <c r="C11" s="84">
        <v>283.62774870709501</v>
      </c>
      <c r="D11" s="84">
        <v>245.63532988648595</v>
      </c>
      <c r="E11" s="84">
        <v>340.89669380591755</v>
      </c>
      <c r="F11" s="84">
        <v>440.45798131304457</v>
      </c>
      <c r="G11" s="84">
        <v>498.88868609701206</v>
      </c>
      <c r="H11" s="84">
        <v>578.72248193795156</v>
      </c>
      <c r="I11" s="84">
        <v>684.20227499353689</v>
      </c>
      <c r="J11" s="84">
        <v>643.10020489803878</v>
      </c>
      <c r="K11" s="84">
        <v>433.73673627069275</v>
      </c>
      <c r="L11" s="84">
        <v>504.56365043427513</v>
      </c>
      <c r="M11" s="84">
        <v>241.42153810706913</v>
      </c>
      <c r="N11" s="84">
        <v>165.86627885380386</v>
      </c>
      <c r="O11" s="84">
        <v>111.88780889210528</v>
      </c>
      <c r="P11" s="84">
        <v>163.72854939839254</v>
      </c>
      <c r="Q11" s="84">
        <v>151.98210986336366</v>
      </c>
      <c r="R11" s="84">
        <v>134.2191874699607</v>
      </c>
      <c r="S11" s="84">
        <v>187.79086232495862</v>
      </c>
      <c r="T11" s="84">
        <v>206.51997539603559</v>
      </c>
      <c r="U11" s="84">
        <v>144.30642416546971</v>
      </c>
      <c r="V11" s="84">
        <v>141.57402861051733</v>
      </c>
      <c r="W11" s="84">
        <v>127.1739770459122</v>
      </c>
      <c r="DA11" s="171" t="s">
        <v>1031</v>
      </c>
    </row>
    <row r="12" spans="1:105" ht="11.45" customHeight="1" x14ac:dyDescent="0.25">
      <c r="A12" s="85" t="s">
        <v>93</v>
      </c>
      <c r="B12" s="86">
        <v>103.65319235365968</v>
      </c>
      <c r="C12" s="86">
        <v>96.372251292904991</v>
      </c>
      <c r="D12" s="86">
        <v>81.364670113514052</v>
      </c>
      <c r="E12" s="86">
        <v>115.10330619408245</v>
      </c>
      <c r="F12" s="86">
        <v>151.54201868695543</v>
      </c>
      <c r="G12" s="86">
        <v>114.11131390298794</v>
      </c>
      <c r="H12" s="86">
        <v>83.277518062048443</v>
      </c>
      <c r="I12" s="86">
        <v>150.79772500646311</v>
      </c>
      <c r="J12" s="86">
        <v>142.89979510196122</v>
      </c>
      <c r="K12" s="86">
        <v>118.26326372930725</v>
      </c>
      <c r="L12" s="86">
        <v>109.43634956572487</v>
      </c>
      <c r="M12" s="86">
        <v>110.57846189293087</v>
      </c>
      <c r="N12" s="86">
        <v>117.13372114619614</v>
      </c>
      <c r="O12" s="86">
        <v>125.11219110789472</v>
      </c>
      <c r="P12" s="86">
        <v>147.27145060160746</v>
      </c>
      <c r="Q12" s="86">
        <v>142.01789013663634</v>
      </c>
      <c r="R12" s="86">
        <v>119.7808125300393</v>
      </c>
      <c r="S12" s="86">
        <v>170.20913767504138</v>
      </c>
      <c r="T12" s="86">
        <v>201.48002460396441</v>
      </c>
      <c r="U12" s="86">
        <v>346.69357583453029</v>
      </c>
      <c r="V12" s="86">
        <v>413.4259713894827</v>
      </c>
      <c r="W12" s="86">
        <v>450.82602295408782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27.745539060506026</v>
      </c>
      <c r="C14" s="62">
        <f t="shared" ref="C14:V14" si="10">C15+C21</f>
        <v>29.992178601342555</v>
      </c>
      <c r="D14" s="62">
        <f t="shared" si="10"/>
        <v>30.871397515793085</v>
      </c>
      <c r="E14" s="62">
        <f t="shared" si="10"/>
        <v>31.985786400179219</v>
      </c>
      <c r="F14" s="62">
        <f t="shared" si="10"/>
        <v>33.454341785206573</v>
      </c>
      <c r="G14" s="62">
        <f t="shared" si="10"/>
        <v>25.244795835810379</v>
      </c>
      <c r="H14" s="62">
        <f t="shared" si="10"/>
        <v>31.82310312298997</v>
      </c>
      <c r="I14" s="62">
        <f t="shared" si="10"/>
        <v>34.622510527008522</v>
      </c>
      <c r="J14" s="62">
        <f t="shared" si="10"/>
        <v>28.612285404883888</v>
      </c>
      <c r="K14" s="62">
        <f t="shared" si="10"/>
        <v>28.674115916341393</v>
      </c>
      <c r="L14" s="62">
        <f t="shared" si="10"/>
        <v>17.472360286853693</v>
      </c>
      <c r="M14" s="62">
        <f t="shared" si="10"/>
        <v>18.273963611141816</v>
      </c>
      <c r="N14" s="62">
        <f t="shared" si="10"/>
        <v>22.07146305637071</v>
      </c>
      <c r="O14" s="62">
        <f t="shared" si="10"/>
        <v>26.976372875016484</v>
      </c>
      <c r="P14" s="62">
        <f t="shared" si="10"/>
        <v>46.528793513898009</v>
      </c>
      <c r="Q14" s="62">
        <f t="shared" si="10"/>
        <v>46.970772403964929</v>
      </c>
      <c r="R14" s="62">
        <f t="shared" si="10"/>
        <v>45.344307919247804</v>
      </c>
      <c r="S14" s="62">
        <f t="shared" si="10"/>
        <v>45.741910249380574</v>
      </c>
      <c r="T14" s="62">
        <f t="shared" si="10"/>
        <v>45.999606507824872</v>
      </c>
      <c r="U14" s="62">
        <f t="shared" si="10"/>
        <v>31.326373761386375</v>
      </c>
      <c r="V14" s="62">
        <f t="shared" si="10"/>
        <v>27.724923956894191</v>
      </c>
      <c r="W14" s="62">
        <f t="shared" ref="W14" si="11">W15+W21</f>
        <v>28.900357112937904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27.029376876329316</v>
      </c>
      <c r="C15" s="29">
        <f t="shared" ref="C15:V15" si="13">SUM(C16,C17,C20)</f>
        <v>29.317206862123218</v>
      </c>
      <c r="D15" s="29">
        <f t="shared" si="13"/>
        <v>30.254398625188905</v>
      </c>
      <c r="E15" s="29">
        <f t="shared" si="13"/>
        <v>31.132455122769631</v>
      </c>
      <c r="F15" s="29">
        <f t="shared" si="13"/>
        <v>32.349189912990148</v>
      </c>
      <c r="G15" s="29">
        <f t="shared" si="13"/>
        <v>24.44653496624516</v>
      </c>
      <c r="H15" s="29">
        <f t="shared" si="13"/>
        <v>30.956706199681257</v>
      </c>
      <c r="I15" s="29">
        <f t="shared" si="13"/>
        <v>33.347777587193178</v>
      </c>
      <c r="J15" s="29">
        <f t="shared" si="13"/>
        <v>27.106469121030663</v>
      </c>
      <c r="K15" s="29">
        <f t="shared" si="13"/>
        <v>27.926207486009162</v>
      </c>
      <c r="L15" s="29">
        <f t="shared" si="13"/>
        <v>16.67397785133771</v>
      </c>
      <c r="M15" s="29">
        <f t="shared" si="13"/>
        <v>17.789520708769459</v>
      </c>
      <c r="N15" s="29">
        <f t="shared" si="13"/>
        <v>21.558131158807278</v>
      </c>
      <c r="O15" s="29">
        <f t="shared" si="13"/>
        <v>26.548787803209134</v>
      </c>
      <c r="P15" s="29">
        <f t="shared" si="13"/>
        <v>45.941163970046802</v>
      </c>
      <c r="Q15" s="29">
        <f t="shared" si="13"/>
        <v>46.407599788623912</v>
      </c>
      <c r="R15" s="29">
        <f t="shared" si="13"/>
        <v>44.867690548388531</v>
      </c>
      <c r="S15" s="29">
        <f t="shared" si="13"/>
        <v>45.078409220859427</v>
      </c>
      <c r="T15" s="29">
        <f t="shared" si="13"/>
        <v>45.23529161362562</v>
      </c>
      <c r="U15" s="29">
        <f t="shared" si="13"/>
        <v>30.330730705767699</v>
      </c>
      <c r="V15" s="29">
        <f t="shared" si="13"/>
        <v>26.420067572620184</v>
      </c>
      <c r="W15" s="29">
        <f t="shared" ref="W15" si="14">SUM(W16,W17,W20)</f>
        <v>27.664163280394853</v>
      </c>
      <c r="DA15" s="173" t="s">
        <v>1034</v>
      </c>
    </row>
    <row r="16" spans="1:105" ht="11.45" customHeight="1" x14ac:dyDescent="0.25">
      <c r="A16" s="107" t="s">
        <v>23</v>
      </c>
      <c r="B16" s="115">
        <v>13.915040984620362</v>
      </c>
      <c r="C16" s="115">
        <v>15.552574468201151</v>
      </c>
      <c r="D16" s="115">
        <v>15.939092182225028</v>
      </c>
      <c r="E16" s="115">
        <v>16.615119539908225</v>
      </c>
      <c r="F16" s="115">
        <v>17.93106507630398</v>
      </c>
      <c r="G16" s="115">
        <v>9.3100208569672986</v>
      </c>
      <c r="H16" s="115">
        <v>15.658109600180442</v>
      </c>
      <c r="I16" s="115">
        <v>19.160242238003804</v>
      </c>
      <c r="J16" s="115">
        <v>13.016089915161668</v>
      </c>
      <c r="K16" s="115">
        <v>15.246691433197604</v>
      </c>
      <c r="L16" s="115">
        <v>8.9907080053116122</v>
      </c>
      <c r="M16" s="115">
        <v>11.683741455980826</v>
      </c>
      <c r="N16" s="115">
        <v>10.52282731847639</v>
      </c>
      <c r="O16" s="115">
        <v>17.111299839984849</v>
      </c>
      <c r="P16" s="115">
        <v>22.506302809679877</v>
      </c>
      <c r="Q16" s="115">
        <v>21.447092757008274</v>
      </c>
      <c r="R16" s="115">
        <v>21.078320277050501</v>
      </c>
      <c r="S16" s="115">
        <v>22.07767551930387</v>
      </c>
      <c r="T16" s="115">
        <v>22.238323602259399</v>
      </c>
      <c r="U16" s="115">
        <v>19.494773007296619</v>
      </c>
      <c r="V16" s="115">
        <v>19.25140884500092</v>
      </c>
      <c r="W16" s="115">
        <v>19.303464333211885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13.114335891708953</v>
      </c>
      <c r="C17" s="116">
        <f t="shared" ref="C17:V17" si="16">SUM(C18:C19)</f>
        <v>13.764632393922067</v>
      </c>
      <c r="D17" s="116">
        <f t="shared" si="16"/>
        <v>14.315306442963877</v>
      </c>
      <c r="E17" s="116">
        <f t="shared" si="16"/>
        <v>14.517335582861406</v>
      </c>
      <c r="F17" s="116">
        <f t="shared" si="16"/>
        <v>14.41812483668617</v>
      </c>
      <c r="G17" s="116">
        <f t="shared" si="16"/>
        <v>15.136514109277863</v>
      </c>
      <c r="H17" s="116">
        <f t="shared" si="16"/>
        <v>15.298596599500817</v>
      </c>
      <c r="I17" s="116">
        <f t="shared" si="16"/>
        <v>14.187535349189371</v>
      </c>
      <c r="J17" s="116">
        <f t="shared" si="16"/>
        <v>14.090379205868997</v>
      </c>
      <c r="K17" s="116">
        <f t="shared" si="16"/>
        <v>12.679516052811557</v>
      </c>
      <c r="L17" s="116">
        <f t="shared" si="16"/>
        <v>7.6832698460260973</v>
      </c>
      <c r="M17" s="116">
        <f t="shared" si="16"/>
        <v>6.1057792527886336</v>
      </c>
      <c r="N17" s="116">
        <f t="shared" si="16"/>
        <v>11.03530384033089</v>
      </c>
      <c r="O17" s="116">
        <f t="shared" si="16"/>
        <v>9.4374879632242852</v>
      </c>
      <c r="P17" s="116">
        <f t="shared" si="16"/>
        <v>23.434861160366921</v>
      </c>
      <c r="Q17" s="116">
        <f t="shared" si="16"/>
        <v>24.960507031615638</v>
      </c>
      <c r="R17" s="116">
        <f t="shared" si="16"/>
        <v>23.789370271338029</v>
      </c>
      <c r="S17" s="116">
        <f t="shared" si="16"/>
        <v>23.000733701555557</v>
      </c>
      <c r="T17" s="116">
        <f t="shared" si="16"/>
        <v>22.996968011366224</v>
      </c>
      <c r="U17" s="116">
        <f t="shared" si="16"/>
        <v>10.835957698471081</v>
      </c>
      <c r="V17" s="116">
        <f t="shared" si="16"/>
        <v>7.168658727619265</v>
      </c>
      <c r="W17" s="116">
        <f t="shared" ref="W17" si="17">SUM(W18:W19)</f>
        <v>8.360698947182966</v>
      </c>
      <c r="DA17" s="176" t="s">
        <v>1036</v>
      </c>
    </row>
    <row r="18" spans="1:105" ht="11.45" customHeight="1" x14ac:dyDescent="0.25">
      <c r="A18" s="111" t="s">
        <v>92</v>
      </c>
      <c r="B18" s="87">
        <v>12.136155355063817</v>
      </c>
      <c r="C18" s="87">
        <v>12.751883828195608</v>
      </c>
      <c r="D18" s="87">
        <v>13.430072704072343</v>
      </c>
      <c r="E18" s="87">
        <v>13.723263299775278</v>
      </c>
      <c r="F18" s="87">
        <v>13.773697550031256</v>
      </c>
      <c r="G18" s="87">
        <v>14.746759497059365</v>
      </c>
      <c r="H18" s="87">
        <v>15.264544017458478</v>
      </c>
      <c r="I18" s="87">
        <v>13.560396601003635</v>
      </c>
      <c r="J18" s="87">
        <v>12.772874368784816</v>
      </c>
      <c r="K18" s="87">
        <v>11.611414825586213</v>
      </c>
      <c r="L18" s="87">
        <v>7.5872493000016927</v>
      </c>
      <c r="M18" s="87">
        <v>6.0443199968345578</v>
      </c>
      <c r="N18" s="87">
        <v>10.60368081103991</v>
      </c>
      <c r="O18" s="87">
        <v>7.688373839219361</v>
      </c>
      <c r="P18" s="87">
        <v>18.875615914645753</v>
      </c>
      <c r="Q18" s="87">
        <v>19.059292119736202</v>
      </c>
      <c r="R18" s="87">
        <v>18.845744853853226</v>
      </c>
      <c r="S18" s="87">
        <v>18.269451837988502</v>
      </c>
      <c r="T18" s="87">
        <v>17.297438125532903</v>
      </c>
      <c r="U18" s="87">
        <v>4.5526683738317066</v>
      </c>
      <c r="V18" s="87">
        <v>2.9444808051191265</v>
      </c>
      <c r="W18" s="87">
        <v>2.6512879476397502</v>
      </c>
      <c r="DA18" s="171" t="s">
        <v>1037</v>
      </c>
    </row>
    <row r="19" spans="1:105" ht="11.45" customHeight="1" x14ac:dyDescent="0.25">
      <c r="A19" s="111" t="s">
        <v>93</v>
      </c>
      <c r="B19" s="87">
        <v>0.97818053664513549</v>
      </c>
      <c r="C19" s="87">
        <v>1.0127485657264597</v>
      </c>
      <c r="D19" s="87">
        <v>0.88523373889153412</v>
      </c>
      <c r="E19" s="87">
        <v>0.79407228308612865</v>
      </c>
      <c r="F19" s="87">
        <v>0.64442728665491344</v>
      </c>
      <c r="G19" s="87">
        <v>0.38975461221849805</v>
      </c>
      <c r="H19" s="87">
        <v>3.4052582042338742E-2</v>
      </c>
      <c r="I19" s="87">
        <v>0.62713874818573601</v>
      </c>
      <c r="J19" s="87">
        <v>1.3175048370841811</v>
      </c>
      <c r="K19" s="87">
        <v>1.0681012272253447</v>
      </c>
      <c r="L19" s="87">
        <v>9.6020546024404574E-2</v>
      </c>
      <c r="M19" s="87">
        <v>6.1459255954075864E-2</v>
      </c>
      <c r="N19" s="87">
        <v>0.4316230292909804</v>
      </c>
      <c r="O19" s="87">
        <v>1.7491141240049242</v>
      </c>
      <c r="P19" s="87">
        <v>4.5592452457211685</v>
      </c>
      <c r="Q19" s="87">
        <v>5.9012149118794355</v>
      </c>
      <c r="R19" s="87">
        <v>4.9436254174848031</v>
      </c>
      <c r="S19" s="87">
        <v>4.7312818635670553</v>
      </c>
      <c r="T19" s="87">
        <v>5.6995298858333214</v>
      </c>
      <c r="U19" s="87">
        <v>6.283289324639374</v>
      </c>
      <c r="V19" s="87">
        <v>4.2241779225001386</v>
      </c>
      <c r="W19" s="87">
        <v>5.7094109995432154</v>
      </c>
      <c r="DA19" s="171" t="s">
        <v>1038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0.71616218417671074</v>
      </c>
      <c r="C21" s="29">
        <f t="shared" ref="C21:V21" si="19">SUM(C22:C23)</f>
        <v>0.6749717392193384</v>
      </c>
      <c r="D21" s="29">
        <f t="shared" si="19"/>
        <v>0.6169988906041779</v>
      </c>
      <c r="E21" s="29">
        <f t="shared" si="19"/>
        <v>0.85333127740958914</v>
      </c>
      <c r="F21" s="29">
        <f t="shared" si="19"/>
        <v>1.1051518722164233</v>
      </c>
      <c r="G21" s="29">
        <f t="shared" si="19"/>
        <v>0.79826086956521747</v>
      </c>
      <c r="H21" s="29">
        <f t="shared" si="19"/>
        <v>0.86639692330871365</v>
      </c>
      <c r="I21" s="29">
        <f t="shared" si="19"/>
        <v>1.2747329398153451</v>
      </c>
      <c r="J21" s="29">
        <f t="shared" si="19"/>
        <v>1.5058162838532239</v>
      </c>
      <c r="K21" s="29">
        <f t="shared" si="19"/>
        <v>0.74790843033223231</v>
      </c>
      <c r="L21" s="29">
        <f t="shared" si="19"/>
        <v>0.79838243551598087</v>
      </c>
      <c r="M21" s="29">
        <f t="shared" si="19"/>
        <v>0.4844429023723571</v>
      </c>
      <c r="N21" s="29">
        <f t="shared" si="19"/>
        <v>0.51333189756343423</v>
      </c>
      <c r="O21" s="29">
        <f t="shared" si="19"/>
        <v>0.42758507180734867</v>
      </c>
      <c r="P21" s="29">
        <f t="shared" si="19"/>
        <v>0.58762954385120691</v>
      </c>
      <c r="Q21" s="29">
        <f t="shared" si="19"/>
        <v>0.56317261534101426</v>
      </c>
      <c r="R21" s="29">
        <f t="shared" si="19"/>
        <v>0.47661737085927242</v>
      </c>
      <c r="S21" s="29">
        <f t="shared" si="19"/>
        <v>0.66350102852114545</v>
      </c>
      <c r="T21" s="29">
        <f t="shared" si="19"/>
        <v>0.76431489419925547</v>
      </c>
      <c r="U21" s="29">
        <f t="shared" si="19"/>
        <v>0.99564305561867594</v>
      </c>
      <c r="V21" s="29">
        <f t="shared" si="19"/>
        <v>1.3048563842740069</v>
      </c>
      <c r="W21" s="29">
        <f t="shared" ref="W21" si="20">SUM(W22:W23)</f>
        <v>1.2361938325430497</v>
      </c>
      <c r="DA21" s="173" t="s">
        <v>1040</v>
      </c>
    </row>
    <row r="22" spans="1:105" ht="11.45" customHeight="1" x14ac:dyDescent="0.25">
      <c r="A22" s="83" t="s">
        <v>92</v>
      </c>
      <c r="B22" s="87">
        <v>0.53374940428359552</v>
      </c>
      <c r="C22" s="87">
        <v>0.46539005085683677</v>
      </c>
      <c r="D22" s="87">
        <v>0.48659790808662295</v>
      </c>
      <c r="E22" s="87">
        <v>0.66667275648227464</v>
      </c>
      <c r="F22" s="87">
        <v>0.86408614565142861</v>
      </c>
      <c r="G22" s="87">
        <v>0.67646436140335053</v>
      </c>
      <c r="H22" s="87">
        <v>0.77991100627947152</v>
      </c>
      <c r="I22" s="87">
        <v>0.87695511624466405</v>
      </c>
      <c r="J22" s="87">
        <v>1.270553710758058</v>
      </c>
      <c r="K22" s="87">
        <v>0.55097158178253358</v>
      </c>
      <c r="L22" s="87">
        <v>0.60987731692929104</v>
      </c>
      <c r="M22" s="87">
        <v>0.28992490276670047</v>
      </c>
      <c r="N22" s="87">
        <v>0.30761226085753829</v>
      </c>
      <c r="O22" s="87">
        <v>0.20433946190489308</v>
      </c>
      <c r="P22" s="87">
        <v>0.29522742157463844</v>
      </c>
      <c r="Q22" s="87">
        <v>0.27757840011023494</v>
      </c>
      <c r="R22" s="87">
        <v>0.23953519833539849</v>
      </c>
      <c r="S22" s="87">
        <v>0.32844471514421641</v>
      </c>
      <c r="T22" s="87">
        <v>0.3624372139699889</v>
      </c>
      <c r="U22" s="87">
        <v>0.22421049468127285</v>
      </c>
      <c r="V22" s="87">
        <v>0.24281672096497264</v>
      </c>
      <c r="W22" s="87">
        <v>0.22860748366089159</v>
      </c>
      <c r="DA22" s="171" t="s">
        <v>1041</v>
      </c>
    </row>
    <row r="23" spans="1:105" ht="11.45" customHeight="1" x14ac:dyDescent="0.25">
      <c r="A23" s="85" t="s">
        <v>93</v>
      </c>
      <c r="B23" s="88">
        <v>0.18241277989311522</v>
      </c>
      <c r="C23" s="88">
        <v>0.20958168836250163</v>
      </c>
      <c r="D23" s="88">
        <v>0.13040098251755494</v>
      </c>
      <c r="E23" s="88">
        <v>0.1866585209273145</v>
      </c>
      <c r="F23" s="88">
        <v>0.2410657265649947</v>
      </c>
      <c r="G23" s="88">
        <v>0.12179650816186693</v>
      </c>
      <c r="H23" s="88">
        <v>8.6485917029242132E-2</v>
      </c>
      <c r="I23" s="88">
        <v>0.39777782357068103</v>
      </c>
      <c r="J23" s="88">
        <v>0.23526257309516585</v>
      </c>
      <c r="K23" s="88">
        <v>0.19693684854969873</v>
      </c>
      <c r="L23" s="88">
        <v>0.18850511858668983</v>
      </c>
      <c r="M23" s="88">
        <v>0.19451799960565666</v>
      </c>
      <c r="N23" s="88">
        <v>0.20571963670589594</v>
      </c>
      <c r="O23" s="88">
        <v>0.22324560990245559</v>
      </c>
      <c r="P23" s="88">
        <v>0.29240212227656848</v>
      </c>
      <c r="Q23" s="88">
        <v>0.28559421523077932</v>
      </c>
      <c r="R23" s="88">
        <v>0.23708217252387392</v>
      </c>
      <c r="S23" s="88">
        <v>0.33505631337692904</v>
      </c>
      <c r="T23" s="88">
        <v>0.40187768022926657</v>
      </c>
      <c r="U23" s="88">
        <v>0.77143256093740309</v>
      </c>
      <c r="V23" s="88">
        <v>1.0620396633090343</v>
      </c>
      <c r="W23" s="88">
        <v>1.0075863488821581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217.51009200000001</v>
      </c>
      <c r="C25" s="62">
        <f t="shared" ref="C25:V25" si="22">C26+C32</f>
        <v>236.60104100000001</v>
      </c>
      <c r="D25" s="62">
        <f t="shared" si="22"/>
        <v>243.92388899999997</v>
      </c>
      <c r="E25" s="62">
        <f t="shared" si="22"/>
        <v>252.24903899999998</v>
      </c>
      <c r="F25" s="62">
        <f t="shared" si="22"/>
        <v>265.15539200000001</v>
      </c>
      <c r="G25" s="62">
        <f t="shared" si="22"/>
        <v>257.98223400000001</v>
      </c>
      <c r="H25" s="62">
        <f t="shared" si="22"/>
        <v>252.52360899999999</v>
      </c>
      <c r="I25" s="62">
        <f t="shared" si="22"/>
        <v>278.41146900000001</v>
      </c>
      <c r="J25" s="62">
        <f t="shared" si="22"/>
        <v>264.14989000000003</v>
      </c>
      <c r="K25" s="62">
        <f t="shared" si="22"/>
        <v>242.39888299999998</v>
      </c>
      <c r="L25" s="62">
        <f t="shared" si="22"/>
        <v>220.647876</v>
      </c>
      <c r="M25" s="62">
        <f t="shared" si="22"/>
        <v>198.89686899999998</v>
      </c>
      <c r="N25" s="62">
        <f t="shared" si="22"/>
        <v>194.61806099999998</v>
      </c>
      <c r="O25" s="62">
        <f t="shared" si="22"/>
        <v>236.27852199999998</v>
      </c>
      <c r="P25" s="62">
        <f t="shared" si="22"/>
        <v>367.04869799999994</v>
      </c>
      <c r="Q25" s="62">
        <f t="shared" si="22"/>
        <v>367.28957499999996</v>
      </c>
      <c r="R25" s="62">
        <f t="shared" si="22"/>
        <v>361.50325000000004</v>
      </c>
      <c r="S25" s="62">
        <f t="shared" si="22"/>
        <v>366.16586599999999</v>
      </c>
      <c r="T25" s="62">
        <f t="shared" si="22"/>
        <v>361.17311799999999</v>
      </c>
      <c r="U25" s="62">
        <f t="shared" si="22"/>
        <v>345.90494100000001</v>
      </c>
      <c r="V25" s="62">
        <f t="shared" si="22"/>
        <v>325.69817600000005</v>
      </c>
      <c r="W25" s="62">
        <f t="shared" ref="W25" si="23">W26+W32</f>
        <v>315.21674099999996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213.92928000000001</v>
      </c>
      <c r="C26" s="29">
        <f t="shared" ref="C26:V26" si="25">SUM(C27,C28,C31)</f>
        <v>233.15125800000001</v>
      </c>
      <c r="D26" s="29">
        <f t="shared" si="25"/>
        <v>240.53419599999998</v>
      </c>
      <c r="E26" s="29">
        <f t="shared" si="25"/>
        <v>247.98238199999997</v>
      </c>
      <c r="F26" s="29">
        <f t="shared" si="25"/>
        <v>259.62963200000002</v>
      </c>
      <c r="G26" s="29">
        <f t="shared" si="25"/>
        <v>252.81455399999999</v>
      </c>
      <c r="H26" s="29">
        <f t="shared" si="25"/>
        <v>247.601136</v>
      </c>
      <c r="I26" s="29">
        <f t="shared" si="25"/>
        <v>272.037803</v>
      </c>
      <c r="J26" s="29">
        <f t="shared" si="25"/>
        <v>255.89943700000001</v>
      </c>
      <c r="K26" s="29">
        <f t="shared" si="25"/>
        <v>234.50650999999999</v>
      </c>
      <c r="L26" s="29">
        <f t="shared" si="25"/>
        <v>213.11358300000001</v>
      </c>
      <c r="M26" s="29">
        <f t="shared" si="25"/>
        <v>191.72065599999999</v>
      </c>
      <c r="N26" s="29">
        <f t="shared" si="25"/>
        <v>187.79992799999999</v>
      </c>
      <c r="O26" s="29">
        <f t="shared" si="25"/>
        <v>229.81846899999999</v>
      </c>
      <c r="P26" s="29">
        <f t="shared" si="25"/>
        <v>360.83516199999997</v>
      </c>
      <c r="Q26" s="29">
        <f t="shared" si="25"/>
        <v>361.37695199999996</v>
      </c>
      <c r="R26" s="29">
        <f t="shared" si="25"/>
        <v>355.94870700000001</v>
      </c>
      <c r="S26" s="29">
        <f t="shared" si="25"/>
        <v>360.53968099999997</v>
      </c>
      <c r="T26" s="29">
        <f t="shared" si="25"/>
        <v>355.47969999999998</v>
      </c>
      <c r="U26" s="29">
        <f t="shared" si="25"/>
        <v>338.63062300000001</v>
      </c>
      <c r="V26" s="29">
        <f t="shared" si="25"/>
        <v>317.23769600000003</v>
      </c>
      <c r="W26" s="29">
        <f t="shared" ref="W26" si="26">SUM(W27,W28,W31)</f>
        <v>307.11434099999997</v>
      </c>
      <c r="DA26" s="173" t="s">
        <v>1044</v>
      </c>
    </row>
    <row r="27" spans="1:105" ht="11.45" customHeight="1" x14ac:dyDescent="0.25">
      <c r="A27" s="107" t="s">
        <v>23</v>
      </c>
      <c r="B27" s="115">
        <v>126.500373</v>
      </c>
      <c r="C27" s="115">
        <v>141.38704100000001</v>
      </c>
      <c r="D27" s="115">
        <v>144.90083899999999</v>
      </c>
      <c r="E27" s="115">
        <v>151.04654199999999</v>
      </c>
      <c r="F27" s="115">
        <v>163.009683</v>
      </c>
      <c r="G27" s="115">
        <v>150.359646</v>
      </c>
      <c r="H27" s="115">
        <v>142.346451</v>
      </c>
      <c r="I27" s="115">
        <v>174.184021</v>
      </c>
      <c r="J27" s="115">
        <v>161.533984</v>
      </c>
      <c r="K27" s="115">
        <v>148.88394700000001</v>
      </c>
      <c r="L27" s="115">
        <v>136.23391000000001</v>
      </c>
      <c r="M27" s="115">
        <v>123.583873</v>
      </c>
      <c r="N27" s="115">
        <v>110.933836</v>
      </c>
      <c r="O27" s="115">
        <v>155.55727199999998</v>
      </c>
      <c r="P27" s="115">
        <v>204.60275300000001</v>
      </c>
      <c r="Q27" s="115">
        <v>194.97357099999999</v>
      </c>
      <c r="R27" s="115">
        <v>191.621094</v>
      </c>
      <c r="S27" s="115">
        <v>200.706142</v>
      </c>
      <c r="T27" s="115">
        <v>202.16657899999998</v>
      </c>
      <c r="U27" s="115">
        <v>189.51654199999999</v>
      </c>
      <c r="V27" s="115">
        <v>176.86650499999999</v>
      </c>
      <c r="W27" s="115">
        <v>175.48604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87.428906999999995</v>
      </c>
      <c r="C28" s="116">
        <f t="shared" ref="C28:V28" si="28">SUM(C29:C30)</f>
        <v>91.764217000000002</v>
      </c>
      <c r="D28" s="116">
        <f t="shared" si="28"/>
        <v>95.63335699999999</v>
      </c>
      <c r="E28" s="116">
        <f t="shared" si="28"/>
        <v>96.935839999999999</v>
      </c>
      <c r="F28" s="116">
        <f t="shared" si="28"/>
        <v>96.619949000000005</v>
      </c>
      <c r="G28" s="116">
        <f t="shared" si="28"/>
        <v>102.454908</v>
      </c>
      <c r="H28" s="116">
        <f t="shared" si="28"/>
        <v>105.25468499999999</v>
      </c>
      <c r="I28" s="116">
        <f t="shared" si="28"/>
        <v>97.853781999999995</v>
      </c>
      <c r="J28" s="116">
        <f t="shared" si="28"/>
        <v>94.365453000000002</v>
      </c>
      <c r="K28" s="116">
        <f t="shared" si="28"/>
        <v>85.622563</v>
      </c>
      <c r="L28" s="116">
        <f t="shared" si="28"/>
        <v>76.879672999999997</v>
      </c>
      <c r="M28" s="116">
        <f t="shared" si="28"/>
        <v>68.136782999999994</v>
      </c>
      <c r="N28" s="116">
        <f t="shared" si="28"/>
        <v>76.866091999999995</v>
      </c>
      <c r="O28" s="116">
        <f t="shared" si="28"/>
        <v>74.261196999999996</v>
      </c>
      <c r="P28" s="116">
        <f t="shared" si="28"/>
        <v>156.23240899999999</v>
      </c>
      <c r="Q28" s="116">
        <f t="shared" si="28"/>
        <v>166.403381</v>
      </c>
      <c r="R28" s="116">
        <f t="shared" si="28"/>
        <v>164.32761299999999</v>
      </c>
      <c r="S28" s="116">
        <f t="shared" si="28"/>
        <v>159.833539</v>
      </c>
      <c r="T28" s="116">
        <f t="shared" si="28"/>
        <v>153.313121</v>
      </c>
      <c r="U28" s="116">
        <f t="shared" si="28"/>
        <v>149.114081</v>
      </c>
      <c r="V28" s="116">
        <f t="shared" si="28"/>
        <v>140.37119100000001</v>
      </c>
      <c r="W28" s="116">
        <f t="shared" ref="W28" si="29">SUM(W29:W30)</f>
        <v>131.62830099999999</v>
      </c>
      <c r="DA28" s="176" t="s">
        <v>1046</v>
      </c>
    </row>
    <row r="29" spans="1:105" ht="11.45" customHeight="1" x14ac:dyDescent="0.25">
      <c r="A29" s="111" t="s">
        <v>92</v>
      </c>
      <c r="B29" s="87">
        <v>80.907702999999998</v>
      </c>
      <c r="C29" s="87">
        <v>85.012558999999996</v>
      </c>
      <c r="D29" s="87">
        <v>89.533818999999994</v>
      </c>
      <c r="E29" s="87">
        <v>91.488422</v>
      </c>
      <c r="F29" s="87">
        <v>91.824651000000003</v>
      </c>
      <c r="G29" s="87">
        <v>98.311729999999997</v>
      </c>
      <c r="H29" s="87">
        <v>101.763627</v>
      </c>
      <c r="I29" s="87">
        <v>93.672856999999993</v>
      </c>
      <c r="J29" s="87">
        <v>85.582087000000001</v>
      </c>
      <c r="K29" s="87">
        <v>77.491316999999995</v>
      </c>
      <c r="L29" s="87">
        <v>69.400547000000003</v>
      </c>
      <c r="M29" s="87">
        <v>61.309776999999997</v>
      </c>
      <c r="N29" s="87">
        <v>70.691205999999994</v>
      </c>
      <c r="O29" s="87">
        <v>62.600435999999995</v>
      </c>
      <c r="P29" s="87">
        <v>125.83744</v>
      </c>
      <c r="Q29" s="87">
        <v>127.061948</v>
      </c>
      <c r="R29" s="87">
        <v>125.6383</v>
      </c>
      <c r="S29" s="87">
        <v>121.796346</v>
      </c>
      <c r="T29" s="87">
        <v>115.316255</v>
      </c>
      <c r="U29" s="87">
        <v>107.22548499999999</v>
      </c>
      <c r="V29" s="87">
        <v>99.134715</v>
      </c>
      <c r="W29" s="87">
        <v>91.043944999999994</v>
      </c>
      <c r="DA29" s="171" t="s">
        <v>1047</v>
      </c>
    </row>
    <row r="30" spans="1:105" ht="11.45" customHeight="1" x14ac:dyDescent="0.25">
      <c r="A30" s="111" t="s">
        <v>93</v>
      </c>
      <c r="B30" s="87">
        <v>6.521204</v>
      </c>
      <c r="C30" s="87">
        <v>6.7516579999999999</v>
      </c>
      <c r="D30" s="87">
        <v>6.0995379999999999</v>
      </c>
      <c r="E30" s="87">
        <v>5.4474179999999999</v>
      </c>
      <c r="F30" s="87">
        <v>4.7952979999999998</v>
      </c>
      <c r="G30" s="87">
        <v>4.1431779999999998</v>
      </c>
      <c r="H30" s="87">
        <v>3.4910580000000002</v>
      </c>
      <c r="I30" s="87">
        <v>4.1809250000000002</v>
      </c>
      <c r="J30" s="87">
        <v>8.7833659999999991</v>
      </c>
      <c r="K30" s="87">
        <v>8.1312459999999991</v>
      </c>
      <c r="L30" s="87">
        <v>7.4791259999999999</v>
      </c>
      <c r="M30" s="87">
        <v>6.8270059999999999</v>
      </c>
      <c r="N30" s="87">
        <v>6.1748859999999999</v>
      </c>
      <c r="O30" s="87">
        <v>11.660760999999999</v>
      </c>
      <c r="P30" s="87">
        <v>30.394969</v>
      </c>
      <c r="Q30" s="87">
        <v>39.341432999999995</v>
      </c>
      <c r="R30" s="87">
        <v>38.689312999999999</v>
      </c>
      <c r="S30" s="87">
        <v>38.037192999999995</v>
      </c>
      <c r="T30" s="87">
        <v>37.996865999999997</v>
      </c>
      <c r="U30" s="87">
        <v>41.888596</v>
      </c>
      <c r="V30" s="87">
        <v>41.236475999999996</v>
      </c>
      <c r="W30" s="87">
        <v>40.584356</v>
      </c>
      <c r="DA30" s="171" t="s">
        <v>1048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3.5808120000000003</v>
      </c>
      <c r="C32" s="29">
        <f t="shared" ref="C32:V32" si="31">SUM(C33:C34)</f>
        <v>3.449783</v>
      </c>
      <c r="D32" s="29">
        <f t="shared" si="31"/>
        <v>3.3896930000000003</v>
      </c>
      <c r="E32" s="29">
        <f t="shared" si="31"/>
        <v>4.2666570000000004</v>
      </c>
      <c r="F32" s="29">
        <f t="shared" si="31"/>
        <v>5.52576</v>
      </c>
      <c r="G32" s="29">
        <f t="shared" si="31"/>
        <v>5.1676800000000007</v>
      </c>
      <c r="H32" s="29">
        <f t="shared" si="31"/>
        <v>4.9224730000000001</v>
      </c>
      <c r="I32" s="29">
        <f t="shared" si="31"/>
        <v>6.3736660000000001</v>
      </c>
      <c r="J32" s="29">
        <f t="shared" si="31"/>
        <v>8.2504530000000003</v>
      </c>
      <c r="K32" s="29">
        <f t="shared" si="31"/>
        <v>7.8923730000000001</v>
      </c>
      <c r="L32" s="29">
        <f t="shared" si="31"/>
        <v>7.5342929999999999</v>
      </c>
      <c r="M32" s="29">
        <f t="shared" si="31"/>
        <v>7.1762129999999997</v>
      </c>
      <c r="N32" s="29">
        <f t="shared" si="31"/>
        <v>6.8181329999999996</v>
      </c>
      <c r="O32" s="29">
        <f t="shared" si="31"/>
        <v>6.4600530000000003</v>
      </c>
      <c r="P32" s="29">
        <f t="shared" si="31"/>
        <v>6.2135359999999995</v>
      </c>
      <c r="Q32" s="29">
        <f t="shared" si="31"/>
        <v>5.912623</v>
      </c>
      <c r="R32" s="29">
        <f t="shared" si="31"/>
        <v>5.5545429999999998</v>
      </c>
      <c r="S32" s="29">
        <f t="shared" si="31"/>
        <v>5.6261850000000004</v>
      </c>
      <c r="T32" s="29">
        <f t="shared" si="31"/>
        <v>5.6934180000000003</v>
      </c>
      <c r="U32" s="29">
        <f t="shared" si="31"/>
        <v>7.2743180000000009</v>
      </c>
      <c r="V32" s="29">
        <f t="shared" si="31"/>
        <v>8.4604800000000004</v>
      </c>
      <c r="W32" s="29">
        <f t="shared" ref="W32" si="32">SUM(W33:W34)</f>
        <v>8.1023999999999994</v>
      </c>
      <c r="DA32" s="173" t="s">
        <v>1050</v>
      </c>
    </row>
    <row r="33" spans="1:105" ht="11.45" customHeight="1" x14ac:dyDescent="0.25">
      <c r="A33" s="83" t="s">
        <v>92</v>
      </c>
      <c r="B33" s="87">
        <v>2.6687480000000003</v>
      </c>
      <c r="C33" s="87">
        <v>2.4018740000000003</v>
      </c>
      <c r="D33" s="87">
        <v>2.4329900000000002</v>
      </c>
      <c r="E33" s="87">
        <v>3.333364</v>
      </c>
      <c r="F33" s="87">
        <v>4.3204310000000001</v>
      </c>
      <c r="G33" s="87">
        <v>4.0535570000000005</v>
      </c>
      <c r="H33" s="87">
        <v>3.899556</v>
      </c>
      <c r="I33" s="87">
        <v>4.3847760000000005</v>
      </c>
      <c r="J33" s="87">
        <v>6.3527690000000003</v>
      </c>
      <c r="K33" s="87">
        <v>6.0858949999999998</v>
      </c>
      <c r="L33" s="87">
        <v>5.8190210000000002</v>
      </c>
      <c r="M33" s="87">
        <v>5.5521469999999997</v>
      </c>
      <c r="N33" s="87">
        <v>5.2852730000000001</v>
      </c>
      <c r="O33" s="87">
        <v>5.0183990000000005</v>
      </c>
      <c r="P33" s="87">
        <v>4.751525</v>
      </c>
      <c r="Q33" s="87">
        <v>4.4846510000000004</v>
      </c>
      <c r="R33" s="87">
        <v>4.2177769999999999</v>
      </c>
      <c r="S33" s="87">
        <v>3.9509030000000003</v>
      </c>
      <c r="T33" s="87">
        <v>3.6840290000000002</v>
      </c>
      <c r="U33" s="87">
        <v>3.4171550000000002</v>
      </c>
      <c r="V33" s="87">
        <v>3.1502810000000001</v>
      </c>
      <c r="W33" s="87">
        <v>2.8834070000000001</v>
      </c>
      <c r="DA33" s="171" t="s">
        <v>1051</v>
      </c>
    </row>
    <row r="34" spans="1:105" ht="11.45" customHeight="1" x14ac:dyDescent="0.25">
      <c r="A34" s="85" t="s">
        <v>93</v>
      </c>
      <c r="B34" s="88">
        <v>0.91206399999999999</v>
      </c>
      <c r="C34" s="88">
        <v>1.047909</v>
      </c>
      <c r="D34" s="88">
        <v>0.95670300000000008</v>
      </c>
      <c r="E34" s="88">
        <v>0.93329300000000004</v>
      </c>
      <c r="F34" s="88">
        <v>1.2053289999999999</v>
      </c>
      <c r="G34" s="88">
        <v>1.114123</v>
      </c>
      <c r="H34" s="88">
        <v>1.0229169999999999</v>
      </c>
      <c r="I34" s="88">
        <v>1.9888899999999998</v>
      </c>
      <c r="J34" s="88">
        <v>1.8976839999999999</v>
      </c>
      <c r="K34" s="88">
        <v>1.806478</v>
      </c>
      <c r="L34" s="88">
        <v>1.7152719999999999</v>
      </c>
      <c r="M34" s="88">
        <v>1.624066</v>
      </c>
      <c r="N34" s="88">
        <v>1.5328599999999999</v>
      </c>
      <c r="O34" s="88">
        <v>1.441654</v>
      </c>
      <c r="P34" s="88">
        <v>1.4620109999999999</v>
      </c>
      <c r="Q34" s="88">
        <v>1.427972</v>
      </c>
      <c r="R34" s="88">
        <v>1.3367659999999999</v>
      </c>
      <c r="S34" s="88">
        <v>1.6752819999999999</v>
      </c>
      <c r="T34" s="88">
        <v>2.0093890000000001</v>
      </c>
      <c r="U34" s="88">
        <v>3.8571630000000003</v>
      </c>
      <c r="V34" s="88">
        <v>5.3101989999999999</v>
      </c>
      <c r="W34" s="88">
        <v>5.2189930000000002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27.132313</v>
      </c>
      <c r="D36" s="54">
        <f t="shared" ref="D36:V36" si="34">D37+D43</f>
        <v>15.708902999999996</v>
      </c>
      <c r="E36" s="54">
        <f t="shared" si="34"/>
        <v>16.654929999999993</v>
      </c>
      <c r="F36" s="54">
        <f t="shared" si="34"/>
        <v>21.236132999999999</v>
      </c>
      <c r="G36" s="54">
        <f t="shared" si="34"/>
        <v>9.3208309999999983</v>
      </c>
      <c r="H36" s="54">
        <f t="shared" si="34"/>
        <v>6.2856490000000065</v>
      </c>
      <c r="I36" s="54">
        <f t="shared" si="34"/>
        <v>39.015443000000019</v>
      </c>
      <c r="J36" s="54">
        <f t="shared" si="34"/>
        <v>6.8594139999999983</v>
      </c>
      <c r="K36" s="54">
        <f t="shared" si="34"/>
        <v>0</v>
      </c>
      <c r="L36" s="54">
        <f t="shared" si="34"/>
        <v>0</v>
      </c>
      <c r="M36" s="54">
        <f t="shared" si="34"/>
        <v>0</v>
      </c>
      <c r="N36" s="54">
        <f t="shared" si="34"/>
        <v>12.215181000000001</v>
      </c>
      <c r="O36" s="54">
        <f t="shared" si="34"/>
        <v>55.015117999999994</v>
      </c>
      <c r="P36" s="54">
        <f t="shared" si="34"/>
        <v>138.81153999999998</v>
      </c>
      <c r="Q36" s="54">
        <f t="shared" si="34"/>
        <v>13.198521000000003</v>
      </c>
      <c r="R36" s="54">
        <f t="shared" si="34"/>
        <v>2.7705290000000105</v>
      </c>
      <c r="S36" s="54">
        <f t="shared" si="34"/>
        <v>14.171396999999986</v>
      </c>
      <c r="T36" s="54">
        <f t="shared" si="34"/>
        <v>6.6949550000000038</v>
      </c>
      <c r="U36" s="54">
        <f t="shared" si="34"/>
        <v>5.9673400000000054</v>
      </c>
      <c r="V36" s="54">
        <f t="shared" si="34"/>
        <v>1.4879669999999998</v>
      </c>
      <c r="W36" s="54">
        <f t="shared" ref="W36" si="35">W37+W43</f>
        <v>3.3324369999999988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26.961537</v>
      </c>
      <c r="D37" s="28">
        <f t="shared" ref="D37:V37" si="37">SUM(D38,D39,D42)</f>
        <v>15.581711999999996</v>
      </c>
      <c r="E37" s="28">
        <f t="shared" si="37"/>
        <v>15.646959999999993</v>
      </c>
      <c r="F37" s="28">
        <f t="shared" si="37"/>
        <v>19.846024</v>
      </c>
      <c r="G37" s="28">
        <f t="shared" si="37"/>
        <v>9.3208309999999983</v>
      </c>
      <c r="H37" s="28">
        <f t="shared" si="37"/>
        <v>6.2856490000000065</v>
      </c>
      <c r="I37" s="28">
        <f t="shared" si="37"/>
        <v>37.433244000000016</v>
      </c>
      <c r="J37" s="28">
        <f t="shared" si="37"/>
        <v>4.7953459999999986</v>
      </c>
      <c r="K37" s="28">
        <f t="shared" si="37"/>
        <v>0</v>
      </c>
      <c r="L37" s="28">
        <f t="shared" si="37"/>
        <v>0</v>
      </c>
      <c r="M37" s="28">
        <f t="shared" si="37"/>
        <v>0</v>
      </c>
      <c r="N37" s="28">
        <f t="shared" si="37"/>
        <v>12.215181000000001</v>
      </c>
      <c r="O37" s="28">
        <f t="shared" si="37"/>
        <v>55.015117999999994</v>
      </c>
      <c r="P37" s="28">
        <f t="shared" si="37"/>
        <v>138.75625199999999</v>
      </c>
      <c r="Q37" s="28">
        <f t="shared" si="37"/>
        <v>13.197629000000003</v>
      </c>
      <c r="R37" s="28">
        <f t="shared" si="37"/>
        <v>2.7705290000000105</v>
      </c>
      <c r="S37" s="28">
        <f t="shared" si="37"/>
        <v>13.797949999999986</v>
      </c>
      <c r="T37" s="28">
        <f t="shared" si="37"/>
        <v>6.325917000000004</v>
      </c>
      <c r="U37" s="28">
        <f t="shared" si="37"/>
        <v>4.0846350000000058</v>
      </c>
      <c r="V37" s="28">
        <f t="shared" si="37"/>
        <v>0</v>
      </c>
      <c r="W37" s="28">
        <f t="shared" ref="W37" si="38">SUM(W38,W39,W42)</f>
        <v>3.3324369999999988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19.59957</v>
      </c>
      <c r="D38" s="108">
        <v>8.2266999999999939</v>
      </c>
      <c r="E38" s="108">
        <v>10.858604999999983</v>
      </c>
      <c r="F38" s="108">
        <v>16.676042999999993</v>
      </c>
      <c r="G38" s="108">
        <v>0</v>
      </c>
      <c r="H38" s="108">
        <v>0</v>
      </c>
      <c r="I38" s="108">
        <v>36.550472000000013</v>
      </c>
      <c r="J38" s="108">
        <v>0</v>
      </c>
      <c r="K38" s="108">
        <v>0</v>
      </c>
      <c r="L38" s="108">
        <v>0</v>
      </c>
      <c r="M38" s="108">
        <v>0</v>
      </c>
      <c r="N38" s="108">
        <v>0</v>
      </c>
      <c r="O38" s="108">
        <v>49.336337999999998</v>
      </c>
      <c r="P38" s="108">
        <v>53.758383000000009</v>
      </c>
      <c r="Q38" s="108">
        <v>0</v>
      </c>
      <c r="R38" s="108">
        <v>1.3604250000000206</v>
      </c>
      <c r="S38" s="108">
        <v>13.797949999999986</v>
      </c>
      <c r="T38" s="108">
        <v>6.1733389999999986</v>
      </c>
      <c r="U38" s="108">
        <v>0</v>
      </c>
      <c r="V38" s="108">
        <v>0</v>
      </c>
      <c r="W38" s="108">
        <v>3.3324369999999988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7.3619670000000017</v>
      </c>
      <c r="D39" s="110">
        <f t="shared" ref="D39:V39" si="40">SUM(D40:D41)</f>
        <v>7.3550120000000021</v>
      </c>
      <c r="E39" s="110">
        <f t="shared" si="40"/>
        <v>4.7883550000000099</v>
      </c>
      <c r="F39" s="110">
        <f t="shared" si="40"/>
        <v>3.169981000000007</v>
      </c>
      <c r="G39" s="110">
        <f t="shared" si="40"/>
        <v>9.3208309999999983</v>
      </c>
      <c r="H39" s="110">
        <f t="shared" si="40"/>
        <v>6.2856490000000065</v>
      </c>
      <c r="I39" s="110">
        <f t="shared" si="40"/>
        <v>0.88277199999999967</v>
      </c>
      <c r="J39" s="110">
        <f t="shared" si="40"/>
        <v>4.7953459999999986</v>
      </c>
      <c r="K39" s="110">
        <f t="shared" si="40"/>
        <v>0</v>
      </c>
      <c r="L39" s="110">
        <f t="shared" si="40"/>
        <v>0</v>
      </c>
      <c r="M39" s="110">
        <f t="shared" si="40"/>
        <v>0</v>
      </c>
      <c r="N39" s="110">
        <f t="shared" si="40"/>
        <v>12.215181000000001</v>
      </c>
      <c r="O39" s="110">
        <f t="shared" si="40"/>
        <v>5.6787799999999988</v>
      </c>
      <c r="P39" s="110">
        <f t="shared" si="40"/>
        <v>84.99786899999998</v>
      </c>
      <c r="Q39" s="110">
        <f t="shared" si="40"/>
        <v>13.197629000000003</v>
      </c>
      <c r="R39" s="110">
        <f t="shared" si="40"/>
        <v>1.4101039999999898</v>
      </c>
      <c r="S39" s="110">
        <f t="shared" si="40"/>
        <v>0</v>
      </c>
      <c r="T39" s="110">
        <f t="shared" si="40"/>
        <v>0.15257800000000543</v>
      </c>
      <c r="U39" s="110">
        <f t="shared" si="40"/>
        <v>4.0846350000000058</v>
      </c>
      <c r="V39" s="110">
        <f t="shared" si="40"/>
        <v>0</v>
      </c>
      <c r="W39" s="110">
        <f t="shared" ref="W39" si="41">SUM(W40:W41)</f>
        <v>0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6.9386080000000021</v>
      </c>
      <c r="D40" s="84">
        <v>7.3550120000000021</v>
      </c>
      <c r="E40" s="84">
        <v>4.7883550000000099</v>
      </c>
      <c r="F40" s="84">
        <v>3.169981000000007</v>
      </c>
      <c r="G40" s="84">
        <v>9.3208309999999983</v>
      </c>
      <c r="H40" s="84">
        <v>6.2856490000000065</v>
      </c>
      <c r="I40" s="84">
        <v>0</v>
      </c>
      <c r="J40" s="84">
        <v>0</v>
      </c>
      <c r="K40" s="84">
        <v>0</v>
      </c>
      <c r="L40" s="84">
        <v>0</v>
      </c>
      <c r="M40" s="84">
        <v>0</v>
      </c>
      <c r="N40" s="84">
        <v>12.215181000000001</v>
      </c>
      <c r="O40" s="84">
        <v>0</v>
      </c>
      <c r="P40" s="84">
        <v>66.070755999999989</v>
      </c>
      <c r="Q40" s="84">
        <v>4.0582600000000042</v>
      </c>
      <c r="R40" s="84">
        <v>1.4101039999999898</v>
      </c>
      <c r="S40" s="84">
        <v>0</v>
      </c>
      <c r="T40" s="84">
        <v>0</v>
      </c>
      <c r="U40" s="84">
        <v>0</v>
      </c>
      <c r="V40" s="84">
        <v>0</v>
      </c>
      <c r="W40" s="84">
        <v>0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0.4233589999999996</v>
      </c>
      <c r="D41" s="84">
        <v>0</v>
      </c>
      <c r="E41" s="84">
        <v>0</v>
      </c>
      <c r="F41" s="84">
        <v>0</v>
      </c>
      <c r="G41" s="84">
        <v>0</v>
      </c>
      <c r="H41" s="84">
        <v>0</v>
      </c>
      <c r="I41" s="84">
        <v>0.88277199999999967</v>
      </c>
      <c r="J41" s="84">
        <v>4.7953459999999986</v>
      </c>
      <c r="K41" s="84">
        <v>0</v>
      </c>
      <c r="L41" s="84">
        <v>0</v>
      </c>
      <c r="M41" s="84">
        <v>0</v>
      </c>
      <c r="N41" s="84">
        <v>0</v>
      </c>
      <c r="O41" s="84">
        <v>5.6787799999999988</v>
      </c>
      <c r="P41" s="84">
        <v>18.927112999999999</v>
      </c>
      <c r="Q41" s="84">
        <v>9.1393689999999985</v>
      </c>
      <c r="R41" s="84">
        <v>0</v>
      </c>
      <c r="S41" s="84">
        <v>0</v>
      </c>
      <c r="T41" s="84">
        <v>0.15257800000000543</v>
      </c>
      <c r="U41" s="84">
        <v>4.0846350000000058</v>
      </c>
      <c r="V41" s="84">
        <v>0</v>
      </c>
      <c r="W41" s="84">
        <v>0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0.17077600000000004</v>
      </c>
      <c r="D43" s="28">
        <f t="shared" ref="D43:V43" si="43">SUM(D44:D45)</f>
        <v>0.12719099999999983</v>
      </c>
      <c r="E43" s="28">
        <f t="shared" si="43"/>
        <v>1.0079699999999998</v>
      </c>
      <c r="F43" s="28">
        <f t="shared" si="43"/>
        <v>1.3901089999999998</v>
      </c>
      <c r="G43" s="28">
        <f t="shared" si="43"/>
        <v>0</v>
      </c>
      <c r="H43" s="28">
        <f t="shared" si="43"/>
        <v>0</v>
      </c>
      <c r="I43" s="28">
        <f t="shared" si="43"/>
        <v>1.5821990000000004</v>
      </c>
      <c r="J43" s="28">
        <f t="shared" si="43"/>
        <v>2.0640679999999998</v>
      </c>
      <c r="K43" s="28">
        <f t="shared" si="43"/>
        <v>0</v>
      </c>
      <c r="L43" s="28">
        <f t="shared" si="43"/>
        <v>0</v>
      </c>
      <c r="M43" s="28">
        <f t="shared" si="43"/>
        <v>0</v>
      </c>
      <c r="N43" s="28">
        <f t="shared" si="43"/>
        <v>0</v>
      </c>
      <c r="O43" s="28">
        <f t="shared" si="43"/>
        <v>0</v>
      </c>
      <c r="P43" s="28">
        <f t="shared" si="43"/>
        <v>5.5288000000000004E-2</v>
      </c>
      <c r="Q43" s="28">
        <f t="shared" si="43"/>
        <v>8.9200000000011492E-4</v>
      </c>
      <c r="R43" s="28">
        <f t="shared" si="43"/>
        <v>0</v>
      </c>
      <c r="S43" s="28">
        <f t="shared" si="43"/>
        <v>0.37344700000000008</v>
      </c>
      <c r="T43" s="28">
        <f t="shared" si="43"/>
        <v>0.36903799999999998</v>
      </c>
      <c r="U43" s="28">
        <f t="shared" si="43"/>
        <v>1.8827050000000001</v>
      </c>
      <c r="V43" s="28">
        <f t="shared" si="43"/>
        <v>1.4879669999999998</v>
      </c>
      <c r="W43" s="28">
        <f t="shared" ref="W43" si="44">SUM(W44:W45)</f>
        <v>0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0.12719099999999983</v>
      </c>
      <c r="E44" s="84">
        <v>0.9964489999999997</v>
      </c>
      <c r="F44" s="84">
        <v>1.083142</v>
      </c>
      <c r="G44" s="84">
        <v>0</v>
      </c>
      <c r="H44" s="84">
        <v>0</v>
      </c>
      <c r="I44" s="84">
        <v>0.58129500000000034</v>
      </c>
      <c r="J44" s="84">
        <v>2.0640679999999998</v>
      </c>
      <c r="K44" s="84">
        <v>0</v>
      </c>
      <c r="L44" s="84">
        <v>0</v>
      </c>
      <c r="M44" s="84">
        <v>0</v>
      </c>
      <c r="N44" s="84">
        <v>0</v>
      </c>
      <c r="O44" s="84">
        <v>0</v>
      </c>
      <c r="P44" s="84">
        <v>0</v>
      </c>
      <c r="Q44" s="84">
        <v>0</v>
      </c>
      <c r="R44" s="84">
        <v>0</v>
      </c>
      <c r="S44" s="84">
        <v>0</v>
      </c>
      <c r="T44" s="84">
        <v>0</v>
      </c>
      <c r="U44" s="84">
        <v>0</v>
      </c>
      <c r="V44" s="84">
        <v>0</v>
      </c>
      <c r="W44" s="84">
        <v>0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0.17077600000000004</v>
      </c>
      <c r="D45" s="86">
        <v>0</v>
      </c>
      <c r="E45" s="86">
        <v>1.1521000000000003E-2</v>
      </c>
      <c r="F45" s="86">
        <v>0.30696699999999988</v>
      </c>
      <c r="G45" s="86">
        <v>0</v>
      </c>
      <c r="H45" s="86">
        <v>0</v>
      </c>
      <c r="I45" s="86">
        <v>1.000904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  <c r="O45" s="86">
        <v>0</v>
      </c>
      <c r="P45" s="86">
        <v>5.5288000000000004E-2</v>
      </c>
      <c r="Q45" s="86">
        <v>8.9200000000011492E-4</v>
      </c>
      <c r="R45" s="86">
        <v>0</v>
      </c>
      <c r="S45" s="86">
        <v>0.37344700000000008</v>
      </c>
      <c r="T45" s="86">
        <v>0.36903799999999998</v>
      </c>
      <c r="U45" s="86">
        <v>1.8827050000000001</v>
      </c>
      <c r="V45" s="86">
        <v>1.4879669999999998</v>
      </c>
      <c r="W45" s="86">
        <v>0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113.80210554146269</v>
      </c>
      <c r="C50" s="29">
        <f t="shared" si="45"/>
        <v>104.9554282053852</v>
      </c>
      <c r="D50" s="29">
        <f t="shared" si="45"/>
        <v>105.30700145358144</v>
      </c>
      <c r="E50" s="29">
        <f t="shared" si="45"/>
        <v>95.52731990689928</v>
      </c>
      <c r="F50" s="29">
        <f t="shared" si="45"/>
        <v>97.931354958841098</v>
      </c>
      <c r="G50" s="29">
        <f t="shared" si="45"/>
        <v>137.19735760634686</v>
      </c>
      <c r="H50" s="29">
        <f t="shared" si="45"/>
        <v>108.57098227183505</v>
      </c>
      <c r="I50" s="29">
        <f t="shared" si="45"/>
        <v>105.85413048201613</v>
      </c>
      <c r="J50" s="29">
        <f t="shared" si="45"/>
        <v>122.36931284519429</v>
      </c>
      <c r="K50" s="29">
        <f t="shared" ref="K50:V50" si="46">IF(K4=0,0,K4/K15)</f>
        <v>112.36756733158688</v>
      </c>
      <c r="L50" s="29">
        <f t="shared" si="46"/>
        <v>184.46387093130824</v>
      </c>
      <c r="M50" s="29">
        <f t="shared" si="46"/>
        <v>147.9849968524336</v>
      </c>
      <c r="N50" s="29">
        <f t="shared" si="46"/>
        <v>116.02996902223502</v>
      </c>
      <c r="O50" s="29">
        <f t="shared" si="46"/>
        <v>102.45328399265055</v>
      </c>
      <c r="P50" s="29">
        <f t="shared" si="46"/>
        <v>59.516754511150694</v>
      </c>
      <c r="Q50" s="29">
        <f t="shared" si="46"/>
        <v>63.284998021540964</v>
      </c>
      <c r="R50" s="29">
        <f t="shared" si="46"/>
        <v>63.426888428962151</v>
      </c>
      <c r="S50" s="29">
        <f t="shared" si="46"/>
        <v>62.126153716044556</v>
      </c>
      <c r="T50" s="29">
        <f t="shared" si="46"/>
        <v>61.886714187010149</v>
      </c>
      <c r="U50" s="29">
        <f t="shared" si="46"/>
        <v>96.597360849804261</v>
      </c>
      <c r="V50" s="29">
        <f t="shared" si="46"/>
        <v>65.422241506601608</v>
      </c>
      <c r="W50" s="29">
        <f t="shared" ref="W50" si="47">IF(W4=0,0,W4/W15)</f>
        <v>64.299071408143519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85.518971975379074</v>
      </c>
      <c r="C51" s="115">
        <f t="shared" si="48"/>
        <v>85.51638847441771</v>
      </c>
      <c r="D51" s="115">
        <f t="shared" si="48"/>
        <v>84.697420942548675</v>
      </c>
      <c r="E51" s="115">
        <f t="shared" si="48"/>
        <v>84.260603520625224</v>
      </c>
      <c r="F51" s="115">
        <f t="shared" si="48"/>
        <v>83.653703425696662</v>
      </c>
      <c r="G51" s="115">
        <f t="shared" si="48"/>
        <v>161.11671746443528</v>
      </c>
      <c r="H51" s="115">
        <f t="shared" si="48"/>
        <v>98.990238258527583</v>
      </c>
      <c r="I51" s="115">
        <f t="shared" si="48"/>
        <v>83.506251127996947</v>
      </c>
      <c r="J51" s="115">
        <f t="shared" si="48"/>
        <v>127.53446010436397</v>
      </c>
      <c r="K51" s="115">
        <f t="shared" ref="K51:V51" si="49">IF(K5=0,0,K5/K16)</f>
        <v>109.59754824982055</v>
      </c>
      <c r="L51" s="115">
        <f t="shared" si="49"/>
        <v>188.27733002568826</v>
      </c>
      <c r="M51" s="115">
        <f t="shared" si="49"/>
        <v>143.32584920700583</v>
      </c>
      <c r="N51" s="115">
        <f t="shared" si="49"/>
        <v>158.64455816000225</v>
      </c>
      <c r="O51" s="115">
        <f t="shared" si="49"/>
        <v>97.246294087748055</v>
      </c>
      <c r="P51" s="115">
        <f t="shared" si="49"/>
        <v>73.857931798858644</v>
      </c>
      <c r="Q51" s="115">
        <f t="shared" si="49"/>
        <v>78.048100960469185</v>
      </c>
      <c r="R51" s="115">
        <f t="shared" si="49"/>
        <v>78.460616440982292</v>
      </c>
      <c r="S51" s="115">
        <f t="shared" si="49"/>
        <v>76.482154067962085</v>
      </c>
      <c r="T51" s="115">
        <f t="shared" si="49"/>
        <v>76.240619283292006</v>
      </c>
      <c r="U51" s="115">
        <f t="shared" si="49"/>
        <v>86.067610953729925</v>
      </c>
      <c r="V51" s="115">
        <f t="shared" si="49"/>
        <v>56.53924084830475</v>
      </c>
      <c r="W51" s="115">
        <f t="shared" ref="W51" si="50">IF(W5=0,0,W5/W16)</f>
        <v>58.320102069747655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143.81208591678308</v>
      </c>
      <c r="C52" s="116">
        <f t="shared" si="51"/>
        <v>126.91948102961385</v>
      </c>
      <c r="D52" s="116">
        <f t="shared" si="51"/>
        <v>128.25432744420314</v>
      </c>
      <c r="E52" s="116">
        <f t="shared" si="51"/>
        <v>108.42209929060277</v>
      </c>
      <c r="F52" s="116">
        <f t="shared" si="51"/>
        <v>115.68772076073725</v>
      </c>
      <c r="G52" s="116">
        <f t="shared" si="51"/>
        <v>122.48526884162837</v>
      </c>
      <c r="H52" s="116">
        <f t="shared" si="51"/>
        <v>118.37687125230113</v>
      </c>
      <c r="I52" s="116">
        <f t="shared" si="51"/>
        <v>136.03490334988126</v>
      </c>
      <c r="J52" s="116">
        <f t="shared" si="51"/>
        <v>117.59797062876902</v>
      </c>
      <c r="K52" s="116">
        <f t="shared" ref="K52:V52" si="52">IF(K6=0,0,K6/K17)</f>
        <v>115.69842207618856</v>
      </c>
      <c r="L52" s="116">
        <f t="shared" si="52"/>
        <v>180.0014873505072</v>
      </c>
      <c r="M52" s="116">
        <f t="shared" si="52"/>
        <v>156.90052986479358</v>
      </c>
      <c r="N52" s="116">
        <f t="shared" si="52"/>
        <v>75.394389863492222</v>
      </c>
      <c r="O52" s="116">
        <f t="shared" si="52"/>
        <v>111.89418244717118</v>
      </c>
      <c r="P52" s="116">
        <f t="shared" si="52"/>
        <v>45.743816985481793</v>
      </c>
      <c r="Q52" s="116">
        <f t="shared" si="52"/>
        <v>50.59993366321649</v>
      </c>
      <c r="R52" s="116">
        <f t="shared" si="52"/>
        <v>50.106412502904647</v>
      </c>
      <c r="S52" s="116">
        <f t="shared" si="52"/>
        <v>48.346283837232313</v>
      </c>
      <c r="T52" s="116">
        <f t="shared" si="52"/>
        <v>48.006328462706442</v>
      </c>
      <c r="U52" s="116">
        <f t="shared" si="52"/>
        <v>115.54124100878073</v>
      </c>
      <c r="V52" s="116">
        <f t="shared" si="52"/>
        <v>89.277509826799374</v>
      </c>
      <c r="W52" s="116">
        <f t="shared" ref="W52" si="53">IF(W6=0,0,W6/W17)</f>
        <v>78.103517914614102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116.53570374481266</v>
      </c>
      <c r="C53" s="87">
        <f t="shared" si="54"/>
        <v>121.07712732851883</v>
      </c>
      <c r="D53" s="87">
        <f t="shared" si="54"/>
        <v>116.17863915424759</v>
      </c>
      <c r="E53" s="87">
        <f t="shared" si="54"/>
        <v>100.11377091049413</v>
      </c>
      <c r="F53" s="87">
        <f t="shared" si="54"/>
        <v>105.26645350793538</v>
      </c>
      <c r="G53" s="87">
        <f t="shared" si="54"/>
        <v>115.72774532148387</v>
      </c>
      <c r="H53" s="87">
        <f t="shared" si="54"/>
        <v>117.75265624970545</v>
      </c>
      <c r="I53" s="87">
        <f t="shared" si="54"/>
        <v>133.73422821296532</v>
      </c>
      <c r="J53" s="87">
        <f t="shared" si="54"/>
        <v>111.31248840320436</v>
      </c>
      <c r="K53" s="87">
        <f t="shared" ref="K53:V53" si="55">IF(K7=0,0,K7/K18)</f>
        <v>110.19772709930271</v>
      </c>
      <c r="L53" s="87">
        <f t="shared" si="55"/>
        <v>180.25641894447369</v>
      </c>
      <c r="M53" s="87">
        <f t="shared" si="55"/>
        <v>156.73679919089105</v>
      </c>
      <c r="N53" s="87">
        <f t="shared" si="55"/>
        <v>70.547013252192741</v>
      </c>
      <c r="O53" s="87">
        <f t="shared" si="55"/>
        <v>94.110483705048068</v>
      </c>
      <c r="P53" s="87">
        <f t="shared" si="55"/>
        <v>43.423526134183305</v>
      </c>
      <c r="Q53" s="87">
        <f t="shared" si="55"/>
        <v>49.990486917941226</v>
      </c>
      <c r="R53" s="87">
        <f t="shared" si="55"/>
        <v>51.244767459969403</v>
      </c>
      <c r="S53" s="87">
        <f t="shared" si="55"/>
        <v>49.362392603769358</v>
      </c>
      <c r="T53" s="87">
        <f t="shared" si="55"/>
        <v>49.728343200703961</v>
      </c>
      <c r="U53" s="87">
        <f t="shared" si="55"/>
        <v>114.10666148324748</v>
      </c>
      <c r="V53" s="87">
        <f t="shared" si="55"/>
        <v>91.933941541591551</v>
      </c>
      <c r="W53" s="87">
        <f t="shared" ref="W53" si="56">IF(W7=0,0,W7/W18)</f>
        <v>89.794871069909576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482.22651879689408</v>
      </c>
      <c r="C54" s="87">
        <f t="shared" si="57"/>
        <v>200.48267153993726</v>
      </c>
      <c r="D54" s="87">
        <f t="shared" si="57"/>
        <v>311.45720885368513</v>
      </c>
      <c r="E54" s="87">
        <f t="shared" si="57"/>
        <v>252.00774050969008</v>
      </c>
      <c r="F54" s="87">
        <f t="shared" si="57"/>
        <v>338.42717670963231</v>
      </c>
      <c r="G54" s="87">
        <f t="shared" si="57"/>
        <v>378.16299791344693</v>
      </c>
      <c r="H54" s="87">
        <f t="shared" si="57"/>
        <v>398.18993716408926</v>
      </c>
      <c r="I54" s="87">
        <f t="shared" si="57"/>
        <v>185.78157806405275</v>
      </c>
      <c r="J54" s="87">
        <f t="shared" si="57"/>
        <v>178.53412247777936</v>
      </c>
      <c r="K54" s="87">
        <f t="shared" ref="K54:V54" si="58">IF(K8=0,0,K8/K19)</f>
        <v>175.49692204754459</v>
      </c>
      <c r="L54" s="87">
        <f t="shared" si="58"/>
        <v>159.85757401159631</v>
      </c>
      <c r="M54" s="87">
        <f t="shared" si="58"/>
        <v>173.00291462362748</v>
      </c>
      <c r="N54" s="87">
        <f t="shared" si="58"/>
        <v>194.47986693257693</v>
      </c>
      <c r="O54" s="87">
        <f t="shared" si="58"/>
        <v>190.06388120898427</v>
      </c>
      <c r="P54" s="87">
        <f t="shared" si="58"/>
        <v>55.349994446648175</v>
      </c>
      <c r="Q54" s="87">
        <f t="shared" si="58"/>
        <v>52.568278101281429</v>
      </c>
      <c r="R54" s="87">
        <f t="shared" si="58"/>
        <v>45.766854938918279</v>
      </c>
      <c r="S54" s="87">
        <f t="shared" si="58"/>
        <v>44.422664254269932</v>
      </c>
      <c r="T54" s="87">
        <f t="shared" si="58"/>
        <v>42.780205610749015</v>
      </c>
      <c r="U54" s="87">
        <f t="shared" si="58"/>
        <v>116.58069096853831</v>
      </c>
      <c r="V54" s="87">
        <f t="shared" si="58"/>
        <v>87.425833041914842</v>
      </c>
      <c r="W54" s="87">
        <f t="shared" ref="W54" si="59">IF(W8=0,0,W8/W19)</f>
        <v>72.674386308093773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" si="62">IF(W9=0,0,W9/W20)</f>
        <v>0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596.23365968544226</v>
      </c>
      <c r="C56" s="29">
        <f t="shared" si="63"/>
        <v>562.98653398363308</v>
      </c>
      <c r="D56" s="29">
        <f t="shared" si="63"/>
        <v>529.98474548275919</v>
      </c>
      <c r="E56" s="29">
        <f t="shared" si="63"/>
        <v>534.3762874651145</v>
      </c>
      <c r="F56" s="29">
        <f t="shared" si="63"/>
        <v>535.67298294733189</v>
      </c>
      <c r="G56" s="29">
        <f t="shared" si="63"/>
        <v>767.91938997821342</v>
      </c>
      <c r="H56" s="29">
        <f t="shared" si="63"/>
        <v>764.08396912568082</v>
      </c>
      <c r="I56" s="29">
        <f t="shared" si="63"/>
        <v>655.03916461196661</v>
      </c>
      <c r="J56" s="29">
        <f t="shared" si="63"/>
        <v>521.97602617811356</v>
      </c>
      <c r="K56" s="29">
        <f t="shared" ref="K56:V56" si="64">IF(K10=0,0,K10/K21)</f>
        <v>738.05826704586445</v>
      </c>
      <c r="L56" s="29">
        <f t="shared" si="64"/>
        <v>769.05499505782882</v>
      </c>
      <c r="M56" s="29">
        <f t="shared" si="64"/>
        <v>726.60781750795968</v>
      </c>
      <c r="N56" s="29">
        <f t="shared" si="64"/>
        <v>551.30024326031423</v>
      </c>
      <c r="O56" s="29">
        <f t="shared" si="64"/>
        <v>554.27566495301301</v>
      </c>
      <c r="P56" s="29">
        <f t="shared" si="64"/>
        <v>529.24500351321342</v>
      </c>
      <c r="Q56" s="29">
        <f t="shared" si="64"/>
        <v>522.04242889540376</v>
      </c>
      <c r="R56" s="29">
        <f t="shared" si="64"/>
        <v>532.92224650157971</v>
      </c>
      <c r="S56" s="29">
        <f t="shared" si="64"/>
        <v>539.56208748904862</v>
      </c>
      <c r="T56" s="29">
        <f t="shared" si="64"/>
        <v>533.81139514158826</v>
      </c>
      <c r="U56" s="29">
        <f t="shared" si="64"/>
        <v>493.14862111392</v>
      </c>
      <c r="V56" s="29">
        <f t="shared" si="64"/>
        <v>425.33416450178129</v>
      </c>
      <c r="W56" s="29">
        <f t="shared" ref="W56" si="65">IF(W10=0,0,W10/W21)</f>
        <v>467.56421588915464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605.80265767292065</v>
      </c>
      <c r="C57" s="87">
        <f t="shared" si="66"/>
        <v>609.44093709116385</v>
      </c>
      <c r="D57" s="87">
        <f t="shared" si="66"/>
        <v>504.80145065226742</v>
      </c>
      <c r="E57" s="87">
        <f t="shared" si="66"/>
        <v>511.34036975602925</v>
      </c>
      <c r="F57" s="87">
        <f t="shared" si="66"/>
        <v>509.73850643211773</v>
      </c>
      <c r="G57" s="87">
        <f t="shared" si="66"/>
        <v>737.49441147505377</v>
      </c>
      <c r="H57" s="87">
        <f t="shared" si="66"/>
        <v>742.03656222101506</v>
      </c>
      <c r="I57" s="87">
        <f t="shared" si="66"/>
        <v>780.20215894680916</v>
      </c>
      <c r="J57" s="87">
        <f t="shared" si="66"/>
        <v>506.15743313546506</v>
      </c>
      <c r="K57" s="87">
        <f t="shared" ref="K57:V57" si="67">IF(K11=0,0,K11/K22)</f>
        <v>787.22161108099942</v>
      </c>
      <c r="L57" s="87">
        <f t="shared" si="67"/>
        <v>827.31991570818502</v>
      </c>
      <c r="M57" s="87">
        <f t="shared" si="67"/>
        <v>832.70369603724077</v>
      </c>
      <c r="N57" s="87">
        <f t="shared" si="67"/>
        <v>539.20568182625209</v>
      </c>
      <c r="O57" s="87">
        <f t="shared" si="67"/>
        <v>547.5584982414307</v>
      </c>
      <c r="P57" s="87">
        <f t="shared" si="67"/>
        <v>554.5844912546487</v>
      </c>
      <c r="Q57" s="87">
        <f t="shared" si="67"/>
        <v>547.52858941116051</v>
      </c>
      <c r="R57" s="87">
        <f t="shared" si="67"/>
        <v>560.33179425274386</v>
      </c>
      <c r="S57" s="87">
        <f t="shared" si="67"/>
        <v>571.7579052611693</v>
      </c>
      <c r="T57" s="87">
        <f t="shared" si="67"/>
        <v>569.80896948715701</v>
      </c>
      <c r="U57" s="87">
        <f t="shared" si="67"/>
        <v>643.62029248724048</v>
      </c>
      <c r="V57" s="87">
        <f t="shared" si="67"/>
        <v>583.04892697624393</v>
      </c>
      <c r="W57" s="87">
        <f t="shared" ref="W57" si="68">IF(W11=0,0,W11/W22)</f>
        <v>556.29839850106418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568.23426743671837</v>
      </c>
      <c r="C58" s="88">
        <f t="shared" si="69"/>
        <v>459.83144828099364</v>
      </c>
      <c r="D58" s="88">
        <f t="shared" si="69"/>
        <v>623.95749282456916</v>
      </c>
      <c r="E58" s="88">
        <f t="shared" si="69"/>
        <v>616.65176399262316</v>
      </c>
      <c r="F58" s="88">
        <f t="shared" si="69"/>
        <v>628.63361310757534</v>
      </c>
      <c r="G58" s="88">
        <f t="shared" si="69"/>
        <v>936.90135805317664</v>
      </c>
      <c r="H58" s="88">
        <f t="shared" si="69"/>
        <v>962.90264267986106</v>
      </c>
      <c r="I58" s="88">
        <f t="shared" si="69"/>
        <v>379.10038235117423</v>
      </c>
      <c r="J58" s="88">
        <f t="shared" si="69"/>
        <v>607.40556061229915</v>
      </c>
      <c r="K58" s="88">
        <f t="shared" ref="K58:V58" si="70">IF(K12=0,0,K12/K23)</f>
        <v>600.51363977961944</v>
      </c>
      <c r="L58" s="88">
        <f t="shared" si="70"/>
        <v>580.54842428799736</v>
      </c>
      <c r="M58" s="88">
        <f t="shared" si="70"/>
        <v>568.47418808081966</v>
      </c>
      <c r="N58" s="88">
        <f t="shared" si="70"/>
        <v>569.38522263508878</v>
      </c>
      <c r="O58" s="88">
        <f t="shared" si="70"/>
        <v>560.42397054329956</v>
      </c>
      <c r="P58" s="88">
        <f t="shared" si="70"/>
        <v>503.66067610928894</v>
      </c>
      <c r="Q58" s="88">
        <f t="shared" si="70"/>
        <v>497.27159222001865</v>
      </c>
      <c r="R58" s="88">
        <f t="shared" si="70"/>
        <v>505.22909949282456</v>
      </c>
      <c r="S58" s="88">
        <f t="shared" si="70"/>
        <v>508.0015832549343</v>
      </c>
      <c r="T58" s="88">
        <f t="shared" si="70"/>
        <v>501.34663982588529</v>
      </c>
      <c r="U58" s="88">
        <f t="shared" si="70"/>
        <v>449.41527411449556</v>
      </c>
      <c r="V58" s="88">
        <f t="shared" si="70"/>
        <v>389.27545333039336</v>
      </c>
      <c r="W58" s="88">
        <f t="shared" ref="W58" si="71">IF(W12=0,0,W12/W23)</f>
        <v>447.43165035358572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367.30549198314503</v>
      </c>
      <c r="C61" s="29">
        <f t="shared" ref="C61" si="73">IF(C26=0,0,(C62*C27+C64*C29+C65*C30+C66*C31)/(C27+C29+C30+C31))</f>
        <v>368.51341303935828</v>
      </c>
      <c r="D61" s="29">
        <f t="shared" ref="D61" si="74">IF(D26=0,0,(D62*D27+D64*D29+D65*D30+D66*D31)/(D27+D29+D30+D31))</f>
        <v>368.19301085987792</v>
      </c>
      <c r="E61" s="29">
        <f t="shared" ref="E61" si="75">IF(E26=0,0,(E62*E27+E64*E29+E65*E30+E66*E31)/(E27+E29+E30+E31))</f>
        <v>368.72815263142365</v>
      </c>
      <c r="F61" s="29">
        <f t="shared" ref="F61" si="76">IF(F26=0,0,(F62*F27+F64*F29+F65*F30+F66*F31)/(F27+F29+F30+F31))</f>
        <v>370.22837547295063</v>
      </c>
      <c r="G61" s="29">
        <f t="shared" ref="G61" si="77">IF(G26=0,0,(G62*G27+G64*G29+G65*G30+G66*G31)/(G27+G29+G30+G31))</f>
        <v>367.57942725085354</v>
      </c>
      <c r="H61" s="29">
        <f t="shared" ref="H61" si="78">IF(H26=0,0,(H62*H27+H64*H29+H65*H30+H66*H31)/(H27+H29+H30+H31))</f>
        <v>365.99218026204863</v>
      </c>
      <c r="I61" s="29">
        <f t="shared" ref="I61" si="79">IF(I26=0,0,(I62*I27+I64*I29+I65*I30+I66*I31)/(I27+I29+I30+I31))</f>
        <v>371.22347529030736</v>
      </c>
      <c r="J61" s="29">
        <f t="shared" ref="J61" si="80">IF(J26=0,0,(J62*J27+J64*J29+J65*J30+J66*J31)/(J27+J29+J30+J31))</f>
        <v>370.49920731165969</v>
      </c>
      <c r="K61" s="29">
        <f t="shared" ref="K61" si="81">IF(K26=0,0,(K62*K27+K64*K29+K65*K30+K66*K31)/(K27+K29+K30+K31))</f>
        <v>370.790554854959</v>
      </c>
      <c r="L61" s="29">
        <f t="shared" ref="L61" si="82">IF(L26=0,0,(L62*L27+L64*L29+L65*L30+L66*L31)/(L27+L29+L30+L31))</f>
        <v>371.14039493203029</v>
      </c>
      <c r="M61" s="29">
        <f t="shared" ref="M61" si="83">IF(M26=0,0,(M62*M27+M64*M29+M65*M30+M66*M31)/(M27+M29+M30+M31))</f>
        <v>371.56830800745854</v>
      </c>
      <c r="N61" s="29">
        <f t="shared" ref="N61" si="84">IF(N26=0,0,(N62*N27+N64*N29+N65*N30+N66*N31)/(N27+N29+N30+N31))</f>
        <v>367.25617828777871</v>
      </c>
      <c r="O61" s="29">
        <f t="shared" ref="O61" si="85">IF(O26=0,0,(O62*O27+O64*O29+O65*O30+O66*O31)/(O27+O29+O30+O31))</f>
        <v>374.14961562553958</v>
      </c>
      <c r="P61" s="29">
        <f t="shared" ref="P61" si="86">IF(P26=0,0,(P62*P27+P64*P29+P65*P30+P66*P31)/(P27+P29+P30+P31))</f>
        <v>365.36204329222215</v>
      </c>
      <c r="Q61" s="29">
        <f t="shared" ref="Q61" si="87">IF(Q26=0,0,(Q62*Q27+Q64*Q29+Q65*Q30+Q66*Q31)/(Q27+Q29+Q30+Q31))</f>
        <v>363.16236991229033</v>
      </c>
      <c r="R61" s="29">
        <f t="shared" ref="R61" si="88">IF(R26=0,0,(R62*R27+R64*R29+R65*R30+R66*R31)/(R27+R29+R30+R31))</f>
        <v>363.06712517430213</v>
      </c>
      <c r="S61" s="29">
        <f t="shared" ref="S61" si="89">IF(S26=0,0,(S62*S27+S64*S29+S65*S30+S66*S31)/(S27+S29+S30+S31))</f>
        <v>364.5346024478232</v>
      </c>
      <c r="T61" s="29">
        <f t="shared" ref="T61" si="90">IF(T26=0,0,(T62*T27+T64*T29+T65*T30+T66*T31)/(T27+T29+T30+T31))</f>
        <v>365.49718681544965</v>
      </c>
      <c r="U61" s="29">
        <f t="shared" ref="U61" si="91">IF(U26=0,0,(U62*U27+U64*U29+U65*U30+U66*U31)/(U27+U29+U30+U31))</f>
        <v>364.77245213584825</v>
      </c>
      <c r="V61" s="29">
        <f t="shared" ref="V61" si="92">IF(V26=0,0,(V62*V27+V64*V29+V65*V30+V66*V31)/(V27+V29+V30+V31))</f>
        <v>364.60163649656567</v>
      </c>
      <c r="W61" s="29">
        <f t="shared" ref="W61" si="93">IF(W26=0,0,(W62*W27+W64*W29+W65*W30+W66*W31)/(W27+W29+W30+W31))</f>
        <v>365.71223588676372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</v>
      </c>
      <c r="G63" s="116">
        <f t="shared" ref="G63" si="99">IF(G28=0,0,(G64*G29+G65*G30)/(G29+G30))</f>
        <v>320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319.99999999999994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" si="115">IF(W28=0,0,(W64*W29+W65*W30)/(W29+W30))</f>
        <v>320.00000000000006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2099.9999999999995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2100.0000000000005</v>
      </c>
      <c r="R67" s="29">
        <f t="shared" ref="R67" si="132">IF(R32=0,0,(R68*R33+R69*R34)/(R33+R34))</f>
        <v>2100</v>
      </c>
      <c r="S67" s="29">
        <f t="shared" ref="S67" si="133">IF(S32=0,0,(S68*S33+S69*S34)/(S33+S34))</f>
        <v>2099.9999999999995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2100.0000000000005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0.3098295778999266</v>
      </c>
      <c r="C72" s="30">
        <f t="shared" ref="C72:J72" si="138">IF(C50=0,0,C50/C61)</f>
        <v>0.28480762027018991</v>
      </c>
      <c r="D72" s="30">
        <f t="shared" si="138"/>
        <v>0.28601032161813034</v>
      </c>
      <c r="E72" s="30">
        <f t="shared" si="138"/>
        <v>0.25907248802449667</v>
      </c>
      <c r="F72" s="30">
        <f t="shared" si="138"/>
        <v>0.26451607020595885</v>
      </c>
      <c r="G72" s="30">
        <f t="shared" si="138"/>
        <v>0.37324547413453829</v>
      </c>
      <c r="H72" s="30">
        <f t="shared" si="138"/>
        <v>0.2966483660773811</v>
      </c>
      <c r="I72" s="30">
        <f t="shared" si="138"/>
        <v>0.28514934406892017</v>
      </c>
      <c r="J72" s="30">
        <f t="shared" si="138"/>
        <v>0.3302822527829557</v>
      </c>
      <c r="K72" s="30">
        <f t="shared" ref="K72:V72" si="139">IF(K50=0,0,K50/K61)</f>
        <v>0.30304862370494134</v>
      </c>
      <c r="L72" s="30">
        <f t="shared" si="139"/>
        <v>0.49701911581219954</v>
      </c>
      <c r="M72" s="30">
        <f t="shared" si="139"/>
        <v>0.39827131018252254</v>
      </c>
      <c r="N72" s="30">
        <f t="shared" si="139"/>
        <v>0.31593741884259047</v>
      </c>
      <c r="O72" s="30">
        <f t="shared" si="139"/>
        <v>0.2738297186844873</v>
      </c>
      <c r="P72" s="30">
        <f t="shared" si="139"/>
        <v>0.16289802294418493</v>
      </c>
      <c r="Q72" s="30">
        <f t="shared" si="139"/>
        <v>0.17426089062263067</v>
      </c>
      <c r="R72" s="30">
        <f t="shared" si="139"/>
        <v>0.17469741552202508</v>
      </c>
      <c r="S72" s="30">
        <f t="shared" si="139"/>
        <v>0.17042594392650787</v>
      </c>
      <c r="T72" s="30">
        <f t="shared" si="139"/>
        <v>0.16932199868957837</v>
      </c>
      <c r="U72" s="30">
        <f t="shared" si="139"/>
        <v>0.26481539459517506</v>
      </c>
      <c r="V72" s="30">
        <f t="shared" si="139"/>
        <v>0.17943485425693598</v>
      </c>
      <c r="W72" s="30">
        <f t="shared" ref="W72" si="140">IF(W50=0,0,W50/W61)</f>
        <v>0.17581875884528125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0.21379742993844769</v>
      </c>
      <c r="C73" s="118">
        <f t="shared" si="141"/>
        <v>0.21379097118604429</v>
      </c>
      <c r="D73" s="118">
        <f t="shared" si="141"/>
        <v>0.21174355235637168</v>
      </c>
      <c r="E73" s="118">
        <f t="shared" si="141"/>
        <v>0.21065150880156305</v>
      </c>
      <c r="F73" s="118">
        <f t="shared" si="141"/>
        <v>0.20913425856424164</v>
      </c>
      <c r="G73" s="118">
        <f t="shared" si="141"/>
        <v>0.40279179366108819</v>
      </c>
      <c r="H73" s="118">
        <f t="shared" si="141"/>
        <v>0.24747559564631896</v>
      </c>
      <c r="I73" s="118">
        <f t="shared" si="141"/>
        <v>0.20876562781999236</v>
      </c>
      <c r="J73" s="118">
        <f t="shared" si="141"/>
        <v>0.31883615026090995</v>
      </c>
      <c r="K73" s="118">
        <f t="shared" ref="K73:V73" si="142">IF(K51=0,0,K51/K62)</f>
        <v>0.27399387062455138</v>
      </c>
      <c r="L73" s="118">
        <f t="shared" si="142"/>
        <v>0.47069332506422062</v>
      </c>
      <c r="M73" s="118">
        <f t="shared" si="142"/>
        <v>0.3583146230175146</v>
      </c>
      <c r="N73" s="118">
        <f t="shared" si="142"/>
        <v>0.39661139540000562</v>
      </c>
      <c r="O73" s="118">
        <f t="shared" si="142"/>
        <v>0.24311573521937013</v>
      </c>
      <c r="P73" s="118">
        <f t="shared" si="142"/>
        <v>0.18464482949714661</v>
      </c>
      <c r="Q73" s="118">
        <f t="shared" si="142"/>
        <v>0.19512025240117295</v>
      </c>
      <c r="R73" s="118">
        <f t="shared" si="142"/>
        <v>0.19615154110245572</v>
      </c>
      <c r="S73" s="118">
        <f t="shared" si="142"/>
        <v>0.19120538516990521</v>
      </c>
      <c r="T73" s="118">
        <f t="shared" si="142"/>
        <v>0.19060154820823003</v>
      </c>
      <c r="U73" s="118">
        <f t="shared" si="142"/>
        <v>0.21516902738432481</v>
      </c>
      <c r="V73" s="118">
        <f t="shared" si="142"/>
        <v>0.14134810212076188</v>
      </c>
      <c r="W73" s="118">
        <f t="shared" ref="W73" si="143">IF(W51=0,0,W51/W62)</f>
        <v>0.14580025517436915</v>
      </c>
      <c r="DA73" s="203"/>
    </row>
    <row r="74" spans="1:105" ht="11.45" customHeight="1" x14ac:dyDescent="0.25">
      <c r="A74" s="109" t="s">
        <v>24</v>
      </c>
      <c r="B74" s="119">
        <f t="shared" si="141"/>
        <v>0.4494127684899471</v>
      </c>
      <c r="C74" s="119">
        <f t="shared" si="141"/>
        <v>0.39662337821754329</v>
      </c>
      <c r="D74" s="119">
        <f t="shared" si="141"/>
        <v>0.40079477326313484</v>
      </c>
      <c r="E74" s="119">
        <f t="shared" si="141"/>
        <v>0.33881906028313369</v>
      </c>
      <c r="F74" s="119">
        <f t="shared" si="141"/>
        <v>0.36152412737730388</v>
      </c>
      <c r="G74" s="119">
        <f t="shared" si="141"/>
        <v>0.38276646513008866</v>
      </c>
      <c r="H74" s="119">
        <f t="shared" si="141"/>
        <v>0.36992772266344104</v>
      </c>
      <c r="I74" s="119">
        <f t="shared" si="141"/>
        <v>0.42510907296837896</v>
      </c>
      <c r="J74" s="119">
        <f t="shared" si="141"/>
        <v>0.36749365821490321</v>
      </c>
      <c r="K74" s="119">
        <f t="shared" ref="K74:V74" si="144">IF(K52=0,0,K52/K63)</f>
        <v>0.36155756898808933</v>
      </c>
      <c r="L74" s="119">
        <f t="shared" si="144"/>
        <v>0.56250464797033506</v>
      </c>
      <c r="M74" s="119">
        <f t="shared" si="144"/>
        <v>0.49031415582747995</v>
      </c>
      <c r="N74" s="119">
        <f t="shared" si="144"/>
        <v>0.2356074683234132</v>
      </c>
      <c r="O74" s="119">
        <f t="shared" si="144"/>
        <v>0.34966932014740992</v>
      </c>
      <c r="P74" s="119">
        <f t="shared" si="144"/>
        <v>0.1429494280796306</v>
      </c>
      <c r="Q74" s="119">
        <f t="shared" si="144"/>
        <v>0.15812479269755153</v>
      </c>
      <c r="R74" s="119">
        <f t="shared" si="144"/>
        <v>0.15658253907157701</v>
      </c>
      <c r="S74" s="119">
        <f t="shared" si="144"/>
        <v>0.15108213699135098</v>
      </c>
      <c r="T74" s="119">
        <f t="shared" si="144"/>
        <v>0.15001977644595763</v>
      </c>
      <c r="U74" s="119">
        <f t="shared" si="144"/>
        <v>0.3610663781524398</v>
      </c>
      <c r="V74" s="119">
        <f t="shared" si="144"/>
        <v>0.27899221820874803</v>
      </c>
      <c r="W74" s="119">
        <f t="shared" ref="W74" si="145">IF(W52=0,0,W52/W63)</f>
        <v>0.24407349348316904</v>
      </c>
      <c r="DA74" s="176"/>
    </row>
    <row r="75" spans="1:105" ht="11.45" customHeight="1" x14ac:dyDescent="0.25">
      <c r="A75" s="111" t="s">
        <v>92</v>
      </c>
      <c r="B75" s="120">
        <f t="shared" si="141"/>
        <v>0.36417407420253955</v>
      </c>
      <c r="C75" s="120">
        <f t="shared" si="141"/>
        <v>0.37836602290162136</v>
      </c>
      <c r="D75" s="120">
        <f t="shared" si="141"/>
        <v>0.36305824735702374</v>
      </c>
      <c r="E75" s="120">
        <f t="shared" si="141"/>
        <v>0.31285553409529415</v>
      </c>
      <c r="F75" s="120">
        <f t="shared" si="141"/>
        <v>0.32895766721229808</v>
      </c>
      <c r="G75" s="120">
        <f t="shared" si="141"/>
        <v>0.36164920412963708</v>
      </c>
      <c r="H75" s="120">
        <f t="shared" si="141"/>
        <v>0.36797705078032955</v>
      </c>
      <c r="I75" s="120">
        <f t="shared" si="141"/>
        <v>0.41791946316551665</v>
      </c>
      <c r="J75" s="120">
        <f t="shared" si="141"/>
        <v>0.34785152626001359</v>
      </c>
      <c r="K75" s="120">
        <f t="shared" ref="K75:V75" si="146">IF(K53=0,0,K53/K64)</f>
        <v>0.34436789718532096</v>
      </c>
      <c r="L75" s="120">
        <f t="shared" si="146"/>
        <v>0.56330130920148025</v>
      </c>
      <c r="M75" s="120">
        <f t="shared" si="146"/>
        <v>0.48980249747153454</v>
      </c>
      <c r="N75" s="120">
        <f t="shared" si="146"/>
        <v>0.22045941641310232</v>
      </c>
      <c r="O75" s="120">
        <f t="shared" si="146"/>
        <v>0.2940952615782752</v>
      </c>
      <c r="P75" s="120">
        <f t="shared" si="146"/>
        <v>0.13569851916932282</v>
      </c>
      <c r="Q75" s="120">
        <f t="shared" si="146"/>
        <v>0.15622027161856633</v>
      </c>
      <c r="R75" s="120">
        <f t="shared" si="146"/>
        <v>0.16013989831240438</v>
      </c>
      <c r="S75" s="120">
        <f t="shared" si="146"/>
        <v>0.15425747688677924</v>
      </c>
      <c r="T75" s="120">
        <f t="shared" si="146"/>
        <v>0.15540107250219987</v>
      </c>
      <c r="U75" s="120">
        <f t="shared" si="146"/>
        <v>0.35658331713514835</v>
      </c>
      <c r="V75" s="120">
        <f t="shared" si="146"/>
        <v>0.28729356731747357</v>
      </c>
      <c r="W75" s="120">
        <f t="shared" ref="W75" si="147">IF(W53=0,0,W53/W64)</f>
        <v>0.28060897209346741</v>
      </c>
      <c r="DA75" s="171"/>
    </row>
    <row r="76" spans="1:105" ht="11.45" customHeight="1" x14ac:dyDescent="0.25">
      <c r="A76" s="111" t="s">
        <v>93</v>
      </c>
      <c r="B76" s="120">
        <f t="shared" si="141"/>
        <v>1.506957871240294</v>
      </c>
      <c r="C76" s="120">
        <f t="shared" si="141"/>
        <v>0.62650834856230397</v>
      </c>
      <c r="D76" s="120">
        <f t="shared" si="141"/>
        <v>0.97330377766776599</v>
      </c>
      <c r="E76" s="120">
        <f t="shared" si="141"/>
        <v>0.78752418909278155</v>
      </c>
      <c r="F76" s="120">
        <f t="shared" si="141"/>
        <v>1.057584927217601</v>
      </c>
      <c r="G76" s="120">
        <f t="shared" si="141"/>
        <v>1.1817593684795216</v>
      </c>
      <c r="H76" s="120">
        <f t="shared" si="141"/>
        <v>1.2443435536377789</v>
      </c>
      <c r="I76" s="120">
        <f t="shared" si="141"/>
        <v>0.58056743145016487</v>
      </c>
      <c r="J76" s="120">
        <f t="shared" si="141"/>
        <v>0.55791913274306049</v>
      </c>
      <c r="K76" s="120">
        <f t="shared" ref="K76:V76" si="148">IF(K54=0,0,K54/K65)</f>
        <v>0.54842788139857679</v>
      </c>
      <c r="L76" s="120">
        <f t="shared" si="148"/>
        <v>0.49955491878623848</v>
      </c>
      <c r="M76" s="120">
        <f t="shared" si="148"/>
        <v>0.54063410819883584</v>
      </c>
      <c r="N76" s="120">
        <f t="shared" si="148"/>
        <v>0.60774958416430291</v>
      </c>
      <c r="O76" s="120">
        <f t="shared" si="148"/>
        <v>0.59394962877807589</v>
      </c>
      <c r="P76" s="120">
        <f t="shared" si="148"/>
        <v>0.17296873264577556</v>
      </c>
      <c r="Q76" s="120">
        <f t="shared" si="148"/>
        <v>0.16427586906650446</v>
      </c>
      <c r="R76" s="120">
        <f t="shared" si="148"/>
        <v>0.14302142168411963</v>
      </c>
      <c r="S76" s="120">
        <f t="shared" si="148"/>
        <v>0.13882082579459354</v>
      </c>
      <c r="T76" s="120">
        <f t="shared" si="148"/>
        <v>0.13368814253359068</v>
      </c>
      <c r="U76" s="120">
        <f t="shared" si="148"/>
        <v>0.36431465927668222</v>
      </c>
      <c r="V76" s="120">
        <f t="shared" si="148"/>
        <v>0.27320572825598388</v>
      </c>
      <c r="W76" s="120">
        <f t="shared" ref="W76" si="149">IF(W54=0,0,W54/W65)</f>
        <v>0.22710745721279305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" si="151">IF(W55=0,0,W55/W66)</f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0.28392079032640105</v>
      </c>
      <c r="C78" s="30">
        <f t="shared" si="141"/>
        <v>0.26808882570649195</v>
      </c>
      <c r="D78" s="30">
        <f t="shared" si="141"/>
        <v>0.25237368832512341</v>
      </c>
      <c r="E78" s="30">
        <f t="shared" si="141"/>
        <v>0.25446489879291168</v>
      </c>
      <c r="F78" s="30">
        <f t="shared" si="141"/>
        <v>0.25508237283206281</v>
      </c>
      <c r="G78" s="30">
        <f t="shared" si="141"/>
        <v>0.36567589998962546</v>
      </c>
      <c r="H78" s="30">
        <f t="shared" si="141"/>
        <v>0.36384950910746716</v>
      </c>
      <c r="I78" s="30">
        <f t="shared" si="141"/>
        <v>0.31192341171998411</v>
      </c>
      <c r="J78" s="30">
        <f t="shared" si="141"/>
        <v>0.24856001246576837</v>
      </c>
      <c r="K78" s="30">
        <f t="shared" ref="K78:V78" si="152">IF(K56=0,0,K56/K67)</f>
        <v>0.35145631764088786</v>
      </c>
      <c r="L78" s="30">
        <f t="shared" si="152"/>
        <v>0.36621666431325184</v>
      </c>
      <c r="M78" s="30">
        <f t="shared" si="152"/>
        <v>0.34600372262283796</v>
      </c>
      <c r="N78" s="30">
        <f t="shared" si="152"/>
        <v>0.26252392536205438</v>
      </c>
      <c r="O78" s="30">
        <f t="shared" si="152"/>
        <v>0.26394079283476812</v>
      </c>
      <c r="P78" s="30">
        <f t="shared" si="152"/>
        <v>0.25202143024438733</v>
      </c>
      <c r="Q78" s="30">
        <f t="shared" si="152"/>
        <v>0.24859163280733507</v>
      </c>
      <c r="R78" s="30">
        <f t="shared" si="152"/>
        <v>0.25377249833408555</v>
      </c>
      <c r="S78" s="30">
        <f t="shared" si="152"/>
        <v>0.25693432737573751</v>
      </c>
      <c r="T78" s="30">
        <f t="shared" si="152"/>
        <v>0.25419590244837537</v>
      </c>
      <c r="U78" s="30">
        <f t="shared" si="152"/>
        <v>0.23483267672091429</v>
      </c>
      <c r="V78" s="30">
        <f t="shared" si="152"/>
        <v>0.20254007833418156</v>
      </c>
      <c r="W78" s="30">
        <f t="shared" ref="W78" si="153">IF(W56=0,0,W56/W67)</f>
        <v>0.2226496266138831</v>
      </c>
      <c r="DA78" s="173"/>
    </row>
    <row r="79" spans="1:105" ht="11.45" customHeight="1" x14ac:dyDescent="0.25">
      <c r="A79" s="83" t="s">
        <v>92</v>
      </c>
      <c r="B79" s="120">
        <f t="shared" si="141"/>
        <v>0.28847745603472413</v>
      </c>
      <c r="C79" s="120">
        <f t="shared" si="141"/>
        <v>0.29020997004341137</v>
      </c>
      <c r="D79" s="120">
        <f t="shared" si="141"/>
        <v>0.24038164316774638</v>
      </c>
      <c r="E79" s="120">
        <f t="shared" si="141"/>
        <v>0.24349541416953774</v>
      </c>
      <c r="F79" s="120">
        <f t="shared" si="141"/>
        <v>0.24273262211053226</v>
      </c>
      <c r="G79" s="120">
        <f t="shared" si="141"/>
        <v>0.35118781498812085</v>
      </c>
      <c r="H79" s="120">
        <f t="shared" si="141"/>
        <v>0.35335074391476906</v>
      </c>
      <c r="I79" s="120">
        <f t="shared" si="141"/>
        <v>0.37152483759371863</v>
      </c>
      <c r="J79" s="120">
        <f t="shared" si="141"/>
        <v>0.24102734911212623</v>
      </c>
      <c r="K79" s="120">
        <f t="shared" ref="K79:V79" si="154">IF(K57=0,0,K57/K68)</f>
        <v>0.37486743384809496</v>
      </c>
      <c r="L79" s="120">
        <f t="shared" si="154"/>
        <v>0.39396186462294525</v>
      </c>
      <c r="M79" s="120">
        <f t="shared" si="154"/>
        <v>0.39652556954154322</v>
      </c>
      <c r="N79" s="120">
        <f t="shared" si="154"/>
        <v>0.25676461039345339</v>
      </c>
      <c r="O79" s="120">
        <f t="shared" si="154"/>
        <v>0.2607421420197289</v>
      </c>
      <c r="P79" s="120">
        <f t="shared" si="154"/>
        <v>0.26408785297840415</v>
      </c>
      <c r="Q79" s="120">
        <f t="shared" si="154"/>
        <v>0.26072789971960025</v>
      </c>
      <c r="R79" s="120">
        <f t="shared" si="154"/>
        <v>0.26682466392987803</v>
      </c>
      <c r="S79" s="120">
        <f t="shared" si="154"/>
        <v>0.27226566917198536</v>
      </c>
      <c r="T79" s="120">
        <f t="shared" si="154"/>
        <v>0.27133760451769384</v>
      </c>
      <c r="U79" s="120">
        <f t="shared" si="154"/>
        <v>0.30648585356535263</v>
      </c>
      <c r="V79" s="120">
        <f t="shared" si="154"/>
        <v>0.27764234617916378</v>
      </c>
      <c r="W79" s="120">
        <f t="shared" ref="W79" si="155">IF(W57=0,0,W57/W68)</f>
        <v>0.26490399928622105</v>
      </c>
      <c r="DA79" s="171"/>
    </row>
    <row r="80" spans="1:105" ht="11.45" customHeight="1" x14ac:dyDescent="0.25">
      <c r="A80" s="85" t="s">
        <v>93</v>
      </c>
      <c r="B80" s="122">
        <f t="shared" si="141"/>
        <v>0.2705877463984373</v>
      </c>
      <c r="C80" s="122">
        <f t="shared" si="141"/>
        <v>0.21896735632428269</v>
      </c>
      <c r="D80" s="122">
        <f t="shared" si="141"/>
        <v>0.29712261563074721</v>
      </c>
      <c r="E80" s="122">
        <f t="shared" si="141"/>
        <v>0.29364369713934435</v>
      </c>
      <c r="F80" s="122">
        <f t="shared" si="141"/>
        <v>0.2993493395750359</v>
      </c>
      <c r="G80" s="122">
        <f t="shared" si="141"/>
        <v>0.44614350383484602</v>
      </c>
      <c r="H80" s="122">
        <f t="shared" si="141"/>
        <v>0.45852506794279096</v>
      </c>
      <c r="I80" s="122">
        <f t="shared" si="141"/>
        <v>0.18052399159579727</v>
      </c>
      <c r="J80" s="122">
        <f t="shared" si="141"/>
        <v>0.2892407431487139</v>
      </c>
      <c r="K80" s="122">
        <f t="shared" ref="K80:V80" si="156">IF(K58=0,0,K58/K69)</f>
        <v>0.28595887608553305</v>
      </c>
      <c r="L80" s="122">
        <f t="shared" si="156"/>
        <v>0.27645163061333206</v>
      </c>
      <c r="M80" s="122">
        <f t="shared" si="156"/>
        <v>0.27070199432419983</v>
      </c>
      <c r="N80" s="122">
        <f t="shared" si="156"/>
        <v>0.27113582030242322</v>
      </c>
      <c r="O80" s="122">
        <f t="shared" si="156"/>
        <v>0.26686855740157123</v>
      </c>
      <c r="P80" s="122">
        <f t="shared" si="156"/>
        <v>0.23983841719489948</v>
      </c>
      <c r="Q80" s="122">
        <f t="shared" si="156"/>
        <v>0.23679599629524697</v>
      </c>
      <c r="R80" s="122">
        <f t="shared" si="156"/>
        <v>0.24058528547277361</v>
      </c>
      <c r="S80" s="122">
        <f t="shared" si="156"/>
        <v>0.24190551583568301</v>
      </c>
      <c r="T80" s="122">
        <f t="shared" si="156"/>
        <v>0.23873649515518347</v>
      </c>
      <c r="U80" s="122">
        <f t="shared" si="156"/>
        <v>0.21400727338785502</v>
      </c>
      <c r="V80" s="122">
        <f t="shared" si="156"/>
        <v>0.18536926349066352</v>
      </c>
      <c r="W80" s="122">
        <f t="shared" ref="W80" si="157">IF(W58=0,0,W58/W69)</f>
        <v>0.21306269064456462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127559.77805621094</v>
      </c>
      <c r="C82" s="54">
        <f t="shared" si="158"/>
        <v>126762.6654328311</v>
      </c>
      <c r="D82" s="54">
        <f t="shared" si="158"/>
        <v>126561.59936755143</v>
      </c>
      <c r="E82" s="54">
        <f t="shared" si="158"/>
        <v>126802.41132724084</v>
      </c>
      <c r="F82" s="54">
        <f t="shared" si="158"/>
        <v>126168.81570036703</v>
      </c>
      <c r="G82" s="54">
        <f t="shared" si="158"/>
        <v>97854.784201187969</v>
      </c>
      <c r="H82" s="54">
        <f t="shared" si="158"/>
        <v>126020.30855257565</v>
      </c>
      <c r="I82" s="54">
        <f t="shared" si="158"/>
        <v>124357.34293334202</v>
      </c>
      <c r="J82" s="54">
        <f t="shared" si="158"/>
        <v>108318.36956238704</v>
      </c>
      <c r="K82" s="54">
        <f t="shared" ref="K82:V82" si="159">IF(K14=0,0,K14/K25*1000000)</f>
        <v>118293.10251541628</v>
      </c>
      <c r="L82" s="54">
        <f t="shared" si="159"/>
        <v>79186.623517978907</v>
      </c>
      <c r="M82" s="54">
        <f t="shared" si="159"/>
        <v>91876.5775601114</v>
      </c>
      <c r="N82" s="54">
        <f t="shared" si="159"/>
        <v>113409.12011434906</v>
      </c>
      <c r="O82" s="54">
        <f t="shared" si="159"/>
        <v>114171.92153849889</v>
      </c>
      <c r="P82" s="54">
        <f t="shared" si="159"/>
        <v>126764.63305121985</v>
      </c>
      <c r="Q82" s="54">
        <f t="shared" si="159"/>
        <v>127884.8505405168</v>
      </c>
      <c r="R82" s="54">
        <f t="shared" si="159"/>
        <v>125432.64249836703</v>
      </c>
      <c r="S82" s="54">
        <f t="shared" si="159"/>
        <v>124921.28430502195</v>
      </c>
      <c r="T82" s="54">
        <f t="shared" si="159"/>
        <v>127361.65626763196</v>
      </c>
      <c r="U82" s="54">
        <f t="shared" si="159"/>
        <v>90563.533642574868</v>
      </c>
      <c r="V82" s="54">
        <f t="shared" si="159"/>
        <v>85124.590801804763</v>
      </c>
      <c r="W82" s="54">
        <f t="shared" ref="W82" si="160">IF(W14=0,0,W14/W25*1000000)</f>
        <v>91684.080678119528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126347.25305638066</v>
      </c>
      <c r="C83" s="28">
        <f t="shared" si="161"/>
        <v>125743.29263161522</v>
      </c>
      <c r="D83" s="28">
        <f t="shared" si="161"/>
        <v>125780.03098232612</v>
      </c>
      <c r="E83" s="28">
        <f t="shared" si="161"/>
        <v>125543.01185303413</v>
      </c>
      <c r="F83" s="28">
        <f t="shared" si="161"/>
        <v>124597.44931191114</v>
      </c>
      <c r="G83" s="28">
        <f t="shared" si="161"/>
        <v>96697.498539760345</v>
      </c>
      <c r="H83" s="28">
        <f t="shared" si="161"/>
        <v>125026.51118564034</v>
      </c>
      <c r="I83" s="28">
        <f t="shared" si="161"/>
        <v>122585.08640871938</v>
      </c>
      <c r="J83" s="28">
        <f t="shared" si="161"/>
        <v>105926.25540254965</v>
      </c>
      <c r="K83" s="28">
        <f t="shared" ref="K83:V83" si="162">IF(K15=0,0,K15/K26*1000000)</f>
        <v>119084.99890262818</v>
      </c>
      <c r="L83" s="28">
        <f t="shared" si="162"/>
        <v>78239.864473292197</v>
      </c>
      <c r="M83" s="28">
        <f t="shared" si="162"/>
        <v>92788.753595593065</v>
      </c>
      <c r="N83" s="28">
        <f t="shared" si="162"/>
        <v>114793.07467469996</v>
      </c>
      <c r="O83" s="28">
        <f t="shared" si="162"/>
        <v>115520.68864930578</v>
      </c>
      <c r="P83" s="28">
        <f t="shared" si="162"/>
        <v>127318.97777203543</v>
      </c>
      <c r="Q83" s="28">
        <f t="shared" si="162"/>
        <v>128418.81456962401</v>
      </c>
      <c r="R83" s="28">
        <f t="shared" si="162"/>
        <v>126051.00023130167</v>
      </c>
      <c r="S83" s="28">
        <f t="shared" si="162"/>
        <v>125030.36862913136</v>
      </c>
      <c r="T83" s="28">
        <f t="shared" si="162"/>
        <v>127251.40595546136</v>
      </c>
      <c r="U83" s="28">
        <f t="shared" si="162"/>
        <v>89568.776849126531</v>
      </c>
      <c r="V83" s="28">
        <f t="shared" si="162"/>
        <v>83281.614719015561</v>
      </c>
      <c r="W83" s="28">
        <f t="shared" ref="W83" si="163">IF(W15=0,0,W15/W26*1000000)</f>
        <v>90077.731929798931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109999.99964126875</v>
      </c>
      <c r="C84" s="108">
        <f t="shared" si="161"/>
        <v>109999.99970436576</v>
      </c>
      <c r="D84" s="108">
        <f t="shared" si="161"/>
        <v>109999.99925621568</v>
      </c>
      <c r="E84" s="108">
        <f t="shared" si="161"/>
        <v>109999.99946975433</v>
      </c>
      <c r="F84" s="108">
        <f t="shared" si="161"/>
        <v>109999.99967059614</v>
      </c>
      <c r="G84" s="108">
        <f t="shared" si="161"/>
        <v>61918.347805682504</v>
      </c>
      <c r="H84" s="108">
        <f t="shared" si="161"/>
        <v>109999.99993101649</v>
      </c>
      <c r="I84" s="108">
        <f t="shared" si="161"/>
        <v>109999.9995866659</v>
      </c>
      <c r="J84" s="108">
        <f t="shared" si="161"/>
        <v>80578.028182364811</v>
      </c>
      <c r="K84" s="108">
        <f t="shared" ref="K84:V84" si="164">IF(K16=0,0,K16/K27*1000000)</f>
        <v>102406.55047382377</v>
      </c>
      <c r="L84" s="108">
        <f t="shared" si="164"/>
        <v>65994.641167618349</v>
      </c>
      <c r="M84" s="108">
        <f t="shared" si="164"/>
        <v>94540.988013709735</v>
      </c>
      <c r="N84" s="108">
        <f t="shared" si="164"/>
        <v>94856.787594331356</v>
      </c>
      <c r="O84" s="108">
        <f t="shared" si="164"/>
        <v>109999.99948562257</v>
      </c>
      <c r="P84" s="108">
        <f t="shared" si="164"/>
        <v>109999.99990068498</v>
      </c>
      <c r="Q84" s="108">
        <f t="shared" si="164"/>
        <v>109999.99972821074</v>
      </c>
      <c r="R84" s="108">
        <f t="shared" si="164"/>
        <v>109999.99967148973</v>
      </c>
      <c r="S84" s="108">
        <f t="shared" si="164"/>
        <v>109999.99949829074</v>
      </c>
      <c r="T84" s="108">
        <f t="shared" si="164"/>
        <v>109999.9995659985</v>
      </c>
      <c r="U84" s="108">
        <f t="shared" si="164"/>
        <v>102865.81214264991</v>
      </c>
      <c r="V84" s="108">
        <f t="shared" si="164"/>
        <v>108847.11520138265</v>
      </c>
      <c r="W84" s="108">
        <f t="shared" ref="W84" si="165">IF(W16=0,0,W16/W27*1000000)</f>
        <v>109999.99961941066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149999.99818948845</v>
      </c>
      <c r="C85" s="110">
        <f t="shared" si="161"/>
        <v>149999.99829914168</v>
      </c>
      <c r="D85" s="110">
        <f t="shared" si="161"/>
        <v>149689.46915628904</v>
      </c>
      <c r="E85" s="110">
        <f t="shared" si="161"/>
        <v>149762.31270974086</v>
      </c>
      <c r="F85" s="110">
        <f t="shared" si="161"/>
        <v>149225.1340009108</v>
      </c>
      <c r="G85" s="110">
        <f t="shared" si="161"/>
        <v>147738.30170515465</v>
      </c>
      <c r="H85" s="110">
        <f t="shared" si="161"/>
        <v>145348.36714870046</v>
      </c>
      <c r="I85" s="110">
        <f t="shared" si="161"/>
        <v>144987.09257031447</v>
      </c>
      <c r="J85" s="110">
        <f t="shared" si="161"/>
        <v>149317.13628152662</v>
      </c>
      <c r="K85" s="110">
        <f t="shared" ref="K85:V85" si="166">IF(K17=0,0,K17/K28*1000000)</f>
        <v>148086.15402941813</v>
      </c>
      <c r="L85" s="110">
        <f t="shared" si="166"/>
        <v>99938.89862182553</v>
      </c>
      <c r="M85" s="110">
        <f t="shared" si="166"/>
        <v>89610.618288049111</v>
      </c>
      <c r="N85" s="110">
        <f t="shared" si="166"/>
        <v>143565.30367552562</v>
      </c>
      <c r="O85" s="110">
        <f t="shared" si="166"/>
        <v>127085.05039616161</v>
      </c>
      <c r="P85" s="110">
        <f t="shared" si="166"/>
        <v>149999.99878621165</v>
      </c>
      <c r="Q85" s="110">
        <f t="shared" si="166"/>
        <v>149999.99928856996</v>
      </c>
      <c r="R85" s="110">
        <f t="shared" si="166"/>
        <v>144767.94153480482</v>
      </c>
      <c r="S85" s="110">
        <f t="shared" si="166"/>
        <v>143904.30097124708</v>
      </c>
      <c r="T85" s="110">
        <f t="shared" si="166"/>
        <v>149999.99909574748</v>
      </c>
      <c r="U85" s="110">
        <f t="shared" si="166"/>
        <v>72668.909775670894</v>
      </c>
      <c r="V85" s="110">
        <f t="shared" si="166"/>
        <v>51069.301874194862</v>
      </c>
      <c r="W85" s="110">
        <f t="shared" ref="W85" si="167">IF(W17=0,0,W17/W28*1000000)</f>
        <v>63517.487376692399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149999.99882661132</v>
      </c>
      <c r="C86" s="84">
        <f t="shared" si="161"/>
        <v>149999.99974351563</v>
      </c>
      <c r="D86" s="84">
        <f t="shared" si="161"/>
        <v>149999.99837013925</v>
      </c>
      <c r="E86" s="84">
        <f t="shared" si="161"/>
        <v>149999.99999754369</v>
      </c>
      <c r="F86" s="84">
        <f t="shared" si="161"/>
        <v>149999.99891130821</v>
      </c>
      <c r="G86" s="84">
        <f t="shared" si="161"/>
        <v>149999.99997008868</v>
      </c>
      <c r="H86" s="84">
        <f t="shared" si="161"/>
        <v>149999.99968022443</v>
      </c>
      <c r="I86" s="84">
        <f t="shared" si="161"/>
        <v>144763.35018802335</v>
      </c>
      <c r="J86" s="84">
        <f t="shared" si="161"/>
        <v>149247.05410356275</v>
      </c>
      <c r="K86" s="84">
        <f t="shared" ref="K86:V86" si="168">IF(K18=0,0,K18/K29*1000000)</f>
        <v>149841.495474728</v>
      </c>
      <c r="L86" s="84">
        <f t="shared" si="168"/>
        <v>109325.49710309476</v>
      </c>
      <c r="M86" s="84">
        <f t="shared" si="168"/>
        <v>98586.559804883291</v>
      </c>
      <c r="N86" s="84">
        <f t="shared" si="168"/>
        <v>149999.9987415678</v>
      </c>
      <c r="O86" s="84">
        <f t="shared" si="168"/>
        <v>122816.61806987034</v>
      </c>
      <c r="P86" s="84">
        <f t="shared" si="168"/>
        <v>149999.99932171023</v>
      </c>
      <c r="Q86" s="84">
        <f t="shared" si="168"/>
        <v>149999.99936830971</v>
      </c>
      <c r="R86" s="84">
        <f t="shared" si="168"/>
        <v>149999.99883676574</v>
      </c>
      <c r="S86" s="84">
        <f t="shared" si="168"/>
        <v>149999.99949085913</v>
      </c>
      <c r="T86" s="84">
        <f t="shared" si="168"/>
        <v>149999.99892064568</v>
      </c>
      <c r="U86" s="84">
        <f t="shared" si="168"/>
        <v>42458.827524367989</v>
      </c>
      <c r="V86" s="84">
        <f t="shared" si="168"/>
        <v>29701.813387158338</v>
      </c>
      <c r="W86" s="84">
        <f t="shared" ref="W86" si="169">IF(W18=0,0,W18/W29*1000000)</f>
        <v>29120.969523451015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149999.99028479028</v>
      </c>
      <c r="C87" s="84">
        <f t="shared" si="161"/>
        <v>149999.98011250861</v>
      </c>
      <c r="D87" s="84">
        <f t="shared" si="161"/>
        <v>145131.27697401575</v>
      </c>
      <c r="E87" s="84">
        <f t="shared" si="161"/>
        <v>145770.39674321463</v>
      </c>
      <c r="F87" s="84">
        <f t="shared" si="161"/>
        <v>134387.32830679417</v>
      </c>
      <c r="G87" s="84">
        <f t="shared" si="161"/>
        <v>94071.41383220756</v>
      </c>
      <c r="H87" s="84">
        <f t="shared" si="161"/>
        <v>9754.2298186792486</v>
      </c>
      <c r="I87" s="84">
        <f t="shared" si="161"/>
        <v>149999.99956606157</v>
      </c>
      <c r="J87" s="84">
        <f t="shared" si="161"/>
        <v>149999.99283693533</v>
      </c>
      <c r="K87" s="84">
        <f t="shared" ref="K87:V87" si="170">IF(K19=0,0,K19/K30*1000000)</f>
        <v>131357.63291694099</v>
      </c>
      <c r="L87" s="84">
        <f t="shared" si="170"/>
        <v>12838.471503810013</v>
      </c>
      <c r="M87" s="84">
        <f t="shared" si="170"/>
        <v>9002.3732151511031</v>
      </c>
      <c r="N87" s="84">
        <f t="shared" si="170"/>
        <v>69899.756738987649</v>
      </c>
      <c r="O87" s="84">
        <f t="shared" si="170"/>
        <v>149999.9977707222</v>
      </c>
      <c r="P87" s="84">
        <f t="shared" si="170"/>
        <v>149999.99656920752</v>
      </c>
      <c r="Q87" s="84">
        <f t="shared" si="170"/>
        <v>149999.99903103267</v>
      </c>
      <c r="R87" s="84">
        <f t="shared" si="170"/>
        <v>127777.54460216967</v>
      </c>
      <c r="S87" s="84">
        <f t="shared" si="170"/>
        <v>124385.67334784815</v>
      </c>
      <c r="T87" s="84">
        <f t="shared" si="170"/>
        <v>149999.99962716192</v>
      </c>
      <c r="U87" s="84">
        <f t="shared" si="170"/>
        <v>149999.9982009274</v>
      </c>
      <c r="V87" s="84">
        <f t="shared" si="170"/>
        <v>102437.89800321779</v>
      </c>
      <c r="W87" s="84">
        <f t="shared" ref="W87" si="171">IF(W19=0,0,W19/W30*1000000)</f>
        <v>140680.09356963102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" si="173">IF(W20=0,0,W20/W31*1000000)</f>
        <v>0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199999.93972783568</v>
      </c>
      <c r="C89" s="28">
        <f t="shared" si="161"/>
        <v>195656.28887942759</v>
      </c>
      <c r="D89" s="28">
        <f t="shared" si="161"/>
        <v>182022.05645295247</v>
      </c>
      <c r="E89" s="28">
        <f t="shared" si="161"/>
        <v>199999.97126780733</v>
      </c>
      <c r="F89" s="28">
        <f t="shared" si="161"/>
        <v>199999.97687493183</v>
      </c>
      <c r="G89" s="28">
        <f t="shared" si="161"/>
        <v>154471.80738072353</v>
      </c>
      <c r="H89" s="28">
        <f t="shared" si="161"/>
        <v>176008.46633566372</v>
      </c>
      <c r="I89" s="28">
        <f t="shared" si="161"/>
        <v>199999.95917817863</v>
      </c>
      <c r="J89" s="28">
        <f t="shared" si="161"/>
        <v>182513.1642896728</v>
      </c>
      <c r="K89" s="28">
        <f t="shared" ref="K89:V89" si="174">IF(K21=0,0,K21/K32*1000000)</f>
        <v>94763.441911860005</v>
      </c>
      <c r="L89" s="28">
        <f t="shared" si="174"/>
        <v>105966.47031327039</v>
      </c>
      <c r="M89" s="28">
        <f t="shared" si="174"/>
        <v>67506.76190524963</v>
      </c>
      <c r="N89" s="28">
        <f t="shared" si="174"/>
        <v>75289.217380100134</v>
      </c>
      <c r="O89" s="28">
        <f t="shared" si="174"/>
        <v>66189.096561181257</v>
      </c>
      <c r="P89" s="28">
        <f t="shared" si="174"/>
        <v>94572.485594548256</v>
      </c>
      <c r="Q89" s="28">
        <f t="shared" si="174"/>
        <v>95249.200793119104</v>
      </c>
      <c r="R89" s="28">
        <f t="shared" si="174"/>
        <v>85806.765895821212</v>
      </c>
      <c r="S89" s="28">
        <f t="shared" si="174"/>
        <v>117930.89429536097</v>
      </c>
      <c r="T89" s="28">
        <f t="shared" si="174"/>
        <v>134245.35036760964</v>
      </c>
      <c r="U89" s="28">
        <f t="shared" si="174"/>
        <v>136870.98304180213</v>
      </c>
      <c r="V89" s="28">
        <f t="shared" si="174"/>
        <v>154229.59267961237</v>
      </c>
      <c r="W89" s="28">
        <f t="shared" ref="W89" si="175">IF(W21=0,0,W21/W32*1000000)</f>
        <v>152571.31622026188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199999.92666358736</v>
      </c>
      <c r="C90" s="84">
        <f t="shared" si="161"/>
        <v>193761.22596640652</v>
      </c>
      <c r="D90" s="84">
        <f t="shared" si="161"/>
        <v>199999.96222204895</v>
      </c>
      <c r="E90" s="84">
        <f t="shared" si="161"/>
        <v>199999.98694480251</v>
      </c>
      <c r="F90" s="84">
        <f t="shared" si="161"/>
        <v>199999.98742056722</v>
      </c>
      <c r="G90" s="84">
        <f t="shared" si="161"/>
        <v>166881.6699514403</v>
      </c>
      <c r="H90" s="84">
        <f t="shared" si="161"/>
        <v>199999.95032241402</v>
      </c>
      <c r="I90" s="84">
        <f t="shared" si="161"/>
        <v>199999.98089860551</v>
      </c>
      <c r="J90" s="84">
        <f t="shared" si="161"/>
        <v>199999.98595227656</v>
      </c>
      <c r="K90" s="84">
        <f t="shared" ref="K90:V90" si="176">IF(K22=0,0,K22/K33*1000000)</f>
        <v>90532.548093999911</v>
      </c>
      <c r="L90" s="84">
        <f t="shared" si="176"/>
        <v>104807.54699618561</v>
      </c>
      <c r="M90" s="84">
        <f t="shared" si="176"/>
        <v>52218.520649165177</v>
      </c>
      <c r="N90" s="84">
        <f t="shared" si="176"/>
        <v>58201.773277849279</v>
      </c>
      <c r="O90" s="84">
        <f t="shared" si="176"/>
        <v>40718.058070889354</v>
      </c>
      <c r="P90" s="84">
        <f t="shared" si="176"/>
        <v>62133.193358898126</v>
      </c>
      <c r="Q90" s="84">
        <f t="shared" si="176"/>
        <v>61895.206585804539</v>
      </c>
      <c r="R90" s="84">
        <f t="shared" si="176"/>
        <v>56791.811974743687</v>
      </c>
      <c r="S90" s="84">
        <f t="shared" si="176"/>
        <v>83131.556290857159</v>
      </c>
      <c r="T90" s="84">
        <f t="shared" si="176"/>
        <v>98380.662576214483</v>
      </c>
      <c r="U90" s="84">
        <f t="shared" si="176"/>
        <v>65613.205921672503</v>
      </c>
      <c r="V90" s="84">
        <f t="shared" si="176"/>
        <v>77077.797493294303</v>
      </c>
      <c r="W90" s="84">
        <f t="shared" ref="W90" si="177">IF(W22=0,0,W22/W33*1000000)</f>
        <v>79283.806851024361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199999.97795452425</v>
      </c>
      <c r="C91" s="86">
        <f t="shared" si="161"/>
        <v>199999.89346641896</v>
      </c>
      <c r="D91" s="86">
        <f t="shared" si="161"/>
        <v>136302.47058654038</v>
      </c>
      <c r="E91" s="86">
        <f t="shared" si="161"/>
        <v>199999.9152756042</v>
      </c>
      <c r="F91" s="86">
        <f t="shared" si="161"/>
        <v>199999.93907472127</v>
      </c>
      <c r="G91" s="86">
        <f t="shared" si="161"/>
        <v>109320.52220613607</v>
      </c>
      <c r="H91" s="86">
        <f t="shared" si="161"/>
        <v>84548.3231085632</v>
      </c>
      <c r="I91" s="86">
        <f t="shared" si="161"/>
        <v>199999.91129257079</v>
      </c>
      <c r="J91" s="86">
        <f t="shared" si="161"/>
        <v>123973.52409313977</v>
      </c>
      <c r="K91" s="86">
        <f t="shared" ref="K91:V91" si="178">IF(K23=0,0,K23/K34*1000000)</f>
        <v>109017.02016282441</v>
      </c>
      <c r="L91" s="86">
        <f t="shared" si="178"/>
        <v>109898.09114046626</v>
      </c>
      <c r="M91" s="86">
        <f t="shared" si="178"/>
        <v>119772.22576278099</v>
      </c>
      <c r="N91" s="86">
        <f t="shared" si="178"/>
        <v>134206.40939544118</v>
      </c>
      <c r="O91" s="86">
        <f t="shared" si="178"/>
        <v>154853.80674035213</v>
      </c>
      <c r="P91" s="86">
        <f t="shared" si="178"/>
        <v>199999.94683799814</v>
      </c>
      <c r="Q91" s="86">
        <f t="shared" si="178"/>
        <v>199999.87060725232</v>
      </c>
      <c r="R91" s="86">
        <f t="shared" si="178"/>
        <v>177355.02887107688</v>
      </c>
      <c r="S91" s="86">
        <f t="shared" si="178"/>
        <v>199999.94829343897</v>
      </c>
      <c r="T91" s="86">
        <f t="shared" si="178"/>
        <v>199999.94039445152</v>
      </c>
      <c r="U91" s="86">
        <f t="shared" si="178"/>
        <v>199999.98987271293</v>
      </c>
      <c r="V91" s="86">
        <f t="shared" si="178"/>
        <v>199999.97425878659</v>
      </c>
      <c r="W91" s="86">
        <f t="shared" ref="W91" si="179">IF(W23=0,0,W23/W34*1000000)</f>
        <v>193061.44861320147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14378583.427196126</v>
      </c>
      <c r="C94" s="28">
        <f t="shared" si="180"/>
        <v>13197441.122106232</v>
      </c>
      <c r="D94" s="28">
        <f t="shared" si="180"/>
        <v>13245517.905487336</v>
      </c>
      <c r="E94" s="28">
        <f t="shared" si="180"/>
        <v>11992787.455360439</v>
      </c>
      <c r="F94" s="28">
        <f t="shared" si="180"/>
        <v>12201997.035530981</v>
      </c>
      <c r="G94" s="28">
        <f t="shared" si="180"/>
        <v>13266641.286798704</v>
      </c>
      <c r="H94" s="28">
        <f t="shared" si="180"/>
        <v>13574251.129445544</v>
      </c>
      <c r="I94" s="28">
        <f t="shared" si="180"/>
        <v>12976137.731857805</v>
      </c>
      <c r="J94" s="28">
        <f t="shared" si="180"/>
        <v>12962123.08587455</v>
      </c>
      <c r="K94" s="28">
        <f t="shared" ref="K94:V94" si="181">IF(K4=0,0,K4/K26*1000000)</f>
        <v>13381291.63237302</v>
      </c>
      <c r="L94" s="28">
        <f t="shared" si="181"/>
        <v>14432428.261884423</v>
      </c>
      <c r="M94" s="28">
        <f t="shared" si="181"/>
        <v>13731343.408785075</v>
      </c>
      <c r="N94" s="28">
        <f t="shared" si="181"/>
        <v>13319436.898472549</v>
      </c>
      <c r="O94" s="28">
        <f t="shared" si="181"/>
        <v>11835473.921213889</v>
      </c>
      <c r="P94" s="28">
        <f t="shared" si="181"/>
        <v>7577612.3446688848</v>
      </c>
      <c r="Q94" s="28">
        <f t="shared" si="181"/>
        <v>8126984.4259672919</v>
      </c>
      <c r="R94" s="28">
        <f t="shared" si="181"/>
        <v>7995022.7280298527</v>
      </c>
      <c r="S94" s="28">
        <f t="shared" si="181"/>
        <v>7767655.9006271306</v>
      </c>
      <c r="T94" s="28">
        <f t="shared" si="181"/>
        <v>7875171.3902608398</v>
      </c>
      <c r="U94" s="28">
        <f t="shared" si="181"/>
        <v>8652107.458170671</v>
      </c>
      <c r="V94" s="28">
        <f t="shared" si="181"/>
        <v>5448469.9112071833</v>
      </c>
      <c r="W94" s="28">
        <f t="shared" ref="W94" si="182">IF(W4=0,0,W4/W26*1000000)</f>
        <v>5791914.5176377511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9407086.8866133709</v>
      </c>
      <c r="C95" s="108">
        <f t="shared" si="180"/>
        <v>9406802.7069043759</v>
      </c>
      <c r="D95" s="108">
        <f t="shared" si="180"/>
        <v>9316716.24068374</v>
      </c>
      <c r="E95" s="108">
        <f t="shared" si="180"/>
        <v>9268666.3425899558</v>
      </c>
      <c r="F95" s="108">
        <f t="shared" si="180"/>
        <v>9201907.3492707796</v>
      </c>
      <c r="G95" s="108">
        <f t="shared" si="180"/>
        <v>9976080.9492727853</v>
      </c>
      <c r="H95" s="108">
        <f t="shared" si="180"/>
        <v>10888926.20160934</v>
      </c>
      <c r="I95" s="108">
        <f t="shared" si="180"/>
        <v>9185687.5895636827</v>
      </c>
      <c r="J95" s="108">
        <f t="shared" si="180"/>
        <v>10276475.320512122</v>
      </c>
      <c r="K95" s="108">
        <f t="shared" ref="K95:V95" si="183">IF(K5=0,0,K5/K27*1000000)</f>
        <v>11223506.856652584</v>
      </c>
      <c r="L95" s="108">
        <f t="shared" si="183"/>
        <v>12425294.835042551</v>
      </c>
      <c r="M95" s="108">
        <f t="shared" si="183"/>
        <v>13550167.391934307</v>
      </c>
      <c r="N95" s="108">
        <f t="shared" si="183"/>
        <v>15048513.15637988</v>
      </c>
      <c r="O95" s="108">
        <f t="shared" si="183"/>
        <v>10697092.299630988</v>
      </c>
      <c r="P95" s="108">
        <f t="shared" si="183"/>
        <v>8124372.490539249</v>
      </c>
      <c r="Q95" s="108">
        <f t="shared" si="183"/>
        <v>8585291.084438974</v>
      </c>
      <c r="R95" s="108">
        <f t="shared" si="183"/>
        <v>8630667.7827329338</v>
      </c>
      <c r="S95" s="108">
        <f t="shared" si="183"/>
        <v>8413036.9091040231</v>
      </c>
      <c r="T95" s="108">
        <f t="shared" si="183"/>
        <v>8386468.0880735777</v>
      </c>
      <c r="U95" s="108">
        <f t="shared" si="183"/>
        <v>8853414.6999330595</v>
      </c>
      <c r="V95" s="108">
        <f t="shared" si="183"/>
        <v>6154133.2620141469</v>
      </c>
      <c r="W95" s="108">
        <f t="shared" ref="W95" si="184">IF(W5=0,0,W5/W27*1000000)</f>
        <v>6415211.2054762337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21571812.62714402</v>
      </c>
      <c r="C96" s="110">
        <f t="shared" si="180"/>
        <v>19037921.938570019</v>
      </c>
      <c r="D96" s="110">
        <f t="shared" si="180"/>
        <v>19198322.192119639</v>
      </c>
      <c r="E96" s="110">
        <f t="shared" si="180"/>
        <v>16237544.338605827</v>
      </c>
      <c r="F96" s="110">
        <f t="shared" si="180"/>
        <v>17263515.632780969</v>
      </c>
      <c r="G96" s="110">
        <f t="shared" si="180"/>
        <v>18095765.60256147</v>
      </c>
      <c r="H96" s="110">
        <f t="shared" si="180"/>
        <v>17205884.944693908</v>
      </c>
      <c r="I96" s="110">
        <f t="shared" si="180"/>
        <v>19723305.124783017</v>
      </c>
      <c r="J96" s="110">
        <f t="shared" si="180"/>
        <v>17559392.206806868</v>
      </c>
      <c r="K96" s="110">
        <f t="shared" ref="K96:V96" si="185">IF(K6=0,0,K6/K28*1000000)</f>
        <v>17133334.352535091</v>
      </c>
      <c r="L96" s="110">
        <f t="shared" si="185"/>
        <v>17989150.396100152</v>
      </c>
      <c r="M96" s="110">
        <f t="shared" si="185"/>
        <v>14059953.490906669</v>
      </c>
      <c r="N96" s="110">
        <f t="shared" si="185"/>
        <v>10824018.47618323</v>
      </c>
      <c r="O96" s="110">
        <f t="shared" si="185"/>
        <v>14220077.81533605</v>
      </c>
      <c r="P96" s="110">
        <f t="shared" si="185"/>
        <v>6861572.4922989579</v>
      </c>
      <c r="Q96" s="110">
        <f t="shared" si="185"/>
        <v>7589990.0134841613</v>
      </c>
      <c r="R96" s="110">
        <f t="shared" si="185"/>
        <v>7253802.195739313</v>
      </c>
      <c r="S96" s="110">
        <f t="shared" si="185"/>
        <v>6957238.1801544167</v>
      </c>
      <c r="T96" s="110">
        <f t="shared" si="185"/>
        <v>7200949.2259961236</v>
      </c>
      <c r="U96" s="110">
        <f t="shared" si="185"/>
        <v>8396256.0182361323</v>
      </c>
      <c r="V96" s="110">
        <f t="shared" si="185"/>
        <v>4559340.0999212153</v>
      </c>
      <c r="W96" s="110">
        <f t="shared" ref="W96" si="186">IF(W6=0,0,W6/W28*1000000)</f>
        <v>4960939.2132167686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17480355.424980223</v>
      </c>
      <c r="C97" s="84">
        <f t="shared" si="180"/>
        <v>18161569.068223432</v>
      </c>
      <c r="D97" s="84">
        <f t="shared" si="180"/>
        <v>17426795.683782134</v>
      </c>
      <c r="E97" s="84">
        <f t="shared" si="180"/>
        <v>15017065.636328209</v>
      </c>
      <c r="F97" s="84">
        <f t="shared" si="180"/>
        <v>15789967.911587583</v>
      </c>
      <c r="G97" s="84">
        <f t="shared" si="180"/>
        <v>17359161.79476101</v>
      </c>
      <c r="H97" s="84">
        <f t="shared" si="180"/>
        <v>17662898.399801396</v>
      </c>
      <c r="I97" s="84">
        <f t="shared" si="180"/>
        <v>19359814.910918534</v>
      </c>
      <c r="J97" s="84">
        <f t="shared" si="180"/>
        <v>16613060.979115242</v>
      </c>
      <c r="K97" s="84">
        <f t="shared" ref="K97:V97" si="187">IF(K7=0,0,K7/K29*1000000)</f>
        <v>16512192.226475477</v>
      </c>
      <c r="L97" s="84">
        <f t="shared" si="187"/>
        <v>19706622.607128296</v>
      </c>
      <c r="M97" s="84">
        <f t="shared" si="187"/>
        <v>15452141.827058764</v>
      </c>
      <c r="N97" s="84">
        <f t="shared" si="187"/>
        <v>10582051.899050279</v>
      </c>
      <c r="O97" s="84">
        <f t="shared" si="187"/>
        <v>11558331.333573645</v>
      </c>
      <c r="P97" s="84">
        <f t="shared" si="187"/>
        <v>6513528.8906737631</v>
      </c>
      <c r="Q97" s="84">
        <f t="shared" si="187"/>
        <v>7498573.0061126789</v>
      </c>
      <c r="R97" s="84">
        <f t="shared" si="187"/>
        <v>7686715.0593857421</v>
      </c>
      <c r="S97" s="84">
        <f t="shared" si="187"/>
        <v>7404358.8654329926</v>
      </c>
      <c r="T97" s="84">
        <f t="shared" si="187"/>
        <v>7459251.4264310934</v>
      </c>
      <c r="U97" s="84">
        <f t="shared" si="187"/>
        <v>4844835.0592986494</v>
      </c>
      <c r="V97" s="84">
        <f t="shared" si="187"/>
        <v>2730604.7756142761</v>
      </c>
      <c r="W97" s="84">
        <f t="shared" ref="W97" si="188">IF(W7=0,0,W7/W29*1000000)</f>
        <v>2614913.7037890498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72333973.134602353</v>
      </c>
      <c r="C98" s="84">
        <f t="shared" si="180"/>
        <v>30072396.743893187</v>
      </c>
      <c r="D98" s="84">
        <f t="shared" si="180"/>
        <v>45202182.443698049</v>
      </c>
      <c r="E98" s="84">
        <f t="shared" si="180"/>
        <v>36735268.316458598</v>
      </c>
      <c r="F98" s="84">
        <f t="shared" si="180"/>
        <v>45480324.104418807</v>
      </c>
      <c r="G98" s="84">
        <f t="shared" si="180"/>
        <v>35574327.872744113</v>
      </c>
      <c r="H98" s="84">
        <f t="shared" si="180"/>
        <v>3884036.1585839759</v>
      </c>
      <c r="I98" s="84">
        <f t="shared" si="180"/>
        <v>27867236.628990147</v>
      </c>
      <c r="J98" s="84">
        <f t="shared" si="180"/>
        <v>26780117.092815436</v>
      </c>
      <c r="K98" s="84">
        <f t="shared" ref="K98:V98" si="189">IF(K8=0,0,K8/K30*1000000)</f>
        <v>23052860.264374372</v>
      </c>
      <c r="L98" s="84">
        <f t="shared" si="189"/>
        <v>2052326.9086160795</v>
      </c>
      <c r="M98" s="84">
        <f t="shared" si="189"/>
        <v>1557436.8047508169</v>
      </c>
      <c r="N98" s="84">
        <f t="shared" si="189"/>
        <v>13594095.389217813</v>
      </c>
      <c r="O98" s="84">
        <f t="shared" si="189"/>
        <v>28509581.757642452</v>
      </c>
      <c r="P98" s="84">
        <f t="shared" si="189"/>
        <v>8302498.9771028822</v>
      </c>
      <c r="Q98" s="84">
        <f t="shared" si="189"/>
        <v>7885241.6642552689</v>
      </c>
      <c r="R98" s="84">
        <f t="shared" si="189"/>
        <v>5847976.3482586602</v>
      </c>
      <c r="S98" s="84">
        <f t="shared" si="189"/>
        <v>5525543.00517275</v>
      </c>
      <c r="T98" s="84">
        <f t="shared" si="189"/>
        <v>6417030.8256622637</v>
      </c>
      <c r="U98" s="84">
        <f t="shared" si="189"/>
        <v>17487103.435543615</v>
      </c>
      <c r="V98" s="84">
        <f t="shared" si="189"/>
        <v>8955718.5679940227</v>
      </c>
      <c r="W98" s="84">
        <f t="shared" ref="W98" si="190">IF(W8=0,0,W8/W30*1000000)</f>
        <v>10223839.465938143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" si="192">IF(W9=0,0,W9/W31*1000000)</f>
        <v>0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119246696.00079533</v>
      </c>
      <c r="C100" s="28">
        <f t="shared" si="180"/>
        <v>110151855.92832939</v>
      </c>
      <c r="D100" s="28">
        <f t="shared" si="180"/>
        <v>96468913.261466444</v>
      </c>
      <c r="E100" s="28">
        <f t="shared" si="180"/>
        <v>106875242.13922046</v>
      </c>
      <c r="F100" s="28">
        <f t="shared" si="180"/>
        <v>107134584.20199212</v>
      </c>
      <c r="G100" s="28">
        <f t="shared" si="180"/>
        <v>118621896.0926373</v>
      </c>
      <c r="H100" s="28">
        <f t="shared" si="180"/>
        <v>134485247.55747771</v>
      </c>
      <c r="I100" s="28">
        <f t="shared" si="180"/>
        <v>131007806.18250155</v>
      </c>
      <c r="J100" s="28">
        <f t="shared" si="180"/>
        <v>95267496.221116588</v>
      </c>
      <c r="K100" s="28">
        <f t="shared" ref="K100:V100" si="193">IF(K10=0,0,K10/K32*1000000)</f>
        <v>69940941.716768831</v>
      </c>
      <c r="L100" s="28">
        <f t="shared" si="193"/>
        <v>81494043.303067729</v>
      </c>
      <c r="M100" s="28">
        <f t="shared" si="193"/>
        <v>49050940.935002908</v>
      </c>
      <c r="N100" s="28">
        <f t="shared" si="193"/>
        <v>41506963.85652788</v>
      </c>
      <c r="O100" s="28">
        <f t="shared" si="193"/>
        <v>36687005.509087928</v>
      </c>
      <c r="P100" s="28">
        <f t="shared" si="193"/>
        <v>50052015.47074002</v>
      </c>
      <c r="Q100" s="28">
        <f t="shared" si="193"/>
        <v>49724124.132385917</v>
      </c>
      <c r="R100" s="28">
        <f t="shared" si="193"/>
        <v>45728334.446236178</v>
      </c>
      <c r="S100" s="28">
        <f t="shared" si="193"/>
        <v>63631039.505455293</v>
      </c>
      <c r="T100" s="28">
        <f t="shared" si="193"/>
        <v>71661697.771005034</v>
      </c>
      <c r="U100" s="28">
        <f t="shared" si="193"/>
        <v>67497736.557571441</v>
      </c>
      <c r="V100" s="28">
        <f t="shared" si="193"/>
        <v>65599114.943832971</v>
      </c>
      <c r="W100" s="28">
        <f t="shared" ref="W100" si="194">IF(W10=0,0,W10/W32*1000000)</f>
        <v>71336887.835703015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121160487.10719045</v>
      </c>
      <c r="C101" s="84">
        <f t="shared" si="180"/>
        <v>118086023.12489954</v>
      </c>
      <c r="D101" s="84">
        <f t="shared" si="180"/>
        <v>100960271.06008899</v>
      </c>
      <c r="E101" s="84">
        <f t="shared" si="180"/>
        <v>102268067.27555634</v>
      </c>
      <c r="F101" s="84">
        <f t="shared" si="180"/>
        <v>101947694.87420225</v>
      </c>
      <c r="G101" s="84">
        <f t="shared" si="180"/>
        <v>123074298.96681161</v>
      </c>
      <c r="H101" s="84">
        <f t="shared" si="180"/>
        <v>148407275.58161789</v>
      </c>
      <c r="I101" s="84">
        <f t="shared" si="180"/>
        <v>156040416.88641262</v>
      </c>
      <c r="J101" s="84">
        <f t="shared" si="180"/>
        <v>101231479.51673338</v>
      </c>
      <c r="K101" s="84">
        <f t="shared" ref="K101:V101" si="195">IF(K11=0,0,K11/K33*1000000)</f>
        <v>71269178.365826681</v>
      </c>
      <c r="L101" s="84">
        <f t="shared" si="195"/>
        <v>86709370.946465924</v>
      </c>
      <c r="M101" s="84">
        <f t="shared" si="195"/>
        <v>43482555.146156818</v>
      </c>
      <c r="N101" s="84">
        <f t="shared" si="195"/>
        <v>31382726.843779661</v>
      </c>
      <c r="O101" s="84">
        <f t="shared" si="195"/>
        <v>22295518.728603538</v>
      </c>
      <c r="P101" s="84">
        <f t="shared" si="195"/>
        <v>34458105.428971238</v>
      </c>
      <c r="Q101" s="84">
        <f t="shared" si="195"/>
        <v>33889395.153237931</v>
      </c>
      <c r="R101" s="84">
        <f t="shared" si="195"/>
        <v>31822257.902672593</v>
      </c>
      <c r="S101" s="84">
        <f t="shared" si="195"/>
        <v>47531124.48596146</v>
      </c>
      <c r="T101" s="84">
        <f t="shared" si="195"/>
        <v>56058183.960016489</v>
      </c>
      <c r="U101" s="84">
        <f t="shared" si="195"/>
        <v>42229990.786332399</v>
      </c>
      <c r="V101" s="84">
        <f t="shared" si="195"/>
        <v>44940127.122157462</v>
      </c>
      <c r="W101" s="84">
        <f t="shared" ref="W101" si="196">IF(W11=0,0,W11/W33*1000000)</f>
        <v>44105454.778292552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113646840.96034892</v>
      </c>
      <c r="C102" s="86">
        <f t="shared" si="180"/>
        <v>91966240.668707862</v>
      </c>
      <c r="D102" s="86">
        <f t="shared" si="180"/>
        <v>85046947.812972307</v>
      </c>
      <c r="E102" s="86">
        <f t="shared" si="180"/>
        <v>123330300.55307652</v>
      </c>
      <c r="F102" s="86">
        <f t="shared" si="180"/>
        <v>125726684.32183698</v>
      </c>
      <c r="G102" s="86">
        <f t="shared" si="180"/>
        <v>102422545.71801133</v>
      </c>
      <c r="H102" s="86">
        <f t="shared" si="180"/>
        <v>81411803.755386278</v>
      </c>
      <c r="I102" s="86">
        <f t="shared" si="180"/>
        <v>75820042.841214508</v>
      </c>
      <c r="J102" s="86">
        <f t="shared" si="180"/>
        <v>75302207.90287593</v>
      </c>
      <c r="K102" s="86">
        <f t="shared" ref="K102:V102" si="197">IF(K12=0,0,K12/K34*1000000)</f>
        <v>65466207.575905852</v>
      </c>
      <c r="L102" s="86">
        <f t="shared" si="197"/>
        <v>63801163.643856414</v>
      </c>
      <c r="M102" s="86">
        <f t="shared" si="197"/>
        <v>68087418.795129552</v>
      </c>
      <c r="N102" s="86">
        <f t="shared" si="197"/>
        <v>76415146.292679146</v>
      </c>
      <c r="O102" s="86">
        <f t="shared" si="197"/>
        <v>86783785.227172896</v>
      </c>
      <c r="P102" s="86">
        <f t="shared" si="197"/>
        <v>100732108.44624798</v>
      </c>
      <c r="Q102" s="86">
        <f t="shared" si="197"/>
        <v>99454254.100666076</v>
      </c>
      <c r="R102" s="86">
        <f t="shared" si="197"/>
        <v>89604921.527058065</v>
      </c>
      <c r="S102" s="86">
        <f t="shared" si="197"/>
        <v>101600290.38397199</v>
      </c>
      <c r="T102" s="86">
        <f t="shared" si="197"/>
        <v>100269298.08213562</v>
      </c>
      <c r="U102" s="86">
        <f t="shared" si="197"/>
        <v>89883050.27154161</v>
      </c>
      <c r="V102" s="86">
        <f t="shared" si="197"/>
        <v>77855080.645656154</v>
      </c>
      <c r="W102" s="86">
        <f t="shared" ref="W102" si="198">IF(W12=0,0,W12/W34*1000000)</f>
        <v>86381802.572658718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0.38686605981794536</v>
      </c>
      <c r="C106" s="123">
        <f t="shared" si="199"/>
        <v>0.43223919402014949</v>
      </c>
      <c r="D106" s="123">
        <f t="shared" si="199"/>
        <v>0.42372881355932202</v>
      </c>
      <c r="E106" s="123">
        <f t="shared" si="199"/>
        <v>0.47074646940147946</v>
      </c>
      <c r="F106" s="123">
        <f t="shared" si="199"/>
        <v>0.47348484848484851</v>
      </c>
      <c r="G106" s="123">
        <f t="shared" si="199"/>
        <v>0.44722719141323791</v>
      </c>
      <c r="H106" s="123">
        <f t="shared" si="199"/>
        <v>0.46117227015769119</v>
      </c>
      <c r="I106" s="123">
        <f t="shared" si="199"/>
        <v>0.45325779036827196</v>
      </c>
      <c r="J106" s="123">
        <f t="shared" si="199"/>
        <v>0.50045221585770272</v>
      </c>
      <c r="K106" s="123">
        <f t="shared" ref="K106:V106" si="202">IF(K5=0,0,K5/K$4)</f>
        <v>0.5325047801147228</v>
      </c>
      <c r="L106" s="123">
        <f t="shared" si="202"/>
        <v>0.55035306037961851</v>
      </c>
      <c r="M106" s="123">
        <f t="shared" si="202"/>
        <v>0.6360987275768254</v>
      </c>
      <c r="N106" s="123">
        <f t="shared" si="202"/>
        <v>0.6673848396374612</v>
      </c>
      <c r="O106" s="123">
        <f t="shared" si="202"/>
        <v>0.61176620407411686</v>
      </c>
      <c r="P106" s="123">
        <f t="shared" si="202"/>
        <v>0.60793908403294705</v>
      </c>
      <c r="Q106" s="123">
        <f t="shared" si="202"/>
        <v>0.56995542591300474</v>
      </c>
      <c r="R106" s="123">
        <f t="shared" si="202"/>
        <v>0.58113976404600298</v>
      </c>
      <c r="S106" s="123">
        <f t="shared" si="202"/>
        <v>0.60293487977428561</v>
      </c>
      <c r="T106" s="123">
        <f t="shared" si="202"/>
        <v>0.60563873218804398</v>
      </c>
      <c r="U106" s="123">
        <f t="shared" si="202"/>
        <v>0.57267707290961289</v>
      </c>
      <c r="V106" s="123">
        <f t="shared" si="202"/>
        <v>0.62972820621432735</v>
      </c>
      <c r="W106" s="123">
        <f t="shared" ref="W106" si="203">IF(W5=0,0,W5/W$4)</f>
        <v>0.6328944578582627</v>
      </c>
      <c r="DA106" s="203"/>
    </row>
    <row r="107" spans="1:105" ht="11.45" customHeight="1" x14ac:dyDescent="0.25">
      <c r="A107" s="109" t="s">
        <v>24</v>
      </c>
      <c r="B107" s="124">
        <f t="shared" si="199"/>
        <v>0.61313394018205458</v>
      </c>
      <c r="C107" s="124">
        <f t="shared" si="199"/>
        <v>0.56776080597985046</v>
      </c>
      <c r="D107" s="124">
        <f t="shared" si="199"/>
        <v>0.57627118644067798</v>
      </c>
      <c r="E107" s="124">
        <f t="shared" si="199"/>
        <v>0.52925353059852054</v>
      </c>
      <c r="F107" s="124">
        <f t="shared" si="199"/>
        <v>0.52651515151515149</v>
      </c>
      <c r="G107" s="124">
        <f t="shared" si="199"/>
        <v>0.55277280858676203</v>
      </c>
      <c r="H107" s="124">
        <f t="shared" si="199"/>
        <v>0.53882772984230887</v>
      </c>
      <c r="I107" s="124">
        <f t="shared" si="199"/>
        <v>0.54674220963172804</v>
      </c>
      <c r="J107" s="124">
        <f t="shared" si="199"/>
        <v>0.49954778414229728</v>
      </c>
      <c r="K107" s="124">
        <f t="shared" ref="K107:V107" si="204">IF(K6=0,0,K6/K$4)</f>
        <v>0.46749521988527726</v>
      </c>
      <c r="L107" s="124">
        <f t="shared" si="204"/>
        <v>0.44964693962038149</v>
      </c>
      <c r="M107" s="124">
        <f t="shared" si="204"/>
        <v>0.36390127242317449</v>
      </c>
      <c r="N107" s="124">
        <f t="shared" si="204"/>
        <v>0.33261516036253891</v>
      </c>
      <c r="O107" s="124">
        <f t="shared" si="204"/>
        <v>0.3882337959258832</v>
      </c>
      <c r="P107" s="124">
        <f t="shared" si="204"/>
        <v>0.39206091596705306</v>
      </c>
      <c r="Q107" s="124">
        <f t="shared" si="204"/>
        <v>0.43004457408699526</v>
      </c>
      <c r="R107" s="124">
        <f t="shared" si="204"/>
        <v>0.41886023595399696</v>
      </c>
      <c r="S107" s="124">
        <f t="shared" si="204"/>
        <v>0.39706512022571444</v>
      </c>
      <c r="T107" s="124">
        <f t="shared" si="204"/>
        <v>0.39436126781195591</v>
      </c>
      <c r="U107" s="124">
        <f t="shared" si="204"/>
        <v>0.42732292709038716</v>
      </c>
      <c r="V107" s="124">
        <f t="shared" si="204"/>
        <v>0.3702717937856726</v>
      </c>
      <c r="W107" s="124">
        <f t="shared" ref="W107" si="205">IF(W6=0,0,W6/W$4)</f>
        <v>0.36710554214173724</v>
      </c>
      <c r="DA107" s="176"/>
    </row>
    <row r="108" spans="1:105" ht="11.45" customHeight="1" x14ac:dyDescent="0.25">
      <c r="A108" s="111" t="s">
        <v>92</v>
      </c>
      <c r="B108" s="125">
        <f t="shared" si="199"/>
        <v>0.45978394182663807</v>
      </c>
      <c r="C108" s="125">
        <f t="shared" si="199"/>
        <v>0.50177493075882995</v>
      </c>
      <c r="D108" s="125">
        <f t="shared" si="199"/>
        <v>0.48973244522967069</v>
      </c>
      <c r="E108" s="125">
        <f t="shared" si="199"/>
        <v>0.46196625357703219</v>
      </c>
      <c r="F108" s="125">
        <f t="shared" si="199"/>
        <v>0.45767307221677045</v>
      </c>
      <c r="G108" s="125">
        <f t="shared" si="199"/>
        <v>0.50882803440454971</v>
      </c>
      <c r="H108" s="125">
        <f t="shared" si="199"/>
        <v>0.53479339616075161</v>
      </c>
      <c r="I108" s="125">
        <f t="shared" si="199"/>
        <v>0.5137363098291613</v>
      </c>
      <c r="J108" s="125">
        <f t="shared" si="199"/>
        <v>0.42863443776030935</v>
      </c>
      <c r="K108" s="125">
        <f t="shared" ref="K108:V108" si="206">IF(K7=0,0,K7/K$4)</f>
        <v>0.40776020464842161</v>
      </c>
      <c r="L108" s="125">
        <f t="shared" si="206"/>
        <v>0.44465640754912311</v>
      </c>
      <c r="M108" s="125">
        <f t="shared" si="206"/>
        <v>0.35986241257386076</v>
      </c>
      <c r="N108" s="125">
        <f t="shared" si="206"/>
        <v>0.29905701344825508</v>
      </c>
      <c r="O108" s="125">
        <f t="shared" si="206"/>
        <v>0.26601242232524835</v>
      </c>
      <c r="P108" s="125">
        <f t="shared" si="206"/>
        <v>0.2997678017688713</v>
      </c>
      <c r="Q108" s="125">
        <f t="shared" si="206"/>
        <v>0.32441748661715802</v>
      </c>
      <c r="R108" s="125">
        <f t="shared" si="206"/>
        <v>0.33935614006403564</v>
      </c>
      <c r="S108" s="125">
        <f t="shared" si="206"/>
        <v>0.32201690388765819</v>
      </c>
      <c r="T108" s="125">
        <f t="shared" si="206"/>
        <v>0.30726348822280142</v>
      </c>
      <c r="U108" s="125">
        <f t="shared" si="206"/>
        <v>0.17730822461643395</v>
      </c>
      <c r="V108" s="125">
        <f t="shared" si="206"/>
        <v>0.15661208227624743</v>
      </c>
      <c r="W108" s="125">
        <f t="shared" ref="W108" si="207">IF(W7=0,0,W7/W$4)</f>
        <v>0.13384008031384126</v>
      </c>
      <c r="DA108" s="171"/>
    </row>
    <row r="109" spans="1:105" ht="11.45" customHeight="1" x14ac:dyDescent="0.25">
      <c r="A109" s="111" t="s">
        <v>93</v>
      </c>
      <c r="B109" s="125">
        <f t="shared" si="199"/>
        <v>0.15334999835541657</v>
      </c>
      <c r="C109" s="125">
        <f t="shared" si="199"/>
        <v>6.5985875221020604E-2</v>
      </c>
      <c r="D109" s="125">
        <f t="shared" si="199"/>
        <v>8.6538741211007256E-2</v>
      </c>
      <c r="E109" s="125">
        <f t="shared" si="199"/>
        <v>6.7287277021488318E-2</v>
      </c>
      <c r="F109" s="125">
        <f t="shared" si="199"/>
        <v>6.8842079298381084E-2</v>
      </c>
      <c r="G109" s="125">
        <f t="shared" si="199"/>
        <v>4.3944774182212348E-2</v>
      </c>
      <c r="H109" s="125">
        <f t="shared" si="199"/>
        <v>4.0343336815572327E-3</v>
      </c>
      <c r="I109" s="125">
        <f t="shared" si="199"/>
        <v>3.3005899802566754E-2</v>
      </c>
      <c r="J109" s="125">
        <f t="shared" si="199"/>
        <v>7.091334638198793E-2</v>
      </c>
      <c r="K109" s="125">
        <f t="shared" ref="K109:V109" si="208">IF(K8=0,0,K8/K$4)</f>
        <v>5.9735015236855649E-2</v>
      </c>
      <c r="L109" s="125">
        <f t="shared" si="208"/>
        <v>4.9905320712583454E-3</v>
      </c>
      <c r="M109" s="125">
        <f t="shared" si="208"/>
        <v>4.0388598493137466E-3</v>
      </c>
      <c r="N109" s="125">
        <f t="shared" si="208"/>
        <v>3.3558146914283798E-2</v>
      </c>
      <c r="O109" s="125">
        <f t="shared" si="208"/>
        <v>0.12222137360063486</v>
      </c>
      <c r="P109" s="125">
        <f t="shared" si="208"/>
        <v>9.2293114198181744E-2</v>
      </c>
      <c r="Q109" s="125">
        <f t="shared" si="208"/>
        <v>0.10562708746983727</v>
      </c>
      <c r="R109" s="125">
        <f t="shared" si="208"/>
        <v>7.9504095889961324E-2</v>
      </c>
      <c r="S109" s="125">
        <f t="shared" si="208"/>
        <v>7.5048216338056292E-2</v>
      </c>
      <c r="T109" s="125">
        <f t="shared" si="208"/>
        <v>8.7097779589154475E-2</v>
      </c>
      <c r="U109" s="125">
        <f t="shared" si="208"/>
        <v>0.25001470247395324</v>
      </c>
      <c r="V109" s="125">
        <f t="shared" si="208"/>
        <v>0.2136597115094252</v>
      </c>
      <c r="W109" s="125">
        <f t="shared" ref="W109" si="209">IF(W8=0,0,W8/W$4)</f>
        <v>0.23326546182789598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" si="211">IF(W9=0,0,W9/W$4)</f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0.75725247692351361</v>
      </c>
      <c r="C112" s="125">
        <f t="shared" si="212"/>
        <v>0.74638881238709209</v>
      </c>
      <c r="D112" s="125">
        <f t="shared" si="212"/>
        <v>0.75117837885775518</v>
      </c>
      <c r="E112" s="125">
        <f t="shared" si="212"/>
        <v>0.74758046887262619</v>
      </c>
      <c r="F112" s="125">
        <f t="shared" si="212"/>
        <v>0.74401686032608882</v>
      </c>
      <c r="G112" s="125">
        <f t="shared" si="212"/>
        <v>0.81384777503590877</v>
      </c>
      <c r="H112" s="125">
        <f t="shared" si="212"/>
        <v>0.87420314492137696</v>
      </c>
      <c r="I112" s="125">
        <f t="shared" si="212"/>
        <v>0.81940392214794833</v>
      </c>
      <c r="J112" s="125">
        <f t="shared" si="212"/>
        <v>0.81819364490844626</v>
      </c>
      <c r="K112" s="125">
        <f t="shared" ref="K112:V112" si="215">IF(K11=0,0,K11/K$10)</f>
        <v>0.7857549570121245</v>
      </c>
      <c r="L112" s="125">
        <f t="shared" si="215"/>
        <v>0.82176490298741878</v>
      </c>
      <c r="M112" s="125">
        <f t="shared" si="215"/>
        <v>0.68585664234962818</v>
      </c>
      <c r="N112" s="125">
        <f t="shared" si="215"/>
        <v>0.58609992527845889</v>
      </c>
      <c r="O112" s="125">
        <f t="shared" si="215"/>
        <v>0.47210045946035983</v>
      </c>
      <c r="P112" s="125">
        <f t="shared" si="215"/>
        <v>0.52645835819418829</v>
      </c>
      <c r="Q112" s="125">
        <f t="shared" si="215"/>
        <v>0.51694595191620296</v>
      </c>
      <c r="R112" s="125">
        <f t="shared" si="215"/>
        <v>0.52842199791323108</v>
      </c>
      <c r="S112" s="125">
        <f t="shared" si="215"/>
        <v>0.52455548135463304</v>
      </c>
      <c r="T112" s="125">
        <f t="shared" si="215"/>
        <v>0.50617641028440097</v>
      </c>
      <c r="U112" s="125">
        <f t="shared" si="215"/>
        <v>0.29390310420665927</v>
      </c>
      <c r="V112" s="125">
        <f t="shared" si="215"/>
        <v>0.25508833983876994</v>
      </c>
      <c r="W112" s="125">
        <f t="shared" ref="W112" si="216">IF(W11=0,0,W11/W$10)</f>
        <v>0.22002418174033253</v>
      </c>
      <c r="DA112" s="171"/>
    </row>
    <row r="113" spans="1:105" ht="11.45" customHeight="1" x14ac:dyDescent="0.25">
      <c r="A113" s="85" t="s">
        <v>93</v>
      </c>
      <c r="B113" s="127">
        <f t="shared" si="212"/>
        <v>0.24274752307648637</v>
      </c>
      <c r="C113" s="127">
        <f t="shared" si="212"/>
        <v>0.25361118761290785</v>
      </c>
      <c r="D113" s="127">
        <f t="shared" si="212"/>
        <v>0.24882162114224482</v>
      </c>
      <c r="E113" s="127">
        <f t="shared" si="212"/>
        <v>0.25241953112737381</v>
      </c>
      <c r="F113" s="127">
        <f t="shared" si="212"/>
        <v>0.25598313967391118</v>
      </c>
      <c r="G113" s="127">
        <f t="shared" si="212"/>
        <v>0.18615222496409126</v>
      </c>
      <c r="H113" s="127">
        <f t="shared" si="212"/>
        <v>0.12579685507862304</v>
      </c>
      <c r="I113" s="127">
        <f t="shared" si="212"/>
        <v>0.18059607785205162</v>
      </c>
      <c r="J113" s="127">
        <f t="shared" si="212"/>
        <v>0.18180635509155371</v>
      </c>
      <c r="K113" s="127">
        <f t="shared" ref="K113:V113" si="217">IF(K12=0,0,K12/K$10)</f>
        <v>0.21424504298787547</v>
      </c>
      <c r="L113" s="127">
        <f t="shared" si="217"/>
        <v>0.17823509701258122</v>
      </c>
      <c r="M113" s="127">
        <f t="shared" si="217"/>
        <v>0.31414335765037182</v>
      </c>
      <c r="N113" s="127">
        <f t="shared" si="217"/>
        <v>0.41390007472154111</v>
      </c>
      <c r="O113" s="127">
        <f t="shared" si="217"/>
        <v>0.52789954053964017</v>
      </c>
      <c r="P113" s="127">
        <f t="shared" si="217"/>
        <v>0.47354164180581176</v>
      </c>
      <c r="Q113" s="127">
        <f t="shared" si="217"/>
        <v>0.48305404808379709</v>
      </c>
      <c r="R113" s="127">
        <f t="shared" si="217"/>
        <v>0.47157800208676887</v>
      </c>
      <c r="S113" s="127">
        <f t="shared" si="217"/>
        <v>0.47544451864536696</v>
      </c>
      <c r="T113" s="127">
        <f t="shared" si="217"/>
        <v>0.49382358971559903</v>
      </c>
      <c r="U113" s="127">
        <f t="shared" si="217"/>
        <v>0.70609689579334067</v>
      </c>
      <c r="V113" s="127">
        <f t="shared" si="217"/>
        <v>0.74491166016123012</v>
      </c>
      <c r="W113" s="127">
        <f t="shared" ref="W113" si="218">IF(W12=0,0,W12/W$10)</f>
        <v>0.77997581825966755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0.51481175641922805</v>
      </c>
      <c r="C117" s="123">
        <f t="shared" si="219"/>
        <v>0.53049304940077768</v>
      </c>
      <c r="D117" s="123">
        <f t="shared" si="219"/>
        <v>0.52683553157637775</v>
      </c>
      <c r="E117" s="123">
        <f t="shared" si="219"/>
        <v>0.53369127087430612</v>
      </c>
      <c r="F117" s="123">
        <f t="shared" si="219"/>
        <v>0.55429719027070834</v>
      </c>
      <c r="G117" s="123">
        <f t="shared" si="219"/>
        <v>0.38083192034463043</v>
      </c>
      <c r="H117" s="123">
        <f t="shared" si="219"/>
        <v>0.50580670628135704</v>
      </c>
      <c r="I117" s="123">
        <f t="shared" si="219"/>
        <v>0.57455829516393531</v>
      </c>
      <c r="J117" s="123">
        <f t="shared" si="219"/>
        <v>0.48018389473910056</v>
      </c>
      <c r="K117" s="123">
        <f t="shared" ref="K117:V117" si="222">IF(K16=0,0,K16/K$15)</f>
        <v>0.54596355200884661</v>
      </c>
      <c r="L117" s="123">
        <f t="shared" si="222"/>
        <v>0.53920594626376517</v>
      </c>
      <c r="M117" s="123">
        <f t="shared" si="222"/>
        <v>0.6567766297504154</v>
      </c>
      <c r="N117" s="123">
        <f t="shared" si="222"/>
        <v>0.48811407820837166</v>
      </c>
      <c r="O117" s="123">
        <f t="shared" si="222"/>
        <v>0.64452282969832952</v>
      </c>
      <c r="P117" s="123">
        <f t="shared" si="222"/>
        <v>0.48989404849110418</v>
      </c>
      <c r="Q117" s="123">
        <f t="shared" si="222"/>
        <v>0.46214613241570163</v>
      </c>
      <c r="R117" s="123">
        <f t="shared" si="222"/>
        <v>0.46978839381799986</v>
      </c>
      <c r="S117" s="123">
        <f t="shared" si="222"/>
        <v>0.48976163757543872</v>
      </c>
      <c r="T117" s="123">
        <f t="shared" si="222"/>
        <v>0.49161446315426971</v>
      </c>
      <c r="U117" s="123">
        <f t="shared" si="222"/>
        <v>0.64273997209007194</v>
      </c>
      <c r="V117" s="123">
        <f t="shared" si="222"/>
        <v>0.72866614712793787</v>
      </c>
      <c r="W117" s="123">
        <f t="shared" ref="W117" si="223">IF(W16=0,0,W16/W$15)</f>
        <v>0.6977787160073603</v>
      </c>
      <c r="DA117" s="203"/>
    </row>
    <row r="118" spans="1:105" ht="11.45" customHeight="1" x14ac:dyDescent="0.25">
      <c r="A118" s="109" t="s">
        <v>24</v>
      </c>
      <c r="B118" s="124">
        <f t="shared" si="219"/>
        <v>0.48518824358077195</v>
      </c>
      <c r="C118" s="124">
        <f t="shared" si="219"/>
        <v>0.46950695059922232</v>
      </c>
      <c r="D118" s="124">
        <f t="shared" si="219"/>
        <v>0.47316446842362225</v>
      </c>
      <c r="E118" s="124">
        <f t="shared" si="219"/>
        <v>0.46630872912569393</v>
      </c>
      <c r="F118" s="124">
        <f t="shared" si="219"/>
        <v>0.44570280972929166</v>
      </c>
      <c r="G118" s="124">
        <f t="shared" si="219"/>
        <v>0.61916807965536969</v>
      </c>
      <c r="H118" s="124">
        <f t="shared" si="219"/>
        <v>0.49419329371864301</v>
      </c>
      <c r="I118" s="124">
        <f t="shared" si="219"/>
        <v>0.42544170483606464</v>
      </c>
      <c r="J118" s="124">
        <f t="shared" si="219"/>
        <v>0.5198161052608995</v>
      </c>
      <c r="K118" s="124">
        <f t="shared" ref="K118:V118" si="224">IF(K17=0,0,K17/K$15)</f>
        <v>0.45403644799115339</v>
      </c>
      <c r="L118" s="124">
        <f t="shared" si="224"/>
        <v>0.46079405373623478</v>
      </c>
      <c r="M118" s="124">
        <f t="shared" si="224"/>
        <v>0.34322337024958466</v>
      </c>
      <c r="N118" s="124">
        <f t="shared" si="224"/>
        <v>0.5118859217916284</v>
      </c>
      <c r="O118" s="124">
        <f t="shared" si="224"/>
        <v>0.35547717030167048</v>
      </c>
      <c r="P118" s="124">
        <f t="shared" si="224"/>
        <v>0.51010595150889571</v>
      </c>
      <c r="Q118" s="124">
        <f t="shared" si="224"/>
        <v>0.53785386758429832</v>
      </c>
      <c r="R118" s="124">
        <f t="shared" si="224"/>
        <v>0.53021160618200014</v>
      </c>
      <c r="S118" s="124">
        <f t="shared" si="224"/>
        <v>0.51023836242456122</v>
      </c>
      <c r="T118" s="124">
        <f t="shared" si="224"/>
        <v>0.50838553684573029</v>
      </c>
      <c r="U118" s="124">
        <f t="shared" si="224"/>
        <v>0.35726002790992806</v>
      </c>
      <c r="V118" s="124">
        <f t="shared" si="224"/>
        <v>0.27133385287206213</v>
      </c>
      <c r="W118" s="124">
        <f t="shared" ref="W118" si="225">IF(W17=0,0,W17/W$15)</f>
        <v>0.30222128399263964</v>
      </c>
      <c r="DA118" s="176"/>
    </row>
    <row r="119" spans="1:105" ht="11.45" customHeight="1" x14ac:dyDescent="0.25">
      <c r="A119" s="111" t="s">
        <v>92</v>
      </c>
      <c r="B119" s="125">
        <f t="shared" si="219"/>
        <v>0.44899871020304294</v>
      </c>
      <c r="C119" s="125">
        <f t="shared" si="219"/>
        <v>0.4349624399134211</v>
      </c>
      <c r="D119" s="125">
        <f t="shared" si="219"/>
        <v>0.44390479779329894</v>
      </c>
      <c r="E119" s="125">
        <f t="shared" si="219"/>
        <v>0.44080247592610733</v>
      </c>
      <c r="F119" s="125">
        <f t="shared" si="219"/>
        <v>0.42578183834211836</v>
      </c>
      <c r="G119" s="125">
        <f t="shared" si="219"/>
        <v>0.60322493627097362</v>
      </c>
      <c r="H119" s="125">
        <f t="shared" si="219"/>
        <v>0.49309328708929789</v>
      </c>
      <c r="I119" s="125">
        <f t="shared" si="219"/>
        <v>0.40663569155539009</v>
      </c>
      <c r="J119" s="125">
        <f t="shared" si="219"/>
        <v>0.47121129320657001</v>
      </c>
      <c r="K119" s="125">
        <f t="shared" ref="K119:V119" si="226">IF(K18=0,0,K18/K$15)</f>
        <v>0.41578917693723544</v>
      </c>
      <c r="L119" s="125">
        <f t="shared" si="226"/>
        <v>0.45503534715280836</v>
      </c>
      <c r="M119" s="125">
        <f t="shared" si="226"/>
        <v>0.33976856913604037</v>
      </c>
      <c r="N119" s="125">
        <f t="shared" si="226"/>
        <v>0.49186456529688205</v>
      </c>
      <c r="O119" s="125">
        <f t="shared" si="226"/>
        <v>0.28959415760180263</v>
      </c>
      <c r="P119" s="125">
        <f t="shared" si="226"/>
        <v>0.41086499085988493</v>
      </c>
      <c r="Q119" s="125">
        <f t="shared" si="226"/>
        <v>0.41069333916313178</v>
      </c>
      <c r="R119" s="125">
        <f t="shared" si="226"/>
        <v>0.4200293044619407</v>
      </c>
      <c r="S119" s="125">
        <f t="shared" si="226"/>
        <v>0.40528164488853696</v>
      </c>
      <c r="T119" s="125">
        <f t="shared" si="226"/>
        <v>0.38238812017125645</v>
      </c>
      <c r="U119" s="125">
        <f t="shared" si="226"/>
        <v>0.15010084715716954</v>
      </c>
      <c r="V119" s="125">
        <f t="shared" si="226"/>
        <v>0.11144864777600229</v>
      </c>
      <c r="W119" s="125">
        <f t="shared" ref="W119" si="227">IF(W18=0,0,W18/W$15)</f>
        <v>9.5838356677090439E-2</v>
      </c>
      <c r="DA119" s="171"/>
    </row>
    <row r="120" spans="1:105" ht="11.45" customHeight="1" x14ac:dyDescent="0.25">
      <c r="A120" s="111" t="s">
        <v>93</v>
      </c>
      <c r="B120" s="125">
        <f t="shared" si="219"/>
        <v>3.6189533377728976E-2</v>
      </c>
      <c r="C120" s="125">
        <f t="shared" si="219"/>
        <v>3.4544510685801194E-2</v>
      </c>
      <c r="D120" s="125">
        <f t="shared" si="219"/>
        <v>2.9259670630323323E-2</v>
      </c>
      <c r="E120" s="125">
        <f t="shared" si="219"/>
        <v>2.5506253199586583E-2</v>
      </c>
      <c r="F120" s="125">
        <f t="shared" si="219"/>
        <v>1.9920971387173348E-2</v>
      </c>
      <c r="G120" s="125">
        <f t="shared" si="219"/>
        <v>1.5943143384396043E-2</v>
      </c>
      <c r="H120" s="125">
        <f t="shared" si="219"/>
        <v>1.1000066293451259E-3</v>
      </c>
      <c r="I120" s="125">
        <f t="shared" si="219"/>
        <v>1.8806013280674549E-2</v>
      </c>
      <c r="J120" s="125">
        <f t="shared" si="219"/>
        <v>4.8604812054329483E-2</v>
      </c>
      <c r="K120" s="125">
        <f t="shared" ref="K120:V120" si="228">IF(K19=0,0,K19/K$15)</f>
        <v>3.8247271053917939E-2</v>
      </c>
      <c r="L120" s="125">
        <f t="shared" si="228"/>
        <v>5.7587065834264076E-3</v>
      </c>
      <c r="M120" s="125">
        <f t="shared" si="228"/>
        <v>3.4548011135442864E-3</v>
      </c>
      <c r="N120" s="125">
        <f t="shared" si="228"/>
        <v>2.002135649474638E-2</v>
      </c>
      <c r="O120" s="125">
        <f t="shared" si="228"/>
        <v>6.5883012699867849E-2</v>
      </c>
      <c r="P120" s="125">
        <f t="shared" si="228"/>
        <v>9.924096064901082E-2</v>
      </c>
      <c r="Q120" s="125">
        <f t="shared" si="228"/>
        <v>0.1271605284211666</v>
      </c>
      <c r="R120" s="125">
        <f t="shared" si="228"/>
        <v>0.11018230172005941</v>
      </c>
      <c r="S120" s="125">
        <f t="shared" si="228"/>
        <v>0.10495671753602429</v>
      </c>
      <c r="T120" s="125">
        <f t="shared" si="228"/>
        <v>0.12599741667447389</v>
      </c>
      <c r="U120" s="125">
        <f t="shared" si="228"/>
        <v>0.20715918075275852</v>
      </c>
      <c r="V120" s="125">
        <f t="shared" si="228"/>
        <v>0.15988520509605986</v>
      </c>
      <c r="W120" s="125">
        <f t="shared" ref="W120" si="229">IF(W19=0,0,W19/W$15)</f>
        <v>0.20638292731554919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" si="231">IF(W20=0,0,W20/W$15)</f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0.74529124278906989</v>
      </c>
      <c r="C123" s="125">
        <f t="shared" si="232"/>
        <v>0.6894956096904139</v>
      </c>
      <c r="D123" s="125">
        <f t="shared" si="232"/>
        <v>0.78865280877593857</v>
      </c>
      <c r="E123" s="125">
        <f t="shared" si="232"/>
        <v>0.78125901877879889</v>
      </c>
      <c r="F123" s="125">
        <f t="shared" si="232"/>
        <v>0.78187095129149231</v>
      </c>
      <c r="G123" s="125">
        <f t="shared" si="232"/>
        <v>0.84742267496062418</v>
      </c>
      <c r="H123" s="125">
        <f t="shared" si="232"/>
        <v>0.900177488282209</v>
      </c>
      <c r="I123" s="125">
        <f t="shared" si="232"/>
        <v>0.68795203203244892</v>
      </c>
      <c r="J123" s="125">
        <f t="shared" si="232"/>
        <v>0.8437640928592206</v>
      </c>
      <c r="K123" s="125">
        <f t="shared" ref="K123:V123" si="235">IF(K22=0,0,K22/K$21)</f>
        <v>0.73668320804698462</v>
      </c>
      <c r="L123" s="125">
        <f t="shared" si="235"/>
        <v>0.76389120025559909</v>
      </c>
      <c r="M123" s="125">
        <f t="shared" si="235"/>
        <v>0.59847074102420361</v>
      </c>
      <c r="N123" s="125">
        <f t="shared" si="235"/>
        <v>0.59924634007284838</v>
      </c>
      <c r="O123" s="125">
        <f t="shared" si="235"/>
        <v>0.47789194566867294</v>
      </c>
      <c r="P123" s="125">
        <f t="shared" si="235"/>
        <v>0.50240397996291464</v>
      </c>
      <c r="Q123" s="125">
        <f t="shared" si="235"/>
        <v>0.49288334082465052</v>
      </c>
      <c r="R123" s="125">
        <f t="shared" si="235"/>
        <v>0.50257337013032288</v>
      </c>
      <c r="S123" s="125">
        <f t="shared" si="235"/>
        <v>0.49501764281552885</v>
      </c>
      <c r="T123" s="125">
        <f t="shared" si="235"/>
        <v>0.4741988108837013</v>
      </c>
      <c r="U123" s="125">
        <f t="shared" si="235"/>
        <v>0.2251916421412212</v>
      </c>
      <c r="V123" s="125">
        <f t="shared" si="235"/>
        <v>0.18608693178143929</v>
      </c>
      <c r="W123" s="125">
        <f t="shared" ref="W123" si="236">IF(W22=0,0,W22/W$21)</f>
        <v>0.18492851011124137</v>
      </c>
      <c r="DA123" s="171"/>
    </row>
    <row r="124" spans="1:105" ht="11.45" customHeight="1" x14ac:dyDescent="0.25">
      <c r="A124" s="85" t="s">
        <v>93</v>
      </c>
      <c r="B124" s="127">
        <f t="shared" si="232"/>
        <v>0.25470875721093011</v>
      </c>
      <c r="C124" s="127">
        <f t="shared" si="232"/>
        <v>0.3105043903095861</v>
      </c>
      <c r="D124" s="127">
        <f t="shared" si="232"/>
        <v>0.21134719122406143</v>
      </c>
      <c r="E124" s="127">
        <f t="shared" si="232"/>
        <v>0.21874098122120111</v>
      </c>
      <c r="F124" s="127">
        <f t="shared" si="232"/>
        <v>0.21812904870850772</v>
      </c>
      <c r="G124" s="127">
        <f t="shared" si="232"/>
        <v>0.15257732503937577</v>
      </c>
      <c r="H124" s="127">
        <f t="shared" si="232"/>
        <v>9.9822511717790996E-2</v>
      </c>
      <c r="I124" s="127">
        <f t="shared" si="232"/>
        <v>0.31204796796755108</v>
      </c>
      <c r="J124" s="127">
        <f t="shared" si="232"/>
        <v>0.15623590714077942</v>
      </c>
      <c r="K124" s="127">
        <f t="shared" ref="K124:V124" si="237">IF(K23=0,0,K23/K$21)</f>
        <v>0.26331679195301538</v>
      </c>
      <c r="L124" s="127">
        <f t="shared" si="237"/>
        <v>0.23610879974440097</v>
      </c>
      <c r="M124" s="127">
        <f t="shared" si="237"/>
        <v>0.4015292589757965</v>
      </c>
      <c r="N124" s="127">
        <f t="shared" si="237"/>
        <v>0.40075365992715162</v>
      </c>
      <c r="O124" s="127">
        <f t="shared" si="237"/>
        <v>0.52210805433132712</v>
      </c>
      <c r="P124" s="127">
        <f t="shared" si="237"/>
        <v>0.49759602003708536</v>
      </c>
      <c r="Q124" s="127">
        <f t="shared" si="237"/>
        <v>0.50711665917534954</v>
      </c>
      <c r="R124" s="127">
        <f t="shared" si="237"/>
        <v>0.49742662986967712</v>
      </c>
      <c r="S124" s="127">
        <f t="shared" si="237"/>
        <v>0.50498235718447115</v>
      </c>
      <c r="T124" s="127">
        <f t="shared" si="237"/>
        <v>0.5258011891162987</v>
      </c>
      <c r="U124" s="127">
        <f t="shared" si="237"/>
        <v>0.77480835785877877</v>
      </c>
      <c r="V124" s="127">
        <f t="shared" si="237"/>
        <v>0.8139130682185608</v>
      </c>
      <c r="W124" s="127">
        <f t="shared" ref="W124" si="238">IF(W23=0,0,W23/W$21)</f>
        <v>0.81507148988875866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49.507996560619084</v>
      </c>
      <c r="C4" s="146">
        <f t="shared" ref="C4:V4" si="0">SUM(C5,C8)</f>
        <v>50.281857265692175</v>
      </c>
      <c r="D4" s="146">
        <f t="shared" si="0"/>
        <v>49.937919174548583</v>
      </c>
      <c r="E4" s="146">
        <f t="shared" si="0"/>
        <v>50.195872742906275</v>
      </c>
      <c r="F4" s="146">
        <f t="shared" si="0"/>
        <v>50.453826311263967</v>
      </c>
      <c r="G4" s="146">
        <f t="shared" si="0"/>
        <v>45.810662080825452</v>
      </c>
      <c r="H4" s="146">
        <f t="shared" si="0"/>
        <v>48.815305245055889</v>
      </c>
      <c r="I4" s="146">
        <f t="shared" si="0"/>
        <v>47.372656921754086</v>
      </c>
      <c r="J4" s="146">
        <f t="shared" si="0"/>
        <v>44.368013757523642</v>
      </c>
      <c r="K4" s="146">
        <f t="shared" si="0"/>
        <v>38.263112639724845</v>
      </c>
      <c r="L4" s="146">
        <f t="shared" si="0"/>
        <v>24.304987102321583</v>
      </c>
      <c r="M4" s="146">
        <f t="shared" si="0"/>
        <v>20.163370593293205</v>
      </c>
      <c r="N4" s="146">
        <f t="shared" si="0"/>
        <v>30.338177128116939</v>
      </c>
      <c r="O4" s="146">
        <f t="shared" si="0"/>
        <v>27.204557179707649</v>
      </c>
      <c r="P4" s="146">
        <f t="shared" si="0"/>
        <v>57.867583834909709</v>
      </c>
      <c r="Q4" s="146">
        <f t="shared" si="0"/>
        <v>58.985382631126384</v>
      </c>
      <c r="R4" s="146">
        <f t="shared" si="0"/>
        <v>56.47265692175408</v>
      </c>
      <c r="S4" s="146">
        <f t="shared" si="0"/>
        <v>55.471453138435074</v>
      </c>
      <c r="T4" s="146">
        <f t="shared" si="0"/>
        <v>54.645227858985379</v>
      </c>
      <c r="U4" s="146">
        <f t="shared" si="0"/>
        <v>26.521926053310409</v>
      </c>
      <c r="V4" s="146">
        <f t="shared" si="0"/>
        <v>20.74187446259673</v>
      </c>
      <c r="W4" s="146">
        <f t="shared" ref="W4" si="1">SUM(W5,W8)</f>
        <v>21.831040412725706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41.08151332760103</v>
      </c>
      <c r="C5" s="101">
        <f t="shared" ref="C5:V5" si="2">SUM(C6:C7)</f>
        <v>41.08151332760103</v>
      </c>
      <c r="D5" s="101">
        <f t="shared" si="2"/>
        <v>41.08151332760103</v>
      </c>
      <c r="E5" s="101">
        <f t="shared" si="2"/>
        <v>41.08151332760103</v>
      </c>
      <c r="F5" s="101">
        <f t="shared" si="2"/>
        <v>41.08151332760103</v>
      </c>
      <c r="G5" s="101">
        <f t="shared" si="2"/>
        <v>41.08151332760103</v>
      </c>
      <c r="H5" s="101">
        <f t="shared" si="2"/>
        <v>42.108512467755801</v>
      </c>
      <c r="I5" s="101">
        <f t="shared" si="2"/>
        <v>38.000343938091142</v>
      </c>
      <c r="J5" s="101">
        <f t="shared" si="2"/>
        <v>36.97334479793637</v>
      </c>
      <c r="K5" s="101">
        <f t="shared" si="2"/>
        <v>30.524505588993978</v>
      </c>
      <c r="L5" s="101">
        <f t="shared" si="2"/>
        <v>20.349699054170252</v>
      </c>
      <c r="M5" s="101">
        <f t="shared" si="2"/>
        <v>15.262252794496989</v>
      </c>
      <c r="N5" s="101">
        <f t="shared" si="2"/>
        <v>25.437059329320721</v>
      </c>
      <c r="O5" s="101">
        <f t="shared" si="2"/>
        <v>18.176182287188304</v>
      </c>
      <c r="P5" s="101">
        <f t="shared" si="2"/>
        <v>43.336199484092859</v>
      </c>
      <c r="Q5" s="101">
        <f t="shared" si="2"/>
        <v>43.336199484092859</v>
      </c>
      <c r="R5" s="101">
        <f t="shared" si="2"/>
        <v>42.457179707652621</v>
      </c>
      <c r="S5" s="101">
        <f t="shared" si="2"/>
        <v>41.384178847807384</v>
      </c>
      <c r="T5" s="101">
        <f t="shared" si="2"/>
        <v>39.27119518486672</v>
      </c>
      <c r="U5" s="101">
        <f t="shared" si="2"/>
        <v>10.849785038693039</v>
      </c>
      <c r="V5" s="101">
        <f t="shared" si="2"/>
        <v>7.4134135855545997</v>
      </c>
      <c r="W5" s="101">
        <f t="shared" ref="W5" si="3">SUM(W6:W7)</f>
        <v>6.7082545141874457</v>
      </c>
      <c r="DA5" s="175"/>
    </row>
    <row r="6" spans="1:105" ht="11.45" customHeight="1" x14ac:dyDescent="0.25">
      <c r="A6" s="164" t="s">
        <v>182</v>
      </c>
      <c r="B6" s="165">
        <v>41.08151332760103</v>
      </c>
      <c r="C6" s="165">
        <v>41.08151332760103</v>
      </c>
      <c r="D6" s="165">
        <v>41.08151332760103</v>
      </c>
      <c r="E6" s="165">
        <v>41.08151332760103</v>
      </c>
      <c r="F6" s="165">
        <v>41.08151332760103</v>
      </c>
      <c r="G6" s="165">
        <v>41.08151332760103</v>
      </c>
      <c r="H6" s="165">
        <v>42.108512467755801</v>
      </c>
      <c r="I6" s="165">
        <v>38.000343938091142</v>
      </c>
      <c r="J6" s="165">
        <v>36.97334479793637</v>
      </c>
      <c r="K6" s="165">
        <v>30.524505588993978</v>
      </c>
      <c r="L6" s="165">
        <v>20.349699054170252</v>
      </c>
      <c r="M6" s="165">
        <v>15.262252794496989</v>
      </c>
      <c r="N6" s="165">
        <v>25.437059329320721</v>
      </c>
      <c r="O6" s="165">
        <v>17.29724849527085</v>
      </c>
      <c r="P6" s="165">
        <v>40.699312123817712</v>
      </c>
      <c r="Q6" s="165">
        <v>40.699312123817712</v>
      </c>
      <c r="R6" s="165">
        <v>40.699312123817712</v>
      </c>
      <c r="S6" s="165">
        <v>39.706276870163357</v>
      </c>
      <c r="T6" s="165">
        <v>37.620550300945823</v>
      </c>
      <c r="U6" s="165">
        <v>10.849785038693039</v>
      </c>
      <c r="V6" s="165">
        <v>7.4134135855545997</v>
      </c>
      <c r="W6" s="165">
        <v>6.7082545141874457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0.8789337919174548</v>
      </c>
      <c r="P7" s="167">
        <v>2.6368873602751499</v>
      </c>
      <c r="Q7" s="167">
        <v>2.6368873602751499</v>
      </c>
      <c r="R7" s="167">
        <v>1.75786758383491</v>
      </c>
      <c r="S7" s="167">
        <v>1.677901977644024</v>
      </c>
      <c r="T7" s="167">
        <v>1.650644883920894</v>
      </c>
      <c r="U7" s="167">
        <v>0</v>
      </c>
      <c r="V7" s="167">
        <v>0</v>
      </c>
      <c r="W7" s="167">
        <v>0</v>
      </c>
      <c r="DA7" s="177" t="s">
        <v>1103</v>
      </c>
    </row>
    <row r="8" spans="1:105" ht="11.45" customHeight="1" x14ac:dyDescent="0.25">
      <c r="A8" s="85" t="s">
        <v>91</v>
      </c>
      <c r="B8" s="88">
        <v>8.4264832330180557</v>
      </c>
      <c r="C8" s="88">
        <v>9.2003439380911427</v>
      </c>
      <c r="D8" s="88">
        <v>8.8564058469475491</v>
      </c>
      <c r="E8" s="88">
        <v>9.1143594153052447</v>
      </c>
      <c r="F8" s="88">
        <v>9.3723129836629404</v>
      </c>
      <c r="G8" s="88">
        <v>4.7291487532244192</v>
      </c>
      <c r="H8" s="88">
        <v>6.7067927773000857</v>
      </c>
      <c r="I8" s="88">
        <v>9.3723129836629404</v>
      </c>
      <c r="J8" s="88">
        <v>7.3946689595872739</v>
      </c>
      <c r="K8" s="88">
        <v>7.7386070507308684</v>
      </c>
      <c r="L8" s="88">
        <v>3.9552880481513331</v>
      </c>
      <c r="M8" s="88">
        <v>4.901117798796216</v>
      </c>
      <c r="N8" s="88">
        <v>4.901117798796216</v>
      </c>
      <c r="O8" s="88">
        <v>9.0283748925193468</v>
      </c>
      <c r="P8" s="88">
        <v>14.53138435081685</v>
      </c>
      <c r="Q8" s="88">
        <v>15.649183147033529</v>
      </c>
      <c r="R8" s="88">
        <v>14.015477214101461</v>
      </c>
      <c r="S8" s="88">
        <v>14.08727429062769</v>
      </c>
      <c r="T8" s="88">
        <v>15.374032674118659</v>
      </c>
      <c r="U8" s="88">
        <v>15.67214101461737</v>
      </c>
      <c r="V8" s="88">
        <v>13.328460877042129</v>
      </c>
      <c r="W8" s="88">
        <v>15.122785898538259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49.507996560619091</v>
      </c>
      <c r="C10" s="62">
        <f t="shared" ref="C10:V10" si="5">SUM(C11,C17)</f>
        <v>50.281857265692182</v>
      </c>
      <c r="D10" s="62">
        <f t="shared" si="5"/>
        <v>49.937919174548583</v>
      </c>
      <c r="E10" s="62">
        <f t="shared" si="5"/>
        <v>50.195872742906282</v>
      </c>
      <c r="F10" s="62">
        <f t="shared" si="5"/>
        <v>50.453826311263967</v>
      </c>
      <c r="G10" s="62">
        <f t="shared" si="5"/>
        <v>45.810662080825452</v>
      </c>
      <c r="H10" s="62">
        <f t="shared" si="5"/>
        <v>48.815305245055882</v>
      </c>
      <c r="I10" s="62">
        <f t="shared" si="5"/>
        <v>47.372656921754086</v>
      </c>
      <c r="J10" s="62">
        <f t="shared" si="5"/>
        <v>44.368013757523642</v>
      </c>
      <c r="K10" s="62">
        <f t="shared" si="5"/>
        <v>38.263112639724838</v>
      </c>
      <c r="L10" s="62">
        <f t="shared" si="5"/>
        <v>24.304987102321583</v>
      </c>
      <c r="M10" s="62">
        <f t="shared" si="5"/>
        <v>20.163370593293209</v>
      </c>
      <c r="N10" s="62">
        <f t="shared" si="5"/>
        <v>30.338177128116939</v>
      </c>
      <c r="O10" s="62">
        <f t="shared" si="5"/>
        <v>27.204557179707649</v>
      </c>
      <c r="P10" s="62">
        <f t="shared" si="5"/>
        <v>57.867583834909709</v>
      </c>
      <c r="Q10" s="62">
        <f t="shared" si="5"/>
        <v>58.985382631126384</v>
      </c>
      <c r="R10" s="62">
        <f t="shared" si="5"/>
        <v>56.47265692175408</v>
      </c>
      <c r="S10" s="62">
        <f t="shared" si="5"/>
        <v>55.471453138435081</v>
      </c>
      <c r="T10" s="62">
        <f t="shared" si="5"/>
        <v>54.645227858985379</v>
      </c>
      <c r="U10" s="62">
        <f t="shared" si="5"/>
        <v>26.521926053310406</v>
      </c>
      <c r="V10" s="62">
        <f t="shared" si="5"/>
        <v>20.74187446259673</v>
      </c>
      <c r="W10" s="62">
        <f t="shared" ref="W10" si="6">SUM(W11,W17)</f>
        <v>21.831040412725702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46.185353891968248</v>
      </c>
      <c r="C11" s="29">
        <f t="shared" ref="C11:V11" si="8">SUM(C12,C13,C16)</f>
        <v>47.37889236418583</v>
      </c>
      <c r="D11" s="29">
        <f t="shared" si="8"/>
        <v>47.15853741434438</v>
      </c>
      <c r="E11" s="29">
        <f t="shared" si="8"/>
        <v>46.517173864461824</v>
      </c>
      <c r="F11" s="29">
        <f t="shared" si="8"/>
        <v>45.753406903228715</v>
      </c>
      <c r="G11" s="29">
        <f t="shared" si="8"/>
        <v>42.320721303173457</v>
      </c>
      <c r="H11" s="29">
        <f t="shared" si="8"/>
        <v>44.980934065137198</v>
      </c>
      <c r="I11" s="29">
        <f t="shared" si="8"/>
        <v>42.567322188335559</v>
      </c>
      <c r="J11" s="29">
        <f t="shared" si="8"/>
        <v>38.209476137661454</v>
      </c>
      <c r="K11" s="29">
        <f t="shared" si="8"/>
        <v>35.484875409236324</v>
      </c>
      <c r="L11" s="29">
        <f t="shared" si="8"/>
        <v>21.332741390057578</v>
      </c>
      <c r="M11" s="29">
        <f t="shared" si="8"/>
        <v>18.593533846903739</v>
      </c>
      <c r="N11" s="29">
        <f t="shared" si="8"/>
        <v>28.691420061947159</v>
      </c>
      <c r="O11" s="29">
        <f t="shared" si="8"/>
        <v>25.978980133041674</v>
      </c>
      <c r="P11" s="29">
        <f t="shared" si="8"/>
        <v>56.174996804607844</v>
      </c>
      <c r="Q11" s="29">
        <f t="shared" si="8"/>
        <v>57.385958593648894</v>
      </c>
      <c r="R11" s="29">
        <f t="shared" si="8"/>
        <v>55.111727809493715</v>
      </c>
      <c r="S11" s="29">
        <f t="shared" si="8"/>
        <v>53.59584277323502</v>
      </c>
      <c r="T11" s="29">
        <f t="shared" si="8"/>
        <v>52.532292522796752</v>
      </c>
      <c r="U11" s="29">
        <f t="shared" si="8"/>
        <v>24.444212556512287</v>
      </c>
      <c r="V11" s="29">
        <f t="shared" si="8"/>
        <v>18.161081263047052</v>
      </c>
      <c r="W11" s="29">
        <f t="shared" ref="W11" si="9">SUM(W12,W13,W16)</f>
        <v>19.39293354919948</v>
      </c>
      <c r="DA11" s="173" t="s">
        <v>394</v>
      </c>
    </row>
    <row r="12" spans="1:105" ht="11.45" customHeight="1" x14ac:dyDescent="0.25">
      <c r="A12" s="107" t="s">
        <v>23</v>
      </c>
      <c r="B12" s="115">
        <v>6.3868449216908427</v>
      </c>
      <c r="C12" s="115">
        <v>7.0782011059166887</v>
      </c>
      <c r="D12" s="115">
        <v>7.1672254278843441</v>
      </c>
      <c r="E12" s="115">
        <v>7.51099639605519</v>
      </c>
      <c r="F12" s="115">
        <v>7.929635339295305</v>
      </c>
      <c r="G12" s="115">
        <v>3.9245082507562237</v>
      </c>
      <c r="H12" s="115">
        <v>6.5000833995550584</v>
      </c>
      <c r="I12" s="115">
        <v>7.7806673962993766</v>
      </c>
      <c r="J12" s="115">
        <v>5.1846150159068722</v>
      </c>
      <c r="K12" s="115">
        <v>5.9639066283912561</v>
      </c>
      <c r="L12" s="115">
        <v>3.509690514767752</v>
      </c>
      <c r="M12" s="115">
        <v>4.4985378652250976</v>
      </c>
      <c r="N12" s="115">
        <v>4.0070328534278019</v>
      </c>
      <c r="O12" s="115">
        <v>6.3950253609356817</v>
      </c>
      <c r="P12" s="115">
        <v>8.1955716151250098</v>
      </c>
      <c r="Q12" s="115">
        <v>7.5813342045070176</v>
      </c>
      <c r="R12" s="115">
        <v>7.2868495174609516</v>
      </c>
      <c r="S12" s="115">
        <v>7.5058881826350277</v>
      </c>
      <c r="T12" s="115">
        <v>7.4663698076742548</v>
      </c>
      <c r="U12" s="115">
        <v>6.4840247496996826</v>
      </c>
      <c r="V12" s="115">
        <v>6.3581134236903809</v>
      </c>
      <c r="W12" s="115">
        <v>6.3416966647401951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39.798508970277403</v>
      </c>
      <c r="C13" s="116">
        <f t="shared" ref="C13:V13" si="11">SUM(C14:C15)</f>
        <v>40.30069125826914</v>
      </c>
      <c r="D13" s="116">
        <f t="shared" si="11"/>
        <v>39.991311986460033</v>
      </c>
      <c r="E13" s="116">
        <f t="shared" si="11"/>
        <v>39.006177468406634</v>
      </c>
      <c r="F13" s="116">
        <f t="shared" si="11"/>
        <v>37.823771563933413</v>
      </c>
      <c r="G13" s="116">
        <f t="shared" si="11"/>
        <v>38.396213052417231</v>
      </c>
      <c r="H13" s="116">
        <f t="shared" si="11"/>
        <v>38.480850665582139</v>
      </c>
      <c r="I13" s="116">
        <f t="shared" si="11"/>
        <v>34.786654792036181</v>
      </c>
      <c r="J13" s="116">
        <f t="shared" si="11"/>
        <v>33.024861121754583</v>
      </c>
      <c r="K13" s="116">
        <f t="shared" si="11"/>
        <v>29.52096878084507</v>
      </c>
      <c r="L13" s="116">
        <f t="shared" si="11"/>
        <v>17.823050875289827</v>
      </c>
      <c r="M13" s="116">
        <f t="shared" si="11"/>
        <v>14.09499598167864</v>
      </c>
      <c r="N13" s="116">
        <f t="shared" si="11"/>
        <v>24.684387208519357</v>
      </c>
      <c r="O13" s="116">
        <f t="shared" si="11"/>
        <v>19.583954772105994</v>
      </c>
      <c r="P13" s="116">
        <f t="shared" si="11"/>
        <v>47.979425189482832</v>
      </c>
      <c r="Q13" s="116">
        <f t="shared" si="11"/>
        <v>49.804624389141878</v>
      </c>
      <c r="R13" s="116">
        <f t="shared" si="11"/>
        <v>47.824878292032764</v>
      </c>
      <c r="S13" s="116">
        <f t="shared" si="11"/>
        <v>46.089954590599994</v>
      </c>
      <c r="T13" s="116">
        <f t="shared" si="11"/>
        <v>45.065922715122497</v>
      </c>
      <c r="U13" s="116">
        <f t="shared" si="11"/>
        <v>17.960187806812606</v>
      </c>
      <c r="V13" s="116">
        <f t="shared" si="11"/>
        <v>11.802967839356672</v>
      </c>
      <c r="W13" s="116">
        <f t="shared" ref="W13" si="12">SUM(W14:W15)</f>
        <v>13.051236884459286</v>
      </c>
      <c r="DA13" s="176" t="s">
        <v>396</v>
      </c>
    </row>
    <row r="14" spans="1:105" ht="11.45" customHeight="1" x14ac:dyDescent="0.25">
      <c r="A14" s="111" t="s">
        <v>95</v>
      </c>
      <c r="B14" s="87">
        <v>38.147314630842935</v>
      </c>
      <c r="C14" s="87">
        <v>38.613313828914031</v>
      </c>
      <c r="D14" s="87">
        <v>38.566310461461278</v>
      </c>
      <c r="E14" s="87">
        <v>37.774224247875338</v>
      </c>
      <c r="F14" s="87">
        <v>36.84424652746354</v>
      </c>
      <c r="G14" s="87">
        <v>37.820213382114687</v>
      </c>
      <c r="H14" s="87">
        <v>38.431639322712421</v>
      </c>
      <c r="I14" s="87">
        <v>33.901803168630408</v>
      </c>
      <c r="J14" s="87">
        <v>31.224105936182387</v>
      </c>
      <c r="K14" s="87">
        <v>28.079533408313566</v>
      </c>
      <c r="L14" s="87">
        <v>17.695035430376905</v>
      </c>
      <c r="M14" s="87">
        <v>14.013699295009419</v>
      </c>
      <c r="N14" s="87">
        <v>24.121211566284369</v>
      </c>
      <c r="O14" s="87">
        <v>17.302171417548333</v>
      </c>
      <c r="P14" s="87">
        <v>42.087886641791997</v>
      </c>
      <c r="Q14" s="87">
        <v>42.16679787653807</v>
      </c>
      <c r="R14" s="87">
        <v>41.450814038879649</v>
      </c>
      <c r="S14" s="87">
        <v>40.00711177883624</v>
      </c>
      <c r="T14" s="87">
        <v>37.753951446572188</v>
      </c>
      <c r="U14" s="87">
        <v>9.9122752212065883</v>
      </c>
      <c r="V14" s="87">
        <v>6.3989850315350472</v>
      </c>
      <c r="W14" s="87">
        <v>5.7538102789073902</v>
      </c>
      <c r="DA14" s="171" t="s">
        <v>1106</v>
      </c>
    </row>
    <row r="15" spans="1:105" ht="11.45" customHeight="1" x14ac:dyDescent="0.25">
      <c r="A15" s="111" t="s">
        <v>93</v>
      </c>
      <c r="B15" s="87">
        <v>1.651194339434465</v>
      </c>
      <c r="C15" s="87">
        <v>1.6873774293551074</v>
      </c>
      <c r="D15" s="87">
        <v>1.4250015249987578</v>
      </c>
      <c r="E15" s="87">
        <v>1.2319532205312944</v>
      </c>
      <c r="F15" s="87">
        <v>0.97952503646987499</v>
      </c>
      <c r="G15" s="87">
        <v>0.57599967030254451</v>
      </c>
      <c r="H15" s="87">
        <v>4.9211342869720377E-2</v>
      </c>
      <c r="I15" s="87">
        <v>0.88485162340576951</v>
      </c>
      <c r="J15" s="87">
        <v>1.8007551855721982</v>
      </c>
      <c r="K15" s="87">
        <v>1.4414353725315054</v>
      </c>
      <c r="L15" s="87">
        <v>0.12801544491292044</v>
      </c>
      <c r="M15" s="87">
        <v>8.1296686669220186E-2</v>
      </c>
      <c r="N15" s="87">
        <v>0.56317564223498751</v>
      </c>
      <c r="O15" s="87">
        <v>2.2817833545576609</v>
      </c>
      <c r="P15" s="87">
        <v>5.8915385476908355</v>
      </c>
      <c r="Q15" s="87">
        <v>7.6378265126038052</v>
      </c>
      <c r="R15" s="87">
        <v>6.3740642531531124</v>
      </c>
      <c r="S15" s="87">
        <v>6.0828428117637534</v>
      </c>
      <c r="T15" s="87">
        <v>7.3119712685503098</v>
      </c>
      <c r="U15" s="87">
        <v>8.047912585606019</v>
      </c>
      <c r="V15" s="87">
        <v>5.4039828078216239</v>
      </c>
      <c r="W15" s="87">
        <v>7.2974266055518964</v>
      </c>
      <c r="DA15" s="171" t="s">
        <v>1107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3.3226426686508406</v>
      </c>
      <c r="C17" s="29">
        <f t="shared" si="13"/>
        <v>2.9029649015063477</v>
      </c>
      <c r="D17" s="29">
        <f t="shared" si="13"/>
        <v>2.779381760204203</v>
      </c>
      <c r="E17" s="29">
        <f t="shared" si="13"/>
        <v>3.6786988784444548</v>
      </c>
      <c r="F17" s="29">
        <f t="shared" si="13"/>
        <v>4.7004194080352484</v>
      </c>
      <c r="G17" s="29">
        <f t="shared" si="13"/>
        <v>3.4899407776519946</v>
      </c>
      <c r="H17" s="29">
        <f t="shared" si="13"/>
        <v>3.8343711799186866</v>
      </c>
      <c r="I17" s="29">
        <f t="shared" si="13"/>
        <v>4.8053347334185244</v>
      </c>
      <c r="J17" s="29">
        <f t="shared" si="13"/>
        <v>6.1585376198621873</v>
      </c>
      <c r="K17" s="29">
        <f t="shared" si="13"/>
        <v>2.7782372304885179</v>
      </c>
      <c r="L17" s="29">
        <f t="shared" si="13"/>
        <v>2.9722457122640065</v>
      </c>
      <c r="M17" s="29">
        <f t="shared" si="13"/>
        <v>1.5698367463894705</v>
      </c>
      <c r="N17" s="29">
        <f t="shared" si="13"/>
        <v>1.6467570661697799</v>
      </c>
      <c r="O17" s="29">
        <f t="shared" si="13"/>
        <v>1.225577046665977</v>
      </c>
      <c r="P17" s="29">
        <f t="shared" si="13"/>
        <v>1.6925870303018691</v>
      </c>
      <c r="Q17" s="29">
        <f t="shared" si="13"/>
        <v>1.599424037477492</v>
      </c>
      <c r="R17" s="29">
        <f t="shared" si="13"/>
        <v>1.3609291122603675</v>
      </c>
      <c r="S17" s="29">
        <f t="shared" si="13"/>
        <v>1.8756103652000609</v>
      </c>
      <c r="T17" s="29">
        <f t="shared" si="13"/>
        <v>2.1129353361886265</v>
      </c>
      <c r="U17" s="29">
        <f t="shared" si="13"/>
        <v>2.0777134967981188</v>
      </c>
      <c r="V17" s="29">
        <f t="shared" si="13"/>
        <v>2.5807931995496771</v>
      </c>
      <c r="W17" s="29">
        <f t="shared" si="13"/>
        <v>2.4381068635262229</v>
      </c>
      <c r="DA17" s="173" t="s">
        <v>401</v>
      </c>
    </row>
    <row r="18" spans="1:105" ht="11.45" customHeight="1" x14ac:dyDescent="0.25">
      <c r="A18" s="83" t="s">
        <v>95</v>
      </c>
      <c r="B18" s="87">
        <v>2.9341986967580915</v>
      </c>
      <c r="C18" s="87">
        <v>2.4681994986870017</v>
      </c>
      <c r="D18" s="87">
        <v>2.5152028661397536</v>
      </c>
      <c r="E18" s="87">
        <v>3.3072890797256949</v>
      </c>
      <c r="F18" s="87">
        <v>4.2372668001374887</v>
      </c>
      <c r="G18" s="87">
        <v>3.2612999454863436</v>
      </c>
      <c r="H18" s="87">
        <v>3.67687314504338</v>
      </c>
      <c r="I18" s="87">
        <v>4.0985407694607288</v>
      </c>
      <c r="J18" s="87">
        <v>5.7492388617539829</v>
      </c>
      <c r="K18" s="87">
        <v>2.4449721806804106</v>
      </c>
      <c r="L18" s="87">
        <v>2.6546636237933456</v>
      </c>
      <c r="M18" s="87">
        <v>1.248553499487572</v>
      </c>
      <c r="N18" s="87">
        <v>1.3158477630363534</v>
      </c>
      <c r="O18" s="87">
        <v>0.87401086963997165</v>
      </c>
      <c r="P18" s="87">
        <v>1.248312842300864</v>
      </c>
      <c r="Q18" s="87">
        <v>1.1694016075547862</v>
      </c>
      <c r="R18" s="87">
        <v>1.0063656687729698</v>
      </c>
      <c r="S18" s="87">
        <v>1.3770670689711511</v>
      </c>
      <c r="T18" s="87">
        <v>1.517243738294531</v>
      </c>
      <c r="U18" s="87">
        <v>0.93750981748644946</v>
      </c>
      <c r="V18" s="87">
        <v>1.0144285540195517</v>
      </c>
      <c r="W18" s="87">
        <v>0.9544442352800554</v>
      </c>
      <c r="DA18" s="171" t="s">
        <v>1108</v>
      </c>
    </row>
    <row r="19" spans="1:105" ht="11.45" customHeight="1" x14ac:dyDescent="0.25">
      <c r="A19" s="85" t="s">
        <v>93</v>
      </c>
      <c r="B19" s="88">
        <v>0.38844397189274893</v>
      </c>
      <c r="C19" s="88">
        <v>0.43476540281934611</v>
      </c>
      <c r="D19" s="88">
        <v>0.26417889406444944</v>
      </c>
      <c r="E19" s="88">
        <v>0.37140979871875979</v>
      </c>
      <c r="F19" s="88">
        <v>0.46315260789775947</v>
      </c>
      <c r="G19" s="88">
        <v>0.22864083216565101</v>
      </c>
      <c r="H19" s="88">
        <v>0.15749803487530642</v>
      </c>
      <c r="I19" s="88">
        <v>0.70679396395779515</v>
      </c>
      <c r="J19" s="88">
        <v>0.40929875810820399</v>
      </c>
      <c r="K19" s="88">
        <v>0.33326504980810734</v>
      </c>
      <c r="L19" s="88">
        <v>0.31758208847066077</v>
      </c>
      <c r="M19" s="88">
        <v>0.32128324690189841</v>
      </c>
      <c r="N19" s="88">
        <v>0.33090930313342648</v>
      </c>
      <c r="O19" s="88">
        <v>0.35156617702600529</v>
      </c>
      <c r="P19" s="88">
        <v>0.4442741880010051</v>
      </c>
      <c r="Q19" s="88">
        <v>0.43002242992270578</v>
      </c>
      <c r="R19" s="88">
        <v>0.3545634434873976</v>
      </c>
      <c r="S19" s="88">
        <v>0.49854329622890986</v>
      </c>
      <c r="T19" s="88">
        <v>0.59569159789409543</v>
      </c>
      <c r="U19" s="88">
        <v>1.1402036793116694</v>
      </c>
      <c r="V19" s="88">
        <v>1.5663646455301254</v>
      </c>
      <c r="W19" s="88">
        <v>1.4836626282461673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178.43587919720946</v>
      </c>
      <c r="C23" s="62">
        <f>IF(C10=0,0,C10/TrRail_act!C14*100)</f>
        <v>167.64989944225454</v>
      </c>
      <c r="D23" s="62">
        <f>IF(D10=0,0,D10/TrRail_act!D14*100)</f>
        <v>161.76112256985294</v>
      </c>
      <c r="E23" s="62">
        <f>IF(E10=0,0,E10/TrRail_act!E14*100)</f>
        <v>156.93180750630233</v>
      </c>
      <c r="F23" s="62">
        <f>IF(F10=0,0,F10/TrRail_act!F14*100)</f>
        <v>150.81398592506318</v>
      </c>
      <c r="G23" s="62">
        <f>IF(G10=0,0,G10/TrRail_act!G14*100)</f>
        <v>181.46576577118469</v>
      </c>
      <c r="H23" s="62">
        <f>IF(H10=0,0,H10/TrRail_act!H14*100)</f>
        <v>153.39580510547455</v>
      </c>
      <c r="I23" s="62">
        <f>IF(I10=0,0,I10/TrRail_act!I14*100)</f>
        <v>136.82617522723939</v>
      </c>
      <c r="J23" s="62">
        <f>IF(J10=0,0,J10/TrRail_act!J14*100)</f>
        <v>155.06630501438511</v>
      </c>
      <c r="K23" s="62">
        <f>IF(K10=0,0,K10/TrRail_act!K14*100)</f>
        <v>133.4412985961275</v>
      </c>
      <c r="L23" s="62">
        <f>IF(L10=0,0,L10/TrRail_act!L14*100)</f>
        <v>139.10534526127415</v>
      </c>
      <c r="M23" s="62">
        <f>IF(M10=0,0,M10/TrRail_act!M14*100)</f>
        <v>110.33933864790779</v>
      </c>
      <c r="N23" s="62">
        <f>IF(N10=0,0,N10/TrRail_act!N14*100)</f>
        <v>137.45430944307122</v>
      </c>
      <c r="O23" s="62">
        <f>IF(O10=0,0,O10/TrRail_act!O14*100)</f>
        <v>100.84586725483207</v>
      </c>
      <c r="P23" s="62">
        <f>IF(P10=0,0,P10/TrRail_act!P14*100)</f>
        <v>124.36940540404264</v>
      </c>
      <c r="Q23" s="62">
        <f>IF(Q10=0,0,Q10/TrRail_act!Q14*100)</f>
        <v>125.57890707828187</v>
      </c>
      <c r="R23" s="62">
        <f>IF(R10=0,0,R10/TrRail_act!R14*100)</f>
        <v>124.54188742349844</v>
      </c>
      <c r="S23" s="62">
        <f>IF(S10=0,0,S10/TrRail_act!S14*100)</f>
        <v>121.27052157640543</v>
      </c>
      <c r="T23" s="62">
        <f>IF(T10=0,0,T10/TrRail_act!T14*100)</f>
        <v>118.79498979994496</v>
      </c>
      <c r="U23" s="62">
        <f>IF(U10=0,0,U10/TrRail_act!U14*100)</f>
        <v>84.663249743900963</v>
      </c>
      <c r="V23" s="62">
        <f>IF(V10=0,0,V10/TrRail_act!V14*100)</f>
        <v>74.813097755815377</v>
      </c>
      <c r="W23" s="62">
        <f>IF(W10=0,0,W10/TrRail_act!W14*100)</f>
        <v>75.538998799957866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170.87095312365329</v>
      </c>
      <c r="C24" s="29">
        <f>IF(C11=0,0,C11/TrRail_act!C15*100)</f>
        <v>161.60779772440623</v>
      </c>
      <c r="D24" s="29">
        <f>IF(D11=0,0,D11/TrRail_act!D15*100)</f>
        <v>155.8733260527664</v>
      </c>
      <c r="E24" s="29">
        <f>IF(E11=0,0,E11/TrRail_act!E15*100)</f>
        <v>149.4169787799361</v>
      </c>
      <c r="F24" s="29">
        <f>IF(F11=0,0,F11/TrRail_act!F15*100)</f>
        <v>141.43602058132518</v>
      </c>
      <c r="G24" s="29">
        <f>IF(G11=0,0,G11/TrRail_act!G15*100)</f>
        <v>173.11541844931517</v>
      </c>
      <c r="H24" s="29">
        <f>IF(H11=0,0,H11/TrRail_act!H15*100)</f>
        <v>145.30271332807473</v>
      </c>
      <c r="I24" s="29">
        <f>IF(I11=0,0,I11/TrRail_act!I15*100)</f>
        <v>127.64665374487517</v>
      </c>
      <c r="J24" s="29">
        <f>IF(J11=0,0,J11/TrRail_act!J15*100)</f>
        <v>140.9607277401411</v>
      </c>
      <c r="K24" s="29">
        <f>IF(K11=0,0,K11/TrRail_act!K15*100)</f>
        <v>127.06657510517316</v>
      </c>
      <c r="L24" s="29">
        <f>IF(L11=0,0,L11/TrRail_act!L15*100)</f>
        <v>127.9403246199353</v>
      </c>
      <c r="M24" s="29">
        <f>IF(M11=0,0,M11/TrRail_act!M15*100)</f>
        <v>104.51958853359066</v>
      </c>
      <c r="N24" s="29">
        <f>IF(N11=0,0,N11/TrRail_act!N15*100)</f>
        <v>133.08862373362857</v>
      </c>
      <c r="O24" s="29">
        <f>IF(O11=0,0,O11/TrRail_act!O15*100)</f>
        <v>97.853733758425747</v>
      </c>
      <c r="P24" s="29">
        <f>IF(P11=0,0,P11/TrRail_act!P15*100)</f>
        <v>122.27595461280303</v>
      </c>
      <c r="Q24" s="29">
        <f>IF(Q11=0,0,Q11/TrRail_act!Q15*100)</f>
        <v>123.65638140095353</v>
      </c>
      <c r="R24" s="29">
        <f>IF(R11=0,0,R11/TrRail_act!R15*100)</f>
        <v>122.83165711428201</v>
      </c>
      <c r="S24" s="29">
        <f>IF(S11=0,0,S11/TrRail_act!S15*100)</f>
        <v>118.89470746548498</v>
      </c>
      <c r="T24" s="29">
        <f>IF(T11=0,0,T11/TrRail_act!T15*100)</f>
        <v>116.13121226563101</v>
      </c>
      <c r="U24" s="29">
        <f>IF(U11=0,0,U11/TrRail_act!U15*100)</f>
        <v>80.592231007029341</v>
      </c>
      <c r="V24" s="29">
        <f>IF(V11=0,0,V11/TrRail_act!V15*100)</f>
        <v>68.73972298945921</v>
      </c>
      <c r="W24" s="29">
        <f>IF(W11=0,0,W11/TrRail_act!W15*100)</f>
        <v>70.101283572682433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45.898858140266505</v>
      </c>
      <c r="C25" s="115">
        <f>IF(C12=0,0,C12/TrRail_act!C16*100)</f>
        <v>45.511443268693583</v>
      </c>
      <c r="D25" s="115">
        <f>IF(D12=0,0,D12/TrRail_act!D16*100)</f>
        <v>44.966334004122878</v>
      </c>
      <c r="E25" s="115">
        <f>IF(E12=0,0,E12/TrRail_act!E16*100)</f>
        <v>45.205792098060812</v>
      </c>
      <c r="F25" s="115">
        <f>IF(F12=0,0,F12/TrRail_act!F16*100)</f>
        <v>44.222890863155527</v>
      </c>
      <c r="G25" s="115">
        <f>IF(G12=0,0,G12/TrRail_act!G16*100)</f>
        <v>42.153592468262381</v>
      </c>
      <c r="H25" s="115">
        <f>IF(H12=0,0,H12/TrRail_act!H16*100)</f>
        <v>41.512568027242267</v>
      </c>
      <c r="I25" s="115">
        <f>IF(I12=0,0,I12/TrRail_act!I16*100)</f>
        <v>40.608397846174618</v>
      </c>
      <c r="J25" s="115">
        <f>IF(J12=0,0,J12/TrRail_act!J16*100)</f>
        <v>39.832354030280804</v>
      </c>
      <c r="K25" s="115">
        <f>IF(K12=0,0,K12/TrRail_act!K16*100)</f>
        <v>39.116070883455137</v>
      </c>
      <c r="L25" s="115">
        <f>IF(L12=0,0,L12/TrRail_act!L16*100)</f>
        <v>39.036864646190992</v>
      </c>
      <c r="M25" s="115">
        <f>IF(M12=0,0,M12/TrRail_act!M16*100)</f>
        <v>38.502545457494072</v>
      </c>
      <c r="N25" s="115">
        <f>IF(N12=0,0,N12/TrRail_act!N16*100)</f>
        <v>38.079431811943714</v>
      </c>
      <c r="O25" s="115">
        <f>IF(O12=0,0,O12/TrRail_act!O16*100)</f>
        <v>37.373112625798882</v>
      </c>
      <c r="P25" s="115">
        <f>IF(P12=0,0,P12/TrRail_act!P16*100)</f>
        <v>36.41456210924224</v>
      </c>
      <c r="Q25" s="115">
        <f>IF(Q12=0,0,Q12/TrRail_act!Q16*100)</f>
        <v>35.349006461631788</v>
      </c>
      <c r="R25" s="115">
        <f>IF(R12=0,0,R12/TrRail_act!R16*100)</f>
        <v>34.570352009475222</v>
      </c>
      <c r="S25" s="115">
        <f>IF(S12=0,0,S12/TrRail_act!S16*100)</f>
        <v>33.997637912887015</v>
      </c>
      <c r="T25" s="115">
        <f>IF(T12=0,0,T12/TrRail_act!T16*100)</f>
        <v>33.574337442034867</v>
      </c>
      <c r="U25" s="115">
        <f>IF(U12=0,0,U12/TrRail_act!U16*100)</f>
        <v>33.260324432979054</v>
      </c>
      <c r="V25" s="115">
        <f>IF(V12=0,0,V12/TrRail_act!V16*100)</f>
        <v>33.026743522417135</v>
      </c>
      <c r="W25" s="115">
        <f>IF(W12=0,0,W12/TrRail_act!W16*100)</f>
        <v>32.852634922267377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303.47330813326596</v>
      </c>
      <c r="C26" s="116">
        <f>IF(C13=0,0,C13/TrRail_act!C17*100)</f>
        <v>292.78436288690409</v>
      </c>
      <c r="D26" s="116">
        <f>IF(D13=0,0,D13/TrRail_act!D17*100)</f>
        <v>279.36050231125989</v>
      </c>
      <c r="E26" s="116">
        <f>IF(E13=0,0,E13/TrRail_act!E17*100)</f>
        <v>268.68688986190955</v>
      </c>
      <c r="F26" s="116">
        <f>IF(F13=0,0,F13/TrRail_act!F17*100)</f>
        <v>262.33488745840788</v>
      </c>
      <c r="G26" s="116">
        <f>IF(G13=0,0,G13/TrRail_act!G17*100)</f>
        <v>253.66615308661079</v>
      </c>
      <c r="H26" s="116">
        <f>IF(H13=0,0,H13/TrRail_act!H17*100)</f>
        <v>251.53189977463515</v>
      </c>
      <c r="I26" s="116">
        <f>IF(I13=0,0,I13/TrRail_act!I17*100)</f>
        <v>245.19166955960236</v>
      </c>
      <c r="J26" s="116">
        <f>IF(J13=0,0,J13/TrRail_act!J17*100)</f>
        <v>234.37879590918956</v>
      </c>
      <c r="K26" s="116">
        <f>IF(K13=0,0,K13/TrRail_act!K17*100)</f>
        <v>232.82409721228348</v>
      </c>
      <c r="L26" s="116">
        <f>IF(L13=0,0,L13/TrRail_act!L17*100)</f>
        <v>231.97221017179524</v>
      </c>
      <c r="M26" s="116">
        <f>IF(M13=0,0,M13/TrRail_act!M17*100)</f>
        <v>230.84679937030427</v>
      </c>
      <c r="N26" s="116">
        <f>IF(N13=0,0,N13/TrRail_act!N17*100)</f>
        <v>223.68561451208038</v>
      </c>
      <c r="O26" s="116">
        <f>IF(O13=0,0,O13/TrRail_act!O17*100)</f>
        <v>207.51236821090689</v>
      </c>
      <c r="P26" s="116">
        <f>IF(P13=0,0,P13/TrRail_act!P17*100)</f>
        <v>204.73526538585057</v>
      </c>
      <c r="Q26" s="116">
        <f>IF(Q13=0,0,Q13/TrRail_act!Q17*100)</f>
        <v>199.53370468820216</v>
      </c>
      <c r="R26" s="116">
        <f>IF(R13=0,0,R13/TrRail_act!R17*100)</f>
        <v>201.03465432901038</v>
      </c>
      <c r="S26" s="116">
        <f>IF(S13=0,0,S13/TrRail_act!S17*100)</f>
        <v>200.38471462970287</v>
      </c>
      <c r="T26" s="116">
        <f>IF(T13=0,0,T13/TrRail_act!T17*100)</f>
        <v>195.96462756676758</v>
      </c>
      <c r="U26" s="116">
        <f>IF(U13=0,0,U13/TrRail_act!U17*100)</f>
        <v>165.74619712059905</v>
      </c>
      <c r="V26" s="116">
        <f>IF(V13=0,0,V13/TrRail_act!V17*100)</f>
        <v>164.64680894743159</v>
      </c>
      <c r="W26" s="116">
        <f>IF(W13=0,0,W13/TrRail_act!W17*100)</f>
        <v>156.10222263602421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314.32783706848272</v>
      </c>
      <c r="C27" s="87">
        <f>IF(C14=0,0,C14/TrRail_act!C18*100)</f>
        <v>302.80478044770439</v>
      </c>
      <c r="D27" s="87">
        <f>IF(D14=0,0,D14/TrRail_act!D18*100)</f>
        <v>287.16382488210195</v>
      </c>
      <c r="E27" s="87">
        <f>IF(E14=0,0,E14/TrRail_act!E18*100)</f>
        <v>275.25686436763112</v>
      </c>
      <c r="F27" s="87">
        <f>IF(F14=0,0,F14/TrRail_act!F18*100)</f>
        <v>267.4971364343624</v>
      </c>
      <c r="G27" s="87">
        <f>IF(G14=0,0,G14/TrRail_act!G18*100)</f>
        <v>256.46457033259662</v>
      </c>
      <c r="H27" s="87">
        <f>IF(H14=0,0,H14/TrRail_act!H18*100)</f>
        <v>251.77063447658247</v>
      </c>
      <c r="I27" s="87">
        <f>IF(I14=0,0,I14/TrRail_act!I18*100)</f>
        <v>250.00598556329288</v>
      </c>
      <c r="J27" s="87">
        <f>IF(J14=0,0,J14/TrRail_act!J18*100)</f>
        <v>244.45637712126799</v>
      </c>
      <c r="K27" s="87">
        <f>IF(K14=0,0,K14/TrRail_act!K18*100)</f>
        <v>241.82697655792299</v>
      </c>
      <c r="L27" s="87">
        <f>IF(L14=0,0,L14/TrRail_act!L18*100)</f>
        <v>233.22069343856882</v>
      </c>
      <c r="M27" s="87">
        <f>IF(M14=0,0,M14/TrRail_act!M18*100)</f>
        <v>231.84906329162698</v>
      </c>
      <c r="N27" s="87">
        <f>IF(N14=0,0,N14/TrRail_act!N18*100)</f>
        <v>227.47960822406901</v>
      </c>
      <c r="O27" s="87">
        <f>IF(O14=0,0,O14/TrRail_act!O18*100)</f>
        <v>225.04331578269233</v>
      </c>
      <c r="P27" s="87">
        <f>IF(P14=0,0,P14/TrRail_act!P18*100)</f>
        <v>222.97490493613853</v>
      </c>
      <c r="Q27" s="87">
        <f>IF(Q14=0,0,Q14/TrRail_act!Q18*100)</f>
        <v>221.24010488759797</v>
      </c>
      <c r="R27" s="87">
        <f>IF(R14=0,0,R14/TrRail_act!R18*100)</f>
        <v>219.94786812793214</v>
      </c>
      <c r="S27" s="87">
        <f>IF(S14=0,0,S14/TrRail_act!S18*100)</f>
        <v>218.98364621782264</v>
      </c>
      <c r="T27" s="87">
        <f>IF(T14=0,0,T14/TrRail_act!T18*100)</f>
        <v>218.26325478131494</v>
      </c>
      <c r="U27" s="87">
        <f>IF(U14=0,0,U14/TrRail_act!U18*100)</f>
        <v>217.72451686095516</v>
      </c>
      <c r="V27" s="87">
        <f>IF(V14=0,0,V14/TrRail_act!V18*100)</f>
        <v>217.3213362576551</v>
      </c>
      <c r="W27" s="87">
        <f>IF(W14=0,0,W14/TrRail_act!W18*100)</f>
        <v>217.01944083552266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168.80261644722191</v>
      </c>
      <c r="C28" s="87">
        <f>IF(C15=0,0,C15/TrRail_act!C19*100)</f>
        <v>166.61365776852287</v>
      </c>
      <c r="D28" s="87">
        <f>IF(D15=0,0,D15/TrRail_act!D19*100)</f>
        <v>160.97460618515359</v>
      </c>
      <c r="E28" s="87">
        <f>IF(E15=0,0,E15/TrRail_act!E19*100)</f>
        <v>155.14371257782224</v>
      </c>
      <c r="F28" s="87">
        <f>IF(F15=0,0,F15/TrRail_act!F19*100)</f>
        <v>151.99931113320534</v>
      </c>
      <c r="G28" s="87">
        <f>IF(G15=0,0,G15/TrRail_act!G19*100)</f>
        <v>147.78520952553518</v>
      </c>
      <c r="H28" s="87">
        <f>IF(H15=0,0,H15/TrRail_act!H19*100)</f>
        <v>144.51574570331914</v>
      </c>
      <c r="I28" s="87">
        <f>IF(I15=0,0,I15/TrRail_act!I19*100)</f>
        <v>141.09343840825926</v>
      </c>
      <c r="J28" s="87">
        <f>IF(J15=0,0,J15/TrRail_act!J19*100)</f>
        <v>136.67920867429348</v>
      </c>
      <c r="K28" s="87">
        <f>IF(K15=0,0,K15/TrRail_act!K19*100)</f>
        <v>134.95306772336437</v>
      </c>
      <c r="L28" s="87">
        <f>IF(L15=0,0,L15/TrRail_act!L19*100)</f>
        <v>133.32088830278474</v>
      </c>
      <c r="M28" s="87">
        <f>IF(M15=0,0,M15/TrRail_act!M19*100)</f>
        <v>132.27736881482494</v>
      </c>
      <c r="N28" s="87">
        <f>IF(N15=0,0,N15/TrRail_act!N19*100)</f>
        <v>130.4785898843503</v>
      </c>
      <c r="O28" s="87">
        <f>IF(O15=0,0,O15/TrRail_act!O19*100)</f>
        <v>130.45365783983783</v>
      </c>
      <c r="P28" s="87">
        <f>IF(P15=0,0,P15/TrRail_act!P19*100)</f>
        <v>129.22179505961034</v>
      </c>
      <c r="Q28" s="87">
        <f>IF(Q15=0,0,Q15/TrRail_act!Q19*100)</f>
        <v>129.42803518693219</v>
      </c>
      <c r="R28" s="87">
        <f>IF(R15=0,0,R15/TrRail_act!R19*100)</f>
        <v>128.9350166096541</v>
      </c>
      <c r="S28" s="87">
        <f>IF(S15=0,0,S15/TrRail_act!S19*100)</f>
        <v>128.56648551430237</v>
      </c>
      <c r="T28" s="87">
        <f>IF(T15=0,0,T15/TrRail_act!T19*100)</f>
        <v>128.29077862588022</v>
      </c>
      <c r="U28" s="87">
        <f>IF(U15=0,0,U15/TrRail_act!U19*100)</f>
        <v>128.08438653376709</v>
      </c>
      <c r="V28" s="87">
        <f>IF(V15=0,0,V15/TrRail_act!V19*100)</f>
        <v>127.92981041440605</v>
      </c>
      <c r="W28" s="87">
        <f>IF(W15=0,0,W15/TrRail_act!W19*100)</f>
        <v>127.81400053588243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463.95114710929624</v>
      </c>
      <c r="C30" s="29">
        <f>IF(C17=0,0,C17/TrRail_act!C21*100)</f>
        <v>430.08688109873623</v>
      </c>
      <c r="D30" s="29">
        <f>IF(D17=0,0,D17/TrRail_act!D21*100)</f>
        <v>450.46786996368428</v>
      </c>
      <c r="E30" s="29">
        <f>IF(E17=0,0,E17/TrRail_act!E21*100)</f>
        <v>431.09856345728696</v>
      </c>
      <c r="F30" s="29">
        <f>IF(F17=0,0,F17/TrRail_act!F21*100)</f>
        <v>425.31886577800219</v>
      </c>
      <c r="G30" s="29">
        <f>IF(G17=0,0,G17/TrRail_act!G21*100)</f>
        <v>437.1930168082564</v>
      </c>
      <c r="H30" s="29">
        <f>IF(H17=0,0,H17/TrRail_act!H21*100)</f>
        <v>442.56518886002868</v>
      </c>
      <c r="I30" s="29">
        <f>IF(I17=0,0,I17/TrRail_act!I21*100)</f>
        <v>376.96795801908235</v>
      </c>
      <c r="J30" s="29">
        <f>IF(J17=0,0,J17/TrRail_act!J21*100)</f>
        <v>408.98333255522675</v>
      </c>
      <c r="K30" s="29">
        <f>IF(K17=0,0,K17/TrRail_act!K21*100)</f>
        <v>371.467564452293</v>
      </c>
      <c r="L30" s="29">
        <f>IF(L17=0,0,L17/TrRail_act!L21*100)</f>
        <v>372.28345465078962</v>
      </c>
      <c r="M30" s="29">
        <f>IF(M17=0,0,M17/TrRail_act!M21*100)</f>
        <v>324.04990117552546</v>
      </c>
      <c r="N30" s="29">
        <f>IF(N17=0,0,N17/TrRail_act!N21*100)</f>
        <v>320.79772832863642</v>
      </c>
      <c r="O30" s="29">
        <f>IF(O17=0,0,O17/TrRail_act!O21*100)</f>
        <v>286.62765084047857</v>
      </c>
      <c r="P30" s="29">
        <f>IF(P17=0,0,P17/TrRail_act!P21*100)</f>
        <v>288.03640797380456</v>
      </c>
      <c r="Q30" s="29">
        <f>IF(Q17=0,0,Q17/TrRail_act!Q21*100)</f>
        <v>284.00245216273578</v>
      </c>
      <c r="R30" s="29">
        <f>IF(R17=0,0,R17/TrRail_act!R21*100)</f>
        <v>285.53913379338411</v>
      </c>
      <c r="S30" s="29">
        <f>IF(S17=0,0,S17/TrRail_act!S21*100)</f>
        <v>282.68386702889427</v>
      </c>
      <c r="T30" s="29">
        <f>IF(T17=0,0,T17/TrRail_act!T21*100)</f>
        <v>276.44827442519892</v>
      </c>
      <c r="U30" s="29">
        <f>IF(U17=0,0,U17/TrRail_act!U21*100)</f>
        <v>208.68055927001495</v>
      </c>
      <c r="V30" s="29">
        <f>IF(V17=0,0,V17/TrRail_act!V21*100)</f>
        <v>197.78369716798935</v>
      </c>
      <c r="W30" s="29">
        <f>IF(W17=0,0,W17/TrRail_act!W21*100)</f>
        <v>197.22690724889353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549.73339046558863</v>
      </c>
      <c r="C31" s="87">
        <f>IF(C18=0,0,C18/TrRail_act!C22*100)</f>
        <v>530.350722827607</v>
      </c>
      <c r="D31" s="87">
        <f>IF(D18=0,0,D18/TrRail_act!D22*100)</f>
        <v>516.89553619946992</v>
      </c>
      <c r="E31" s="87">
        <f>IF(E18=0,0,E18/TrRail_act!E22*100)</f>
        <v>496.08883032460147</v>
      </c>
      <c r="F31" s="87">
        <f>IF(F18=0,0,F18/TrRail_act!F22*100)</f>
        <v>490.37550497271798</v>
      </c>
      <c r="G31" s="87">
        <f>IF(G18=0,0,G18/TrRail_act!G22*100)</f>
        <v>482.10964709517816</v>
      </c>
      <c r="H31" s="87">
        <f>IF(H18=0,0,H18/TrRail_act!H22*100)</f>
        <v>471.44778255967037</v>
      </c>
      <c r="I31" s="87">
        <f>IF(I18=0,0,I18/TrRail_act!I22*100)</f>
        <v>467.36038065570347</v>
      </c>
      <c r="J31" s="87">
        <f>IF(J18=0,0,J18/TrRail_act!J22*100)</f>
        <v>452.49868723170943</v>
      </c>
      <c r="K31" s="87">
        <f>IF(K18=0,0,K18/TrRail_act!K22*100)</f>
        <v>443.75649516628465</v>
      </c>
      <c r="L31" s="87">
        <f>IF(L18=0,0,L18/TrRail_act!L22*100)</f>
        <v>435.27830107856369</v>
      </c>
      <c r="M31" s="87">
        <f>IF(M18=0,0,M18/TrRail_act!M22*100)</f>
        <v>430.64720814695585</v>
      </c>
      <c r="N31" s="87">
        <f>IF(N18=0,0,N18/TrRail_act!N22*100)</f>
        <v>427.76180616732643</v>
      </c>
      <c r="O31" s="87">
        <f>IF(O18=0,0,O18/TrRail_act!O22*100)</f>
        <v>427.72495409955013</v>
      </c>
      <c r="P31" s="87">
        <f>IF(P18=0,0,P18/TrRail_act!P22*100)</f>
        <v>422.83092662693929</v>
      </c>
      <c r="Q31" s="87">
        <f>IF(Q18=0,0,Q18/TrRail_act!Q22*100)</f>
        <v>421.28696148201038</v>
      </c>
      <c r="R31" s="87">
        <f>IF(R18=0,0,R18/TrRail_act!R22*100)</f>
        <v>420.13268854285508</v>
      </c>
      <c r="S31" s="87">
        <f>IF(S18=0,0,S18/TrRail_act!S22*100)</f>
        <v>419.26905974617262</v>
      </c>
      <c r="T31" s="87">
        <f>IF(T18=0,0,T18/TrRail_act!T22*100)</f>
        <v>418.62250337796831</v>
      </c>
      <c r="U31" s="87">
        <f>IF(U18=0,0,U18/TrRail_act!U22*100)</f>
        <v>418.13824050438387</v>
      </c>
      <c r="V31" s="87">
        <f>IF(V18=0,0,V18/TrRail_act!V22*100)</f>
        <v>417.77541101293735</v>
      </c>
      <c r="W31" s="87">
        <f>IF(W18=0,0,W18/TrRail_act!W22*100)</f>
        <v>417.50349550929178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212.94778365877528</v>
      </c>
      <c r="C32" s="88">
        <f>IF(C19=0,0,C19/TrRail_act!C23*100)</f>
        <v>207.44436511426366</v>
      </c>
      <c r="D32" s="88">
        <f>IF(D19=0,0,D19/TrRail_act!D23*100)</f>
        <v>202.58964998893697</v>
      </c>
      <c r="E32" s="88">
        <f>IF(E19=0,0,E19/TrRail_act!E23*100)</f>
        <v>198.97821801737521</v>
      </c>
      <c r="F32" s="88">
        <f>IF(F19=0,0,F19/TrRail_act!F23*100)</f>
        <v>192.1271076139009</v>
      </c>
      <c r="G32" s="88">
        <f>IF(G19=0,0,G19/TrRail_act!G23*100)</f>
        <v>187.72363478745098</v>
      </c>
      <c r="H32" s="88">
        <f>IF(H19=0,0,H19/TrRail_act!H23*100)</f>
        <v>182.10830188925911</v>
      </c>
      <c r="I32" s="88">
        <f>IF(I19=0,0,I19/TrRail_act!I23*100)</f>
        <v>177.68561294171926</v>
      </c>
      <c r="J32" s="88">
        <f>IF(J19=0,0,J19/TrRail_act!J23*100)</f>
        <v>173.9752960801967</v>
      </c>
      <c r="K32" s="88">
        <f>IF(K19=0,0,K19/TrRail_act!K23*100)</f>
        <v>169.22432356482287</v>
      </c>
      <c r="L32" s="88">
        <f>IF(L19=0,0,L19/TrRail_act!L23*100)</f>
        <v>168.4739867287004</v>
      </c>
      <c r="M32" s="88">
        <f>IF(M19=0,0,M19/TrRail_act!M23*100)</f>
        <v>165.16890341933959</v>
      </c>
      <c r="N32" s="88">
        <f>IF(N19=0,0,N19/TrRail_act!N23*100)</f>
        <v>160.85450491364912</v>
      </c>
      <c r="O32" s="88">
        <f>IF(O19=0,0,O19/TrRail_act!O23*100)</f>
        <v>157.47954783057895</v>
      </c>
      <c r="P32" s="88">
        <f>IF(P19=0,0,P19/TrRail_act!P23*100)</f>
        <v>151.93945397591489</v>
      </c>
      <c r="Q32" s="88">
        <f>IF(Q19=0,0,Q19/TrRail_act!Q23*100)</f>
        <v>150.57112749122695</v>
      </c>
      <c r="R32" s="88">
        <f>IF(R19=0,0,R19/TrRail_act!R23*100)</f>
        <v>149.55297554129399</v>
      </c>
      <c r="S32" s="88">
        <f>IF(S19=0,0,S19/TrRail_act!S23*100)</f>
        <v>148.79388219975502</v>
      </c>
      <c r="T32" s="88">
        <f>IF(T19=0,0,T19/TrRail_act!T23*100)</f>
        <v>148.22709177435786</v>
      </c>
      <c r="U32" s="88">
        <f>IF(U19=0,0,U19/TrRail_act!U23*100)</f>
        <v>147.80341627350492</v>
      </c>
      <c r="V32" s="88">
        <f>IF(V19=0,0,V19/TrRail_act!V23*100)</f>
        <v>147.48645456891393</v>
      </c>
      <c r="W32" s="88">
        <f>IF(W19=0,0,W19/TrRail_act!W23*100)</f>
        <v>147.2491791787553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15.014744438221147</v>
      </c>
      <c r="C35" s="29">
        <f>IF(C11=0,0,C11/TrRail_act!C4*1000)</f>
        <v>15.397755074483532</v>
      </c>
      <c r="D35" s="29">
        <f>IF(D11=0,0,D11/TrRail_act!D4*1000)</f>
        <v>14.801800820572623</v>
      </c>
      <c r="E35" s="29">
        <f>IF(E11=0,0,E11/TrRail_act!E4*1000)</f>
        <v>15.641282402307271</v>
      </c>
      <c r="F35" s="29">
        <f>IF(F11=0,0,F11/TrRail_act!F4*1000)</f>
        <v>14.442363290160579</v>
      </c>
      <c r="G35" s="29">
        <f>IF(G11=0,0,G11/TrRail_act!G4*1000)</f>
        <v>12.6179848846671</v>
      </c>
      <c r="H35" s="29">
        <f>IF(H11=0,0,H11/TrRail_act!H4*1000)</f>
        <v>13.383199662343706</v>
      </c>
      <c r="I35" s="29">
        <f>IF(I11=0,0,I11/TrRail_act!I4*1000)</f>
        <v>12.058731498112056</v>
      </c>
      <c r="J35" s="29">
        <f>IF(J11=0,0,J11/TrRail_act!J4*1000)</f>
        <v>11.519287349310057</v>
      </c>
      <c r="K35" s="29">
        <f>IF(K11=0,0,K11/TrRail_act!K4*1000)</f>
        <v>11.308118358583915</v>
      </c>
      <c r="L35" s="29">
        <f>IF(L11=0,0,L11/TrRail_act!L4*1000)</f>
        <v>6.9357931162345858</v>
      </c>
      <c r="M35" s="29">
        <f>IF(M11=0,0,M11/TrRail_act!M4*1000)</f>
        <v>7.062850340012143</v>
      </c>
      <c r="N35" s="29">
        <f>IF(N11=0,0,N11/TrRail_act!N4*1000)</f>
        <v>11.470193852083558</v>
      </c>
      <c r="O35" s="29">
        <f>IF(O11=0,0,O11/TrRail_act!O4*1000)</f>
        <v>9.5510587796722302</v>
      </c>
      <c r="P35" s="29">
        <f>IF(P11=0,0,P11/TrRail_act!P4*1000)</f>
        <v>20.544795430653757</v>
      </c>
      <c r="Q35" s="29">
        <f>IF(Q11=0,0,Q11/TrRail_act!Q4*1000)</f>
        <v>19.539604213760636</v>
      </c>
      <c r="R35" s="29">
        <f>IF(R11=0,0,R11/TrRail_act!R4*1000)</f>
        <v>19.365865196406876</v>
      </c>
      <c r="S35" s="29">
        <f>IF(S11=0,0,S11/TrRail_act!S4*1000)</f>
        <v>19.137625678375048</v>
      </c>
      <c r="T35" s="29">
        <f>IF(T11=0,0,T11/TrRail_act!T4*1000)</f>
        <v>18.765128152498782</v>
      </c>
      <c r="U35" s="29">
        <f>IF(U11=0,0,U11/TrRail_act!U4*1000)</f>
        <v>8.3431089936648775</v>
      </c>
      <c r="V35" s="29">
        <f>IF(V11=0,0,V11/TrRail_act!V4*1000)</f>
        <v>10.507087713055938</v>
      </c>
      <c r="W35" s="29">
        <f>IF(W11=0,0,W11/TrRail_act!W4*1000)</f>
        <v>10.902378842722145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5.367096572849448</v>
      </c>
      <c r="C36" s="115">
        <f>IF(C12=0,0,C12/TrRail_act!C5*1000)</f>
        <v>5.321955718734352</v>
      </c>
      <c r="D36" s="115">
        <f>IF(D12=0,0,D12/TrRail_act!D5*1000)</f>
        <v>5.3090558725069217</v>
      </c>
      <c r="E36" s="115">
        <f>IF(E12=0,0,E12/TrRail_act!E5*1000)</f>
        <v>5.3649974257537076</v>
      </c>
      <c r="F36" s="115">
        <f>IF(F12=0,0,F12/TrRail_act!F5*1000)</f>
        <v>5.2864235595302036</v>
      </c>
      <c r="G36" s="115">
        <f>IF(G12=0,0,G12/TrRail_act!G5*1000)</f>
        <v>2.6163388338374824</v>
      </c>
      <c r="H36" s="115">
        <f>IF(H12=0,0,H12/TrRail_act!H5*1000)</f>
        <v>4.1936021932613281</v>
      </c>
      <c r="I36" s="115">
        <f>IF(I12=0,0,I12/TrRail_act!I5*1000)</f>
        <v>4.8629171226871097</v>
      </c>
      <c r="J36" s="115">
        <f>IF(J12=0,0,J12/TrRail_act!J5*1000)</f>
        <v>3.1232620577752241</v>
      </c>
      <c r="K36" s="115">
        <f>IF(K12=0,0,K12/TrRail_act!K5*1000)</f>
        <v>3.5690644095698718</v>
      </c>
      <c r="L36" s="115">
        <f>IF(L12=0,0,L12/TrRail_act!L5*1000)</f>
        <v>2.0733704180351857</v>
      </c>
      <c r="M36" s="115">
        <f>IF(M12=0,0,M12/TrRail_act!M5*1000)</f>
        <v>2.6863643697575283</v>
      </c>
      <c r="N36" s="115">
        <f>IF(N12=0,0,N12/TrRail_act!N5*1000)</f>
        <v>2.4002986458280149</v>
      </c>
      <c r="O36" s="115">
        <f>IF(O12=0,0,O12/TrRail_act!O5*1000)</f>
        <v>3.8431400369947339</v>
      </c>
      <c r="P36" s="115">
        <f>IF(P12=0,0,P12/TrRail_act!P5*1000)</f>
        <v>4.9303522617465125</v>
      </c>
      <c r="Q36" s="115">
        <f>IF(Q12=0,0,Q12/TrRail_act!Q5*1000)</f>
        <v>4.529130885520944</v>
      </c>
      <c r="R36" s="115">
        <f>IF(R12=0,0,R12/TrRail_act!R5*1000)</f>
        <v>4.4060770329887582</v>
      </c>
      <c r="S36" s="115">
        <f>IF(S12=0,0,S12/TrRail_act!S5*1000)</f>
        <v>4.44517264546141</v>
      </c>
      <c r="T36" s="115">
        <f>IF(T12=0,0,T12/TrRail_act!T5*1000)</f>
        <v>4.4037335684906509</v>
      </c>
      <c r="U36" s="115">
        <f>IF(U12=0,0,U12/TrRail_act!U5*1000)</f>
        <v>3.8644414622894381</v>
      </c>
      <c r="V36" s="115">
        <f>IF(V12=0,0,V12/TrRail_act!V5*1000)</f>
        <v>5.8413843247432631</v>
      </c>
      <c r="W36" s="115">
        <f>IF(W12=0,0,W12/TrRail_act!W5*1000)</f>
        <v>5.6331579946443542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21.102072624749418</v>
      </c>
      <c r="C37" s="116">
        <f>IF(C13=0,0,C13/TrRail_act!C6*1000)</f>
        <v>23.068512454647475</v>
      </c>
      <c r="D37" s="116">
        <f>IF(D13=0,0,D13/TrRail_act!D6*1000)</f>
        <v>21.781760341209168</v>
      </c>
      <c r="E37" s="116">
        <f>IF(E13=0,0,E13/TrRail_act!E6*1000)</f>
        <v>24.781561288695446</v>
      </c>
      <c r="F37" s="116">
        <f>IF(F13=0,0,F13/TrRail_act!F6*1000)</f>
        <v>22.676122040727467</v>
      </c>
      <c r="G37" s="116">
        <f>IF(G13=0,0,G13/TrRail_act!G6*1000)</f>
        <v>20.709931527733136</v>
      </c>
      <c r="H37" s="116">
        <f>IF(H13=0,0,H13/TrRail_act!H6*1000)</f>
        <v>21.248399042287211</v>
      </c>
      <c r="I37" s="116">
        <f>IF(I13=0,0,I13/TrRail_act!I6*1000)</f>
        <v>18.024173467376261</v>
      </c>
      <c r="J37" s="116">
        <f>IF(J13=0,0,J13/TrRail_act!J6*1000)</f>
        <v>19.930513652235717</v>
      </c>
      <c r="K37" s="116">
        <f>IF(K13=0,0,K13/TrRail_act!K6*1000)</f>
        <v>20.123359768810548</v>
      </c>
      <c r="L37" s="116">
        <f>IF(L13=0,0,L13/TrRail_act!L6*1000)</f>
        <v>12.887238521540004</v>
      </c>
      <c r="M37" s="116">
        <f>IF(M13=0,0,M13/TrRail_act!M6*1000)</f>
        <v>14.712939438077912</v>
      </c>
      <c r="N37" s="116">
        <f>IF(N13=0,0,N13/TrRail_act!N6*1000)</f>
        <v>29.668734625624229</v>
      </c>
      <c r="O37" s="116">
        <f>IF(O13=0,0,O13/TrRail_act!O6*1000)</f>
        <v>18.545411716009465</v>
      </c>
      <c r="P37" s="116">
        <f>IF(P13=0,0,P13/TrRail_act!P6*1000)</f>
        <v>44.75692648272652</v>
      </c>
      <c r="Q37" s="116">
        <f>IF(Q13=0,0,Q13/TrRail_act!Q6*1000)</f>
        <v>39.43359017350901</v>
      </c>
      <c r="R37" s="116">
        <f>IF(R13=0,0,R13/TrRail_act!R6*1000)</f>
        <v>40.121542191302659</v>
      </c>
      <c r="S37" s="116">
        <f>IF(S13=0,0,S13/TrRail_act!S6*1000)</f>
        <v>41.447800890827338</v>
      </c>
      <c r="T37" s="116">
        <f>IF(T13=0,0,T13/TrRail_act!T6*1000)</f>
        <v>40.820582169495019</v>
      </c>
      <c r="U37" s="116">
        <f>IF(U13=0,0,U13/TrRail_act!U6*1000)</f>
        <v>14.345197928764062</v>
      </c>
      <c r="V37" s="116">
        <f>IF(V13=0,0,V13/TrRail_act!V6*1000)</f>
        <v>18.442137248994801</v>
      </c>
      <c r="W37" s="116">
        <f>IF(W13=0,0,W13/TrRail_act!W6*1000)</f>
        <v>19.98658022122402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26.972663910520588</v>
      </c>
      <c r="C38" s="87">
        <f>IF(C14=0,0,C14/TrRail_act!C7*1000)</f>
        <v>25.009247174002034</v>
      </c>
      <c r="D38" s="87">
        <f>IF(D14=0,0,D14/TrRail_act!D7*1000)</f>
        <v>24.717437471516728</v>
      </c>
      <c r="E38" s="87">
        <f>IF(E14=0,0,E14/TrRail_act!E7*1000)</f>
        <v>27.494405800948428</v>
      </c>
      <c r="F38" s="87">
        <f>IF(F14=0,0,F14/TrRail_act!F7*1000)</f>
        <v>25.4114323718712</v>
      </c>
      <c r="G38" s="87">
        <f>IF(G14=0,0,G14/TrRail_act!G7*1000)</f>
        <v>22.161027126222443</v>
      </c>
      <c r="H38" s="87">
        <f>IF(H14=0,0,H14/TrRail_act!H7*1000)</f>
        <v>21.381312532150393</v>
      </c>
      <c r="I38" s="87">
        <f>IF(I14=0,0,I14/TrRail_act!I7*1000)</f>
        <v>18.694240726851948</v>
      </c>
      <c r="J38" s="87">
        <f>IF(J14=0,0,J14/TrRail_act!J7*1000)</f>
        <v>21.96127142857322</v>
      </c>
      <c r="K38" s="87">
        <f>IF(K14=0,0,K14/TrRail_act!K7*1000)</f>
        <v>21.944824355588111</v>
      </c>
      <c r="L38" s="87">
        <f>IF(L14=0,0,L14/TrRail_act!L7*1000)</f>
        <v>12.9382739768291</v>
      </c>
      <c r="M38" s="87">
        <f>IF(M14=0,0,M14/TrRail_act!M7*1000)</f>
        <v>14.792254562328791</v>
      </c>
      <c r="N38" s="87">
        <f>IF(N14=0,0,N14/TrRail_act!N7*1000)</f>
        <v>32.2451082954952</v>
      </c>
      <c r="O38" s="87">
        <f>IF(O14=0,0,O14/TrRail_act!O7*1000)</f>
        <v>23.912672310558008</v>
      </c>
      <c r="P38" s="87">
        <f>IF(P14=0,0,P14/TrRail_act!P7*1000)</f>
        <v>51.348871173456146</v>
      </c>
      <c r="Q38" s="87">
        <f>IF(Q14=0,0,Q14/TrRail_act!Q7*1000)</f>
        <v>44.256441280670245</v>
      </c>
      <c r="R38" s="87">
        <f>IF(R14=0,0,R14/TrRail_act!R7*1000)</f>
        <v>42.921039362652508</v>
      </c>
      <c r="S38" s="87">
        <f>IF(S14=0,0,S14/TrRail_act!S7*1000)</f>
        <v>44.362445713601993</v>
      </c>
      <c r="T38" s="87">
        <f>IF(T14=0,0,T14/TrRail_act!T7*1000)</f>
        <v>43.891117365483673</v>
      </c>
      <c r="U38" s="87">
        <f>IF(U14=0,0,U14/TrRail_act!U7*1000)</f>
        <v>19.080789327354065</v>
      </c>
      <c r="V38" s="87">
        <f>IF(V14=0,0,V14/TrRail_act!V7*1000)</f>
        <v>23.638857707339504</v>
      </c>
      <c r="W38" s="87">
        <f>IF(W14=0,0,W14/TrRail_act!W7*1000)</f>
        <v>24.168355970639205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3.5004838984875244</v>
      </c>
      <c r="C39" s="87">
        <f>IF(C15=0,0,C15/TrRail_act!C8*1000)</f>
        <v>8.3106263742765663</v>
      </c>
      <c r="D39" s="87">
        <f>IF(D15=0,0,D15/TrRail_act!D8*1000)</f>
        <v>5.1684341093795476</v>
      </c>
      <c r="E39" s="87">
        <f>IF(E15=0,0,E15/TrRail_act!E8*1000)</f>
        <v>6.1563074318289335</v>
      </c>
      <c r="F39" s="87">
        <f>IF(F15=0,0,F15/TrRail_act!F8*1000)</f>
        <v>4.4913447144234366</v>
      </c>
      <c r="G39" s="87">
        <f>IF(G15=0,0,G15/TrRail_act!G8*1000)</f>
        <v>3.9079764636137111</v>
      </c>
      <c r="H39" s="87">
        <f>IF(H15=0,0,H15/TrRail_act!H8*1000)</f>
        <v>3.6293168715553441</v>
      </c>
      <c r="I39" s="87">
        <f>IF(I15=0,0,I15/TrRail_act!I8*1000)</f>
        <v>7.5945871425214087</v>
      </c>
      <c r="J39" s="87">
        <f>IF(J15=0,0,J15/TrRail_act!J8*1000)</f>
        <v>7.6556350560551687</v>
      </c>
      <c r="K39" s="87">
        <f>IF(K15=0,0,K15/TrRail_act!K8*1000)</f>
        <v>7.6897683531340624</v>
      </c>
      <c r="L39" s="87">
        <f>IF(L15=0,0,L15/TrRail_act!L8*1000)</f>
        <v>8.339979455281453</v>
      </c>
      <c r="M39" s="87">
        <f>IF(M15=0,0,M15/TrRail_act!M8*1000)</f>
        <v>7.6459618673244858</v>
      </c>
      <c r="N39" s="87">
        <f>IF(N15=0,0,N15/TrRail_act!N8*1000)</f>
        <v>6.7091052633013764</v>
      </c>
      <c r="O39" s="87">
        <f>IF(O15=0,0,O15/TrRail_act!O8*1000)</f>
        <v>6.8636743083446685</v>
      </c>
      <c r="P39" s="87">
        <f>IF(P15=0,0,P15/TrRail_act!P8*1000)</f>
        <v>23.346306779518674</v>
      </c>
      <c r="Q39" s="87">
        <f>IF(Q15=0,0,Q15/TrRail_act!Q8*1000)</f>
        <v>24.620938684270349</v>
      </c>
      <c r="R39" s="87">
        <f>IF(R15=0,0,R15/TrRail_act!R8*1000)</f>
        <v>28.172138282548442</v>
      </c>
      <c r="S39" s="87">
        <f>IF(S15=0,0,S15/TrRail_act!S8*1000)</f>
        <v>28.941642216325302</v>
      </c>
      <c r="T39" s="87">
        <f>IF(T15=0,0,T15/TrRail_act!T8*1000)</f>
        <v>29.988350171380592</v>
      </c>
      <c r="U39" s="87">
        <f>IF(U15=0,0,U15/TrRail_act!U8*1000)</f>
        <v>10.986758224681759</v>
      </c>
      <c r="V39" s="87">
        <f>IF(V15=0,0,V15/TrRail_act!V8*1000)</f>
        <v>14.632952980050218</v>
      </c>
      <c r="W39" s="87">
        <f>IF(W15=0,0,W15/TrRail_act!W8*1000)</f>
        <v>17.587214289506527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7.7813645635851065</v>
      </c>
      <c r="C41" s="29">
        <f>IF(C17=0,0,C17/TrRail_act!C10*1000)</f>
        <v>7.6393813197535465</v>
      </c>
      <c r="D41" s="29">
        <f>IF(D17=0,0,D17/TrRail_act!D10*1000)</f>
        <v>8.499638410410407</v>
      </c>
      <c r="E41" s="29">
        <f>IF(E17=0,0,E17/TrRail_act!E10*1000)</f>
        <v>8.0673221018518735</v>
      </c>
      <c r="F41" s="29">
        <f>IF(F17=0,0,F17/TrRail_act!F10*1000)</f>
        <v>7.9398976487081896</v>
      </c>
      <c r="G41" s="29">
        <f>IF(G17=0,0,G17/TrRail_act!G10*1000)</f>
        <v>5.6932149716998284</v>
      </c>
      <c r="H41" s="29">
        <f>IF(H17=0,0,H17/TrRail_act!H10*1000)</f>
        <v>5.7921014802397082</v>
      </c>
      <c r="I41" s="29">
        <f>IF(I17=0,0,I17/TrRail_act!I10*1000)</f>
        <v>5.7548918963096094</v>
      </c>
      <c r="J41" s="29">
        <f>IF(J17=0,0,J17/TrRail_act!J10*1000)</f>
        <v>7.8352895926999837</v>
      </c>
      <c r="K41" s="29">
        <f>IF(K17=0,0,K17/TrRail_act!K10*1000)</f>
        <v>5.0330384610299239</v>
      </c>
      <c r="L41" s="29">
        <f>IF(L17=0,0,L17/TrRail_act!L10*1000)</f>
        <v>4.8407910623192283</v>
      </c>
      <c r="M41" s="29">
        <f>IF(M17=0,0,M17/TrRail_act!M10*1000)</f>
        <v>4.4597634840609954</v>
      </c>
      <c r="N41" s="29">
        <f>IF(N17=0,0,N17/TrRail_act!N10*1000)</f>
        <v>5.8189295624373845</v>
      </c>
      <c r="O41" s="29">
        <f>IF(O17=0,0,O17/TrRail_act!O10*1000)</f>
        <v>5.1712111673669909</v>
      </c>
      <c r="P41" s="29">
        <f>IF(P17=0,0,P17/TrRail_act!P10*1000)</f>
        <v>5.4424020266941131</v>
      </c>
      <c r="Q41" s="29">
        <f>IF(Q17=0,0,Q17/TrRail_act!Q10*1000)</f>
        <v>5.4402178145492925</v>
      </c>
      <c r="R41" s="29">
        <f>IF(R17=0,0,R17/TrRail_act!R10*1000)</f>
        <v>5.3579886309463287</v>
      </c>
      <c r="S41" s="29">
        <f>IF(S17=0,0,S17/TrRail_act!S10*1000)</f>
        <v>5.2391350983241924</v>
      </c>
      <c r="T41" s="29">
        <f>IF(T17=0,0,T17/TrRail_act!T10*1000)</f>
        <v>5.1787630788936925</v>
      </c>
      <c r="U41" s="29">
        <f>IF(U17=0,0,U17/TrRail_act!U10*1000)</f>
        <v>4.2315957164931133</v>
      </c>
      <c r="V41" s="29">
        <f>IF(V17=0,0,V17/TrRail_act!V10*1000)</f>
        <v>4.6500778370264451</v>
      </c>
      <c r="W41" s="29">
        <f>IF(W17=0,0,W17/TrRail_act!W10*1000)</f>
        <v>4.2181779645782402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9.0744631688690234</v>
      </c>
      <c r="C42" s="87">
        <f>IF(C18=0,0,C18/TrRail_act!C11*1000)</f>
        <v>8.7022497267569321</v>
      </c>
      <c r="D42" s="87">
        <f>IF(D18=0,0,D18/TrRail_act!D11*1000)</f>
        <v>10.239581037882825</v>
      </c>
      <c r="E42" s="87">
        <f>IF(E18=0,0,E18/TrRail_act!E11*1000)</f>
        <v>9.7017341024980173</v>
      </c>
      <c r="F42" s="87">
        <f>IF(F18=0,0,F18/TrRail_act!F11*1000)</f>
        <v>9.6201385374055839</v>
      </c>
      <c r="G42" s="87">
        <f>IF(G18=0,0,G18/TrRail_act!G11*1000)</f>
        <v>6.5371294967634581</v>
      </c>
      <c r="H42" s="87">
        <f>IF(H18=0,0,H18/TrRail_act!H11*1000)</f>
        <v>6.3534306335063038</v>
      </c>
      <c r="I42" s="87">
        <f>IF(I18=0,0,I18/TrRail_act!I11*1000)</f>
        <v>5.9902472108843021</v>
      </c>
      <c r="J42" s="87">
        <f>IF(J18=0,0,J18/TrRail_act!J11*1000)</f>
        <v>8.9398803140880716</v>
      </c>
      <c r="K42" s="87">
        <f>IF(K18=0,0,K18/TrRail_act!K11*1000)</f>
        <v>5.6369958461496719</v>
      </c>
      <c r="L42" s="87">
        <f>IF(L18=0,0,L18/TrRail_act!L11*1000)</f>
        <v>5.2613057272526298</v>
      </c>
      <c r="M42" s="87">
        <f>IF(M18=0,0,M18/TrRail_act!M11*1000)</f>
        <v>5.1716740323883004</v>
      </c>
      <c r="N42" s="87">
        <f>IF(N18=0,0,N18/TrRail_act!N11*1000)</f>
        <v>7.9331843225117167</v>
      </c>
      <c r="O42" s="87">
        <f>IF(O18=0,0,O18/TrRail_act!O11*1000)</f>
        <v>7.8114933011405245</v>
      </c>
      <c r="P42" s="87">
        <f>IF(P18=0,0,P18/TrRail_act!P11*1000)</f>
        <v>7.6242832840557719</v>
      </c>
      <c r="Q42" s="87">
        <f>IF(Q18=0,0,Q18/TrRail_act!Q11*1000)</f>
        <v>7.694337238811281</v>
      </c>
      <c r="R42" s="87">
        <f>IF(R18=0,0,R18/TrRail_act!R11*1000)</f>
        <v>7.4979269934725412</v>
      </c>
      <c r="S42" s="87">
        <f>IF(S18=0,0,S18/TrRail_act!S11*1000)</f>
        <v>7.3329822970205827</v>
      </c>
      <c r="T42" s="87">
        <f>IF(T18=0,0,T18/TrRail_act!T11*1000)</f>
        <v>7.3467166330277234</v>
      </c>
      <c r="U42" s="87">
        <f>IF(U18=0,0,U18/TrRail_act!U11*1000)</f>
        <v>6.4966603039893016</v>
      </c>
      <c r="V42" s="87">
        <f>IF(V18=0,0,V18/TrRail_act!V11*1000)</f>
        <v>7.1653576858389352</v>
      </c>
      <c r="W42" s="87">
        <f>IF(W18=0,0,W18/TrRail_act!W11*1000)</f>
        <v>7.5050278166222881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3.7475350548528876</v>
      </c>
      <c r="C43" s="88">
        <f>IF(C19=0,0,C19/TrRail_act!C12*1000)</f>
        <v>4.5113131320130728</v>
      </c>
      <c r="D43" s="88">
        <f>IF(D19=0,0,D19/TrRail_act!D12*1000)</f>
        <v>3.2468501832046552</v>
      </c>
      <c r="E43" s="88">
        <f>IF(E19=0,0,E19/TrRail_act!E12*1000)</f>
        <v>3.2267517849791725</v>
      </c>
      <c r="F43" s="88">
        <f>IF(F19=0,0,F19/TrRail_act!F12*1000)</f>
        <v>3.0562652649791255</v>
      </c>
      <c r="G43" s="88">
        <f>IF(G19=0,0,G19/TrRail_act!G12*1000)</f>
        <v>2.0036648807674817</v>
      </c>
      <c r="H43" s="88">
        <f>IF(H19=0,0,H19/TrRail_act!H12*1000)</f>
        <v>1.8912431414917736</v>
      </c>
      <c r="I43" s="88">
        <f>IF(I19=0,0,I19/TrRail_act!I12*1000)</f>
        <v>4.6870333350685653</v>
      </c>
      <c r="J43" s="88">
        <f>IF(J19=0,0,J19/TrRail_act!J12*1000)</f>
        <v>2.8642361440487929</v>
      </c>
      <c r="K43" s="88">
        <f>IF(K19=0,0,K19/TrRail_act!K12*1000)</f>
        <v>2.8179930039045562</v>
      </c>
      <c r="L43" s="88">
        <f>IF(L19=0,0,L19/TrRail_act!L12*1000)</f>
        <v>2.9019799155483392</v>
      </c>
      <c r="M43" s="88">
        <f>IF(M19=0,0,M19/TrRail_act!M12*1000)</f>
        <v>2.9054776255884747</v>
      </c>
      <c r="N43" s="88">
        <f>IF(N19=0,0,N19/TrRail_act!N12*1000)</f>
        <v>2.8250558412672149</v>
      </c>
      <c r="O43" s="88">
        <f>IF(O19=0,0,O19/TrRail_act!O12*1000)</f>
        <v>2.8100073535025882</v>
      </c>
      <c r="P43" s="88">
        <f>IF(P19=0,0,P19/TrRail_act!P12*1000)</f>
        <v>3.0167027362474821</v>
      </c>
      <c r="Q43" s="88">
        <f>IF(Q19=0,0,Q19/TrRail_act!Q12*1000)</f>
        <v>3.0279454898884812</v>
      </c>
      <c r="R43" s="88">
        <f>IF(R19=0,0,R19/TrRail_act!R12*1000)</f>
        <v>2.9601021732798665</v>
      </c>
      <c r="S43" s="88">
        <f>IF(S19=0,0,S19/TrRail_act!S12*1000)</f>
        <v>2.9290043004666124</v>
      </c>
      <c r="T43" s="88">
        <f>IF(T19=0,0,T19/TrRail_act!T12*1000)</f>
        <v>2.9565789415849335</v>
      </c>
      <c r="U43" s="88">
        <f>IF(U19=0,0,U19/TrRail_act!U12*1000)</f>
        <v>3.2887937902139415</v>
      </c>
      <c r="V43" s="88">
        <f>IF(V19=0,0,V19/TrRail_act!V12*1000)</f>
        <v>3.7887427349223679</v>
      </c>
      <c r="W43" s="88">
        <f>IF(W19=0,0,W19/TrRail_act!W12*1000)</f>
        <v>3.2909871052347475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227612.41147660904</v>
      </c>
      <c r="C45" s="54">
        <f>IF(C10=0,0,1000000*C10/TrRail_act!C25)</f>
        <v>212517.48112846291</v>
      </c>
      <c r="D45" s="54">
        <f>IF(D10=0,0,1000000*D10/TrRail_act!D25)</f>
        <v>204727.46387931108</v>
      </c>
      <c r="E45" s="54">
        <f>IF(E10=0,0,1000000*E10/TrRail_act!E25)</f>
        <v>198993.31605741533</v>
      </c>
      <c r="F45" s="54">
        <f>IF(F10=0,0,1000000*F10/TrRail_act!F25)</f>
        <v>190280.21995217039</v>
      </c>
      <c r="G45" s="54">
        <f>IF(G10=0,0,1000000*G10/TrRail_act!G25)</f>
        <v>177572.93349442602</v>
      </c>
      <c r="H45" s="54">
        <f>IF(H10=0,0,1000000*H10/TrRail_act!H25)</f>
        <v>193309.86690062666</v>
      </c>
      <c r="I45" s="54">
        <f>IF(I10=0,0,1000000*I10/TrRail_act!I25)</f>
        <v>170153.39594991357</v>
      </c>
      <c r="J45" s="54">
        <f>IF(J10=0,0,1000000*J10/TrRail_act!J25)</f>
        <v>167965.29333221997</v>
      </c>
      <c r="K45" s="54">
        <f>IF(K10=0,0,1000000*K10/TrRail_act!K25)</f>
        <v>157851.85214621981</v>
      </c>
      <c r="L45" s="54">
        <f>IF(L10=0,0,1000000*L10/TrRail_act!L25)</f>
        <v>110152.82604542989</v>
      </c>
      <c r="M45" s="54">
        <f>IF(M10=0,0,1000000*M10/TrRail_act!M25)</f>
        <v>101376.00805215898</v>
      </c>
      <c r="N45" s="54">
        <f>IF(N10=0,0,1000000*N10/TrRail_act!N25)</f>
        <v>155885.72289864166</v>
      </c>
      <c r="O45" s="54">
        <f>IF(O10=0,0,1000000*O10/TrRail_act!O25)</f>
        <v>115137.66443700563</v>
      </c>
      <c r="P45" s="54">
        <f>IF(P10=0,0,1000000*P10/TrRail_act!P25)</f>
        <v>157656.42038841863</v>
      </c>
      <c r="Q45" s="54">
        <f>IF(Q10=0,0,1000000*Q10/TrRail_act!Q25)</f>
        <v>160596.39762747523</v>
      </c>
      <c r="R45" s="54">
        <f>IF(R10=0,0,1000000*R10/TrRail_act!R25)</f>
        <v>156216.1804126355</v>
      </c>
      <c r="S45" s="54">
        <f>IF(S10=0,0,1000000*S10/TrRail_act!S25)</f>
        <v>151492.69303664443</v>
      </c>
      <c r="T45" s="54">
        <f>IF(T10=0,0,1000000*T10/TrRail_act!T25)</f>
        <v>151299.26657217435</v>
      </c>
      <c r="U45" s="54">
        <f>IF(U10=0,0,1000000*U10/TrRail_act!U25)</f>
        <v>76674.030664714912</v>
      </c>
      <c r="V45" s="54">
        <f>IF(V10=0,0,1000000*V10/TrRail_act!V25)</f>
        <v>63684.34333079202</v>
      </c>
      <c r="W45" s="54">
        <f>IF(W10=0,0,1000000*W10/TrRail_act!W25)</f>
        <v>69257.236603197118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215890.75554299183</v>
      </c>
      <c r="C46" s="28">
        <f>IF(C11=0,0,1000000*C11/TrRail_act!C26)</f>
        <v>203210.9660081089</v>
      </c>
      <c r="D46" s="28">
        <f>IF(D11=0,0,1000000*D11/TrRail_act!D26)</f>
        <v>196057.51780235182</v>
      </c>
      <c r="E46" s="28">
        <f>IF(E11=0,0,1000000*E11/TrRail_act!E26)</f>
        <v>187582.57538014062</v>
      </c>
      <c r="F46" s="28">
        <f>IF(F11=0,0,1000000*F11/TrRail_act!F26)</f>
        <v>176225.67405260087</v>
      </c>
      <c r="G46" s="28">
        <f>IF(G11=0,0,1000000*G11/TrRail_act!G26)</f>
        <v>167398.27922712654</v>
      </c>
      <c r="H46" s="28">
        <f>IF(H11=0,0,1000000*H11/TrRail_act!H26)</f>
        <v>181666.91313216431</v>
      </c>
      <c r="I46" s="28">
        <f>IF(I11=0,0,1000000*I11/TrRail_act!I26)</f>
        <v>156475.76079099404</v>
      </c>
      <c r="J46" s="28">
        <f>IF(J11=0,0,1000000*J11/TrRail_act!J26)</f>
        <v>149314.42048331452</v>
      </c>
      <c r="K46" s="28">
        <f>IF(K11=0,0,1000000*K11/TrRail_act!K26)</f>
        <v>151317.2295696027</v>
      </c>
      <c r="L46" s="28">
        <f>IF(L11=0,0,1000000*L11/TrRail_act!L26)</f>
        <v>100100.33658932747</v>
      </c>
      <c r="M46" s="28">
        <f>IF(M11=0,0,1000000*M11/TrRail_act!M26)</f>
        <v>96982.423463561165</v>
      </c>
      <c r="N46" s="28">
        <f>IF(N11=0,0,1000000*N11/TrRail_act!N26)</f>
        <v>152776.52322607473</v>
      </c>
      <c r="O46" s="28">
        <f>IF(O11=0,0,1000000*O11/TrRail_act!O26)</f>
        <v>113041.30710679163</v>
      </c>
      <c r="P46" s="28">
        <f>IF(P11=0,0,1000000*P11/TrRail_act!P26)</f>
        <v>155680.49547401883</v>
      </c>
      <c r="Q46" s="28">
        <f>IF(Q11=0,0,1000000*Q11/TrRail_act!Q26)</f>
        <v>158798.05913479757</v>
      </c>
      <c r="R46" s="28">
        <f>IF(R11=0,0,1000000*R11/TrRail_act!R26)</f>
        <v>154830.53239323528</v>
      </c>
      <c r="S46" s="28">
        <f>IF(S11=0,0,1000000*S11/TrRail_act!S26)</f>
        <v>148654.49102462325</v>
      </c>
      <c r="T46" s="28">
        <f>IF(T11=0,0,1000000*T11/TrRail_act!T26)</f>
        <v>147778.60036113666</v>
      </c>
      <c r="U46" s="28">
        <f>IF(U11=0,0,1000000*U11/TrRail_act!U26)</f>
        <v>72185.47554841869</v>
      </c>
      <c r="V46" s="28">
        <f>IF(V11=0,0,1000000*V11/TrRail_act!V26)</f>
        <v>57247.551258999971</v>
      </c>
      <c r="W46" s="28">
        <f>IF(W11=0,0,1000000*W11/TrRail_act!W26)</f>
        <v>63145.646295949045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50488.7437896396</v>
      </c>
      <c r="C47" s="108">
        <f>IF(C12=0,0,1000000*C12/TrRail_act!C27)</f>
        <v>50062.58746101553</v>
      </c>
      <c r="D47" s="108">
        <f>IF(D12=0,0,1000000*D12/TrRail_act!D27)</f>
        <v>49462.967070082625</v>
      </c>
      <c r="E47" s="108">
        <f>IF(E12=0,0,1000000*E12/TrRail_act!E27)</f>
        <v>49726.371068165136</v>
      </c>
      <c r="F47" s="108">
        <f>IF(F12=0,0,1000000*F12/TrRail_act!F27)</f>
        <v>48645.179803799176</v>
      </c>
      <c r="G47" s="108">
        <f>IF(G12=0,0,1000000*G12/TrRail_act!G27)</f>
        <v>26100.807997088687</v>
      </c>
      <c r="H47" s="108">
        <f>IF(H12=0,0,1000000*H12/TrRail_act!H27)</f>
        <v>45663.824801329669</v>
      </c>
      <c r="I47" s="108">
        <f>IF(I12=0,0,1000000*I12/TrRail_act!I27)</f>
        <v>44669.237462943725</v>
      </c>
      <c r="J47" s="108">
        <f>IF(J12=0,0,1000000*J12/TrRail_act!J27)</f>
        <v>32096.125456218997</v>
      </c>
      <c r="K47" s="108">
        <f>IF(K12=0,0,1000000*K12/TrRail_act!K27)</f>
        <v>40057.418872642163</v>
      </c>
      <c r="L47" s="108">
        <f>IF(L12=0,0,1000000*L12/TrRail_act!L27)</f>
        <v>25762.238746342609</v>
      </c>
      <c r="M47" s="108">
        <f>IF(M12=0,0,1000000*M12/TrRail_act!M27)</f>
        <v>36400.68688594261</v>
      </c>
      <c r="N47" s="108">
        <f>IF(N12=0,0,1000000*N12/TrRail_act!N27)</f>
        <v>36120.92575098369</v>
      </c>
      <c r="O47" s="108">
        <f>IF(O12=0,0,1000000*O12/TrRail_act!O27)</f>
        <v>41110.423696139915</v>
      </c>
      <c r="P47" s="108">
        <f>IF(P12=0,0,1000000*P12/TrRail_act!P27)</f>
        <v>40056.018284001337</v>
      </c>
      <c r="Q47" s="108">
        <f>IF(Q12=0,0,1000000*Q12/TrRail_act!Q27)</f>
        <v>38883.907011720155</v>
      </c>
      <c r="R47" s="108">
        <f>IF(R12=0,0,1000000*R12/TrRail_act!R27)</f>
        <v>38027.387096855586</v>
      </c>
      <c r="S47" s="108">
        <f>IF(S12=0,0,1000000*S12/TrRail_act!S27)</f>
        <v>37397.401533606419</v>
      </c>
      <c r="T47" s="108">
        <f>IF(T12=0,0,1000000*T12/TrRail_act!T27)</f>
        <v>36931.771040525229</v>
      </c>
      <c r="U47" s="108">
        <f>IF(U12=0,0,1000000*U12/TrRail_act!U27)</f>
        <v>34213.502849264121</v>
      </c>
      <c r="V47" s="108">
        <f>IF(V12=0,0,1000000*V12/TrRail_act!V27)</f>
        <v>35948.657569110561</v>
      </c>
      <c r="W47" s="108">
        <f>IF(W12=0,0,1000000*W12/TrRail_act!W27)</f>
        <v>36137.898289460492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455209.95670547965</v>
      </c>
      <c r="C48" s="110">
        <f>IF(C13=0,0,1000000*C13/TrRail_act!C28)</f>
        <v>439176.53935050889</v>
      </c>
      <c r="D48" s="110">
        <f>IF(D13=0,0,1000000*D13/TrRail_act!D28)</f>
        <v>418173.25294206745</v>
      </c>
      <c r="E48" s="110">
        <f>IF(E13=0,0,1000000*E13/TrRail_act!E28)</f>
        <v>402391.70020507002</v>
      </c>
      <c r="F48" s="110">
        <f>IF(F13=0,0,1000000*F13/TrRail_act!F28)</f>
        <v>391469.58734094765</v>
      </c>
      <c r="G48" s="110">
        <f>IF(G13=0,0,1000000*G13/TrRail_act!G28)</f>
        <v>374762.06657095661</v>
      </c>
      <c r="H48" s="110">
        <f>IF(H13=0,0,1000000*H13/TrRail_act!H28)</f>
        <v>365597.50918053801</v>
      </c>
      <c r="I48" s="110">
        <f>IF(I13=0,0,1000000*I13/TrRail_act!I28)</f>
        <v>355496.27291908028</v>
      </c>
      <c r="J48" s="110">
        <f>IF(J13=0,0,1000000*J13/TrRail_act!J28)</f>
        <v>349967.70610272576</v>
      </c>
      <c r="K48" s="110">
        <f>IF(K13=0,0,1000000*K13/TrRail_act!K28)</f>
        <v>344780.25121538428</v>
      </c>
      <c r="L48" s="110">
        <f>IF(L13=0,0,1000000*L13/TrRail_act!L28)</f>
        <v>231830.4719543985</v>
      </c>
      <c r="M48" s="110">
        <f>IF(M13=0,0,1000000*M13/TrRail_act!M28)</f>
        <v>206863.24421390193</v>
      </c>
      <c r="N48" s="110">
        <f>IF(N13=0,0,1000000*N13/TrRail_act!N28)</f>
        <v>321134.93175273383</v>
      </c>
      <c r="O48" s="110">
        <f>IF(O13=0,0,1000000*O13/TrRail_act!O28)</f>
        <v>263717.19771909941</v>
      </c>
      <c r="P48" s="110">
        <f>IF(P13=0,0,1000000*P13/TrRail_act!P28)</f>
        <v>307102.89559372305</v>
      </c>
      <c r="Q48" s="110">
        <f>IF(Q13=0,0,1000000*Q13/TrRail_act!Q28)</f>
        <v>299300.55561276054</v>
      </c>
      <c r="R48" s="110">
        <f>IF(R13=0,0,1000000*R13/TrRail_act!R28)</f>
        <v>291033.73084371869</v>
      </c>
      <c r="S48" s="110">
        <f>IF(S13=0,0,1000000*S13/TrRail_act!S28)</f>
        <v>288362.22284110216</v>
      </c>
      <c r="T48" s="110">
        <f>IF(T13=0,0,1000000*T13/TrRail_act!T28)</f>
        <v>293946.93957813631</v>
      </c>
      <c r="U48" s="110">
        <f>IF(U13=0,0,1000000*U13/TrRail_act!U28)</f>
        <v>120445.95444217375</v>
      </c>
      <c r="V48" s="110">
        <f>IF(V13=0,0,1000000*V13/TrRail_act!V28)</f>
        <v>84083.975887592707</v>
      </c>
      <c r="W48" s="110">
        <f>IF(W13=0,0,1000000*W13/TrRail_act!W28)</f>
        <v>99152.209557572918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471491.75191443675</v>
      </c>
      <c r="C49" s="84">
        <f>IF(C14=0,0,1000000*C14/TrRail_act!C29)</f>
        <v>454207.16989490966</v>
      </c>
      <c r="D49" s="84">
        <f>IF(D14=0,0,1000000*D14/TrRail_act!D29)</f>
        <v>430745.7326427825</v>
      </c>
      <c r="E49" s="84">
        <f>IF(E14=0,0,1000000*E14/TrRail_act!E29)</f>
        <v>412885.29654468561</v>
      </c>
      <c r="F49" s="84">
        <f>IF(F14=0,0,1000000*F14/TrRail_act!F29)</f>
        <v>401245.7017393242</v>
      </c>
      <c r="G49" s="84">
        <f>IF(G14=0,0,1000000*G14/TrRail_act!G29)</f>
        <v>384696.85542218294</v>
      </c>
      <c r="H49" s="84">
        <f>IF(H14=0,0,1000000*H14/TrRail_act!H29)</f>
        <v>377655.95090977271</v>
      </c>
      <c r="I49" s="84">
        <f>IF(I14=0,0,1000000*I14/TrRail_act!I29)</f>
        <v>361917.04037200881</v>
      </c>
      <c r="J49" s="84">
        <f>IF(J14=0,0,1000000*J14/TrRail_act!J29)</f>
        <v>364843.94142178824</v>
      </c>
      <c r="K49" s="84">
        <f>IF(K14=0,0,1000000*K14/TrRail_act!K29)</f>
        <v>362357.15813571174</v>
      </c>
      <c r="L49" s="84">
        <f>IF(L14=0,0,1000000*L14/TrRail_act!L29)</f>
        <v>254969.68244900007</v>
      </c>
      <c r="M49" s="84">
        <f>IF(M14=0,0,1000000*M14/TrRail_act!M29)</f>
        <v>228572.01543906154</v>
      </c>
      <c r="N49" s="84">
        <f>IF(N14=0,0,1000000*N14/TrRail_act!N29)</f>
        <v>341219.40947342687</v>
      </c>
      <c r="O49" s="84">
        <f>IF(O14=0,0,1000000*O14/TrRail_act!O29)</f>
        <v>276390.58963660145</v>
      </c>
      <c r="P49" s="84">
        <f>IF(P14=0,0,1000000*P14/TrRail_act!P29)</f>
        <v>334462.35589179181</v>
      </c>
      <c r="Q49" s="84">
        <f>IF(Q14=0,0,1000000*Q14/TrRail_act!Q29)</f>
        <v>331860.15593384468</v>
      </c>
      <c r="R49" s="84">
        <f>IF(R14=0,0,1000000*R14/TrRail_act!R29)</f>
        <v>329921.79963338922</v>
      </c>
      <c r="S49" s="84">
        <f>IF(S14=0,0,1000000*S14/TrRail_act!S29)</f>
        <v>328475.46821179875</v>
      </c>
      <c r="T49" s="84">
        <f>IF(T14=0,0,1000000*T14/TrRail_act!T29)</f>
        <v>327394.87981613853</v>
      </c>
      <c r="U49" s="84">
        <f>IF(U14=0,0,1000000*U14/TrRail_act!U29)</f>
        <v>92443.277092256467</v>
      </c>
      <c r="V49" s="84">
        <f>IF(V14=0,0,1000000*V14/TrRail_act!V29)</f>
        <v>64548.377745727594</v>
      </c>
      <c r="W49" s="84">
        <f>IF(W14=0,0,1000000*W14/TrRail_act!W29)</f>
        <v>63198.165225676355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253203.90827130465</v>
      </c>
      <c r="C50" s="84">
        <f>IF(C15=0,0,1000000*C15/TrRail_act!C30)</f>
        <v>249920.45351750747</v>
      </c>
      <c r="D50" s="84">
        <f>IF(D15=0,0,1000000*D15/TrRail_act!D30)</f>
        <v>233624.50156040635</v>
      </c>
      <c r="E50" s="84">
        <f>IF(E15=0,0,1000000*E15/TrRail_act!E30)</f>
        <v>226153.60534684404</v>
      </c>
      <c r="F50" s="84">
        <f>IF(F15=0,0,1000000*F15/TrRail_act!F30)</f>
        <v>204267.81327664622</v>
      </c>
      <c r="G50" s="84">
        <f>IF(G15=0,0,1000000*G15/TrRail_act!G30)</f>
        <v>139023.63603556124</v>
      </c>
      <c r="H50" s="84">
        <f>IF(H15=0,0,1000000*H15/TrRail_act!H30)</f>
        <v>14096.39796007983</v>
      </c>
      <c r="I50" s="84">
        <f>IF(I15=0,0,1000000*I15/TrRail_act!I30)</f>
        <v>211640.15700013022</v>
      </c>
      <c r="J50" s="84">
        <f>IF(J15=0,0,1000000*J15/TrRail_act!J30)</f>
        <v>205018.80322102009</v>
      </c>
      <c r="K50" s="84">
        <f>IF(K15=0,0,1000000*K15/TrRail_act!K30)</f>
        <v>177271.15531020777</v>
      </c>
      <c r="L50" s="84">
        <f>IF(L15=0,0,1000000*L15/TrRail_act!L30)</f>
        <v>17116.364253379397</v>
      </c>
      <c r="M50" s="84">
        <f>IF(M15=0,0,1000000*M15/TrRail_act!M30)</f>
        <v>11908.102419892437</v>
      </c>
      <c r="N50" s="84">
        <f>IF(N15=0,0,1000000*N15/TrRail_act!N30)</f>
        <v>91204.216925622182</v>
      </c>
      <c r="O50" s="84">
        <f>IF(O15=0,0,1000000*O15/TrRail_act!O30)</f>
        <v>195680.48385158234</v>
      </c>
      <c r="P50" s="84">
        <f>IF(P15=0,0,1000000*P15/TrRail_act!P30)</f>
        <v>193832.68815608387</v>
      </c>
      <c r="Q50" s="84">
        <f>IF(Q15=0,0,1000000*Q15/TrRail_act!Q30)</f>
        <v>194142.05152628288</v>
      </c>
      <c r="R50" s="84">
        <f>IF(R15=0,0,1000000*R15/TrRail_act!R30)</f>
        <v>164749.99835621566</v>
      </c>
      <c r="S50" s="84">
        <f>IF(S15=0,0,1000000*S15/TrRail_act!S30)</f>
        <v>159918.28870662863</v>
      </c>
      <c r="T50" s="84">
        <f>IF(T15=0,0,1000000*T15/TrRail_act!T30)</f>
        <v>192436.16746050346</v>
      </c>
      <c r="U50" s="84">
        <f>IF(U15=0,0,1000000*U15/TrRail_act!U30)</f>
        <v>192126.57749631951</v>
      </c>
      <c r="V50" s="84">
        <f>IF(V15=0,0,1000000*V15/TrRail_act!V30)</f>
        <v>131048.60870801919</v>
      </c>
      <c r="W50" s="84">
        <f>IF(W15=0,0,1000000*W15/TrRail_act!W30)</f>
        <v>179808.8555489681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927902.01458519464</v>
      </c>
      <c r="C52" s="28">
        <f>IF(C17=0,0,1000000*C17/TrRail_act!C32)</f>
        <v>841492.03051506355</v>
      </c>
      <c r="D52" s="28">
        <f>IF(D17=0,0,1000000*D17/TrRail_act!D32)</f>
        <v>819950.88056771003</v>
      </c>
      <c r="E52" s="28">
        <f>IF(E17=0,0,1000000*E17/TrRail_act!E32)</f>
        <v>862197.00305050402</v>
      </c>
      <c r="F52" s="28">
        <f>IF(F17=0,0,1000000*F17/TrRail_act!F32)</f>
        <v>850637.63320072682</v>
      </c>
      <c r="G52" s="28">
        <f>IF(G17=0,0,1000000*G17/TrRail_act!G32)</f>
        <v>675339.95480602398</v>
      </c>
      <c r="H52" s="28">
        <f>IF(H17=0,0,1000000*H17/TrRail_act!H32)</f>
        <v>778952.20144807012</v>
      </c>
      <c r="I52" s="28">
        <f>IF(I17=0,0,1000000*I17/TrRail_act!I32)</f>
        <v>753935.76215297822</v>
      </c>
      <c r="J52" s="28">
        <f>IF(J17=0,0,1000000*J17/TrRail_act!J32)</f>
        <v>746448.42166389979</v>
      </c>
      <c r="K52" s="28">
        <f>IF(K17=0,0,1000000*K17/TrRail_act!K32)</f>
        <v>352015.44966114982</v>
      </c>
      <c r="L52" s="28">
        <f>IF(L17=0,0,1000000*L17/TrRail_act!L32)</f>
        <v>394495.63645374641</v>
      </c>
      <c r="M52" s="28">
        <f>IF(M17=0,0,1000000*M17/TrRail_act!M32)</f>
        <v>218755.59524075867</v>
      </c>
      <c r="N52" s="28">
        <f>IF(N17=0,0,1000000*N17/TrRail_act!N32)</f>
        <v>241526.09903177014</v>
      </c>
      <c r="O52" s="28">
        <f>IF(O17=0,0,1000000*O17/TrRail_act!O32)</f>
        <v>189716.25258584984</v>
      </c>
      <c r="P52" s="28">
        <f>IF(P17=0,0,1000000*P17/TrRail_act!P32)</f>
        <v>272403.19043808058</v>
      </c>
      <c r="Q52" s="28">
        <f>IF(Q17=0,0,1000000*Q17/TrRail_act!Q32)</f>
        <v>270510.06591786619</v>
      </c>
      <c r="R52" s="28">
        <f>IF(R17=0,0,1000000*R17/TrRail_act!R32)</f>
        <v>245011.89607504479</v>
      </c>
      <c r="S52" s="28">
        <f>IF(S17=0,0,1000000*S17/TrRail_act!S32)</f>
        <v>333371.6124158841</v>
      </c>
      <c r="T52" s="28">
        <f>IF(T17=0,0,1000000*T17/TrRail_act!T32)</f>
        <v>371118.95458731934</v>
      </c>
      <c r="U52" s="28">
        <f>IF(U17=0,0,1000000*U17/TrRail_act!U32)</f>
        <v>285623.13288999995</v>
      </c>
      <c r="V52" s="28">
        <f>IF(V17=0,0,1000000*V17/TrRail_act!V32)</f>
        <v>305040.99052886799</v>
      </c>
      <c r="W52" s="28">
        <f>IF(W17=0,0,1000000*W17/TrRail_act!W32)</f>
        <v>300911.6883301519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1099466.3777764298</v>
      </c>
      <c r="C53" s="84">
        <f>IF(C18=0,0,1000000*C18/TrRail_act!C33)</f>
        <v>1027614.0624724701</v>
      </c>
      <c r="D53" s="84">
        <f>IF(D18=0,0,1000000*D18/TrRail_act!D33)</f>
        <v>1033790.8771263973</v>
      </c>
      <c r="E53" s="84">
        <f>IF(E18=0,0,1000000*E18/TrRail_act!E33)</f>
        <v>992177.59588382638</v>
      </c>
      <c r="F53" s="84">
        <f>IF(F18=0,0,1000000*F18/TrRail_act!F33)</f>
        <v>980750.94825897901</v>
      </c>
      <c r="G53" s="84">
        <f>IF(G18=0,0,1000000*G18/TrRail_act!G33)</f>
        <v>804552.63006942871</v>
      </c>
      <c r="H53" s="84">
        <f>IF(H18=0,0,1000000*H18/TrRail_act!H33)</f>
        <v>942895.33091546316</v>
      </c>
      <c r="I53" s="84">
        <f>IF(I18=0,0,1000000*I18/TrRail_act!I33)</f>
        <v>934720.67203905701</v>
      </c>
      <c r="J53" s="84">
        <f>IF(J18=0,0,1000000*J18/TrRail_act!J33)</f>
        <v>904997.31089765462</v>
      </c>
      <c r="K53" s="84">
        <f>IF(K18=0,0,1000000*K18/TrRail_act!K33)</f>
        <v>401744.06240666501</v>
      </c>
      <c r="L53" s="84">
        <f>IF(L18=0,0,1000000*L18/TrRail_act!L33)</f>
        <v>456204.50996711396</v>
      </c>
      <c r="M53" s="84">
        <f>IF(M18=0,0,1000000*M18/TrRail_act!M33)</f>
        <v>224877.60131127146</v>
      </c>
      <c r="N53" s="84">
        <f>IF(N18=0,0,1000000*N18/TrRail_act!N33)</f>
        <v>248964.95659474042</v>
      </c>
      <c r="O53" s="84">
        <f>IF(O18=0,0,1000000*O18/TrRail_act!O33)</f>
        <v>174161.29519393964</v>
      </c>
      <c r="P53" s="84">
        <f>IF(P18=0,0,1000000*P18/TrRail_act!P33)</f>
        <v>262718.35722233681</v>
      </c>
      <c r="Q53" s="84">
        <f>IF(Q18=0,0,1000000*Q18/TrRail_act!Q33)</f>
        <v>260756.43512834911</v>
      </c>
      <c r="R53" s="84">
        <f>IF(R18=0,0,1000000*R18/TrRail_act!R33)</f>
        <v>238600.96652169374</v>
      </c>
      <c r="S53" s="84">
        <f>IF(S18=0,0,1000000*S18/TrRail_act!S33)</f>
        <v>348544.89441303693</v>
      </c>
      <c r="T53" s="84">
        <f>IF(T18=0,0,1000000*T18/TrRail_act!T33)</f>
        <v>411843.59251638106</v>
      </c>
      <c r="U53" s="84">
        <f>IF(U18=0,0,1000000*U18/TrRail_act!U33)</f>
        <v>274353.90477939969</v>
      </c>
      <c r="V53" s="84">
        <f>IF(V18=0,0,1000000*V18/TrRail_act!V33)</f>
        <v>322012.08527732978</v>
      </c>
      <c r="W53" s="84">
        <f>IF(W18=0,0,1000000*W18/TrRail_act!W33)</f>
        <v>331012.66497586202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425895.52037219855</v>
      </c>
      <c r="C54" s="86">
        <f>IF(C19=0,0,1000000*C19/TrRail_act!C34)</f>
        <v>414888.5092306165</v>
      </c>
      <c r="D54" s="86">
        <f>IF(D19=0,0,1000000*D19/TrRail_act!D34)</f>
        <v>276134.69808754587</v>
      </c>
      <c r="E54" s="86">
        <f>IF(E19=0,0,1000000*E19/TrRail_act!E34)</f>
        <v>397956.26745165751</v>
      </c>
      <c r="F54" s="86">
        <f>IF(F19=0,0,1000000*F19/TrRail_act!F34)</f>
        <v>384254.098173826</v>
      </c>
      <c r="G54" s="86">
        <f>IF(G19=0,0,1000000*G19/TrRail_act!G34)</f>
        <v>205220.45785398115</v>
      </c>
      <c r="H54" s="86">
        <f>IF(H19=0,0,1000000*H19/TrRail_act!H34)</f>
        <v>153969.5154888485</v>
      </c>
      <c r="I54" s="86">
        <f>IF(I19=0,0,1000000*I19/TrRail_act!I34)</f>
        <v>355371.06826309912</v>
      </c>
      <c r="J54" s="86">
        <f>IF(J19=0,0,1000000*J19/TrRail_act!J34)</f>
        <v>215683.30560209393</v>
      </c>
      <c r="K54" s="86">
        <f>IF(K19=0,0,1000000*K19/TrRail_act!K34)</f>
        <v>184483.31494106617</v>
      </c>
      <c r="L54" s="86">
        <f>IF(L19=0,0,1000000*L19/TrRail_act!L34)</f>
        <v>185149.69548308422</v>
      </c>
      <c r="M54" s="86">
        <f>IF(M19=0,0,1000000*M19/TrRail_act!M34)</f>
        <v>197826.47189332108</v>
      </c>
      <c r="N54" s="86">
        <f>IF(N19=0,0,1000000*N19/TrRail_act!N34)</f>
        <v>215877.05539542195</v>
      </c>
      <c r="O54" s="86">
        <f>IF(O19=0,0,1000000*O19/TrRail_act!O34)</f>
        <v>243863.07465314513</v>
      </c>
      <c r="P54" s="86">
        <f>IF(P19=0,0,1000000*P19/TrRail_act!P34)</f>
        <v>303878.82717777439</v>
      </c>
      <c r="Q54" s="86">
        <f>IF(Q19=0,0,1000000*Q19/TrRail_act!Q34)</f>
        <v>301142.06015433482</v>
      </c>
      <c r="R54" s="86">
        <f>IF(R19=0,0,1000000*R19/TrRail_act!R34)</f>
        <v>265239.72294881649</v>
      </c>
      <c r="S54" s="86">
        <f>IF(S19=0,0,1000000*S19/TrRail_act!S34)</f>
        <v>297587.68746331061</v>
      </c>
      <c r="T54" s="86">
        <f>IF(T19=0,0,1000000*T19/TrRail_act!T34)</f>
        <v>296454.09519714472</v>
      </c>
      <c r="U54" s="86">
        <f>IF(U19=0,0,1000000*U19/TrRail_act!U34)</f>
        <v>295606.81757853361</v>
      </c>
      <c r="V54" s="86">
        <f>IF(V19=0,0,1000000*V19/TrRail_act!V34)</f>
        <v>294972.87117302488</v>
      </c>
      <c r="W54" s="86">
        <f>IF(W19=0,0,1000000*W19/TrRail_act!W34)</f>
        <v>284281.39839355357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0.93288674760687396</v>
      </c>
      <c r="C57" s="31">
        <f t="shared" ref="C57:V57" si="17">IF(C11=0,0,C11/C$10)</f>
        <v>0.94226615603781461</v>
      </c>
      <c r="D57" s="31">
        <f t="shared" si="17"/>
        <v>0.94434326046927586</v>
      </c>
      <c r="E57" s="31">
        <f t="shared" si="17"/>
        <v>0.92671312047334942</v>
      </c>
      <c r="F57" s="31">
        <f t="shared" si="17"/>
        <v>0.90683720637881793</v>
      </c>
      <c r="G57" s="31">
        <f t="shared" si="17"/>
        <v>0.92381815457077299</v>
      </c>
      <c r="H57" s="31">
        <f t="shared" si="17"/>
        <v>0.92145145542632789</v>
      </c>
      <c r="I57" s="31">
        <f t="shared" si="17"/>
        <v>0.89856311539891998</v>
      </c>
      <c r="J57" s="31">
        <f t="shared" si="17"/>
        <v>0.86119420054457896</v>
      </c>
      <c r="K57" s="31">
        <f t="shared" si="17"/>
        <v>0.92739123822341252</v>
      </c>
      <c r="L57" s="31">
        <f t="shared" si="17"/>
        <v>0.87771045918472834</v>
      </c>
      <c r="M57" s="31">
        <f t="shared" si="17"/>
        <v>0.92214413065880796</v>
      </c>
      <c r="N57" s="31">
        <f t="shared" si="17"/>
        <v>0.94571997324639545</v>
      </c>
      <c r="O57" s="31">
        <f t="shared" si="17"/>
        <v>0.95494956824439126</v>
      </c>
      <c r="P57" s="31">
        <f t="shared" si="17"/>
        <v>0.97075068772301532</v>
      </c>
      <c r="Q57" s="31">
        <f t="shared" si="17"/>
        <v>0.97288440006433929</v>
      </c>
      <c r="R57" s="31">
        <f t="shared" si="17"/>
        <v>0.97590109645193412</v>
      </c>
      <c r="S57" s="31">
        <f t="shared" si="17"/>
        <v>0.96618782708793893</v>
      </c>
      <c r="T57" s="31">
        <f t="shared" si="17"/>
        <v>0.96133357991220825</v>
      </c>
      <c r="U57" s="31">
        <f t="shared" si="17"/>
        <v>0.92166053503724388</v>
      </c>
      <c r="V57" s="31">
        <f t="shared" si="17"/>
        <v>0.87557570053740541</v>
      </c>
      <c r="W57" s="31">
        <f t="shared" ref="W57" si="18">IF(W11=0,0,W11/W$10)</f>
        <v>0.88831925472021911</v>
      </c>
      <c r="DA57" s="173"/>
    </row>
    <row r="58" spans="1:105" ht="11.45" customHeight="1" x14ac:dyDescent="0.25">
      <c r="A58" s="107" t="s">
        <v>23</v>
      </c>
      <c r="B58" s="123">
        <f t="shared" si="14"/>
        <v>0.12900632959103073</v>
      </c>
      <c r="C58" s="123">
        <f t="shared" ref="C58:V58" si="19">IF(C12=0,0,C12/C$10)</f>
        <v>0.14077047847526938</v>
      </c>
      <c r="D58" s="123">
        <f t="shared" si="19"/>
        <v>0.14352270872225689</v>
      </c>
      <c r="E58" s="123">
        <f t="shared" si="19"/>
        <v>0.14963374448184388</v>
      </c>
      <c r="F58" s="123">
        <f t="shared" si="19"/>
        <v>0.15716618379694605</v>
      </c>
      <c r="G58" s="123">
        <f t="shared" si="19"/>
        <v>8.5668009858317878E-2</v>
      </c>
      <c r="H58" s="123">
        <f t="shared" si="19"/>
        <v>0.13315666811718649</v>
      </c>
      <c r="I58" s="123">
        <f t="shared" si="19"/>
        <v>0.16424384659595484</v>
      </c>
      <c r="J58" s="123">
        <f t="shared" si="19"/>
        <v>0.11685479192828863</v>
      </c>
      <c r="K58" s="123">
        <f t="shared" si="19"/>
        <v>0.155865694580203</v>
      </c>
      <c r="L58" s="123">
        <f t="shared" si="19"/>
        <v>0.14440207271011102</v>
      </c>
      <c r="M58" s="123">
        <f t="shared" si="19"/>
        <v>0.2231044578787543</v>
      </c>
      <c r="N58" s="123">
        <f t="shared" si="19"/>
        <v>0.13207889308926699</v>
      </c>
      <c r="O58" s="123">
        <f t="shared" si="19"/>
        <v>0.23507184177604781</v>
      </c>
      <c r="P58" s="123">
        <f t="shared" si="19"/>
        <v>0.14162629700431481</v>
      </c>
      <c r="Q58" s="123">
        <f t="shared" si="19"/>
        <v>0.12852903323384349</v>
      </c>
      <c r="R58" s="123">
        <f t="shared" si="19"/>
        <v>0.12903323333196942</v>
      </c>
      <c r="S58" s="123">
        <f t="shared" si="19"/>
        <v>0.13531082670402131</v>
      </c>
      <c r="T58" s="123">
        <f t="shared" si="19"/>
        <v>0.13663351952601568</v>
      </c>
      <c r="U58" s="123">
        <f t="shared" si="19"/>
        <v>0.24447789865134481</v>
      </c>
      <c r="V58" s="123">
        <f t="shared" si="19"/>
        <v>0.30653514151557504</v>
      </c>
      <c r="W58" s="123">
        <f t="shared" ref="W58" si="20">IF(W12=0,0,W12/W$10)</f>
        <v>0.29048989625998345</v>
      </c>
      <c r="DA58" s="203"/>
    </row>
    <row r="59" spans="1:105" ht="11.45" customHeight="1" x14ac:dyDescent="0.25">
      <c r="A59" s="109" t="s">
        <v>24</v>
      </c>
      <c r="B59" s="124">
        <f t="shared" si="14"/>
        <v>0.8038804180158432</v>
      </c>
      <c r="C59" s="124">
        <f t="shared" ref="C59:V59" si="21">IF(C13=0,0,C13/C$10)</f>
        <v>0.80149567756254514</v>
      </c>
      <c r="D59" s="124">
        <f t="shared" si="21"/>
        <v>0.80082055174701894</v>
      </c>
      <c r="E59" s="124">
        <f t="shared" si="21"/>
        <v>0.77707937599150556</v>
      </c>
      <c r="F59" s="124">
        <f t="shared" si="21"/>
        <v>0.7496710225818719</v>
      </c>
      <c r="G59" s="124">
        <f t="shared" si="21"/>
        <v>0.83815014471245508</v>
      </c>
      <c r="H59" s="124">
        <f t="shared" si="21"/>
        <v>0.78829478730914138</v>
      </c>
      <c r="I59" s="124">
        <f t="shared" si="21"/>
        <v>0.73431926880296505</v>
      </c>
      <c r="J59" s="124">
        <f t="shared" si="21"/>
        <v>0.74433940861629033</v>
      </c>
      <c r="K59" s="124">
        <f t="shared" si="21"/>
        <v>0.77152554364320958</v>
      </c>
      <c r="L59" s="124">
        <f t="shared" si="21"/>
        <v>0.73330838647461738</v>
      </c>
      <c r="M59" s="124">
        <f t="shared" si="21"/>
        <v>0.69903967278005363</v>
      </c>
      <c r="N59" s="124">
        <f t="shared" si="21"/>
        <v>0.81364108015712855</v>
      </c>
      <c r="O59" s="124">
        <f t="shared" si="21"/>
        <v>0.71987772646834347</v>
      </c>
      <c r="P59" s="124">
        <f t="shared" si="21"/>
        <v>0.82912439071870048</v>
      </c>
      <c r="Q59" s="124">
        <f t="shared" si="21"/>
        <v>0.84435536683049583</v>
      </c>
      <c r="R59" s="124">
        <f t="shared" si="21"/>
        <v>0.84686786311996476</v>
      </c>
      <c r="S59" s="124">
        <f t="shared" si="21"/>
        <v>0.83087700038391765</v>
      </c>
      <c r="T59" s="124">
        <f t="shared" si="21"/>
        <v>0.82470006038619259</v>
      </c>
      <c r="U59" s="124">
        <f t="shared" si="21"/>
        <v>0.67718263638589915</v>
      </c>
      <c r="V59" s="124">
        <f t="shared" si="21"/>
        <v>0.56904055902183048</v>
      </c>
      <c r="W59" s="124">
        <f t="shared" ref="W59" si="22">IF(W13=0,0,W13/W$10)</f>
        <v>0.59782935846023566</v>
      </c>
      <c r="DA59" s="176"/>
    </row>
    <row r="60" spans="1:105" ht="11.45" customHeight="1" x14ac:dyDescent="0.25">
      <c r="A60" s="111" t="s">
        <v>92</v>
      </c>
      <c r="B60" s="125">
        <f t="shared" si="14"/>
        <v>0.77052834452984187</v>
      </c>
      <c r="C60" s="125">
        <f t="shared" ref="C60:V60" si="23">IF(C14=0,0,C14/C$10)</f>
        <v>0.76793730241265934</v>
      </c>
      <c r="D60" s="125">
        <f t="shared" si="23"/>
        <v>0.77228509114807142</v>
      </c>
      <c r="E60" s="125">
        <f t="shared" si="23"/>
        <v>0.75253645735671804</v>
      </c>
      <c r="F60" s="125">
        <f t="shared" si="23"/>
        <v>0.73025673613257658</v>
      </c>
      <c r="G60" s="125">
        <f t="shared" si="23"/>
        <v>0.82557665976071426</v>
      </c>
      <c r="H60" s="125">
        <f t="shared" si="23"/>
        <v>0.78728667432853672</v>
      </c>
      <c r="I60" s="125">
        <f t="shared" si="23"/>
        <v>0.71564073817152318</v>
      </c>
      <c r="J60" s="125">
        <f t="shared" si="23"/>
        <v>0.70375262022829688</v>
      </c>
      <c r="K60" s="125">
        <f t="shared" si="23"/>
        <v>0.73385387312064465</v>
      </c>
      <c r="L60" s="125">
        <f t="shared" si="23"/>
        <v>0.72804134212795757</v>
      </c>
      <c r="M60" s="125">
        <f t="shared" si="23"/>
        <v>0.6950077731384201</v>
      </c>
      <c r="N60" s="125">
        <f t="shared" si="23"/>
        <v>0.7950778144784848</v>
      </c>
      <c r="O60" s="125">
        <f t="shared" si="23"/>
        <v>0.63600268525798032</v>
      </c>
      <c r="P60" s="125">
        <f t="shared" si="23"/>
        <v>0.72731370229426595</v>
      </c>
      <c r="Q60" s="125">
        <f t="shared" si="23"/>
        <v>0.71486859956871407</v>
      </c>
      <c r="R60" s="125">
        <f t="shared" si="23"/>
        <v>0.7339979433996171</v>
      </c>
      <c r="S60" s="125">
        <f t="shared" si="23"/>
        <v>0.72121982597056034</v>
      </c>
      <c r="T60" s="125">
        <f t="shared" si="23"/>
        <v>0.6908920124552882</v>
      </c>
      <c r="U60" s="125">
        <f t="shared" si="23"/>
        <v>0.37373889065531729</v>
      </c>
      <c r="V60" s="125">
        <f t="shared" si="23"/>
        <v>0.30850562918381202</v>
      </c>
      <c r="W60" s="125">
        <f t="shared" ref="W60" si="24">IF(W14=0,0,W14/W$10)</f>
        <v>0.26356097419678598</v>
      </c>
      <c r="DA60" s="171"/>
    </row>
    <row r="61" spans="1:105" ht="11.45" customHeight="1" x14ac:dyDescent="0.25">
      <c r="A61" s="111" t="s">
        <v>93</v>
      </c>
      <c r="B61" s="125">
        <f t="shared" si="14"/>
        <v>3.3352073486001249E-2</v>
      </c>
      <c r="C61" s="125">
        <f t="shared" ref="C61:V61" si="25">IF(C15=0,0,C15/C$10)</f>
        <v>3.3558375149885765E-2</v>
      </c>
      <c r="D61" s="125">
        <f t="shared" si="25"/>
        <v>2.8535460598947536E-2</v>
      </c>
      <c r="E61" s="125">
        <f t="shared" si="25"/>
        <v>2.4542918634787459E-2</v>
      </c>
      <c r="F61" s="125">
        <f t="shared" si="25"/>
        <v>1.9414286449295385E-2</v>
      </c>
      <c r="G61" s="125">
        <f t="shared" si="25"/>
        <v>1.2573484951740861E-2</v>
      </c>
      <c r="H61" s="125">
        <f t="shared" si="25"/>
        <v>1.0081129806046765E-3</v>
      </c>
      <c r="I61" s="125">
        <f t="shared" si="25"/>
        <v>1.8678530631441852E-2</v>
      </c>
      <c r="J61" s="125">
        <f t="shared" si="25"/>
        <v>4.0586788387993539E-2</v>
      </c>
      <c r="K61" s="125">
        <f t="shared" si="25"/>
        <v>3.7671670522564975E-2</v>
      </c>
      <c r="L61" s="125">
        <f t="shared" si="25"/>
        <v>5.2670443466597255E-3</v>
      </c>
      <c r="M61" s="125">
        <f t="shared" si="25"/>
        <v>4.0318996416333934E-3</v>
      </c>
      <c r="N61" s="125">
        <f t="shared" si="25"/>
        <v>1.8563265678643734E-2</v>
      </c>
      <c r="O61" s="125">
        <f t="shared" si="25"/>
        <v>8.3875041210363196E-2</v>
      </c>
      <c r="P61" s="125">
        <f t="shared" si="25"/>
        <v>0.10181068842443451</v>
      </c>
      <c r="Q61" s="125">
        <f t="shared" si="25"/>
        <v>0.12948676726178174</v>
      </c>
      <c r="R61" s="125">
        <f t="shared" si="25"/>
        <v>0.11286991972034754</v>
      </c>
      <c r="S61" s="125">
        <f t="shared" si="25"/>
        <v>0.10965717441335733</v>
      </c>
      <c r="T61" s="125">
        <f t="shared" si="25"/>
        <v>0.13380804793090442</v>
      </c>
      <c r="U61" s="125">
        <f t="shared" si="25"/>
        <v>0.30344374573058192</v>
      </c>
      <c r="V61" s="125">
        <f t="shared" si="25"/>
        <v>0.26053492983801835</v>
      </c>
      <c r="W61" s="125">
        <f t="shared" ref="W61" si="26">IF(W15=0,0,W15/W$10)</f>
        <v>0.33426838426344979</v>
      </c>
      <c r="DA61" s="171"/>
    </row>
    <row r="62" spans="1:105" ht="11.45" customHeight="1" x14ac:dyDescent="0.25">
      <c r="A62" s="112" t="s">
        <v>25</v>
      </c>
      <c r="B62" s="126">
        <f t="shared" si="14"/>
        <v>0</v>
      </c>
      <c r="C62" s="126">
        <f t="shared" ref="C62:V62" si="27">IF(C16=0,0,C16/C$10)</f>
        <v>0</v>
      </c>
      <c r="D62" s="126">
        <f t="shared" si="27"/>
        <v>0</v>
      </c>
      <c r="E62" s="126">
        <f t="shared" si="27"/>
        <v>0</v>
      </c>
      <c r="F62" s="126">
        <f t="shared" si="27"/>
        <v>0</v>
      </c>
      <c r="G62" s="126">
        <f t="shared" si="27"/>
        <v>0</v>
      </c>
      <c r="H62" s="126">
        <f t="shared" si="27"/>
        <v>0</v>
      </c>
      <c r="I62" s="126">
        <f t="shared" si="27"/>
        <v>0</v>
      </c>
      <c r="J62" s="126">
        <f t="shared" si="27"/>
        <v>0</v>
      </c>
      <c r="K62" s="126">
        <f t="shared" si="27"/>
        <v>0</v>
      </c>
      <c r="L62" s="126">
        <f t="shared" si="27"/>
        <v>0</v>
      </c>
      <c r="M62" s="126">
        <f t="shared" si="27"/>
        <v>0</v>
      </c>
      <c r="N62" s="126">
        <f t="shared" si="27"/>
        <v>0</v>
      </c>
      <c r="O62" s="126">
        <f t="shared" si="27"/>
        <v>0</v>
      </c>
      <c r="P62" s="126">
        <f t="shared" si="27"/>
        <v>0</v>
      </c>
      <c r="Q62" s="126">
        <f t="shared" si="27"/>
        <v>0</v>
      </c>
      <c r="R62" s="126">
        <f t="shared" si="27"/>
        <v>0</v>
      </c>
      <c r="S62" s="126">
        <f t="shared" si="27"/>
        <v>0</v>
      </c>
      <c r="T62" s="126">
        <f t="shared" si="27"/>
        <v>0</v>
      </c>
      <c r="U62" s="126">
        <f t="shared" si="27"/>
        <v>0</v>
      </c>
      <c r="V62" s="126">
        <f t="shared" si="27"/>
        <v>0</v>
      </c>
      <c r="W62" s="126">
        <f t="shared" ref="W62" si="28">IF(W16=0,0,W16/W$10)</f>
        <v>0</v>
      </c>
      <c r="DA62" s="204"/>
    </row>
    <row r="63" spans="1:105" ht="11.45" customHeight="1" x14ac:dyDescent="0.25">
      <c r="A63" s="27" t="s">
        <v>34</v>
      </c>
      <c r="B63" s="31">
        <f t="shared" si="14"/>
        <v>6.7113252393125947E-2</v>
      </c>
      <c r="C63" s="31">
        <f t="shared" ref="C63:V63" si="29">IF(C17=0,0,C17/C$10)</f>
        <v>5.7733843962185338E-2</v>
      </c>
      <c r="D63" s="31">
        <f t="shared" si="29"/>
        <v>5.56567395307241E-2</v>
      </c>
      <c r="E63" s="31">
        <f t="shared" si="29"/>
        <v>7.3286879526650556E-2</v>
      </c>
      <c r="F63" s="31">
        <f t="shared" si="29"/>
        <v>9.3162793621182016E-2</v>
      </c>
      <c r="G63" s="31">
        <f t="shared" si="29"/>
        <v>7.6181845429226985E-2</v>
      </c>
      <c r="H63" s="31">
        <f t="shared" si="29"/>
        <v>7.8548544573672205E-2</v>
      </c>
      <c r="I63" s="31">
        <f t="shared" si="29"/>
        <v>0.10143688460108004</v>
      </c>
      <c r="J63" s="31">
        <f t="shared" si="29"/>
        <v>0.13880579945542101</v>
      </c>
      <c r="K63" s="31">
        <f t="shared" si="29"/>
        <v>7.260876177658758E-2</v>
      </c>
      <c r="L63" s="31">
        <f t="shared" si="29"/>
        <v>0.12228954081527166</v>
      </c>
      <c r="M63" s="31">
        <f t="shared" si="29"/>
        <v>7.7855869341192069E-2</v>
      </c>
      <c r="N63" s="31">
        <f t="shared" si="29"/>
        <v>5.4280026753604507E-2</v>
      </c>
      <c r="O63" s="31">
        <f t="shared" si="29"/>
        <v>4.5050431755608807E-2</v>
      </c>
      <c r="P63" s="31">
        <f t="shared" si="29"/>
        <v>2.9249312276984754E-2</v>
      </c>
      <c r="Q63" s="31">
        <f t="shared" si="29"/>
        <v>2.7115599935660692E-2</v>
      </c>
      <c r="R63" s="31">
        <f t="shared" si="29"/>
        <v>2.4098903548065896E-2</v>
      </c>
      <c r="S63" s="31">
        <f t="shared" si="29"/>
        <v>3.3812172912061095E-2</v>
      </c>
      <c r="T63" s="31">
        <f t="shared" si="29"/>
        <v>3.8666420087791691E-2</v>
      </c>
      <c r="U63" s="31">
        <f t="shared" si="29"/>
        <v>7.8339464962756108E-2</v>
      </c>
      <c r="V63" s="31">
        <f t="shared" si="29"/>
        <v>0.12442429946259451</v>
      </c>
      <c r="W63" s="31">
        <f t="shared" ref="W63" si="30">IF(W17=0,0,W17/W$10)</f>
        <v>0.11168074527978093</v>
      </c>
      <c r="DA63" s="173"/>
    </row>
    <row r="64" spans="1:105" ht="11.45" customHeight="1" x14ac:dyDescent="0.25">
      <c r="A64" s="83" t="s">
        <v>92</v>
      </c>
      <c r="B64" s="125">
        <f t="shared" si="14"/>
        <v>5.9267166934645996E-2</v>
      </c>
      <c r="C64" s="125">
        <f t="shared" ref="C64:V64" si="31">IF(C18=0,0,C18/C$10)</f>
        <v>4.9087277855408083E-2</v>
      </c>
      <c r="D64" s="125">
        <f t="shared" si="31"/>
        <v>5.0366593316560432E-2</v>
      </c>
      <c r="E64" s="125">
        <f t="shared" si="31"/>
        <v>6.5887669623058476E-2</v>
      </c>
      <c r="F64" s="125">
        <f t="shared" si="31"/>
        <v>8.3983061542182907E-2</v>
      </c>
      <c r="G64" s="125">
        <f t="shared" si="31"/>
        <v>7.1190849408207871E-2</v>
      </c>
      <c r="H64" s="125">
        <f t="shared" si="31"/>
        <v>7.5322137730886807E-2</v>
      </c>
      <c r="I64" s="125">
        <f t="shared" si="31"/>
        <v>8.6517012888475547E-2</v>
      </c>
      <c r="J64" s="125">
        <f t="shared" si="31"/>
        <v>0.12958071310503649</v>
      </c>
      <c r="K64" s="125">
        <f t="shared" si="31"/>
        <v>6.3898935868119511E-2</v>
      </c>
      <c r="L64" s="125">
        <f t="shared" si="31"/>
        <v>0.1092230007206947</v>
      </c>
      <c r="M64" s="125">
        <f t="shared" si="31"/>
        <v>6.1921864388232245E-2</v>
      </c>
      <c r="N64" s="125">
        <f t="shared" si="31"/>
        <v>4.337267059519033E-2</v>
      </c>
      <c r="O64" s="125">
        <f t="shared" si="31"/>
        <v>3.2127369832430558E-2</v>
      </c>
      <c r="P64" s="125">
        <f t="shared" si="31"/>
        <v>2.1571884629954012E-2</v>
      </c>
      <c r="Q64" s="125">
        <f t="shared" si="31"/>
        <v>1.9825277982306364E-2</v>
      </c>
      <c r="R64" s="125">
        <f t="shared" si="31"/>
        <v>1.7820405903114209E-2</v>
      </c>
      <c r="S64" s="125">
        <f t="shared" si="31"/>
        <v>2.4824788085766016E-2</v>
      </c>
      <c r="T64" s="125">
        <f t="shared" si="31"/>
        <v>2.7765347455588455E-2</v>
      </c>
      <c r="U64" s="125">
        <f t="shared" si="31"/>
        <v>3.5348481690281749E-2</v>
      </c>
      <c r="V64" s="125">
        <f t="shared" si="31"/>
        <v>4.8907274790850927E-2</v>
      </c>
      <c r="W64" s="125">
        <f t="shared" ref="W64" si="32">IF(W18=0,0,W18/W$10)</f>
        <v>4.3719594542259786E-2</v>
      </c>
      <c r="DA64" s="171"/>
    </row>
    <row r="65" spans="1:105" ht="11.45" customHeight="1" x14ac:dyDescent="0.25">
      <c r="A65" s="85" t="s">
        <v>93</v>
      </c>
      <c r="B65" s="127">
        <f t="shared" si="14"/>
        <v>7.8460854584799528E-3</v>
      </c>
      <c r="C65" s="127">
        <f t="shared" ref="C65:V65" si="33">IF(C19=0,0,C19/C$10)</f>
        <v>8.6465661067772637E-3</v>
      </c>
      <c r="D65" s="127">
        <f t="shared" si="33"/>
        <v>5.2901462141636685E-3</v>
      </c>
      <c r="E65" s="127">
        <f t="shared" si="33"/>
        <v>7.3992099035920774E-3</v>
      </c>
      <c r="F65" s="127">
        <f t="shared" si="33"/>
        <v>9.1797320789991158E-3</v>
      </c>
      <c r="G65" s="127">
        <f t="shared" si="33"/>
        <v>4.9909960210191137E-3</v>
      </c>
      <c r="H65" s="127">
        <f t="shared" si="33"/>
        <v>3.226406842785402E-3</v>
      </c>
      <c r="I65" s="127">
        <f t="shared" si="33"/>
        <v>1.491987171260447E-2</v>
      </c>
      <c r="J65" s="127">
        <f t="shared" si="33"/>
        <v>9.2250863503845204E-3</v>
      </c>
      <c r="K65" s="127">
        <f t="shared" si="33"/>
        <v>8.7098259084680656E-3</v>
      </c>
      <c r="L65" s="127">
        <f t="shared" si="33"/>
        <v>1.3066540094576957E-2</v>
      </c>
      <c r="M65" s="127">
        <f t="shared" si="33"/>
        <v>1.593400495295982E-2</v>
      </c>
      <c r="N65" s="127">
        <f t="shared" si="33"/>
        <v>1.0907356158414179E-2</v>
      </c>
      <c r="O65" s="127">
        <f t="shared" si="33"/>
        <v>1.2923061923178245E-2</v>
      </c>
      <c r="P65" s="127">
        <f t="shared" si="33"/>
        <v>7.6774276470307429E-3</v>
      </c>
      <c r="Q65" s="127">
        <f t="shared" si="33"/>
        <v>7.2903219533543284E-3</v>
      </c>
      <c r="R65" s="127">
        <f t="shared" si="33"/>
        <v>6.2784976449516876E-3</v>
      </c>
      <c r="S65" s="127">
        <f t="shared" si="33"/>
        <v>8.9873848262950768E-3</v>
      </c>
      <c r="T65" s="127">
        <f t="shared" si="33"/>
        <v>1.0901072632203237E-2</v>
      </c>
      <c r="U65" s="127">
        <f t="shared" si="33"/>
        <v>4.2990983272474352E-2</v>
      </c>
      <c r="V65" s="127">
        <f t="shared" si="33"/>
        <v>7.5517024671743579E-2</v>
      </c>
      <c r="W65" s="127">
        <f t="shared" ref="W65" si="34">IF(W19=0,0,W19/W$10)</f>
        <v>6.7961150737521153E-2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127.45205928</v>
      </c>
      <c r="C4" s="26">
        <f t="shared" ref="C4:W4" si="0">SUM(C5:C6)</f>
        <v>127.45205928</v>
      </c>
      <c r="D4" s="26">
        <f t="shared" si="0"/>
        <v>127.45205928</v>
      </c>
      <c r="E4" s="26">
        <f t="shared" si="0"/>
        <v>127.45205928</v>
      </c>
      <c r="F4" s="26">
        <f t="shared" si="0"/>
        <v>127.45205928</v>
      </c>
      <c r="G4" s="26">
        <f t="shared" si="0"/>
        <v>127.45205928</v>
      </c>
      <c r="H4" s="26">
        <f t="shared" si="0"/>
        <v>130.63824072</v>
      </c>
      <c r="I4" s="26">
        <f t="shared" si="0"/>
        <v>117.89298144</v>
      </c>
      <c r="J4" s="26">
        <f t="shared" si="0"/>
        <v>114.7068</v>
      </c>
      <c r="K4" s="26">
        <f t="shared" si="0"/>
        <v>94.699799999999996</v>
      </c>
      <c r="L4" s="26">
        <f t="shared" si="0"/>
        <v>63.133288920000012</v>
      </c>
      <c r="M4" s="26">
        <f t="shared" si="0"/>
        <v>47.349899999999998</v>
      </c>
      <c r="N4" s="26">
        <f t="shared" si="0"/>
        <v>78.916411080000003</v>
      </c>
      <c r="O4" s="26">
        <f t="shared" si="0"/>
        <v>53.663308919999999</v>
      </c>
      <c r="P4" s="26">
        <f t="shared" si="0"/>
        <v>126.26631108000001</v>
      </c>
      <c r="Q4" s="26">
        <f t="shared" si="0"/>
        <v>126.26631108000001</v>
      </c>
      <c r="R4" s="26">
        <f t="shared" si="0"/>
        <v>126.26631108000001</v>
      </c>
      <c r="S4" s="26">
        <f t="shared" si="0"/>
        <v>123.18549983999996</v>
      </c>
      <c r="T4" s="26">
        <f t="shared" si="0"/>
        <v>116.71418771999998</v>
      </c>
      <c r="U4" s="26">
        <f t="shared" si="0"/>
        <v>33.897207240000014</v>
      </c>
      <c r="V4" s="26">
        <f t="shared" si="0"/>
        <v>22.99951368</v>
      </c>
      <c r="W4" s="26">
        <f t="shared" si="0"/>
        <v>20.81181492</v>
      </c>
      <c r="DA4" s="202" t="s">
        <v>1135</v>
      </c>
    </row>
    <row r="5" spans="1:105" ht="11.45" customHeight="1" x14ac:dyDescent="0.25">
      <c r="A5" s="107" t="s">
        <v>92</v>
      </c>
      <c r="B5" s="129">
        <v>127.45205928</v>
      </c>
      <c r="C5" s="129">
        <v>127.45205928</v>
      </c>
      <c r="D5" s="129">
        <v>127.45205928</v>
      </c>
      <c r="E5" s="129">
        <v>127.45205928</v>
      </c>
      <c r="F5" s="129">
        <v>127.45205928</v>
      </c>
      <c r="G5" s="129">
        <v>127.45205928</v>
      </c>
      <c r="H5" s="129">
        <v>130.63824072</v>
      </c>
      <c r="I5" s="129">
        <v>117.89298144</v>
      </c>
      <c r="J5" s="129">
        <v>114.7068</v>
      </c>
      <c r="K5" s="129">
        <v>94.699799999999996</v>
      </c>
      <c r="L5" s="129">
        <v>63.133288920000012</v>
      </c>
      <c r="M5" s="129">
        <v>47.349899999999998</v>
      </c>
      <c r="N5" s="129">
        <v>78.916411080000003</v>
      </c>
      <c r="O5" s="129">
        <v>53.663308919999999</v>
      </c>
      <c r="P5" s="129">
        <v>126.26631108000001</v>
      </c>
      <c r="Q5" s="129">
        <v>126.26631108000001</v>
      </c>
      <c r="R5" s="129">
        <v>126.26631108000001</v>
      </c>
      <c r="S5" s="129">
        <v>123.18549983999996</v>
      </c>
      <c r="T5" s="129">
        <v>116.71418771999998</v>
      </c>
      <c r="U5" s="129">
        <v>33.897207240000014</v>
      </c>
      <c r="V5" s="129">
        <v>22.99951368</v>
      </c>
      <c r="W5" s="129">
        <v>20.81181492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127.45205927999999</v>
      </c>
      <c r="C8" s="79">
        <f t="shared" si="1"/>
        <v>127.45205928</v>
      </c>
      <c r="D8" s="79">
        <f t="shared" si="1"/>
        <v>127.45205928</v>
      </c>
      <c r="E8" s="79">
        <f t="shared" si="1"/>
        <v>127.45205928000001</v>
      </c>
      <c r="F8" s="79">
        <f t="shared" si="1"/>
        <v>127.45205928</v>
      </c>
      <c r="G8" s="79">
        <f t="shared" si="1"/>
        <v>127.45205928</v>
      </c>
      <c r="H8" s="79">
        <f t="shared" si="1"/>
        <v>130.63824072</v>
      </c>
      <c r="I8" s="79">
        <f t="shared" si="1"/>
        <v>117.89298143999999</v>
      </c>
      <c r="J8" s="79">
        <f t="shared" si="1"/>
        <v>114.70679999999999</v>
      </c>
      <c r="K8" s="79">
        <f t="shared" si="1"/>
        <v>94.699799999999996</v>
      </c>
      <c r="L8" s="79">
        <f t="shared" si="1"/>
        <v>63.133288920000012</v>
      </c>
      <c r="M8" s="79">
        <f t="shared" si="1"/>
        <v>47.349899999999998</v>
      </c>
      <c r="N8" s="79">
        <f t="shared" si="1"/>
        <v>78.916411080000003</v>
      </c>
      <c r="O8" s="79">
        <f t="shared" si="1"/>
        <v>53.663308919999992</v>
      </c>
      <c r="P8" s="79">
        <f t="shared" si="1"/>
        <v>126.26631108000001</v>
      </c>
      <c r="Q8" s="79">
        <f t="shared" si="1"/>
        <v>126.26631108000001</v>
      </c>
      <c r="R8" s="79">
        <f t="shared" si="1"/>
        <v>126.26631107999999</v>
      </c>
      <c r="S8" s="79">
        <f t="shared" si="1"/>
        <v>123.18549983999999</v>
      </c>
      <c r="T8" s="79">
        <f t="shared" si="1"/>
        <v>116.71418771999998</v>
      </c>
      <c r="U8" s="79">
        <f t="shared" si="1"/>
        <v>33.897207240000014</v>
      </c>
      <c r="V8" s="79">
        <f t="shared" si="1"/>
        <v>22.99951368</v>
      </c>
      <c r="W8" s="79">
        <f t="shared" si="1"/>
        <v>20.81181492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118.34894608024219</v>
      </c>
      <c r="C9" s="32">
        <f t="shared" si="2"/>
        <v>119.79467075312287</v>
      </c>
      <c r="D9" s="32">
        <f t="shared" si="2"/>
        <v>119.64884662227415</v>
      </c>
      <c r="E9" s="32">
        <f t="shared" si="2"/>
        <v>117.19146346202432</v>
      </c>
      <c r="F9" s="32">
        <f t="shared" si="2"/>
        <v>114.30628309863761</v>
      </c>
      <c r="G9" s="32">
        <f t="shared" si="2"/>
        <v>117.3341410166842</v>
      </c>
      <c r="H9" s="32">
        <f t="shared" si="2"/>
        <v>119.23104034960228</v>
      </c>
      <c r="I9" s="32">
        <f t="shared" si="2"/>
        <v>105.17759150425856</v>
      </c>
      <c r="J9" s="32">
        <f t="shared" si="2"/>
        <v>96.870253269603836</v>
      </c>
      <c r="K9" s="32">
        <f t="shared" si="2"/>
        <v>87.11447234118009</v>
      </c>
      <c r="L9" s="32">
        <f t="shared" si="2"/>
        <v>54.897410585867405</v>
      </c>
      <c r="M9" s="32">
        <f t="shared" si="2"/>
        <v>43.476364150383965</v>
      </c>
      <c r="N9" s="32">
        <f t="shared" si="2"/>
        <v>74.834100242018081</v>
      </c>
      <c r="O9" s="32">
        <f t="shared" si="2"/>
        <v>51.082881712797779</v>
      </c>
      <c r="P9" s="32">
        <f t="shared" si="2"/>
        <v>122.62917031667635</v>
      </c>
      <c r="Q9" s="32">
        <f t="shared" si="2"/>
        <v>122.85908965969148</v>
      </c>
      <c r="R9" s="32">
        <f t="shared" si="2"/>
        <v>123.27341137567468</v>
      </c>
      <c r="S9" s="32">
        <f t="shared" si="2"/>
        <v>119.08647697843118</v>
      </c>
      <c r="T9" s="32">
        <f t="shared" si="2"/>
        <v>112.2049317715958</v>
      </c>
      <c r="U9" s="32">
        <f t="shared" si="2"/>
        <v>30.968212383462205</v>
      </c>
      <c r="V9" s="32">
        <f t="shared" si="2"/>
        <v>19.852331462752925</v>
      </c>
      <c r="W9" s="32">
        <f t="shared" si="2"/>
        <v>17.850729180915533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118.34894608024219</v>
      </c>
      <c r="C11" s="130">
        <f t="shared" si="3"/>
        <v>119.79467075312287</v>
      </c>
      <c r="D11" s="130">
        <f t="shared" si="3"/>
        <v>119.64884662227415</v>
      </c>
      <c r="E11" s="130">
        <f t="shared" si="3"/>
        <v>117.19146346202432</v>
      </c>
      <c r="F11" s="130">
        <f t="shared" si="3"/>
        <v>114.30628309863761</v>
      </c>
      <c r="G11" s="130">
        <f t="shared" si="3"/>
        <v>117.3341410166842</v>
      </c>
      <c r="H11" s="130">
        <f t="shared" si="3"/>
        <v>119.23104034960228</v>
      </c>
      <c r="I11" s="130">
        <f t="shared" si="3"/>
        <v>105.17759150425856</v>
      </c>
      <c r="J11" s="130">
        <f t="shared" si="3"/>
        <v>96.870253269603836</v>
      </c>
      <c r="K11" s="130">
        <f t="shared" si="3"/>
        <v>87.11447234118009</v>
      </c>
      <c r="L11" s="130">
        <f t="shared" si="3"/>
        <v>54.897410585867405</v>
      </c>
      <c r="M11" s="130">
        <f t="shared" si="3"/>
        <v>43.476364150383965</v>
      </c>
      <c r="N11" s="130">
        <f t="shared" si="3"/>
        <v>74.834100242018081</v>
      </c>
      <c r="O11" s="130">
        <f t="shared" si="3"/>
        <v>51.082881712797779</v>
      </c>
      <c r="P11" s="130">
        <f t="shared" si="3"/>
        <v>122.62917031667635</v>
      </c>
      <c r="Q11" s="130">
        <f t="shared" si="3"/>
        <v>122.85908965969148</v>
      </c>
      <c r="R11" s="130">
        <f t="shared" si="3"/>
        <v>123.27341137567468</v>
      </c>
      <c r="S11" s="130">
        <f t="shared" si="3"/>
        <v>119.08647697843118</v>
      </c>
      <c r="T11" s="130">
        <f t="shared" si="3"/>
        <v>112.2049317715958</v>
      </c>
      <c r="U11" s="130">
        <f t="shared" si="3"/>
        <v>30.968212383462205</v>
      </c>
      <c r="V11" s="130">
        <f t="shared" si="3"/>
        <v>19.852331462752925</v>
      </c>
      <c r="W11" s="130">
        <f t="shared" si="3"/>
        <v>17.850729180915533</v>
      </c>
      <c r="DA11" s="176" t="s">
        <v>408</v>
      </c>
    </row>
    <row r="12" spans="1:105" ht="11.45" customHeight="1" x14ac:dyDescent="0.25">
      <c r="A12" s="111" t="s">
        <v>92</v>
      </c>
      <c r="B12" s="96">
        <v>118.34894608024219</v>
      </c>
      <c r="C12" s="96">
        <v>119.79467075312287</v>
      </c>
      <c r="D12" s="96">
        <v>119.64884662227415</v>
      </c>
      <c r="E12" s="96">
        <v>117.19146346202432</v>
      </c>
      <c r="F12" s="96">
        <v>114.30628309863761</v>
      </c>
      <c r="G12" s="96">
        <v>117.3341410166842</v>
      </c>
      <c r="H12" s="96">
        <v>119.23104034960228</v>
      </c>
      <c r="I12" s="96">
        <v>105.17759150425856</v>
      </c>
      <c r="J12" s="96">
        <v>96.870253269603836</v>
      </c>
      <c r="K12" s="96">
        <v>87.11447234118009</v>
      </c>
      <c r="L12" s="96">
        <v>54.897410585867405</v>
      </c>
      <c r="M12" s="96">
        <v>43.476364150383965</v>
      </c>
      <c r="N12" s="96">
        <v>74.834100242018081</v>
      </c>
      <c r="O12" s="96">
        <v>51.082881712797779</v>
      </c>
      <c r="P12" s="96">
        <v>122.62917031667635</v>
      </c>
      <c r="Q12" s="96">
        <v>122.85908965969148</v>
      </c>
      <c r="R12" s="96">
        <v>123.27341137567468</v>
      </c>
      <c r="S12" s="96">
        <v>119.08647697843118</v>
      </c>
      <c r="T12" s="96">
        <v>112.2049317715958</v>
      </c>
      <c r="U12" s="96">
        <v>30.968212383462205</v>
      </c>
      <c r="V12" s="96">
        <v>19.852331462752925</v>
      </c>
      <c r="W12" s="96">
        <v>17.850729180915533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9.1031131997578019</v>
      </c>
      <c r="C15" s="32">
        <f t="shared" si="4"/>
        <v>7.6573885268771296</v>
      </c>
      <c r="D15" s="32">
        <f t="shared" si="4"/>
        <v>7.8032126577258554</v>
      </c>
      <c r="E15" s="32">
        <f t="shared" si="4"/>
        <v>10.260595817975695</v>
      </c>
      <c r="F15" s="32">
        <f t="shared" si="4"/>
        <v>13.145776181362388</v>
      </c>
      <c r="G15" s="32">
        <f t="shared" si="4"/>
        <v>10.117918263315806</v>
      </c>
      <c r="H15" s="32">
        <f t="shared" si="4"/>
        <v>11.40720037039771</v>
      </c>
      <c r="I15" s="32">
        <f t="shared" si="4"/>
        <v>12.715389935741431</v>
      </c>
      <c r="J15" s="32">
        <f t="shared" si="4"/>
        <v>17.836546730396158</v>
      </c>
      <c r="K15" s="32">
        <f t="shared" si="4"/>
        <v>7.585327658819903</v>
      </c>
      <c r="L15" s="32">
        <f t="shared" si="4"/>
        <v>8.2358783341326038</v>
      </c>
      <c r="M15" s="32">
        <f t="shared" si="4"/>
        <v>3.873535849616033</v>
      </c>
      <c r="N15" s="32">
        <f t="shared" si="4"/>
        <v>4.082310837981928</v>
      </c>
      <c r="O15" s="32">
        <f t="shared" si="4"/>
        <v>2.5804272072022125</v>
      </c>
      <c r="P15" s="32">
        <f t="shared" si="4"/>
        <v>3.6371407633236603</v>
      </c>
      <c r="Q15" s="32">
        <f t="shared" si="4"/>
        <v>3.4072214203085314</v>
      </c>
      <c r="R15" s="32">
        <f t="shared" si="4"/>
        <v>2.9928997043253096</v>
      </c>
      <c r="S15" s="32">
        <f t="shared" si="4"/>
        <v>4.0990228615688125</v>
      </c>
      <c r="T15" s="32">
        <f t="shared" si="4"/>
        <v>4.5092559484041939</v>
      </c>
      <c r="U15" s="32">
        <f t="shared" si="4"/>
        <v>2.9289948565378077</v>
      </c>
      <c r="V15" s="32">
        <f t="shared" si="4"/>
        <v>3.1471822172470727</v>
      </c>
      <c r="W15" s="32">
        <f t="shared" si="4"/>
        <v>2.9610857390844671</v>
      </c>
      <c r="DA15" s="173" t="s">
        <v>413</v>
      </c>
    </row>
    <row r="16" spans="1:105" ht="11.45" customHeight="1" x14ac:dyDescent="0.25">
      <c r="A16" s="83" t="s">
        <v>92</v>
      </c>
      <c r="B16" s="96">
        <v>9.1031131997578019</v>
      </c>
      <c r="C16" s="96">
        <v>7.6573885268771296</v>
      </c>
      <c r="D16" s="96">
        <v>7.8032126577258554</v>
      </c>
      <c r="E16" s="96">
        <v>10.260595817975695</v>
      </c>
      <c r="F16" s="96">
        <v>13.145776181362388</v>
      </c>
      <c r="G16" s="96">
        <v>10.117918263315806</v>
      </c>
      <c r="H16" s="96">
        <v>11.40720037039771</v>
      </c>
      <c r="I16" s="96">
        <v>12.715389935741431</v>
      </c>
      <c r="J16" s="96">
        <v>17.836546730396158</v>
      </c>
      <c r="K16" s="96">
        <v>7.585327658819903</v>
      </c>
      <c r="L16" s="96">
        <v>8.2358783341326038</v>
      </c>
      <c r="M16" s="96">
        <v>3.873535849616033</v>
      </c>
      <c r="N16" s="96">
        <v>4.082310837981928</v>
      </c>
      <c r="O16" s="96">
        <v>2.5804272072022125</v>
      </c>
      <c r="P16" s="96">
        <v>3.6371407633236603</v>
      </c>
      <c r="Q16" s="96">
        <v>3.4072214203085314</v>
      </c>
      <c r="R16" s="96">
        <v>2.9928997043253096</v>
      </c>
      <c r="S16" s="96">
        <v>4.0990228615688125</v>
      </c>
      <c r="T16" s="96">
        <v>4.5092559484041939</v>
      </c>
      <c r="U16" s="96">
        <v>2.9289948565378077</v>
      </c>
      <c r="V16" s="96">
        <v>3.1471822172470727</v>
      </c>
      <c r="W16" s="96">
        <v>2.9610857390844671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2.5743731949230435</v>
      </c>
      <c r="C22" s="134">
        <f>IF(C4=0,0,C4/TrRail_ene!C4)</f>
        <v>2.5347524178857617</v>
      </c>
      <c r="D22" s="134">
        <f>IF(D4=0,0,D4/TrRail_ene!D4)</f>
        <v>2.5522100517347419</v>
      </c>
      <c r="E22" s="134">
        <f>IF(E4=0,0,E4/TrRail_ene!E4)</f>
        <v>2.5390943979156462</v>
      </c>
      <c r="F22" s="134">
        <f>IF(F4=0,0,F4/TrRail_ene!F4)</f>
        <v>2.5261128560143704</v>
      </c>
      <c r="G22" s="134">
        <f>IF(G4=0,0,G4/TrRail_ene!G4)</f>
        <v>2.7821483796748363</v>
      </c>
      <c r="H22" s="134">
        <f>IF(H4=0,0,H4/TrRail_ene!H4)</f>
        <v>2.6761737955788218</v>
      </c>
      <c r="I22" s="134">
        <f>IF(I4=0,0,I4/TrRail_ene!I4)</f>
        <v>2.4886292874542604</v>
      </c>
      <c r="J22" s="134">
        <f>IF(J4=0,0,J4/TrRail_ene!J4)</f>
        <v>2.5853490000000003</v>
      </c>
      <c r="K22" s="134">
        <f>IF(K4=0,0,K4/TrRail_ene!K4)</f>
        <v>2.4749633123595509</v>
      </c>
      <c r="L22" s="134">
        <f>IF(L4=0,0,L4/TrRail_ene!L4)</f>
        <v>2.5975446378233049</v>
      </c>
      <c r="M22" s="134">
        <f>IF(M4=0,0,M4/TrRail_ene!M4)</f>
        <v>2.3483127377398723</v>
      </c>
      <c r="N22" s="134">
        <f>IF(N4=0,0,N4/TrRail_ene!N4)</f>
        <v>2.6012245477616891</v>
      </c>
      <c r="O22" s="134">
        <f>IF(O4=0,0,O4/TrRail_ene!O4)</f>
        <v>1.9725852755298068</v>
      </c>
      <c r="P22" s="134">
        <f>IF(P4=0,0,P4/TrRail_ene!P4)</f>
        <v>2.1819869210407137</v>
      </c>
      <c r="Q22" s="134">
        <f>IF(Q4=0,0,Q4/TrRail_ene!Q4)</f>
        <v>2.1406373146653066</v>
      </c>
      <c r="R22" s="134">
        <f>IF(R4=0,0,R4/TrRail_ene!R4)</f>
        <v>2.2358840182594704</v>
      </c>
      <c r="S22" s="134">
        <f>IF(S4=0,0,S4/TrRail_ene!S4)</f>
        <v>2.2207007905954272</v>
      </c>
      <c r="T22" s="134">
        <f>IF(T4=0,0,T4/TrRail_ene!T4)</f>
        <v>2.1358532536672099</v>
      </c>
      <c r="U22" s="134">
        <f>IF(U4=0,0,U4/TrRail_ene!U4)</f>
        <v>1.2780824127125956</v>
      </c>
      <c r="V22" s="134">
        <f>IF(V4=0,0,V4/TrRail_ene!V4)</f>
        <v>1.1088445126535893</v>
      </c>
      <c r="W22" s="134">
        <f>IF(W4=0,0,W4/TrRail_ene!W4)</f>
        <v>0.95331301333070773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1.4761985787803529</v>
      </c>
      <c r="P23" s="129">
        <f>IF(P5=0,0,P5/SUM(TrRail_ene!P5:P7))</f>
        <v>1.4568226169250003</v>
      </c>
      <c r="Q23" s="129">
        <f>IF(Q5=0,0,Q5/SUM(TrRail_ene!Q5:Q7))</f>
        <v>1.4568226169250003</v>
      </c>
      <c r="R23" s="129">
        <f>IF(R5=0,0,R5/SUM(TrRail_ene!R5:R7))</f>
        <v>1.4869842032541007</v>
      </c>
      <c r="S23" s="129">
        <f>IF(S5=0,0,S5/SUM(TrRail_ene!S5:S7))</f>
        <v>1.4883163478127894</v>
      </c>
      <c r="T23" s="129">
        <f>IF(T5=0,0,T5/SUM(TrRail_ene!T5:T7))</f>
        <v>1.4860024907642251</v>
      </c>
      <c r="U23" s="129">
        <f>IF(U5=0,0,U5/SUM(TrRail_ene!U5:U7))</f>
        <v>1.5621142317158414</v>
      </c>
      <c r="V23" s="129">
        <f>IF(V5=0,0,V5/SUM(TrRail_ene!V5:V7))</f>
        <v>1.5512094000000001</v>
      </c>
      <c r="W23" s="129">
        <f>IF(W5=0,0,W5/SUM(TrRail_ene!W5:W7))</f>
        <v>1.5512094000000001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4593.6054441782217</v>
      </c>
      <c r="C26" s="54">
        <f>IF(C8=0,0,C8/TrRail_act!C14*1000)</f>
        <v>4249.5098796955954</v>
      </c>
      <c r="D26" s="54">
        <f>IF(D8=0,0,D8/TrRail_act!D14*1000)</f>
        <v>4128.4836300267425</v>
      </c>
      <c r="E26" s="54">
        <f>IF(E8=0,0,E8/TrRail_act!E14*1000)</f>
        <v>3984.6467329402876</v>
      </c>
      <c r="F26" s="54">
        <f>IF(F8=0,0,F8/TrRail_act!F14*1000)</f>
        <v>3809.7314871207236</v>
      </c>
      <c r="G26" s="54">
        <f>IF(G8=0,0,G8/TrRail_act!G14*1000)</f>
        <v>5048.6468620675496</v>
      </c>
      <c r="H26" s="54">
        <f>IF(H8=0,0,H8/TrRail_act!H14*1000)</f>
        <v>4105.1383397498721</v>
      </c>
      <c r="I26" s="54">
        <f>IF(I8=0,0,I8/TrRail_act!I14*1000)</f>
        <v>3405.0962696085649</v>
      </c>
      <c r="J26" s="54">
        <f>IF(J8=0,0,J8/TrRail_act!J14*1000)</f>
        <v>4009.0051660263548</v>
      </c>
      <c r="K26" s="54">
        <f>IF(K8=0,0,K8/TrRail_act!K14*1000)</f>
        <v>3302.6231837903165</v>
      </c>
      <c r="L26" s="54">
        <f>IF(L8=0,0,L8/TrRail_act!L14*1000)</f>
        <v>3613.323436759822</v>
      </c>
      <c r="M26" s="54">
        <f>IF(M8=0,0,M8/TrRail_act!M14*1000)</f>
        <v>2591.1127442067523</v>
      </c>
      <c r="N26" s="54">
        <f>IF(N8=0,0,N8/TrRail_act!N14*1000)</f>
        <v>3575.4952391894817</v>
      </c>
      <c r="O26" s="54">
        <f>IF(O8=0,0,O8/TrRail_act!O14*1000)</f>
        <v>1989.2707284491521</v>
      </c>
      <c r="P26" s="54">
        <f>IF(P8=0,0,P8/TrRail_act!P14*1000)</f>
        <v>2713.7241596923127</v>
      </c>
      <c r="Q26" s="54">
        <f>IF(Q8=0,0,Q8/TrRail_act!Q14*1000)</f>
        <v>2688.1889442665743</v>
      </c>
      <c r="R26" s="54">
        <f>IF(R8=0,0,R8/TrRail_act!R14*1000)</f>
        <v>2784.6121569407023</v>
      </c>
      <c r="S26" s="54">
        <f>IF(S8=0,0,S8/TrRail_act!S14*1000)</f>
        <v>2693.0554314064343</v>
      </c>
      <c r="T26" s="54">
        <f>IF(T8=0,0,T8/TrRail_act!T14*1000)</f>
        <v>2537.2866548357547</v>
      </c>
      <c r="U26" s="54">
        <f>IF(U8=0,0,U8/TrRail_act!U14*1000)</f>
        <v>1082.0661050077399</v>
      </c>
      <c r="V26" s="54">
        <f>IF(V8=0,0,V8/TrRail_act!V14*1000)</f>
        <v>829.56092921152447</v>
      </c>
      <c r="W26" s="54">
        <f>IF(W8=0,0,W8/TrRail_act!W14*1000)</f>
        <v>720.12310569972556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4378.5303161718466</v>
      </c>
      <c r="C27" s="28">
        <f>IF(C9=0,0,C9/TrRail_act!C15*1000)</f>
        <v>4086.1556599340743</v>
      </c>
      <c r="D27" s="28">
        <f>IF(D9=0,0,D9/TrRail_act!D15*1000)</f>
        <v>3954.7587147429895</v>
      </c>
      <c r="E27" s="28">
        <f>IF(E9=0,0,E9/TrRail_act!E15*1000)</f>
        <v>3764.2859517466363</v>
      </c>
      <c r="F27" s="28">
        <f>IF(F9=0,0,F9/TrRail_act!F15*1000)</f>
        <v>3533.5130000500185</v>
      </c>
      <c r="G27" s="28">
        <f>IF(G9=0,0,G9/TrRail_act!G15*1000)</f>
        <v>4799.6225714071415</v>
      </c>
      <c r="H27" s="28">
        <f>IF(H9=0,0,H9/TrRail_act!H15*1000)</f>
        <v>3851.5415555040522</v>
      </c>
      <c r="I27" s="28">
        <f>IF(I9=0,0,I9/TrRail_act!I15*1000)</f>
        <v>3153.9610467070756</v>
      </c>
      <c r="J27" s="28">
        <f>IF(J9=0,0,J9/TrRail_act!J15*1000)</f>
        <v>3573.6950038412288</v>
      </c>
      <c r="K27" s="28">
        <f>IF(K9=0,0,K9/TrRail_act!K15*1000)</f>
        <v>3119.4523060399033</v>
      </c>
      <c r="L27" s="28">
        <f>IF(L9=0,0,L9/TrRail_act!L15*1000)</f>
        <v>3292.4003543319523</v>
      </c>
      <c r="M27" s="28">
        <f>IF(M9=0,0,M9/TrRail_act!M15*1000)</f>
        <v>2443.9311694863154</v>
      </c>
      <c r="N27" s="28">
        <f>IF(N9=0,0,N9/TrRail_act!N15*1000)</f>
        <v>3471.2702919726717</v>
      </c>
      <c r="O27" s="28">
        <f>IF(O9=0,0,O9/TrRail_act!O15*1000)</f>
        <v>1924.1135260655117</v>
      </c>
      <c r="P27" s="28">
        <f>IF(P9=0,0,P9/TrRail_act!P15*1000)</f>
        <v>2669.2656371664721</v>
      </c>
      <c r="Q27" s="28">
        <f>IF(Q9=0,0,Q9/TrRail_act!Q15*1000)</f>
        <v>2647.3915957577374</v>
      </c>
      <c r="R27" s="28">
        <f>IF(R9=0,0,R9/TrRail_act!R15*1000)</f>
        <v>2747.4873315070186</v>
      </c>
      <c r="S27" s="28">
        <f>IF(S9=0,0,S9/TrRail_act!S15*1000)</f>
        <v>2641.7630754220472</v>
      </c>
      <c r="T27" s="28">
        <f>IF(T9=0,0,T9/TrRail_act!T15*1000)</f>
        <v>2480.4732714002844</v>
      </c>
      <c r="U27" s="28">
        <f>IF(U9=0,0,U9/TrRail_act!U15*1000)</f>
        <v>1021.0176828207202</v>
      </c>
      <c r="V27" s="28">
        <f>IF(V9=0,0,V9/TrRail_act!V15*1000)</f>
        <v>751.41107827167036</v>
      </c>
      <c r="W27" s="28">
        <f>IF(W9=0,0,W9/TrRail_act!W15*1000)</f>
        <v>645.26546492610021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9024.3949108443885</v>
      </c>
      <c r="C29" s="110">
        <f>IF(C11=0,0,C11/TrRail_act!C17*1000)</f>
        <v>8703.0781008012673</v>
      </c>
      <c r="D29" s="110">
        <f>IF(D11=0,0,D11/TrRail_act!D17*1000)</f>
        <v>8358.1058567616492</v>
      </c>
      <c r="E29" s="110">
        <f>IF(E11=0,0,E11/TrRail_act!E17*1000)</f>
        <v>8072.5187341109577</v>
      </c>
      <c r="F29" s="110">
        <f>IF(F11=0,0,F11/TrRail_act!F17*1000)</f>
        <v>7927.9576500677258</v>
      </c>
      <c r="G29" s="110">
        <f>IF(G11=0,0,G11/TrRail_act!G17*1000)</f>
        <v>7751.7280510949822</v>
      </c>
      <c r="H29" s="110">
        <f>IF(H11=0,0,H11/TrRail_act!H17*1000)</f>
        <v>7793.5933256448316</v>
      </c>
      <c r="I29" s="110">
        <f>IF(I11=0,0,I11/TrRail_act!I17*1000)</f>
        <v>7413.3800491477232</v>
      </c>
      <c r="J29" s="110">
        <f>IF(J11=0,0,J11/TrRail_act!J17*1000)</f>
        <v>6874.9216649368054</v>
      </c>
      <c r="K29" s="110">
        <f>IF(K11=0,0,K11/TrRail_act!K17*1000)</f>
        <v>6870.4887456539254</v>
      </c>
      <c r="L29" s="110">
        <f>IF(L11=0,0,L11/TrRail_act!L17*1000)</f>
        <v>7145.0582481183028</v>
      </c>
      <c r="M29" s="110">
        <f>IF(M11=0,0,M11/TrRail_act!M17*1000)</f>
        <v>7120.5266928913979</v>
      </c>
      <c r="N29" s="110">
        <f>IF(N11=0,0,N11/TrRail_act!N17*1000)</f>
        <v>6781.3357316470774</v>
      </c>
      <c r="O29" s="110">
        <f>IF(O11=0,0,O11/TrRail_act!O17*1000)</f>
        <v>5412.7625817225935</v>
      </c>
      <c r="P29" s="110">
        <f>IF(P11=0,0,P11/TrRail_act!P17*1000)</f>
        <v>5232.7670933279096</v>
      </c>
      <c r="Q29" s="110">
        <f>IF(Q11=0,0,Q11/TrRail_act!Q17*1000)</f>
        <v>4922.1391818713828</v>
      </c>
      <c r="R29" s="110">
        <f>IF(R11=0,0,R11/TrRail_act!R17*1000)</f>
        <v>5181.8694639511868</v>
      </c>
      <c r="S29" s="110">
        <f>IF(S11=0,0,S11/TrRail_act!S17*1000)</f>
        <v>5177.5077492583323</v>
      </c>
      <c r="T29" s="110">
        <f>IF(T11=0,0,T11/TrRail_act!T17*1000)</f>
        <v>4879.1184871039804</v>
      </c>
      <c r="U29" s="110">
        <f>IF(U11=0,0,U11/TrRail_act!U17*1000)</f>
        <v>2857.9118934574399</v>
      </c>
      <c r="V29" s="110">
        <f>IF(V11=0,0,V11/TrRail_act!V17*1000)</f>
        <v>2769.3229957043791</v>
      </c>
      <c r="W29" s="110">
        <f>IF(W11=0,0,W11/TrRail_act!W17*1000)</f>
        <v>2135.0761812719156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9751.7659108459775</v>
      </c>
      <c r="C30" s="84">
        <f>IF(C12=0,0,C12/TrRail_act!C18*1000)</f>
        <v>9394.2724359083059</v>
      </c>
      <c r="D30" s="84">
        <f>IF(D12=0,0,D12/TrRail_act!D18*1000)</f>
        <v>8909.0244899414083</v>
      </c>
      <c r="E30" s="84">
        <f>IF(E12=0,0,E12/TrRail_act!E18*1000)</f>
        <v>8539.6207084318903</v>
      </c>
      <c r="F30" s="84">
        <f>IF(F12=0,0,F12/TrRail_act!F18*1000)</f>
        <v>8298.8814502013083</v>
      </c>
      <c r="G30" s="84">
        <f>IF(G12=0,0,G12/TrRail_act!G18*1000)</f>
        <v>7956.6050453377002</v>
      </c>
      <c r="H30" s="84">
        <f>IF(H12=0,0,H12/TrRail_act!H18*1000)</f>
        <v>7810.9794968807764</v>
      </c>
      <c r="I30" s="84">
        <f>IF(I12=0,0,I12/TrRail_act!I18*1000)</f>
        <v>7756.2326972408855</v>
      </c>
      <c r="J30" s="84">
        <f>IF(J12=0,0,J12/TrRail_act!J18*1000)</f>
        <v>7584.060601609116</v>
      </c>
      <c r="K30" s="84">
        <f>IF(K12=0,0,K12/TrRail_act!K18*1000)</f>
        <v>7502.4855842045972</v>
      </c>
      <c r="L30" s="84">
        <f>IF(L12=0,0,L12/TrRail_act!L18*1000)</f>
        <v>7235.4826387285257</v>
      </c>
      <c r="M30" s="84">
        <f>IF(M12=0,0,M12/TrRail_act!M18*1000)</f>
        <v>7192.9289271833341</v>
      </c>
      <c r="N30" s="84">
        <f>IF(N12=0,0,N12/TrRail_act!N18*1000)</f>
        <v>7057.3701317098639</v>
      </c>
      <c r="O30" s="84">
        <f>IF(O12=0,0,O12/TrRail_act!O18*1000)</f>
        <v>6644.172458448571</v>
      </c>
      <c r="P30" s="84">
        <f>IF(P12=0,0,P12/TrRail_act!P18*1000)</f>
        <v>6496.6976903533687</v>
      </c>
      <c r="Q30" s="84">
        <f>IF(Q12=0,0,Q12/TrRail_act!Q18*1000)</f>
        <v>6446.1517714222409</v>
      </c>
      <c r="R30" s="84">
        <f>IF(R12=0,0,R12/TrRail_act!R18*1000)</f>
        <v>6541.1801089130222</v>
      </c>
      <c r="S30" s="84">
        <f>IF(S12=0,0,S12/TrRail_act!S18*1000)</f>
        <v>6518.3388113927567</v>
      </c>
      <c r="T30" s="84">
        <f>IF(T12=0,0,T12/TrRail_act!T18*1000)</f>
        <v>6486.794804946815</v>
      </c>
      <c r="U30" s="84">
        <f>IF(U12=0,0,U12/TrRail_act!U18*1000)</f>
        <v>6802.2113276390755</v>
      </c>
      <c r="V30" s="84">
        <f>IF(V12=0,0,V12/TrRail_act!V18*1000)</f>
        <v>6742.2179924687089</v>
      </c>
      <c r="W30" s="84">
        <f>IF(W12=0,0,W12/TrRail_act!W18*1000)</f>
        <v>6732.8519321361318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12710.966036586535</v>
      </c>
      <c r="C33" s="28">
        <f>IF(C15=0,0,C15/TrRail_act!C21*1000)</f>
        <v>11344.754279243667</v>
      </c>
      <c r="D33" s="28">
        <f>IF(D15=0,0,D15/TrRail_act!D21*1000)</f>
        <v>12647.044875696276</v>
      </c>
      <c r="E33" s="28">
        <f>IF(E15=0,0,E15/TrRail_act!E21*1000)</f>
        <v>12024.164693837569</v>
      </c>
      <c r="F33" s="28">
        <f>IF(F15=0,0,F15/TrRail_act!F21*1000)</f>
        <v>11894.99516930469</v>
      </c>
      <c r="G33" s="28">
        <f>IF(G15=0,0,G15/TrRail_act!G21*1000)</f>
        <v>12674.952072781238</v>
      </c>
      <c r="H33" s="28">
        <f>IF(H15=0,0,H15/TrRail_act!H21*1000)</f>
        <v>13166.252168618457</v>
      </c>
      <c r="I33" s="28">
        <f>IF(I15=0,0,I15/TrRail_act!I21*1000)</f>
        <v>9974.9441930820067</v>
      </c>
      <c r="J33" s="28">
        <f>IF(J15=0,0,J15/TrRail_act!J21*1000)</f>
        <v>11845.101505181183</v>
      </c>
      <c r="K33" s="28">
        <f>IF(K15=0,0,K15/TrRail_act!K21*1000)</f>
        <v>10142.053961673335</v>
      </c>
      <c r="L33" s="28">
        <f>IF(L15=0,0,L15/TrRail_act!L21*1000)</f>
        <v>10315.705816861935</v>
      </c>
      <c r="M33" s="28">
        <f>IF(M15=0,0,M15/TrRail_act!M21*1000)</f>
        <v>7995.8563344555287</v>
      </c>
      <c r="N33" s="28">
        <f>IF(N15=0,0,N15/TrRail_act!N21*1000)</f>
        <v>7952.5758234758096</v>
      </c>
      <c r="O33" s="28">
        <f>IF(O15=0,0,O15/TrRail_act!O21*1000)</f>
        <v>6034.8861018348207</v>
      </c>
      <c r="P33" s="28">
        <f>IF(P15=0,0,P15/TrRail_act!P21*1000)</f>
        <v>6189.5131063128047</v>
      </c>
      <c r="Q33" s="28">
        <f>IF(Q15=0,0,Q15/TrRail_act!Q21*1000)</f>
        <v>6050.0481157901804</v>
      </c>
      <c r="R33" s="28">
        <f>IF(R15=0,0,R15/TrRail_act!R21*1000)</f>
        <v>6279.4599763108572</v>
      </c>
      <c r="S33" s="28">
        <f>IF(S15=0,0,S15/TrRail_act!S21*1000)</f>
        <v>6177.8696420486085</v>
      </c>
      <c r="T33" s="28">
        <f>IF(T15=0,0,T15/TrRail_act!T21*1000)</f>
        <v>5899.7358060493834</v>
      </c>
      <c r="U33" s="28">
        <f>IF(U15=0,0,U15/TrRail_act!U21*1000)</f>
        <v>2941.8121685364231</v>
      </c>
      <c r="V33" s="28">
        <f>IF(V15=0,0,V15/TrRail_act!V21*1000)</f>
        <v>2411.8993133471122</v>
      </c>
      <c r="W33" s="28">
        <f>IF(W15=0,0,W15/TrRail_act!W21*1000)</f>
        <v>2395.3247954594931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17055.032055681826</v>
      </c>
      <c r="C34" s="84">
        <f>IF(C16=0,0,C16/TrRail_act!C22*1000)</f>
        <v>16453.700530939572</v>
      </c>
      <c r="D34" s="84">
        <f>IF(D16=0,0,D16/TrRail_act!D22*1000)</f>
        <v>16036.264291413161</v>
      </c>
      <c r="E34" s="84">
        <f>IF(E16=0,0,E16/TrRail_act!E22*1000)</f>
        <v>15390.753136690537</v>
      </c>
      <c r="F34" s="84">
        <f>IF(F16=0,0,F16/TrRail_act!F22*1000)</f>
        <v>15213.501856868539</v>
      </c>
      <c r="G34" s="84">
        <f>IF(G16=0,0,G16/TrRail_act!G22*1000)</f>
        <v>14957.060328094458</v>
      </c>
      <c r="H34" s="84">
        <f>IF(H16=0,0,H16/TrRail_act!H22*1000)</f>
        <v>14626.284638314337</v>
      </c>
      <c r="I34" s="84">
        <f>IF(I16=0,0,I16/TrRail_act!I22*1000)</f>
        <v>14499.476313214109</v>
      </c>
      <c r="J34" s="84">
        <f>IF(J16=0,0,J16/TrRail_act!J22*1000)</f>
        <v>14038.404342429754</v>
      </c>
      <c r="K34" s="84">
        <f>IF(K16=0,0,K16/TrRail_act!K22*1000)</f>
        <v>13767.184932259906</v>
      </c>
      <c r="L34" s="84">
        <f>IF(L16=0,0,L16/TrRail_act!L22*1000)</f>
        <v>13504.155844981964</v>
      </c>
      <c r="M34" s="84">
        <f>IF(M16=0,0,M16/TrRail_act!M22*1000)</f>
        <v>13360.479947226288</v>
      </c>
      <c r="N34" s="84">
        <f>IF(N16=0,0,N16/TrRail_act!N22*1000)</f>
        <v>13270.962693754693</v>
      </c>
      <c r="O34" s="84">
        <f>IF(O16=0,0,O16/TrRail_act!O22*1000)</f>
        <v>12628.13938701295</v>
      </c>
      <c r="P34" s="84">
        <f>IF(P16=0,0,P16/TrRail_act!P22*1000)</f>
        <v>12319.793140909609</v>
      </c>
      <c r="Q34" s="84">
        <f>IF(Q16=0,0,Q16/TrRail_act!Q22*1000)</f>
        <v>12274.807474052084</v>
      </c>
      <c r="R34" s="84">
        <f>IF(R16=0,0,R16/TrRail_act!R22*1000)</f>
        <v>12494.61342267801</v>
      </c>
      <c r="S34" s="84">
        <f>IF(S16=0,0,S16/TrRail_act!S22*1000)</f>
        <v>12480.099915046516</v>
      </c>
      <c r="T34" s="84">
        <f>IF(T16=0,0,T16/TrRail_act!T22*1000)</f>
        <v>12441.481654192321</v>
      </c>
      <c r="U34" s="84">
        <f>IF(U16=0,0,U16/TrRail_act!U22*1000)</f>
        <v>13063.593926330388</v>
      </c>
      <c r="V34" s="84">
        <f>IF(V16=0,0,V16/TrRail_act!V22*1000)</f>
        <v>12961.142893042639</v>
      </c>
      <c r="W34" s="84">
        <f>IF(W16=0,0,W16/TrRail_act!W22*1000)</f>
        <v>12952.706935337423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38.474949961067033</v>
      </c>
      <c r="C38" s="29">
        <f>IF(C9=0,0,C9/TrRail_act!C4*1000)</f>
        <v>38.93229468739775</v>
      </c>
      <c r="D38" s="29">
        <f>IF(D9=0,0,D9/TrRail_act!D4*1000)</f>
        <v>37.55456579481298</v>
      </c>
      <c r="E38" s="29">
        <f>IF(E9=0,0,E9/TrRail_act!E4*1000)</f>
        <v>39.405334049100304</v>
      </c>
      <c r="F38" s="29">
        <f>IF(F9=0,0,F9/TrRail_act!F4*1000)</f>
        <v>36.081528755883078</v>
      </c>
      <c r="G38" s="29">
        <f>IF(G9=0,0,G9/TrRail_act!G4*1000)</f>
        <v>34.983345562517648</v>
      </c>
      <c r="H38" s="29">
        <f>IF(H9=0,0,H9/TrRail_act!H4*1000)</f>
        <v>35.4748706782512</v>
      </c>
      <c r="I38" s="29">
        <f>IF(I9=0,0,I9/TrRail_act!I4*1000)</f>
        <v>29.795351700923106</v>
      </c>
      <c r="J38" s="29">
        <f>IF(J9=0,0,J9/TrRail_act!J4*1000)</f>
        <v>29.204176445463926</v>
      </c>
      <c r="K38" s="29">
        <f>IF(K9=0,0,K9/TrRail_act!K4*1000)</f>
        <v>27.761144786864275</v>
      </c>
      <c r="L38" s="29">
        <f>IF(L9=0,0,L9/TrRail_act!L4*1000)</f>
        <v>17.84848348735995</v>
      </c>
      <c r="M38" s="29">
        <f>IF(M9=0,0,M9/TrRail_act!M4*1000)</f>
        <v>16.514722583150327</v>
      </c>
      <c r="N38" s="29">
        <f>IF(N9=0,0,N9/TrRail_act!N4*1000)</f>
        <v>29.917014726664849</v>
      </c>
      <c r="O38" s="29">
        <f>IF(O9=0,0,O9/TrRail_act!O4*1000)</f>
        <v>18.780398744500342</v>
      </c>
      <c r="P38" s="29">
        <f>IF(P9=0,0,P9/TrRail_act!P4*1000)</f>
        <v>44.84897839424989</v>
      </c>
      <c r="Q38" s="29">
        <f>IF(Q9=0,0,Q9/TrRail_act!Q4*1000)</f>
        <v>41.832846306744251</v>
      </c>
      <c r="R38" s="29">
        <f>IF(R9=0,0,R9/TrRail_act!R4*1000)</f>
        <v>43.317391086970837</v>
      </c>
      <c r="S38" s="29">
        <f>IF(S9=0,0,S9/TrRail_act!S4*1000)</f>
        <v>42.522559621130888</v>
      </c>
      <c r="T38" s="29">
        <f>IF(T9=0,0,T9/TrRail_act!T4*1000)</f>
        <v>40.080868793659903</v>
      </c>
      <c r="U38" s="29">
        <f>IF(U9=0,0,U9/TrRail_act!U4*1000)</f>
        <v>10.569830001963135</v>
      </c>
      <c r="V38" s="29">
        <f>IF(V9=0,0,V9/TrRail_act!V4*1000)</f>
        <v>11.485559971158237</v>
      </c>
      <c r="W38" s="29">
        <f>IF(W9=0,0,W9/TrRail_act!W4*1000)</f>
        <v>10.035377662458387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62.751296967254611</v>
      </c>
      <c r="C40" s="116">
        <f>IF(C11=0,0,C11/TrRail_act!C6*1000)</f>
        <v>68.571648971449832</v>
      </c>
      <c r="D40" s="116">
        <f>IF(D11=0,0,D11/TrRail_act!D6*1000)</f>
        <v>65.168217114528403</v>
      </c>
      <c r="E40" s="116">
        <f>IF(E11=0,0,E11/TrRail_act!E6*1000)</f>
        <v>74.454551119456369</v>
      </c>
      <c r="F40" s="116">
        <f>IF(F11=0,0,F11/TrRail_act!F6*1000)</f>
        <v>68.528946701821113</v>
      </c>
      <c r="G40" s="116">
        <f>IF(G11=0,0,G11/TrRail_act!G6*1000)</f>
        <v>63.287023202095035</v>
      </c>
      <c r="H40" s="116">
        <f>IF(H11=0,0,H11/TrRail_act!H6*1000)</f>
        <v>65.837128851243662</v>
      </c>
      <c r="I40" s="116">
        <f>IF(I11=0,0,I11/TrRail_act!I6*1000)</f>
        <v>54.496161401170234</v>
      </c>
      <c r="J40" s="116">
        <f>IF(J11=0,0,J11/TrRail_act!J6*1000)</f>
        <v>58.461227078819455</v>
      </c>
      <c r="K40" s="116">
        <f>IF(K11=0,0,K11/TrRail_act!K6*1000)</f>
        <v>59.382735065562436</v>
      </c>
      <c r="L40" s="116">
        <f>IF(L11=0,0,L11/TrRail_act!L6*1000)</f>
        <v>39.694440047626472</v>
      </c>
      <c r="M40" s="116">
        <f>IF(M11=0,0,M11/TrRail_act!M6*1000)</f>
        <v>45.382426044242138</v>
      </c>
      <c r="N40" s="116">
        <f>IF(N11=0,0,N11/TrRail_act!N6*1000)</f>
        <v>89.944832021656339</v>
      </c>
      <c r="O40" s="116">
        <f>IF(O11=0,0,O11/TrRail_act!O6*1000)</f>
        <v>48.373941015906986</v>
      </c>
      <c r="P40" s="116">
        <f>IF(P11=0,0,P11/TrRail_act!P6*1000)</f>
        <v>114.39288275809362</v>
      </c>
      <c r="Q40" s="116">
        <f>IF(Q11=0,0,Q11/TrRail_act!Q6*1000)</f>
        <v>97.275605431267991</v>
      </c>
      <c r="R40" s="116">
        <f>IF(R11=0,0,R11/TrRail_act!R6*1000)</f>
        <v>103.41729142254589</v>
      </c>
      <c r="S40" s="116">
        <f>IF(S11=0,0,S11/TrRail_act!S6*1000)</f>
        <v>107.09215555614314</v>
      </c>
      <c r="T40" s="116">
        <f>IF(T11=0,0,T11/TrRail_act!T6*1000)</f>
        <v>101.63490196702519</v>
      </c>
      <c r="U40" s="116">
        <f>IF(U11=0,0,U11/TrRail_act!U6*1000)</f>
        <v>24.73499391650336</v>
      </c>
      <c r="V40" s="116">
        <f>IF(V11=0,0,V11/TrRail_act!V6*1000)</f>
        <v>31.019267910551445</v>
      </c>
      <c r="W40" s="116">
        <f>IF(W11=0,0,W11/TrRail_act!W6*1000)</f>
        <v>27.33649185438826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83.680499602080587</v>
      </c>
      <c r="C41" s="87">
        <f>IF(C12=0,0,C12/TrRail_act!C7*1000)</f>
        <v>77.589158606470775</v>
      </c>
      <c r="D41" s="87">
        <f>IF(D12=0,0,D12/TrRail_act!D7*1000)</f>
        <v>76.683842699457955</v>
      </c>
      <c r="E41" s="87">
        <f>IF(E12=0,0,E12/TrRail_act!E7*1000)</f>
        <v>85.299161451691461</v>
      </c>
      <c r="F41" s="87">
        <f>IF(F12=0,0,F12/TrRail_act!F7*1000)</f>
        <v>78.836905525421798</v>
      </c>
      <c r="G41" s="87">
        <f>IF(G12=0,0,G12/TrRail_act!G7*1000)</f>
        <v>68.75278718370248</v>
      </c>
      <c r="H41" s="87">
        <f>IF(H12=0,0,H12/TrRail_act!H7*1000)</f>
        <v>66.333785968418994</v>
      </c>
      <c r="I41" s="87">
        <f>IF(I12=0,0,I12/TrRail_act!I7*1000)</f>
        <v>57.997363882711149</v>
      </c>
      <c r="J41" s="87">
        <f>IF(J12=0,0,J12/TrRail_act!J7*1000)</f>
        <v>68.13306135190841</v>
      </c>
      <c r="K41" s="87">
        <f>IF(K12=0,0,K12/TrRail_act!K7*1000)</f>
        <v>68.082035643474441</v>
      </c>
      <c r="L41" s="87">
        <f>IF(L12=0,0,L12/TrRail_act!L7*1000)</f>
        <v>40.139944425265369</v>
      </c>
      <c r="M41" s="87">
        <f>IF(M12=0,0,M12/TrRail_act!M7*1000)</f>
        <v>45.891768648554603</v>
      </c>
      <c r="N41" s="87">
        <f>IF(N12=0,0,N12/TrRail_act!N7*1000)</f>
        <v>100.03783018398029</v>
      </c>
      <c r="O41" s="87">
        <f>IF(O12=0,0,O12/TrRail_act!O7*1000)</f>
        <v>70.599705759372057</v>
      </c>
      <c r="P41" s="87">
        <f>IF(P12=0,0,P12/TrRail_act!P7*1000)</f>
        <v>149.6123937581182</v>
      </c>
      <c r="Q41" s="87">
        <f>IF(Q12=0,0,Q12/TrRail_act!Q7*1000)</f>
        <v>128.94756920458727</v>
      </c>
      <c r="R41" s="87">
        <f>IF(R12=0,0,R12/TrRail_act!R7*1000)</f>
        <v>127.64581503902345</v>
      </c>
      <c r="S41" s="87">
        <f>IF(S12=0,0,S12/TrRail_act!S7*1000)</f>
        <v>132.05070636902252</v>
      </c>
      <c r="T41" s="87">
        <f>IF(T12=0,0,T12/TrRail_act!T7*1000)</f>
        <v>130.44461945506737</v>
      </c>
      <c r="U41" s="87">
        <f>IF(U12=0,0,U12/TrRail_act!U7*1000)</f>
        <v>59.612745121263053</v>
      </c>
      <c r="V41" s="87">
        <f>IF(V12=0,0,V12/TrRail_act!V7*1000)</f>
        <v>73.337636561774985</v>
      </c>
      <c r="W41" s="87">
        <f>IF(W12=0,0,W12/TrRail_act!W7*1000)</f>
        <v>74.980361928403326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21.318766275779396</v>
      </c>
      <c r="C44" s="29">
        <f>IF(C15=0,0,C15/TrRail_act!C10*1000)</f>
        <v>20.151022439150342</v>
      </c>
      <c r="D44" s="29">
        <f>IF(D15=0,0,D15/TrRail_act!D10*1000)</f>
        <v>23.863035650537785</v>
      </c>
      <c r="E44" s="29">
        <f>IF(E15=0,0,E15/TrRail_act!E10*1000)</f>
        <v>22.501306618367753</v>
      </c>
      <c r="F44" s="29">
        <f>IF(F15=0,0,F15/TrRail_act!F10*1000)</f>
        <v>22.205703009058087</v>
      </c>
      <c r="G44" s="29">
        <f>IF(G15=0,0,G15/TrRail_act!G10*1000)</f>
        <v>16.505576285996423</v>
      </c>
      <c r="H44" s="29">
        <f>IF(H15=0,0,H15/TrRail_act!H10*1000)</f>
        <v>17.231420499090198</v>
      </c>
      <c r="I44" s="29">
        <f>IF(I15=0,0,I15/TrRail_act!I10*1000)</f>
        <v>15.228011899091534</v>
      </c>
      <c r="J44" s="29">
        <f>IF(J15=0,0,J15/TrRail_act!J10*1000)</f>
        <v>22.692807545033283</v>
      </c>
      <c r="K44" s="29">
        <f>IF(K15=0,0,K15/TrRail_act!K10*1000)</f>
        <v>13.741535613804171</v>
      </c>
      <c r="L44" s="29">
        <f>IF(L15=0,0,L15/TrRail_act!L10*1000)</f>
        <v>13.413482628880462</v>
      </c>
      <c r="M44" s="29">
        <f>IF(M15=0,0,M15/TrRail_act!M10*1000)</f>
        <v>11.004363209136457</v>
      </c>
      <c r="N44" s="29">
        <f>IF(N15=0,0,N15/TrRail_act!N10*1000)</f>
        <v>14.425126635978543</v>
      </c>
      <c r="O44" s="29">
        <f>IF(O15=0,0,O15/TrRail_act!O10*1000)</f>
        <v>10.887878511401741</v>
      </c>
      <c r="P44" s="29">
        <f>IF(P15=0,0,P15/TrRail_act!P10*1000)</f>
        <v>11.694986377246495</v>
      </c>
      <c r="Q44" s="29">
        <f>IF(Q15=0,0,Q15/TrRail_act!Q10*1000)</f>
        <v>11.589188504450787</v>
      </c>
      <c r="R44" s="29">
        <f>IF(R15=0,0,R15/TrRail_act!R10*1000)</f>
        <v>11.783069702068149</v>
      </c>
      <c r="S44" s="29">
        <f>IF(S15=0,0,S15/TrRail_act!S10*1000)</f>
        <v>11.449784529521823</v>
      </c>
      <c r="T44" s="29">
        <f>IF(T15=0,0,T15/TrRail_act!T10*1000)</f>
        <v>11.052097912755377</v>
      </c>
      <c r="U44" s="29">
        <f>IF(U15=0,0,U15/TrRail_act!U10*1000)</f>
        <v>5.965366306594313</v>
      </c>
      <c r="V44" s="29">
        <f>IF(V15=0,0,V15/TrRail_act!V10*1000)</f>
        <v>5.6705985896343654</v>
      </c>
      <c r="W44" s="29">
        <f>IF(W15=0,0,W15/TrRail_act!W10*1000)</f>
        <v>5.1229857077585939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28.152785135006827</v>
      </c>
      <c r="C45" s="87">
        <f>IF(C16=0,0,C16/TrRail_act!C11*1000)</f>
        <v>26.998023154585574</v>
      </c>
      <c r="D45" s="87">
        <f>IF(D16=0,0,D16/TrRail_act!D11*1000)</f>
        <v>31.767468716051184</v>
      </c>
      <c r="E45" s="87">
        <f>IF(E16=0,0,E16/TrRail_act!E11*1000)</f>
        <v>30.098842272190975</v>
      </c>
      <c r="F45" s="87">
        <f>IF(F16=0,0,F16/TrRail_act!F11*1000)</f>
        <v>29.845698657051589</v>
      </c>
      <c r="G45" s="87">
        <f>IF(G16=0,0,G16/TrRail_act!G11*1000)</f>
        <v>20.280913448793491</v>
      </c>
      <c r="H45" s="87">
        <f>IF(H16=0,0,H16/TrRail_act!H11*1000)</f>
        <v>19.711002641885869</v>
      </c>
      <c r="I45" s="87">
        <f>IF(I16=0,0,I16/TrRail_act!I11*1000)</f>
        <v>18.584255563695027</v>
      </c>
      <c r="J45" s="87">
        <f>IF(J16=0,0,J16/TrRail_act!J11*1000)</f>
        <v>27.735252756176742</v>
      </c>
      <c r="K45" s="87">
        <f>IF(K16=0,0,K16/TrRail_act!K11*1000)</f>
        <v>17.48832188861665</v>
      </c>
      <c r="L45" s="87">
        <f>IF(L16=0,0,L16/TrRail_act!L11*1000)</f>
        <v>16.322773800776233</v>
      </c>
      <c r="M45" s="87">
        <f>IF(M16=0,0,M16/TrRail_act!M11*1000)</f>
        <v>16.044698745553273</v>
      </c>
      <c r="N45" s="87">
        <f>IF(N16=0,0,N16/TrRail_act!N11*1000)</f>
        <v>24.612060186025612</v>
      </c>
      <c r="O45" s="87">
        <f>IF(O16=0,0,O16/TrRail_act!O11*1000)</f>
        <v>23.062630618591776</v>
      </c>
      <c r="P45" s="87">
        <f>IF(P16=0,0,P16/TrRail_act!P11*1000)</f>
        <v>22.214456652111334</v>
      </c>
      <c r="Q45" s="87">
        <f>IF(Q16=0,0,Q16/TrRail_act!Q11*1000)</f>
        <v>22.418569023497056</v>
      </c>
      <c r="R45" s="87">
        <f>IF(R16=0,0,R16/TrRail_act!R11*1000)</f>
        <v>22.298597992892365</v>
      </c>
      <c r="S45" s="87">
        <f>IF(S16=0,0,S16/TrRail_act!S11*1000)</f>
        <v>21.827594861755028</v>
      </c>
      <c r="T45" s="87">
        <f>IF(T16=0,0,T16/TrRail_act!T11*1000)</f>
        <v>21.834478431236313</v>
      </c>
      <c r="U45" s="87">
        <f>IF(U16=0,0,U16/TrRail_act!U11*1000)</f>
        <v>20.297051038970103</v>
      </c>
      <c r="V45" s="87">
        <f>IF(V16=0,0,V16/TrRail_act!V11*1000)</f>
        <v>22.229940393271207</v>
      </c>
      <c r="W45" s="87">
        <f>IF(W16=0,0,W16/TrRail_act!W11*1000)</f>
        <v>23.283739392811942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585.95929093717632</v>
      </c>
      <c r="C48" s="62">
        <f>IF(C8=0,0,1000000*C8/TrRail_act!C25/1000)</f>
        <v>538.67919913336311</v>
      </c>
      <c r="D48" s="62">
        <f>IF(D8=0,0,1000000*D8/TrRail_act!D25/1000)</f>
        <v>522.50749117893906</v>
      </c>
      <c r="E48" s="62">
        <f>IF(E8=0,0,1000000*E8/TrRail_act!E25/1000)</f>
        <v>505.26281402404084</v>
      </c>
      <c r="F48" s="62">
        <f>IF(F8=0,0,1000000*F8/TrRail_act!F25/1000)</f>
        <v>480.66930986641978</v>
      </c>
      <c r="G48" s="62">
        <f>IF(G8=0,0,1000000*G8/TrRail_act!G25/1000)</f>
        <v>494.03424919562485</v>
      </c>
      <c r="H48" s="62">
        <f>IF(H8=0,0,1000000*H8/TrRail_act!H25/1000)</f>
        <v>517.33080022628701</v>
      </c>
      <c r="I48" s="62">
        <f>IF(I8=0,0,1000000*I8/TrRail_act!I25/1000)</f>
        <v>423.44872452075595</v>
      </c>
      <c r="J48" s="62">
        <f>IF(J8=0,0,1000000*J8/TrRail_act!J25/1000)</f>
        <v>434.24890315116158</v>
      </c>
      <c r="K48" s="62">
        <f>IF(K8=0,0,1000000*K8/TrRail_act!K25/1000)</f>
        <v>390.67754284989837</v>
      </c>
      <c r="L48" s="62">
        <f>IF(L8=0,0,1000000*L8/TrRail_act!L25/1000)</f>
        <v>286.12688263538962</v>
      </c>
      <c r="M48" s="62">
        <f>IF(M8=0,0,1000000*M8/TrRail_act!M25/1000)</f>
        <v>238.06257101010476</v>
      </c>
      <c r="N48" s="62">
        <f>IF(N8=0,0,1000000*N8/TrRail_act!N25/1000)</f>
        <v>405.49376904952311</v>
      </c>
      <c r="O48" s="62">
        <f>IF(O8=0,0,1000000*O8/TrRail_act!O25/1000)</f>
        <v>227.11886152732916</v>
      </c>
      <c r="P48" s="62">
        <f>IF(P8=0,0,1000000*P8/TrRail_act!P25/1000)</f>
        <v>344.004247305626</v>
      </c>
      <c r="Q48" s="62">
        <f>IF(Q8=0,0,1000000*Q8/TrRail_act!Q25/1000)</f>
        <v>343.77864136220046</v>
      </c>
      <c r="R48" s="62">
        <f>IF(R8=0,0,1000000*R8/TrRail_act!R25/1000)</f>
        <v>349.2812611781498</v>
      </c>
      <c r="S48" s="62">
        <f>IF(S8=0,0,1000000*S8/TrRail_act!S25/1000)</f>
        <v>336.41994319590668</v>
      </c>
      <c r="T48" s="62">
        <f>IF(T8=0,0,1000000*T8/TrRail_act!T25/1000)</f>
        <v>323.15303078564114</v>
      </c>
      <c r="U48" s="62">
        <f>IF(U8=0,0,1000000*U8/TrRail_act!U25/1000)</f>
        <v>97.995730104358401</v>
      </c>
      <c r="V48" s="62">
        <f>IF(V8=0,0,1000000*V8/TrRail_act!V25/1000)</f>
        <v>70.616034644295937</v>
      </c>
      <c r="W48" s="62">
        <f>IF(W8=0,0,1000000*W8/TrRail_act!W25/1000)</f>
        <v>66.023824921151643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553.2152778723987</v>
      </c>
      <c r="C49" s="29">
        <f>IF(C9=0,0,1000000*C9/TrRail_act!C26/1000)</f>
        <v>513.80666688542101</v>
      </c>
      <c r="D49" s="29">
        <f>IF(D9=0,0,1000000*D9/TrRail_act!D26/1000)</f>
        <v>497.42967366799752</v>
      </c>
      <c r="E49" s="29">
        <f>IF(E9=0,0,1000000*E9/TrRail_act!E26/1000)</f>
        <v>472.57979585833772</v>
      </c>
      <c r="F49" s="29">
        <f>IF(F9=0,0,1000000*F9/TrRail_act!F26/1000)</f>
        <v>440.26670691671131</v>
      </c>
      <c r="G49" s="29">
        <f>IF(G9=0,0,1000000*G9/TrRail_act!G26/1000)</f>
        <v>464.11149659004292</v>
      </c>
      <c r="H49" s="29">
        <f>IF(H9=0,0,1000000*H9/TrRail_act!H26/1000)</f>
        <v>481.54480337118599</v>
      </c>
      <c r="I49" s="29">
        <f>IF(I9=0,0,1000000*I9/TrRail_act!I26/1000)</f>
        <v>386.62858744032184</v>
      </c>
      <c r="J49" s="29">
        <f>IF(J9=0,0,1000000*J9/TrRail_act!J26/1000)</f>
        <v>378.54812970770166</v>
      </c>
      <c r="K49" s="29">
        <f>IF(K9=0,0,1000000*K9/TrRail_act!K26/1000)</f>
        <v>371.47997444156277</v>
      </c>
      <c r="L49" s="29">
        <f>IF(L9=0,0,1000000*L9/TrRail_act!L26/1000)</f>
        <v>257.59695751475118</v>
      </c>
      <c r="M49" s="29">
        <f>IF(M9=0,0,1000000*M9/TrRail_act!M26/1000)</f>
        <v>226.76932709005527</v>
      </c>
      <c r="N49" s="29">
        <f>IF(N9=0,0,1000000*N9/TrRail_act!N26/1000)</f>
        <v>398.47778984248652</v>
      </c>
      <c r="O49" s="29">
        <f>IF(O9=0,0,1000000*O9/TrRail_act!O26/1000)</f>
        <v>222.27491957053189</v>
      </c>
      <c r="P49" s="29">
        <f>IF(P9=0,0,1000000*P9/TrRail_act!P26/1000)</f>
        <v>339.84817232605604</v>
      </c>
      <c r="Q49" s="29">
        <f>IF(Q9=0,0,1000000*Q9/TrRail_act!Q26/1000)</f>
        <v>339.97489042879386</v>
      </c>
      <c r="R49" s="29">
        <f>IF(R9=0,0,1000000*R9/TrRail_act!R26/1000)</f>
        <v>346.32352625928957</v>
      </c>
      <c r="S49" s="29">
        <f>IF(S9=0,0,1000000*S9/TrRail_act!S26/1000)</f>
        <v>330.30061115084635</v>
      </c>
      <c r="T49" s="29">
        <f>IF(T9=0,0,1000000*T9/TrRail_act!T26/1000)</f>
        <v>315.64371122062892</v>
      </c>
      <c r="U49" s="29">
        <f>IF(U9=0,0,1000000*U9/TrRail_act!U26/1000)</f>
        <v>91.451304991581367</v>
      </c>
      <c r="V49" s="29">
        <f>IF(V9=0,0,1000000*V9/TrRail_act!V26/1000)</f>
        <v>62.578727916221297</v>
      </c>
      <c r="W49" s="29">
        <f>IF(W9=0,0,1000000*W9/TrRail_act!W26/1000)</f>
        <v>58.124049573170311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1353.6592202878871</v>
      </c>
      <c r="C51" s="116">
        <f>IF(C11=0,0,1000000*C11/TrRail_act!C28/1000)</f>
        <v>1305.4617003174872</v>
      </c>
      <c r="D51" s="116">
        <f>IF(D11=0,0,1000000*D11/TrRail_act!D28/1000)</f>
        <v>1251.1204288507215</v>
      </c>
      <c r="E51" s="116">
        <f>IF(E11=0,0,1000000*E11/TrRail_act!E28/1000)</f>
        <v>1208.9590750131665</v>
      </c>
      <c r="F51" s="116">
        <f>IF(F11=0,0,1000000*F11/TrRail_act!F28/1000)</f>
        <v>1183.0505426849024</v>
      </c>
      <c r="G51" s="116">
        <f>IF(G11=0,0,1000000*G11/TrRail_act!G28/1000)</f>
        <v>1145.2271375489811</v>
      </c>
      <c r="H51" s="116">
        <f>IF(H11=0,0,1000000*H11/TrRail_act!H28/1000)</f>
        <v>1132.7860641034865</v>
      </c>
      <c r="I51" s="116">
        <f>IF(I11=0,0,1000000*I11/TrRail_act!I28/1000)</f>
        <v>1074.8444194447034</v>
      </c>
      <c r="J51" s="116">
        <f>IF(J11=0,0,1000000*J11/TrRail_act!J28/1000)</f>
        <v>1026.543615168189</v>
      </c>
      <c r="K51" s="116">
        <f>IF(K11=0,0,1000000*K11/TrRail_act!K28/1000)</f>
        <v>1017.4242546462909</v>
      </c>
      <c r="L51" s="116">
        <f>IF(L11=0,0,1000000*L11/TrRail_act!L28/1000)</f>
        <v>714.06925190573338</v>
      </c>
      <c r="M51" s="116">
        <f>IF(M11=0,0,1000000*M11/TrRail_act!M28/1000)</f>
        <v>638.07479948655589</v>
      </c>
      <c r="N51" s="116">
        <f>IF(N11=0,0,1000000*N11/TrRail_act!N28/1000)</f>
        <v>973.56452363960545</v>
      </c>
      <c r="O51" s="116">
        <f>IF(O11=0,0,1000000*O11/TrRail_act!O28/1000)</f>
        <v>687.88120548067354</v>
      </c>
      <c r="P51" s="116">
        <f>IF(P11=0,0,1000000*P11/TrRail_act!P28/1000)</f>
        <v>784.91505764771489</v>
      </c>
      <c r="Q51" s="116">
        <f>IF(Q11=0,0,1000000*Q11/TrRail_act!Q28/1000)</f>
        <v>738.3208737789497</v>
      </c>
      <c r="R51" s="116">
        <f>IF(R11=0,0,1000000*R11/TrRail_act!R28/1000)</f>
        <v>750.16857559827565</v>
      </c>
      <c r="S51" s="116">
        <f>IF(S11=0,0,1000000*S11/TrRail_act!S28/1000)</f>
        <v>745.06563343023504</v>
      </c>
      <c r="T51" s="116">
        <f>IF(T11=0,0,1000000*T11/TrRail_act!T28/1000)</f>
        <v>731.86776865364186</v>
      </c>
      <c r="U51" s="116">
        <f>IF(U11=0,0,1000000*U11/TrRail_act!U28/1000)</f>
        <v>207.68134153247544</v>
      </c>
      <c r="V51" s="116">
        <f>IF(V11=0,0,1000000*V11/TrRail_act!V28/1000)</f>
        <v>141.42739205477656</v>
      </c>
      <c r="W51" s="116">
        <f>IF(W11=0,0,1000000*W11/TrRail_act!W28/1000)</f>
        <v>135.61467439221548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1462.7648751842848</v>
      </c>
      <c r="C52" s="87">
        <f>IF(C12=0,0,1000000*C12/TrRail_act!C29/1000)</f>
        <v>1409.1408629767618</v>
      </c>
      <c r="D52" s="87">
        <f>IF(D12=0,0,1000000*D12/TrRail_act!D29/1000)</f>
        <v>1336.3536589707423</v>
      </c>
      <c r="E52" s="87">
        <f>IF(E12=0,0,1000000*E12/TrRail_act!E29/1000)</f>
        <v>1280.9431062438077</v>
      </c>
      <c r="F52" s="87">
        <f>IF(F12=0,0,1000000*F12/TrRail_act!F29/1000)</f>
        <v>1244.8322084952724</v>
      </c>
      <c r="G52" s="87">
        <f>IF(G12=0,0,1000000*G12/TrRail_act!G29/1000)</f>
        <v>1193.4907565626625</v>
      </c>
      <c r="H52" s="87">
        <f>IF(H12=0,0,1000000*H12/TrRail_act!H29/1000)</f>
        <v>1171.6469220343561</v>
      </c>
      <c r="I52" s="87">
        <f>IF(I12=0,0,1000000*I12/TrRail_act!I29/1000)</f>
        <v>1122.8182300904793</v>
      </c>
      <c r="J52" s="87">
        <f>IF(J12=0,0,1000000*J12/TrRail_act!J29/1000)</f>
        <v>1131.8987029330547</v>
      </c>
      <c r="K52" s="87">
        <f>IF(K12=0,0,1000000*K12/TrRail_act!K29/1000)</f>
        <v>1124.1836597148051</v>
      </c>
      <c r="L52" s="87">
        <f>IF(L12=0,0,1000000*L12/TrRail_act!L29/1000)</f>
        <v>791.02273625980797</v>
      </c>
      <c r="M52" s="87">
        <f>IF(M12=0,0,1000000*M12/TrRail_act!M29/1000)</f>
        <v>709.12611785203478</v>
      </c>
      <c r="N52" s="87">
        <f>IF(N12=0,0,1000000*N12/TrRail_act!N29/1000)</f>
        <v>1058.605510875258</v>
      </c>
      <c r="O52" s="87">
        <f>IF(O12=0,0,1000000*O12/TrRail_act!O29/1000)</f>
        <v>816.01479121962961</v>
      </c>
      <c r="P52" s="87">
        <f>IF(P12=0,0,1000000*P12/TrRail_act!P29/1000)</f>
        <v>974.50464914636177</v>
      </c>
      <c r="Q52" s="87">
        <f>IF(Q12=0,0,1000000*Q12/TrRail_act!Q29/1000)</f>
        <v>966.92276164136479</v>
      </c>
      <c r="R52" s="87">
        <f>IF(R12=0,0,1000000*R12/TrRail_act!R29/1000)</f>
        <v>981.17700872802857</v>
      </c>
      <c r="S52" s="87">
        <f>IF(S12=0,0,1000000*S12/TrRail_act!S29/1000)</f>
        <v>977.7508183901607</v>
      </c>
      <c r="T52" s="87">
        <f>IF(T12=0,0,1000000*T12/TrRail_act!T29/1000)</f>
        <v>973.0192137404722</v>
      </c>
      <c r="U52" s="87">
        <f>IF(U12=0,0,1000000*U12/TrRail_act!U29/1000)</f>
        <v>288.81391754452972</v>
      </c>
      <c r="V52" s="87">
        <f>IF(V12=0,0,1000000*V12/TrRail_act!V29/1000)</f>
        <v>200.25610062784693</v>
      </c>
      <c r="W52" s="87">
        <f>IF(W12=0,0,1000000*W12/TrRail_act!W29/1000)</f>
        <v>196.06717592164455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2542.192441199873</v>
      </c>
      <c r="C55" s="29">
        <f>IF(C15=0,0,1000000*C15/TrRail_act!C32/1000)</f>
        <v>2219.6725205258217</v>
      </c>
      <c r="D55" s="29">
        <f>IF(D15=0,0,1000000*D15/TrRail_act!D32/1000)</f>
        <v>2302.041116327011</v>
      </c>
      <c r="E55" s="29">
        <f>IF(E15=0,0,1000000*E15/TrRail_act!E32/1000)</f>
        <v>2404.8325932868975</v>
      </c>
      <c r="F55" s="29">
        <f>IF(F15=0,0,1000000*F15/TrRail_act!F32/1000)</f>
        <v>2378.9987587883634</v>
      </c>
      <c r="G55" s="29">
        <f>IF(G15=0,0,1000000*G15/TrRail_act!G32/1000)</f>
        <v>1957.9227551465656</v>
      </c>
      <c r="H55" s="29">
        <f>IF(H15=0,0,1000000*H15/TrRail_act!H32/1000)</f>
        <v>2317.3718515871415</v>
      </c>
      <c r="I55" s="29">
        <f>IF(I15=0,0,1000000*I15/TrRail_act!I32/1000)</f>
        <v>1994.988431421011</v>
      </c>
      <c r="J55" s="29">
        <f>IF(J15=0,0,1000000*J15/TrRail_act!J32/1000)</f>
        <v>2161.8869570429842</v>
      </c>
      <c r="K55" s="29">
        <f>IF(K15=0,0,1000000*K15/TrRail_act!K32/1000)</f>
        <v>961.09594146398081</v>
      </c>
      <c r="L55" s="29">
        <f>IF(L15=0,0,1000000*L15/TrRail_act!L32/1000)</f>
        <v>1093.1189342029311</v>
      </c>
      <c r="M55" s="29">
        <f>IF(M15=0,0,1000000*M15/TrRail_act!M32/1000)</f>
        <v>539.7743697986715</v>
      </c>
      <c r="N55" s="29">
        <f>IF(N15=0,0,1000000*N15/TrRail_act!N32/1000)</f>
        <v>598.74320990539911</v>
      </c>
      <c r="O55" s="29">
        <f>IF(O15=0,0,1000000*O15/TrRail_act!O32/1000)</f>
        <v>399.44365893007569</v>
      </c>
      <c r="P55" s="29">
        <f>IF(P15=0,0,1000000*P15/TrRail_act!P32/1000)</f>
        <v>585.35763908403544</v>
      </c>
      <c r="Q55" s="29">
        <f>IF(Q15=0,0,1000000*Q15/TrRail_act!Q32/1000)</f>
        <v>576.26224778893072</v>
      </c>
      <c r="R55" s="29">
        <f>IF(R15=0,0,1000000*R15/TrRail_act!R32/1000)</f>
        <v>538.82015213948466</v>
      </c>
      <c r="S55" s="29">
        <f>IF(S15=0,0,1000000*S15/TrRail_act!S32/1000)</f>
        <v>728.56169172695388</v>
      </c>
      <c r="T55" s="29">
        <f>IF(T15=0,0,1000000*T15/TrRail_act!T32/1000)</f>
        <v>792.01210035943143</v>
      </c>
      <c r="U55" s="29">
        <f>IF(U15=0,0,1000000*U15/TrRail_act!U32/1000)</f>
        <v>402.64872343191587</v>
      </c>
      <c r="V55" s="29">
        <f>IF(V15=0,0,1000000*V15/TrRail_act!V32/1000)</f>
        <v>371.98624868176182</v>
      </c>
      <c r="W55" s="29">
        <f>IF(W15=0,0,1000000*W15/TrRail_act!W32/1000)</f>
        <v>365.45785681828437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3411.0051603814973</v>
      </c>
      <c r="C56" s="87">
        <f>IF(C16=0,0,1000000*C16/TrRail_act!C33/1000)</f>
        <v>3188.0891865589656</v>
      </c>
      <c r="D56" s="87">
        <f>IF(D16=0,0,1000000*D16/TrRail_act!D33/1000)</f>
        <v>3207.252252465425</v>
      </c>
      <c r="E56" s="87">
        <f>IF(E16=0,0,1000000*E16/TrRail_act!E33/1000)</f>
        <v>3078.1504264087853</v>
      </c>
      <c r="F56" s="87">
        <f>IF(F16=0,0,1000000*F16/TrRail_act!F33/1000)</f>
        <v>3042.7001799964842</v>
      </c>
      <c r="G56" s="87">
        <f>IF(G16=0,0,1000000*G16/TrRail_act!G33/1000)</f>
        <v>2496.0592051168405</v>
      </c>
      <c r="H56" s="87">
        <f>IF(H16=0,0,1000000*H16/TrRail_act!H33/1000)</f>
        <v>2925.2562010643546</v>
      </c>
      <c r="I56" s="87">
        <f>IF(I16=0,0,1000000*I16/TrRail_act!I33/1000)</f>
        <v>2899.8949856826048</v>
      </c>
      <c r="J56" s="87">
        <f>IF(J16=0,0,1000000*J16/TrRail_act!J33/1000)</f>
        <v>2807.6806712783291</v>
      </c>
      <c r="K56" s="87">
        <f>IF(K16=0,0,1000000*K16/TrRail_act!K33/1000)</f>
        <v>1246.3783319988108</v>
      </c>
      <c r="L56" s="87">
        <f>IF(L16=0,0,1000000*L16/TrRail_act!L33/1000)</f>
        <v>1415.3374483667621</v>
      </c>
      <c r="M56" s="87">
        <f>IF(M16=0,0,1000000*M16/TrRail_act!M33/1000)</f>
        <v>697.6644980069932</v>
      </c>
      <c r="N56" s="87">
        <f>IF(N16=0,0,1000000*N16/TrRail_act!N33/1000)</f>
        <v>772.39356188070667</v>
      </c>
      <c r="O56" s="87">
        <f>IF(O16=0,0,1000000*O16/TrRail_act!O33/1000)</f>
        <v>514.1933128876783</v>
      </c>
      <c r="P56" s="87">
        <f>IF(P16=0,0,1000000*P16/TrRail_act!P33/1000)</f>
        <v>765.46808936576372</v>
      </c>
      <c r="Q56" s="87">
        <f>IF(Q16=0,0,1000000*Q16/TrRail_act!Q33/1000)</f>
        <v>759.75174440743126</v>
      </c>
      <c r="R56" s="87">
        <f>IF(R16=0,0,1000000*R16/TrRail_act!R33/1000)</f>
        <v>709.59173619783826</v>
      </c>
      <c r="S56" s="87">
        <f>IF(S16=0,0,1000000*S16/TrRail_act!S33/1000)</f>
        <v>1037.4901286032109</v>
      </c>
      <c r="T56" s="87">
        <f>IF(T16=0,0,1000000*T16/TrRail_act!T33/1000)</f>
        <v>1224.0012085692574</v>
      </c>
      <c r="U56" s="87">
        <f>IF(U16=0,0,1000000*U16/TrRail_act!U33/1000)</f>
        <v>857.14427836542609</v>
      </c>
      <c r="V56" s="87">
        <f>IF(V16=0,0,1000000*V16/TrRail_act!V33/1000)</f>
        <v>999.01634719159108</v>
      </c>
      <c r="W56" s="87">
        <f>IF(W16=0,0,1000000*W16/TrRail_act!W33/1000)</f>
        <v>1026.9399148592161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0.92857617796697089</v>
      </c>
      <c r="C60" s="31">
        <f t="shared" ref="C60:V60" si="8">IF(C9=0,0,C9/C$8)</f>
        <v>0.93991946014732819</v>
      </c>
      <c r="D60" s="31">
        <f t="shared" si="8"/>
        <v>0.93877531126756497</v>
      </c>
      <c r="E60" s="31">
        <f t="shared" si="8"/>
        <v>0.91949446814794766</v>
      </c>
      <c r="F60" s="31">
        <f t="shared" si="8"/>
        <v>0.8968570907710296</v>
      </c>
      <c r="G60" s="31">
        <f t="shared" si="8"/>
        <v>0.92061392871583425</v>
      </c>
      <c r="H60" s="31">
        <f t="shared" si="8"/>
        <v>0.91268100130920293</v>
      </c>
      <c r="I60" s="31">
        <f t="shared" si="8"/>
        <v>0.8921446401606804</v>
      </c>
      <c r="J60" s="31">
        <f t="shared" si="8"/>
        <v>0.84450314427395623</v>
      </c>
      <c r="K60" s="31">
        <f t="shared" si="8"/>
        <v>0.91990133391179385</v>
      </c>
      <c r="L60" s="31">
        <f t="shared" si="8"/>
        <v>0.86954776988462013</v>
      </c>
      <c r="M60" s="31">
        <f t="shared" si="8"/>
        <v>0.91819336789272976</v>
      </c>
      <c r="N60" s="31">
        <f t="shared" si="8"/>
        <v>0.94827044486547218</v>
      </c>
      <c r="O60" s="31">
        <f t="shared" si="8"/>
        <v>0.95191449690422458</v>
      </c>
      <c r="P60" s="31">
        <f t="shared" si="8"/>
        <v>0.97119468580166857</v>
      </c>
      <c r="Q60" s="31">
        <f t="shared" si="8"/>
        <v>0.97301559385741632</v>
      </c>
      <c r="R60" s="31">
        <f t="shared" si="8"/>
        <v>0.97629692608641216</v>
      </c>
      <c r="S60" s="31">
        <f t="shared" si="8"/>
        <v>0.96672479417713253</v>
      </c>
      <c r="T60" s="31">
        <f t="shared" si="8"/>
        <v>0.96136497167574864</v>
      </c>
      <c r="U60" s="31">
        <f t="shared" si="8"/>
        <v>0.91359185328160364</v>
      </c>
      <c r="V60" s="31">
        <f t="shared" si="8"/>
        <v>0.86316309722740736</v>
      </c>
      <c r="W60" s="31">
        <f t="shared" ref="W60" si="9">IF(W9=0,0,W9/W$8)</f>
        <v>0.85772092676843448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0.92857617796697089</v>
      </c>
      <c r="C62" s="124">
        <f t="shared" ref="C62:V62" si="12">IF(C11=0,0,C11/C$8)</f>
        <v>0.93991946014732819</v>
      </c>
      <c r="D62" s="124">
        <f t="shared" si="12"/>
        <v>0.93877531126756497</v>
      </c>
      <c r="E62" s="124">
        <f t="shared" si="12"/>
        <v>0.91949446814794766</v>
      </c>
      <c r="F62" s="124">
        <f t="shared" si="12"/>
        <v>0.8968570907710296</v>
      </c>
      <c r="G62" s="124">
        <f t="shared" si="12"/>
        <v>0.92061392871583425</v>
      </c>
      <c r="H62" s="124">
        <f t="shared" si="12"/>
        <v>0.91268100130920293</v>
      </c>
      <c r="I62" s="124">
        <f t="shared" si="12"/>
        <v>0.8921446401606804</v>
      </c>
      <c r="J62" s="124">
        <f t="shared" si="12"/>
        <v>0.84450314427395623</v>
      </c>
      <c r="K62" s="124">
        <f t="shared" si="12"/>
        <v>0.91990133391179385</v>
      </c>
      <c r="L62" s="124">
        <f t="shared" si="12"/>
        <v>0.86954776988462013</v>
      </c>
      <c r="M62" s="124">
        <f t="shared" si="12"/>
        <v>0.91819336789272976</v>
      </c>
      <c r="N62" s="124">
        <f t="shared" si="12"/>
        <v>0.94827044486547218</v>
      </c>
      <c r="O62" s="124">
        <f t="shared" si="12"/>
        <v>0.95191449690422458</v>
      </c>
      <c r="P62" s="124">
        <f t="shared" si="12"/>
        <v>0.97119468580166857</v>
      </c>
      <c r="Q62" s="124">
        <f t="shared" si="12"/>
        <v>0.97301559385741632</v>
      </c>
      <c r="R62" s="124">
        <f t="shared" si="12"/>
        <v>0.97629692608641216</v>
      </c>
      <c r="S62" s="124">
        <f t="shared" si="12"/>
        <v>0.96672479417713253</v>
      </c>
      <c r="T62" s="124">
        <f t="shared" si="12"/>
        <v>0.96136497167574864</v>
      </c>
      <c r="U62" s="124">
        <f t="shared" si="12"/>
        <v>0.91359185328160364</v>
      </c>
      <c r="V62" s="124">
        <f t="shared" si="12"/>
        <v>0.86316309722740736</v>
      </c>
      <c r="W62" s="124">
        <f t="shared" ref="W62" si="13">IF(W11=0,0,W11/W$8)</f>
        <v>0.85772092676843448</v>
      </c>
      <c r="DA62" s="176"/>
    </row>
    <row r="63" spans="1:105" ht="11.45" customHeight="1" x14ac:dyDescent="0.25">
      <c r="A63" s="111" t="s">
        <v>92</v>
      </c>
      <c r="B63" s="125">
        <f t="shared" si="5"/>
        <v>0.92857617796697089</v>
      </c>
      <c r="C63" s="125">
        <f t="shared" ref="C63:V63" si="14">IF(C12=0,0,C12/C$8)</f>
        <v>0.93991946014732819</v>
      </c>
      <c r="D63" s="125">
        <f t="shared" si="14"/>
        <v>0.93877531126756497</v>
      </c>
      <c r="E63" s="125">
        <f t="shared" si="14"/>
        <v>0.91949446814794766</v>
      </c>
      <c r="F63" s="125">
        <f t="shared" si="14"/>
        <v>0.8968570907710296</v>
      </c>
      <c r="G63" s="125">
        <f t="shared" si="14"/>
        <v>0.92061392871583425</v>
      </c>
      <c r="H63" s="125">
        <f t="shared" si="14"/>
        <v>0.91268100130920293</v>
      </c>
      <c r="I63" s="125">
        <f t="shared" si="14"/>
        <v>0.8921446401606804</v>
      </c>
      <c r="J63" s="125">
        <f t="shared" si="14"/>
        <v>0.84450314427395623</v>
      </c>
      <c r="K63" s="125">
        <f t="shared" si="14"/>
        <v>0.91990133391179385</v>
      </c>
      <c r="L63" s="125">
        <f t="shared" si="14"/>
        <v>0.86954776988462013</v>
      </c>
      <c r="M63" s="125">
        <f t="shared" si="14"/>
        <v>0.91819336789272976</v>
      </c>
      <c r="N63" s="125">
        <f t="shared" si="14"/>
        <v>0.94827044486547218</v>
      </c>
      <c r="O63" s="125">
        <f t="shared" si="14"/>
        <v>0.95191449690422458</v>
      </c>
      <c r="P63" s="125">
        <f t="shared" si="14"/>
        <v>0.97119468580166857</v>
      </c>
      <c r="Q63" s="125">
        <f t="shared" si="14"/>
        <v>0.97301559385741632</v>
      </c>
      <c r="R63" s="125">
        <f t="shared" si="14"/>
        <v>0.97629692608641216</v>
      </c>
      <c r="S63" s="125">
        <f t="shared" si="14"/>
        <v>0.96672479417713253</v>
      </c>
      <c r="T63" s="125">
        <f t="shared" si="14"/>
        <v>0.96136497167574864</v>
      </c>
      <c r="U63" s="125">
        <f t="shared" si="14"/>
        <v>0.91359185328160364</v>
      </c>
      <c r="V63" s="125">
        <f t="shared" si="14"/>
        <v>0.86316309722740736</v>
      </c>
      <c r="W63" s="125">
        <f t="shared" ref="W63" si="15">IF(W12=0,0,W12/W$8)</f>
        <v>0.85772092676843448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7.1423822033029161E-2</v>
      </c>
      <c r="C66" s="31">
        <f t="shared" ref="C66:V66" si="20">IF(C15=0,0,C15/C$8)</f>
        <v>6.0080539852671803E-2</v>
      </c>
      <c r="D66" s="31">
        <f t="shared" si="20"/>
        <v>6.1224688732435015E-2</v>
      </c>
      <c r="E66" s="31">
        <f t="shared" si="20"/>
        <v>8.0505531852052267E-2</v>
      </c>
      <c r="F66" s="31">
        <f t="shared" si="20"/>
        <v>0.10314290922897035</v>
      </c>
      <c r="G66" s="31">
        <f t="shared" si="20"/>
        <v>7.9386071284165804E-2</v>
      </c>
      <c r="H66" s="31">
        <f t="shared" si="20"/>
        <v>8.7318998690797053E-2</v>
      </c>
      <c r="I66" s="31">
        <f t="shared" si="20"/>
        <v>0.10785535983931965</v>
      </c>
      <c r="J66" s="31">
        <f t="shared" si="20"/>
        <v>0.1554968557260438</v>
      </c>
      <c r="K66" s="31">
        <f t="shared" si="20"/>
        <v>8.0098666088206136E-2</v>
      </c>
      <c r="L66" s="31">
        <f t="shared" si="20"/>
        <v>0.13045223011537987</v>
      </c>
      <c r="M66" s="31">
        <f t="shared" si="20"/>
        <v>8.1806632107270197E-2</v>
      </c>
      <c r="N66" s="31">
        <f t="shared" si="20"/>
        <v>5.1729555134527892E-2</v>
      </c>
      <c r="O66" s="31">
        <f t="shared" si="20"/>
        <v>4.8085503095775424E-2</v>
      </c>
      <c r="P66" s="31">
        <f t="shared" si="20"/>
        <v>2.8805314198331454E-2</v>
      </c>
      <c r="Q66" s="31">
        <f t="shared" si="20"/>
        <v>2.6984406142583659E-2</v>
      </c>
      <c r="R66" s="31">
        <f t="shared" si="20"/>
        <v>2.3703073913587797E-2</v>
      </c>
      <c r="S66" s="31">
        <f t="shared" si="20"/>
        <v>3.3275205822867512E-2</v>
      </c>
      <c r="T66" s="31">
        <f t="shared" si="20"/>
        <v>3.8635028324251398E-2</v>
      </c>
      <c r="U66" s="31">
        <f t="shared" si="20"/>
        <v>8.6408146718396334E-2</v>
      </c>
      <c r="V66" s="31">
        <f t="shared" si="20"/>
        <v>0.13683690277259258</v>
      </c>
      <c r="W66" s="31">
        <f t="shared" ref="W66" si="21">IF(W15=0,0,W15/W$8)</f>
        <v>0.14227907323156549</v>
      </c>
      <c r="DA66" s="173"/>
    </row>
    <row r="67" spans="1:105" ht="11.45" customHeight="1" x14ac:dyDescent="0.25">
      <c r="A67" s="83" t="s">
        <v>92</v>
      </c>
      <c r="B67" s="125">
        <f t="shared" si="5"/>
        <v>7.1423822033029161E-2</v>
      </c>
      <c r="C67" s="125">
        <f t="shared" ref="C67:V67" si="22">IF(C16=0,0,C16/C$8)</f>
        <v>6.0080539852671803E-2</v>
      </c>
      <c r="D67" s="125">
        <f t="shared" si="22"/>
        <v>6.1224688732435015E-2</v>
      </c>
      <c r="E67" s="125">
        <f t="shared" si="22"/>
        <v>8.0505531852052267E-2</v>
      </c>
      <c r="F67" s="125">
        <f t="shared" si="22"/>
        <v>0.10314290922897035</v>
      </c>
      <c r="G67" s="125">
        <f t="shared" si="22"/>
        <v>7.9386071284165804E-2</v>
      </c>
      <c r="H67" s="125">
        <f t="shared" si="22"/>
        <v>8.7318998690797053E-2</v>
      </c>
      <c r="I67" s="125">
        <f t="shared" si="22"/>
        <v>0.10785535983931965</v>
      </c>
      <c r="J67" s="125">
        <f t="shared" si="22"/>
        <v>0.1554968557260438</v>
      </c>
      <c r="K67" s="125">
        <f t="shared" si="22"/>
        <v>8.0098666088206136E-2</v>
      </c>
      <c r="L67" s="125">
        <f t="shared" si="22"/>
        <v>0.13045223011537987</v>
      </c>
      <c r="M67" s="125">
        <f t="shared" si="22"/>
        <v>8.1806632107270197E-2</v>
      </c>
      <c r="N67" s="125">
        <f t="shared" si="22"/>
        <v>5.1729555134527892E-2</v>
      </c>
      <c r="O67" s="125">
        <f t="shared" si="22"/>
        <v>4.8085503095775424E-2</v>
      </c>
      <c r="P67" s="125">
        <f t="shared" si="22"/>
        <v>2.8805314198331454E-2</v>
      </c>
      <c r="Q67" s="125">
        <f t="shared" si="22"/>
        <v>2.6984406142583659E-2</v>
      </c>
      <c r="R67" s="125">
        <f t="shared" si="22"/>
        <v>2.3703073913587797E-2</v>
      </c>
      <c r="S67" s="125">
        <f t="shared" si="22"/>
        <v>3.3275205822867512E-2</v>
      </c>
      <c r="T67" s="125">
        <f t="shared" si="22"/>
        <v>3.8635028324251398E-2</v>
      </c>
      <c r="U67" s="125">
        <f t="shared" si="22"/>
        <v>8.6408146718396334E-2</v>
      </c>
      <c r="V67" s="125">
        <f t="shared" si="22"/>
        <v>0.13683690277259258</v>
      </c>
      <c r="W67" s="125">
        <f t="shared" ref="W67" si="23">IF(W16=0,0,W16/W$8)</f>
        <v>0.14227907323156549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33512.801053620191</v>
      </c>
      <c r="C4" s="11">
        <f t="shared" si="0"/>
        <v>31263.863474385304</v>
      </c>
      <c r="D4" s="11">
        <f t="shared" ref="D4:V4" si="1">SUM(D5:D7)</f>
        <v>30877.702756373154</v>
      </c>
      <c r="E4" s="11">
        <f t="shared" si="1"/>
        <v>31317.686974224864</v>
      </c>
      <c r="F4" s="11">
        <f t="shared" si="1"/>
        <v>33471.097454403076</v>
      </c>
      <c r="G4" s="11">
        <f t="shared" si="1"/>
        <v>34356.967146005903</v>
      </c>
      <c r="H4" s="11">
        <f t="shared" si="1"/>
        <v>35886.831499269734</v>
      </c>
      <c r="I4" s="11">
        <f t="shared" si="1"/>
        <v>36627.637751067356</v>
      </c>
      <c r="J4" s="11">
        <f t="shared" si="1"/>
        <v>35275.844841455473</v>
      </c>
      <c r="K4" s="11">
        <f t="shared" si="1"/>
        <v>32803.784662102858</v>
      </c>
      <c r="L4" s="11">
        <f t="shared" si="1"/>
        <v>32318.813097806236</v>
      </c>
      <c r="M4" s="11">
        <f t="shared" si="1"/>
        <v>33757.420610969581</v>
      </c>
      <c r="N4" s="11">
        <f t="shared" si="1"/>
        <v>31484.869579700226</v>
      </c>
      <c r="O4" s="11">
        <f t="shared" si="1"/>
        <v>33386.311221544296</v>
      </c>
      <c r="P4" s="11">
        <f t="shared" si="1"/>
        <v>37459.449671640992</v>
      </c>
      <c r="Q4" s="11">
        <f t="shared" si="1"/>
        <v>38662.631057811195</v>
      </c>
      <c r="R4" s="11">
        <f t="shared" si="1"/>
        <v>42082.733880285057</v>
      </c>
      <c r="S4" s="11">
        <f t="shared" si="1"/>
        <v>47163.71575419564</v>
      </c>
      <c r="T4" s="11">
        <f t="shared" si="1"/>
        <v>51641.813550306222</v>
      </c>
      <c r="U4" s="11">
        <f t="shared" si="1"/>
        <v>53752.520419231107</v>
      </c>
      <c r="V4" s="11">
        <f t="shared" si="1"/>
        <v>15990.834963684139</v>
      </c>
      <c r="W4" s="11">
        <f t="shared" ref="W4" si="2">SUM(W5:W7)</f>
        <v>30407.163802643692</v>
      </c>
      <c r="DA4" s="189" t="s">
        <v>189</v>
      </c>
    </row>
    <row r="5" spans="1:105" ht="11.45" customHeight="1" x14ac:dyDescent="0.25">
      <c r="A5" s="83" t="s">
        <v>27</v>
      </c>
      <c r="B5" s="84">
        <v>2488.4994358538756</v>
      </c>
      <c r="C5" s="84">
        <v>2371.6997311843506</v>
      </c>
      <c r="D5" s="84">
        <v>2186.3134820959672</v>
      </c>
      <c r="E5" s="84">
        <v>2103.3315914289124</v>
      </c>
      <c r="F5" s="84">
        <v>2447.2823035056058</v>
      </c>
      <c r="G5" s="84">
        <v>2500.1986759714196</v>
      </c>
      <c r="H5" s="84">
        <v>2628.2753061787571</v>
      </c>
      <c r="I5" s="84">
        <v>2814.9848275215622</v>
      </c>
      <c r="J5" s="84">
        <v>2773.7820833300061</v>
      </c>
      <c r="K5" s="84">
        <v>2822.8819278819524</v>
      </c>
      <c r="L5" s="84">
        <v>2518.346732898297</v>
      </c>
      <c r="M5" s="84">
        <v>2112.7297660140348</v>
      </c>
      <c r="N5" s="84">
        <v>1927.8941127530379</v>
      </c>
      <c r="O5" s="84">
        <v>1863.2655650237718</v>
      </c>
      <c r="P5" s="84">
        <v>2263.1055060039303</v>
      </c>
      <c r="Q5" s="84">
        <v>2709.3657201810329</v>
      </c>
      <c r="R5" s="84">
        <v>2909.6572246752298</v>
      </c>
      <c r="S5" s="84">
        <v>2897.4105677939174</v>
      </c>
      <c r="T5" s="84">
        <v>2905.7054341795638</v>
      </c>
      <c r="U5" s="84">
        <v>2874.8653443847461</v>
      </c>
      <c r="V5" s="84">
        <v>1281.2525611786973</v>
      </c>
      <c r="W5" s="84">
        <v>2002.2976197160847</v>
      </c>
      <c r="DA5" s="171" t="s">
        <v>190</v>
      </c>
    </row>
    <row r="6" spans="1:105" ht="11.45" customHeight="1" x14ac:dyDescent="0.25">
      <c r="A6" s="83" t="s">
        <v>173</v>
      </c>
      <c r="B6" s="84">
        <v>27566.526082824385</v>
      </c>
      <c r="C6" s="84">
        <v>25651.465443732319</v>
      </c>
      <c r="D6" s="84">
        <v>25417.927548380638</v>
      </c>
      <c r="E6" s="84">
        <v>25798.425386908875</v>
      </c>
      <c r="F6" s="84">
        <v>27120.570837817511</v>
      </c>
      <c r="G6" s="84">
        <v>27604.906258174433</v>
      </c>
      <c r="H6" s="84">
        <v>28073.165213347675</v>
      </c>
      <c r="I6" s="84">
        <v>27774.00053012983</v>
      </c>
      <c r="J6" s="84">
        <v>25975.447755853693</v>
      </c>
      <c r="K6" s="84">
        <v>24259.533970974284</v>
      </c>
      <c r="L6" s="84">
        <v>23590.503977206285</v>
      </c>
      <c r="M6" s="84">
        <v>24793.324966544616</v>
      </c>
      <c r="N6" s="84">
        <v>23099.997027753812</v>
      </c>
      <c r="O6" s="84">
        <v>23826.430267415843</v>
      </c>
      <c r="P6" s="84">
        <v>27224.519836920645</v>
      </c>
      <c r="Q6" s="84">
        <v>28741.694209666715</v>
      </c>
      <c r="R6" s="84">
        <v>31124.791746738003</v>
      </c>
      <c r="S6" s="84">
        <v>34680.983473008186</v>
      </c>
      <c r="T6" s="84">
        <v>37835.956993073785</v>
      </c>
      <c r="U6" s="84">
        <v>39005.065501651537</v>
      </c>
      <c r="V6" s="84">
        <v>12711.99167300012</v>
      </c>
      <c r="W6" s="84">
        <v>22613.230545867558</v>
      </c>
      <c r="DA6" s="171" t="s">
        <v>191</v>
      </c>
    </row>
    <row r="7" spans="1:105" ht="11.45" customHeight="1" x14ac:dyDescent="0.25">
      <c r="A7" s="83" t="s">
        <v>174</v>
      </c>
      <c r="B7" s="84">
        <v>3457.7755349419349</v>
      </c>
      <c r="C7" s="84">
        <v>3240.6982994686346</v>
      </c>
      <c r="D7" s="84">
        <v>3273.4617258965495</v>
      </c>
      <c r="E7" s="84">
        <v>3415.9299958870752</v>
      </c>
      <c r="F7" s="84">
        <v>3903.2443130799584</v>
      </c>
      <c r="G7" s="84">
        <v>4251.8622118600542</v>
      </c>
      <c r="H7" s="84">
        <v>5185.3909797433025</v>
      </c>
      <c r="I7" s="84">
        <v>6038.6523934159659</v>
      </c>
      <c r="J7" s="84">
        <v>6526.6150022717748</v>
      </c>
      <c r="K7" s="84">
        <v>5721.3687632466235</v>
      </c>
      <c r="L7" s="84">
        <v>6209.9623877016538</v>
      </c>
      <c r="M7" s="84">
        <v>6851.3658784109257</v>
      </c>
      <c r="N7" s="84">
        <v>6456.9784391933754</v>
      </c>
      <c r="O7" s="84">
        <v>7696.6153891046779</v>
      </c>
      <c r="P7" s="84">
        <v>7971.8243287164223</v>
      </c>
      <c r="Q7" s="84">
        <v>7211.5711279634515</v>
      </c>
      <c r="R7" s="84">
        <v>8048.2849088718194</v>
      </c>
      <c r="S7" s="84">
        <v>9585.3217133935377</v>
      </c>
      <c r="T7" s="84">
        <v>10900.151123052874</v>
      </c>
      <c r="U7" s="84">
        <v>11872.589573194829</v>
      </c>
      <c r="V7" s="84">
        <v>1997.5907295053223</v>
      </c>
      <c r="W7" s="84">
        <v>5791.6356370600497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147.93977601453028</v>
      </c>
      <c r="C8" s="13">
        <f t="shared" si="3"/>
        <v>172.352892350422</v>
      </c>
      <c r="D8" s="13">
        <f t="shared" ref="D8:V8" si="4">SUM(D9:D11)</f>
        <v>160.85504335752029</v>
      </c>
      <c r="E8" s="13">
        <f t="shared" si="4"/>
        <v>142.20694163410641</v>
      </c>
      <c r="F8" s="13">
        <f t="shared" si="4"/>
        <v>99.751011290822703</v>
      </c>
      <c r="G8" s="13">
        <f t="shared" si="4"/>
        <v>94.860693174858952</v>
      </c>
      <c r="H8" s="13">
        <f t="shared" si="4"/>
        <v>97.016061943696144</v>
      </c>
      <c r="I8" s="13">
        <f t="shared" si="4"/>
        <v>90.617281831851614</v>
      </c>
      <c r="J8" s="13">
        <f t="shared" si="4"/>
        <v>92.102915646215649</v>
      </c>
      <c r="K8" s="13">
        <f t="shared" si="4"/>
        <v>82.984717897503657</v>
      </c>
      <c r="L8" s="13">
        <f t="shared" si="4"/>
        <v>72.432241708366021</v>
      </c>
      <c r="M8" s="13">
        <f t="shared" si="4"/>
        <v>72.307022219813845</v>
      </c>
      <c r="N8" s="13">
        <f t="shared" si="4"/>
        <v>67.918202776533676</v>
      </c>
      <c r="O8" s="13">
        <f t="shared" si="4"/>
        <v>62.415286189757495</v>
      </c>
      <c r="P8" s="13">
        <f t="shared" si="4"/>
        <v>58.911645069978512</v>
      </c>
      <c r="Q8" s="13">
        <f t="shared" si="4"/>
        <v>58.983378088934991</v>
      </c>
      <c r="R8" s="13">
        <f t="shared" si="4"/>
        <v>64.029905404175423</v>
      </c>
      <c r="S8" s="13">
        <f t="shared" si="4"/>
        <v>64.795242208911475</v>
      </c>
      <c r="T8" s="13">
        <f t="shared" si="4"/>
        <v>98.559316234491376</v>
      </c>
      <c r="U8" s="13">
        <f t="shared" si="4"/>
        <v>108.78208756117357</v>
      </c>
      <c r="V8" s="13">
        <f t="shared" si="4"/>
        <v>64.953182367426365</v>
      </c>
      <c r="W8" s="13">
        <f t="shared" ref="W8" si="5">SUM(W9:W11)</f>
        <v>105.01781064842959</v>
      </c>
      <c r="DA8" s="193" t="s">
        <v>193</v>
      </c>
    </row>
    <row r="9" spans="1:105" ht="11.45" customHeight="1" x14ac:dyDescent="0.25">
      <c r="A9" s="92" t="s">
        <v>27</v>
      </c>
      <c r="B9" s="102">
        <v>14.195741506427828</v>
      </c>
      <c r="C9" s="102">
        <v>16.572042717580796</v>
      </c>
      <c r="D9" s="102">
        <v>16.242013045159073</v>
      </c>
      <c r="E9" s="102">
        <v>14.258365928972728</v>
      </c>
      <c r="F9" s="102">
        <v>8.0384950750719604</v>
      </c>
      <c r="G9" s="102">
        <v>7.4111825843336074</v>
      </c>
      <c r="H9" s="102">
        <v>7.3494469052613303</v>
      </c>
      <c r="I9" s="102">
        <v>6.0370836907755052</v>
      </c>
      <c r="J9" s="102">
        <v>6.2566848592419042</v>
      </c>
      <c r="K9" s="102">
        <v>5.1703000990261776</v>
      </c>
      <c r="L9" s="102">
        <v>4.7864545883627194</v>
      </c>
      <c r="M9" s="102">
        <v>3.9233524305683254</v>
      </c>
      <c r="N9" s="102">
        <v>3.4107048546344698</v>
      </c>
      <c r="O9" s="102">
        <v>3.2139194614113054</v>
      </c>
      <c r="P9" s="102">
        <v>2.3334250142146433</v>
      </c>
      <c r="Q9" s="102">
        <v>2.287769456884492</v>
      </c>
      <c r="R9" s="102">
        <v>2.1512007658059749</v>
      </c>
      <c r="S9" s="102">
        <v>1.3229296994779347</v>
      </c>
      <c r="T9" s="102">
        <v>2.4715513179715818</v>
      </c>
      <c r="U9" s="102">
        <v>2.4437892292730314</v>
      </c>
      <c r="V9" s="102">
        <v>1.4729390502530346</v>
      </c>
      <c r="W9" s="102">
        <v>1.725078953302845</v>
      </c>
      <c r="DA9" s="175" t="s">
        <v>194</v>
      </c>
    </row>
    <row r="10" spans="1:105" ht="11.45" customHeight="1" x14ac:dyDescent="0.25">
      <c r="A10" s="92" t="s">
        <v>173</v>
      </c>
      <c r="B10" s="102">
        <v>98.971288113615657</v>
      </c>
      <c r="C10" s="102">
        <v>120.46911208402591</v>
      </c>
      <c r="D10" s="102">
        <v>110.79579416574796</v>
      </c>
      <c r="E10" s="102">
        <v>94.238845674597954</v>
      </c>
      <c r="F10" s="102">
        <v>67.145661229589535</v>
      </c>
      <c r="G10" s="102">
        <v>64.783533810555753</v>
      </c>
      <c r="H10" s="102">
        <v>64.873288513582523</v>
      </c>
      <c r="I10" s="102">
        <v>59.969211595372293</v>
      </c>
      <c r="J10" s="102">
        <v>58.744964822550401</v>
      </c>
      <c r="K10" s="102">
        <v>53.115030898536673</v>
      </c>
      <c r="L10" s="102">
        <v>51.752423738897726</v>
      </c>
      <c r="M10" s="102">
        <v>52.15407618562854</v>
      </c>
      <c r="N10" s="102">
        <v>50.394513051775242</v>
      </c>
      <c r="O10" s="102">
        <v>46.940482107766769</v>
      </c>
      <c r="P10" s="102">
        <v>45.407221572577278</v>
      </c>
      <c r="Q10" s="102">
        <v>42.680168058964419</v>
      </c>
      <c r="R10" s="102">
        <v>45.438196815583368</v>
      </c>
      <c r="S10" s="102">
        <v>41.298502503124006</v>
      </c>
      <c r="T10" s="102">
        <v>55.663199429748019</v>
      </c>
      <c r="U10" s="102">
        <v>56.577817547119828</v>
      </c>
      <c r="V10" s="102">
        <v>45.902404764648523</v>
      </c>
      <c r="W10" s="102">
        <v>46.671743557463579</v>
      </c>
      <c r="DA10" s="175" t="s">
        <v>195</v>
      </c>
    </row>
    <row r="11" spans="1:105" ht="11.45" customHeight="1" x14ac:dyDescent="0.25">
      <c r="A11" s="85" t="s">
        <v>174</v>
      </c>
      <c r="B11" s="86">
        <v>34.772746394486809</v>
      </c>
      <c r="C11" s="86">
        <v>35.311737548815287</v>
      </c>
      <c r="D11" s="86">
        <v>33.817236146613247</v>
      </c>
      <c r="E11" s="86">
        <v>33.709730030535731</v>
      </c>
      <c r="F11" s="86">
        <v>24.566854986161211</v>
      </c>
      <c r="G11" s="86">
        <v>22.665976779969593</v>
      </c>
      <c r="H11" s="86">
        <v>24.793326524852286</v>
      </c>
      <c r="I11" s="86">
        <v>24.610986545703803</v>
      </c>
      <c r="J11" s="86">
        <v>27.101265964423352</v>
      </c>
      <c r="K11" s="86">
        <v>24.699386899940805</v>
      </c>
      <c r="L11" s="86">
        <v>15.893363381105567</v>
      </c>
      <c r="M11" s="86">
        <v>16.22959360361698</v>
      </c>
      <c r="N11" s="86">
        <v>14.112984870123963</v>
      </c>
      <c r="O11" s="86">
        <v>12.26088462057942</v>
      </c>
      <c r="P11" s="86">
        <v>11.170998483186596</v>
      </c>
      <c r="Q11" s="86">
        <v>14.015440573086082</v>
      </c>
      <c r="R11" s="86">
        <v>16.440507822786088</v>
      </c>
      <c r="S11" s="86">
        <v>22.173810006309544</v>
      </c>
      <c r="T11" s="86">
        <v>40.424565486771769</v>
      </c>
      <c r="U11" s="86">
        <v>49.760480784780718</v>
      </c>
      <c r="V11" s="86">
        <v>17.577838552524813</v>
      </c>
      <c r="W11" s="86">
        <v>56.620988137663161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251.10118120970151</v>
      </c>
      <c r="C13" s="54">
        <f t="shared" si="6"/>
        <v>235.57317025992702</v>
      </c>
      <c r="D13" s="54">
        <f t="shared" ref="D13:V13" si="7">SUM(D14,D18)</f>
        <v>232.18933966578948</v>
      </c>
      <c r="E13" s="54">
        <f t="shared" si="7"/>
        <v>235.93643079154032</v>
      </c>
      <c r="F13" s="54">
        <f t="shared" si="7"/>
        <v>253.62315609821491</v>
      </c>
      <c r="G13" s="54">
        <f t="shared" si="7"/>
        <v>245.59685086173323</v>
      </c>
      <c r="H13" s="54">
        <f t="shared" si="7"/>
        <v>263.20938745562836</v>
      </c>
      <c r="I13" s="54">
        <f t="shared" si="7"/>
        <v>278.20777038311383</v>
      </c>
      <c r="J13" s="54">
        <f t="shared" si="7"/>
        <v>270.35835426005923</v>
      </c>
      <c r="K13" s="54">
        <f t="shared" si="7"/>
        <v>261.86431721523917</v>
      </c>
      <c r="L13" s="54">
        <f t="shared" si="7"/>
        <v>250.28671158091743</v>
      </c>
      <c r="M13" s="54">
        <f t="shared" si="7"/>
        <v>250.56397216583508</v>
      </c>
      <c r="N13" s="54">
        <f t="shared" si="7"/>
        <v>229.09942423014161</v>
      </c>
      <c r="O13" s="54">
        <f t="shared" si="7"/>
        <v>232.54553879276605</v>
      </c>
      <c r="P13" s="54">
        <f t="shared" si="7"/>
        <v>264.88702695184708</v>
      </c>
      <c r="Q13" s="54">
        <f t="shared" si="7"/>
        <v>276.37982875209974</v>
      </c>
      <c r="R13" s="54">
        <f t="shared" si="7"/>
        <v>296.44173244599443</v>
      </c>
      <c r="S13" s="54">
        <f t="shared" si="7"/>
        <v>320.31982772998367</v>
      </c>
      <c r="T13" s="54">
        <f t="shared" si="7"/>
        <v>350.21984958299106</v>
      </c>
      <c r="U13" s="54">
        <f t="shared" si="7"/>
        <v>358.9050725231823</v>
      </c>
      <c r="V13" s="54">
        <f t="shared" si="7"/>
        <v>141.83615892908495</v>
      </c>
      <c r="W13" s="54">
        <f t="shared" ref="W13" si="8">SUM(W14,W18)</f>
        <v>256.54660637934273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245.19802019653079</v>
      </c>
      <c r="C14" s="11">
        <f t="shared" si="9"/>
        <v>228.80886255372974</v>
      </c>
      <c r="D14" s="11">
        <f t="shared" ref="D14:V14" si="10">SUM(D15:D17)</f>
        <v>225.59982055878859</v>
      </c>
      <c r="E14" s="11">
        <f t="shared" si="10"/>
        <v>230.34986904265565</v>
      </c>
      <c r="F14" s="11">
        <f t="shared" si="10"/>
        <v>249.52173529837276</v>
      </c>
      <c r="G14" s="11">
        <f t="shared" si="10"/>
        <v>241.59645423590186</v>
      </c>
      <c r="H14" s="11">
        <f t="shared" si="10"/>
        <v>258.54135939401669</v>
      </c>
      <c r="I14" s="11">
        <f t="shared" si="10"/>
        <v>273.89934810545719</v>
      </c>
      <c r="J14" s="11">
        <f t="shared" si="10"/>
        <v>265.92035776631167</v>
      </c>
      <c r="K14" s="11">
        <f t="shared" si="10"/>
        <v>258.02386210717657</v>
      </c>
      <c r="L14" s="11">
        <f t="shared" si="10"/>
        <v>246.76782598468503</v>
      </c>
      <c r="M14" s="11">
        <f t="shared" si="10"/>
        <v>247.25379392070641</v>
      </c>
      <c r="N14" s="11">
        <f t="shared" si="10"/>
        <v>226.18026812780263</v>
      </c>
      <c r="O14" s="11">
        <f t="shared" si="10"/>
        <v>229.8085066073877</v>
      </c>
      <c r="P14" s="11">
        <f t="shared" si="10"/>
        <v>262.61163202221672</v>
      </c>
      <c r="Q14" s="11">
        <f t="shared" si="10"/>
        <v>274.18374258434193</v>
      </c>
      <c r="R14" s="11">
        <f t="shared" si="10"/>
        <v>294.32103134655534</v>
      </c>
      <c r="S14" s="11">
        <f t="shared" si="10"/>
        <v>318.21054832007235</v>
      </c>
      <c r="T14" s="11">
        <f t="shared" si="10"/>
        <v>347.27291997895941</v>
      </c>
      <c r="U14" s="11">
        <f t="shared" si="10"/>
        <v>356.00660178352007</v>
      </c>
      <c r="V14" s="11">
        <f t="shared" si="10"/>
        <v>139.29538532413608</v>
      </c>
      <c r="W14" s="11">
        <f t="shared" ref="W14" si="11">SUM(W15:W17)</f>
        <v>253.13932087754546</v>
      </c>
      <c r="DA14" s="189" t="s">
        <v>198</v>
      </c>
    </row>
    <row r="15" spans="1:105" ht="11.45" customHeight="1" x14ac:dyDescent="0.25">
      <c r="A15" s="83" t="s">
        <v>27</v>
      </c>
      <c r="B15" s="84">
        <v>42.619717904496021</v>
      </c>
      <c r="C15" s="84">
        <v>40.346618553802678</v>
      </c>
      <c r="D15" s="84">
        <v>36.949896164490134</v>
      </c>
      <c r="E15" s="84">
        <v>35.363300659692982</v>
      </c>
      <c r="F15" s="84">
        <v>40.248376114673846</v>
      </c>
      <c r="G15" s="84">
        <v>38.570087640427097</v>
      </c>
      <c r="H15" s="84">
        <v>39.955996196208638</v>
      </c>
      <c r="I15" s="84">
        <v>40.686061876421924</v>
      </c>
      <c r="J15" s="84">
        <v>38.466178822785544</v>
      </c>
      <c r="K15" s="84">
        <v>42.726361149671497</v>
      </c>
      <c r="L15" s="84">
        <v>37.441329925481206</v>
      </c>
      <c r="M15" s="84">
        <v>30.977574281793189</v>
      </c>
      <c r="N15" s="84">
        <v>28.476609687503792</v>
      </c>
      <c r="O15" s="84">
        <v>25.410469440044047</v>
      </c>
      <c r="P15" s="84">
        <v>27.018264372695647</v>
      </c>
      <c r="Q15" s="84">
        <v>29.878953808414263</v>
      </c>
      <c r="R15" s="84">
        <v>31.902930643922154</v>
      </c>
      <c r="S15" s="84">
        <v>31.261155811786633</v>
      </c>
      <c r="T15" s="84">
        <v>32.813339330682609</v>
      </c>
      <c r="U15" s="84">
        <v>33.014766939507865</v>
      </c>
      <c r="V15" s="84">
        <v>20.098237751574022</v>
      </c>
      <c r="W15" s="84">
        <v>27.49981628102698</v>
      </c>
      <c r="DA15" s="171" t="s">
        <v>199</v>
      </c>
    </row>
    <row r="16" spans="1:105" ht="11.45" customHeight="1" x14ac:dyDescent="0.25">
      <c r="A16" s="83" t="s">
        <v>173</v>
      </c>
      <c r="B16" s="84">
        <v>174.534621083893</v>
      </c>
      <c r="C16" s="84">
        <v>162.37241637270955</v>
      </c>
      <c r="D16" s="84">
        <v>162.53472204525076</v>
      </c>
      <c r="E16" s="84">
        <v>167.99478473432674</v>
      </c>
      <c r="F16" s="84">
        <v>177.60339954673432</v>
      </c>
      <c r="G16" s="84">
        <v>172.07653044293107</v>
      </c>
      <c r="H16" s="84">
        <v>182.13029532163458</v>
      </c>
      <c r="I16" s="84">
        <v>190.90204055758073</v>
      </c>
      <c r="J16" s="84">
        <v>181.93401726259734</v>
      </c>
      <c r="K16" s="84">
        <v>173.06676866068517</v>
      </c>
      <c r="L16" s="84">
        <v>166.19322720228436</v>
      </c>
      <c r="M16" s="84">
        <v>170.59082916228709</v>
      </c>
      <c r="N16" s="84">
        <v>154.90571492639603</v>
      </c>
      <c r="O16" s="84">
        <v>155.49377321254232</v>
      </c>
      <c r="P16" s="84">
        <v>183.38608262534731</v>
      </c>
      <c r="Q16" s="84">
        <v>195.53937847601301</v>
      </c>
      <c r="R16" s="84">
        <v>208.61264953851048</v>
      </c>
      <c r="S16" s="84">
        <v>226.22491668616365</v>
      </c>
      <c r="T16" s="84">
        <v>249.94735008265999</v>
      </c>
      <c r="U16" s="84">
        <v>252.03516257255714</v>
      </c>
      <c r="V16" s="84">
        <v>100.15084692090795</v>
      </c>
      <c r="W16" s="84">
        <v>179.46841642166081</v>
      </c>
      <c r="DA16" s="171" t="s">
        <v>200</v>
      </c>
    </row>
    <row r="17" spans="1:105" ht="11.45" customHeight="1" x14ac:dyDescent="0.25">
      <c r="A17" s="83" t="s">
        <v>174</v>
      </c>
      <c r="B17" s="84">
        <v>28.043681208141773</v>
      </c>
      <c r="C17" s="84">
        <v>26.089827627217524</v>
      </c>
      <c r="D17" s="84">
        <v>26.11520234904771</v>
      </c>
      <c r="E17" s="84">
        <v>26.99178364863592</v>
      </c>
      <c r="F17" s="84">
        <v>31.669959636964581</v>
      </c>
      <c r="G17" s="84">
        <v>30.949836152543693</v>
      </c>
      <c r="H17" s="84">
        <v>36.455067876173466</v>
      </c>
      <c r="I17" s="84">
        <v>42.31124567145455</v>
      </c>
      <c r="J17" s="84">
        <v>45.520161680928794</v>
      </c>
      <c r="K17" s="84">
        <v>42.230732296819916</v>
      </c>
      <c r="L17" s="84">
        <v>43.133268856919464</v>
      </c>
      <c r="M17" s="84">
        <v>45.685390476626132</v>
      </c>
      <c r="N17" s="84">
        <v>42.797943513902823</v>
      </c>
      <c r="O17" s="84">
        <v>48.90426395480133</v>
      </c>
      <c r="P17" s="84">
        <v>52.207285024173736</v>
      </c>
      <c r="Q17" s="84">
        <v>48.765410299914677</v>
      </c>
      <c r="R17" s="84">
        <v>53.805451164122708</v>
      </c>
      <c r="S17" s="84">
        <v>60.724475822122081</v>
      </c>
      <c r="T17" s="84">
        <v>64.512230565616804</v>
      </c>
      <c r="U17" s="84">
        <v>70.956672271455105</v>
      </c>
      <c r="V17" s="84">
        <v>19.046300651654104</v>
      </c>
      <c r="W17" s="84">
        <v>46.171088174857694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5.9031610131707142</v>
      </c>
      <c r="C18" s="13">
        <f t="shared" si="12"/>
        <v>6.7643077061972798</v>
      </c>
      <c r="D18" s="13">
        <f t="shared" ref="D18:V18" si="13">SUM(D19:D21)</f>
        <v>6.5895191070008874</v>
      </c>
      <c r="E18" s="13">
        <f t="shared" si="13"/>
        <v>5.5865617488846571</v>
      </c>
      <c r="F18" s="13">
        <f t="shared" si="13"/>
        <v>4.1014207998421419</v>
      </c>
      <c r="G18" s="13">
        <f t="shared" si="13"/>
        <v>4.0003966258313817</v>
      </c>
      <c r="H18" s="13">
        <f t="shared" si="13"/>
        <v>4.6680280616116923</v>
      </c>
      <c r="I18" s="13">
        <f t="shared" si="13"/>
        <v>4.3084222776566454</v>
      </c>
      <c r="J18" s="13">
        <f t="shared" si="13"/>
        <v>4.4379964937475762</v>
      </c>
      <c r="K18" s="13">
        <f t="shared" si="13"/>
        <v>3.8404551080626228</v>
      </c>
      <c r="L18" s="13">
        <f t="shared" si="13"/>
        <v>3.5188855962323893</v>
      </c>
      <c r="M18" s="13">
        <f t="shared" si="13"/>
        <v>3.3101782451286561</v>
      </c>
      <c r="N18" s="13">
        <f t="shared" si="13"/>
        <v>2.9191561023389623</v>
      </c>
      <c r="O18" s="13">
        <f t="shared" si="13"/>
        <v>2.7370321853783457</v>
      </c>
      <c r="P18" s="13">
        <f t="shared" si="13"/>
        <v>2.2753949296303482</v>
      </c>
      <c r="Q18" s="13">
        <f t="shared" si="13"/>
        <v>2.1960861677578127</v>
      </c>
      <c r="R18" s="13">
        <f t="shared" si="13"/>
        <v>2.1207010994390774</v>
      </c>
      <c r="S18" s="13">
        <f t="shared" si="13"/>
        <v>2.1092794099113146</v>
      </c>
      <c r="T18" s="13">
        <f t="shared" si="13"/>
        <v>2.9469296040316673</v>
      </c>
      <c r="U18" s="13">
        <f t="shared" si="13"/>
        <v>2.8984707396622267</v>
      </c>
      <c r="V18" s="13">
        <f t="shared" si="13"/>
        <v>2.5407736049488765</v>
      </c>
      <c r="W18" s="13">
        <f t="shared" ref="W18" si="14">SUM(W19:W21)</f>
        <v>3.4072855017972472</v>
      </c>
      <c r="DA18" s="193" t="s">
        <v>202</v>
      </c>
    </row>
    <row r="19" spans="1:105" ht="11.45" customHeight="1" x14ac:dyDescent="0.25">
      <c r="A19" s="92" t="s">
        <v>27</v>
      </c>
      <c r="B19" s="102">
        <v>1.3269571935606939</v>
      </c>
      <c r="C19" s="102">
        <v>1.5609856368161494</v>
      </c>
      <c r="D19" s="102">
        <v>1.4877522464096802</v>
      </c>
      <c r="E19" s="102">
        <v>1.2278533119780268</v>
      </c>
      <c r="F19" s="102">
        <v>0.73511995696058841</v>
      </c>
      <c r="G19" s="102">
        <v>0.69255107160292917</v>
      </c>
      <c r="H19" s="102">
        <v>0.71398961817039297</v>
      </c>
      <c r="I19" s="102">
        <v>0.58868089108690813</v>
      </c>
      <c r="J19" s="102">
        <v>0.63413293235413737</v>
      </c>
      <c r="K19" s="102">
        <v>0.51953658105844791</v>
      </c>
      <c r="L19" s="102">
        <v>0.44968615637860088</v>
      </c>
      <c r="M19" s="102">
        <v>0.3337003946324068</v>
      </c>
      <c r="N19" s="102">
        <v>0.2783211278920309</v>
      </c>
      <c r="O19" s="102">
        <v>0.25119385929313043</v>
      </c>
      <c r="P19" s="102">
        <v>0.16271995206712536</v>
      </c>
      <c r="Q19" s="102">
        <v>0.15594014975741979</v>
      </c>
      <c r="R19" s="102">
        <v>0.13180308629145188</v>
      </c>
      <c r="S19" s="102">
        <v>8.7720026062052162E-2</v>
      </c>
      <c r="T19" s="102">
        <v>0.164598369199731</v>
      </c>
      <c r="U19" s="102">
        <v>0.14723418482142858</v>
      </c>
      <c r="V19" s="102">
        <v>9.427624221566068E-2</v>
      </c>
      <c r="W19" s="102">
        <v>0.10603475761978333</v>
      </c>
      <c r="DA19" s="175" t="s">
        <v>203</v>
      </c>
    </row>
    <row r="20" spans="1:105" ht="11.45" customHeight="1" x14ac:dyDescent="0.25">
      <c r="A20" s="92" t="s">
        <v>173</v>
      </c>
      <c r="B20" s="102">
        <v>4.1582544313693317</v>
      </c>
      <c r="C20" s="102">
        <v>4.7981670501682174</v>
      </c>
      <c r="D20" s="102">
        <v>4.6909254551437272</v>
      </c>
      <c r="E20" s="102">
        <v>3.9080623278171802</v>
      </c>
      <c r="F20" s="102">
        <v>3.0279608619248051</v>
      </c>
      <c r="G20" s="102">
        <v>2.9759160387963539</v>
      </c>
      <c r="H20" s="102">
        <v>3.5784429284916652</v>
      </c>
      <c r="I20" s="102">
        <v>3.3405929484025929</v>
      </c>
      <c r="J20" s="102">
        <v>3.3777542487954073</v>
      </c>
      <c r="K20" s="102">
        <v>2.9765715848286973</v>
      </c>
      <c r="L20" s="102">
        <v>2.8512514882799382</v>
      </c>
      <c r="M20" s="102">
        <v>2.7625310799179594</v>
      </c>
      <c r="N20" s="102">
        <v>2.4668925100361965</v>
      </c>
      <c r="O20" s="102">
        <v>2.3278582362891562</v>
      </c>
      <c r="P20" s="102">
        <v>1.9862883303435728</v>
      </c>
      <c r="Q20" s="102">
        <v>1.8842357670236531</v>
      </c>
      <c r="R20" s="102">
        <v>1.8193912224278526</v>
      </c>
      <c r="S20" s="102">
        <v>1.7901179804268665</v>
      </c>
      <c r="T20" s="102">
        <v>2.3830607809957853</v>
      </c>
      <c r="U20" s="102">
        <v>2.268618961767205</v>
      </c>
      <c r="V20" s="102">
        <v>2.1744123061192444</v>
      </c>
      <c r="W20" s="102">
        <v>2.4332934001071833</v>
      </c>
      <c r="DA20" s="175" t="s">
        <v>204</v>
      </c>
    </row>
    <row r="21" spans="1:105" ht="11.45" customHeight="1" x14ac:dyDescent="0.25">
      <c r="A21" s="85" t="s">
        <v>174</v>
      </c>
      <c r="B21" s="86">
        <v>0.41794938824068883</v>
      </c>
      <c r="C21" s="86">
        <v>0.40515501921291264</v>
      </c>
      <c r="D21" s="86">
        <v>0.41084140544747988</v>
      </c>
      <c r="E21" s="86">
        <v>0.45064610908945019</v>
      </c>
      <c r="F21" s="86">
        <v>0.33833998095674811</v>
      </c>
      <c r="G21" s="86">
        <v>0.3319295154320987</v>
      </c>
      <c r="H21" s="86">
        <v>0.37559551494963372</v>
      </c>
      <c r="I21" s="86">
        <v>0.37914843816714444</v>
      </c>
      <c r="J21" s="86">
        <v>0.42610931259803098</v>
      </c>
      <c r="K21" s="86">
        <v>0.34434694217547729</v>
      </c>
      <c r="L21" s="86">
        <v>0.21794795157384986</v>
      </c>
      <c r="M21" s="86">
        <v>0.21394677057828984</v>
      </c>
      <c r="N21" s="86">
        <v>0.17394246441073513</v>
      </c>
      <c r="O21" s="86">
        <v>0.15798008979605874</v>
      </c>
      <c r="P21" s="86">
        <v>0.12638664721965018</v>
      </c>
      <c r="Q21" s="86">
        <v>0.15591025097673963</v>
      </c>
      <c r="R21" s="86">
        <v>0.16950679071977279</v>
      </c>
      <c r="S21" s="86">
        <v>0.23144140342239572</v>
      </c>
      <c r="T21" s="86">
        <v>0.3992704538361509</v>
      </c>
      <c r="U21" s="86">
        <v>0.48261759307359303</v>
      </c>
      <c r="V21" s="86">
        <v>0.2720850566139712</v>
      </c>
      <c r="W21" s="86">
        <v>0.86795734407028013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210981</v>
      </c>
      <c r="C23" s="54">
        <f t="shared" si="15"/>
        <v>199329</v>
      </c>
      <c r="D23" s="54">
        <f t="shared" ref="D23:V23" si="16">SUM(D24,D28)</f>
        <v>190646</v>
      </c>
      <c r="E23" s="54">
        <f t="shared" si="16"/>
        <v>188709</v>
      </c>
      <c r="F23" s="54">
        <f t="shared" si="16"/>
        <v>206546</v>
      </c>
      <c r="G23" s="54">
        <f t="shared" si="16"/>
        <v>201195</v>
      </c>
      <c r="H23" s="54">
        <f t="shared" si="16"/>
        <v>212574</v>
      </c>
      <c r="I23" s="54">
        <f t="shared" si="16"/>
        <v>223043</v>
      </c>
      <c r="J23" s="54">
        <f t="shared" si="16"/>
        <v>213877</v>
      </c>
      <c r="K23" s="54">
        <f t="shared" si="16"/>
        <v>222245</v>
      </c>
      <c r="L23" s="54">
        <f t="shared" si="16"/>
        <v>206840</v>
      </c>
      <c r="M23" s="54">
        <f t="shared" si="16"/>
        <v>200349</v>
      </c>
      <c r="N23" s="54">
        <f t="shared" si="16"/>
        <v>187452</v>
      </c>
      <c r="O23" s="54">
        <f t="shared" si="16"/>
        <v>182122</v>
      </c>
      <c r="P23" s="54">
        <f t="shared" si="16"/>
        <v>201784</v>
      </c>
      <c r="Q23" s="54">
        <f t="shared" si="16"/>
        <v>215763</v>
      </c>
      <c r="R23" s="54">
        <f t="shared" si="16"/>
        <v>228358</v>
      </c>
      <c r="S23" s="54">
        <f t="shared" si="16"/>
        <v>239264</v>
      </c>
      <c r="T23" s="54">
        <f t="shared" si="16"/>
        <v>257779</v>
      </c>
      <c r="U23" s="54">
        <f t="shared" si="16"/>
        <v>263016</v>
      </c>
      <c r="V23" s="54">
        <f t="shared" si="16"/>
        <v>127294</v>
      </c>
      <c r="W23" s="54">
        <f t="shared" ref="W23" si="17">SUM(W24,W28)</f>
        <v>201735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205270</v>
      </c>
      <c r="C24" s="11">
        <f t="shared" si="18"/>
        <v>192718</v>
      </c>
      <c r="D24" s="11">
        <f t="shared" ref="D24:V24" si="19">SUM(D25:D27)</f>
        <v>184269</v>
      </c>
      <c r="E24" s="11">
        <f t="shared" si="19"/>
        <v>183349</v>
      </c>
      <c r="F24" s="11">
        <f t="shared" si="19"/>
        <v>202920</v>
      </c>
      <c r="G24" s="11">
        <f t="shared" si="19"/>
        <v>197667</v>
      </c>
      <c r="H24" s="11">
        <f t="shared" si="19"/>
        <v>208698</v>
      </c>
      <c r="I24" s="11">
        <f t="shared" si="19"/>
        <v>219520</v>
      </c>
      <c r="J24" s="11">
        <f t="shared" si="19"/>
        <v>210177</v>
      </c>
      <c r="K24" s="11">
        <f t="shared" si="19"/>
        <v>219010</v>
      </c>
      <c r="L24" s="11">
        <f t="shared" si="19"/>
        <v>203915</v>
      </c>
      <c r="M24" s="11">
        <f t="shared" si="19"/>
        <v>197780</v>
      </c>
      <c r="N24" s="11">
        <f t="shared" si="19"/>
        <v>185239</v>
      </c>
      <c r="O24" s="11">
        <f t="shared" si="19"/>
        <v>180059</v>
      </c>
      <c r="P24" s="11">
        <f t="shared" si="19"/>
        <v>200177</v>
      </c>
      <c r="Q24" s="11">
        <f t="shared" si="19"/>
        <v>214151</v>
      </c>
      <c r="R24" s="11">
        <f t="shared" si="19"/>
        <v>226846</v>
      </c>
      <c r="S24" s="11">
        <f t="shared" si="19"/>
        <v>237821</v>
      </c>
      <c r="T24" s="11">
        <f t="shared" si="19"/>
        <v>255638</v>
      </c>
      <c r="U24" s="11">
        <f t="shared" si="19"/>
        <v>260846</v>
      </c>
      <c r="V24" s="11">
        <f t="shared" si="19"/>
        <v>125359</v>
      </c>
      <c r="W24" s="11">
        <f t="shared" ref="W24" si="20">SUM(W25:W27)</f>
        <v>199270</v>
      </c>
      <c r="DA24" s="189" t="s">
        <v>207</v>
      </c>
    </row>
    <row r="25" spans="1:105" ht="11.45" customHeight="1" x14ac:dyDescent="0.25">
      <c r="A25" s="83" t="s">
        <v>27</v>
      </c>
      <c r="B25" s="84">
        <v>107154</v>
      </c>
      <c r="C25" s="84">
        <v>101439</v>
      </c>
      <c r="D25" s="84">
        <v>92899</v>
      </c>
      <c r="E25" s="84">
        <v>88910</v>
      </c>
      <c r="F25" s="84">
        <v>101192</v>
      </c>
      <c r="G25" s="84">
        <v>97918</v>
      </c>
      <c r="H25" s="84">
        <v>102453</v>
      </c>
      <c r="I25" s="84">
        <v>105724</v>
      </c>
      <c r="J25" s="84">
        <v>99441</v>
      </c>
      <c r="K25" s="84">
        <v>112987</v>
      </c>
      <c r="L25" s="84">
        <v>100952</v>
      </c>
      <c r="M25" s="84">
        <v>90611</v>
      </c>
      <c r="N25" s="84">
        <v>85710</v>
      </c>
      <c r="O25" s="84">
        <v>78441</v>
      </c>
      <c r="P25" s="84">
        <v>82928</v>
      </c>
      <c r="Q25" s="84">
        <v>90971</v>
      </c>
      <c r="R25" s="84">
        <v>95505</v>
      </c>
      <c r="S25" s="84">
        <v>96297</v>
      </c>
      <c r="T25" s="84">
        <v>101107</v>
      </c>
      <c r="U25" s="84">
        <v>103039</v>
      </c>
      <c r="V25" s="84">
        <v>63813</v>
      </c>
      <c r="W25" s="84">
        <v>87251</v>
      </c>
      <c r="DA25" s="171" t="s">
        <v>208</v>
      </c>
    </row>
    <row r="26" spans="1:105" ht="11.45" customHeight="1" x14ac:dyDescent="0.25">
      <c r="A26" s="83" t="s">
        <v>173</v>
      </c>
      <c r="B26" s="84">
        <v>85959</v>
      </c>
      <c r="C26" s="84">
        <v>79969</v>
      </c>
      <c r="D26" s="84">
        <v>80049</v>
      </c>
      <c r="E26" s="84">
        <v>82738</v>
      </c>
      <c r="F26" s="84">
        <v>87999</v>
      </c>
      <c r="G26" s="84">
        <v>86035</v>
      </c>
      <c r="H26" s="84">
        <v>90939</v>
      </c>
      <c r="I26" s="84">
        <v>96508</v>
      </c>
      <c r="J26" s="84">
        <v>92303</v>
      </c>
      <c r="K26" s="84">
        <v>87746</v>
      </c>
      <c r="L26" s="84">
        <v>83556</v>
      </c>
      <c r="M26" s="84">
        <v>85839</v>
      </c>
      <c r="N26" s="84">
        <v>77601</v>
      </c>
      <c r="O26" s="84">
        <v>76935</v>
      </c>
      <c r="P26" s="84">
        <v>90863</v>
      </c>
      <c r="Q26" s="84">
        <v>97461</v>
      </c>
      <c r="R26" s="84">
        <v>104029</v>
      </c>
      <c r="S26" s="84">
        <v>112295</v>
      </c>
      <c r="T26" s="84">
        <v>124388</v>
      </c>
      <c r="U26" s="84">
        <v>125316</v>
      </c>
      <c r="V26" s="84">
        <v>51917</v>
      </c>
      <c r="W26" s="84">
        <v>92076</v>
      </c>
      <c r="DA26" s="171" t="s">
        <v>209</v>
      </c>
    </row>
    <row r="27" spans="1:105" ht="11.45" customHeight="1" x14ac:dyDescent="0.25">
      <c r="A27" s="83" t="s">
        <v>174</v>
      </c>
      <c r="B27" s="84">
        <v>12157</v>
      </c>
      <c r="C27" s="84">
        <v>11310</v>
      </c>
      <c r="D27" s="84">
        <v>11321</v>
      </c>
      <c r="E27" s="84">
        <v>11701</v>
      </c>
      <c r="F27" s="84">
        <v>13729</v>
      </c>
      <c r="G27" s="84">
        <v>13714</v>
      </c>
      <c r="H27" s="84">
        <v>15306</v>
      </c>
      <c r="I27" s="84">
        <v>17288</v>
      </c>
      <c r="J27" s="84">
        <v>18433</v>
      </c>
      <c r="K27" s="84">
        <v>18277</v>
      </c>
      <c r="L27" s="84">
        <v>19407</v>
      </c>
      <c r="M27" s="84">
        <v>21330</v>
      </c>
      <c r="N27" s="84">
        <v>21928</v>
      </c>
      <c r="O27" s="84">
        <v>24683</v>
      </c>
      <c r="P27" s="84">
        <v>26386</v>
      </c>
      <c r="Q27" s="84">
        <v>25719</v>
      </c>
      <c r="R27" s="84">
        <v>27312</v>
      </c>
      <c r="S27" s="84">
        <v>29229</v>
      </c>
      <c r="T27" s="84">
        <v>30143</v>
      </c>
      <c r="U27" s="84">
        <v>32491</v>
      </c>
      <c r="V27" s="84">
        <v>9629</v>
      </c>
      <c r="W27" s="84">
        <v>19943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5711</v>
      </c>
      <c r="C28" s="13">
        <f t="shared" si="21"/>
        <v>6611</v>
      </c>
      <c r="D28" s="13">
        <f t="shared" ref="D28:V28" si="22">SUM(D29:D31)</f>
        <v>6377</v>
      </c>
      <c r="E28" s="13">
        <f t="shared" si="22"/>
        <v>5360</v>
      </c>
      <c r="F28" s="13">
        <f t="shared" si="22"/>
        <v>3626</v>
      </c>
      <c r="G28" s="13">
        <f t="shared" si="22"/>
        <v>3528</v>
      </c>
      <c r="H28" s="13">
        <f t="shared" si="22"/>
        <v>3876</v>
      </c>
      <c r="I28" s="13">
        <f t="shared" si="22"/>
        <v>3523</v>
      </c>
      <c r="J28" s="13">
        <f t="shared" si="22"/>
        <v>3700</v>
      </c>
      <c r="K28" s="13">
        <f t="shared" si="22"/>
        <v>3235</v>
      </c>
      <c r="L28" s="13">
        <f t="shared" si="22"/>
        <v>2925</v>
      </c>
      <c r="M28" s="13">
        <f t="shared" si="22"/>
        <v>2569</v>
      </c>
      <c r="N28" s="13">
        <f t="shared" si="22"/>
        <v>2213</v>
      </c>
      <c r="O28" s="13">
        <f t="shared" si="22"/>
        <v>2063</v>
      </c>
      <c r="P28" s="13">
        <f t="shared" si="22"/>
        <v>1607</v>
      </c>
      <c r="Q28" s="13">
        <f t="shared" si="22"/>
        <v>1612</v>
      </c>
      <c r="R28" s="13">
        <f t="shared" si="22"/>
        <v>1512</v>
      </c>
      <c r="S28" s="13">
        <f t="shared" si="22"/>
        <v>1443</v>
      </c>
      <c r="T28" s="13">
        <f t="shared" si="22"/>
        <v>2141</v>
      </c>
      <c r="U28" s="13">
        <f t="shared" si="22"/>
        <v>2170</v>
      </c>
      <c r="V28" s="13">
        <f t="shared" si="22"/>
        <v>1935</v>
      </c>
      <c r="W28" s="13">
        <f t="shared" ref="W28" si="23">SUM(W29:W31)</f>
        <v>2465</v>
      </c>
      <c r="DA28" s="193" t="s">
        <v>211</v>
      </c>
    </row>
    <row r="29" spans="1:105" ht="11.45" customHeight="1" x14ac:dyDescent="0.25">
      <c r="A29" s="92" t="s">
        <v>27</v>
      </c>
      <c r="B29" s="102">
        <v>3334</v>
      </c>
      <c r="C29" s="102">
        <v>3922</v>
      </c>
      <c r="D29" s="102">
        <v>3738</v>
      </c>
      <c r="E29" s="102">
        <v>3085</v>
      </c>
      <c r="F29" s="102">
        <v>1847</v>
      </c>
      <c r="G29" s="102">
        <v>1757</v>
      </c>
      <c r="H29" s="102">
        <v>1825</v>
      </c>
      <c r="I29" s="102">
        <v>1521</v>
      </c>
      <c r="J29" s="102">
        <v>1626</v>
      </c>
      <c r="K29" s="102">
        <v>1359</v>
      </c>
      <c r="L29" s="102">
        <v>1196</v>
      </c>
      <c r="M29" s="102">
        <v>927</v>
      </c>
      <c r="N29" s="102">
        <v>766</v>
      </c>
      <c r="O29" s="102">
        <v>706</v>
      </c>
      <c r="P29" s="102">
        <v>454</v>
      </c>
      <c r="Q29" s="102">
        <v>431</v>
      </c>
      <c r="R29" s="102">
        <v>358</v>
      </c>
      <c r="S29" s="102">
        <v>244</v>
      </c>
      <c r="T29" s="102">
        <v>457</v>
      </c>
      <c r="U29" s="102">
        <v>397</v>
      </c>
      <c r="V29" s="102">
        <v>258</v>
      </c>
      <c r="W29" s="102">
        <v>290</v>
      </c>
      <c r="DA29" s="175" t="s">
        <v>212</v>
      </c>
    </row>
    <row r="30" spans="1:105" ht="11.45" customHeight="1" x14ac:dyDescent="0.25">
      <c r="A30" s="92" t="s">
        <v>173</v>
      </c>
      <c r="B30" s="102">
        <v>2083</v>
      </c>
      <c r="C30" s="102">
        <v>2404</v>
      </c>
      <c r="D30" s="102">
        <v>2350</v>
      </c>
      <c r="E30" s="102">
        <v>1958</v>
      </c>
      <c r="F30" s="102">
        <v>1541</v>
      </c>
      <c r="G30" s="102">
        <v>1529</v>
      </c>
      <c r="H30" s="102">
        <v>1788</v>
      </c>
      <c r="I30" s="102">
        <v>1736</v>
      </c>
      <c r="J30" s="102">
        <v>1765</v>
      </c>
      <c r="K30" s="102">
        <v>1577</v>
      </c>
      <c r="L30" s="102">
        <v>1510</v>
      </c>
      <c r="M30" s="102">
        <v>1437</v>
      </c>
      <c r="N30" s="102">
        <v>1270</v>
      </c>
      <c r="O30" s="102">
        <v>1198</v>
      </c>
      <c r="P30" s="102">
        <v>1023</v>
      </c>
      <c r="Q30" s="102">
        <v>1002</v>
      </c>
      <c r="R30" s="102">
        <v>971</v>
      </c>
      <c r="S30" s="102">
        <v>971</v>
      </c>
      <c r="T30" s="102">
        <v>1307</v>
      </c>
      <c r="U30" s="102">
        <v>1379</v>
      </c>
      <c r="V30" s="102">
        <v>1410</v>
      </c>
      <c r="W30" s="102">
        <v>1535</v>
      </c>
      <c r="DA30" s="175" t="s">
        <v>213</v>
      </c>
    </row>
    <row r="31" spans="1:105" ht="11.45" customHeight="1" x14ac:dyDescent="0.25">
      <c r="A31" s="85" t="s">
        <v>174</v>
      </c>
      <c r="B31" s="86">
        <v>294</v>
      </c>
      <c r="C31" s="86">
        <v>285</v>
      </c>
      <c r="D31" s="86">
        <v>289</v>
      </c>
      <c r="E31" s="86">
        <v>317</v>
      </c>
      <c r="F31" s="86">
        <v>238</v>
      </c>
      <c r="G31" s="86">
        <v>242</v>
      </c>
      <c r="H31" s="86">
        <v>263</v>
      </c>
      <c r="I31" s="86">
        <v>266</v>
      </c>
      <c r="J31" s="86">
        <v>309</v>
      </c>
      <c r="K31" s="86">
        <v>299</v>
      </c>
      <c r="L31" s="86">
        <v>219</v>
      </c>
      <c r="M31" s="86">
        <v>205</v>
      </c>
      <c r="N31" s="86">
        <v>177</v>
      </c>
      <c r="O31" s="86">
        <v>159</v>
      </c>
      <c r="P31" s="86">
        <v>130</v>
      </c>
      <c r="Q31" s="86">
        <v>179</v>
      </c>
      <c r="R31" s="86">
        <v>183</v>
      </c>
      <c r="S31" s="86">
        <v>228</v>
      </c>
      <c r="T31" s="86">
        <v>377</v>
      </c>
      <c r="U31" s="86">
        <v>394</v>
      </c>
      <c r="V31" s="86">
        <v>267</v>
      </c>
      <c r="W31" s="86">
        <v>640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17787459</v>
      </c>
      <c r="C34" s="11">
        <f t="shared" si="24"/>
        <v>16725229</v>
      </c>
      <c r="D34" s="11">
        <f t="shared" ref="D34:V34" si="25">SUM(D35:D37)</f>
        <v>16355089</v>
      </c>
      <c r="E34" s="11">
        <f t="shared" si="25"/>
        <v>16603552</v>
      </c>
      <c r="F34" s="11">
        <f t="shared" si="25"/>
        <v>18335329</v>
      </c>
      <c r="G34" s="11">
        <f t="shared" si="25"/>
        <v>19066797</v>
      </c>
      <c r="H34" s="11">
        <f t="shared" si="25"/>
        <v>20276853</v>
      </c>
      <c r="I34" s="11">
        <f t="shared" si="25"/>
        <v>21567460</v>
      </c>
      <c r="J34" s="11">
        <f t="shared" si="25"/>
        <v>21148278</v>
      </c>
      <c r="K34" s="11">
        <f t="shared" si="25"/>
        <v>20459783</v>
      </c>
      <c r="L34" s="11">
        <f t="shared" si="25"/>
        <v>19716093</v>
      </c>
      <c r="M34" s="11">
        <f t="shared" si="25"/>
        <v>19988741</v>
      </c>
      <c r="N34" s="11">
        <f t="shared" si="25"/>
        <v>18906170</v>
      </c>
      <c r="O34" s="11">
        <f t="shared" si="25"/>
        <v>19744352</v>
      </c>
      <c r="P34" s="11">
        <f t="shared" si="25"/>
        <v>22798238</v>
      </c>
      <c r="Q34" s="11">
        <f t="shared" si="25"/>
        <v>24900953</v>
      </c>
      <c r="R34" s="11">
        <f t="shared" si="25"/>
        <v>26880204</v>
      </c>
      <c r="S34" s="11">
        <f t="shared" si="25"/>
        <v>29324685</v>
      </c>
      <c r="T34" s="11">
        <f t="shared" si="25"/>
        <v>31474358</v>
      </c>
      <c r="U34" s="11">
        <f t="shared" si="25"/>
        <v>32449631</v>
      </c>
      <c r="V34" s="11">
        <f t="shared" si="25"/>
        <v>10880352</v>
      </c>
      <c r="W34" s="11">
        <f t="shared" ref="W34" si="26">SUM(W35:W37)</f>
        <v>19448013</v>
      </c>
      <c r="DA34" s="189" t="s">
        <v>215</v>
      </c>
    </row>
    <row r="35" spans="1:105" ht="11.45" customHeight="1" x14ac:dyDescent="0.25">
      <c r="A35" s="83" t="s">
        <v>27</v>
      </c>
      <c r="B35" s="84">
        <v>5861965</v>
      </c>
      <c r="C35" s="84">
        <v>5586829</v>
      </c>
      <c r="D35" s="84">
        <v>5150129</v>
      </c>
      <c r="E35" s="84">
        <v>4954655</v>
      </c>
      <c r="F35" s="84">
        <v>5764873</v>
      </c>
      <c r="G35" s="84">
        <v>5946950</v>
      </c>
      <c r="H35" s="84">
        <v>6314245</v>
      </c>
      <c r="I35" s="84">
        <v>6853491</v>
      </c>
      <c r="J35" s="84">
        <v>6718412</v>
      </c>
      <c r="K35" s="84">
        <v>6994121</v>
      </c>
      <c r="L35" s="84">
        <v>6361903</v>
      </c>
      <c r="M35" s="84">
        <v>5726913</v>
      </c>
      <c r="N35" s="84">
        <v>5299188</v>
      </c>
      <c r="O35" s="84">
        <v>5157477</v>
      </c>
      <c r="P35" s="84">
        <v>6232660</v>
      </c>
      <c r="Q35" s="84">
        <v>7444693</v>
      </c>
      <c r="R35" s="84">
        <v>8144685</v>
      </c>
      <c r="S35" s="84">
        <v>8307366</v>
      </c>
      <c r="T35" s="84">
        <v>8519310</v>
      </c>
      <c r="U35" s="84">
        <v>8542877</v>
      </c>
      <c r="V35" s="84">
        <v>3792523</v>
      </c>
      <c r="W35" s="84">
        <v>5753415</v>
      </c>
      <c r="DA35" s="171" t="s">
        <v>216</v>
      </c>
    </row>
    <row r="36" spans="1:105" ht="11.45" customHeight="1" x14ac:dyDescent="0.25">
      <c r="A36" s="83" t="s">
        <v>173</v>
      </c>
      <c r="B36" s="84">
        <v>10752865</v>
      </c>
      <c r="C36" s="84">
        <v>10039388</v>
      </c>
      <c r="D36" s="84">
        <v>10094837</v>
      </c>
      <c r="E36" s="84">
        <v>10490459</v>
      </c>
      <c r="F36" s="84">
        <v>11246756</v>
      </c>
      <c r="G36" s="84">
        <v>11645983</v>
      </c>
      <c r="H36" s="84">
        <v>12259439</v>
      </c>
      <c r="I36" s="84">
        <v>12783773</v>
      </c>
      <c r="J36" s="84">
        <v>12362332</v>
      </c>
      <c r="K36" s="84">
        <v>11528577</v>
      </c>
      <c r="L36" s="84">
        <v>11168405</v>
      </c>
      <c r="M36" s="84">
        <v>11753388</v>
      </c>
      <c r="N36" s="84">
        <v>10977199</v>
      </c>
      <c r="O36" s="84">
        <v>11334875</v>
      </c>
      <c r="P36" s="84">
        <v>13155161</v>
      </c>
      <c r="Q36" s="84">
        <v>14297004</v>
      </c>
      <c r="R36" s="84">
        <v>15315407</v>
      </c>
      <c r="S36" s="84">
        <v>17128389</v>
      </c>
      <c r="T36" s="84">
        <v>18820616</v>
      </c>
      <c r="U36" s="84">
        <v>19387576</v>
      </c>
      <c r="V36" s="84">
        <v>6224092</v>
      </c>
      <c r="W36" s="84">
        <v>11566358</v>
      </c>
      <c r="DA36" s="171" t="s">
        <v>217</v>
      </c>
    </row>
    <row r="37" spans="1:105" ht="11.45" customHeight="1" x14ac:dyDescent="0.25">
      <c r="A37" s="83" t="s">
        <v>174</v>
      </c>
      <c r="B37" s="84">
        <v>1172629</v>
      </c>
      <c r="C37" s="84">
        <v>1099012</v>
      </c>
      <c r="D37" s="84">
        <v>1110123</v>
      </c>
      <c r="E37" s="84">
        <v>1158438</v>
      </c>
      <c r="F37" s="84">
        <v>1323700</v>
      </c>
      <c r="G37" s="84">
        <v>1473864</v>
      </c>
      <c r="H37" s="84">
        <v>1703169</v>
      </c>
      <c r="I37" s="84">
        <v>1930196</v>
      </c>
      <c r="J37" s="84">
        <v>2067534</v>
      </c>
      <c r="K37" s="84">
        <v>1937085</v>
      </c>
      <c r="L37" s="84">
        <v>2185785</v>
      </c>
      <c r="M37" s="84">
        <v>2508440</v>
      </c>
      <c r="N37" s="84">
        <v>2629783</v>
      </c>
      <c r="O37" s="84">
        <v>3252000</v>
      </c>
      <c r="P37" s="84">
        <v>3410417</v>
      </c>
      <c r="Q37" s="84">
        <v>3159256</v>
      </c>
      <c r="R37" s="84">
        <v>3420112</v>
      </c>
      <c r="S37" s="84">
        <v>3888930</v>
      </c>
      <c r="T37" s="84">
        <v>4134432</v>
      </c>
      <c r="U37" s="84">
        <v>4519178</v>
      </c>
      <c r="V37" s="84">
        <v>863737</v>
      </c>
      <c r="W37" s="84">
        <v>2128240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82229.978820628516</v>
      </c>
      <c r="C38" s="13">
        <f t="shared" si="27"/>
        <v>93423.538078419559</v>
      </c>
      <c r="D38" s="13">
        <f t="shared" ref="D38:V38" si="28">SUM(D39:D41)</f>
        <v>91814.54716452783</v>
      </c>
      <c r="E38" s="13">
        <f t="shared" si="28"/>
        <v>82623.50519548275</v>
      </c>
      <c r="F38" s="13">
        <f t="shared" si="28"/>
        <v>55062.018073608597</v>
      </c>
      <c r="G38" s="13">
        <f t="shared" si="28"/>
        <v>51528.369390582819</v>
      </c>
      <c r="H38" s="13">
        <f t="shared" si="28"/>
        <v>54484.60012715112</v>
      </c>
      <c r="I38" s="13">
        <f t="shared" si="28"/>
        <v>50514.04087881319</v>
      </c>
      <c r="J38" s="13">
        <f t="shared" si="28"/>
        <v>53013.187044573453</v>
      </c>
      <c r="K38" s="13">
        <f t="shared" si="28"/>
        <v>49080.604855100915</v>
      </c>
      <c r="L38" s="13">
        <f t="shared" si="28"/>
        <v>45206.988881850993</v>
      </c>
      <c r="M38" s="13">
        <f t="shared" si="28"/>
        <v>43647.175274481648</v>
      </c>
      <c r="N38" s="13">
        <f t="shared" si="28"/>
        <v>39877.272663452277</v>
      </c>
      <c r="O38" s="13">
        <f t="shared" si="28"/>
        <v>37353.000314728175</v>
      </c>
      <c r="P38" s="13">
        <f t="shared" si="28"/>
        <v>33054.81691181042</v>
      </c>
      <c r="Q38" s="13">
        <f t="shared" si="28"/>
        <v>35721.31182760081</v>
      </c>
      <c r="R38" s="13">
        <f t="shared" si="28"/>
        <v>38801.672844526052</v>
      </c>
      <c r="S38" s="13">
        <f t="shared" si="28"/>
        <v>38614.292640688916</v>
      </c>
      <c r="T38" s="13">
        <f t="shared" si="28"/>
        <v>58942.021238258385</v>
      </c>
      <c r="U38" s="13">
        <f t="shared" si="28"/>
        <v>62670.989419611069</v>
      </c>
      <c r="V38" s="13">
        <f t="shared" si="28"/>
        <v>41871.794252082538</v>
      </c>
      <c r="W38" s="13">
        <f t="shared" ref="W38" si="29">SUM(W39:W41)</f>
        <v>65453.226593723666</v>
      </c>
      <c r="DA38" s="193" t="s">
        <v>219</v>
      </c>
    </row>
    <row r="39" spans="1:105" ht="11.45" customHeight="1" x14ac:dyDescent="0.25">
      <c r="A39" s="92" t="s">
        <v>27</v>
      </c>
      <c r="B39" s="102">
        <v>33417.551233502141</v>
      </c>
      <c r="C39" s="102">
        <v>39011.494137716101</v>
      </c>
      <c r="D39" s="102">
        <v>38234.586254338887</v>
      </c>
      <c r="E39" s="102">
        <v>33564.972546289151</v>
      </c>
      <c r="F39" s="102">
        <v>18923.056670892303</v>
      </c>
      <c r="G39" s="102">
        <v>17616.325504145003</v>
      </c>
      <c r="H39" s="102">
        <v>17600.843698225941</v>
      </c>
      <c r="I39" s="102">
        <v>14614.51238035516</v>
      </c>
      <c r="J39" s="102">
        <v>15031.155637445983</v>
      </c>
      <c r="K39" s="102">
        <v>12671.468077563677</v>
      </c>
      <c r="L39" s="102">
        <v>11927.336231410845</v>
      </c>
      <c r="M39" s="102">
        <v>10100.048382123434</v>
      </c>
      <c r="N39" s="102">
        <v>8572.5429763113334</v>
      </c>
      <c r="O39" s="102">
        <v>8099.5852521880242</v>
      </c>
      <c r="P39" s="102">
        <v>5841.6264867182854</v>
      </c>
      <c r="Q39" s="102">
        <v>5706.5438731066397</v>
      </c>
      <c r="R39" s="102">
        <v>5463.5550638882833</v>
      </c>
      <c r="S39" s="102">
        <v>3425.1012886209642</v>
      </c>
      <c r="T39" s="102">
        <v>6529.5363764719777</v>
      </c>
      <c r="U39" s="102">
        <v>6273.9180759901164</v>
      </c>
      <c r="V39" s="102">
        <v>3757.8938860627986</v>
      </c>
      <c r="W39" s="102">
        <v>4272.825688607777</v>
      </c>
      <c r="DA39" s="175" t="s">
        <v>220</v>
      </c>
    </row>
    <row r="40" spans="1:105" ht="11.45" customHeight="1" x14ac:dyDescent="0.25">
      <c r="A40" s="92" t="s">
        <v>173</v>
      </c>
      <c r="B40" s="102">
        <v>33486.465177771242</v>
      </c>
      <c r="C40" s="102">
        <v>39067.980842193276</v>
      </c>
      <c r="D40" s="102">
        <v>38295.352408488878</v>
      </c>
      <c r="E40" s="102">
        <v>33613.975319639481</v>
      </c>
      <c r="F40" s="102">
        <v>24700.817628300505</v>
      </c>
      <c r="G40" s="102">
        <v>23211.782598397673</v>
      </c>
      <c r="H40" s="102">
        <v>25005.669094713594</v>
      </c>
      <c r="I40" s="102">
        <v>23879.782596167301</v>
      </c>
      <c r="J40" s="102">
        <v>24103.943035322329</v>
      </c>
      <c r="K40" s="102">
        <v>21489.40098539973</v>
      </c>
      <c r="L40" s="102">
        <v>21775.388159465416</v>
      </c>
      <c r="M40" s="102">
        <v>22258.703982975265</v>
      </c>
      <c r="N40" s="102">
        <v>20906.514087195832</v>
      </c>
      <c r="O40" s="102">
        <v>19817.367723373387</v>
      </c>
      <c r="P40" s="102">
        <v>18616.301329252896</v>
      </c>
      <c r="Q40" s="102">
        <v>18212.117294545133</v>
      </c>
      <c r="R40" s="102">
        <v>19976.880097127741</v>
      </c>
      <c r="S40" s="102">
        <v>18573.379349794046</v>
      </c>
      <c r="T40" s="102">
        <v>24847.408945774107</v>
      </c>
      <c r="U40" s="102">
        <v>26880.351740350608</v>
      </c>
      <c r="V40" s="102">
        <v>24702.021823941963</v>
      </c>
      <c r="W40" s="102">
        <v>27093.254650265779</v>
      </c>
      <c r="DA40" s="175" t="s">
        <v>221</v>
      </c>
    </row>
    <row r="41" spans="1:105" ht="11.45" customHeight="1" x14ac:dyDescent="0.25">
      <c r="A41" s="85" t="s">
        <v>174</v>
      </c>
      <c r="B41" s="86">
        <v>15325.962409355123</v>
      </c>
      <c r="C41" s="86">
        <v>15344.063098510191</v>
      </c>
      <c r="D41" s="86">
        <v>15284.608501700061</v>
      </c>
      <c r="E41" s="86">
        <v>15444.557329554114</v>
      </c>
      <c r="F41" s="86">
        <v>11438.143774415787</v>
      </c>
      <c r="G41" s="86">
        <v>10700.261288040143</v>
      </c>
      <c r="H41" s="86">
        <v>11878.087334211585</v>
      </c>
      <c r="I41" s="86">
        <v>12019.745902290724</v>
      </c>
      <c r="J41" s="86">
        <v>13878.088371805143</v>
      </c>
      <c r="K41" s="86">
        <v>14919.735792137506</v>
      </c>
      <c r="L41" s="86">
        <v>11504.264490974731</v>
      </c>
      <c r="M41" s="86">
        <v>11288.422909382947</v>
      </c>
      <c r="N41" s="86">
        <v>10398.215599945115</v>
      </c>
      <c r="O41" s="86">
        <v>9436.047339166762</v>
      </c>
      <c r="P41" s="86">
        <v>8596.8890958392385</v>
      </c>
      <c r="Q41" s="86">
        <v>11802.650659949037</v>
      </c>
      <c r="R41" s="86">
        <v>13361.237683510028</v>
      </c>
      <c r="S41" s="86">
        <v>16615.812002273906</v>
      </c>
      <c r="T41" s="86">
        <v>27565.075916012305</v>
      </c>
      <c r="U41" s="86">
        <v>29516.719603270347</v>
      </c>
      <c r="V41" s="86">
        <v>13411.878542077777</v>
      </c>
      <c r="W41" s="86">
        <v>34087.146254850115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160.04119177382387</v>
      </c>
      <c r="C43" s="54">
        <f t="shared" si="30"/>
        <v>150.87035591410006</v>
      </c>
      <c r="D43" s="54">
        <f t="shared" ref="D43:V43" si="31">SUM(D44,D48)</f>
        <v>147.00016343632245</v>
      </c>
      <c r="E43" s="54">
        <f t="shared" si="31"/>
        <v>148.11848421467687</v>
      </c>
      <c r="F43" s="54">
        <f t="shared" si="31"/>
        <v>161.1522808223713</v>
      </c>
      <c r="G43" s="54">
        <f t="shared" si="31"/>
        <v>156.18531983419717</v>
      </c>
      <c r="H43" s="54">
        <f t="shared" si="31"/>
        <v>166.25778749114352</v>
      </c>
      <c r="I43" s="54">
        <f t="shared" si="31"/>
        <v>175.80991340279817</v>
      </c>
      <c r="J43" s="54">
        <f t="shared" si="31"/>
        <v>170.38486926946331</v>
      </c>
      <c r="K43" s="54">
        <f t="shared" si="31"/>
        <v>169.41338320573047</v>
      </c>
      <c r="L43" s="54">
        <f t="shared" si="31"/>
        <v>161.33459881996731</v>
      </c>
      <c r="M43" s="54">
        <f t="shared" si="31"/>
        <v>160.53857051594855</v>
      </c>
      <c r="N43" s="54">
        <f t="shared" si="31"/>
        <v>149.50205886878553</v>
      </c>
      <c r="O43" s="54">
        <f t="shared" si="31"/>
        <v>147.69097206661911</v>
      </c>
      <c r="P43" s="54">
        <f t="shared" si="31"/>
        <v>165.74016870614304</v>
      </c>
      <c r="Q43" s="54">
        <f t="shared" si="31"/>
        <v>173.97068606142236</v>
      </c>
      <c r="R43" s="54">
        <f t="shared" si="31"/>
        <v>185.39113875564706</v>
      </c>
      <c r="S43" s="54">
        <f t="shared" si="31"/>
        <v>198.42152827792987</v>
      </c>
      <c r="T43" s="54">
        <f t="shared" si="31"/>
        <v>215.31459202067606</v>
      </c>
      <c r="U43" s="54">
        <f t="shared" si="31"/>
        <v>221.11568798348031</v>
      </c>
      <c r="V43" s="54">
        <f t="shared" si="31"/>
        <v>210.68647440544268</v>
      </c>
      <c r="W43" s="54">
        <f t="shared" ref="W43" si="32">SUM(W44,W48)</f>
        <v>200.87889563751096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154.58234937249566</v>
      </c>
      <c r="C44" s="11">
        <f t="shared" si="33"/>
        <v>144.58447939067261</v>
      </c>
      <c r="D44" s="11">
        <f t="shared" ref="D44:V44" si="34">SUM(D45:D47)</f>
        <v>140.91169934787143</v>
      </c>
      <c r="E44" s="11">
        <f t="shared" si="34"/>
        <v>142.5045113315328</v>
      </c>
      <c r="F44" s="11">
        <f t="shared" si="34"/>
        <v>156.08298005814794</v>
      </c>
      <c r="G44" s="11">
        <f t="shared" si="34"/>
        <v>151.65819755021766</v>
      </c>
      <c r="H44" s="11">
        <f t="shared" si="34"/>
        <v>161.88360496904602</v>
      </c>
      <c r="I44" s="11">
        <f t="shared" si="34"/>
        <v>171.66471800843505</v>
      </c>
      <c r="J44" s="11">
        <f t="shared" si="34"/>
        <v>166.48688497427543</v>
      </c>
      <c r="K44" s="11">
        <f t="shared" si="34"/>
        <v>166.01351999009492</v>
      </c>
      <c r="L44" s="11">
        <f t="shared" si="34"/>
        <v>158.23642272622411</v>
      </c>
      <c r="M44" s="11">
        <f t="shared" si="34"/>
        <v>157.79859090165144</v>
      </c>
      <c r="N44" s="11">
        <f t="shared" si="34"/>
        <v>147.10448943509326</v>
      </c>
      <c r="O44" s="11">
        <f t="shared" si="34"/>
        <v>145.47542393134276</v>
      </c>
      <c r="P44" s="11">
        <f t="shared" si="34"/>
        <v>163.96015618878715</v>
      </c>
      <c r="Q44" s="11">
        <f t="shared" si="34"/>
        <v>172.23496071500605</v>
      </c>
      <c r="R44" s="11">
        <f t="shared" si="34"/>
        <v>183.73993971458702</v>
      </c>
      <c r="S44" s="11">
        <f t="shared" si="34"/>
        <v>196.80811464494982</v>
      </c>
      <c r="T44" s="11">
        <f t="shared" si="34"/>
        <v>212.97898268178969</v>
      </c>
      <c r="U44" s="11">
        <f t="shared" si="34"/>
        <v>218.74728389645492</v>
      </c>
      <c r="V44" s="11">
        <f t="shared" si="34"/>
        <v>208.44179393828853</v>
      </c>
      <c r="W44" s="11">
        <f t="shared" ref="W44" si="35">SUM(W45:W47)</f>
        <v>198.13630398012216</v>
      </c>
      <c r="DA44" s="189" t="s">
        <v>224</v>
      </c>
    </row>
    <row r="45" spans="1:105" ht="11.45" customHeight="1" x14ac:dyDescent="0.25">
      <c r="A45" s="83" t="s">
        <v>27</v>
      </c>
      <c r="B45" s="84">
        <v>47.329505300353354</v>
      </c>
      <c r="C45" s="84">
        <v>44.805212014134277</v>
      </c>
      <c r="D45" s="84">
        <v>41.033127208480565</v>
      </c>
      <c r="E45" s="84">
        <v>39.271201413427562</v>
      </c>
      <c r="F45" s="84">
        <v>44.696113074204945</v>
      </c>
      <c r="G45" s="84">
        <v>43.135682819383263</v>
      </c>
      <c r="H45" s="84">
        <v>44.994729907773383</v>
      </c>
      <c r="I45" s="84">
        <v>46.248468941382328</v>
      </c>
      <c r="J45" s="84">
        <v>43.557161629434951</v>
      </c>
      <c r="K45" s="84">
        <v>49.167536988685811</v>
      </c>
      <c r="L45" s="84">
        <v>44.434586458650472</v>
      </c>
      <c r="M45" s="84">
        <v>39.701635928615133</v>
      </c>
      <c r="N45" s="84">
        <v>35.952181208053695</v>
      </c>
      <c r="O45" s="84">
        <v>32.683750000000003</v>
      </c>
      <c r="P45" s="84">
        <v>34.611018363939898</v>
      </c>
      <c r="Q45" s="84">
        <v>38.047260560434964</v>
      </c>
      <c r="R45" s="84">
        <v>40.128151260504204</v>
      </c>
      <c r="S45" s="84">
        <v>40.140475197999166</v>
      </c>
      <c r="T45" s="84">
        <v>42.145477282200915</v>
      </c>
      <c r="U45" s="84">
        <v>42.808059825508934</v>
      </c>
      <c r="V45" s="84">
        <v>39.652759472152042</v>
      </c>
      <c r="W45" s="84">
        <v>36.497459118795149</v>
      </c>
      <c r="DA45" s="171" t="s">
        <v>225</v>
      </c>
    </row>
    <row r="46" spans="1:105" ht="11.45" customHeight="1" x14ac:dyDescent="0.25">
      <c r="A46" s="83" t="s">
        <v>173</v>
      </c>
      <c r="B46" s="84">
        <v>88.999090318388554</v>
      </c>
      <c r="C46" s="84">
        <v>82.797285394556354</v>
      </c>
      <c r="D46" s="84">
        <v>82.880073640892363</v>
      </c>
      <c r="E46" s="84">
        <v>85.664240849036162</v>
      </c>
      <c r="F46" s="84">
        <v>90.772752869828892</v>
      </c>
      <c r="G46" s="84">
        <v>88.235532482313701</v>
      </c>
      <c r="H46" s="84">
        <v>93.377354323945426</v>
      </c>
      <c r="I46" s="84">
        <v>98.319070383667139</v>
      </c>
      <c r="J46" s="84">
        <v>93.855590852726905</v>
      </c>
      <c r="K46" s="84">
        <v>89.361772475093318</v>
      </c>
      <c r="L46" s="84">
        <v>85.429029250029785</v>
      </c>
      <c r="M46" s="84">
        <v>87.668994915974949</v>
      </c>
      <c r="N46" s="84">
        <v>81.836800205649183</v>
      </c>
      <c r="O46" s="84">
        <v>79.436268525937351</v>
      </c>
      <c r="P46" s="84">
        <v>93.740500847789235</v>
      </c>
      <c r="Q46" s="84">
        <v>100.40443855288844</v>
      </c>
      <c r="R46" s="84">
        <v>106.85270366269656</v>
      </c>
      <c r="S46" s="84">
        <v>115.84501374862663</v>
      </c>
      <c r="T46" s="84">
        <v>127.89475896084234</v>
      </c>
      <c r="U46" s="84">
        <v>128.98691193221765</v>
      </c>
      <c r="V46" s="84">
        <v>123.05363924432508</v>
      </c>
      <c r="W46" s="84">
        <v>117.1203665564325</v>
      </c>
      <c r="DA46" s="171" t="s">
        <v>226</v>
      </c>
    </row>
    <row r="47" spans="1:105" ht="11.45" customHeight="1" x14ac:dyDescent="0.25">
      <c r="A47" s="83" t="s">
        <v>174</v>
      </c>
      <c r="B47" s="84">
        <v>18.253753753753752</v>
      </c>
      <c r="C47" s="84">
        <v>16.981981981981981</v>
      </c>
      <c r="D47" s="84">
        <v>16.998498498498499</v>
      </c>
      <c r="E47" s="84">
        <v>17.569069069069069</v>
      </c>
      <c r="F47" s="84">
        <v>20.614114114114113</v>
      </c>
      <c r="G47" s="84">
        <v>20.286982248520712</v>
      </c>
      <c r="H47" s="84">
        <v>23.511520737327189</v>
      </c>
      <c r="I47" s="84">
        <v>27.097178683385579</v>
      </c>
      <c r="J47" s="84">
        <v>29.074132492113566</v>
      </c>
      <c r="K47" s="84">
        <v>27.484210526315788</v>
      </c>
      <c r="L47" s="84">
        <v>28.37280701754386</v>
      </c>
      <c r="M47" s="84">
        <v>30.427960057061341</v>
      </c>
      <c r="N47" s="84">
        <v>29.315508021390375</v>
      </c>
      <c r="O47" s="84">
        <v>33.355405405405406</v>
      </c>
      <c r="P47" s="84">
        <v>35.608636977058026</v>
      </c>
      <c r="Q47" s="84">
        <v>33.783261601682653</v>
      </c>
      <c r="R47" s="84">
        <v>36.759084791386272</v>
      </c>
      <c r="S47" s="84">
        <v>40.822625698324025</v>
      </c>
      <c r="T47" s="84">
        <v>42.938746438746442</v>
      </c>
      <c r="U47" s="84">
        <v>46.952312138728324</v>
      </c>
      <c r="V47" s="84">
        <v>45.735395221811409</v>
      </c>
      <c r="W47" s="84">
        <v>44.518478304894494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5.4588424013282184</v>
      </c>
      <c r="C48" s="13">
        <f t="shared" si="36"/>
        <v>6.2858765234274614</v>
      </c>
      <c r="D48" s="13">
        <f t="shared" ref="D48:V48" si="37">SUM(D49:D51)</f>
        <v>6.0884640884510084</v>
      </c>
      <c r="E48" s="13">
        <f t="shared" si="37"/>
        <v>5.6139728831440578</v>
      </c>
      <c r="F48" s="13">
        <f t="shared" si="37"/>
        <v>5.0693007642233567</v>
      </c>
      <c r="G48" s="13">
        <f t="shared" si="37"/>
        <v>4.5271222839795016</v>
      </c>
      <c r="H48" s="13">
        <f t="shared" si="37"/>
        <v>4.3741825220975068</v>
      </c>
      <c r="I48" s="13">
        <f t="shared" si="37"/>
        <v>4.1451953943631175</v>
      </c>
      <c r="J48" s="13">
        <f t="shared" si="37"/>
        <v>3.8979842951878956</v>
      </c>
      <c r="K48" s="13">
        <f t="shared" si="37"/>
        <v>3.3998632156355511</v>
      </c>
      <c r="L48" s="13">
        <f t="shared" si="37"/>
        <v>3.0981760937432101</v>
      </c>
      <c r="M48" s="13">
        <f t="shared" si="37"/>
        <v>2.7399796142971264</v>
      </c>
      <c r="N48" s="13">
        <f t="shared" si="37"/>
        <v>2.3975694336922651</v>
      </c>
      <c r="O48" s="13">
        <f t="shared" si="37"/>
        <v>2.2155481352763453</v>
      </c>
      <c r="P48" s="13">
        <f t="shared" si="37"/>
        <v>1.7800125173558734</v>
      </c>
      <c r="Q48" s="13">
        <f t="shared" si="37"/>
        <v>1.735725346416312</v>
      </c>
      <c r="R48" s="13">
        <f t="shared" si="37"/>
        <v>1.6511990410600368</v>
      </c>
      <c r="S48" s="13">
        <f t="shared" si="37"/>
        <v>1.6134136329800373</v>
      </c>
      <c r="T48" s="13">
        <f t="shared" si="37"/>
        <v>2.335609338886381</v>
      </c>
      <c r="U48" s="13">
        <f t="shared" si="37"/>
        <v>2.3684040870254108</v>
      </c>
      <c r="V48" s="13">
        <f t="shared" si="37"/>
        <v>2.2446804671541569</v>
      </c>
      <c r="W48" s="13">
        <f t="shared" ref="W48" si="38">SUM(W49:W51)</f>
        <v>2.7425916573888136</v>
      </c>
      <c r="DA48" s="193" t="s">
        <v>228</v>
      </c>
    </row>
    <row r="49" spans="1:105" ht="11.45" customHeight="1" x14ac:dyDescent="0.25">
      <c r="A49" s="92" t="s">
        <v>27</v>
      </c>
      <c r="B49" s="102">
        <v>2.410701373825018</v>
      </c>
      <c r="C49" s="102">
        <v>2.8358640636297903</v>
      </c>
      <c r="D49" s="102">
        <v>2.702819956616052</v>
      </c>
      <c r="E49" s="102">
        <v>2.4617498192335501</v>
      </c>
      <c r="F49" s="102">
        <v>2.2206796818510481</v>
      </c>
      <c r="G49" s="102">
        <v>1.9796095444685462</v>
      </c>
      <c r="H49" s="102">
        <v>1.7385394070860443</v>
      </c>
      <c r="I49" s="102">
        <v>1.4974692697035423</v>
      </c>
      <c r="J49" s="102">
        <v>1.2563991323210404</v>
      </c>
      <c r="K49" s="102">
        <v>1.0153289949385385</v>
      </c>
      <c r="L49" s="102">
        <v>0.85550786838340487</v>
      </c>
      <c r="M49" s="102">
        <v>0.65791341376863022</v>
      </c>
      <c r="N49" s="102">
        <v>0.54480796586059743</v>
      </c>
      <c r="O49" s="102">
        <v>0.5</v>
      </c>
      <c r="P49" s="102">
        <v>0.3219858156028369</v>
      </c>
      <c r="Q49" s="102">
        <v>0.30632551528073915</v>
      </c>
      <c r="R49" s="102">
        <v>0.25516749821810408</v>
      </c>
      <c r="S49" s="102">
        <v>0.17317246273953157</v>
      </c>
      <c r="T49" s="102">
        <v>0.32434350603264728</v>
      </c>
      <c r="U49" s="102">
        <v>0.28336902212705212</v>
      </c>
      <c r="V49" s="102">
        <v>0.18362989323843418</v>
      </c>
      <c r="W49" s="102">
        <v>0.20640569395017794</v>
      </c>
      <c r="DA49" s="175" t="s">
        <v>229</v>
      </c>
    </row>
    <row r="50" spans="1:105" ht="11.45" customHeight="1" x14ac:dyDescent="0.25">
      <c r="A50" s="92" t="s">
        <v>173</v>
      </c>
      <c r="B50" s="102">
        <v>2.6824693857121549</v>
      </c>
      <c r="C50" s="102">
        <v>3.0955348478573721</v>
      </c>
      <c r="D50" s="102">
        <v>3.0261913955165487</v>
      </c>
      <c r="E50" s="102">
        <v>2.7579444569453337</v>
      </c>
      <c r="F50" s="102">
        <v>2.4909096395862393</v>
      </c>
      <c r="G50" s="102">
        <v>2.22636846090399</v>
      </c>
      <c r="H50" s="102">
        <v>2.3077129404478707</v>
      </c>
      <c r="I50" s="102">
        <v>2.3164683413469969</v>
      </c>
      <c r="J50" s="102">
        <v>2.2629086922786197</v>
      </c>
      <c r="K50" s="102">
        <v>2.0424249142878819</v>
      </c>
      <c r="L50" s="102">
        <v>1.9371260831297787</v>
      </c>
      <c r="M50" s="102">
        <v>1.8130912224775744</v>
      </c>
      <c r="N50" s="102">
        <v>1.6203536539598504</v>
      </c>
      <c r="O50" s="102">
        <v>1.5197074855836326</v>
      </c>
      <c r="P50" s="102">
        <v>1.2987532162394284</v>
      </c>
      <c r="Q50" s="102">
        <v>1.2502206519563936</v>
      </c>
      <c r="R50" s="102">
        <v>1.2083392351496252</v>
      </c>
      <c r="S50" s="102">
        <v>1.1974296686430614</v>
      </c>
      <c r="T50" s="102">
        <v>1.602372123526185</v>
      </c>
      <c r="U50" s="102">
        <v>1.6290165463798403</v>
      </c>
      <c r="V50" s="102">
        <v>1.6294101648499404</v>
      </c>
      <c r="W50" s="102">
        <v>1.7585431930862661</v>
      </c>
      <c r="DA50" s="175" t="s">
        <v>230</v>
      </c>
    </row>
    <row r="51" spans="1:105" ht="11.45" customHeight="1" x14ac:dyDescent="0.25">
      <c r="A51" s="85" t="s">
        <v>174</v>
      </c>
      <c r="B51" s="86">
        <v>0.36567164179104478</v>
      </c>
      <c r="C51" s="86">
        <v>0.35447761194029853</v>
      </c>
      <c r="D51" s="86">
        <v>0.35945273631840796</v>
      </c>
      <c r="E51" s="86">
        <v>0.39427860696517414</v>
      </c>
      <c r="F51" s="86">
        <v>0.35771144278606964</v>
      </c>
      <c r="G51" s="86">
        <v>0.32114427860696515</v>
      </c>
      <c r="H51" s="86">
        <v>0.32793017456359103</v>
      </c>
      <c r="I51" s="86">
        <v>0.33125778331257782</v>
      </c>
      <c r="J51" s="86">
        <v>0.37867647058823528</v>
      </c>
      <c r="K51" s="86">
        <v>0.34210930640913079</v>
      </c>
      <c r="L51" s="86">
        <v>0.30554214223002629</v>
      </c>
      <c r="M51" s="86">
        <v>0.2689749780509218</v>
      </c>
      <c r="N51" s="86">
        <v>0.2324078138718173</v>
      </c>
      <c r="O51" s="86">
        <v>0.19584064969271281</v>
      </c>
      <c r="P51" s="86">
        <v>0.15927348551360831</v>
      </c>
      <c r="Q51" s="86">
        <v>0.17917917917917917</v>
      </c>
      <c r="R51" s="86">
        <v>0.18769230769230769</v>
      </c>
      <c r="S51" s="86">
        <v>0.24281150159744408</v>
      </c>
      <c r="T51" s="86">
        <v>0.40889370932754882</v>
      </c>
      <c r="U51" s="86">
        <v>0.45601851851851855</v>
      </c>
      <c r="V51" s="86">
        <v>0.43164040906578222</v>
      </c>
      <c r="W51" s="86">
        <v>0.77764277035236939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12.947271676818328</v>
      </c>
      <c r="C53" s="54">
        <f t="shared" si="39"/>
        <v>1.0365633395472427</v>
      </c>
      <c r="D53" s="54">
        <f t="shared" ref="D53:V53" si="40">SUM(D54,D58)</f>
        <v>3.4759124294338153</v>
      </c>
      <c r="E53" s="54">
        <f t="shared" si="40"/>
        <v>6.7273551489761472</v>
      </c>
      <c r="F53" s="54">
        <f t="shared" si="40"/>
        <v>18.445170061917317</v>
      </c>
      <c r="G53" s="54">
        <f t="shared" si="40"/>
        <v>1.2040520987559005</v>
      </c>
      <c r="H53" s="54">
        <f t="shared" si="40"/>
        <v>15.248424896414875</v>
      </c>
      <c r="I53" s="54">
        <f t="shared" si="40"/>
        <v>14.815455134204418</v>
      </c>
      <c r="J53" s="54">
        <f t="shared" si="40"/>
        <v>2.9448662293903545</v>
      </c>
      <c r="K53" s="54">
        <f t="shared" si="40"/>
        <v>7.4689922313496204</v>
      </c>
      <c r="L53" s="54">
        <f t="shared" si="40"/>
        <v>1.5545496149421103</v>
      </c>
      <c r="M53" s="54">
        <f t="shared" si="40"/>
        <v>7.623389478678968</v>
      </c>
      <c r="N53" s="54">
        <f t="shared" si="40"/>
        <v>1.4513641114706257</v>
      </c>
      <c r="O53" s="54">
        <f t="shared" si="40"/>
        <v>5.8034137037940647</v>
      </c>
      <c r="P53" s="54">
        <f t="shared" si="40"/>
        <v>23.315476494162002</v>
      </c>
      <c r="Q53" s="54">
        <f t="shared" si="40"/>
        <v>14.69855819079179</v>
      </c>
      <c r="R53" s="54">
        <f t="shared" si="40"/>
        <v>16.449560821625894</v>
      </c>
      <c r="S53" s="54">
        <f t="shared" si="40"/>
        <v>18.21712380780199</v>
      </c>
      <c r="T53" s="54">
        <f t="shared" si="40"/>
        <v>21.922075606549214</v>
      </c>
      <c r="U53" s="54">
        <f t="shared" si="40"/>
        <v>10.865886016670693</v>
      </c>
      <c r="V53" s="54">
        <f t="shared" si="40"/>
        <v>0.12000200696540753</v>
      </c>
      <c r="W53" s="54">
        <f t="shared" ref="W53" si="41">SUM(W54,W58)</f>
        <v>0.72386430124896384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12.21479681978817</v>
      </c>
      <c r="C54" s="11">
        <f t="shared" si="42"/>
        <v>0</v>
      </c>
      <c r="D54" s="11">
        <f t="shared" ref="D54:V54" si="43">SUM(D55:D57)</f>
        <v>3.425280342069529</v>
      </c>
      <c r="E54" s="11">
        <f t="shared" si="43"/>
        <v>6.6807133579313813</v>
      </c>
      <c r="F54" s="11">
        <f t="shared" si="43"/>
        <v>18.444361981109257</v>
      </c>
      <c r="G54" s="11">
        <f t="shared" si="43"/>
        <v>1.200750379270995</v>
      </c>
      <c r="H54" s="11">
        <f t="shared" si="43"/>
        <v>15.044890065183308</v>
      </c>
      <c r="I54" s="11">
        <f t="shared" si="43"/>
        <v>14.652593519165844</v>
      </c>
      <c r="J54" s="11">
        <f t="shared" si="43"/>
        <v>2.8002285857926128</v>
      </c>
      <c r="K54" s="11">
        <f t="shared" si="43"/>
        <v>7.4689922313496204</v>
      </c>
      <c r="L54" s="11">
        <f t="shared" si="43"/>
        <v>1.5208857611077526</v>
      </c>
      <c r="M54" s="11">
        <f t="shared" si="43"/>
        <v>7.6210942846796446</v>
      </c>
      <c r="N54" s="11">
        <f t="shared" si="43"/>
        <v>1.4116329314805949</v>
      </c>
      <c r="O54" s="11">
        <f t="shared" si="43"/>
        <v>5.7456369774038256</v>
      </c>
      <c r="P54" s="11">
        <f t="shared" si="43"/>
        <v>23.304214903799394</v>
      </c>
      <c r="Q54" s="11">
        <f t="shared" si="43"/>
        <v>14.49753795421989</v>
      </c>
      <c r="R54" s="11">
        <f t="shared" si="43"/>
        <v>16.324461645935983</v>
      </c>
      <c r="S54" s="11">
        <f t="shared" si="43"/>
        <v>18.031599049054424</v>
      </c>
      <c r="T54" s="11">
        <f t="shared" si="43"/>
        <v>20.990350683194869</v>
      </c>
      <c r="U54" s="11">
        <f t="shared" si="43"/>
        <v>10.587783861020203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12.21479681978817</v>
      </c>
      <c r="C55" s="84">
        <v>0</v>
      </c>
      <c r="D55" s="84">
        <v>0</v>
      </c>
      <c r="E55" s="84">
        <v>0</v>
      </c>
      <c r="F55" s="84">
        <v>6.9184187279153804</v>
      </c>
      <c r="G55" s="84">
        <v>0</v>
      </c>
      <c r="H55" s="84">
        <v>3.352554155528118</v>
      </c>
      <c r="I55" s="84">
        <v>2.747246100746942</v>
      </c>
      <c r="J55" s="84">
        <v>0</v>
      </c>
      <c r="K55" s="84">
        <v>7.1038824263888571</v>
      </c>
      <c r="L55" s="84">
        <v>0</v>
      </c>
      <c r="M55" s="84">
        <v>0</v>
      </c>
      <c r="N55" s="84">
        <v>0</v>
      </c>
      <c r="O55" s="84">
        <v>0</v>
      </c>
      <c r="P55" s="84">
        <v>3.4207754310778924</v>
      </c>
      <c r="Q55" s="84">
        <v>4.9297492636330631</v>
      </c>
      <c r="R55" s="84">
        <v>3.5743977672072376</v>
      </c>
      <c r="S55" s="84">
        <v>1.5058310046329595</v>
      </c>
      <c r="T55" s="84">
        <v>3.4985091513397464</v>
      </c>
      <c r="U55" s="84">
        <v>2.156089610446017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0</v>
      </c>
      <c r="C56" s="84">
        <v>0</v>
      </c>
      <c r="D56" s="84">
        <v>2.8426977594870113</v>
      </c>
      <c r="E56" s="84">
        <v>5.544076721294811</v>
      </c>
      <c r="F56" s="84">
        <v>7.9148321420828331</v>
      </c>
      <c r="G56" s="84">
        <v>0.96181617879839609</v>
      </c>
      <c r="H56" s="84">
        <v>7.9017313547827133</v>
      </c>
      <c r="I56" s="84">
        <v>7.753623406294512</v>
      </c>
      <c r="J56" s="84">
        <v>0.25720871099862519</v>
      </c>
      <c r="K56" s="84">
        <v>0.36510980496076328</v>
      </c>
      <c r="L56" s="84">
        <v>6.6223203813681408E-2</v>
      </c>
      <c r="M56" s="84">
        <v>4.9998751790961631</v>
      </c>
      <c r="N56" s="84">
        <v>1.4116329314805949</v>
      </c>
      <c r="O56" s="84">
        <v>1.1396735273227945</v>
      </c>
      <c r="P56" s="84">
        <v>17.064141835002882</v>
      </c>
      <c r="Q56" s="84">
        <v>9.567788690586827</v>
      </c>
      <c r="R56" s="84">
        <v>9.2081746229591293</v>
      </c>
      <c r="S56" s="84">
        <v>11.896161071417712</v>
      </c>
      <c r="T56" s="84">
        <v>14.809654725366705</v>
      </c>
      <c r="U56" s="84">
        <v>3.8520624845263027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0</v>
      </c>
      <c r="C57" s="84">
        <v>0</v>
      </c>
      <c r="D57" s="84">
        <v>0.58258258258251772</v>
      </c>
      <c r="E57" s="84">
        <v>1.1366366366365703</v>
      </c>
      <c r="F57" s="84">
        <v>3.6111111111110432</v>
      </c>
      <c r="G57" s="84">
        <v>0.23893420047259895</v>
      </c>
      <c r="H57" s="84">
        <v>3.7906045548724769</v>
      </c>
      <c r="I57" s="84">
        <v>4.1517240121243901</v>
      </c>
      <c r="J57" s="84">
        <v>2.5430198747939876</v>
      </c>
      <c r="K57" s="84">
        <v>0</v>
      </c>
      <c r="L57" s="84">
        <v>1.4546625572940712</v>
      </c>
      <c r="M57" s="84">
        <v>2.6212191055834815</v>
      </c>
      <c r="N57" s="84">
        <v>0</v>
      </c>
      <c r="O57" s="84">
        <v>4.6059634500810311</v>
      </c>
      <c r="P57" s="84">
        <v>2.8192976377186199</v>
      </c>
      <c r="Q57" s="84">
        <v>0</v>
      </c>
      <c r="R57" s="84">
        <v>3.5418892557696182</v>
      </c>
      <c r="S57" s="84">
        <v>4.629606973003753</v>
      </c>
      <c r="T57" s="84">
        <v>2.6821868064884171</v>
      </c>
      <c r="U57" s="84">
        <v>4.579631766047882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0.73247485703015813</v>
      </c>
      <c r="C58" s="13">
        <f t="shared" si="45"/>
        <v>1.0365633395472427</v>
      </c>
      <c r="D58" s="13">
        <f t="shared" ref="D58:V58" si="46">SUM(D59:D61)</f>
        <v>5.0632087364286094E-2</v>
      </c>
      <c r="E58" s="13">
        <f t="shared" si="46"/>
        <v>4.6641791044766179E-2</v>
      </c>
      <c r="F58" s="13">
        <f t="shared" si="46"/>
        <v>8.0808080806060549E-4</v>
      </c>
      <c r="G58" s="13">
        <f t="shared" si="46"/>
        <v>3.3017194849053908E-3</v>
      </c>
      <c r="H58" s="13">
        <f t="shared" si="46"/>
        <v>0.2035348312315674</v>
      </c>
      <c r="I58" s="13">
        <f t="shared" si="46"/>
        <v>0.16286161503857377</v>
      </c>
      <c r="J58" s="13">
        <f t="shared" si="46"/>
        <v>0.14463764359774151</v>
      </c>
      <c r="K58" s="13">
        <f t="shared" si="46"/>
        <v>0</v>
      </c>
      <c r="L58" s="13">
        <f t="shared" si="46"/>
        <v>3.366385383435766E-2</v>
      </c>
      <c r="M58" s="13">
        <f t="shared" si="46"/>
        <v>2.2951939993238295E-3</v>
      </c>
      <c r="N58" s="13">
        <f t="shared" si="46"/>
        <v>3.9731179990030736E-2</v>
      </c>
      <c r="O58" s="13">
        <f t="shared" si="46"/>
        <v>5.7776726390238731E-2</v>
      </c>
      <c r="P58" s="13">
        <f t="shared" si="46"/>
        <v>1.1261590362607543E-2</v>
      </c>
      <c r="Q58" s="13">
        <f t="shared" si="46"/>
        <v>0.20102023657189913</v>
      </c>
      <c r="R58" s="13">
        <f t="shared" si="46"/>
        <v>0.12509917568991058</v>
      </c>
      <c r="S58" s="13">
        <f t="shared" si="46"/>
        <v>0.18552475874756433</v>
      </c>
      <c r="T58" s="13">
        <f t="shared" si="46"/>
        <v>0.93172492335434387</v>
      </c>
      <c r="U58" s="13">
        <f t="shared" si="46"/>
        <v>0.2781021556504909</v>
      </c>
      <c r="V58" s="13">
        <f t="shared" si="46"/>
        <v>0.12000200696540753</v>
      </c>
      <c r="W58" s="13">
        <f t="shared" ref="W58" si="47">SUM(W59:W61)</f>
        <v>0.72386430124896384</v>
      </c>
      <c r="DA58" s="193" t="s">
        <v>237</v>
      </c>
    </row>
    <row r="59" spans="1:105" ht="11.45" customHeight="1" x14ac:dyDescent="0.25">
      <c r="A59" s="92" t="s">
        <v>27</v>
      </c>
      <c r="B59" s="102">
        <v>0.73227283682815814</v>
      </c>
      <c r="C59" s="102">
        <v>0.51969149192577202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4.9720836260402579E-2</v>
      </c>
      <c r="P59" s="102">
        <v>0</v>
      </c>
      <c r="Q59" s="102">
        <v>7.8868501798902257E-2</v>
      </c>
      <c r="R59" s="102">
        <v>4.3370785058364947E-2</v>
      </c>
      <c r="S59" s="102">
        <v>1.2533766642427502E-2</v>
      </c>
      <c r="T59" s="102">
        <v>0.24569984541411571</v>
      </c>
      <c r="U59" s="102">
        <v>5.355431821540485E-2</v>
      </c>
      <c r="V59" s="102">
        <v>0</v>
      </c>
      <c r="W59" s="102">
        <v>0.11730460283274377</v>
      </c>
      <c r="DA59" s="175" t="s">
        <v>238</v>
      </c>
    </row>
    <row r="60" spans="1:105" ht="11.45" customHeight="1" x14ac:dyDescent="0.25">
      <c r="A60" s="92" t="s">
        <v>173</v>
      </c>
      <c r="B60" s="102">
        <v>2.0202020199999986E-4</v>
      </c>
      <c r="C60" s="102">
        <v>0.51624995707421695</v>
      </c>
      <c r="D60" s="102">
        <v>3.3841042588176662E-2</v>
      </c>
      <c r="E60" s="102">
        <v>0</v>
      </c>
      <c r="F60" s="102">
        <v>8.0808080806060549E-4</v>
      </c>
      <c r="G60" s="102">
        <v>3.3017194849053908E-3</v>
      </c>
      <c r="H60" s="102">
        <v>0.18493301487694153</v>
      </c>
      <c r="I60" s="102">
        <v>0.14771808589158697</v>
      </c>
      <c r="J60" s="102">
        <v>8.5403035924084048E-2</v>
      </c>
      <c r="K60" s="102">
        <v>0</v>
      </c>
      <c r="L60" s="102">
        <v>3.366385383435766E-2</v>
      </c>
      <c r="M60" s="102">
        <v>2.2951939993238295E-3</v>
      </c>
      <c r="N60" s="102">
        <v>3.9731179990030736E-2</v>
      </c>
      <c r="O60" s="102">
        <v>8.0558901298361484E-3</v>
      </c>
      <c r="P60" s="102">
        <v>1.1261590362607543E-2</v>
      </c>
      <c r="Q60" s="102">
        <v>9.0430120709426021E-2</v>
      </c>
      <c r="R60" s="102">
        <v>6.1399341720417111E-2</v>
      </c>
      <c r="S60" s="102">
        <v>0.10605587780200043</v>
      </c>
      <c r="T60" s="102">
        <v>0.50812694981212347</v>
      </c>
      <c r="U60" s="102">
        <v>0.16560710784611632</v>
      </c>
      <c r="V60" s="102">
        <v>0.12000200696540753</v>
      </c>
      <c r="W60" s="102">
        <v>0.24874141673163286</v>
      </c>
      <c r="DA60" s="175" t="s">
        <v>239</v>
      </c>
    </row>
    <row r="61" spans="1:105" ht="11.45" customHeight="1" x14ac:dyDescent="0.25">
      <c r="A61" s="85" t="s">
        <v>174</v>
      </c>
      <c r="B61" s="86">
        <v>0</v>
      </c>
      <c r="C61" s="86">
        <v>6.2189054725375614E-4</v>
      </c>
      <c r="D61" s="86">
        <v>1.6791044776109432E-2</v>
      </c>
      <c r="E61" s="86">
        <v>4.6641791044766179E-2</v>
      </c>
      <c r="F61" s="86">
        <v>0</v>
      </c>
      <c r="G61" s="86">
        <v>0</v>
      </c>
      <c r="H61" s="86">
        <v>1.8601816354625877E-2</v>
      </c>
      <c r="I61" s="86">
        <v>1.5143529146986801E-2</v>
      </c>
      <c r="J61" s="86">
        <v>5.9234607673657458E-2</v>
      </c>
      <c r="K61" s="86">
        <v>0</v>
      </c>
      <c r="L61" s="86">
        <v>0</v>
      </c>
      <c r="M61" s="86">
        <v>0</v>
      </c>
      <c r="N61" s="86">
        <v>0</v>
      </c>
      <c r="O61" s="86">
        <v>0</v>
      </c>
      <c r="P61" s="86">
        <v>0</v>
      </c>
      <c r="Q61" s="86">
        <v>3.1721614063570852E-2</v>
      </c>
      <c r="R61" s="86">
        <v>2.0329048911128522E-2</v>
      </c>
      <c r="S61" s="86">
        <v>6.6935114303136395E-2</v>
      </c>
      <c r="T61" s="86">
        <v>0.17789812812810474</v>
      </c>
      <c r="U61" s="86">
        <v>5.8940729588969731E-2</v>
      </c>
      <c r="V61" s="86">
        <v>0</v>
      </c>
      <c r="W61" s="86">
        <v>0.35781828168458713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86.653963073025764</v>
      </c>
      <c r="C66" s="14">
        <f t="shared" si="48"/>
        <v>86.786024138897247</v>
      </c>
      <c r="D66" s="14">
        <f t="shared" ref="D66:V66" si="49">IF(D34=0,0,D34/D24)</f>
        <v>88.756594977994126</v>
      </c>
      <c r="E66" s="14">
        <f t="shared" si="49"/>
        <v>90.55709057589624</v>
      </c>
      <c r="F66" s="14">
        <f t="shared" si="49"/>
        <v>90.357426572048098</v>
      </c>
      <c r="G66" s="14">
        <f t="shared" si="49"/>
        <v>96.459181350453036</v>
      </c>
      <c r="H66" s="14">
        <f t="shared" si="49"/>
        <v>97.158827588189638</v>
      </c>
      <c r="I66" s="14">
        <f t="shared" si="49"/>
        <v>98.248268950437321</v>
      </c>
      <c r="J66" s="14">
        <f t="shared" si="49"/>
        <v>100.62127635278837</v>
      </c>
      <c r="K66" s="14">
        <f t="shared" si="49"/>
        <v>93.419400940596319</v>
      </c>
      <c r="L66" s="14">
        <f t="shared" si="49"/>
        <v>96.687801289753082</v>
      </c>
      <c r="M66" s="14">
        <f t="shared" si="49"/>
        <v>101.0655324097482</v>
      </c>
      <c r="N66" s="14">
        <f t="shared" si="49"/>
        <v>102.06365830089776</v>
      </c>
      <c r="O66" s="14">
        <f t="shared" si="49"/>
        <v>109.65490200434301</v>
      </c>
      <c r="P66" s="14">
        <f t="shared" si="49"/>
        <v>113.89039699865619</v>
      </c>
      <c r="Q66" s="14">
        <f t="shared" si="49"/>
        <v>116.27754715130912</v>
      </c>
      <c r="R66" s="14">
        <f t="shared" si="49"/>
        <v>118.49538453400105</v>
      </c>
      <c r="S66" s="14">
        <f t="shared" si="49"/>
        <v>123.30570050584262</v>
      </c>
      <c r="T66" s="14">
        <f t="shared" si="49"/>
        <v>123.12081145995509</v>
      </c>
      <c r="U66" s="14">
        <f t="shared" si="49"/>
        <v>124.40148976790904</v>
      </c>
      <c r="V66" s="14">
        <f t="shared" si="49"/>
        <v>86.793544938935383</v>
      </c>
      <c r="W66" s="14">
        <f t="shared" ref="W66" si="50">IF(W34=0,0,W34/W24)</f>
        <v>97.596291463843031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54.705983911006591</v>
      </c>
      <c r="C67" s="87">
        <f t="shared" si="48"/>
        <v>55.075749958102897</v>
      </c>
      <c r="D67" s="87">
        <f t="shared" ref="D67:V67" si="51">IF(D35=0,0,D35/D25)</f>
        <v>55.437937975650975</v>
      </c>
      <c r="E67" s="87">
        <f t="shared" si="51"/>
        <v>55.726633674502303</v>
      </c>
      <c r="F67" s="87">
        <f t="shared" si="51"/>
        <v>56.96965175112657</v>
      </c>
      <c r="G67" s="87">
        <f t="shared" si="51"/>
        <v>60.733981494720069</v>
      </c>
      <c r="H67" s="87">
        <f t="shared" si="51"/>
        <v>61.630650151776912</v>
      </c>
      <c r="I67" s="87">
        <f t="shared" si="51"/>
        <v>64.824363436873369</v>
      </c>
      <c r="J67" s="87">
        <f t="shared" si="51"/>
        <v>67.561790408382862</v>
      </c>
      <c r="K67" s="87">
        <f t="shared" si="51"/>
        <v>61.90199757494225</v>
      </c>
      <c r="L67" s="87">
        <f t="shared" si="51"/>
        <v>63.019088279578412</v>
      </c>
      <c r="M67" s="87">
        <f t="shared" si="51"/>
        <v>63.203286576684953</v>
      </c>
      <c r="N67" s="87">
        <f t="shared" si="51"/>
        <v>61.82695134756738</v>
      </c>
      <c r="O67" s="87">
        <f t="shared" si="51"/>
        <v>65.749760966841322</v>
      </c>
      <c r="P67" s="87">
        <f t="shared" si="51"/>
        <v>75.157486011962177</v>
      </c>
      <c r="Q67" s="87">
        <f t="shared" si="51"/>
        <v>81.835892757032454</v>
      </c>
      <c r="R67" s="87">
        <f t="shared" si="51"/>
        <v>85.280194754201347</v>
      </c>
      <c r="S67" s="87">
        <f t="shared" si="51"/>
        <v>86.268170347985915</v>
      </c>
      <c r="T67" s="87">
        <f t="shared" si="51"/>
        <v>84.260338057701247</v>
      </c>
      <c r="U67" s="87">
        <f t="shared" si="51"/>
        <v>82.909160609089767</v>
      </c>
      <c r="V67" s="87">
        <f t="shared" si="51"/>
        <v>59.431824236440853</v>
      </c>
      <c r="W67" s="87">
        <f t="shared" ref="W67" si="52">IF(W35=0,0,W35/W25)</f>
        <v>65.940963427353267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125.09295129073163</v>
      </c>
      <c r="C68" s="87">
        <f t="shared" si="48"/>
        <v>125.54099713639035</v>
      </c>
      <c r="D68" s="87">
        <f t="shared" ref="D68:V68" si="53">IF(D36=0,0,D36/D26)</f>
        <v>126.10822121450612</v>
      </c>
      <c r="E68" s="87">
        <f t="shared" si="53"/>
        <v>126.79130508351665</v>
      </c>
      <c r="F68" s="87">
        <f t="shared" si="53"/>
        <v>127.8054977897476</v>
      </c>
      <c r="G68" s="87">
        <f t="shared" si="53"/>
        <v>135.36331725460568</v>
      </c>
      <c r="H68" s="87">
        <f t="shared" si="53"/>
        <v>134.80947668217158</v>
      </c>
      <c r="I68" s="87">
        <f t="shared" si="53"/>
        <v>132.46335018858539</v>
      </c>
      <c r="J68" s="87">
        <f t="shared" si="53"/>
        <v>133.93207154697029</v>
      </c>
      <c r="K68" s="87">
        <f t="shared" si="53"/>
        <v>131.38578396736034</v>
      </c>
      <c r="L68" s="87">
        <f t="shared" si="53"/>
        <v>133.66371056536934</v>
      </c>
      <c r="M68" s="87">
        <f t="shared" si="53"/>
        <v>136.92363610946074</v>
      </c>
      <c r="N68" s="87">
        <f t="shared" si="53"/>
        <v>141.45692710145488</v>
      </c>
      <c r="O68" s="87">
        <f t="shared" si="53"/>
        <v>147.3305387664912</v>
      </c>
      <c r="P68" s="87">
        <f t="shared" si="53"/>
        <v>144.78017454849609</v>
      </c>
      <c r="Q68" s="87">
        <f t="shared" si="53"/>
        <v>146.69461630806168</v>
      </c>
      <c r="R68" s="87">
        <f t="shared" si="53"/>
        <v>147.22247642484308</v>
      </c>
      <c r="S68" s="87">
        <f t="shared" si="53"/>
        <v>152.53029075203705</v>
      </c>
      <c r="T68" s="87">
        <f t="shared" si="53"/>
        <v>151.30572080908127</v>
      </c>
      <c r="U68" s="87">
        <f t="shared" si="53"/>
        <v>154.70950237798846</v>
      </c>
      <c r="V68" s="87">
        <f t="shared" si="53"/>
        <v>119.88543251728721</v>
      </c>
      <c r="W68" s="87">
        <f t="shared" ref="W68" si="54">IF(W36=0,0,W36/W26)</f>
        <v>125.61751162083496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96.457102903676898</v>
      </c>
      <c r="C69" s="87">
        <f t="shared" si="48"/>
        <v>97.171706454465081</v>
      </c>
      <c r="D69" s="87">
        <f t="shared" ref="D69:V69" si="55">IF(D37=0,0,D37/D27)</f>
        <v>98.058740393958132</v>
      </c>
      <c r="E69" s="87">
        <f t="shared" si="55"/>
        <v>99.003333048457392</v>
      </c>
      <c r="F69" s="87">
        <f t="shared" si="55"/>
        <v>96.416344963216545</v>
      </c>
      <c r="G69" s="87">
        <f t="shared" si="55"/>
        <v>107.47148898935394</v>
      </c>
      <c r="H69" s="87">
        <f t="shared" si="55"/>
        <v>111.27459819678558</v>
      </c>
      <c r="I69" s="87">
        <f t="shared" si="55"/>
        <v>111.64946783896345</v>
      </c>
      <c r="J69" s="87">
        <f t="shared" si="55"/>
        <v>112.1648131069278</v>
      </c>
      <c r="K69" s="87">
        <f t="shared" si="55"/>
        <v>105.98484433988072</v>
      </c>
      <c r="L69" s="87">
        <f t="shared" si="55"/>
        <v>112.62869067862111</v>
      </c>
      <c r="M69" s="87">
        <f t="shared" si="55"/>
        <v>117.60150023441163</v>
      </c>
      <c r="N69" s="87">
        <f t="shared" si="55"/>
        <v>119.92808281649033</v>
      </c>
      <c r="O69" s="87">
        <f t="shared" si="55"/>
        <v>131.7505975772799</v>
      </c>
      <c r="P69" s="87">
        <f t="shared" si="55"/>
        <v>129.25100432047299</v>
      </c>
      <c r="Q69" s="87">
        <f t="shared" si="55"/>
        <v>122.83743535907305</v>
      </c>
      <c r="R69" s="87">
        <f t="shared" si="55"/>
        <v>125.22378441710603</v>
      </c>
      <c r="S69" s="87">
        <f t="shared" si="55"/>
        <v>133.05039515549626</v>
      </c>
      <c r="T69" s="87">
        <f t="shared" si="55"/>
        <v>137.16060113459179</v>
      </c>
      <c r="U69" s="87">
        <f t="shared" si="55"/>
        <v>139.09014804099596</v>
      </c>
      <c r="V69" s="87">
        <f t="shared" si="55"/>
        <v>89.701630491224421</v>
      </c>
      <c r="W69" s="87">
        <f t="shared" ref="W69" si="56">IF(W37=0,0,W37/W27)</f>
        <v>106.71614100185529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14.398525445741292</v>
      </c>
      <c r="C70" s="15">
        <f t="shared" si="48"/>
        <v>14.131528978735375</v>
      </c>
      <c r="D70" s="15">
        <f t="shared" ref="D70:V70" si="57">IF(D38=0,0,D38/D28)</f>
        <v>14.397764962290706</v>
      </c>
      <c r="E70" s="15">
        <f t="shared" si="57"/>
        <v>15.414833058858722</v>
      </c>
      <c r="F70" s="15">
        <f t="shared" si="57"/>
        <v>15.185333169776227</v>
      </c>
      <c r="G70" s="15">
        <f t="shared" si="57"/>
        <v>14.605546879416899</v>
      </c>
      <c r="H70" s="15">
        <f t="shared" si="57"/>
        <v>14.056914377489969</v>
      </c>
      <c r="I70" s="15">
        <f t="shared" si="57"/>
        <v>14.338359602274537</v>
      </c>
      <c r="J70" s="15">
        <f t="shared" si="57"/>
        <v>14.327888390425258</v>
      </c>
      <c r="K70" s="15">
        <f t="shared" si="57"/>
        <v>15.171748023215121</v>
      </c>
      <c r="L70" s="15">
        <f t="shared" si="57"/>
        <v>15.455380814308032</v>
      </c>
      <c r="M70" s="15">
        <f t="shared" si="57"/>
        <v>16.989947557213565</v>
      </c>
      <c r="N70" s="15">
        <f t="shared" si="57"/>
        <v>18.019553847018653</v>
      </c>
      <c r="O70" s="15">
        <f t="shared" si="57"/>
        <v>18.106156235932222</v>
      </c>
      <c r="P70" s="15">
        <f t="shared" si="57"/>
        <v>20.569270013572133</v>
      </c>
      <c r="Q70" s="15">
        <f t="shared" si="57"/>
        <v>22.15962272183673</v>
      </c>
      <c r="R70" s="15">
        <f t="shared" si="57"/>
        <v>25.662482040030458</v>
      </c>
      <c r="S70" s="15">
        <f t="shared" si="57"/>
        <v>26.75973155972898</v>
      </c>
      <c r="T70" s="15">
        <f t="shared" si="57"/>
        <v>27.530136029079117</v>
      </c>
      <c r="U70" s="15">
        <f t="shared" si="57"/>
        <v>28.880640285535055</v>
      </c>
      <c r="V70" s="15">
        <f t="shared" si="57"/>
        <v>21.639170156115007</v>
      </c>
      <c r="W70" s="15">
        <f t="shared" ref="W70" si="58">IF(W38=0,0,W38/W28)</f>
        <v>26.553033100902095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10.023260717907061</v>
      </c>
      <c r="C71" s="41">
        <f t="shared" si="48"/>
        <v>9.9468368530637683</v>
      </c>
      <c r="D71" s="41">
        <f t="shared" ref="D71:V71" si="59">IF(D39=0,0,D39/D29)</f>
        <v>10.228621255842398</v>
      </c>
      <c r="E71" s="41">
        <f t="shared" si="59"/>
        <v>10.880055930725819</v>
      </c>
      <c r="F71" s="41">
        <f t="shared" si="59"/>
        <v>10.245293270650949</v>
      </c>
      <c r="G71" s="41">
        <f t="shared" si="59"/>
        <v>10.026366251647696</v>
      </c>
      <c r="H71" s="41">
        <f t="shared" si="59"/>
        <v>9.6442979168361322</v>
      </c>
      <c r="I71" s="41">
        <f t="shared" si="59"/>
        <v>9.6084894019429061</v>
      </c>
      <c r="J71" s="41">
        <f t="shared" si="59"/>
        <v>9.2442531595608752</v>
      </c>
      <c r="K71" s="41">
        <f t="shared" si="59"/>
        <v>9.3241119040203664</v>
      </c>
      <c r="L71" s="41">
        <f t="shared" si="59"/>
        <v>9.9726891566980314</v>
      </c>
      <c r="M71" s="41">
        <f t="shared" si="59"/>
        <v>10.895413572948689</v>
      </c>
      <c r="N71" s="41">
        <f t="shared" si="59"/>
        <v>11.191309368552655</v>
      </c>
      <c r="O71" s="41">
        <f t="shared" si="59"/>
        <v>11.472500357206833</v>
      </c>
      <c r="P71" s="41">
        <f t="shared" si="59"/>
        <v>12.867018693212083</v>
      </c>
      <c r="Q71" s="41">
        <f t="shared" si="59"/>
        <v>13.240241004887794</v>
      </c>
      <c r="R71" s="41">
        <f t="shared" si="59"/>
        <v>15.261326994101349</v>
      </c>
      <c r="S71" s="41">
        <f t="shared" si="59"/>
        <v>14.037300363200673</v>
      </c>
      <c r="T71" s="41">
        <f t="shared" si="59"/>
        <v>14.287825769085291</v>
      </c>
      <c r="U71" s="41">
        <f t="shared" si="59"/>
        <v>15.803320090655205</v>
      </c>
      <c r="V71" s="41">
        <f t="shared" si="59"/>
        <v>14.56548017853798</v>
      </c>
      <c r="W71" s="41">
        <f t="shared" ref="W71" si="60">IF(W39=0,0,W39/W29)</f>
        <v>14.733881684854403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</v>
      </c>
      <c r="D72" s="41">
        <f t="shared" ref="D72:V72" si="61">IF(D40=0,0,D40/D30)</f>
        <v>16.295894641910159</v>
      </c>
      <c r="E72" s="41">
        <f t="shared" si="61"/>
        <v>17.167505270500246</v>
      </c>
      <c r="F72" s="41">
        <f t="shared" si="61"/>
        <v>16.029083470668724</v>
      </c>
      <c r="G72" s="41">
        <f t="shared" si="61"/>
        <v>15.181021974099197</v>
      </c>
      <c r="H72" s="41">
        <f t="shared" si="61"/>
        <v>13.985273542904695</v>
      </c>
      <c r="I72" s="41">
        <f t="shared" si="61"/>
        <v>13.755635136041072</v>
      </c>
      <c r="J72" s="41">
        <f t="shared" si="61"/>
        <v>13.656624949191121</v>
      </c>
      <c r="K72" s="41">
        <f t="shared" si="61"/>
        <v>13.62676029511714</v>
      </c>
      <c r="L72" s="41">
        <f t="shared" si="61"/>
        <v>14.420786860573124</v>
      </c>
      <c r="M72" s="41">
        <f t="shared" si="61"/>
        <v>15.489703537213128</v>
      </c>
      <c r="N72" s="41">
        <f t="shared" si="61"/>
        <v>16.46182211590223</v>
      </c>
      <c r="O72" s="41">
        <f t="shared" si="61"/>
        <v>16.542043174769105</v>
      </c>
      <c r="P72" s="41">
        <f t="shared" si="61"/>
        <v>18.197753010022382</v>
      </c>
      <c r="Q72" s="41">
        <f t="shared" si="61"/>
        <v>18.175765763019093</v>
      </c>
      <c r="R72" s="41">
        <f t="shared" si="61"/>
        <v>20.573511943488921</v>
      </c>
      <c r="S72" s="41">
        <f t="shared" si="61"/>
        <v>19.128094078057721</v>
      </c>
      <c r="T72" s="41">
        <f t="shared" si="61"/>
        <v>19.011024442061291</v>
      </c>
      <c r="U72" s="41">
        <f t="shared" si="61"/>
        <v>19.492640855946778</v>
      </c>
      <c r="V72" s="41">
        <f t="shared" si="61"/>
        <v>17.519164414143237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53.838817889509443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49.898781913503363</v>
      </c>
      <c r="L73" s="40">
        <f t="shared" si="63"/>
        <v>52.530888086642605</v>
      </c>
      <c r="M73" s="40">
        <f t="shared" si="63"/>
        <v>55.065477606746086</v>
      </c>
      <c r="N73" s="40">
        <f t="shared" si="63"/>
        <v>58.746980790650369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72.876368431025909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1190.1601623354782</v>
      </c>
      <c r="C75" s="62">
        <f t="shared" si="65"/>
        <v>1181.8308939488336</v>
      </c>
      <c r="D75" s="62">
        <f t="shared" ref="D75:V75" si="66">IF(D13=0,0,D13*1000000/D23)</f>
        <v>1217.908268024451</v>
      </c>
      <c r="E75" s="62">
        <f t="shared" si="66"/>
        <v>1250.2659162601694</v>
      </c>
      <c r="F75" s="62">
        <f t="shared" si="66"/>
        <v>1227.9257700377393</v>
      </c>
      <c r="G75" s="62">
        <f t="shared" si="66"/>
        <v>1220.6906278075162</v>
      </c>
      <c r="H75" s="62">
        <f t="shared" si="66"/>
        <v>1238.2012261877198</v>
      </c>
      <c r="I75" s="62">
        <f t="shared" si="66"/>
        <v>1247.3279609004264</v>
      </c>
      <c r="J75" s="62">
        <f t="shared" si="66"/>
        <v>1264.083348186384</v>
      </c>
      <c r="K75" s="62">
        <f t="shared" si="66"/>
        <v>1178.2686549314458</v>
      </c>
      <c r="L75" s="62">
        <f t="shared" si="66"/>
        <v>1210.0498529342362</v>
      </c>
      <c r="M75" s="62">
        <f t="shared" si="66"/>
        <v>1250.637498394477</v>
      </c>
      <c r="N75" s="62">
        <f t="shared" si="66"/>
        <v>1222.1764730711948</v>
      </c>
      <c r="O75" s="62">
        <f t="shared" si="66"/>
        <v>1276.8668189058217</v>
      </c>
      <c r="P75" s="62">
        <f t="shared" si="66"/>
        <v>1312.7256222091301</v>
      </c>
      <c r="Q75" s="62">
        <f t="shared" si="66"/>
        <v>1280.9417219453742</v>
      </c>
      <c r="R75" s="62">
        <f t="shared" si="66"/>
        <v>1298.1447220854729</v>
      </c>
      <c r="S75" s="62">
        <f t="shared" si="66"/>
        <v>1338.7715148538171</v>
      </c>
      <c r="T75" s="62">
        <f t="shared" si="66"/>
        <v>1358.6050437894128</v>
      </c>
      <c r="U75" s="62">
        <f t="shared" si="66"/>
        <v>1364.5750544574562</v>
      </c>
      <c r="V75" s="62">
        <f t="shared" si="66"/>
        <v>1114.2407256358113</v>
      </c>
      <c r="W75" s="62">
        <f t="shared" ref="W75" si="67">IF(W13=0,0,W13*1000000/W23)</f>
        <v>1271.7010255004968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1194.5146402130404</v>
      </c>
      <c r="C76" s="14">
        <f t="shared" si="65"/>
        <v>1187.2729197777569</v>
      </c>
      <c r="D76" s="14">
        <f t="shared" ref="D76:V76" si="68">IF(D14=0,0,D14*1000000/D24)</f>
        <v>1224.2961136099323</v>
      </c>
      <c r="E76" s="14">
        <f t="shared" si="68"/>
        <v>1256.3464706251773</v>
      </c>
      <c r="F76" s="14">
        <f t="shared" si="68"/>
        <v>1229.655703224782</v>
      </c>
      <c r="G76" s="14">
        <f t="shared" si="68"/>
        <v>1222.2396972479062</v>
      </c>
      <c r="H76" s="14">
        <f t="shared" si="68"/>
        <v>1238.8300769246312</v>
      </c>
      <c r="I76" s="14">
        <f t="shared" si="68"/>
        <v>1247.719333570778</v>
      </c>
      <c r="J76" s="14">
        <f t="shared" si="68"/>
        <v>1265.2210173630401</v>
      </c>
      <c r="K76" s="14">
        <f t="shared" si="68"/>
        <v>1178.1373549480688</v>
      </c>
      <c r="L76" s="14">
        <f t="shared" si="68"/>
        <v>1210.150435155261</v>
      </c>
      <c r="M76" s="14">
        <f t="shared" si="68"/>
        <v>1250.1455856037335</v>
      </c>
      <c r="N76" s="14">
        <f t="shared" si="68"/>
        <v>1221.0186198791973</v>
      </c>
      <c r="O76" s="14">
        <f t="shared" si="68"/>
        <v>1276.2955842662</v>
      </c>
      <c r="P76" s="14">
        <f t="shared" si="68"/>
        <v>1311.8971311500159</v>
      </c>
      <c r="Q76" s="14">
        <f t="shared" si="68"/>
        <v>1280.3290322452006</v>
      </c>
      <c r="R76" s="14">
        <f t="shared" si="68"/>
        <v>1297.448627467777</v>
      </c>
      <c r="S76" s="14">
        <f t="shared" si="68"/>
        <v>1338.0254406468409</v>
      </c>
      <c r="T76" s="14">
        <f t="shared" si="68"/>
        <v>1358.4557850513593</v>
      </c>
      <c r="U76" s="14">
        <f t="shared" si="68"/>
        <v>1364.8152618154775</v>
      </c>
      <c r="V76" s="14">
        <f t="shared" si="68"/>
        <v>1111.1717971915546</v>
      </c>
      <c r="W76" s="14">
        <f t="shared" ref="W76" si="69">IF(W14=0,0,W14*1000000/W24)</f>
        <v>1270.3333210094115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397.74266853776828</v>
      </c>
      <c r="C77" s="39">
        <f t="shared" si="65"/>
        <v>397.74266853776828</v>
      </c>
      <c r="D77" s="39">
        <f t="shared" ref="D77:V77" si="70">IF(D15=0,0,D15*1000000/D25)</f>
        <v>397.74266853776828</v>
      </c>
      <c r="E77" s="39">
        <f t="shared" si="70"/>
        <v>397.74266853776828</v>
      </c>
      <c r="F77" s="39">
        <f t="shared" si="70"/>
        <v>397.74266853776828</v>
      </c>
      <c r="G77" s="39">
        <f t="shared" si="70"/>
        <v>393.90191425914639</v>
      </c>
      <c r="H77" s="39">
        <f t="shared" si="70"/>
        <v>389.99342328881187</v>
      </c>
      <c r="I77" s="39">
        <f t="shared" si="70"/>
        <v>384.83278987194888</v>
      </c>
      <c r="J77" s="39">
        <f t="shared" si="70"/>
        <v>386.82413514330648</v>
      </c>
      <c r="K77" s="39">
        <f t="shared" si="70"/>
        <v>378.15289502041378</v>
      </c>
      <c r="L77" s="39">
        <f t="shared" si="70"/>
        <v>370.88249787504168</v>
      </c>
      <c r="M77" s="39">
        <f t="shared" si="70"/>
        <v>341.87432300485801</v>
      </c>
      <c r="N77" s="39">
        <f t="shared" si="70"/>
        <v>332.24372520713791</v>
      </c>
      <c r="O77" s="39">
        <f t="shared" si="70"/>
        <v>323.94372126877585</v>
      </c>
      <c r="P77" s="39">
        <f t="shared" si="70"/>
        <v>325.80388255710551</v>
      </c>
      <c r="Q77" s="39">
        <f t="shared" si="70"/>
        <v>328.44482096947667</v>
      </c>
      <c r="R77" s="39">
        <f t="shared" si="70"/>
        <v>334.04461173679027</v>
      </c>
      <c r="S77" s="39">
        <f t="shared" si="70"/>
        <v>324.63270726800039</v>
      </c>
      <c r="T77" s="39">
        <f t="shared" si="70"/>
        <v>324.5407274539113</v>
      </c>
      <c r="U77" s="39">
        <f t="shared" si="70"/>
        <v>320.41039741755901</v>
      </c>
      <c r="V77" s="39">
        <f t="shared" si="70"/>
        <v>314.95522466541331</v>
      </c>
      <c r="W77" s="39">
        <f t="shared" ref="W77" si="71">IF(W15=0,0,W15*1000000/W25)</f>
        <v>315.18052837247689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2030.4403388114449</v>
      </c>
      <c r="C78" s="39">
        <f t="shared" si="65"/>
        <v>2030.4420009342314</v>
      </c>
      <c r="D78" s="39">
        <f t="shared" ref="D78:V78" si="72">IF(D16=0,0,D16*1000000/D26)</f>
        <v>2030.4403808323748</v>
      </c>
      <c r="E78" s="39">
        <f t="shared" si="72"/>
        <v>2030.4429008959214</v>
      </c>
      <c r="F78" s="39">
        <f t="shared" si="72"/>
        <v>2018.2433839786172</v>
      </c>
      <c r="G78" s="39">
        <f t="shared" si="72"/>
        <v>2000.0759044915567</v>
      </c>
      <c r="H78" s="39">
        <f t="shared" si="72"/>
        <v>2002.7743357815084</v>
      </c>
      <c r="I78" s="39">
        <f t="shared" si="72"/>
        <v>1978.0955004515765</v>
      </c>
      <c r="J78" s="39">
        <f t="shared" si="72"/>
        <v>1971.0520488239529</v>
      </c>
      <c r="K78" s="39">
        <f t="shared" si="72"/>
        <v>1972.3607761115627</v>
      </c>
      <c r="L78" s="39">
        <f t="shared" si="72"/>
        <v>1989.0041074522999</v>
      </c>
      <c r="M78" s="39">
        <f t="shared" si="72"/>
        <v>1987.3347681390403</v>
      </c>
      <c r="N78" s="39">
        <f t="shared" si="72"/>
        <v>1996.1819425831632</v>
      </c>
      <c r="O78" s="39">
        <f t="shared" si="72"/>
        <v>2021.1057803670933</v>
      </c>
      <c r="P78" s="39">
        <f t="shared" si="72"/>
        <v>2018.2701718559515</v>
      </c>
      <c r="Q78" s="39">
        <f t="shared" si="72"/>
        <v>2006.3346207817794</v>
      </c>
      <c r="R78" s="39">
        <f t="shared" si="72"/>
        <v>2005.3316819205268</v>
      </c>
      <c r="S78" s="39">
        <f t="shared" si="72"/>
        <v>2014.5591227228608</v>
      </c>
      <c r="T78" s="39">
        <f t="shared" si="72"/>
        <v>2009.4169058322345</v>
      </c>
      <c r="U78" s="39">
        <f t="shared" si="72"/>
        <v>2011.1969945781636</v>
      </c>
      <c r="V78" s="39">
        <f t="shared" si="72"/>
        <v>1929.0568969876526</v>
      </c>
      <c r="W78" s="39">
        <f t="shared" ref="W78" si="73">IF(W16=0,0,W16*1000000/W26)</f>
        <v>1949.13350299384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2306.7928936531853</v>
      </c>
      <c r="C79" s="39">
        <f t="shared" si="65"/>
        <v>2306.7928936531853</v>
      </c>
      <c r="D79" s="39">
        <f t="shared" ref="D79:V79" si="74">IF(D17=0,0,D17*1000000/D27)</f>
        <v>2306.7928936531853</v>
      </c>
      <c r="E79" s="39">
        <f t="shared" si="74"/>
        <v>2306.7928936531853</v>
      </c>
      <c r="F79" s="39">
        <f t="shared" si="74"/>
        <v>2306.7928936531853</v>
      </c>
      <c r="G79" s="39">
        <f t="shared" si="74"/>
        <v>2256.8059029126216</v>
      </c>
      <c r="H79" s="39">
        <f t="shared" si="74"/>
        <v>2381.7501552445751</v>
      </c>
      <c r="I79" s="39">
        <f t="shared" si="74"/>
        <v>2447.4343863636363</v>
      </c>
      <c r="J79" s="39">
        <f t="shared" si="74"/>
        <v>2469.4928487456623</v>
      </c>
      <c r="K79" s="39">
        <f t="shared" si="74"/>
        <v>2310.5943150856224</v>
      </c>
      <c r="L79" s="39">
        <f t="shared" si="74"/>
        <v>2222.5624185561637</v>
      </c>
      <c r="M79" s="39">
        <f t="shared" si="74"/>
        <v>2141.8373406763308</v>
      </c>
      <c r="N79" s="39">
        <f t="shared" si="74"/>
        <v>1951.7486097182971</v>
      </c>
      <c r="O79" s="39">
        <f t="shared" si="74"/>
        <v>1981.2933579711271</v>
      </c>
      <c r="P79" s="39">
        <f t="shared" si="74"/>
        <v>1978.5979316369944</v>
      </c>
      <c r="Q79" s="39">
        <f t="shared" si="74"/>
        <v>1896.0850071898083</v>
      </c>
      <c r="R79" s="39">
        <f t="shared" si="74"/>
        <v>1970.0296999166194</v>
      </c>
      <c r="S79" s="39">
        <f t="shared" si="74"/>
        <v>2077.5420240898452</v>
      </c>
      <c r="T79" s="39">
        <f t="shared" si="74"/>
        <v>2140.2060367454069</v>
      </c>
      <c r="U79" s="39">
        <f t="shared" si="74"/>
        <v>2183.8869924426799</v>
      </c>
      <c r="V79" s="39">
        <f t="shared" si="74"/>
        <v>1978.0143993825009</v>
      </c>
      <c r="W79" s="39">
        <f t="shared" ref="W79" si="75">IF(W17=0,0,W17*1000000/W27)</f>
        <v>2315.1525936347434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1033.6475246315381</v>
      </c>
      <c r="C80" s="15">
        <f t="shared" si="65"/>
        <v>1023.1897906817849</v>
      </c>
      <c r="D80" s="15">
        <f t="shared" ref="D80:V80" si="76">IF(D18=0,0,D18*1000000/D28)</f>
        <v>1033.325875333368</v>
      </c>
      <c r="E80" s="15">
        <f t="shared" si="76"/>
        <v>1042.268983000869</v>
      </c>
      <c r="F80" s="15">
        <f t="shared" si="76"/>
        <v>1131.1143959851468</v>
      </c>
      <c r="G80" s="15">
        <f t="shared" si="76"/>
        <v>1133.899270360369</v>
      </c>
      <c r="H80" s="15">
        <f t="shared" si="76"/>
        <v>1204.3416051629754</v>
      </c>
      <c r="I80" s="15">
        <f t="shared" si="76"/>
        <v>1222.9413220711456</v>
      </c>
      <c r="J80" s="15">
        <f t="shared" si="76"/>
        <v>1199.4585118236691</v>
      </c>
      <c r="K80" s="15">
        <f t="shared" si="76"/>
        <v>1187.1576840997288</v>
      </c>
      <c r="L80" s="15">
        <f t="shared" si="76"/>
        <v>1203.0378106777398</v>
      </c>
      <c r="M80" s="15">
        <f t="shared" si="76"/>
        <v>1288.5084644331087</v>
      </c>
      <c r="N80" s="15">
        <f t="shared" si="76"/>
        <v>1319.0944881784737</v>
      </c>
      <c r="O80" s="15">
        <f t="shared" si="76"/>
        <v>1326.7242779342441</v>
      </c>
      <c r="P80" s="15">
        <f t="shared" si="76"/>
        <v>1415.92714973886</v>
      </c>
      <c r="Q80" s="15">
        <f t="shared" si="76"/>
        <v>1362.3363323559633</v>
      </c>
      <c r="R80" s="15">
        <f t="shared" si="76"/>
        <v>1402.5800922216122</v>
      </c>
      <c r="S80" s="15">
        <f t="shared" si="76"/>
        <v>1461.7320928006338</v>
      </c>
      <c r="T80" s="15">
        <f t="shared" si="76"/>
        <v>1376.4267183706993</v>
      </c>
      <c r="U80" s="15">
        <f t="shared" si="76"/>
        <v>1335.7008016876621</v>
      </c>
      <c r="V80" s="15">
        <f t="shared" si="76"/>
        <v>1313.061294547223</v>
      </c>
      <c r="W80" s="15">
        <f t="shared" ref="W80" si="77">IF(W18=0,0,W18*1000000/W28)</f>
        <v>1382.265923649999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398.00755655689676</v>
      </c>
      <c r="C81" s="41">
        <f t="shared" si="65"/>
        <v>398.00755655689682</v>
      </c>
      <c r="D81" s="41">
        <f t="shared" ref="D81:V81" si="78">IF(D19=0,0,D19*1000000/D29)</f>
        <v>398.00755655689682</v>
      </c>
      <c r="E81" s="41">
        <f t="shared" si="78"/>
        <v>398.00755655689682</v>
      </c>
      <c r="F81" s="41">
        <f t="shared" si="78"/>
        <v>398.00755655689682</v>
      </c>
      <c r="G81" s="41">
        <f t="shared" si="78"/>
        <v>394.16680227827499</v>
      </c>
      <c r="H81" s="41">
        <f t="shared" si="78"/>
        <v>391.22718803857146</v>
      </c>
      <c r="I81" s="41">
        <f t="shared" si="78"/>
        <v>387.03543135233934</v>
      </c>
      <c r="J81" s="41">
        <f t="shared" si="78"/>
        <v>389.99565335432806</v>
      </c>
      <c r="K81" s="41">
        <f t="shared" si="78"/>
        <v>382.29328996206613</v>
      </c>
      <c r="L81" s="41">
        <f t="shared" si="78"/>
        <v>375.99176954732513</v>
      </c>
      <c r="M81" s="41">
        <f t="shared" si="78"/>
        <v>359.97885073614543</v>
      </c>
      <c r="N81" s="41">
        <f t="shared" si="78"/>
        <v>363.34350899742935</v>
      </c>
      <c r="O81" s="41">
        <f t="shared" si="78"/>
        <v>355.79866755400911</v>
      </c>
      <c r="P81" s="41">
        <f t="shared" si="78"/>
        <v>358.41399133728049</v>
      </c>
      <c r="Q81" s="41">
        <f t="shared" si="78"/>
        <v>361.81009224459348</v>
      </c>
      <c r="R81" s="41">
        <f t="shared" si="78"/>
        <v>368.16504550684886</v>
      </c>
      <c r="S81" s="41">
        <f t="shared" si="78"/>
        <v>359.50830353300063</v>
      </c>
      <c r="T81" s="41">
        <f t="shared" si="78"/>
        <v>360.17148621385343</v>
      </c>
      <c r="U81" s="41">
        <f t="shared" si="78"/>
        <v>370.86696428571435</v>
      </c>
      <c r="V81" s="41">
        <f t="shared" si="78"/>
        <v>365.41179153356853</v>
      </c>
      <c r="W81" s="41">
        <f t="shared" ref="W81" si="79">IF(W19=0,0,W19*1000000/W29)</f>
        <v>365.63709524063216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1996.2815321024157</v>
      </c>
      <c r="C82" s="41">
        <f t="shared" si="65"/>
        <v>1995.909754645681</v>
      </c>
      <c r="D82" s="41">
        <f t="shared" ref="D82:V82" si="80">IF(D20=0,0,D20*1000000/D30)</f>
        <v>1996.1384915505223</v>
      </c>
      <c r="E82" s="41">
        <f t="shared" si="80"/>
        <v>1995.9460305501432</v>
      </c>
      <c r="F82" s="41">
        <f t="shared" si="80"/>
        <v>1964.9324217552273</v>
      </c>
      <c r="G82" s="41">
        <f t="shared" si="80"/>
        <v>1946.3152640917947</v>
      </c>
      <c r="H82" s="41">
        <f t="shared" si="80"/>
        <v>2001.3662911027209</v>
      </c>
      <c r="I82" s="41">
        <f t="shared" si="80"/>
        <v>1924.3046937802956</v>
      </c>
      <c r="J82" s="41">
        <f t="shared" si="80"/>
        <v>1913.7417840200608</v>
      </c>
      <c r="K82" s="41">
        <f t="shared" si="80"/>
        <v>1887.48990794464</v>
      </c>
      <c r="L82" s="41">
        <f t="shared" si="80"/>
        <v>1888.246018728436</v>
      </c>
      <c r="M82" s="41">
        <f t="shared" si="80"/>
        <v>1922.4294223507025</v>
      </c>
      <c r="N82" s="41">
        <f t="shared" si="80"/>
        <v>1942.4350472725957</v>
      </c>
      <c r="O82" s="41">
        <f t="shared" si="80"/>
        <v>1943.1203975702472</v>
      </c>
      <c r="P82" s="41">
        <f t="shared" si="80"/>
        <v>1941.6308214502178</v>
      </c>
      <c r="Q82" s="41">
        <f t="shared" si="80"/>
        <v>1880.4748173888752</v>
      </c>
      <c r="R82" s="41">
        <f t="shared" si="80"/>
        <v>1873.7293742820314</v>
      </c>
      <c r="S82" s="41">
        <f t="shared" si="80"/>
        <v>1843.5818541986268</v>
      </c>
      <c r="T82" s="41">
        <f t="shared" si="80"/>
        <v>1823.3058768139138</v>
      </c>
      <c r="U82" s="41">
        <f t="shared" si="80"/>
        <v>1645.1188990335063</v>
      </c>
      <c r="V82" s="41">
        <f t="shared" si="80"/>
        <v>1542.1363873186131</v>
      </c>
      <c r="W82" s="41">
        <f t="shared" ref="W82" si="81">IF(W20=0,0,W20*1000000/W30)</f>
        <v>1585.2074267799242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1421.5965586417988</v>
      </c>
      <c r="C83" s="40">
        <f t="shared" si="65"/>
        <v>1421.5965586417988</v>
      </c>
      <c r="D83" s="40">
        <f t="shared" ref="D83:V83" si="82">IF(D21=0,0,D21*1000000/D31)</f>
        <v>1421.5965586417988</v>
      </c>
      <c r="E83" s="40">
        <f t="shared" si="82"/>
        <v>1421.5965586417988</v>
      </c>
      <c r="F83" s="40">
        <f t="shared" si="82"/>
        <v>1421.5965586417988</v>
      </c>
      <c r="G83" s="40">
        <f t="shared" si="82"/>
        <v>1371.6095679012344</v>
      </c>
      <c r="H83" s="40">
        <f t="shared" si="82"/>
        <v>1428.1198287058317</v>
      </c>
      <c r="I83" s="40">
        <f t="shared" si="82"/>
        <v>1425.3700682975355</v>
      </c>
      <c r="J83" s="40">
        <f t="shared" si="82"/>
        <v>1378.9945391522037</v>
      </c>
      <c r="K83" s="40">
        <f t="shared" si="82"/>
        <v>1151.6620139648069</v>
      </c>
      <c r="L83" s="40">
        <f t="shared" si="82"/>
        <v>995.19612590799022</v>
      </c>
      <c r="M83" s="40">
        <f t="shared" si="82"/>
        <v>1043.6427833087309</v>
      </c>
      <c r="N83" s="40">
        <f t="shared" si="82"/>
        <v>982.72578763127183</v>
      </c>
      <c r="O83" s="40">
        <f t="shared" si="82"/>
        <v>993.58547041546376</v>
      </c>
      <c r="P83" s="40">
        <f t="shared" si="82"/>
        <v>972.20497861269359</v>
      </c>
      <c r="Q83" s="40">
        <f t="shared" si="82"/>
        <v>871.00698869686937</v>
      </c>
      <c r="R83" s="40">
        <f t="shared" si="82"/>
        <v>926.26661595504254</v>
      </c>
      <c r="S83" s="40">
        <f t="shared" si="82"/>
        <v>1015.0938746596304</v>
      </c>
      <c r="T83" s="40">
        <f t="shared" si="82"/>
        <v>1059.072821846554</v>
      </c>
      <c r="U83" s="40">
        <f t="shared" si="82"/>
        <v>1224.9177489177489</v>
      </c>
      <c r="V83" s="40">
        <f t="shared" si="82"/>
        <v>1019.04515585757</v>
      </c>
      <c r="W83" s="40">
        <f t="shared" ref="W83" si="83">IF(W21=0,0,W21*1000000/W31)</f>
        <v>1356.1833501098126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163262.05024416716</v>
      </c>
      <c r="C86" s="11">
        <f t="shared" si="84"/>
        <v>162225.96474841636</v>
      </c>
      <c r="D86" s="11">
        <f t="shared" ref="D86:V86" si="85">IF(D4=0,0,D4*1000000/D24)</f>
        <v>167568.62389426955</v>
      </c>
      <c r="E86" s="11">
        <f t="shared" si="85"/>
        <v>170809.15071380191</v>
      </c>
      <c r="F86" s="11">
        <f t="shared" si="85"/>
        <v>164947.25731521327</v>
      </c>
      <c r="G86" s="11">
        <f t="shared" si="85"/>
        <v>173812.35687295251</v>
      </c>
      <c r="H86" s="11">
        <f t="shared" si="85"/>
        <v>171955.79976458682</v>
      </c>
      <c r="I86" s="11">
        <f t="shared" si="85"/>
        <v>166853.30608175724</v>
      </c>
      <c r="J86" s="11">
        <f t="shared" si="85"/>
        <v>167838.74944192503</v>
      </c>
      <c r="K86" s="11">
        <f t="shared" si="85"/>
        <v>149782.13169308644</v>
      </c>
      <c r="L86" s="11">
        <f t="shared" si="85"/>
        <v>158491.59256457954</v>
      </c>
      <c r="M86" s="11">
        <f t="shared" si="85"/>
        <v>170681.66958726657</v>
      </c>
      <c r="N86" s="11">
        <f t="shared" si="85"/>
        <v>169968.90276723707</v>
      </c>
      <c r="O86" s="11">
        <f t="shared" si="85"/>
        <v>185418.73064686739</v>
      </c>
      <c r="P86" s="11">
        <f t="shared" si="85"/>
        <v>187131.63685958422</v>
      </c>
      <c r="Q86" s="11">
        <f t="shared" si="85"/>
        <v>180539.11052393497</v>
      </c>
      <c r="R86" s="11">
        <f t="shared" si="85"/>
        <v>185512.34705608676</v>
      </c>
      <c r="S86" s="11">
        <f t="shared" si="85"/>
        <v>198316.02656702159</v>
      </c>
      <c r="T86" s="11">
        <f t="shared" si="85"/>
        <v>202011.49105495357</v>
      </c>
      <c r="U86" s="11">
        <f t="shared" si="85"/>
        <v>206069.94325859362</v>
      </c>
      <c r="V86" s="11">
        <f t="shared" si="85"/>
        <v>127560.32645190325</v>
      </c>
      <c r="W86" s="11">
        <f t="shared" ref="W86" si="86">IF(W4=0,0,W4*1000000/W24)</f>
        <v>152592.78266996384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23223.579482370005</v>
      </c>
      <c r="C87" s="36">
        <f t="shared" si="84"/>
        <v>23380.55118035815</v>
      </c>
      <c r="D87" s="36">
        <f t="shared" ref="D87:V87" si="87">IF(D5=0,0,D5*1000000/D25)</f>
        <v>23534.305881613014</v>
      </c>
      <c r="E87" s="36">
        <f t="shared" si="87"/>
        <v>23656.861898874282</v>
      </c>
      <c r="F87" s="36">
        <f t="shared" si="87"/>
        <v>24184.543279168371</v>
      </c>
      <c r="G87" s="36">
        <f t="shared" si="87"/>
        <v>25533.596233291319</v>
      </c>
      <c r="H87" s="36">
        <f t="shared" si="87"/>
        <v>25653.473360260385</v>
      </c>
      <c r="I87" s="36">
        <f t="shared" si="87"/>
        <v>26625.788160886477</v>
      </c>
      <c r="J87" s="36">
        <f t="shared" si="87"/>
        <v>27893.746878350037</v>
      </c>
      <c r="K87" s="36">
        <f t="shared" si="87"/>
        <v>24984.130279429955</v>
      </c>
      <c r="L87" s="36">
        <f t="shared" si="87"/>
        <v>24945.981584300429</v>
      </c>
      <c r="M87" s="36">
        <f t="shared" si="87"/>
        <v>23316.482171193726</v>
      </c>
      <c r="N87" s="36">
        <f t="shared" si="87"/>
        <v>22493.222643250938</v>
      </c>
      <c r="O87" s="36">
        <f t="shared" si="87"/>
        <v>23753.720184900394</v>
      </c>
      <c r="P87" s="36">
        <f t="shared" si="87"/>
        <v>27290.00465468756</v>
      </c>
      <c r="Q87" s="36">
        <f t="shared" si="87"/>
        <v>29782.740875455172</v>
      </c>
      <c r="R87" s="36">
        <f t="shared" si="87"/>
        <v>30466.019838492539</v>
      </c>
      <c r="S87" s="36">
        <f t="shared" si="87"/>
        <v>30088.274482007924</v>
      </c>
      <c r="T87" s="36">
        <f t="shared" si="87"/>
        <v>28738.914557642536</v>
      </c>
      <c r="U87" s="36">
        <f t="shared" si="87"/>
        <v>27900.749661630511</v>
      </c>
      <c r="V87" s="36">
        <f t="shared" si="87"/>
        <v>20078.237368227437</v>
      </c>
      <c r="W87" s="36">
        <f t="shared" ref="W87" si="88">IF(W5=0,0,W5*1000000/W25)</f>
        <v>22948.706831051619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320693.88991058973</v>
      </c>
      <c r="C88" s="36">
        <f t="shared" si="84"/>
        <v>320767.61549765931</v>
      </c>
      <c r="D88" s="36">
        <f t="shared" ref="D88:V88" si="89">IF(D6=0,0,D6*1000000/D26)</f>
        <v>317529.60747018247</v>
      </c>
      <c r="E88" s="36">
        <f t="shared" si="89"/>
        <v>311808.66575103189</v>
      </c>
      <c r="F88" s="36">
        <f t="shared" si="89"/>
        <v>308191.80715482577</v>
      </c>
      <c r="G88" s="36">
        <f t="shared" si="89"/>
        <v>320856.70085633098</v>
      </c>
      <c r="H88" s="36">
        <f t="shared" si="89"/>
        <v>308703.25397626625</v>
      </c>
      <c r="I88" s="36">
        <f t="shared" si="89"/>
        <v>287789.618789425</v>
      </c>
      <c r="J88" s="36">
        <f t="shared" si="89"/>
        <v>281414.98928370356</v>
      </c>
      <c r="K88" s="36">
        <f t="shared" si="89"/>
        <v>276474.52842265501</v>
      </c>
      <c r="L88" s="36">
        <f t="shared" si="89"/>
        <v>282331.65753753512</v>
      </c>
      <c r="M88" s="36">
        <f t="shared" si="89"/>
        <v>288835.20272305846</v>
      </c>
      <c r="N88" s="36">
        <f t="shared" si="89"/>
        <v>297676.5380311312</v>
      </c>
      <c r="O88" s="36">
        <f t="shared" si="89"/>
        <v>309695.59065985371</v>
      </c>
      <c r="P88" s="36">
        <f t="shared" si="89"/>
        <v>299621.62637069699</v>
      </c>
      <c r="Q88" s="36">
        <f t="shared" si="89"/>
        <v>294904.56910627545</v>
      </c>
      <c r="R88" s="36">
        <f t="shared" si="89"/>
        <v>299193.41478566558</v>
      </c>
      <c r="S88" s="36">
        <f t="shared" si="89"/>
        <v>308838.18044443819</v>
      </c>
      <c r="T88" s="36">
        <f t="shared" si="89"/>
        <v>304176.90607674199</v>
      </c>
      <c r="U88" s="36">
        <f t="shared" si="89"/>
        <v>311253.67472351127</v>
      </c>
      <c r="V88" s="36">
        <f t="shared" si="89"/>
        <v>244852.20010786678</v>
      </c>
      <c r="W88" s="36">
        <f t="shared" ref="W88" si="90">IF(W6=0,0,W6*1000000/W26)</f>
        <v>245593.10293526607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284426.71176621987</v>
      </c>
      <c r="C89" s="36">
        <f t="shared" si="84"/>
        <v>286533.89031552913</v>
      </c>
      <c r="D89" s="36">
        <f t="shared" ref="D89:V89" si="91">IF(D7=0,0,D7*1000000/D27)</f>
        <v>289149.52088124282</v>
      </c>
      <c r="E89" s="36">
        <f t="shared" si="91"/>
        <v>291934.87700940733</v>
      </c>
      <c r="F89" s="36">
        <f t="shared" si="91"/>
        <v>284306.52728384867</v>
      </c>
      <c r="G89" s="36">
        <f t="shared" si="91"/>
        <v>310038.07874143607</v>
      </c>
      <c r="H89" s="36">
        <f t="shared" si="91"/>
        <v>338781.58759592986</v>
      </c>
      <c r="I89" s="36">
        <f t="shared" si="91"/>
        <v>349297.33881397307</v>
      </c>
      <c r="J89" s="36">
        <f t="shared" si="91"/>
        <v>354072.3160783255</v>
      </c>
      <c r="K89" s="36">
        <f t="shared" si="91"/>
        <v>313036.53571410099</v>
      </c>
      <c r="L89" s="36">
        <f t="shared" si="91"/>
        <v>319985.6952492221</v>
      </c>
      <c r="M89" s="36">
        <f t="shared" si="91"/>
        <v>321207.96429493325</v>
      </c>
      <c r="N89" s="36">
        <f t="shared" si="91"/>
        <v>294462.71612519957</v>
      </c>
      <c r="O89" s="36">
        <f t="shared" si="91"/>
        <v>311818.47381212487</v>
      </c>
      <c r="P89" s="36">
        <f t="shared" si="91"/>
        <v>302123.25963451917</v>
      </c>
      <c r="Q89" s="36">
        <f t="shared" si="91"/>
        <v>280398.58190300758</v>
      </c>
      <c r="R89" s="36">
        <f t="shared" si="91"/>
        <v>294679.44159606838</v>
      </c>
      <c r="S89" s="36">
        <f t="shared" si="91"/>
        <v>327938.7496456785</v>
      </c>
      <c r="T89" s="36">
        <f t="shared" si="91"/>
        <v>361614.67415495717</v>
      </c>
      <c r="U89" s="36">
        <f t="shared" si="91"/>
        <v>365411.63932149915</v>
      </c>
      <c r="V89" s="36">
        <f t="shared" si="91"/>
        <v>207455.67862761681</v>
      </c>
      <c r="W89" s="36">
        <f t="shared" ref="W89" si="92">IF(W7=0,0,W7*1000000/W27)</f>
        <v>290409.44878203131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25904.355807131898</v>
      </c>
      <c r="C90" s="13">
        <f t="shared" si="84"/>
        <v>26070.623559283315</v>
      </c>
      <c r="D90" s="13">
        <f t="shared" ref="D90:V90" si="93">IF(D8=0,0,D8*1000000/D28)</f>
        <v>25224.250173674187</v>
      </c>
      <c r="E90" s="13">
        <f t="shared" si="93"/>
        <v>26531.145827258661</v>
      </c>
      <c r="F90" s="13">
        <f t="shared" si="93"/>
        <v>27509.9314094933</v>
      </c>
      <c r="G90" s="13">
        <f t="shared" si="93"/>
        <v>26887.951580175442</v>
      </c>
      <c r="H90" s="13">
        <f t="shared" si="93"/>
        <v>25029.943741923667</v>
      </c>
      <c r="I90" s="13">
        <f t="shared" si="93"/>
        <v>25721.624136205399</v>
      </c>
      <c r="J90" s="13">
        <f t="shared" si="93"/>
        <v>24892.679904382607</v>
      </c>
      <c r="K90" s="13">
        <f t="shared" si="93"/>
        <v>25652.15390958382</v>
      </c>
      <c r="L90" s="13">
        <f t="shared" si="93"/>
        <v>24763.159558415733</v>
      </c>
      <c r="M90" s="13">
        <f t="shared" si="93"/>
        <v>28145.979844224927</v>
      </c>
      <c r="N90" s="13">
        <f t="shared" si="93"/>
        <v>30690.557061244319</v>
      </c>
      <c r="O90" s="13">
        <f t="shared" si="93"/>
        <v>30254.622486552347</v>
      </c>
      <c r="P90" s="13">
        <f t="shared" si="93"/>
        <v>36659.393322948672</v>
      </c>
      <c r="Q90" s="13">
        <f t="shared" si="93"/>
        <v>36590.184918694162</v>
      </c>
      <c r="R90" s="13">
        <f t="shared" si="93"/>
        <v>42347.821034507557</v>
      </c>
      <c r="S90" s="13">
        <f t="shared" si="93"/>
        <v>44903.147753923404</v>
      </c>
      <c r="T90" s="13">
        <f t="shared" si="93"/>
        <v>46034.243920827357</v>
      </c>
      <c r="U90" s="13">
        <f t="shared" si="93"/>
        <v>50129.994267821923</v>
      </c>
      <c r="V90" s="13">
        <f t="shared" si="93"/>
        <v>33567.536107197091</v>
      </c>
      <c r="W90" s="13">
        <f t="shared" ref="W90" si="94">IF(W8=0,0,W8*1000000/W28)</f>
        <v>42603.574299565757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4257.8708777527982</v>
      </c>
      <c r="C91" s="34">
        <f t="shared" si="84"/>
        <v>4225.406098312289</v>
      </c>
      <c r="D91" s="34">
        <f t="shared" ref="D91:V91" si="95">IF(D9=0,0,D9*1000000/D29)</f>
        <v>4345.1078237450702</v>
      </c>
      <c r="E91" s="34">
        <f t="shared" si="95"/>
        <v>4621.8366058258434</v>
      </c>
      <c r="F91" s="34">
        <f t="shared" si="95"/>
        <v>4352.190078544646</v>
      </c>
      <c r="G91" s="34">
        <f t="shared" si="95"/>
        <v>4218.0891202809371</v>
      </c>
      <c r="H91" s="34">
        <f t="shared" si="95"/>
        <v>4027.0941946637427</v>
      </c>
      <c r="I91" s="34">
        <f t="shared" si="95"/>
        <v>3969.1543003126267</v>
      </c>
      <c r="J91" s="34">
        <f t="shared" si="95"/>
        <v>3847.8996674304453</v>
      </c>
      <c r="K91" s="34">
        <f t="shared" si="95"/>
        <v>3804.4886674217646</v>
      </c>
      <c r="L91" s="34">
        <f t="shared" si="95"/>
        <v>4002.0523314069565</v>
      </c>
      <c r="M91" s="34">
        <f t="shared" si="95"/>
        <v>4232.3111440866505</v>
      </c>
      <c r="N91" s="34">
        <f t="shared" si="95"/>
        <v>4452.6173037003518</v>
      </c>
      <c r="O91" s="34">
        <f t="shared" si="95"/>
        <v>4552.2938546902342</v>
      </c>
      <c r="P91" s="34">
        <f t="shared" si="95"/>
        <v>5139.702674481593</v>
      </c>
      <c r="Q91" s="34">
        <f t="shared" si="95"/>
        <v>5308.0497839547379</v>
      </c>
      <c r="R91" s="34">
        <f t="shared" si="95"/>
        <v>6008.9406866088693</v>
      </c>
      <c r="S91" s="34">
        <f t="shared" si="95"/>
        <v>5421.8430306472737</v>
      </c>
      <c r="T91" s="34">
        <f t="shared" si="95"/>
        <v>5408.2085732419728</v>
      </c>
      <c r="U91" s="34">
        <f t="shared" si="95"/>
        <v>6155.6403760025978</v>
      </c>
      <c r="V91" s="34">
        <f t="shared" si="95"/>
        <v>5709.0660862520717</v>
      </c>
      <c r="W91" s="34">
        <f t="shared" ref="W91" si="96">IF(W9=0,0,W9*1000000/W29)</f>
        <v>5948.5481148373965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47513.820505816446</v>
      </c>
      <c r="C92" s="34">
        <f t="shared" si="84"/>
        <v>50111.943462573174</v>
      </c>
      <c r="D92" s="34">
        <f t="shared" ref="D92:V92" si="97">IF(D10=0,0,D10*1000000/D30)</f>
        <v>47147.146453509777</v>
      </c>
      <c r="E92" s="34">
        <f t="shared" si="97"/>
        <v>48130.156115729289</v>
      </c>
      <c r="F92" s="34">
        <f t="shared" si="97"/>
        <v>43572.784704470825</v>
      </c>
      <c r="G92" s="34">
        <f t="shared" si="97"/>
        <v>42369.871687740844</v>
      </c>
      <c r="H92" s="34">
        <f t="shared" si="97"/>
        <v>36282.59983981125</v>
      </c>
      <c r="I92" s="34">
        <f t="shared" si="97"/>
        <v>34544.476725444874</v>
      </c>
      <c r="J92" s="34">
        <f t="shared" si="97"/>
        <v>33283.266188413822</v>
      </c>
      <c r="K92" s="34">
        <f t="shared" si="97"/>
        <v>33681.059542508985</v>
      </c>
      <c r="L92" s="34">
        <f t="shared" si="97"/>
        <v>34273.128303905782</v>
      </c>
      <c r="M92" s="34">
        <f t="shared" si="97"/>
        <v>36293.720379699749</v>
      </c>
      <c r="N92" s="34">
        <f t="shared" si="97"/>
        <v>39680.718938405698</v>
      </c>
      <c r="O92" s="34">
        <f t="shared" si="97"/>
        <v>39182.372377100808</v>
      </c>
      <c r="P92" s="34">
        <f t="shared" si="97"/>
        <v>44386.335848071627</v>
      </c>
      <c r="Q92" s="34">
        <f t="shared" si="97"/>
        <v>42594.978102758898</v>
      </c>
      <c r="R92" s="34">
        <f t="shared" si="97"/>
        <v>46795.259336337149</v>
      </c>
      <c r="S92" s="34">
        <f t="shared" si="97"/>
        <v>42531.928427522151</v>
      </c>
      <c r="T92" s="34">
        <f t="shared" si="97"/>
        <v>42588.522899577678</v>
      </c>
      <c r="U92" s="34">
        <f t="shared" si="97"/>
        <v>41028.14905519929</v>
      </c>
      <c r="V92" s="34">
        <f t="shared" si="97"/>
        <v>32554.896996204625</v>
      </c>
      <c r="W92" s="34">
        <f t="shared" ref="W92" si="98">IF(W10=0,0,W10*1000000/W30)</f>
        <v>30405.044662842723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118274.64760029527</v>
      </c>
      <c r="C93" s="35">
        <f t="shared" si="84"/>
        <v>123900.83350461505</v>
      </c>
      <c r="D93" s="35">
        <f t="shared" ref="D93:V93" si="99">IF(D11=0,0,D11*1000000/D31)</f>
        <v>117014.65794675864</v>
      </c>
      <c r="E93" s="35">
        <f t="shared" si="99"/>
        <v>106339.84236762059</v>
      </c>
      <c r="F93" s="35">
        <f t="shared" si="99"/>
        <v>103222.07977378659</v>
      </c>
      <c r="G93" s="35">
        <f t="shared" si="99"/>
        <v>93661.06107425451</v>
      </c>
      <c r="H93" s="35">
        <f t="shared" si="99"/>
        <v>94271.203516548616</v>
      </c>
      <c r="I93" s="35">
        <f t="shared" si="99"/>
        <v>92522.505810916555</v>
      </c>
      <c r="J93" s="35">
        <f t="shared" si="99"/>
        <v>87706.362344412133</v>
      </c>
      <c r="K93" s="35">
        <f t="shared" si="99"/>
        <v>82606.645150303695</v>
      </c>
      <c r="L93" s="35">
        <f t="shared" si="99"/>
        <v>72572.435530162416</v>
      </c>
      <c r="M93" s="35">
        <f t="shared" si="99"/>
        <v>79168.749285936487</v>
      </c>
      <c r="N93" s="35">
        <f t="shared" si="99"/>
        <v>79734.377797310532</v>
      </c>
      <c r="O93" s="35">
        <f t="shared" si="99"/>
        <v>77112.481890436597</v>
      </c>
      <c r="P93" s="35">
        <f t="shared" si="99"/>
        <v>85930.757562973813</v>
      </c>
      <c r="Q93" s="35">
        <f t="shared" si="99"/>
        <v>78298.550687631738</v>
      </c>
      <c r="R93" s="35">
        <f t="shared" si="99"/>
        <v>89838.840561672623</v>
      </c>
      <c r="S93" s="35">
        <f t="shared" si="99"/>
        <v>97253.552659252382</v>
      </c>
      <c r="T93" s="35">
        <f t="shared" si="99"/>
        <v>107226.96415589329</v>
      </c>
      <c r="U93" s="35">
        <f t="shared" si="99"/>
        <v>126295.63650959573</v>
      </c>
      <c r="V93" s="35">
        <f t="shared" si="99"/>
        <v>65834.601320317655</v>
      </c>
      <c r="W93" s="35">
        <f t="shared" ref="W93" si="100">IF(W11=0,0,W11*1000000/W31)</f>
        <v>88470.293965098695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1318.291857624793</v>
      </c>
      <c r="C95" s="62">
        <f t="shared" si="101"/>
        <v>1321.1939402694222</v>
      </c>
      <c r="D95" s="62">
        <f t="shared" ref="D95:V95" si="102">IF(D23=0,0,D23/D43)</f>
        <v>1296.9101227059796</v>
      </c>
      <c r="E95" s="62">
        <f t="shared" si="102"/>
        <v>1274.0408531759811</v>
      </c>
      <c r="F95" s="62">
        <f t="shared" si="102"/>
        <v>1281.6821390673554</v>
      </c>
      <c r="G95" s="62">
        <f t="shared" si="102"/>
        <v>1288.1812465703185</v>
      </c>
      <c r="H95" s="62">
        <f t="shared" si="102"/>
        <v>1278.5807101596592</v>
      </c>
      <c r="I95" s="62">
        <f t="shared" si="102"/>
        <v>1268.6599730527487</v>
      </c>
      <c r="J95" s="62">
        <f t="shared" si="102"/>
        <v>1255.2581747253271</v>
      </c>
      <c r="K95" s="62">
        <f t="shared" si="102"/>
        <v>1311.8503142701095</v>
      </c>
      <c r="L95" s="62">
        <f t="shared" si="102"/>
        <v>1282.0560593503692</v>
      </c>
      <c r="M95" s="62">
        <f t="shared" si="102"/>
        <v>1247.9804657292407</v>
      </c>
      <c r="N95" s="62">
        <f t="shared" si="102"/>
        <v>1253.8422642361218</v>
      </c>
      <c r="O95" s="62">
        <f t="shared" si="102"/>
        <v>1233.1288598862363</v>
      </c>
      <c r="P95" s="62">
        <f t="shared" si="102"/>
        <v>1217.4719114577624</v>
      </c>
      <c r="Q95" s="62">
        <f t="shared" si="102"/>
        <v>1240.2261834147298</v>
      </c>
      <c r="R95" s="62">
        <f t="shared" si="102"/>
        <v>1231.7632953373516</v>
      </c>
      <c r="S95" s="62">
        <f t="shared" si="102"/>
        <v>1205.8368972184405</v>
      </c>
      <c r="T95" s="62">
        <f t="shared" si="102"/>
        <v>1197.2202978943767</v>
      </c>
      <c r="U95" s="62">
        <f t="shared" si="102"/>
        <v>1189.4949761305497</v>
      </c>
      <c r="V95" s="62">
        <f t="shared" si="102"/>
        <v>604.18686277428924</v>
      </c>
      <c r="W95" s="62">
        <f t="shared" ref="W95" si="103">IF(W23=0,0,W23/W43)</f>
        <v>1004.2617934540714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1327.9006357017047</v>
      </c>
      <c r="C96" s="11">
        <f t="shared" si="104"/>
        <v>1332.9093192587347</v>
      </c>
      <c r="D96" s="11">
        <f t="shared" ref="D96:V96" si="105">IF(D24=0,0,D24/D44)</f>
        <v>1307.6912765425641</v>
      </c>
      <c r="E96" s="11">
        <f t="shared" si="105"/>
        <v>1286.6189167404225</v>
      </c>
      <c r="F96" s="11">
        <f t="shared" si="105"/>
        <v>1300.077688960085</v>
      </c>
      <c r="G96" s="11">
        <f t="shared" si="105"/>
        <v>1303.3716818014254</v>
      </c>
      <c r="H96" s="11">
        <f t="shared" si="105"/>
        <v>1289.1855233882729</v>
      </c>
      <c r="I96" s="11">
        <f t="shared" si="105"/>
        <v>1278.7717974127538</v>
      </c>
      <c r="J96" s="11">
        <f t="shared" si="105"/>
        <v>1262.4237640849326</v>
      </c>
      <c r="K96" s="11">
        <f t="shared" si="105"/>
        <v>1319.2299037636637</v>
      </c>
      <c r="L96" s="11">
        <f t="shared" si="105"/>
        <v>1288.672964711845</v>
      </c>
      <c r="M96" s="11">
        <f t="shared" si="105"/>
        <v>1253.3698740267403</v>
      </c>
      <c r="N96" s="11">
        <f t="shared" si="105"/>
        <v>1259.2341723311768</v>
      </c>
      <c r="O96" s="11">
        <f t="shared" si="105"/>
        <v>1237.727962112549</v>
      </c>
      <c r="P96" s="11">
        <f t="shared" si="105"/>
        <v>1220.8880782567201</v>
      </c>
      <c r="Q96" s="11">
        <f t="shared" si="105"/>
        <v>1243.3654532795558</v>
      </c>
      <c r="R96" s="11">
        <f t="shared" si="105"/>
        <v>1234.603648789544</v>
      </c>
      <c r="S96" s="11">
        <f t="shared" si="105"/>
        <v>1208.3902151546908</v>
      </c>
      <c r="T96" s="11">
        <f t="shared" si="105"/>
        <v>1200.2968404725025</v>
      </c>
      <c r="U96" s="11">
        <f t="shared" si="105"/>
        <v>1192.4536632119862</v>
      </c>
      <c r="V96" s="11">
        <f t="shared" si="105"/>
        <v>601.41009934463477</v>
      </c>
      <c r="W96" s="11">
        <f t="shared" ref="W96" si="106">IF(W24=0,0,W24/W44)</f>
        <v>1005.721798565454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2264</v>
      </c>
      <c r="C97" s="36">
        <f t="shared" si="104"/>
        <v>2264</v>
      </c>
      <c r="D97" s="36">
        <f t="shared" ref="D97:V97" si="107">IF(D25=0,0,D25/D45)</f>
        <v>2264</v>
      </c>
      <c r="E97" s="36">
        <f t="shared" si="107"/>
        <v>2264</v>
      </c>
      <c r="F97" s="36">
        <f t="shared" si="107"/>
        <v>2264</v>
      </c>
      <c r="G97" s="36">
        <f t="shared" si="107"/>
        <v>2270</v>
      </c>
      <c r="H97" s="36">
        <f t="shared" si="107"/>
        <v>2277</v>
      </c>
      <c r="I97" s="36">
        <f t="shared" si="107"/>
        <v>2286</v>
      </c>
      <c r="J97" s="36">
        <f t="shared" si="107"/>
        <v>2283</v>
      </c>
      <c r="K97" s="36">
        <f t="shared" si="107"/>
        <v>2298</v>
      </c>
      <c r="L97" s="36">
        <f t="shared" si="107"/>
        <v>2271.9239233596331</v>
      </c>
      <c r="M97" s="36">
        <f t="shared" si="107"/>
        <v>2282.2988997965122</v>
      </c>
      <c r="N97" s="36">
        <f t="shared" si="107"/>
        <v>2384</v>
      </c>
      <c r="O97" s="36">
        <f t="shared" si="107"/>
        <v>2399.9999999999995</v>
      </c>
      <c r="P97" s="36">
        <f t="shared" si="107"/>
        <v>2396</v>
      </c>
      <c r="Q97" s="36">
        <f t="shared" si="107"/>
        <v>2391</v>
      </c>
      <c r="R97" s="36">
        <f t="shared" si="107"/>
        <v>2380</v>
      </c>
      <c r="S97" s="36">
        <f t="shared" si="107"/>
        <v>2399</v>
      </c>
      <c r="T97" s="36">
        <f t="shared" si="107"/>
        <v>2399</v>
      </c>
      <c r="U97" s="36">
        <f t="shared" si="107"/>
        <v>2407</v>
      </c>
      <c r="V97" s="36">
        <f t="shared" si="107"/>
        <v>1609.2953138561666</v>
      </c>
      <c r="W97" s="36">
        <f t="shared" ref="W97" si="108">IF(W25=0,0,W25/W45)</f>
        <v>2390.6047737736412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965.84133267527989</v>
      </c>
      <c r="C98" s="36">
        <f t="shared" si="104"/>
        <v>965.84084392285763</v>
      </c>
      <c r="D98" s="36">
        <f t="shared" ref="D98:V98" si="109">IF(D26=0,0,D26/D46)</f>
        <v>965.84132329371471</v>
      </c>
      <c r="E98" s="36">
        <f t="shared" si="109"/>
        <v>965.84057921912836</v>
      </c>
      <c r="F98" s="36">
        <f t="shared" si="109"/>
        <v>969.44289137284898</v>
      </c>
      <c r="G98" s="36">
        <f t="shared" si="109"/>
        <v>975.06069923978998</v>
      </c>
      <c r="H98" s="36">
        <f t="shared" si="109"/>
        <v>973.88709134458588</v>
      </c>
      <c r="I98" s="36">
        <f t="shared" si="109"/>
        <v>981.5796632677683</v>
      </c>
      <c r="J98" s="36">
        <f t="shared" si="109"/>
        <v>983.45766257906632</v>
      </c>
      <c r="K98" s="36">
        <f t="shared" si="109"/>
        <v>981.91875082218564</v>
      </c>
      <c r="L98" s="36">
        <f t="shared" si="109"/>
        <v>978.07502594290418</v>
      </c>
      <c r="M98" s="36">
        <f t="shared" si="109"/>
        <v>979.12608764673439</v>
      </c>
      <c r="N98" s="36">
        <f t="shared" si="109"/>
        <v>948.24088680147611</v>
      </c>
      <c r="O98" s="36">
        <f t="shared" si="109"/>
        <v>968.51226055362054</v>
      </c>
      <c r="P98" s="36">
        <f t="shared" si="109"/>
        <v>969.30354732730132</v>
      </c>
      <c r="Q98" s="36">
        <f t="shared" si="109"/>
        <v>970.68417895352331</v>
      </c>
      <c r="R98" s="36">
        <f t="shared" si="109"/>
        <v>973.57386789565771</v>
      </c>
      <c r="S98" s="36">
        <f t="shared" si="109"/>
        <v>969.35548942719413</v>
      </c>
      <c r="T98" s="36">
        <f t="shared" si="109"/>
        <v>972.58090175598204</v>
      </c>
      <c r="U98" s="36">
        <f t="shared" si="109"/>
        <v>971.54043090707751</v>
      </c>
      <c r="V98" s="36">
        <f t="shared" si="109"/>
        <v>421.90544155234545</v>
      </c>
      <c r="W98" s="36">
        <f t="shared" ref="W98" si="110">IF(W26=0,0,W26/W46)</f>
        <v>786.16557228443025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666</v>
      </c>
      <c r="C99" s="36">
        <f t="shared" si="104"/>
        <v>666</v>
      </c>
      <c r="D99" s="36">
        <f t="shared" ref="D99:V99" si="111">IF(D27=0,0,D27/D47)</f>
        <v>666</v>
      </c>
      <c r="E99" s="36">
        <f t="shared" si="111"/>
        <v>666</v>
      </c>
      <c r="F99" s="36">
        <f t="shared" si="111"/>
        <v>666</v>
      </c>
      <c r="G99" s="36">
        <f t="shared" si="111"/>
        <v>676</v>
      </c>
      <c r="H99" s="36">
        <f t="shared" si="111"/>
        <v>651</v>
      </c>
      <c r="I99" s="36">
        <f t="shared" si="111"/>
        <v>638</v>
      </c>
      <c r="J99" s="36">
        <f t="shared" si="111"/>
        <v>634</v>
      </c>
      <c r="K99" s="36">
        <f t="shared" si="111"/>
        <v>665</v>
      </c>
      <c r="L99" s="36">
        <f t="shared" si="111"/>
        <v>684</v>
      </c>
      <c r="M99" s="36">
        <f t="shared" si="111"/>
        <v>701</v>
      </c>
      <c r="N99" s="36">
        <f t="shared" si="111"/>
        <v>748</v>
      </c>
      <c r="O99" s="36">
        <f t="shared" si="111"/>
        <v>740</v>
      </c>
      <c r="P99" s="36">
        <f t="shared" si="111"/>
        <v>741.00000000000011</v>
      </c>
      <c r="Q99" s="36">
        <f t="shared" si="111"/>
        <v>761.29416701195612</v>
      </c>
      <c r="R99" s="36">
        <f t="shared" si="111"/>
        <v>743</v>
      </c>
      <c r="S99" s="36">
        <f t="shared" si="111"/>
        <v>716</v>
      </c>
      <c r="T99" s="36">
        <f t="shared" si="111"/>
        <v>702</v>
      </c>
      <c r="U99" s="36">
        <f t="shared" si="111"/>
        <v>692</v>
      </c>
      <c r="V99" s="36">
        <f t="shared" si="111"/>
        <v>210.53715515741052</v>
      </c>
      <c r="W99" s="36">
        <f t="shared" ref="W99" si="112">IF(W27=0,0,W27/W47)</f>
        <v>447.97128651648922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1046.1925038558409</v>
      </c>
      <c r="C100" s="13">
        <f t="shared" si="104"/>
        <v>1051.7228544596451</v>
      </c>
      <c r="D100" s="13">
        <f t="shared" ref="D100:V100" si="113">IF(D28=0,0,D28/D48)</f>
        <v>1047.3905910188919</v>
      </c>
      <c r="E100" s="13">
        <f t="shared" si="113"/>
        <v>954.76057892858535</v>
      </c>
      <c r="F100" s="13">
        <f t="shared" si="113"/>
        <v>715.2860263471706</v>
      </c>
      <c r="G100" s="13">
        <f t="shared" si="113"/>
        <v>779.30300502039063</v>
      </c>
      <c r="H100" s="13">
        <f t="shared" si="113"/>
        <v>886.10842835643302</v>
      </c>
      <c r="I100" s="13">
        <f t="shared" si="113"/>
        <v>849.89962229302489</v>
      </c>
      <c r="J100" s="13">
        <f t="shared" si="113"/>
        <v>949.20854467466449</v>
      </c>
      <c r="K100" s="13">
        <f t="shared" si="113"/>
        <v>951.50886809876192</v>
      </c>
      <c r="L100" s="13">
        <f t="shared" si="113"/>
        <v>944.10385707483169</v>
      </c>
      <c r="M100" s="13">
        <f t="shared" si="113"/>
        <v>937.59821664184642</v>
      </c>
      <c r="N100" s="13">
        <f t="shared" si="113"/>
        <v>923.01810696342272</v>
      </c>
      <c r="O100" s="13">
        <f t="shared" si="113"/>
        <v>931.1465488619059</v>
      </c>
      <c r="P100" s="13">
        <f t="shared" si="113"/>
        <v>902.80264005509605</v>
      </c>
      <c r="Q100" s="13">
        <f t="shared" si="113"/>
        <v>928.71836165107391</v>
      </c>
      <c r="R100" s="13">
        <f t="shared" si="113"/>
        <v>915.69820621342308</v>
      </c>
      <c r="S100" s="13">
        <f t="shared" si="113"/>
        <v>894.37697221804387</v>
      </c>
      <c r="T100" s="13">
        <f t="shared" si="113"/>
        <v>916.67727318680329</v>
      </c>
      <c r="U100" s="13">
        <f t="shared" si="113"/>
        <v>916.22878540350951</v>
      </c>
      <c r="V100" s="13">
        <f t="shared" si="113"/>
        <v>862.03806212704524</v>
      </c>
      <c r="W100" s="13">
        <f t="shared" ref="W100" si="114">IF(W28=0,0,W28/W48)</f>
        <v>898.78491147562772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1383</v>
      </c>
      <c r="C101" s="34">
        <f t="shared" si="104"/>
        <v>1383</v>
      </c>
      <c r="D101" s="34">
        <f t="shared" ref="D101:V101" si="115">IF(D29=0,0,D29/D49)</f>
        <v>1383</v>
      </c>
      <c r="E101" s="34">
        <f t="shared" si="115"/>
        <v>1253.1736474181989</v>
      </c>
      <c r="F101" s="34">
        <f t="shared" si="115"/>
        <v>831.72733784839818</v>
      </c>
      <c r="G101" s="34">
        <f t="shared" si="115"/>
        <v>887.54876177953122</v>
      </c>
      <c r="H101" s="34">
        <f t="shared" si="115"/>
        <v>1049.731741806688</v>
      </c>
      <c r="I101" s="34">
        <f t="shared" si="115"/>
        <v>1015.7136648961858</v>
      </c>
      <c r="J101" s="34">
        <f t="shared" si="115"/>
        <v>1294.1747237569068</v>
      </c>
      <c r="K101" s="34">
        <f t="shared" si="115"/>
        <v>1338.482409913119</v>
      </c>
      <c r="L101" s="34">
        <f t="shared" si="115"/>
        <v>1398</v>
      </c>
      <c r="M101" s="34">
        <f t="shared" si="115"/>
        <v>1409</v>
      </c>
      <c r="N101" s="34">
        <f t="shared" si="115"/>
        <v>1406</v>
      </c>
      <c r="O101" s="34">
        <f t="shared" si="115"/>
        <v>1412</v>
      </c>
      <c r="P101" s="34">
        <f t="shared" si="115"/>
        <v>1410</v>
      </c>
      <c r="Q101" s="34">
        <f t="shared" si="115"/>
        <v>1407</v>
      </c>
      <c r="R101" s="34">
        <f t="shared" si="115"/>
        <v>1403</v>
      </c>
      <c r="S101" s="34">
        <f t="shared" si="115"/>
        <v>1409</v>
      </c>
      <c r="T101" s="34">
        <f t="shared" si="115"/>
        <v>1409</v>
      </c>
      <c r="U101" s="34">
        <f t="shared" si="115"/>
        <v>1401</v>
      </c>
      <c r="V101" s="34">
        <f t="shared" si="115"/>
        <v>1405</v>
      </c>
      <c r="W101" s="34">
        <f t="shared" ref="W101" si="116">IF(W29=0,0,W29/W49)</f>
        <v>1405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776.52330762648955</v>
      </c>
      <c r="C102" s="34">
        <f t="shared" si="104"/>
        <v>776.60246715166852</v>
      </c>
      <c r="D102" s="34">
        <f t="shared" ref="D102:V102" si="117">IF(D30=0,0,D30/D50)</f>
        <v>776.55365866205307</v>
      </c>
      <c r="E102" s="34">
        <f t="shared" si="117"/>
        <v>709.94903289990737</v>
      </c>
      <c r="F102" s="34">
        <f t="shared" si="117"/>
        <v>618.64949876542801</v>
      </c>
      <c r="G102" s="34">
        <f t="shared" si="117"/>
        <v>686.76862201828351</v>
      </c>
      <c r="H102" s="34">
        <f t="shared" si="117"/>
        <v>774.79307268303171</v>
      </c>
      <c r="I102" s="34">
        <f t="shared" si="117"/>
        <v>749.41667408695866</v>
      </c>
      <c r="J102" s="34">
        <f t="shared" si="117"/>
        <v>779.96960550040842</v>
      </c>
      <c r="K102" s="34">
        <f t="shared" si="117"/>
        <v>772.121407728637</v>
      </c>
      <c r="L102" s="34">
        <f t="shared" si="117"/>
        <v>779.50527492785648</v>
      </c>
      <c r="M102" s="34">
        <f t="shared" si="117"/>
        <v>792.5690567495833</v>
      </c>
      <c r="N102" s="34">
        <f t="shared" si="117"/>
        <v>783.77951436487365</v>
      </c>
      <c r="O102" s="34">
        <f t="shared" si="117"/>
        <v>788.30959994904333</v>
      </c>
      <c r="P102" s="34">
        <f t="shared" si="117"/>
        <v>787.67851136655622</v>
      </c>
      <c r="Q102" s="34">
        <f t="shared" si="117"/>
        <v>801.45852528674175</v>
      </c>
      <c r="R102" s="34">
        <f t="shared" si="117"/>
        <v>803.58228199034181</v>
      </c>
      <c r="S102" s="34">
        <f t="shared" si="117"/>
        <v>810.90357574014877</v>
      </c>
      <c r="T102" s="34">
        <f t="shared" si="117"/>
        <v>815.66571260851185</v>
      </c>
      <c r="U102" s="34">
        <f t="shared" si="117"/>
        <v>846.52301602739919</v>
      </c>
      <c r="V102" s="34">
        <f t="shared" si="117"/>
        <v>865.34380993618822</v>
      </c>
      <c r="W102" s="34">
        <f t="shared" ref="W102" si="118">IF(W30=0,0,W30/W50)</f>
        <v>872.88160224603587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804</v>
      </c>
      <c r="C103" s="35">
        <f t="shared" si="104"/>
        <v>804</v>
      </c>
      <c r="D103" s="35">
        <f t="shared" ref="D103:V103" si="119">IF(D31=0,0,D31/D51)</f>
        <v>804</v>
      </c>
      <c r="E103" s="35">
        <f t="shared" si="119"/>
        <v>804</v>
      </c>
      <c r="F103" s="35">
        <f t="shared" si="119"/>
        <v>665.34075104311546</v>
      </c>
      <c r="G103" s="35">
        <f t="shared" si="119"/>
        <v>753.55538342370266</v>
      </c>
      <c r="H103" s="35">
        <f t="shared" si="119"/>
        <v>802</v>
      </c>
      <c r="I103" s="35">
        <f t="shared" si="119"/>
        <v>803</v>
      </c>
      <c r="J103" s="35">
        <f t="shared" si="119"/>
        <v>816</v>
      </c>
      <c r="K103" s="35">
        <f t="shared" si="119"/>
        <v>873.98967054823095</v>
      </c>
      <c r="L103" s="35">
        <f t="shared" si="119"/>
        <v>716.75873711432791</v>
      </c>
      <c r="M103" s="35">
        <f t="shared" si="119"/>
        <v>762.15267860785855</v>
      </c>
      <c r="N103" s="35">
        <f t="shared" si="119"/>
        <v>761.5922935259955</v>
      </c>
      <c r="O103" s="35">
        <f t="shared" si="119"/>
        <v>811.88456150182162</v>
      </c>
      <c r="P103" s="35">
        <f t="shared" si="119"/>
        <v>816.2061599944883</v>
      </c>
      <c r="Q103" s="35">
        <f t="shared" si="119"/>
        <v>999.00000000000011</v>
      </c>
      <c r="R103" s="35">
        <f t="shared" si="119"/>
        <v>975</v>
      </c>
      <c r="S103" s="35">
        <f t="shared" si="119"/>
        <v>939</v>
      </c>
      <c r="T103" s="35">
        <f t="shared" si="119"/>
        <v>922</v>
      </c>
      <c r="U103" s="35">
        <f t="shared" si="119"/>
        <v>864</v>
      </c>
      <c r="V103" s="35">
        <f t="shared" si="119"/>
        <v>618.57044519506292</v>
      </c>
      <c r="W103" s="35">
        <f t="shared" ref="W103" si="120">IF(W31=0,0,W31/W51)</f>
        <v>823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7.4255190781346445E-2</v>
      </c>
      <c r="C107" s="43">
        <f t="shared" si="124"/>
        <v>7.5860737209510282E-2</v>
      </c>
      <c r="D107" s="43">
        <f t="shared" ref="D107:V107" si="125">IF(D5=0,0,D5/D$4)</f>
        <v>7.0805574473791197E-2</v>
      </c>
      <c r="E107" s="43">
        <f t="shared" si="125"/>
        <v>6.7161141024239757E-2</v>
      </c>
      <c r="F107" s="43">
        <f t="shared" si="125"/>
        <v>7.3116285082659258E-2</v>
      </c>
      <c r="G107" s="43">
        <f t="shared" si="125"/>
        <v>7.2771227604182601E-2</v>
      </c>
      <c r="H107" s="43">
        <f t="shared" si="125"/>
        <v>7.3237875743703926E-2</v>
      </c>
      <c r="I107" s="43">
        <f t="shared" si="125"/>
        <v>7.6854118921156234E-2</v>
      </c>
      <c r="J107" s="43">
        <f t="shared" si="125"/>
        <v>7.8631202053318722E-2</v>
      </c>
      <c r="K107" s="43">
        <f t="shared" si="125"/>
        <v>8.6053544033385138E-2</v>
      </c>
      <c r="L107" s="43">
        <f t="shared" si="125"/>
        <v>7.7922005529009963E-2</v>
      </c>
      <c r="M107" s="43">
        <f t="shared" si="125"/>
        <v>6.2585639772711088E-2</v>
      </c>
      <c r="N107" s="43">
        <f t="shared" si="125"/>
        <v>6.1232399514084115E-2</v>
      </c>
      <c r="O107" s="43">
        <f t="shared" si="125"/>
        <v>5.580926723708849E-2</v>
      </c>
      <c r="P107" s="43">
        <f t="shared" si="125"/>
        <v>6.0414809236165427E-2</v>
      </c>
      <c r="Q107" s="43">
        <f t="shared" si="125"/>
        <v>7.0077117000387046E-2</v>
      </c>
      <c r="R107" s="43">
        <f t="shared" si="125"/>
        <v>6.9141354574360187E-2</v>
      </c>
      <c r="S107" s="43">
        <f t="shared" si="125"/>
        <v>6.1433042784296878E-2</v>
      </c>
      <c r="T107" s="43">
        <f t="shared" si="125"/>
        <v>5.6266525794044925E-2</v>
      </c>
      <c r="U107" s="43">
        <f t="shared" si="125"/>
        <v>5.3483358956247229E-2</v>
      </c>
      <c r="V107" s="43">
        <f t="shared" si="125"/>
        <v>8.0124181388181157E-2</v>
      </c>
      <c r="W107" s="43">
        <f t="shared" ref="W107" si="126">IF(W5=0,0,W5/W$4)</f>
        <v>6.5849535744665497E-2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0.82256705545794817</v>
      </c>
      <c r="C108" s="43">
        <f t="shared" si="127"/>
        <v>0.82048290240100175</v>
      </c>
      <c r="D108" s="43">
        <f t="shared" ref="D108:V108" si="128">IF(D6=0,0,D6/D$4)</f>
        <v>0.82318065397965468</v>
      </c>
      <c r="E108" s="43">
        <f t="shared" si="128"/>
        <v>0.82376535049161004</v>
      </c>
      <c r="F108" s="43">
        <f t="shared" si="128"/>
        <v>0.81026834793102487</v>
      </c>
      <c r="G108" s="43">
        <f t="shared" si="128"/>
        <v>0.80347331418581236</v>
      </c>
      <c r="H108" s="43">
        <f t="shared" si="128"/>
        <v>0.78226926258226337</v>
      </c>
      <c r="I108" s="43">
        <f t="shared" si="128"/>
        <v>0.7582798737633708</v>
      </c>
      <c r="J108" s="43">
        <f t="shared" si="128"/>
        <v>0.73635225102611468</v>
      </c>
      <c r="K108" s="43">
        <f t="shared" si="128"/>
        <v>0.73953460617001709</v>
      </c>
      <c r="L108" s="43">
        <f t="shared" si="128"/>
        <v>0.72993101280713746</v>
      </c>
      <c r="M108" s="43">
        <f t="shared" si="128"/>
        <v>0.73445555133699836</v>
      </c>
      <c r="N108" s="43">
        <f t="shared" si="128"/>
        <v>0.73368565079422987</v>
      </c>
      <c r="O108" s="43">
        <f t="shared" si="128"/>
        <v>0.71365866415456436</v>
      </c>
      <c r="P108" s="43">
        <f t="shared" si="128"/>
        <v>0.7267730859786552</v>
      </c>
      <c r="Q108" s="43">
        <f t="shared" si="128"/>
        <v>0.74339726561004171</v>
      </c>
      <c r="R108" s="43">
        <f t="shared" si="128"/>
        <v>0.73960954711926075</v>
      </c>
      <c r="S108" s="43">
        <f t="shared" si="128"/>
        <v>0.73533187363260277</v>
      </c>
      <c r="T108" s="43">
        <f t="shared" si="128"/>
        <v>0.732661275658268</v>
      </c>
      <c r="U108" s="43">
        <f t="shared" si="128"/>
        <v>0.72564161080150291</v>
      </c>
      <c r="V108" s="43">
        <f t="shared" si="128"/>
        <v>0.79495484143695994</v>
      </c>
      <c r="W108" s="43">
        <f t="shared" ref="W108" si="129">IF(W6=0,0,W6/W$4)</f>
        <v>0.7436810184809638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0.10317775376070547</v>
      </c>
      <c r="C109" s="43">
        <f t="shared" si="130"/>
        <v>0.10365636038948804</v>
      </c>
      <c r="D109" s="43">
        <f t="shared" ref="D109:V109" si="131">IF(D7=0,0,D7/D$4)</f>
        <v>0.10601377154655417</v>
      </c>
      <c r="E109" s="43">
        <f t="shared" si="131"/>
        <v>0.10907350848415018</v>
      </c>
      <c r="F109" s="43">
        <f t="shared" si="131"/>
        <v>0.11661536698631589</v>
      </c>
      <c r="G109" s="43">
        <f t="shared" si="131"/>
        <v>0.12375545821000516</v>
      </c>
      <c r="H109" s="43">
        <f t="shared" si="131"/>
        <v>0.14449286167403275</v>
      </c>
      <c r="I109" s="43">
        <f t="shared" si="131"/>
        <v>0.16486600731547302</v>
      </c>
      <c r="J109" s="43">
        <f t="shared" si="131"/>
        <v>0.18501654692056663</v>
      </c>
      <c r="K109" s="43">
        <f t="shared" si="131"/>
        <v>0.17441184979659782</v>
      </c>
      <c r="L109" s="43">
        <f t="shared" si="131"/>
        <v>0.19214698166385258</v>
      </c>
      <c r="M109" s="43">
        <f t="shared" si="131"/>
        <v>0.20295880889029042</v>
      </c>
      <c r="N109" s="43">
        <f t="shared" si="131"/>
        <v>0.20508194969168597</v>
      </c>
      <c r="O109" s="43">
        <f t="shared" si="131"/>
        <v>0.23053206860834707</v>
      </c>
      <c r="P109" s="43">
        <f t="shared" si="131"/>
        <v>0.21281210478517953</v>
      </c>
      <c r="Q109" s="43">
        <f t="shared" si="131"/>
        <v>0.18652561738957141</v>
      </c>
      <c r="R109" s="43">
        <f t="shared" si="131"/>
        <v>0.1912490983063789</v>
      </c>
      <c r="S109" s="43">
        <f t="shared" si="131"/>
        <v>0.20323508358310036</v>
      </c>
      <c r="T109" s="43">
        <f t="shared" si="131"/>
        <v>0.21107219854768711</v>
      </c>
      <c r="U109" s="43">
        <f t="shared" si="131"/>
        <v>0.22087503024224997</v>
      </c>
      <c r="V109" s="43">
        <f t="shared" si="131"/>
        <v>0.12492097717485892</v>
      </c>
      <c r="W109" s="43">
        <f t="shared" ref="W109" si="132">IF(W7=0,0,W7/W$4)</f>
        <v>0.19046944577437069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9.5956218732097823E-2</v>
      </c>
      <c r="C111" s="44">
        <f t="shared" si="136"/>
        <v>9.6151810924571465E-2</v>
      </c>
      <c r="D111" s="44">
        <f t="shared" ref="D111:V111" si="137">IF(D9=0,0,D9/D$8)</f>
        <v>0.10097297980927576</v>
      </c>
      <c r="E111" s="44">
        <f t="shared" si="137"/>
        <v>0.10026490806376397</v>
      </c>
      <c r="F111" s="44">
        <f t="shared" si="137"/>
        <v>8.0585599795433033E-2</v>
      </c>
      <c r="G111" s="44">
        <f t="shared" si="137"/>
        <v>7.8127012741435478E-2</v>
      </c>
      <c r="H111" s="44">
        <f t="shared" si="137"/>
        <v>7.5754949830128399E-2</v>
      </c>
      <c r="I111" s="44">
        <f t="shared" si="137"/>
        <v>6.6621769807417616E-2</v>
      </c>
      <c r="J111" s="44">
        <f t="shared" si="137"/>
        <v>6.7931452716165783E-2</v>
      </c>
      <c r="K111" s="44">
        <f t="shared" si="137"/>
        <v>6.2304243841765354E-2</v>
      </c>
      <c r="L111" s="44">
        <f t="shared" si="137"/>
        <v>6.6081823169776024E-2</v>
      </c>
      <c r="M111" s="44">
        <f t="shared" si="137"/>
        <v>5.4259632192310545E-2</v>
      </c>
      <c r="N111" s="44">
        <f t="shared" si="137"/>
        <v>5.0217831379556141E-2</v>
      </c>
      <c r="O111" s="44">
        <f t="shared" si="137"/>
        <v>5.1492505403888021E-2</v>
      </c>
      <c r="P111" s="44">
        <f t="shared" si="137"/>
        <v>3.9608892459935076E-2</v>
      </c>
      <c r="Q111" s="44">
        <f t="shared" si="137"/>
        <v>3.8786680773607078E-2</v>
      </c>
      <c r="R111" s="44">
        <f t="shared" si="137"/>
        <v>3.3596813117666949E-2</v>
      </c>
      <c r="S111" s="44">
        <f t="shared" si="137"/>
        <v>2.0417080859310197E-2</v>
      </c>
      <c r="T111" s="44">
        <f t="shared" si="137"/>
        <v>2.5076790428327351E-2</v>
      </c>
      <c r="U111" s="44">
        <f t="shared" si="137"/>
        <v>2.2464996619032222E-2</v>
      </c>
      <c r="V111" s="44">
        <f t="shared" si="137"/>
        <v>2.2676934317412363E-2</v>
      </c>
      <c r="W111" s="44">
        <f t="shared" ref="W111" si="138">IF(W9=0,0,W9/W$8)</f>
        <v>1.6426537009783315E-2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0.66899714721681702</v>
      </c>
      <c r="C112" s="44">
        <f t="shared" si="139"/>
        <v>0.69896774252614358</v>
      </c>
      <c r="D112" s="44">
        <f t="shared" ref="D112:V112" si="140">IF(D10=0,0,D10/D$8)</f>
        <v>0.68879279041000019</v>
      </c>
      <c r="E112" s="44">
        <f t="shared" si="140"/>
        <v>0.66268808394087597</v>
      </c>
      <c r="F112" s="44">
        <f t="shared" si="140"/>
        <v>0.67313263655871403</v>
      </c>
      <c r="G112" s="44">
        <f t="shared" si="140"/>
        <v>0.68293337991046232</v>
      </c>
      <c r="H112" s="44">
        <f t="shared" si="140"/>
        <v>0.66868606304832412</v>
      </c>
      <c r="I112" s="44">
        <f t="shared" si="140"/>
        <v>0.6617855930246338</v>
      </c>
      <c r="J112" s="44">
        <f t="shared" si="140"/>
        <v>0.63781873147426393</v>
      </c>
      <c r="K112" s="44">
        <f t="shared" si="140"/>
        <v>0.64005797988179314</v>
      </c>
      <c r="L112" s="44">
        <f t="shared" si="140"/>
        <v>0.71449429864767322</v>
      </c>
      <c r="M112" s="44">
        <f t="shared" si="140"/>
        <v>0.7212864613215545</v>
      </c>
      <c r="N112" s="44">
        <f t="shared" si="140"/>
        <v>0.7419883181771556</v>
      </c>
      <c r="O112" s="44">
        <f t="shared" si="140"/>
        <v>0.75206708121238763</v>
      </c>
      <c r="P112" s="44">
        <f t="shared" si="140"/>
        <v>0.77076818205704611</v>
      </c>
      <c r="Q112" s="44">
        <f t="shared" si="140"/>
        <v>0.72359653586831474</v>
      </c>
      <c r="R112" s="44">
        <f t="shared" si="140"/>
        <v>0.70964023027621592</v>
      </c>
      <c r="S112" s="44">
        <f t="shared" si="140"/>
        <v>0.63736936687373169</v>
      </c>
      <c r="T112" s="44">
        <f t="shared" si="140"/>
        <v>0.56476852271696643</v>
      </c>
      <c r="U112" s="44">
        <f t="shared" si="140"/>
        <v>0.52010233316494603</v>
      </c>
      <c r="V112" s="44">
        <f t="shared" si="140"/>
        <v>0.7066998581376408</v>
      </c>
      <c r="W112" s="44">
        <f t="shared" ref="W112" si="141">IF(W10=0,0,W10/W$8)</f>
        <v>0.44441741138279478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0.2350466340510852</v>
      </c>
      <c r="C113" s="45">
        <f t="shared" si="142"/>
        <v>0.20488044654928489</v>
      </c>
      <c r="D113" s="45">
        <f t="shared" ref="D113:V113" si="143">IF(D11=0,0,D11/D$8)</f>
        <v>0.21023422978072404</v>
      </c>
      <c r="E113" s="45">
        <f t="shared" si="143"/>
        <v>0.2370470079953601</v>
      </c>
      <c r="F113" s="45">
        <f t="shared" si="143"/>
        <v>0.246281763645853</v>
      </c>
      <c r="G113" s="45">
        <f t="shared" si="143"/>
        <v>0.23893960734810218</v>
      </c>
      <c r="H113" s="45">
        <f t="shared" si="143"/>
        <v>0.2555589871215474</v>
      </c>
      <c r="I113" s="45">
        <f t="shared" si="143"/>
        <v>0.27159263716794846</v>
      </c>
      <c r="J113" s="45">
        <f t="shared" si="143"/>
        <v>0.29424981580957038</v>
      </c>
      <c r="K113" s="45">
        <f t="shared" si="143"/>
        <v>0.2976377762764415</v>
      </c>
      <c r="L113" s="45">
        <f t="shared" si="143"/>
        <v>0.2194238781825506</v>
      </c>
      <c r="M113" s="45">
        <f t="shared" si="143"/>
        <v>0.22445390648613497</v>
      </c>
      <c r="N113" s="45">
        <f t="shared" si="143"/>
        <v>0.20779385044328824</v>
      </c>
      <c r="O113" s="45">
        <f t="shared" si="143"/>
        <v>0.19644041338372428</v>
      </c>
      <c r="P113" s="45">
        <f t="shared" si="143"/>
        <v>0.18962292548301896</v>
      </c>
      <c r="Q113" s="45">
        <f t="shared" si="143"/>
        <v>0.23761678335807818</v>
      </c>
      <c r="R113" s="45">
        <f t="shared" si="143"/>
        <v>0.25676295660611725</v>
      </c>
      <c r="S113" s="45">
        <f t="shared" si="143"/>
        <v>0.34221355226695821</v>
      </c>
      <c r="T113" s="45">
        <f t="shared" si="143"/>
        <v>0.41015468685470619</v>
      </c>
      <c r="U113" s="45">
        <f t="shared" si="143"/>
        <v>0.4574326702160218</v>
      </c>
      <c r="V113" s="45">
        <f t="shared" si="143"/>
        <v>0.27062320754494695</v>
      </c>
      <c r="W113" s="45">
        <f t="shared" ref="W113" si="144">IF(W11=0,0,W11/W$8)</f>
        <v>0.53915605160742186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0.17381754497991264</v>
      </c>
      <c r="C117" s="43">
        <f t="shared" si="148"/>
        <v>0.17633328579800242</v>
      </c>
      <c r="D117" s="43">
        <f t="shared" ref="D117:V117" si="149">IF(D15=0,0,D15/D$14)</f>
        <v>0.16378513100306938</v>
      </c>
      <c r="E117" s="43">
        <f t="shared" si="149"/>
        <v>0.15351995122317386</v>
      </c>
      <c r="F117" s="43">
        <f t="shared" si="149"/>
        <v>0.16130208483259262</v>
      </c>
      <c r="G117" s="43">
        <f t="shared" si="149"/>
        <v>0.15964674548893062</v>
      </c>
      <c r="H117" s="43">
        <f t="shared" si="149"/>
        <v>0.15454392399676276</v>
      </c>
      <c r="I117" s="43">
        <f t="shared" si="149"/>
        <v>0.14854384341490623</v>
      </c>
      <c r="J117" s="43">
        <f t="shared" si="149"/>
        <v>0.14465300492935282</v>
      </c>
      <c r="K117" s="43">
        <f t="shared" si="149"/>
        <v>0.16559073568135357</v>
      </c>
      <c r="L117" s="43">
        <f t="shared" si="149"/>
        <v>0.15172695134010258</v>
      </c>
      <c r="M117" s="43">
        <f t="shared" si="149"/>
        <v>0.1252865478445504</v>
      </c>
      <c r="N117" s="43">
        <f t="shared" si="149"/>
        <v>0.12590227221506853</v>
      </c>
      <c r="O117" s="43">
        <f t="shared" si="149"/>
        <v>0.11057236224704299</v>
      </c>
      <c r="P117" s="43">
        <f t="shared" si="149"/>
        <v>0.10288296890980794</v>
      </c>
      <c r="Q117" s="43">
        <f t="shared" si="149"/>
        <v>0.10897419929711248</v>
      </c>
      <c r="R117" s="43">
        <f t="shared" si="149"/>
        <v>0.1083950083280229</v>
      </c>
      <c r="S117" s="43">
        <f t="shared" si="149"/>
        <v>9.8240476240726543E-2</v>
      </c>
      <c r="T117" s="43">
        <f t="shared" si="149"/>
        <v>9.4488621032330147E-2</v>
      </c>
      <c r="U117" s="43">
        <f t="shared" si="149"/>
        <v>9.2736389645896034E-2</v>
      </c>
      <c r="V117" s="43">
        <f t="shared" si="149"/>
        <v>0.14428502211186711</v>
      </c>
      <c r="W117" s="43">
        <f t="shared" ref="W117" si="150">IF(W15=0,0,W15/W$14)</f>
        <v>0.10863510333240502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0.71181089041420575</v>
      </c>
      <c r="C118" s="43">
        <f t="shared" si="151"/>
        <v>0.7096421640336622</v>
      </c>
      <c r="D118" s="43">
        <f t="shared" ref="D118:V118" si="152">IF(D16=0,0,D16/D$14)</f>
        <v>0.72045590126210302</v>
      </c>
      <c r="E118" s="43">
        <f t="shared" si="152"/>
        <v>0.72930271431245253</v>
      </c>
      <c r="F118" s="43">
        <f t="shared" si="152"/>
        <v>0.71177526612805886</v>
      </c>
      <c r="G118" s="43">
        <f t="shared" si="152"/>
        <v>0.71224774795291701</v>
      </c>
      <c r="H118" s="43">
        <f t="shared" si="152"/>
        <v>0.70445322848352565</v>
      </c>
      <c r="I118" s="43">
        <f t="shared" si="152"/>
        <v>0.69697880582059402</v>
      </c>
      <c r="J118" s="43">
        <f t="shared" si="152"/>
        <v>0.68416731532257957</v>
      </c>
      <c r="K118" s="43">
        <f t="shared" si="152"/>
        <v>0.67073939304418917</v>
      </c>
      <c r="L118" s="43">
        <f t="shared" si="152"/>
        <v>0.67348012869635077</v>
      </c>
      <c r="M118" s="43">
        <f t="shared" si="152"/>
        <v>0.68994221062183214</v>
      </c>
      <c r="N118" s="43">
        <f t="shared" si="152"/>
        <v>0.68487722739309387</v>
      </c>
      <c r="O118" s="43">
        <f t="shared" si="152"/>
        <v>0.67662322647695949</v>
      </c>
      <c r="P118" s="43">
        <f t="shared" si="152"/>
        <v>0.69831667856141655</v>
      </c>
      <c r="Q118" s="43">
        <f t="shared" si="152"/>
        <v>0.71316912021456913</v>
      </c>
      <c r="R118" s="43">
        <f t="shared" si="152"/>
        <v>0.70879287349626918</v>
      </c>
      <c r="S118" s="43">
        <f t="shared" si="152"/>
        <v>0.71092840221819154</v>
      </c>
      <c r="T118" s="43">
        <f t="shared" si="152"/>
        <v>0.71974327885342693</v>
      </c>
      <c r="U118" s="43">
        <f t="shared" si="152"/>
        <v>0.70795081133302773</v>
      </c>
      <c r="V118" s="43">
        <f t="shared" si="152"/>
        <v>0.71898180035081571</v>
      </c>
      <c r="W118" s="43">
        <f t="shared" ref="W118" si="153">IF(W16=0,0,W16/W$14)</f>
        <v>0.70897091688287139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0.11437156460588156</v>
      </c>
      <c r="C119" s="43">
        <f t="shared" si="154"/>
        <v>0.11402455016833543</v>
      </c>
      <c r="D119" s="43">
        <f t="shared" ref="D119:V119" si="155">IF(D17=0,0,D17/D$14)</f>
        <v>0.11575896773482762</v>
      </c>
      <c r="E119" s="43">
        <f t="shared" si="155"/>
        <v>0.1171773344643736</v>
      </c>
      <c r="F119" s="43">
        <f t="shared" si="155"/>
        <v>0.1269226490393485</v>
      </c>
      <c r="G119" s="43">
        <f t="shared" si="155"/>
        <v>0.12810550655815239</v>
      </c>
      <c r="H119" s="43">
        <f t="shared" si="155"/>
        <v>0.14100284751971151</v>
      </c>
      <c r="I119" s="43">
        <f t="shared" si="155"/>
        <v>0.15447735076449981</v>
      </c>
      <c r="J119" s="43">
        <f t="shared" si="155"/>
        <v>0.17117967974806761</v>
      </c>
      <c r="K119" s="43">
        <f t="shared" si="155"/>
        <v>0.16366987127445731</v>
      </c>
      <c r="L119" s="43">
        <f t="shared" si="155"/>
        <v>0.17479291996354668</v>
      </c>
      <c r="M119" s="43">
        <f t="shared" si="155"/>
        <v>0.18477124153361751</v>
      </c>
      <c r="N119" s="43">
        <f t="shared" si="155"/>
        <v>0.18922050039183766</v>
      </c>
      <c r="O119" s="43">
        <f t="shared" si="155"/>
        <v>0.21280441127599753</v>
      </c>
      <c r="P119" s="43">
        <f t="shared" si="155"/>
        <v>0.19880035252877543</v>
      </c>
      <c r="Q119" s="43">
        <f t="shared" si="155"/>
        <v>0.17785668048831854</v>
      </c>
      <c r="R119" s="43">
        <f t="shared" si="155"/>
        <v>0.18281211817570792</v>
      </c>
      <c r="S119" s="43">
        <f t="shared" si="155"/>
        <v>0.19083112154108203</v>
      </c>
      <c r="T119" s="43">
        <f t="shared" si="155"/>
        <v>0.18576810011424294</v>
      </c>
      <c r="U119" s="43">
        <f t="shared" si="155"/>
        <v>0.19931279902107638</v>
      </c>
      <c r="V119" s="43">
        <f t="shared" si="155"/>
        <v>0.13673317753731717</v>
      </c>
      <c r="W119" s="43">
        <f t="shared" ref="W119" si="156">IF(W17=0,0,W17/W$14)</f>
        <v>0.18239397978472363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0.22478756561104823</v>
      </c>
      <c r="C121" s="44">
        <f t="shared" si="160"/>
        <v>0.23076798167919174</v>
      </c>
      <c r="D121" s="44">
        <f t="shared" ref="D121:V121" si="161">IF(D19=0,0,D19/D$18)</f>
        <v>0.22577554177345827</v>
      </c>
      <c r="E121" s="44">
        <f t="shared" si="161"/>
        <v>0.21978694001246199</v>
      </c>
      <c r="F121" s="44">
        <f t="shared" si="161"/>
        <v>0.17923543884813822</v>
      </c>
      <c r="G121" s="44">
        <f t="shared" si="161"/>
        <v>0.17312060187507031</v>
      </c>
      <c r="H121" s="44">
        <f t="shared" si="161"/>
        <v>0.15295315468259621</v>
      </c>
      <c r="I121" s="44">
        <f t="shared" si="161"/>
        <v>0.13663491021755003</v>
      </c>
      <c r="J121" s="44">
        <f t="shared" si="161"/>
        <v>0.14288720895735921</v>
      </c>
      <c r="K121" s="44">
        <f t="shared" si="161"/>
        <v>0.1352799515785868</v>
      </c>
      <c r="L121" s="44">
        <f t="shared" si="161"/>
        <v>0.12779220695895091</v>
      </c>
      <c r="M121" s="44">
        <f t="shared" si="161"/>
        <v>0.10081040050441058</v>
      </c>
      <c r="N121" s="44">
        <f t="shared" si="161"/>
        <v>9.5343009463943085E-2</v>
      </c>
      <c r="O121" s="44">
        <f t="shared" si="161"/>
        <v>9.1775997606110493E-2</v>
      </c>
      <c r="P121" s="44">
        <f t="shared" si="161"/>
        <v>7.1512839352929472E-2</v>
      </c>
      <c r="Q121" s="44">
        <f t="shared" si="161"/>
        <v>7.1008210901229579E-2</v>
      </c>
      <c r="R121" s="44">
        <f t="shared" si="161"/>
        <v>6.215071342506194E-2</v>
      </c>
      <c r="S121" s="44">
        <f t="shared" si="161"/>
        <v>4.1587674752744296E-2</v>
      </c>
      <c r="T121" s="44">
        <f t="shared" si="161"/>
        <v>5.5854191078926856E-2</v>
      </c>
      <c r="U121" s="44">
        <f t="shared" si="161"/>
        <v>5.0797195502683086E-2</v>
      </c>
      <c r="V121" s="44">
        <f t="shared" si="161"/>
        <v>3.7105329664961488E-2</v>
      </c>
      <c r="W121" s="44">
        <f t="shared" ref="W121" si="162">IF(W19=0,0,W19/W$18)</f>
        <v>3.1120009627562169E-2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0.70441148769137918</v>
      </c>
      <c r="C122" s="44">
        <f t="shared" si="163"/>
        <v>0.70933601169152372</v>
      </c>
      <c r="D122" s="44">
        <f t="shared" ref="D122:V122" si="164">IF(D20=0,0,D20/D$18)</f>
        <v>0.71187675139449225</v>
      </c>
      <c r="E122" s="44">
        <f t="shared" si="164"/>
        <v>0.6995469670763802</v>
      </c>
      <c r="F122" s="44">
        <f t="shared" si="164"/>
        <v>0.73827120154102377</v>
      </c>
      <c r="G122" s="44">
        <f t="shared" si="164"/>
        <v>0.74390524668985414</v>
      </c>
      <c r="H122" s="44">
        <f t="shared" si="164"/>
        <v>0.76658556488115137</v>
      </c>
      <c r="I122" s="44">
        <f t="shared" si="164"/>
        <v>0.77536340059487951</v>
      </c>
      <c r="J122" s="44">
        <f t="shared" si="164"/>
        <v>0.76109889981979939</v>
      </c>
      <c r="K122" s="44">
        <f t="shared" si="164"/>
        <v>0.77505699222462077</v>
      </c>
      <c r="L122" s="44">
        <f t="shared" si="164"/>
        <v>0.81027115270036754</v>
      </c>
      <c r="M122" s="44">
        <f t="shared" si="164"/>
        <v>0.83455659343522415</v>
      </c>
      <c r="N122" s="44">
        <f t="shared" si="164"/>
        <v>0.84507043253343272</v>
      </c>
      <c r="O122" s="44">
        <f t="shared" si="164"/>
        <v>0.85050451679923211</v>
      </c>
      <c r="P122" s="44">
        <f t="shared" si="164"/>
        <v>0.87294223278692873</v>
      </c>
      <c r="Q122" s="44">
        <f t="shared" si="164"/>
        <v>0.85799719277292452</v>
      </c>
      <c r="R122" s="44">
        <f t="shared" si="164"/>
        <v>0.85791968651738759</v>
      </c>
      <c r="S122" s="44">
        <f t="shared" si="164"/>
        <v>0.84868698381791563</v>
      </c>
      <c r="T122" s="44">
        <f t="shared" si="164"/>
        <v>0.80865887591462715</v>
      </c>
      <c r="U122" s="44">
        <f t="shared" si="164"/>
        <v>0.78269514013847818</v>
      </c>
      <c r="V122" s="44">
        <f t="shared" si="164"/>
        <v>0.85580718482117424</v>
      </c>
      <c r="W122" s="44">
        <f t="shared" ref="W122" si="165">IF(W20=0,0,W20/W$18)</f>
        <v>0.71414426493573535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7.080094669757267E-2</v>
      </c>
      <c r="C123" s="45">
        <f t="shared" si="166"/>
        <v>5.9896006629284522E-2</v>
      </c>
      <c r="D123" s="45">
        <f t="shared" ref="D123:V123" si="167">IF(D21=0,0,D21/D$18)</f>
        <v>6.2347706832049488E-2</v>
      </c>
      <c r="E123" s="45">
        <f t="shared" si="167"/>
        <v>8.0666092911157838E-2</v>
      </c>
      <c r="F123" s="45">
        <f t="shared" si="167"/>
        <v>8.2493359610837869E-2</v>
      </c>
      <c r="G123" s="45">
        <f t="shared" si="167"/>
        <v>8.2974151435075638E-2</v>
      </c>
      <c r="H123" s="45">
        <f t="shared" si="167"/>
        <v>8.0461280436252322E-2</v>
      </c>
      <c r="I123" s="45">
        <f t="shared" si="167"/>
        <v>8.8001689187570439E-2</v>
      </c>
      <c r="J123" s="45">
        <f t="shared" si="167"/>
        <v>9.6013891222841319E-2</v>
      </c>
      <c r="K123" s="45">
        <f t="shared" si="167"/>
        <v>8.9663056196792379E-2</v>
      </c>
      <c r="L123" s="45">
        <f t="shared" si="167"/>
        <v>6.1936640340681436E-2</v>
      </c>
      <c r="M123" s="45">
        <f t="shared" si="167"/>
        <v>6.4633006060365317E-2</v>
      </c>
      <c r="N123" s="45">
        <f t="shared" si="167"/>
        <v>5.958655800262426E-2</v>
      </c>
      <c r="O123" s="45">
        <f t="shared" si="167"/>
        <v>5.7719485594657269E-2</v>
      </c>
      <c r="P123" s="45">
        <f t="shared" si="167"/>
        <v>5.5544927860141827E-2</v>
      </c>
      <c r="Q123" s="45">
        <f t="shared" si="167"/>
        <v>7.0994596325845816E-2</v>
      </c>
      <c r="R123" s="45">
        <f t="shared" si="167"/>
        <v>7.9929600057550357E-2</v>
      </c>
      <c r="S123" s="45">
        <f t="shared" si="167"/>
        <v>0.10972534142933997</v>
      </c>
      <c r="T123" s="45">
        <f t="shared" si="167"/>
        <v>0.13548693300644599</v>
      </c>
      <c r="U123" s="45">
        <f t="shared" si="167"/>
        <v>0.16650766435883871</v>
      </c>
      <c r="V123" s="45">
        <f t="shared" si="167"/>
        <v>0.10708748551386414</v>
      </c>
      <c r="W123" s="45">
        <f t="shared" ref="W123" si="168">IF(W21=0,0,W21/W$18)</f>
        <v>0.25473572543670236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1358.8515907136716</v>
      </c>
      <c r="C3" s="79">
        <f t="shared" si="0"/>
        <v>1221.9308684436796</v>
      </c>
      <c r="D3" s="79">
        <f t="shared" ref="D3" si="1">SUM(D4:D5)</f>
        <v>1184.0068787618227</v>
      </c>
      <c r="E3" s="79">
        <f t="shared" ref="E3" si="2">SUM(E4:E5)</f>
        <v>1191.3895958727435</v>
      </c>
      <c r="F3" s="79">
        <f t="shared" ref="F3" si="3">SUM(F4:F5)</f>
        <v>1238.7981083404986</v>
      </c>
      <c r="G3" s="79">
        <f t="shared" ref="G3" si="4">SUM(G4:G5)</f>
        <v>1211.373860705073</v>
      </c>
      <c r="H3" s="79">
        <f t="shared" ref="H3" si="5">SUM(H4:H5)</f>
        <v>1328.2960447119517</v>
      </c>
      <c r="I3" s="79">
        <f t="shared" ref="I3" si="6">SUM(I4:I5)</f>
        <v>1345.0917454858125</v>
      </c>
      <c r="J3" s="79">
        <f t="shared" ref="J3" si="7">SUM(J4:J5)</f>
        <v>1369.3083404987103</v>
      </c>
      <c r="K3" s="79">
        <f t="shared" ref="K3" si="8">SUM(K4:K5)</f>
        <v>1143.0926053310402</v>
      </c>
      <c r="L3" s="79">
        <f t="shared" ref="L3" si="9">SUM(L4:L5)</f>
        <v>919.19836629406689</v>
      </c>
      <c r="M3" s="79">
        <f t="shared" ref="M3" si="10">SUM(M4:M5)</f>
        <v>961.30696474634556</v>
      </c>
      <c r="N3" s="79">
        <f t="shared" ref="N3" si="11">SUM(N4:N5)</f>
        <v>845.28993981083386</v>
      </c>
      <c r="O3" s="79">
        <f t="shared" ref="O3" si="12">SUM(O4:O5)</f>
        <v>850.43473774720542</v>
      </c>
      <c r="P3" s="79">
        <f t="shared" ref="P3" si="13">SUM(P4:P5)</f>
        <v>957.24651762682709</v>
      </c>
      <c r="Q3" s="79">
        <f t="shared" ref="Q3" si="14">SUM(Q4:Q5)</f>
        <v>991.114875322442</v>
      </c>
      <c r="R3" s="79">
        <f t="shared" ref="R3" si="15">SUM(R4:R5)</f>
        <v>1068.1665520206363</v>
      </c>
      <c r="S3" s="79">
        <f t="shared" ref="S3" si="16">SUM(S4:S5)</f>
        <v>1181.7203783319001</v>
      </c>
      <c r="T3" s="79">
        <f t="shared" ref="T3" si="17">SUM(T4:T5)</f>
        <v>1311.5122098022355</v>
      </c>
      <c r="U3" s="79">
        <f t="shared" ref="U3" si="18">SUM(U4:U5)</f>
        <v>1355.2780739466896</v>
      </c>
      <c r="V3" s="79">
        <f t="shared" ref="V3:W3" si="19">SUM(V4:V5)</f>
        <v>445.99208942390368</v>
      </c>
      <c r="W3" s="79">
        <f t="shared" si="19"/>
        <v>847.87033533963881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523.5764402407566</v>
      </c>
      <c r="C4" s="96">
        <f t="shared" si="20"/>
        <v>445.64110060189159</v>
      </c>
      <c r="D4" s="96">
        <f t="shared" ref="D4:V4" si="21">SUM(D7,D11)</f>
        <v>407.71711092003437</v>
      </c>
      <c r="E4" s="96">
        <f t="shared" si="21"/>
        <v>389.82037833190032</v>
      </c>
      <c r="F4" s="96">
        <f t="shared" si="21"/>
        <v>413.00275150472913</v>
      </c>
      <c r="G4" s="96">
        <f t="shared" si="21"/>
        <v>414.01788478073939</v>
      </c>
      <c r="H4" s="96">
        <f t="shared" si="21"/>
        <v>371.89019776440244</v>
      </c>
      <c r="I4" s="96">
        <f t="shared" si="21"/>
        <v>367.61969045571789</v>
      </c>
      <c r="J4" s="96">
        <f t="shared" si="21"/>
        <v>352.86380051590714</v>
      </c>
      <c r="K4" s="96">
        <f t="shared" si="21"/>
        <v>290.65159071367157</v>
      </c>
      <c r="L4" s="96">
        <f t="shared" si="21"/>
        <v>237.24557179707651</v>
      </c>
      <c r="M4" s="96">
        <f t="shared" si="21"/>
        <v>221.84006878761824</v>
      </c>
      <c r="N4" s="96">
        <f t="shared" si="21"/>
        <v>186.95898538263106</v>
      </c>
      <c r="O4" s="96">
        <f t="shared" si="21"/>
        <v>176.69819432502149</v>
      </c>
      <c r="P4" s="96">
        <f t="shared" si="21"/>
        <v>179.7792777300086</v>
      </c>
      <c r="Q4" s="96">
        <f t="shared" si="21"/>
        <v>167.43095442820294</v>
      </c>
      <c r="R4" s="96">
        <f t="shared" si="21"/>
        <v>189.02261392949271</v>
      </c>
      <c r="S4" s="96">
        <f t="shared" si="21"/>
        <v>195.16302665520209</v>
      </c>
      <c r="T4" s="96">
        <f t="shared" si="21"/>
        <v>222.15460017196901</v>
      </c>
      <c r="U4" s="96">
        <f t="shared" si="21"/>
        <v>224.65313843508164</v>
      </c>
      <c r="V4" s="96">
        <f t="shared" si="21"/>
        <v>90.574290627687006</v>
      </c>
      <c r="W4" s="96">
        <f t="shared" ref="W4" si="22">SUM(W7,W11)</f>
        <v>151.39905417024937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835.2751504729149</v>
      </c>
      <c r="C5" s="96">
        <f t="shared" si="23"/>
        <v>776.28976784178815</v>
      </c>
      <c r="D5" s="96">
        <f t="shared" ref="D5:V5" si="24">SUM(D8:D9,D12:D13)</f>
        <v>776.28976784178838</v>
      </c>
      <c r="E5" s="96">
        <f t="shared" si="24"/>
        <v>801.56921754084306</v>
      </c>
      <c r="F5" s="96">
        <f t="shared" si="24"/>
        <v>825.79535683576944</v>
      </c>
      <c r="G5" s="96">
        <f t="shared" si="24"/>
        <v>797.35597592433351</v>
      </c>
      <c r="H5" s="96">
        <f t="shared" si="24"/>
        <v>956.40584694754932</v>
      </c>
      <c r="I5" s="96">
        <f t="shared" si="24"/>
        <v>977.47205503009457</v>
      </c>
      <c r="J5" s="96">
        <f t="shared" si="24"/>
        <v>1016.4445399828031</v>
      </c>
      <c r="K5" s="96">
        <f t="shared" si="24"/>
        <v>852.44101461736864</v>
      </c>
      <c r="L5" s="96">
        <f t="shared" si="24"/>
        <v>681.95279449699035</v>
      </c>
      <c r="M5" s="96">
        <f t="shared" si="24"/>
        <v>739.46689595872738</v>
      </c>
      <c r="N5" s="96">
        <f t="shared" si="24"/>
        <v>658.33095442820286</v>
      </c>
      <c r="O5" s="96">
        <f t="shared" si="24"/>
        <v>673.7365434221839</v>
      </c>
      <c r="P5" s="96">
        <f t="shared" si="24"/>
        <v>777.46723989681846</v>
      </c>
      <c r="Q5" s="96">
        <f t="shared" si="24"/>
        <v>823.68392089423901</v>
      </c>
      <c r="R5" s="96">
        <f t="shared" si="24"/>
        <v>879.14393809114358</v>
      </c>
      <c r="S5" s="96">
        <f t="shared" si="24"/>
        <v>986.55735167669798</v>
      </c>
      <c r="T5" s="96">
        <f t="shared" si="24"/>
        <v>1089.3576096302666</v>
      </c>
      <c r="U5" s="96">
        <f t="shared" si="24"/>
        <v>1130.6249355116079</v>
      </c>
      <c r="V5" s="96">
        <f t="shared" si="24"/>
        <v>355.41779879621669</v>
      </c>
      <c r="W5" s="96">
        <f t="shared" ref="W5" si="25">SUM(W8:W9,W12:W13)</f>
        <v>696.4712811693895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1325.2283378003301</v>
      </c>
      <c r="C6" s="21">
        <f t="shared" si="26"/>
        <v>1185.2027651292615</v>
      </c>
      <c r="D6" s="21">
        <f t="shared" ref="D6:V6" si="27">SUM(D7:D9)</f>
        <v>1148.4954037978919</v>
      </c>
      <c r="E6" s="21">
        <f t="shared" si="27"/>
        <v>1161.376131053765</v>
      </c>
      <c r="F6" s="21">
        <f t="shared" si="27"/>
        <v>1218.8922794294792</v>
      </c>
      <c r="G6" s="21">
        <f t="shared" si="27"/>
        <v>1191.8290373144778</v>
      </c>
      <c r="H6" s="21">
        <f t="shared" si="27"/>
        <v>1305.1898472259713</v>
      </c>
      <c r="I6" s="21">
        <f t="shared" si="27"/>
        <v>1325.0247747935671</v>
      </c>
      <c r="J6" s="21">
        <f t="shared" si="27"/>
        <v>1347.3445759359472</v>
      </c>
      <c r="K6" s="21">
        <f t="shared" si="27"/>
        <v>1127.1542543165717</v>
      </c>
      <c r="L6" s="21">
        <f t="shared" si="27"/>
        <v>906.76742506541575</v>
      </c>
      <c r="M6" s="21">
        <f t="shared" si="27"/>
        <v>949.02728530975128</v>
      </c>
      <c r="N6" s="21">
        <f t="shared" si="27"/>
        <v>834.70063721102747</v>
      </c>
      <c r="O6" s="21">
        <f t="shared" si="27"/>
        <v>840.39884723170553</v>
      </c>
      <c r="P6" s="21">
        <f t="shared" si="27"/>
        <v>949.18047729087198</v>
      </c>
      <c r="Q6" s="21">
        <f t="shared" si="27"/>
        <v>983.52403679082261</v>
      </c>
      <c r="R6" s="21">
        <f t="shared" si="27"/>
        <v>1060.8139239055117</v>
      </c>
      <c r="S6" s="21">
        <f t="shared" si="27"/>
        <v>1174.4157089152045</v>
      </c>
      <c r="T6" s="21">
        <f t="shared" si="27"/>
        <v>1301.2871365969602</v>
      </c>
      <c r="U6" s="21">
        <f t="shared" si="27"/>
        <v>1345.3345225560313</v>
      </c>
      <c r="V6" s="21">
        <f t="shared" si="27"/>
        <v>438.54352410665371</v>
      </c>
      <c r="W6" s="21">
        <f t="shared" ref="W6" si="28">SUM(W7:W9)</f>
        <v>837.89972846190483</v>
      </c>
      <c r="DA6" s="189" t="s">
        <v>279</v>
      </c>
    </row>
    <row r="7" spans="1:105" ht="11.45" customHeight="1" x14ac:dyDescent="0.25">
      <c r="A7" s="83" t="s">
        <v>27</v>
      </c>
      <c r="B7" s="96">
        <v>507.78469107467771</v>
      </c>
      <c r="C7" s="96">
        <v>429.05997316269395</v>
      </c>
      <c r="D7" s="96">
        <v>391.95348172725431</v>
      </c>
      <c r="E7" s="96">
        <v>376.75398176740214</v>
      </c>
      <c r="F7" s="96">
        <v>405.60303071247887</v>
      </c>
      <c r="G7" s="96">
        <v>406.72328136423977</v>
      </c>
      <c r="H7" s="96">
        <v>365.37877180743044</v>
      </c>
      <c r="I7" s="96">
        <v>362.39887626665097</v>
      </c>
      <c r="J7" s="96">
        <v>347.17397269078594</v>
      </c>
      <c r="K7" s="96">
        <v>287.18619709710464</v>
      </c>
      <c r="L7" s="96">
        <v>234.45638596924061</v>
      </c>
      <c r="M7" s="96">
        <v>219.56811103647067</v>
      </c>
      <c r="N7" s="96">
        <v>185.27215132428353</v>
      </c>
      <c r="O7" s="96">
        <v>175.09210204889413</v>
      </c>
      <c r="P7" s="96">
        <v>178.78135559097163</v>
      </c>
      <c r="Q7" s="96">
        <v>166.6257362633113</v>
      </c>
      <c r="R7" s="96">
        <v>188.30235730190117</v>
      </c>
      <c r="S7" s="96">
        <v>194.65952058302594</v>
      </c>
      <c r="T7" s="96">
        <v>221.13384967654437</v>
      </c>
      <c r="U7" s="96">
        <v>223.76444346776836</v>
      </c>
      <c r="V7" s="96">
        <v>90.198382199265922</v>
      </c>
      <c r="W7" s="96">
        <v>150.88211656807255</v>
      </c>
      <c r="DA7" s="171" t="s">
        <v>280</v>
      </c>
    </row>
    <row r="8" spans="1:105" ht="11.45" customHeight="1" x14ac:dyDescent="0.25">
      <c r="A8" s="83" t="s">
        <v>173</v>
      </c>
      <c r="B8" s="96">
        <v>675.46313229858458</v>
      </c>
      <c r="C8" s="96">
        <v>624.80819635887929</v>
      </c>
      <c r="D8" s="96">
        <v>625.14106544995911</v>
      </c>
      <c r="E8" s="96">
        <v>648.3469994642079</v>
      </c>
      <c r="F8" s="96">
        <v>659.15656168055261</v>
      </c>
      <c r="G8" s="96">
        <v>635.19995629967184</v>
      </c>
      <c r="H8" s="96">
        <v>763.86658818324031</v>
      </c>
      <c r="I8" s="96">
        <v>784.24137698849847</v>
      </c>
      <c r="J8" s="96">
        <v>809.67637086266984</v>
      </c>
      <c r="K8" s="96">
        <v>672.96930565558171</v>
      </c>
      <c r="L8" s="96">
        <v>535.22404876114797</v>
      </c>
      <c r="M8" s="96">
        <v>581.27714464754945</v>
      </c>
      <c r="N8" s="96">
        <v>515.30617469602953</v>
      </c>
      <c r="O8" s="96">
        <v>527.85164639423272</v>
      </c>
      <c r="P8" s="96">
        <v>616.95399721312128</v>
      </c>
      <c r="Q8" s="96">
        <v>656.04274742062785</v>
      </c>
      <c r="R8" s="96">
        <v>709.12140808427819</v>
      </c>
      <c r="S8" s="96">
        <v>802.81286442145563</v>
      </c>
      <c r="T8" s="96">
        <v>885.82560246557114</v>
      </c>
      <c r="U8" s="96">
        <v>914.90462266375664</v>
      </c>
      <c r="V8" s="96">
        <v>262.21849514834844</v>
      </c>
      <c r="W8" s="96">
        <v>541.14507651942949</v>
      </c>
      <c r="DA8" s="171" t="s">
        <v>281</v>
      </c>
    </row>
    <row r="9" spans="1:105" ht="11.45" customHeight="1" x14ac:dyDescent="0.25">
      <c r="A9" s="83" t="s">
        <v>174</v>
      </c>
      <c r="B9" s="96">
        <v>141.98051442706782</v>
      </c>
      <c r="C9" s="96">
        <v>131.33459560768836</v>
      </c>
      <c r="D9" s="96">
        <v>131.40085662067858</v>
      </c>
      <c r="E9" s="96">
        <v>136.27514982215484</v>
      </c>
      <c r="F9" s="96">
        <v>154.13268703644781</v>
      </c>
      <c r="G9" s="96">
        <v>149.90579965056617</v>
      </c>
      <c r="H9" s="96">
        <v>175.9444872353007</v>
      </c>
      <c r="I9" s="96">
        <v>178.38452153841763</v>
      </c>
      <c r="J9" s="96">
        <v>190.49423238249139</v>
      </c>
      <c r="K9" s="96">
        <v>166.99875156388538</v>
      </c>
      <c r="L9" s="96">
        <v>137.0869903350272</v>
      </c>
      <c r="M9" s="96">
        <v>148.18202962573119</v>
      </c>
      <c r="N9" s="96">
        <v>134.12231119071436</v>
      </c>
      <c r="O9" s="96">
        <v>137.45509878857865</v>
      </c>
      <c r="P9" s="96">
        <v>153.44512448677898</v>
      </c>
      <c r="Q9" s="96">
        <v>160.85555310688346</v>
      </c>
      <c r="R9" s="96">
        <v>163.39015851933243</v>
      </c>
      <c r="S9" s="96">
        <v>176.94332391072297</v>
      </c>
      <c r="T9" s="96">
        <v>194.32768445484467</v>
      </c>
      <c r="U9" s="96">
        <v>206.66545642450635</v>
      </c>
      <c r="V9" s="96">
        <v>86.12664675903936</v>
      </c>
      <c r="W9" s="96">
        <v>145.87253537440276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33.623252913341432</v>
      </c>
      <c r="C10" s="22">
        <f t="shared" si="29"/>
        <v>36.728103314418142</v>
      </c>
      <c r="D10" s="22">
        <f t="shared" ref="D10:V10" si="30">SUM(D11:D13)</f>
        <v>35.511474963930667</v>
      </c>
      <c r="E10" s="22">
        <f t="shared" si="30"/>
        <v>30.013464818978402</v>
      </c>
      <c r="F10" s="22">
        <f t="shared" si="30"/>
        <v>19.905828911019277</v>
      </c>
      <c r="G10" s="22">
        <f t="shared" si="30"/>
        <v>19.544823390595049</v>
      </c>
      <c r="H10" s="22">
        <f t="shared" si="30"/>
        <v>23.106197485980314</v>
      </c>
      <c r="I10" s="22">
        <f t="shared" si="30"/>
        <v>20.066970692245398</v>
      </c>
      <c r="J10" s="22">
        <f t="shared" si="30"/>
        <v>21.963764562763174</v>
      </c>
      <c r="K10" s="22">
        <f t="shared" si="30"/>
        <v>15.93835101446858</v>
      </c>
      <c r="L10" s="22">
        <f t="shared" si="30"/>
        <v>12.430941228651051</v>
      </c>
      <c r="M10" s="22">
        <f t="shared" si="30"/>
        <v>12.27967943659436</v>
      </c>
      <c r="N10" s="22">
        <f t="shared" si="30"/>
        <v>10.589302599806569</v>
      </c>
      <c r="O10" s="22">
        <f t="shared" si="30"/>
        <v>10.035890515499936</v>
      </c>
      <c r="P10" s="22">
        <f t="shared" si="30"/>
        <v>8.0660403359552113</v>
      </c>
      <c r="Q10" s="22">
        <f t="shared" si="30"/>
        <v>7.5908385316193092</v>
      </c>
      <c r="R10" s="22">
        <f t="shared" si="30"/>
        <v>7.3526281151244834</v>
      </c>
      <c r="S10" s="22">
        <f t="shared" si="30"/>
        <v>7.304669416695627</v>
      </c>
      <c r="T10" s="22">
        <f t="shared" si="30"/>
        <v>10.225073205275166</v>
      </c>
      <c r="U10" s="22">
        <f t="shared" si="30"/>
        <v>9.9435513906582695</v>
      </c>
      <c r="V10" s="22">
        <f t="shared" si="30"/>
        <v>7.4485653172500008</v>
      </c>
      <c r="W10" s="22">
        <f t="shared" ref="W10" si="31">SUM(W11:W13)</f>
        <v>9.9706068777340384</v>
      </c>
      <c r="DA10" s="193" t="s">
        <v>283</v>
      </c>
    </row>
    <row r="11" spans="1:105" ht="11.45" customHeight="1" x14ac:dyDescent="0.25">
      <c r="A11" s="92" t="s">
        <v>27</v>
      </c>
      <c r="B11" s="97">
        <v>15.791749166078899</v>
      </c>
      <c r="C11" s="97">
        <v>16.581127439197633</v>
      </c>
      <c r="D11" s="97">
        <v>15.763629192780035</v>
      </c>
      <c r="E11" s="97">
        <v>13.066396564498159</v>
      </c>
      <c r="F11" s="97">
        <v>7.3997207922502888</v>
      </c>
      <c r="G11" s="97">
        <v>7.294603416499605</v>
      </c>
      <c r="H11" s="97">
        <v>6.5114259569719914</v>
      </c>
      <c r="I11" s="97">
        <v>5.2208141890669379</v>
      </c>
      <c r="J11" s="97">
        <v>5.689827825121224</v>
      </c>
      <c r="K11" s="97">
        <v>3.4653936165669132</v>
      </c>
      <c r="L11" s="97">
        <v>2.7891858278358899</v>
      </c>
      <c r="M11" s="97">
        <v>2.2719577511475815</v>
      </c>
      <c r="N11" s="97">
        <v>1.6868340583475179</v>
      </c>
      <c r="O11" s="97">
        <v>1.6060922761273664</v>
      </c>
      <c r="P11" s="97">
        <v>0.99792213903697879</v>
      </c>
      <c r="Q11" s="97">
        <v>0.80521816489164189</v>
      </c>
      <c r="R11" s="97">
        <v>0.72025662759153297</v>
      </c>
      <c r="S11" s="97">
        <v>0.50350607217615961</v>
      </c>
      <c r="T11" s="97">
        <v>1.0207504954246427</v>
      </c>
      <c r="U11" s="97">
        <v>0.8886949673132819</v>
      </c>
      <c r="V11" s="97">
        <v>0.3759084284210808</v>
      </c>
      <c r="W11" s="97">
        <v>0.51693760217682949</v>
      </c>
      <c r="DA11" s="175" t="s">
        <v>284</v>
      </c>
    </row>
    <row r="12" spans="1:105" ht="11.45" customHeight="1" x14ac:dyDescent="0.25">
      <c r="A12" s="92" t="s">
        <v>173</v>
      </c>
      <c r="B12" s="97">
        <v>16.13549727196159</v>
      </c>
      <c r="C12" s="97">
        <v>18.512271431419983</v>
      </c>
      <c r="D12" s="97">
        <v>18.090973248328613</v>
      </c>
      <c r="E12" s="97">
        <v>15.12346315498708</v>
      </c>
      <c r="F12" s="97">
        <v>11.186300446606644</v>
      </c>
      <c r="G12" s="97">
        <v>10.943605384386085</v>
      </c>
      <c r="H12" s="97">
        <v>15.206490755093238</v>
      </c>
      <c r="I12" s="97">
        <v>13.676436196090743</v>
      </c>
      <c r="J12" s="97">
        <v>15.013309625977342</v>
      </c>
      <c r="K12" s="97">
        <v>11.476033586283764</v>
      </c>
      <c r="L12" s="97">
        <v>9.1211748999423818</v>
      </c>
      <c r="M12" s="97">
        <v>9.3867513820714645</v>
      </c>
      <c r="N12" s="97">
        <v>8.2965782070519101</v>
      </c>
      <c r="O12" s="97">
        <v>7.9616786042632031</v>
      </c>
      <c r="P12" s="97">
        <v>6.6909623306064914</v>
      </c>
      <c r="Q12" s="97">
        <v>6.2592182240328968</v>
      </c>
      <c r="R12" s="97">
        <v>6.1478307283853075</v>
      </c>
      <c r="S12" s="97">
        <v>6.2269456075544261</v>
      </c>
      <c r="T12" s="97">
        <v>8.2553334042562518</v>
      </c>
      <c r="U12" s="97">
        <v>7.9271003156268849</v>
      </c>
      <c r="V12" s="97">
        <v>5.9979704564004468</v>
      </c>
      <c r="W12" s="97">
        <v>7.3470930973468986</v>
      </c>
      <c r="DA12" s="175" t="s">
        <v>285</v>
      </c>
    </row>
    <row r="13" spans="1:105" ht="11.45" customHeight="1" x14ac:dyDescent="0.25">
      <c r="A13" s="85" t="s">
        <v>174</v>
      </c>
      <c r="B13" s="98">
        <v>1.6960064753009401</v>
      </c>
      <c r="C13" s="98">
        <v>1.6347044438005254</v>
      </c>
      <c r="D13" s="98">
        <v>1.6568725228220167</v>
      </c>
      <c r="E13" s="98">
        <v>1.8236050994931596</v>
      </c>
      <c r="F13" s="98">
        <v>1.3198076721623442</v>
      </c>
      <c r="G13" s="98">
        <v>1.3066145897093595</v>
      </c>
      <c r="H13" s="98">
        <v>1.388280773915086</v>
      </c>
      <c r="I13" s="98">
        <v>1.1697203070877173</v>
      </c>
      <c r="J13" s="98">
        <v>1.2606271116646064</v>
      </c>
      <c r="K13" s="98">
        <v>0.99692381161790278</v>
      </c>
      <c r="L13" s="98">
        <v>0.52058050087277774</v>
      </c>
      <c r="M13" s="98">
        <v>0.62097030337531467</v>
      </c>
      <c r="N13" s="98">
        <v>0.60589033440714113</v>
      </c>
      <c r="O13" s="98">
        <v>0.46811963510936716</v>
      </c>
      <c r="P13" s="98">
        <v>0.37715586631174097</v>
      </c>
      <c r="Q13" s="98">
        <v>0.52640214269477104</v>
      </c>
      <c r="R13" s="98">
        <v>0.48454075914764311</v>
      </c>
      <c r="S13" s="98">
        <v>0.5742177369650413</v>
      </c>
      <c r="T13" s="98">
        <v>0.94898930559427097</v>
      </c>
      <c r="U13" s="98">
        <v>1.1277561077181031</v>
      </c>
      <c r="V13" s="98">
        <v>1.0746864324284733</v>
      </c>
      <c r="W13" s="98">
        <v>2.1065761782103105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541.15698865584272</v>
      </c>
      <c r="C17" s="62">
        <f>IF(C3=0,0,C3/TrAvia_act!C13*100)</f>
        <v>518.70544811848652</v>
      </c>
      <c r="D17" s="62">
        <f>IF(D3=0,0,D3/TrAvia_act!D13*100)</f>
        <v>509.93162755278422</v>
      </c>
      <c r="E17" s="62">
        <f>IF(E3=0,0,E3/TrAvia_act!E13*100)</f>
        <v>504.9621170735544</v>
      </c>
      <c r="F17" s="62">
        <f>IF(F3=0,0,F3/TrAvia_act!F13*100)</f>
        <v>488.44045922241321</v>
      </c>
      <c r="G17" s="62">
        <f>IF(G3=0,0,G3/TrAvia_act!G13*100)</f>
        <v>493.23672370174467</v>
      </c>
      <c r="H17" s="62">
        <f>IF(H3=0,0,H3/TrAvia_act!H13*100)</f>
        <v>504.65375021469356</v>
      </c>
      <c r="I17" s="62">
        <f>IF(I3=0,0,I3/TrAvia_act!I13*100)</f>
        <v>483.48460707388438</v>
      </c>
      <c r="J17" s="62">
        <f>IF(J3=0,0,J3/TrAvia_act!J13*100)</f>
        <v>506.47901902138557</v>
      </c>
      <c r="K17" s="62">
        <f>IF(K3=0,0,K3/TrAvia_act!K13*100)</f>
        <v>436.52095004279488</v>
      </c>
      <c r="L17" s="62">
        <f>IF(L3=0,0,L3/TrAvia_act!L13*100)</f>
        <v>367.25815784945939</v>
      </c>
      <c r="M17" s="62">
        <f>IF(M3=0,0,M3/TrAvia_act!M13*100)</f>
        <v>383.65729774993633</v>
      </c>
      <c r="N17" s="62">
        <f>IF(N3=0,0,N3/TrAvia_act!N13*100)</f>
        <v>368.96205333178779</v>
      </c>
      <c r="O17" s="62">
        <f>IF(O3=0,0,O3/TrAvia_act!O13*100)</f>
        <v>365.70675239015185</v>
      </c>
      <c r="P17" s="62">
        <f>IF(P3=0,0,P3/TrAvia_act!P13*100)</f>
        <v>361.37916176651481</v>
      </c>
      <c r="Q17" s="62">
        <f>IF(Q3=0,0,Q3/TrAvia_act!Q13*100)</f>
        <v>358.60608199863509</v>
      </c>
      <c r="R17" s="62">
        <f>IF(R3=0,0,R3/TrAvia_act!R13*100)</f>
        <v>360.32934472720848</v>
      </c>
      <c r="S17" s="62">
        <f>IF(S3=0,0,S3/TrAvia_act!S13*100)</f>
        <v>368.9188979359846</v>
      </c>
      <c r="T17" s="62">
        <f>IF(T3=0,0,T3/TrAvia_act!T13*100)</f>
        <v>374.48254613890708</v>
      </c>
      <c r="U17" s="62">
        <f>IF(U3=0,0,U3/TrAvia_act!U13*100)</f>
        <v>377.61463342347992</v>
      </c>
      <c r="V17" s="62">
        <f>IF(V3=0,0,V3/TrAvia_act!V13*100)</f>
        <v>314.44174235350675</v>
      </c>
      <c r="W17" s="62">
        <f>IF(W3=0,0,W3/TrAvia_act!W13*100)</f>
        <v>330.49368584744985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540.47269090432906</v>
      </c>
      <c r="C18" s="14">
        <f>IF(C6=0,0,C6/TrAvia_act!C14*100)</f>
        <v>517.98813730431789</v>
      </c>
      <c r="D18" s="14">
        <f>IF(D6=0,0,D6/TrAvia_act!D14*100)</f>
        <v>509.08524703307904</v>
      </c>
      <c r="E18" s="14">
        <f>IF(E6=0,0,E6/TrAvia_act!E14*100)</f>
        <v>504.17920178574275</v>
      </c>
      <c r="F18" s="14">
        <f>IF(F6=0,0,F6/TrAvia_act!F14*100)</f>
        <v>488.49142459351447</v>
      </c>
      <c r="G18" s="14">
        <f>IF(G6=0,0,G6/TrAvia_act!G14*100)</f>
        <v>493.31396070521009</v>
      </c>
      <c r="H18" s="14">
        <f>IF(H6=0,0,H6/TrAvia_act!H14*100)</f>
        <v>504.82826047064435</v>
      </c>
      <c r="I18" s="14">
        <f>IF(I6=0,0,I6/TrAvia_act!I14*100)</f>
        <v>483.76339117222136</v>
      </c>
      <c r="J18" s="14">
        <f>IF(J6=0,0,J6/TrAvia_act!J14*100)</f>
        <v>506.67221842412727</v>
      </c>
      <c r="K18" s="14">
        <f>IF(K6=0,0,K6/TrAvia_act!K14*100)</f>
        <v>436.84109101831075</v>
      </c>
      <c r="L18" s="14">
        <f>IF(L6=0,0,L6/TrAvia_act!L14*100)</f>
        <v>367.45771919297607</v>
      </c>
      <c r="M18" s="14">
        <f>IF(M6=0,0,M6/TrAvia_act!M14*100)</f>
        <v>383.82718835614781</v>
      </c>
      <c r="N18" s="14">
        <f>IF(N6=0,0,N6/TrAvia_act!N14*100)</f>
        <v>369.04219988782654</v>
      </c>
      <c r="O18" s="14">
        <f>IF(O6=0,0,O6/TrAvia_act!O14*100)</f>
        <v>365.69527370345349</v>
      </c>
      <c r="P18" s="14">
        <f>IF(P6=0,0,P6/TrAvia_act!P14*100)</f>
        <v>361.43885553804108</v>
      </c>
      <c r="Q18" s="14">
        <f>IF(Q6=0,0,Q6/TrAvia_act!Q14*100)</f>
        <v>358.70982995582966</v>
      </c>
      <c r="R18" s="14">
        <f>IF(R6=0,0,R6/TrAvia_act!R14*100)</f>
        <v>360.42749614329495</v>
      </c>
      <c r="S18" s="14">
        <f>IF(S6=0,0,S6/TrAvia_act!S14*100)</f>
        <v>369.06875498480252</v>
      </c>
      <c r="T18" s="14">
        <f>IF(T6=0,0,T6/TrAvia_act!T14*100)</f>
        <v>374.71598323180586</v>
      </c>
      <c r="U18" s="14">
        <f>IF(U6=0,0,U6/TrAvia_act!U14*100)</f>
        <v>377.89594794483617</v>
      </c>
      <c r="V18" s="14">
        <f>IF(V6=0,0,V6/TrAvia_act!V14*100)</f>
        <v>314.82990128221149</v>
      </c>
      <c r="W18" s="14">
        <f>IF(W6=0,0,W6/TrAvia_act!W14*100)</f>
        <v>331.00338799882991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1191.4313750563579</v>
      </c>
      <c r="C19" s="87">
        <f>IF(C7=0,0,C7/TrAvia_act!C15*100)</f>
        <v>1063.4347772925198</v>
      </c>
      <c r="D19" s="87">
        <f>IF(D7=0,0,D7/TrAvia_act!D15*100)</f>
        <v>1060.7701845287793</v>
      </c>
      <c r="E19" s="87">
        <f>IF(E7=0,0,E7/TrAvia_act!E15*100)</f>
        <v>1065.3812702410598</v>
      </c>
      <c r="F19" s="87">
        <f>IF(F7=0,0,F7/TrAvia_act!F15*100)</f>
        <v>1007.7500507271477</v>
      </c>
      <c r="G19" s="87">
        <f>IF(G7=0,0,G7/TrAvia_act!G15*100)</f>
        <v>1054.5044262174149</v>
      </c>
      <c r="H19" s="87">
        <f>IF(H7=0,0,H7/TrAvia_act!H15*100)</f>
        <v>914.45291468443145</v>
      </c>
      <c r="I19" s="87">
        <f>IF(I7=0,0,I7/TrAvia_act!I15*100)</f>
        <v>890.71996539597649</v>
      </c>
      <c r="J19" s="87">
        <f>IF(J7=0,0,J7/TrAvia_act!J15*100)</f>
        <v>902.54343767865123</v>
      </c>
      <c r="K19" s="87">
        <f>IF(K7=0,0,K7/TrAvia_act!K15*100)</f>
        <v>672.15224832998138</v>
      </c>
      <c r="L19" s="87">
        <f>IF(L7=0,0,L7/TrAvia_act!L15*100)</f>
        <v>626.1967361626173</v>
      </c>
      <c r="M19" s="87">
        <f>IF(M7=0,0,M7/TrAvia_act!M15*100)</f>
        <v>708.79698016096756</v>
      </c>
      <c r="N19" s="87">
        <f>IF(N7=0,0,N7/TrAvia_act!N15*100)</f>
        <v>650.61168923344587</v>
      </c>
      <c r="O19" s="87">
        <f>IF(O7=0,0,O7/TrAvia_act!O15*100)</f>
        <v>689.05496792187807</v>
      </c>
      <c r="P19" s="87">
        <f>IF(P7=0,0,P7/TrAvia_act!P15*100)</f>
        <v>661.7055526766037</v>
      </c>
      <c r="Q19" s="87">
        <f>IF(Q7=0,0,Q7/TrAvia_act!Q15*100)</f>
        <v>557.66924548873442</v>
      </c>
      <c r="R19" s="87">
        <f>IF(R7=0,0,R7/TrAvia_act!R15*100)</f>
        <v>590.23529657384245</v>
      </c>
      <c r="S19" s="87">
        <f>IF(S7=0,0,S7/TrAvia_act!S15*100)</f>
        <v>622.6881749190859</v>
      </c>
      <c r="T19" s="87">
        <f>IF(T7=0,0,T7/TrAvia_act!T15*100)</f>
        <v>673.91449388319279</v>
      </c>
      <c r="U19" s="87">
        <f>IF(U7=0,0,U7/TrAvia_act!U15*100)</f>
        <v>677.77078020198167</v>
      </c>
      <c r="V19" s="87">
        <f>IF(V7=0,0,V7/TrAvia_act!V15*100)</f>
        <v>448.78751716528933</v>
      </c>
      <c r="W19" s="87">
        <f>IF(W7=0,0,W7/TrAvia_act!W15*100)</f>
        <v>548.66590753252058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387.00810653143247</v>
      </c>
      <c r="C20" s="87">
        <f>IF(C8=0,0,C8/TrAvia_act!C16*100)</f>
        <v>384.7994692181552</v>
      </c>
      <c r="D20" s="87">
        <f>IF(D8=0,0,D8/TrAvia_act!D16*100)</f>
        <v>384.62001077893723</v>
      </c>
      <c r="E20" s="87">
        <f>IF(E8=0,0,E8/TrAvia_act!E16*100)</f>
        <v>385.93281362247535</v>
      </c>
      <c r="F20" s="87">
        <f>IF(F8=0,0,F8/TrAvia_act!F16*100)</f>
        <v>371.1396084550189</v>
      </c>
      <c r="G20" s="87">
        <f>IF(G8=0,0,G8/TrAvia_act!G16*100)</f>
        <v>369.13805425100372</v>
      </c>
      <c r="H20" s="87">
        <f>IF(H8=0,0,H8/TrAvia_act!H16*100)</f>
        <v>419.40665984990773</v>
      </c>
      <c r="I20" s="87">
        <f>IF(I8=0,0,I8/TrAvia_act!I16*100)</f>
        <v>410.80827355114212</v>
      </c>
      <c r="J20" s="87">
        <f>IF(J8=0,0,J8/TrAvia_act!J16*100)</f>
        <v>445.03847221380852</v>
      </c>
      <c r="K20" s="87">
        <f>IF(K8=0,0,K8/TrAvia_act!K16*100)</f>
        <v>388.84952372052766</v>
      </c>
      <c r="L20" s="87">
        <f>IF(L8=0,0,L8/TrAvia_act!L16*100)</f>
        <v>322.04925421521102</v>
      </c>
      <c r="M20" s="87">
        <f>IF(M8=0,0,M8/TrAvia_act!M16*100)</f>
        <v>340.74348984760883</v>
      </c>
      <c r="N20" s="87">
        <f>IF(N8=0,0,N8/TrAvia_act!N16*100)</f>
        <v>332.65794934736846</v>
      </c>
      <c r="O20" s="87">
        <f>IF(O8=0,0,O8/TrAvia_act!O16*100)</f>
        <v>339.46802851887804</v>
      </c>
      <c r="P20" s="87">
        <f>IF(P8=0,0,P8/TrAvia_act!P16*100)</f>
        <v>336.42356518053839</v>
      </c>
      <c r="Q20" s="87">
        <f>IF(Q8=0,0,Q8/TrAvia_act!Q16*100)</f>
        <v>335.50415907714728</v>
      </c>
      <c r="R20" s="87">
        <f>IF(R8=0,0,R8/TrAvia_act!R16*100)</f>
        <v>339.92253569138069</v>
      </c>
      <c r="S20" s="87">
        <f>IF(S8=0,0,S8/TrAvia_act!S16*100)</f>
        <v>354.87375846188439</v>
      </c>
      <c r="T20" s="87">
        <f>IF(T8=0,0,T8/TrAvia_act!T16*100)</f>
        <v>354.40487853646783</v>
      </c>
      <c r="U20" s="87">
        <f>IF(U8=0,0,U8/TrAvia_act!U16*100)</f>
        <v>363.00673815716857</v>
      </c>
      <c r="V20" s="87">
        <f>IF(V8=0,0,V8/TrAvia_act!V16*100)</f>
        <v>261.82354239643126</v>
      </c>
      <c r="W20" s="87">
        <f>IF(W8=0,0,W8/TrAvia_act!W16*100)</f>
        <v>301.52663477456105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506.28344179667596</v>
      </c>
      <c r="C21" s="87">
        <f>IF(C9=0,0,C9/TrAvia_act!C17*100)</f>
        <v>503.3938801139376</v>
      </c>
      <c r="D21" s="87">
        <f>IF(D9=0,0,D9/TrAvia_act!D17*100)</f>
        <v>503.15848548449065</v>
      </c>
      <c r="E21" s="87">
        <f>IF(E9=0,0,E9/TrAvia_act!E17*100)</f>
        <v>504.8764157126821</v>
      </c>
      <c r="F21" s="87">
        <f>IF(F9=0,0,F9/TrAvia_act!F17*100)</f>
        <v>486.68419159128644</v>
      </c>
      <c r="G21" s="87">
        <f>IF(G9=0,0,G9/TrAvia_act!G17*100)</f>
        <v>484.35086671127908</v>
      </c>
      <c r="H21" s="87">
        <f>IF(H9=0,0,H9/TrAvia_act!H17*100)</f>
        <v>482.63382153869367</v>
      </c>
      <c r="I21" s="87">
        <f>IF(I9=0,0,I9/TrAvia_act!I17*100)</f>
        <v>421.60073216366084</v>
      </c>
      <c r="J21" s="87">
        <f>IF(J9=0,0,J9/TrAvia_act!J17*100)</f>
        <v>418.4832068869851</v>
      </c>
      <c r="K21" s="87">
        <f>IF(K9=0,0,K9/TrAvia_act!K17*100)</f>
        <v>395.44365555901294</v>
      </c>
      <c r="L21" s="87">
        <f>IF(L9=0,0,L9/TrAvia_act!L17*100)</f>
        <v>317.82193644949223</v>
      </c>
      <c r="M21" s="87">
        <f>IF(M9=0,0,M9/TrAvia_act!M17*100)</f>
        <v>324.3532080601239</v>
      </c>
      <c r="N21" s="87">
        <f>IF(N9=0,0,N9/TrAvia_act!N17*100)</f>
        <v>313.38494371147766</v>
      </c>
      <c r="O21" s="87">
        <f>IF(O9=0,0,O9/TrAvia_act!O17*100)</f>
        <v>281.06976298757598</v>
      </c>
      <c r="P21" s="87">
        <f>IF(P9=0,0,P9/TrAvia_act!P17*100)</f>
        <v>293.91515842229433</v>
      </c>
      <c r="Q21" s="87">
        <f>IF(Q9=0,0,Q9/TrAvia_act!Q17*100)</f>
        <v>329.85583863151646</v>
      </c>
      <c r="R21" s="87">
        <f>IF(R9=0,0,R9/TrAvia_act!R17*100)</f>
        <v>303.66841088450985</v>
      </c>
      <c r="S21" s="87">
        <f>IF(S9=0,0,S9/TrAvia_act!S17*100)</f>
        <v>291.38715734498288</v>
      </c>
      <c r="T21" s="87">
        <f>IF(T9=0,0,T9/TrAvia_act!T17*100)</f>
        <v>301.22611286427264</v>
      </c>
      <c r="U21" s="87">
        <f>IF(U9=0,0,U9/TrAvia_act!U17*100)</f>
        <v>291.25584643242217</v>
      </c>
      <c r="V21" s="87">
        <f>IF(V9=0,0,V9/TrAvia_act!V17*100)</f>
        <v>452.19619460096868</v>
      </c>
      <c r="W21" s="87">
        <f>IF(W9=0,0,W9/TrAvia_act!W17*100)</f>
        <v>315.93913234610989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569.58048134420892</v>
      </c>
      <c r="C22" s="15">
        <f>IF(C10=0,0,C10/TrAvia_act!C18*100)</f>
        <v>542.96913904092253</v>
      </c>
      <c r="D22" s="15">
        <f>IF(D10=0,0,D10/TrAvia_act!D18*100)</f>
        <v>538.90844517321898</v>
      </c>
      <c r="E22" s="15">
        <f>IF(E10=0,0,E10/TrAvia_act!E18*100)</f>
        <v>537.24394660043833</v>
      </c>
      <c r="F22" s="15">
        <f>IF(F10=0,0,F10/TrAvia_act!F18*100)</f>
        <v>485.33983422977292</v>
      </c>
      <c r="G22" s="15">
        <f>IF(G10=0,0,G10/TrAvia_act!G18*100)</f>
        <v>488.5721396821034</v>
      </c>
      <c r="H22" s="15">
        <f>IF(H10=0,0,H10/TrAvia_act!H18*100)</f>
        <v>494.98840154792526</v>
      </c>
      <c r="I22" s="15">
        <f>IF(I10=0,0,I10/TrAvia_act!I18*100)</f>
        <v>465.76146438365924</v>
      </c>
      <c r="J22" s="15">
        <f>IF(J10=0,0,J10/TrAvia_act!J18*100)</f>
        <v>494.9027020121938</v>
      </c>
      <c r="K22" s="15">
        <f>IF(K10=0,0,K10/TrAvia_act!K18*100)</f>
        <v>415.01203805267045</v>
      </c>
      <c r="L22" s="15">
        <f>IF(L10=0,0,L10/TrAvia_act!L18*100)</f>
        <v>353.2635798663261</v>
      </c>
      <c r="M22" s="15">
        <f>IF(M10=0,0,M10/TrAvia_act!M18*100)</f>
        <v>370.96731738435699</v>
      </c>
      <c r="N22" s="15">
        <f>IF(N10=0,0,N10/TrAvia_act!N18*100)</f>
        <v>362.75218688448803</v>
      </c>
      <c r="O22" s="15">
        <f>IF(O10=0,0,O10/TrAvia_act!O18*100)</f>
        <v>366.67053347466043</v>
      </c>
      <c r="P22" s="15">
        <f>IF(P10=0,0,P10/TrAvia_act!P18*100)</f>
        <v>354.48968576481747</v>
      </c>
      <c r="Q22" s="15">
        <f>IF(Q10=0,0,Q10/TrAvia_act!Q18*100)</f>
        <v>345.65303689196753</v>
      </c>
      <c r="R22" s="15">
        <f>IF(R10=0,0,R10/TrAvia_act!R18*100)</f>
        <v>346.70742223264017</v>
      </c>
      <c r="S22" s="15">
        <f>IF(S10=0,0,S10/TrAvia_act!S18*100)</f>
        <v>346.31113272009583</v>
      </c>
      <c r="T22" s="15">
        <f>IF(T10=0,0,T10/TrAvia_act!T18*100)</f>
        <v>346.9737855728327</v>
      </c>
      <c r="U22" s="15">
        <f>IF(U10=0,0,U10/TrAvia_act!U18*100)</f>
        <v>343.06198971037543</v>
      </c>
      <c r="V22" s="15">
        <f>IF(V10=0,0,V10/TrAvia_act!V18*100)</f>
        <v>293.16131522862997</v>
      </c>
      <c r="W22" s="15">
        <f>IF(W10=0,0,W10/TrAvia_act!W18*100)</f>
        <v>292.62610580988365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1190.072237651018</v>
      </c>
      <c r="C23" s="101">
        <f>IF(C11=0,0,C11/TrAvia_act!C19*100)</f>
        <v>1062.2216533021524</v>
      </c>
      <c r="D23" s="101">
        <f>IF(D11=0,0,D11/TrAvia_act!D19*100)</f>
        <v>1059.5601001995885</v>
      </c>
      <c r="E23" s="101">
        <f>IF(E11=0,0,E11/TrAvia_act!E19*100)</f>
        <v>1064.1659257691517</v>
      </c>
      <c r="F23" s="101">
        <f>IF(F11=0,0,F11/TrAvia_act!F19*100)</f>
        <v>1006.6004496524648</v>
      </c>
      <c r="G23" s="101">
        <f>IF(G11=0,0,G11/TrAvia_act!G19*100)</f>
        <v>1053.2946544456336</v>
      </c>
      <c r="H23" s="101">
        <f>IF(H11=0,0,H11/TrAvia_act!H19*100)</f>
        <v>911.97768024381071</v>
      </c>
      <c r="I23" s="101">
        <f>IF(I11=0,0,I11/TrAvia_act!I19*100)</f>
        <v>886.86659752578566</v>
      </c>
      <c r="J23" s="101">
        <f>IF(J11=0,0,J11/TrAvia_act!J19*100)</f>
        <v>897.2610528203395</v>
      </c>
      <c r="K23" s="101">
        <f>IF(K11=0,0,K11/TrAvia_act!K19*100)</f>
        <v>667.01628776685823</v>
      </c>
      <c r="L23" s="101">
        <f>IF(L11=0,0,L11/TrAvia_act!L19*100)</f>
        <v>620.25165513158731</v>
      </c>
      <c r="M23" s="101">
        <f>IF(M11=0,0,M11/TrAvia_act!M19*100)</f>
        <v>680.83759794479533</v>
      </c>
      <c r="N23" s="101">
        <f>IF(N11=0,0,N11/TrAvia_act!N19*100)</f>
        <v>606.07474219560197</v>
      </c>
      <c r="O23" s="101">
        <f>IF(O11=0,0,O11/TrAvia_act!O19*100)</f>
        <v>639.38357436243643</v>
      </c>
      <c r="P23" s="101">
        <f>IF(P11=0,0,P11/TrAvia_act!P19*100)</f>
        <v>613.2758314882708</v>
      </c>
      <c r="Q23" s="101">
        <f>IF(Q11=0,0,Q11/TrAvia_act!Q19*100)</f>
        <v>516.36359599771947</v>
      </c>
      <c r="R23" s="101">
        <f>IF(R11=0,0,R11/TrAvia_act!R19*100)</f>
        <v>546.46415941949419</v>
      </c>
      <c r="S23" s="101">
        <f>IF(S11=0,0,S11/TrAvia_act!S19*100)</f>
        <v>573.99215980622841</v>
      </c>
      <c r="T23" s="101">
        <f>IF(T11=0,0,T11/TrAvia_act!T19*100)</f>
        <v>620.14617786766678</v>
      </c>
      <c r="U23" s="101">
        <f>IF(U11=0,0,U11/TrAvia_act!U19*100)</f>
        <v>603.59281941970619</v>
      </c>
      <c r="V23" s="101">
        <f>IF(V11=0,0,V11/TrAvia_act!V19*100)</f>
        <v>398.7308144518268</v>
      </c>
      <c r="W23" s="101">
        <f>IF(W11=0,0,W11/TrAvia_act!W19*100)</f>
        <v>487.51712530946776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388.03535325393972</v>
      </c>
      <c r="C24" s="101">
        <f>IF(C12=0,0,C12/TrAvia_act!C20*100)</f>
        <v>385.81965233517593</v>
      </c>
      <c r="D24" s="101">
        <f>IF(D12=0,0,D12/TrAvia_act!D20*100)</f>
        <v>385.65893705455005</v>
      </c>
      <c r="E24" s="101">
        <f>IF(E12=0,0,E12/TrAvia_act!E20*100)</f>
        <v>386.98111458816425</v>
      </c>
      <c r="F24" s="101">
        <f>IF(F12=0,0,F12/TrAvia_act!F20*100)</f>
        <v>369.43345560602029</v>
      </c>
      <c r="G24" s="101">
        <f>IF(G12=0,0,G12/TrAvia_act!G20*100)</f>
        <v>367.73905048787469</v>
      </c>
      <c r="H24" s="101">
        <f>IF(H12=0,0,H12/TrAvia_act!H20*100)</f>
        <v>424.94713647711757</v>
      </c>
      <c r="I24" s="101">
        <f>IF(I12=0,0,I12/TrAvia_act!I20*100)</f>
        <v>409.40145678720148</v>
      </c>
      <c r="J24" s="101">
        <f>IF(J12=0,0,J12/TrAvia_act!J20*100)</f>
        <v>444.47607848710334</v>
      </c>
      <c r="K24" s="101">
        <f>IF(K12=0,0,K12/TrAvia_act!K20*100)</f>
        <v>385.54535845117977</v>
      </c>
      <c r="L24" s="101">
        <f>IF(L12=0,0,L12/TrAvia_act!L20*100)</f>
        <v>319.90075015953335</v>
      </c>
      <c r="M24" s="101">
        <f>IF(M12=0,0,M12/TrAvia_act!M20*100)</f>
        <v>339.78808239689482</v>
      </c>
      <c r="N24" s="101">
        <f>IF(N12=0,0,N12/TrAvia_act!N20*100)</f>
        <v>336.31697260008201</v>
      </c>
      <c r="O24" s="101">
        <f>IF(O12=0,0,O12/TrAvia_act!O20*100)</f>
        <v>342.01733078707281</v>
      </c>
      <c r="P24" s="101">
        <f>IF(P12=0,0,P12/TrAvia_act!P20*100)</f>
        <v>336.85755629693199</v>
      </c>
      <c r="Q24" s="101">
        <f>IF(Q12=0,0,Q12/TrAvia_act!Q20*100)</f>
        <v>332.18869599954496</v>
      </c>
      <c r="R24" s="101">
        <f>IF(R12=0,0,R12/TrAvia_act!R20*100)</f>
        <v>337.90592438834841</v>
      </c>
      <c r="S24" s="101">
        <f>IF(S12=0,0,S12/TrAvia_act!S20*100)</f>
        <v>347.85112912331988</v>
      </c>
      <c r="T24" s="101">
        <f>IF(T12=0,0,T12/TrAvia_act!T20*100)</f>
        <v>346.41724080603097</v>
      </c>
      <c r="U24" s="101">
        <f>IF(U12=0,0,U12/TrAvia_act!U20*100)</f>
        <v>349.42405266029539</v>
      </c>
      <c r="V24" s="101">
        <f>IF(V12=0,0,V12/TrAvia_act!V20*100)</f>
        <v>275.84329059952989</v>
      </c>
      <c r="W24" s="101">
        <f>IF(W12=0,0,W12/TrAvia_act!W20*100)</f>
        <v>301.94028788403688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405.79230955214206</v>
      </c>
      <c r="C25" s="88">
        <f>IF(C13=0,0,C13/TrAvia_act!C21*100)</f>
        <v>403.47629087163631</v>
      </c>
      <c r="D25" s="88">
        <f>IF(D13=0,0,D13/TrAvia_act!D21*100)</f>
        <v>403.28761922557089</v>
      </c>
      <c r="E25" s="88">
        <f>IF(E13=0,0,E13/TrAvia_act!E21*100)</f>
        <v>404.66456110712505</v>
      </c>
      <c r="F25" s="88">
        <f>IF(F13=0,0,F13/TrAvia_act!F21*100)</f>
        <v>390.08327317103635</v>
      </c>
      <c r="G25" s="88">
        <f>IF(G13=0,0,G13/TrAvia_act!G21*100)</f>
        <v>393.64218274124755</v>
      </c>
      <c r="H25" s="88">
        <f>IF(H13=0,0,H13/TrAvia_act!H21*100)</f>
        <v>369.62123312394993</v>
      </c>
      <c r="I25" s="88">
        <f>IF(I13=0,0,I13/TrAvia_act!I21*100)</f>
        <v>308.51249519642113</v>
      </c>
      <c r="J25" s="88">
        <f>IF(J13=0,0,J13/TrAvia_act!J21*100)</f>
        <v>295.84594243632864</v>
      </c>
      <c r="K25" s="88">
        <f>IF(K13=0,0,K13/TrAvia_act!K21*100)</f>
        <v>289.51144602000733</v>
      </c>
      <c r="L25" s="88">
        <f>IF(L13=0,0,L13/TrAvia_act!L21*100)</f>
        <v>238.85542264267778</v>
      </c>
      <c r="M25" s="88">
        <f>IF(M13=0,0,M13/TrAvia_act!M21*100)</f>
        <v>290.24523328716577</v>
      </c>
      <c r="N25" s="88">
        <f>IF(N13=0,0,N13/TrAvia_act!N21*100)</f>
        <v>348.32801550772308</v>
      </c>
      <c r="O25" s="88">
        <f>IF(O13=0,0,O13/TrAvia_act!O21*100)</f>
        <v>296.31558996686033</v>
      </c>
      <c r="P25" s="88">
        <f>IF(P13=0,0,P13/TrAvia_act!P21*100)</f>
        <v>298.41432984314662</v>
      </c>
      <c r="Q25" s="88">
        <f>IF(Q13=0,0,Q13/TrAvia_act!Q21*100)</f>
        <v>337.63151518068264</v>
      </c>
      <c r="R25" s="88">
        <f>IF(R13=0,0,R13/TrAvia_act!R21*100)</f>
        <v>285.85330244891594</v>
      </c>
      <c r="S25" s="88">
        <f>IF(S13=0,0,S13/TrAvia_act!S21*100)</f>
        <v>248.10501858090461</v>
      </c>
      <c r="T25" s="88">
        <f>IF(T13=0,0,T13/TrAvia_act!T21*100)</f>
        <v>237.68082423241586</v>
      </c>
      <c r="U25" s="88">
        <f>IF(U13=0,0,U13/TrAvia_act!U21*100)</f>
        <v>233.67488543794849</v>
      </c>
      <c r="V25" s="88">
        <f>IF(V13=0,0,V13/TrAvia_act!V21*100)</f>
        <v>394.9817920185219</v>
      </c>
      <c r="W25" s="88">
        <f>IF(W13=0,0,W13/TrAvia_act!W21*100)</f>
        <v>242.70503528797116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39.543944288034183</v>
      </c>
      <c r="C28" s="14">
        <f>IF(C6=0,0,C6/TrAvia_act!C4*1000)</f>
        <v>37.909670572234496</v>
      </c>
      <c r="D28" s="14">
        <f>IF(D6=0,0,D6/TrAvia_act!D4*1000)</f>
        <v>37.194975703328275</v>
      </c>
      <c r="E28" s="14">
        <f>IF(E6=0,0,E6/TrAvia_act!E4*1000)</f>
        <v>37.083713494218223</v>
      </c>
      <c r="F28" s="14">
        <f>IF(F6=0,0,F6/TrAvia_act!F4*1000)</f>
        <v>36.416262749972532</v>
      </c>
      <c r="G28" s="14">
        <f>IF(G6=0,0,G6/TrAvia_act!G4*1000)</f>
        <v>34.689588060831824</v>
      </c>
      <c r="H28" s="14">
        <f>IF(H6=0,0,H6/TrAvia_act!H4*1000)</f>
        <v>36.36960391035165</v>
      </c>
      <c r="I28" s="14">
        <f>IF(I6=0,0,I6/TrAvia_act!I4*1000)</f>
        <v>36.175545466481935</v>
      </c>
      <c r="J28" s="14">
        <f>IF(J6=0,0,J6/TrAvia_act!J4*1000)</f>
        <v>38.194537423312809</v>
      </c>
      <c r="K28" s="14">
        <f>IF(K6=0,0,K6/TrAvia_act!K4*1000)</f>
        <v>34.360494251711643</v>
      </c>
      <c r="L28" s="14">
        <f>IF(L6=0,0,L6/TrAvia_act!L4*1000)</f>
        <v>28.056953153609655</v>
      </c>
      <c r="M28" s="14">
        <f>IF(M6=0,0,M6/TrAvia_act!M4*1000)</f>
        <v>28.113145736062602</v>
      </c>
      <c r="N28" s="14">
        <f>IF(N6=0,0,N6/TrAvia_act!N4*1000)</f>
        <v>26.51116705749984</v>
      </c>
      <c r="O28" s="14">
        <f>IF(O6=0,0,O6/TrAvia_act!O4*1000)</f>
        <v>25.171958700528538</v>
      </c>
      <c r="P28" s="14">
        <f>IF(P6=0,0,P6/TrAvia_act!P4*1000)</f>
        <v>25.338879391211595</v>
      </c>
      <c r="Q28" s="14">
        <f>IF(Q6=0,0,Q6/TrAvia_act!Q4*1000)</f>
        <v>25.438621477161902</v>
      </c>
      <c r="R28" s="14">
        <f>IF(R6=0,0,R6/TrAvia_act!R4*1000)</f>
        <v>25.207818648932463</v>
      </c>
      <c r="S28" s="14">
        <f>IF(S6=0,0,S6/TrAvia_act!S4*1000)</f>
        <v>24.900830864046789</v>
      </c>
      <c r="T28" s="14">
        <f>IF(T6=0,0,T6/TrAvia_act!T4*1000)</f>
        <v>25.198323744562686</v>
      </c>
      <c r="U28" s="14">
        <f>IF(U6=0,0,U6/TrAvia_act!U4*1000)</f>
        <v>25.028305874094588</v>
      </c>
      <c r="V28" s="14">
        <f>IF(V6=0,0,V6/TrAvia_act!V4*1000)</f>
        <v>27.424679518149272</v>
      </c>
      <c r="W28" s="14">
        <f>IF(W6=0,0,W6/TrAvia_act!W4*1000)</f>
        <v>27.555997458370491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204.05256427170627</v>
      </c>
      <c r="C29" s="87">
        <f>IF(C7=0,0,C7/TrAvia_act!C5*1000)</f>
        <v>180.90821849038841</v>
      </c>
      <c r="D29" s="87">
        <f>IF(D7=0,0,D7/TrAvia_act!D5*1000)</f>
        <v>179.275975260189</v>
      </c>
      <c r="E29" s="87">
        <f>IF(E7=0,0,E7/TrAvia_act!E5*1000)</f>
        <v>179.12248515767874</v>
      </c>
      <c r="F29" s="87">
        <f>IF(F7=0,0,F7/TrAvia_act!F5*1000)</f>
        <v>165.7361025050005</v>
      </c>
      <c r="G29" s="87">
        <f>IF(G7=0,0,G7/TrAvia_act!G5*1000)</f>
        <v>162.67638459020174</v>
      </c>
      <c r="H29" s="87">
        <f>IF(H7=0,0,H7/TrAvia_act!H5*1000)</f>
        <v>139.01845478229362</v>
      </c>
      <c r="I29" s="87">
        <f>IF(I7=0,0,I7/TrAvia_act!I5*1000)</f>
        <v>128.73919344912528</v>
      </c>
      <c r="J29" s="87">
        <f>IF(J7=0,0,J7/TrAvia_act!J5*1000)</f>
        <v>125.16267041208712</v>
      </c>
      <c r="K29" s="87">
        <f>IF(K7=0,0,K7/TrAvia_act!K5*1000)</f>
        <v>101.73510774947093</v>
      </c>
      <c r="L29" s="87">
        <f>IF(L7=0,0,L7/TrAvia_act!L5*1000)</f>
        <v>93.099326993551486</v>
      </c>
      <c r="M29" s="87">
        <f>IF(M7=0,0,M7/TrAvia_act!M5*1000)</f>
        <v>103.92626381684256</v>
      </c>
      <c r="N29" s="87">
        <f>IF(N7=0,0,N7/TrAvia_act!N5*1000)</f>
        <v>96.100792101965808</v>
      </c>
      <c r="O29" s="87">
        <f>IF(O7=0,0,O7/TrAvia_act!O5*1000)</f>
        <v>93.970556498026767</v>
      </c>
      <c r="P29" s="87">
        <f>IF(P7=0,0,P7/TrAvia_act!P5*1000)</f>
        <v>78.998241627123306</v>
      </c>
      <c r="Q29" s="87">
        <f>IF(Q7=0,0,Q7/TrAvia_act!Q5*1000)</f>
        <v>61.499905687216632</v>
      </c>
      <c r="R29" s="87">
        <f>IF(R7=0,0,R7/TrAvia_act!R5*1000)</f>
        <v>64.716336929659846</v>
      </c>
      <c r="S29" s="87">
        <f>IF(S7=0,0,S7/TrAvia_act!S5*1000)</f>
        <v>67.183961688674074</v>
      </c>
      <c r="T29" s="87">
        <f>IF(T7=0,0,T7/TrAvia_act!T5*1000)</f>
        <v>76.103326605431462</v>
      </c>
      <c r="U29" s="87">
        <f>IF(U7=0,0,U7/TrAvia_act!U5*1000)</f>
        <v>77.834756297309809</v>
      </c>
      <c r="V29" s="87">
        <f>IF(V7=0,0,V7/TrAvia_act!V5*1000)</f>
        <v>70.398596601662419</v>
      </c>
      <c r="W29" s="87">
        <f>IF(W7=0,0,W7/TrAvia_act!W5*1000)</f>
        <v>75.354490302728735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24.503019722874658</v>
      </c>
      <c r="C30" s="87">
        <f>IF(C8=0,0,C8/TrAvia_act!C6*1000)</f>
        <v>24.35760240401957</v>
      </c>
      <c r="D30" s="87">
        <f>IF(D8=0,0,D8/TrAvia_act!D6*1000)</f>
        <v>24.594493955499001</v>
      </c>
      <c r="E30" s="87">
        <f>IF(E8=0,0,E8/TrAvia_act!E6*1000)</f>
        <v>25.131262460429248</v>
      </c>
      <c r="F30" s="87">
        <f>IF(F8=0,0,F8/TrAvia_act!F6*1000)</f>
        <v>24.30467137370908</v>
      </c>
      <c r="G30" s="87">
        <f>IF(G8=0,0,G8/TrAvia_act!G6*1000)</f>
        <v>23.010400772926911</v>
      </c>
      <c r="H30" s="87">
        <f>IF(H8=0,0,H8/TrAvia_act!H6*1000)</f>
        <v>27.209849063263167</v>
      </c>
      <c r="I30" s="87">
        <f>IF(I8=0,0,I8/TrAvia_act!I6*1000)</f>
        <v>28.236529200672283</v>
      </c>
      <c r="J30" s="87">
        <f>IF(J8=0,0,J8/TrAvia_act!J6*1000)</f>
        <v>31.170834030385688</v>
      </c>
      <c r="K30" s="87">
        <f>IF(K8=0,0,K8/TrAvia_act!K6*1000)</f>
        <v>27.740405337578487</v>
      </c>
      <c r="L30" s="87">
        <f>IF(L8=0,0,L8/TrAvia_act!L6*1000)</f>
        <v>22.688114220802337</v>
      </c>
      <c r="M30" s="87">
        <f>IF(M8=0,0,M8/TrAvia_act!M6*1000)</f>
        <v>23.444904845635175</v>
      </c>
      <c r="N30" s="87">
        <f>IF(N8=0,0,N8/TrAvia_act!N6*1000)</f>
        <v>22.307629480510659</v>
      </c>
      <c r="O30" s="87">
        <f>IF(O8=0,0,O8/TrAvia_act!O6*1000)</f>
        <v>22.154038203368778</v>
      </c>
      <c r="P30" s="87">
        <f>IF(P8=0,0,P8/TrAvia_act!P6*1000)</f>
        <v>22.661703527143079</v>
      </c>
      <c r="Q30" s="87">
        <f>IF(Q8=0,0,Q8/TrAvia_act!Q6*1000)</f>
        <v>22.825472382904294</v>
      </c>
      <c r="R30" s="87">
        <f>IF(R8=0,0,R8/TrAvia_act!R6*1000)</f>
        <v>22.783169566382622</v>
      </c>
      <c r="S30" s="87">
        <f>IF(S8=0,0,S8/TrAvia_act!S6*1000)</f>
        <v>23.14850341675794</v>
      </c>
      <c r="T30" s="87">
        <f>IF(T8=0,0,T8/TrAvia_act!T6*1000)</f>
        <v>23.412268986026426</v>
      </c>
      <c r="U30" s="87">
        <f>IF(U8=0,0,U8/TrAvia_act!U6*1000)</f>
        <v>23.456046308267783</v>
      </c>
      <c r="V30" s="87">
        <f>IF(V8=0,0,V8/TrAvia_act!V6*1000)</f>
        <v>20.627648435712278</v>
      </c>
      <c r="W30" s="87">
        <f>IF(W8=0,0,W8/TrAvia_act!W6*1000)</f>
        <v>23.930462983685484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41.061229392223126</v>
      </c>
      <c r="C31" s="87">
        <f>IF(C9=0,0,C9/TrAvia_act!C7*1000)</f>
        <v>40.526634530966</v>
      </c>
      <c r="D31" s="87">
        <f>IF(D9=0,0,D9/TrAvia_act!D7*1000)</f>
        <v>40.14125339580378</v>
      </c>
      <c r="E31" s="87">
        <f>IF(E9=0,0,E9/TrAvia_act!E7*1000)</f>
        <v>39.894011290113063</v>
      </c>
      <c r="F31" s="87">
        <f>IF(F9=0,0,F9/TrAvia_act!F7*1000)</f>
        <v>39.488352425171492</v>
      </c>
      <c r="G31" s="87">
        <f>IF(G9=0,0,G9/TrAvia_act!G7*1000)</f>
        <v>35.256504604599392</v>
      </c>
      <c r="H31" s="87">
        <f>IF(H9=0,0,H9/TrAvia_act!H7*1000)</f>
        <v>33.930804431647822</v>
      </c>
      <c r="I31" s="87">
        <f>IF(I9=0,0,I9/TrAvia_act!I7*1000)</f>
        <v>29.540452060614214</v>
      </c>
      <c r="J31" s="87">
        <f>IF(J9=0,0,J9/TrAvia_act!J7*1000)</f>
        <v>29.187294227740477</v>
      </c>
      <c r="K31" s="87">
        <f>IF(K9=0,0,K9/TrAvia_act!K7*1000)</f>
        <v>29.188601272594948</v>
      </c>
      <c r="L31" s="87">
        <f>IF(L9=0,0,L9/TrAvia_act!L7*1000)</f>
        <v>22.075333436240658</v>
      </c>
      <c r="M31" s="87">
        <f>IF(M9=0,0,M9/TrAvia_act!M7*1000)</f>
        <v>21.628100477404345</v>
      </c>
      <c r="N31" s="87">
        <f>IF(N9=0,0,N9/TrAvia_act!N7*1000)</f>
        <v>20.771683296416473</v>
      </c>
      <c r="O31" s="87">
        <f>IF(O9=0,0,O9/TrAvia_act!O7*1000)</f>
        <v>17.859161701539609</v>
      </c>
      <c r="P31" s="87">
        <f>IF(P9=0,0,P9/TrAvia_act!P7*1000)</f>
        <v>19.248432750083676</v>
      </c>
      <c r="Q31" s="87">
        <f>IF(Q9=0,0,Q9/TrAvia_act!Q7*1000)</f>
        <v>22.305202327292179</v>
      </c>
      <c r="R31" s="87">
        <f>IF(R9=0,0,R9/TrAvia_act!R7*1000)</f>
        <v>20.301239378246102</v>
      </c>
      <c r="S31" s="87">
        <f>IF(S9=0,0,S9/TrAvia_act!S7*1000)</f>
        <v>18.459821089101336</v>
      </c>
      <c r="T31" s="87">
        <f>IF(T9=0,0,T9/TrAvia_act!T7*1000)</f>
        <v>17.827980755593238</v>
      </c>
      <c r="U31" s="87">
        <f>IF(U9=0,0,U9/TrAvia_act!U7*1000)</f>
        <v>17.406940175132672</v>
      </c>
      <c r="V31" s="87">
        <f>IF(V9=0,0,V9/TrAvia_act!V7*1000)</f>
        <v>43.115261543272943</v>
      </c>
      <c r="W31" s="87">
        <f>IF(W9=0,0,W9/TrAvia_act!W7*1000)</f>
        <v>25.186759754184152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227.2766244423612</v>
      </c>
      <c r="C32" s="15">
        <f>IF(C10=0,0,C10/TrAvia_act!C8*1000)</f>
        <v>213.09827072552875</v>
      </c>
      <c r="D32" s="15">
        <f>IF(D10=0,0,D10/TrAvia_act!D8*1000)</f>
        <v>220.76693538916282</v>
      </c>
      <c r="E32" s="15">
        <f>IF(E10=0,0,E10/TrAvia_act!E8*1000)</f>
        <v>211.05485058670357</v>
      </c>
      <c r="F32" s="15">
        <f>IF(F10=0,0,F10/TrAvia_act!F8*1000)</f>
        <v>199.55515892449557</v>
      </c>
      <c r="G32" s="15">
        <f>IF(G10=0,0,G10/TrAvia_act!G8*1000)</f>
        <v>206.03711333384015</v>
      </c>
      <c r="H32" s="15">
        <f>IF(H10=0,0,H10/TrAvia_act!H8*1000)</f>
        <v>238.16878383901147</v>
      </c>
      <c r="I32" s="15">
        <f>IF(I10=0,0,I10/TrAvia_act!I8*1000)</f>
        <v>221.44750191780679</v>
      </c>
      <c r="J32" s="15">
        <f>IF(J10=0,0,J10/TrAvia_act!J8*1000)</f>
        <v>238.46980748286038</v>
      </c>
      <c r="K32" s="15">
        <f>IF(K10=0,0,K10/TrAvia_act!K8*1000)</f>
        <v>192.0636885716043</v>
      </c>
      <c r="L32" s="15">
        <f>IF(L10=0,0,L10/TrAvia_act!L8*1000)</f>
        <v>171.62165543214522</v>
      </c>
      <c r="M32" s="15">
        <f>IF(M10=0,0,M10/TrAvia_act!M8*1000)</f>
        <v>169.8269277258307</v>
      </c>
      <c r="N32" s="15">
        <f>IF(N10=0,0,N10/TrAvia_act!N8*1000)</f>
        <v>155.91258553539441</v>
      </c>
      <c r="O32" s="15">
        <f>IF(O10=0,0,O10/TrAvia_act!O8*1000)</f>
        <v>160.79218935227524</v>
      </c>
      <c r="P32" s="15">
        <f>IF(P10=0,0,P10/TrAvia_act!P8*1000)</f>
        <v>136.9175877939569</v>
      </c>
      <c r="Q32" s="15">
        <f>IF(Q10=0,0,Q10/TrAvia_act!Q8*1000)</f>
        <v>128.69453696215672</v>
      </c>
      <c r="R32" s="15">
        <f>IF(R10=0,0,R10/TrAvia_act!R8*1000)</f>
        <v>114.83115692132532</v>
      </c>
      <c r="S32" s="15">
        <f>IF(S10=0,0,S10/TrAvia_act!S8*1000)</f>
        <v>112.73465717041482</v>
      </c>
      <c r="T32" s="15">
        <f>IF(T10=0,0,T10/TrAvia_act!T8*1000)</f>
        <v>103.74537482532619</v>
      </c>
      <c r="U32" s="15">
        <f>IF(U10=0,0,U10/TrAvia_act!U8*1000)</f>
        <v>91.40798465617344</v>
      </c>
      <c r="V32" s="15">
        <f>IF(V10=0,0,V10/TrAvia_act!V8*1000)</f>
        <v>114.67591033669525</v>
      </c>
      <c r="W32" s="15">
        <f>IF(W10=0,0,W10/TrAvia_act!W8*1000)</f>
        <v>94.942056172860589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1112.4286222687558</v>
      </c>
      <c r="C33" s="101">
        <f>IF(C11=0,0,C11/TrAvia_act!C9*1000)</f>
        <v>1000.548195643208</v>
      </c>
      <c r="D33" s="101">
        <f>IF(D11=0,0,D11/TrAvia_act!D9*1000)</f>
        <v>970.54651716822627</v>
      </c>
      <c r="E33" s="101">
        <f>IF(E11=0,0,E11/TrAvia_act!E9*1000)</f>
        <v>916.4021059346984</v>
      </c>
      <c r="F33" s="101">
        <f>IF(F11=0,0,F11/TrAvia_act!F9*1000)</f>
        <v>920.53558820946921</v>
      </c>
      <c r="G33" s="101">
        <f>IF(G11=0,0,G11/TrAvia_act!G9*1000)</f>
        <v>984.26982920641603</v>
      </c>
      <c r="H33" s="101">
        <f>IF(H11=0,0,H11/TrAvia_act!H9*1000)</f>
        <v>885.97496395416977</v>
      </c>
      <c r="I33" s="101">
        <f>IF(I11=0,0,I11/TrAvia_act!I9*1000)</f>
        <v>864.79075932708963</v>
      </c>
      <c r="J33" s="101">
        <f>IF(J11=0,0,J11/TrAvia_act!J9*1000)</f>
        <v>909.39977849717627</v>
      </c>
      <c r="K33" s="101">
        <f>IF(K11=0,0,K11/TrAvia_act!K9*1000)</f>
        <v>670.24999520233223</v>
      </c>
      <c r="L33" s="101">
        <f>IF(L11=0,0,L11/TrAvia_act!L9*1000)</f>
        <v>582.72480733802888</v>
      </c>
      <c r="M33" s="101">
        <f>IF(M11=0,0,M11/TrAvia_act!M9*1000)</f>
        <v>579.08581789540438</v>
      </c>
      <c r="N33" s="101">
        <f>IF(N11=0,0,N11/TrAvia_act!N9*1000)</f>
        <v>494.57051555060406</v>
      </c>
      <c r="O33" s="101">
        <f>IF(O11=0,0,O11/TrAvia_act!O9*1000)</f>
        <v>499.73009448783597</v>
      </c>
      <c r="P33" s="101">
        <f>IF(P11=0,0,P11/TrAvia_act!P9*1000)</f>
        <v>427.66411303465333</v>
      </c>
      <c r="Q33" s="101">
        <f>IF(Q11=0,0,Q11/TrAvia_act!Q9*1000)</f>
        <v>351.96648091814126</v>
      </c>
      <c r="R33" s="101">
        <f>IF(R11=0,0,R11/TrAvia_act!R9*1000)</f>
        <v>334.81608924663971</v>
      </c>
      <c r="S33" s="101">
        <f>IF(S11=0,0,S11/TrAvia_act!S9*1000)</f>
        <v>380.59926568649666</v>
      </c>
      <c r="T33" s="101">
        <f>IF(T11=0,0,T11/TrAvia_act!T9*1000)</f>
        <v>412.99991952519088</v>
      </c>
      <c r="U33" s="101">
        <f>IF(U11=0,0,U11/TrAvia_act!U9*1000)</f>
        <v>363.65450697139187</v>
      </c>
      <c r="V33" s="101">
        <f>IF(V11=0,0,V11/TrAvia_act!V9*1000)</f>
        <v>255.20976469223484</v>
      </c>
      <c r="W33" s="101">
        <f>IF(W11=0,0,W11/TrAvia_act!W9*1000)</f>
        <v>299.66025681728837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163.03210334535194</v>
      </c>
      <c r="C34" s="101">
        <f>IF(C12=0,0,C12/TrAvia_act!C10*1000)</f>
        <v>153.66819852135936</v>
      </c>
      <c r="D34" s="101">
        <f>IF(D12=0,0,D12/TrAvia_act!D10*1000)</f>
        <v>163.2821298366699</v>
      </c>
      <c r="E34" s="101">
        <f>IF(E12=0,0,E12/TrAvia_act!E10*1000)</f>
        <v>160.48014008159277</v>
      </c>
      <c r="F34" s="101">
        <f>IF(F12=0,0,F12/TrAvia_act!F10*1000)</f>
        <v>166.59751712560544</v>
      </c>
      <c r="G34" s="101">
        <f>IF(G12=0,0,G12/TrAvia_act!G10*1000)</f>
        <v>168.92572449641435</v>
      </c>
      <c r="H34" s="101">
        <f>IF(H12=0,0,H12/TrAvia_act!H10*1000)</f>
        <v>234.40295849823389</v>
      </c>
      <c r="I34" s="101">
        <f>IF(I12=0,0,I12/TrAvia_act!I10*1000)</f>
        <v>228.0576287773996</v>
      </c>
      <c r="J34" s="101">
        <f>IF(J12=0,0,J12/TrAvia_act!J10*1000)</f>
        <v>255.56759922025162</v>
      </c>
      <c r="K34" s="101">
        <f>IF(K12=0,0,K12/TrAvia_act!K10*1000)</f>
        <v>216.06000019478347</v>
      </c>
      <c r="L34" s="101">
        <f>IF(L12=0,0,L12/TrAvia_act!L10*1000)</f>
        <v>176.24633284734065</v>
      </c>
      <c r="M34" s="101">
        <f>IF(M12=0,0,M12/TrAvia_act!M10*1000)</f>
        <v>179.98116482136166</v>
      </c>
      <c r="N34" s="101">
        <f>IF(N12=0,0,N12/TrAvia_act!N10*1000)</f>
        <v>164.63257018731423</v>
      </c>
      <c r="O34" s="101">
        <f>IF(O12=0,0,O12/TrAvia_act!O10*1000)</f>
        <v>169.61220351304965</v>
      </c>
      <c r="P34" s="101">
        <f>IF(P12=0,0,P12/TrAvia_act!P10*1000)</f>
        <v>147.35458587599103</v>
      </c>
      <c r="Q34" s="101">
        <f>IF(Q12=0,0,Q12/TrAvia_act!Q10*1000)</f>
        <v>146.65402009161556</v>
      </c>
      <c r="R34" s="101">
        <f>IF(R12=0,0,R12/TrAvia_act!R10*1000)</f>
        <v>135.30093972120088</v>
      </c>
      <c r="S34" s="101">
        <f>IF(S12=0,0,S12/TrAvia_act!S10*1000)</f>
        <v>150.7789684888306</v>
      </c>
      <c r="T34" s="101">
        <f>IF(T12=0,0,T12/TrAvia_act!T10*1000)</f>
        <v>148.30863997811028</v>
      </c>
      <c r="U34" s="101">
        <f>IF(U12=0,0,U12/TrAvia_act!U10*1000)</f>
        <v>140.10968714063492</v>
      </c>
      <c r="V34" s="101">
        <f>IF(V12=0,0,V12/TrAvia_act!V10*1000)</f>
        <v>130.66789174016759</v>
      </c>
      <c r="W34" s="101">
        <f>IF(W12=0,0,W12/TrAvia_act!W10*1000)</f>
        <v>157.42058336219964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48.774015605791796</v>
      </c>
      <c r="C35" s="88">
        <f>IF(C13=0,0,C13/TrAvia_act!C11*1000)</f>
        <v>46.293514770851878</v>
      </c>
      <c r="D35" s="88">
        <f>IF(D13=0,0,D13/TrAvia_act!D11*1000)</f>
        <v>48.994912406168076</v>
      </c>
      <c r="E35" s="88">
        <f>IF(E13=0,0,E13/TrAvia_act!E11*1000)</f>
        <v>54.097291726788058</v>
      </c>
      <c r="F35" s="88">
        <f>IF(F13=0,0,F13/TrAvia_act!F11*1000)</f>
        <v>53.723102648092592</v>
      </c>
      <c r="G35" s="88">
        <f>IF(G13=0,0,G13/TrAvia_act!G11*1000)</f>
        <v>57.646515850313705</v>
      </c>
      <c r="H35" s="88">
        <f>IF(H13=0,0,H13/TrAvia_act!H11*1000)</f>
        <v>55.994131022454923</v>
      </c>
      <c r="I35" s="88">
        <f>IF(I13=0,0,I13/TrAvia_act!I11*1000)</f>
        <v>47.528379446126216</v>
      </c>
      <c r="J35" s="88">
        <f>IF(J13=0,0,J13/TrAvia_act!J11*1000)</f>
        <v>46.515432648772553</v>
      </c>
      <c r="K35" s="88">
        <f>IF(K13=0,0,K13/TrAvia_act!K11*1000)</f>
        <v>40.362289787051033</v>
      </c>
      <c r="L35" s="88">
        <f>IF(L13=0,0,L13/TrAvia_act!L11*1000)</f>
        <v>32.754583683127578</v>
      </c>
      <c r="M35" s="88">
        <f>IF(M13=0,0,M13/TrAvia_act!M11*1000)</f>
        <v>38.261605222013891</v>
      </c>
      <c r="N35" s="88">
        <f>IF(N13=0,0,N13/TrAvia_act!N11*1000)</f>
        <v>42.931409619077925</v>
      </c>
      <c r="O35" s="88">
        <f>IF(O13=0,0,O13/TrAvia_act!O11*1000)</f>
        <v>38.179923357540325</v>
      </c>
      <c r="P35" s="88">
        <f>IF(P13=0,0,P13/TrAvia_act!P11*1000)</f>
        <v>33.762055100033905</v>
      </c>
      <c r="Q35" s="88">
        <f>IF(Q13=0,0,Q13/TrAvia_act!Q11*1000)</f>
        <v>37.558729598955573</v>
      </c>
      <c r="R35" s="88">
        <f>IF(R13=0,0,R13/TrAvia_act!R11*1000)</f>
        <v>29.472371800832274</v>
      </c>
      <c r="S35" s="88">
        <f>IF(S13=0,0,S13/TrAvia_act!S11*1000)</f>
        <v>25.896214353854749</v>
      </c>
      <c r="T35" s="88">
        <f>IF(T13=0,0,T13/TrAvia_act!T11*1000)</f>
        <v>23.475559827719387</v>
      </c>
      <c r="U35" s="88">
        <f>IF(U13=0,0,U13/TrAvia_act!U11*1000)</f>
        <v>22.66368993892495</v>
      </c>
      <c r="V35" s="88">
        <f>IF(V13=0,0,V13/TrAvia_act!V11*1000)</f>
        <v>61.13871334164174</v>
      </c>
      <c r="W35" s="88">
        <f>IF(W13=0,0,W13/TrAvia_act!W11*1000)</f>
        <v>37.204864264971341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6440.6348946761636</v>
      </c>
      <c r="C37" s="62">
        <f>IF(C3=0,0,C3/TrAvia_act!C23*1000000)</f>
        <v>6130.2212344600111</v>
      </c>
      <c r="D37" s="62">
        <f>IF(D3=0,0,D3/TrAvia_act!D23*1000000)</f>
        <v>6210.4994532370083</v>
      </c>
      <c r="E37" s="62">
        <f>IF(E3=0,0,E3/TrAvia_act!E23*1000000)</f>
        <v>6313.3692397964251</v>
      </c>
      <c r="F37" s="62">
        <f>IF(F3=0,0,F3/TrAvia_act!F23*1000000)</f>
        <v>5997.6862700826869</v>
      </c>
      <c r="G37" s="62">
        <f>IF(G3=0,0,G3/TrAvia_act!G23*1000000)</f>
        <v>6020.8944591320505</v>
      </c>
      <c r="H37" s="62">
        <f>IF(H3=0,0,H3/TrAvia_act!H23*1000000)</f>
        <v>6248.6289231606488</v>
      </c>
      <c r="I37" s="62">
        <f>IF(I3=0,0,I3/TrAvia_act!I23*1000000)</f>
        <v>6030.6386906821217</v>
      </c>
      <c r="J37" s="62">
        <f>IF(J3=0,0,J3/TrAvia_act!J23*1000000)</f>
        <v>6402.3169415070824</v>
      </c>
      <c r="K37" s="62">
        <f>IF(K3=0,0,K3/TrAvia_act!K23*1000000)</f>
        <v>5143.3895265632082</v>
      </c>
      <c r="L37" s="62">
        <f>IF(L3=0,0,L3/TrAvia_act!L23*1000000)</f>
        <v>4444.0067989463687</v>
      </c>
      <c r="M37" s="62">
        <f>IF(M3=0,0,M3/TrAvia_act!M23*1000000)</f>
        <v>4798.1620309876544</v>
      </c>
      <c r="N37" s="62">
        <f>IF(N3=0,0,N3/TrAvia_act!N23*1000000)</f>
        <v>4509.3674103815047</v>
      </c>
      <c r="O37" s="62">
        <f>IF(O3=0,0,O3/TrAvia_act!O23*1000000)</f>
        <v>4669.5881757679217</v>
      </c>
      <c r="P37" s="62">
        <f>IF(P3=0,0,P3/TrAvia_act!P23*1000000)</f>
        <v>4743.9168498336194</v>
      </c>
      <c r="Q37" s="62">
        <f>IF(Q3=0,0,Q3/TrAvia_act!Q23*1000000)</f>
        <v>4593.5349217541561</v>
      </c>
      <c r="R37" s="62">
        <f>IF(R3=0,0,R3/TrAvia_act!R23*1000000)</f>
        <v>4677.5963707014262</v>
      </c>
      <c r="S37" s="62">
        <f>IF(S3=0,0,S3/TrAvia_act!S23*1000000)</f>
        <v>4938.9811184795872</v>
      </c>
      <c r="T37" s="62">
        <f>IF(T3=0,0,T3/TrAvia_act!T23*1000000)</f>
        <v>5087.7387599542071</v>
      </c>
      <c r="U37" s="62">
        <f>IF(U3=0,0,U3/TrAvia_act!U23*1000000)</f>
        <v>5152.8350896777747</v>
      </c>
      <c r="V37" s="62">
        <f>IF(V3=0,0,V3/TrAvia_act!V23*1000000)</f>
        <v>3503.6379517016017</v>
      </c>
      <c r="W37" s="62">
        <f>IF(W3=0,0,W3/TrAvia_act!W23*1000000)</f>
        <v>4202.8915921364105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6456.0254192055836</v>
      </c>
      <c r="C38" s="14">
        <f>IF(C6=0,0,C6/TrAvia_act!C24*1000000)</f>
        <v>6149.9328818753911</v>
      </c>
      <c r="D38" s="14">
        <f>IF(D6=0,0,D6/TrAvia_act!D24*1000000)</f>
        <v>6232.7108943875091</v>
      </c>
      <c r="E38" s="14">
        <f>IF(E6=0,0,E6/TrAvia_act!E24*1000000)</f>
        <v>6334.2376072613697</v>
      </c>
      <c r="F38" s="14">
        <f>IF(F6=0,0,F6/TrAvia_act!F24*1000000)</f>
        <v>6006.7626622781354</v>
      </c>
      <c r="G38" s="14">
        <f>IF(G6=0,0,G6/TrAvia_act!G24*1000000)</f>
        <v>6029.479059805014</v>
      </c>
      <c r="H38" s="14">
        <f>IF(H6=0,0,H6/TrAvia_act!H24*1000000)</f>
        <v>6253.9643275257613</v>
      </c>
      <c r="I38" s="14">
        <f>IF(I6=0,0,I6/TrAvia_act!I24*1000000)</f>
        <v>6036.0093603934356</v>
      </c>
      <c r="J38" s="14">
        <f>IF(J6=0,0,J6/TrAvia_act!J24*1000000)</f>
        <v>6410.5233966416272</v>
      </c>
      <c r="K38" s="14">
        <f>IF(K6=0,0,K6/TrAvia_act!K24*1000000)</f>
        <v>5146.5880750494116</v>
      </c>
      <c r="L38" s="14">
        <f>IF(L6=0,0,L6/TrAvia_act!L24*1000000)</f>
        <v>4446.7911878253972</v>
      </c>
      <c r="M38" s="14">
        <f>IF(M6=0,0,M6/TrAvia_act!M24*1000000)</f>
        <v>4798.3986515813085</v>
      </c>
      <c r="N38" s="14">
        <f>IF(N6=0,0,N6/TrAvia_act!N24*1000000)</f>
        <v>4506.0739758421687</v>
      </c>
      <c r="O38" s="14">
        <f>IF(O6=0,0,O6/TrAvia_act!O24*1000000)</f>
        <v>4667.3526301473712</v>
      </c>
      <c r="P38" s="14">
        <f>IF(P6=0,0,P6/TrAvia_act!P24*1000000)</f>
        <v>4741.7059766650118</v>
      </c>
      <c r="Q38" s="14">
        <f>IF(Q6=0,0,Q6/TrAvia_act!Q24*1000000)</f>
        <v>4592.6660944418782</v>
      </c>
      <c r="R38" s="14">
        <f>IF(R6=0,0,R6/TrAvia_act!R24*1000000)</f>
        <v>4676.3616017276554</v>
      </c>
      <c r="S38" s="14">
        <f>IF(S6=0,0,S6/TrAvia_act!S24*1000000)</f>
        <v>4938.2338351752142</v>
      </c>
      <c r="T38" s="14">
        <f>IF(T6=0,0,T6/TrAvia_act!T24*1000000)</f>
        <v>5090.3509517245484</v>
      </c>
      <c r="U38" s="14">
        <f>IF(U6=0,0,U6/TrAvia_act!U24*1000000)</f>
        <v>5157.5815713333968</v>
      </c>
      <c r="V38" s="14">
        <f>IF(V6=0,0,V6/TrAvia_act!V24*1000000)</f>
        <v>3498.3010721739461</v>
      </c>
      <c r="W38" s="14">
        <f>IF(W6=0,0,W6/TrAvia_act!W24*1000000)</f>
        <v>4204.8463314192049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4738.8309449453845</v>
      </c>
      <c r="C39" s="87">
        <f>IF(C7=0,0,C7/TrAvia_act!C25*1000000)</f>
        <v>4229.7338613619413</v>
      </c>
      <c r="D39" s="87">
        <f>IF(D7=0,0,D7/TrAvia_act!D25*1000000)</f>
        <v>4219.1356389977755</v>
      </c>
      <c r="E39" s="87">
        <f>IF(E7=0,0,E7/TrAvia_act!E25*1000000)</f>
        <v>4237.4758943583647</v>
      </c>
      <c r="F39" s="87">
        <f>IF(F7=0,0,F7/TrAvia_act!F25*1000000)</f>
        <v>4008.2519439528705</v>
      </c>
      <c r="G39" s="87">
        <f>IF(G7=0,0,G7/TrAvia_act!G25*1000000)</f>
        <v>4153.7131208178253</v>
      </c>
      <c r="H39" s="87">
        <f>IF(H7=0,0,H7/TrAvia_act!H25*1000000)</f>
        <v>3566.306226342132</v>
      </c>
      <c r="I39" s="87">
        <f>IF(I7=0,0,I7/TrAvia_act!I25*1000000)</f>
        <v>3427.7824927797942</v>
      </c>
      <c r="J39" s="87">
        <f>IF(J7=0,0,J7/TrAvia_act!J25*1000000)</f>
        <v>3491.2558470931099</v>
      </c>
      <c r="K39" s="87">
        <f>IF(K7=0,0,K7/TrAvia_act!K25*1000000)</f>
        <v>2541.7631860046258</v>
      </c>
      <c r="L39" s="87">
        <f>IF(L7=0,0,L7/TrAvia_act!L25*1000000)</f>
        <v>2322.4540966918989</v>
      </c>
      <c r="M39" s="87">
        <f>IF(M7=0,0,M7/TrAvia_act!M25*1000000)</f>
        <v>2423.1948774041857</v>
      </c>
      <c r="N39" s="87">
        <f>IF(N7=0,0,N7/TrAvia_act!N25*1000000)</f>
        <v>2161.6165129422884</v>
      </c>
      <c r="O39" s="87">
        <f>IF(O7=0,0,O7/TrAvia_act!O25*1000000)</f>
        <v>2232.1503046735015</v>
      </c>
      <c r="P39" s="87">
        <f>IF(P7=0,0,P7/TrAvia_act!P25*1000000)</f>
        <v>2155.8623817163279</v>
      </c>
      <c r="Q39" s="87">
        <f>IF(Q7=0,0,Q7/TrAvia_act!Q25*1000000)</f>
        <v>1831.635754947305</v>
      </c>
      <c r="R39" s="87">
        <f>IF(R7=0,0,R7/TrAvia_act!R25*1000000)</f>
        <v>1971.6492047735842</v>
      </c>
      <c r="S39" s="87">
        <f>IF(S7=0,0,S7/TrAvia_act!S25*1000000)</f>
        <v>2021.4494800775306</v>
      </c>
      <c r="T39" s="87">
        <f>IF(T7=0,0,T7/TrAvia_act!T25*1000000)</f>
        <v>2187.1270008658585</v>
      </c>
      <c r="U39" s="87">
        <f>IF(U7=0,0,U7/TrAvia_act!U25*1000000)</f>
        <v>2171.64805042526</v>
      </c>
      <c r="V39" s="87">
        <f>IF(V7=0,0,V7/TrAvia_act!V25*1000000)</f>
        <v>1413.4797329582675</v>
      </c>
      <c r="W39" s="87">
        <f>IF(W7=0,0,W7/TrAvia_act!W25*1000000)</f>
        <v>1729.288106360644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7857.9687094845749</v>
      </c>
      <c r="C40" s="87">
        <f>IF(C8=0,0,C8/TrAvia_act!C26*1000000)</f>
        <v>7813.1300423774119</v>
      </c>
      <c r="D40" s="87">
        <f>IF(D8=0,0,D8/TrAvia_act!D26*1000000)</f>
        <v>7809.4800116173737</v>
      </c>
      <c r="E40" s="87">
        <f>IF(E8=0,0,E8/TrAvia_act!E26*1000000)</f>
        <v>7836.1454164254383</v>
      </c>
      <c r="F40" s="87">
        <f>IF(F8=0,0,F8/TrAvia_act!F26*1000000)</f>
        <v>7490.5005929675635</v>
      </c>
      <c r="G40" s="87">
        <f>IF(G8=0,0,G8/TrAvia_act!G26*1000000)</f>
        <v>7383.0412773832959</v>
      </c>
      <c r="H40" s="87">
        <f>IF(H8=0,0,H8/TrAvia_act!H26*1000000)</f>
        <v>8399.7689460323982</v>
      </c>
      <c r="I40" s="87">
        <f>IF(I8=0,0,I8/TrAvia_act!I26*1000000)</f>
        <v>8126.1799745979451</v>
      </c>
      <c r="J40" s="87">
        <f>IF(J8=0,0,J8/TrAvia_act!J26*1000000)</f>
        <v>8771.9399246250905</v>
      </c>
      <c r="K40" s="87">
        <f>IF(K8=0,0,K8/TrAvia_act!K26*1000000)</f>
        <v>7669.5154839603138</v>
      </c>
      <c r="L40" s="87">
        <f>IF(L8=0,0,L8/TrAvia_act!L26*1000000)</f>
        <v>6405.5728943600452</v>
      </c>
      <c r="M40" s="87">
        <f>IF(M8=0,0,M8/TrAvia_act!M26*1000000)</f>
        <v>6771.7138439118526</v>
      </c>
      <c r="N40" s="87">
        <f>IF(N8=0,0,N8/TrAvia_act!N26*1000000)</f>
        <v>6640.4579154396142</v>
      </c>
      <c r="O40" s="87">
        <f>IF(O8=0,0,O8/TrAvia_act!O26*1000000)</f>
        <v>6861.0079468932572</v>
      </c>
      <c r="P40" s="87">
        <f>IF(P8=0,0,P8/TrAvia_act!P26*1000000)</f>
        <v>6789.9364671331705</v>
      </c>
      <c r="Q40" s="87">
        <f>IF(Q8=0,0,Q8/TrAvia_act!Q26*1000000)</f>
        <v>6731.3360977275825</v>
      </c>
      <c r="R40" s="87">
        <f>IF(R8=0,0,R8/TrAvia_act!R26*1000000)</f>
        <v>6816.5743022068673</v>
      </c>
      <c r="S40" s="87">
        <f>IF(S8=0,0,S8/TrAvia_act!S26*1000000)</f>
        <v>7149.1416752433825</v>
      </c>
      <c r="T40" s="87">
        <f>IF(T8=0,0,T8/TrAvia_act!T26*1000000)</f>
        <v>7121.4715444059811</v>
      </c>
      <c r="U40" s="87">
        <f>IF(U8=0,0,U8/TrAvia_act!U26*1000000)</f>
        <v>7300.7806079331986</v>
      </c>
      <c r="V40" s="87">
        <f>IF(V8=0,0,V8/TrAvia_act!V26*1000000)</f>
        <v>5050.7251025357482</v>
      </c>
      <c r="W40" s="87">
        <f>IF(W8=0,0,W8/TrAvia_act!W26*1000000)</f>
        <v>5877.1566588408432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11678.910457108483</v>
      </c>
      <c r="C41" s="87">
        <f>IF(C9=0,0,C9/TrAvia_act!C27*1000000)</f>
        <v>11612.254253553347</v>
      </c>
      <c r="D41" s="87">
        <f>IF(D9=0,0,D9/TrAvia_act!D27*1000000)</f>
        <v>11606.824186969223</v>
      </c>
      <c r="E41" s="87">
        <f>IF(E9=0,0,E9/TrAvia_act!E27*1000000)</f>
        <v>11646.453279391066</v>
      </c>
      <c r="F41" s="87">
        <f>IF(F9=0,0,F9/TrAvia_act!F27*1000000)</f>
        <v>11226.796346161249</v>
      </c>
      <c r="G41" s="87">
        <f>IF(G9=0,0,G9/TrAvia_act!G27*1000000)</f>
        <v>10930.85895074859</v>
      </c>
      <c r="H41" s="87">
        <f>IF(H9=0,0,H9/TrAvia_act!H27*1000000)</f>
        <v>11495.131793760662</v>
      </c>
      <c r="I41" s="87">
        <f>IF(I9=0,0,I9/TrAvia_act!I27*1000000)</f>
        <v>10318.401292134293</v>
      </c>
      <c r="J41" s="87">
        <f>IF(J9=0,0,J9/TrAvia_act!J27*1000000)</f>
        <v>10334.412867275614</v>
      </c>
      <c r="K41" s="87">
        <f>IF(K9=0,0,K9/TrAvia_act!K27*1000000)</f>
        <v>9137.0986247133205</v>
      </c>
      <c r="L41" s="87">
        <f>IF(L9=0,0,L9/TrAvia_act!L27*1000000)</f>
        <v>7063.7909174538663</v>
      </c>
      <c r="M41" s="87">
        <f>IF(M9=0,0,M9/TrAvia_act!M27*1000000)</f>
        <v>6947.1181259133236</v>
      </c>
      <c r="N41" s="87">
        <f>IF(N9=0,0,N9/TrAvia_act!N27*1000000)</f>
        <v>6116.4862819552336</v>
      </c>
      <c r="O41" s="87">
        <f>IF(O9=0,0,O9/TrAvia_act!O27*1000000)</f>
        <v>5568.8165453380325</v>
      </c>
      <c r="P41" s="87">
        <f>IF(P9=0,0,P9/TrAvia_act!P27*1000000)</f>
        <v>5815.3992453111114</v>
      </c>
      <c r="Q41" s="87">
        <f>IF(Q9=0,0,Q9/TrAvia_act!Q27*1000000)</f>
        <v>6254.3471016323911</v>
      </c>
      <c r="R41" s="87">
        <f>IF(R9=0,0,R9/TrAvia_act!R27*1000000)</f>
        <v>5982.3578836896759</v>
      </c>
      <c r="S41" s="87">
        <f>IF(S9=0,0,S9/TrAvia_act!S27*1000000)</f>
        <v>6053.69064664282</v>
      </c>
      <c r="T41" s="87">
        <f>IF(T9=0,0,T9/TrAvia_act!T27*1000000)</f>
        <v>6446.8594517746969</v>
      </c>
      <c r="U41" s="87">
        <f>IF(U9=0,0,U9/TrAvia_act!U27*1000000)</f>
        <v>6360.6985449664935</v>
      </c>
      <c r="V41" s="87">
        <f>IF(V9=0,0,V9/TrAvia_act!V27*1000000)</f>
        <v>8944.5058426668766</v>
      </c>
      <c r="W41" s="87">
        <f>IF(W9=0,0,W9/TrAvia_act!W27*1000000)</f>
        <v>7314.4730168180695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5887.4545461988146</v>
      </c>
      <c r="C42" s="15">
        <f>IF(C10=0,0,C10/TrAvia_act!C28*1000000)</f>
        <v>5555.6047972195047</v>
      </c>
      <c r="D42" s="15">
        <f>IF(D10=0,0,D10/TrAvia_act!D28*1000000)</f>
        <v>5568.6804083316083</v>
      </c>
      <c r="E42" s="15">
        <f>IF(E10=0,0,E10/TrAvia_act!E28*1000000)</f>
        <v>5599.5270184661204</v>
      </c>
      <c r="F42" s="15">
        <f>IF(F10=0,0,F10/TrAvia_act!F28*1000000)</f>
        <v>5489.7487344234087</v>
      </c>
      <c r="G42" s="15">
        <f>IF(G10=0,0,G10/TrAvia_act!G28*1000000)</f>
        <v>5539.915927039413</v>
      </c>
      <c r="H42" s="15">
        <f>IF(H10=0,0,H10/TrAvia_act!H28*1000000)</f>
        <v>5961.3512605728356</v>
      </c>
      <c r="I42" s="15">
        <f>IF(I10=0,0,I10/TrAvia_act!I28*1000000)</f>
        <v>5695.9894102314502</v>
      </c>
      <c r="J42" s="15">
        <f>IF(J10=0,0,J10/TrAvia_act!J28*1000000)</f>
        <v>5936.1525845305869</v>
      </c>
      <c r="K42" s="15">
        <f>IF(K10=0,0,K10/TrAvia_act!K28*1000000)</f>
        <v>4926.8472996811688</v>
      </c>
      <c r="L42" s="15">
        <f>IF(L10=0,0,L10/TrAvia_act!L28*1000000)</f>
        <v>4249.8944371456591</v>
      </c>
      <c r="M42" s="15">
        <f>IF(M10=0,0,M10/TrAvia_act!M28*1000000)</f>
        <v>4779.9452847778748</v>
      </c>
      <c r="N42" s="15">
        <f>IF(N10=0,0,N10/TrAvia_act!N28*1000000)</f>
        <v>4785.0441029401582</v>
      </c>
      <c r="O42" s="15">
        <f>IF(O10=0,0,O10/TrAvia_act!O28*1000000)</f>
        <v>4864.7069876393298</v>
      </c>
      <c r="P42" s="15">
        <f>IF(P10=0,0,P10/TrAvia_act!P28*1000000)</f>
        <v>5019.3157037680221</v>
      </c>
      <c r="Q42" s="15">
        <f>IF(Q10=0,0,Q10/TrAvia_act!Q28*1000000)</f>
        <v>4708.9569054710355</v>
      </c>
      <c r="R42" s="15">
        <f>IF(R10=0,0,R10/TrAvia_act!R28*1000000)</f>
        <v>4862.8492824897385</v>
      </c>
      <c r="S42" s="15">
        <f>IF(S10=0,0,S10/TrAvia_act!S28*1000000)</f>
        <v>5062.1409679110375</v>
      </c>
      <c r="T42" s="15">
        <f>IF(T10=0,0,T10/TrAvia_act!T28*1000000)</f>
        <v>4775.8398903667285</v>
      </c>
      <c r="U42" s="15">
        <f>IF(U10=0,0,U10/TrAvia_act!U28*1000000)</f>
        <v>4582.2817468471294</v>
      </c>
      <c r="V42" s="15">
        <f>IF(V10=0,0,V10/TrAvia_act!V28*1000000)</f>
        <v>3849.3877608527132</v>
      </c>
      <c r="W42" s="15">
        <f>IF(W10=0,0,W10/TrAvia_act!W28*1000000)</f>
        <v>4044.8709443140115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4736.5774343368021</v>
      </c>
      <c r="C43" s="101">
        <f>IF(C11=0,0,C11/TrAvia_act!C29*1000000)</f>
        <v>4227.7224475261683</v>
      </c>
      <c r="D43" s="101">
        <f>IF(D11=0,0,D11/TrAvia_act!D29*1000000)</f>
        <v>4217.1292650561891</v>
      </c>
      <c r="E43" s="101">
        <f>IF(E11=0,0,E11/TrAvia_act!E29*1000000)</f>
        <v>4235.4607988648813</v>
      </c>
      <c r="F43" s="101">
        <f>IF(F11=0,0,F11/TrAvia_act!F29*1000000)</f>
        <v>4006.3458539525118</v>
      </c>
      <c r="G43" s="101">
        <f>IF(G11=0,0,G11/TrAvia_act!G29*1000000)</f>
        <v>4151.7378579963606</v>
      </c>
      <c r="H43" s="101">
        <f>IF(H11=0,0,H11/TrAvia_act!H29*1000000)</f>
        <v>3567.9046339572556</v>
      </c>
      <c r="I43" s="101">
        <f>IF(I11=0,0,I11/TrAvia_act!I29*1000000)</f>
        <v>3432.4879612537393</v>
      </c>
      <c r="J43" s="101">
        <f>IF(J11=0,0,J11/TrAvia_act!J29*1000000)</f>
        <v>3499.2791052406051</v>
      </c>
      <c r="K43" s="101">
        <f>IF(K11=0,0,K11/TrAvia_act!K29*1000000)</f>
        <v>2549.9585110867647</v>
      </c>
      <c r="L43" s="101">
        <f>IF(L11=0,0,L11/TrAvia_act!L29*1000000)</f>
        <v>2332.0951737758278</v>
      </c>
      <c r="M43" s="101">
        <f>IF(M11=0,0,M11/TrAvia_act!M29*1000000)</f>
        <v>2450.8713604612526</v>
      </c>
      <c r="N43" s="101">
        <f>IF(N11=0,0,N11/TrAvia_act!N29*1000000)</f>
        <v>2202.1332354406236</v>
      </c>
      <c r="O43" s="101">
        <f>IF(O11=0,0,O11/TrAvia_act!O29*1000000)</f>
        <v>2274.9182381407459</v>
      </c>
      <c r="P43" s="101">
        <f>IF(P11=0,0,P11/TrAvia_act!P29*1000000)</f>
        <v>2198.0663855440062</v>
      </c>
      <c r="Q43" s="101">
        <f>IF(Q11=0,0,Q11/TrAvia_act!Q29*1000000)</f>
        <v>1868.2556029968489</v>
      </c>
      <c r="R43" s="101">
        <f>IF(R11=0,0,R11/TrAvia_act!R29*1000000)</f>
        <v>2011.8900212053995</v>
      </c>
      <c r="S43" s="101">
        <f>IF(S11=0,0,S11/TrAvia_act!S29*1000000)</f>
        <v>2063.5494761318014</v>
      </c>
      <c r="T43" s="101">
        <f>IF(T11=0,0,T11/TrAvia_act!T29*1000000)</f>
        <v>2233.5897055243822</v>
      </c>
      <c r="U43" s="101">
        <f>IF(U11=0,0,U11/TrAvia_act!U29*1000000)</f>
        <v>2238.5263660284177</v>
      </c>
      <c r="V43" s="101">
        <f>IF(V11=0,0,V11/TrAvia_act!V29*1000000)</f>
        <v>1457.0094124848092</v>
      </c>
      <c r="W43" s="101">
        <f>IF(W11=0,0,W11/TrAvia_act!W29*1000000)</f>
        <v>1782.5434557821707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7746.2780950367687</v>
      </c>
      <c r="C44" s="101">
        <f>IF(C12=0,0,C12/TrAvia_act!C30*1000000)</f>
        <v>7700.6120762978298</v>
      </c>
      <c r="D44" s="101">
        <f>IF(D12=0,0,D12/TrAvia_act!D30*1000000)</f>
        <v>7698.286488650474</v>
      </c>
      <c r="E44" s="101">
        <f>IF(E12=0,0,E12/TrAvia_act!E30*1000000)</f>
        <v>7723.9341956011649</v>
      </c>
      <c r="F44" s="101">
        <f>IF(F12=0,0,F12/TrAvia_act!F30*1000000)</f>
        <v>7259.1177460133968</v>
      </c>
      <c r="G44" s="101">
        <f>IF(G12=0,0,G12/TrAvia_act!G30*1000000)</f>
        <v>7157.3612716717362</v>
      </c>
      <c r="H44" s="101">
        <f>IF(H12=0,0,H12/TrAvia_act!H30*1000000)</f>
        <v>8504.7487444593062</v>
      </c>
      <c r="I44" s="101">
        <f>IF(I12=0,0,I12/TrAvia_act!I30*1000000)</f>
        <v>7878.131449361028</v>
      </c>
      <c r="J44" s="101">
        <f>IF(J12=0,0,J12/TrAvia_act!J30*1000000)</f>
        <v>8506.1244339814966</v>
      </c>
      <c r="K44" s="101">
        <f>IF(K12=0,0,K12/TrAvia_act!K30*1000000)</f>
        <v>7277.1297313150053</v>
      </c>
      <c r="L44" s="101">
        <f>IF(L12=0,0,L12/TrAvia_act!L30*1000000)</f>
        <v>6040.5131787697901</v>
      </c>
      <c r="M44" s="101">
        <f>IF(M12=0,0,M12/TrAvia_act!M30*1000000)</f>
        <v>6532.1860696391541</v>
      </c>
      <c r="N44" s="101">
        <f>IF(N12=0,0,N12/TrAvia_act!N30*1000000)</f>
        <v>6532.7387457101649</v>
      </c>
      <c r="O44" s="101">
        <f>IF(O12=0,0,O12/TrAvia_act!O30*1000000)</f>
        <v>6645.8085177489174</v>
      </c>
      <c r="P44" s="101">
        <f>IF(P12=0,0,P12/TrAvia_act!P30*1000000)</f>
        <v>6540.5301374452511</v>
      </c>
      <c r="Q44" s="101">
        <f>IF(Q12=0,0,Q12/TrAvia_act!Q30*1000000)</f>
        <v>6246.7247744839287</v>
      </c>
      <c r="R44" s="101">
        <f>IF(R12=0,0,R12/TrAvia_act!R30*1000000)</f>
        <v>6331.4425627037144</v>
      </c>
      <c r="S44" s="101">
        <f>IF(S12=0,0,S12/TrAvia_act!S30*1000000)</f>
        <v>6412.9202961425599</v>
      </c>
      <c r="T44" s="101">
        <f>IF(T12=0,0,T12/TrAvia_act!T30*1000000)</f>
        <v>6316.2459099129701</v>
      </c>
      <c r="U44" s="101">
        <f>IF(U12=0,0,U12/TrAvia_act!U30*1000000)</f>
        <v>5748.4411280833101</v>
      </c>
      <c r="V44" s="101">
        <f>IF(V12=0,0,V12/TrAvia_act!V30*1000000)</f>
        <v>4253.8797563123735</v>
      </c>
      <c r="W44" s="101">
        <f>IF(W12=0,0,W12/TrAvia_act!W30*1000000)</f>
        <v>4786.3798679784359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5768.729507826326</v>
      </c>
      <c r="C45" s="88">
        <f>IF(C13=0,0,C13/TrAvia_act!C31*1000000)</f>
        <v>5735.8050659667551</v>
      </c>
      <c r="D45" s="88">
        <f>IF(D13=0,0,D13/TrAvia_act!D31*1000000)</f>
        <v>5733.1229163391581</v>
      </c>
      <c r="E45" s="88">
        <f>IF(E13=0,0,E13/TrAvia_act!E31*1000000)</f>
        <v>5752.697474741829</v>
      </c>
      <c r="F45" s="88">
        <f>IF(F13=0,0,F13/TrAvia_act!F31*1000000)</f>
        <v>5545.4103872367405</v>
      </c>
      <c r="G45" s="88">
        <f>IF(G13=0,0,G13/TrAvia_act!G31*1000000)</f>
        <v>5399.233841774213</v>
      </c>
      <c r="H45" s="88">
        <f>IF(H13=0,0,H13/TrAvia_act!H31*1000000)</f>
        <v>5278.6341213501364</v>
      </c>
      <c r="I45" s="88">
        <f>IF(I13=0,0,I13/TrAvia_act!I31*1000000)</f>
        <v>4397.4447634876587</v>
      </c>
      <c r="J45" s="88">
        <f>IF(J13=0,0,J13/TrAvia_act!J31*1000000)</f>
        <v>4079.6993905003446</v>
      </c>
      <c r="K45" s="88">
        <f>IF(K13=0,0,K13/TrAvia_act!K31*1000000)</f>
        <v>3334.1933498926514</v>
      </c>
      <c r="L45" s="88">
        <f>IF(L13=0,0,L13/TrAvia_act!L31*1000000)</f>
        <v>2377.0799126610855</v>
      </c>
      <c r="M45" s="88">
        <f>IF(M13=0,0,M13/TrAvia_act!M31*1000000)</f>
        <v>3029.1234310990958</v>
      </c>
      <c r="N45" s="88">
        <f>IF(N13=0,0,N13/TrAvia_act!N31*1000000)</f>
        <v>3423.10923393865</v>
      </c>
      <c r="O45" s="88">
        <f>IF(O13=0,0,O13/TrAvia_act!O31*1000000)</f>
        <v>2944.1486484865859</v>
      </c>
      <c r="P45" s="88">
        <f>IF(P13=0,0,P13/TrAvia_act!P31*1000000)</f>
        <v>2901.1989716287767</v>
      </c>
      <c r="Q45" s="88">
        <f>IF(Q13=0,0,Q13/TrAvia_act!Q31*1000000)</f>
        <v>2940.7940932668776</v>
      </c>
      <c r="R45" s="88">
        <f>IF(R13=0,0,R13/TrAvia_act!R31*1000000)</f>
        <v>2647.7637111893068</v>
      </c>
      <c r="S45" s="88">
        <f>IF(S13=0,0,S13/TrAvia_act!S31*1000000)</f>
        <v>2518.4988463379004</v>
      </c>
      <c r="T45" s="88">
        <f>IF(T13=0,0,T13/TrAvia_act!T31*1000000)</f>
        <v>2517.2130121863952</v>
      </c>
      <c r="U45" s="88">
        <f>IF(U13=0,0,U13/TrAvia_act!U31*1000000)</f>
        <v>2862.3251464926475</v>
      </c>
      <c r="V45" s="88">
        <f>IF(V13=0,0,V13/TrAvia_act!V31*1000000)</f>
        <v>4025.0428180841695</v>
      </c>
      <c r="W45" s="88">
        <f>IF(W13=0,0,W13/TrAvia_act!W31*1000000)</f>
        <v>3291.5252784536101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0.97525612572916631</v>
      </c>
      <c r="C48" s="16">
        <f t="shared" si="35"/>
        <v>0.96994256855038197</v>
      </c>
      <c r="D48" s="16">
        <f t="shared" ref="D48:V48" si="36">IF(D6=0,0,D6/D$3)</f>
        <v>0.97000737444949048</v>
      </c>
      <c r="E48" s="16">
        <f t="shared" si="36"/>
        <v>0.97480801836531705</v>
      </c>
      <c r="F48" s="16">
        <f t="shared" si="36"/>
        <v>0.98393133733656946</v>
      </c>
      <c r="G48" s="16">
        <f t="shared" si="36"/>
        <v>0.98386557278095865</v>
      </c>
      <c r="H48" s="16">
        <f t="shared" si="36"/>
        <v>0.98260463277146093</v>
      </c>
      <c r="I48" s="16">
        <f t="shared" si="36"/>
        <v>0.98508133682360999</v>
      </c>
      <c r="J48" s="16">
        <f t="shared" si="36"/>
        <v>0.9839599570723685</v>
      </c>
      <c r="K48" s="16">
        <f t="shared" si="36"/>
        <v>0.98605681557195213</v>
      </c>
      <c r="L48" s="16">
        <f t="shared" si="36"/>
        <v>0.98647632362667381</v>
      </c>
      <c r="M48" s="16">
        <f t="shared" si="36"/>
        <v>0.98722605797427621</v>
      </c>
      <c r="N48" s="16">
        <f t="shared" si="36"/>
        <v>0.98747257940609567</v>
      </c>
      <c r="O48" s="16">
        <f t="shared" si="36"/>
        <v>0.98819910562204349</v>
      </c>
      <c r="P48" s="16">
        <f t="shared" si="36"/>
        <v>0.99157370626330177</v>
      </c>
      <c r="Q48" s="16">
        <f t="shared" si="36"/>
        <v>0.99234111128727653</v>
      </c>
      <c r="R48" s="16">
        <f t="shared" si="36"/>
        <v>0.99311659019727239</v>
      </c>
      <c r="S48" s="16">
        <f t="shared" si="36"/>
        <v>0.99381861432650698</v>
      </c>
      <c r="T48" s="16">
        <f t="shared" si="36"/>
        <v>0.99220360044774791</v>
      </c>
      <c r="U48" s="16">
        <f t="shared" si="36"/>
        <v>0.9926630913745238</v>
      </c>
      <c r="V48" s="16">
        <f t="shared" si="36"/>
        <v>0.98329888468005922</v>
      </c>
      <c r="W48" s="16">
        <f t="shared" ref="W48" si="37">IF(W6=0,0,W6/W$3)</f>
        <v>0.98824041075367974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0.37368664432882487</v>
      </c>
      <c r="C49" s="103">
        <f t="shared" si="38"/>
        <v>0.35113277210941485</v>
      </c>
      <c r="D49" s="103">
        <f t="shared" ref="D49:V49" si="39">IF(D7=0,0,D7/D$3)</f>
        <v>0.33103986873550967</v>
      </c>
      <c r="E49" s="103">
        <f t="shared" si="39"/>
        <v>0.31623071333891734</v>
      </c>
      <c r="F49" s="103">
        <f t="shared" si="39"/>
        <v>0.32741657254855444</v>
      </c>
      <c r="G49" s="103">
        <f t="shared" si="39"/>
        <v>0.33575372109111623</v>
      </c>
      <c r="H49" s="103">
        <f t="shared" si="39"/>
        <v>0.27507329654562424</v>
      </c>
      <c r="I49" s="103">
        <f t="shared" si="39"/>
        <v>0.26942316573042518</v>
      </c>
      <c r="J49" s="103">
        <f t="shared" si="39"/>
        <v>0.25353966117254723</v>
      </c>
      <c r="K49" s="103">
        <f t="shared" si="39"/>
        <v>0.25123616035809748</v>
      </c>
      <c r="L49" s="103">
        <f t="shared" si="39"/>
        <v>0.25506614738067768</v>
      </c>
      <c r="M49" s="103">
        <f t="shared" si="39"/>
        <v>0.22840582570251827</v>
      </c>
      <c r="N49" s="103">
        <f t="shared" si="39"/>
        <v>0.21918177727957497</v>
      </c>
      <c r="O49" s="103">
        <f t="shared" si="39"/>
        <v>0.20588540693047377</v>
      </c>
      <c r="P49" s="103">
        <f t="shared" si="39"/>
        <v>0.18676626375638353</v>
      </c>
      <c r="Q49" s="103">
        <f t="shared" si="39"/>
        <v>0.16811949897240974</v>
      </c>
      <c r="R49" s="103">
        <f t="shared" si="39"/>
        <v>0.17628557732470851</v>
      </c>
      <c r="S49" s="103">
        <f t="shared" si="39"/>
        <v>0.164725534189234</v>
      </c>
      <c r="T49" s="103">
        <f t="shared" si="39"/>
        <v>0.16860982919090736</v>
      </c>
      <c r="U49" s="103">
        <f t="shared" si="39"/>
        <v>0.16510592753570233</v>
      </c>
      <c r="V49" s="103">
        <f t="shared" si="39"/>
        <v>0.2022421122217142</v>
      </c>
      <c r="W49" s="103">
        <f t="shared" ref="W49" si="40">IF(W7=0,0,W7/W$3)</f>
        <v>0.17795423460313939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0.49708381468194768</v>
      </c>
      <c r="C50" s="103">
        <f t="shared" si="41"/>
        <v>0.51132859680897524</v>
      </c>
      <c r="D50" s="103">
        <f t="shared" ref="D50:V50" si="42">IF(D8=0,0,D8/D$3)</f>
        <v>0.52798769725366923</v>
      </c>
      <c r="E50" s="103">
        <f t="shared" si="42"/>
        <v>0.54419394101663798</v>
      </c>
      <c r="F50" s="103">
        <f t="shared" si="42"/>
        <v>0.53209361335202776</v>
      </c>
      <c r="G50" s="103">
        <f t="shared" si="42"/>
        <v>0.52436326794269561</v>
      </c>
      <c r="H50" s="103">
        <f t="shared" si="42"/>
        <v>0.57507254593149748</v>
      </c>
      <c r="I50" s="103">
        <f t="shared" si="42"/>
        <v>0.58303932026974914</v>
      </c>
      <c r="J50" s="103">
        <f t="shared" si="42"/>
        <v>0.59130317614787975</v>
      </c>
      <c r="K50" s="103">
        <f t="shared" si="42"/>
        <v>0.58872684725371782</v>
      </c>
      <c r="L50" s="103">
        <f t="shared" si="42"/>
        <v>0.58227262839795002</v>
      </c>
      <c r="M50" s="103">
        <f t="shared" si="42"/>
        <v>0.60467380968255824</v>
      </c>
      <c r="N50" s="103">
        <f t="shared" si="42"/>
        <v>0.60962061705282933</v>
      </c>
      <c r="O50" s="103">
        <f t="shared" si="42"/>
        <v>0.62068448402343879</v>
      </c>
      <c r="P50" s="103">
        <f t="shared" si="42"/>
        <v>0.64450900144578493</v>
      </c>
      <c r="Q50" s="103">
        <f t="shared" si="42"/>
        <v>0.66192402490901547</v>
      </c>
      <c r="R50" s="103">
        <f t="shared" si="42"/>
        <v>0.6638678272998183</v>
      </c>
      <c r="S50" s="103">
        <f t="shared" si="42"/>
        <v>0.6793594145805415</v>
      </c>
      <c r="T50" s="103">
        <f t="shared" si="42"/>
        <v>0.67542306952608988</v>
      </c>
      <c r="U50" s="103">
        <f t="shared" si="42"/>
        <v>0.67506782574846314</v>
      </c>
      <c r="V50" s="103">
        <f t="shared" si="42"/>
        <v>0.58794427382571057</v>
      </c>
      <c r="W50" s="103">
        <f t="shared" ref="W50" si="43">IF(W8=0,0,W8/W$3)</f>
        <v>0.63824036997668787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0.1044856667183937</v>
      </c>
      <c r="C51" s="103">
        <f t="shared" si="44"/>
        <v>0.1074811996319919</v>
      </c>
      <c r="D51" s="103">
        <f t="shared" ref="D51:V51" si="45">IF(D9=0,0,D9/D$3)</f>
        <v>0.1109798084603117</v>
      </c>
      <c r="E51" s="103">
        <f t="shared" si="45"/>
        <v>0.11438336400976165</v>
      </c>
      <c r="F51" s="103">
        <f t="shared" si="45"/>
        <v>0.12442115143598732</v>
      </c>
      <c r="G51" s="103">
        <f t="shared" si="45"/>
        <v>0.12374858374714671</v>
      </c>
      <c r="H51" s="103">
        <f t="shared" si="45"/>
        <v>0.13245879029433927</v>
      </c>
      <c r="I51" s="103">
        <f t="shared" si="45"/>
        <v>0.13261885082343564</v>
      </c>
      <c r="J51" s="103">
        <f t="shared" si="45"/>
        <v>0.13911711975194152</v>
      </c>
      <c r="K51" s="103">
        <f t="shared" si="45"/>
        <v>0.14609380796013674</v>
      </c>
      <c r="L51" s="103">
        <f t="shared" si="45"/>
        <v>0.14913754784804609</v>
      </c>
      <c r="M51" s="103">
        <f t="shared" si="45"/>
        <v>0.15414642258919981</v>
      </c>
      <c r="N51" s="103">
        <f t="shared" si="45"/>
        <v>0.15867018507369127</v>
      </c>
      <c r="O51" s="103">
        <f t="shared" si="45"/>
        <v>0.16162921466813088</v>
      </c>
      <c r="P51" s="103">
        <f t="shared" si="45"/>
        <v>0.16029844106113322</v>
      </c>
      <c r="Q51" s="103">
        <f t="shared" si="45"/>
        <v>0.16229758740585132</v>
      </c>
      <c r="R51" s="103">
        <f t="shared" si="45"/>
        <v>0.1529631855727456</v>
      </c>
      <c r="S51" s="103">
        <f t="shared" si="45"/>
        <v>0.14973366555673151</v>
      </c>
      <c r="T51" s="103">
        <f t="shared" si="45"/>
        <v>0.14817070173075061</v>
      </c>
      <c r="U51" s="103">
        <f t="shared" si="45"/>
        <v>0.15248933809035828</v>
      </c>
      <c r="V51" s="103">
        <f t="shared" si="45"/>
        <v>0.19311249863263441</v>
      </c>
      <c r="W51" s="103">
        <f t="shared" ref="W51" si="46">IF(W9=0,0,W9/W$3)</f>
        <v>0.17204580617385243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2.4743874270833677E-2</v>
      </c>
      <c r="C52" s="17">
        <f t="shared" si="47"/>
        <v>3.0057431449618043E-2</v>
      </c>
      <c r="D52" s="17">
        <f t="shared" ref="D52:V52" si="48">IF(D10=0,0,D10/D$3)</f>
        <v>2.9992625550509348E-2</v>
      </c>
      <c r="E52" s="17">
        <f t="shared" si="48"/>
        <v>2.5191981634682871E-2</v>
      </c>
      <c r="F52" s="17">
        <f t="shared" si="48"/>
        <v>1.6068662663430482E-2</v>
      </c>
      <c r="G52" s="17">
        <f t="shared" si="48"/>
        <v>1.6134427219041281E-2</v>
      </c>
      <c r="H52" s="17">
        <f t="shared" si="48"/>
        <v>1.739536722853904E-2</v>
      </c>
      <c r="I52" s="17">
        <f t="shared" si="48"/>
        <v>1.4918663176390044E-2</v>
      </c>
      <c r="J52" s="17">
        <f t="shared" si="48"/>
        <v>1.6040042927631507E-2</v>
      </c>
      <c r="K52" s="17">
        <f t="shared" si="48"/>
        <v>1.3943184428048002E-2</v>
      </c>
      <c r="L52" s="17">
        <f t="shared" si="48"/>
        <v>1.3523676373326131E-2</v>
      </c>
      <c r="M52" s="17">
        <f t="shared" si="48"/>
        <v>1.2773942025723831E-2</v>
      </c>
      <c r="N52" s="17">
        <f t="shared" si="48"/>
        <v>1.2527420593904539E-2</v>
      </c>
      <c r="O52" s="17">
        <f t="shared" si="48"/>
        <v>1.1800894377956535E-2</v>
      </c>
      <c r="P52" s="17">
        <f t="shared" si="48"/>
        <v>8.42629373669832E-3</v>
      </c>
      <c r="Q52" s="17">
        <f t="shared" si="48"/>
        <v>7.6588887127233985E-3</v>
      </c>
      <c r="R52" s="17">
        <f t="shared" si="48"/>
        <v>6.8834098027275008E-3</v>
      </c>
      <c r="S52" s="17">
        <f t="shared" si="48"/>
        <v>6.1813856734930783E-3</v>
      </c>
      <c r="T52" s="17">
        <f t="shared" si="48"/>
        <v>7.7963995522519897E-3</v>
      </c>
      <c r="U52" s="17">
        <f t="shared" si="48"/>
        <v>7.3369086254762234E-3</v>
      </c>
      <c r="V52" s="17">
        <f t="shared" si="48"/>
        <v>1.6701115319940882E-2</v>
      </c>
      <c r="W52" s="17">
        <f t="shared" ref="W52" si="49">IF(W10=0,0,W10/W$3)</f>
        <v>1.1759589246320342E-2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1.1621393589998332E-2</v>
      </c>
      <c r="C53" s="104">
        <f t="shared" si="50"/>
        <v>1.3569611724692983E-2</v>
      </c>
      <c r="D53" s="104">
        <f t="shared" ref="D53:V53" si="51">IF(D11=0,0,D11/D$3)</f>
        <v>1.3313798657373409E-2</v>
      </c>
      <c r="E53" s="104">
        <f t="shared" si="51"/>
        <v>1.0967358293007812E-2</v>
      </c>
      <c r="F53" s="104">
        <f t="shared" si="51"/>
        <v>5.9733064996062993E-3</v>
      </c>
      <c r="G53" s="104">
        <f t="shared" si="51"/>
        <v>6.0217606249600136E-3</v>
      </c>
      <c r="H53" s="104">
        <f t="shared" si="51"/>
        <v>4.9020893970846916E-3</v>
      </c>
      <c r="I53" s="104">
        <f t="shared" si="51"/>
        <v>3.8813814794330737E-3</v>
      </c>
      <c r="J53" s="104">
        <f t="shared" si="51"/>
        <v>4.1552568233455397E-3</v>
      </c>
      <c r="K53" s="104">
        <f t="shared" si="51"/>
        <v>3.0315948160327165E-3</v>
      </c>
      <c r="L53" s="104">
        <f t="shared" si="51"/>
        <v>3.0343676948437729E-3</v>
      </c>
      <c r="M53" s="104">
        <f t="shared" si="51"/>
        <v>2.3634050667125559E-3</v>
      </c>
      <c r="N53" s="104">
        <f t="shared" si="51"/>
        <v>1.9955685959364569E-3</v>
      </c>
      <c r="O53" s="104">
        <f t="shared" si="51"/>
        <v>1.888554412043294E-3</v>
      </c>
      <c r="P53" s="104">
        <f t="shared" si="51"/>
        <v>1.0424923158884854E-3</v>
      </c>
      <c r="Q53" s="104">
        <f t="shared" si="51"/>
        <v>8.1243676685780559E-4</v>
      </c>
      <c r="R53" s="104">
        <f t="shared" si="51"/>
        <v>6.7429243710078097E-4</v>
      </c>
      <c r="S53" s="104">
        <f t="shared" si="51"/>
        <v>4.2607886045504417E-4</v>
      </c>
      <c r="T53" s="104">
        <f t="shared" si="51"/>
        <v>7.7830041367175906E-4</v>
      </c>
      <c r="U53" s="104">
        <f t="shared" si="51"/>
        <v>6.5572887542209219E-4</v>
      </c>
      <c r="V53" s="104">
        <f t="shared" si="51"/>
        <v>8.4285895946416614E-4</v>
      </c>
      <c r="W53" s="104">
        <f t="shared" ref="W53" si="52">IF(W11=0,0,W11/W$3)</f>
        <v>6.0968945442554641E-4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1.1874363162416577E-2</v>
      </c>
      <c r="C54" s="104">
        <f t="shared" si="53"/>
        <v>1.5150015364615726E-2</v>
      </c>
      <c r="D54" s="104">
        <f t="shared" ref="D54:V54" si="54">IF(D12=0,0,D12/D$3)</f>
        <v>1.5279449446482338E-2</v>
      </c>
      <c r="E54" s="104">
        <f t="shared" si="54"/>
        <v>1.2693969468407604E-2</v>
      </c>
      <c r="F54" s="104">
        <f t="shared" si="54"/>
        <v>9.0299624864554236E-3</v>
      </c>
      <c r="G54" s="104">
        <f t="shared" si="54"/>
        <v>9.034044517038221E-3</v>
      </c>
      <c r="H54" s="104">
        <f t="shared" si="54"/>
        <v>1.1448118674772422E-2</v>
      </c>
      <c r="I54" s="104">
        <f t="shared" si="54"/>
        <v>1.0167660490066547E-2</v>
      </c>
      <c r="J54" s="104">
        <f t="shared" si="54"/>
        <v>1.0964155538926613E-2</v>
      </c>
      <c r="K54" s="104">
        <f t="shared" si="54"/>
        <v>1.0039460961223084E-2</v>
      </c>
      <c r="L54" s="104">
        <f t="shared" si="54"/>
        <v>9.9229668311054918E-3</v>
      </c>
      <c r="M54" s="104">
        <f t="shared" si="54"/>
        <v>9.7645723232102997E-3</v>
      </c>
      <c r="N54" s="104">
        <f t="shared" si="54"/>
        <v>9.8150679622527968E-3</v>
      </c>
      <c r="O54" s="104">
        <f t="shared" si="54"/>
        <v>9.3618925131793464E-3</v>
      </c>
      <c r="P54" s="104">
        <f t="shared" si="54"/>
        <v>6.9898006494654033E-3</v>
      </c>
      <c r="Q54" s="104">
        <f t="shared" si="54"/>
        <v>6.3153307249036788E-3</v>
      </c>
      <c r="R54" s="104">
        <f t="shared" si="54"/>
        <v>5.755498257041974E-3</v>
      </c>
      <c r="S54" s="104">
        <f t="shared" si="54"/>
        <v>5.2693900534611206E-3</v>
      </c>
      <c r="T54" s="104">
        <f t="shared" si="54"/>
        <v>6.2945150968141449E-3</v>
      </c>
      <c r="U54" s="104">
        <f t="shared" si="54"/>
        <v>5.849058188141765E-3</v>
      </c>
      <c r="V54" s="104">
        <f t="shared" si="54"/>
        <v>1.3448602786090079E-2</v>
      </c>
      <c r="W54" s="104">
        <f t="shared" ref="W54" si="55">IF(W12=0,0,W12/W$3)</f>
        <v>8.6653498667385379E-3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1.2481175184187656E-3</v>
      </c>
      <c r="C55" s="105">
        <f t="shared" si="56"/>
        <v>1.3378043603093337E-3</v>
      </c>
      <c r="D55" s="105">
        <f t="shared" ref="D55:V55" si="57">IF(D13=0,0,D13/D$3)</f>
        <v>1.3993774466535989E-3</v>
      </c>
      <c r="E55" s="105">
        <f t="shared" si="57"/>
        <v>1.5306538732674524E-3</v>
      </c>
      <c r="F55" s="105">
        <f t="shared" si="57"/>
        <v>1.0653936773687574E-3</v>
      </c>
      <c r="G55" s="105">
        <f t="shared" si="57"/>
        <v>1.0786220770430462E-3</v>
      </c>
      <c r="H55" s="105">
        <f t="shared" si="57"/>
        <v>1.0451591566819295E-3</v>
      </c>
      <c r="I55" s="105">
        <f t="shared" si="57"/>
        <v>8.6962120689042255E-4</v>
      </c>
      <c r="J55" s="105">
        <f t="shared" si="57"/>
        <v>9.2063056535935392E-4</v>
      </c>
      <c r="K55" s="105">
        <f t="shared" si="57"/>
        <v>8.7212865079220171E-4</v>
      </c>
      <c r="L55" s="105">
        <f t="shared" si="57"/>
        <v>5.6634184737686469E-4</v>
      </c>
      <c r="M55" s="105">
        <f t="shared" si="57"/>
        <v>6.4596463580097584E-4</v>
      </c>
      <c r="N55" s="105">
        <f t="shared" si="57"/>
        <v>7.1678403571528656E-4</v>
      </c>
      <c r="O55" s="105">
        <f t="shared" si="57"/>
        <v>5.5044745273389489E-4</v>
      </c>
      <c r="P55" s="105">
        <f t="shared" si="57"/>
        <v>3.9400077134443167E-4</v>
      </c>
      <c r="Q55" s="105">
        <f t="shared" si="57"/>
        <v>5.3112122096191452E-4</v>
      </c>
      <c r="R55" s="105">
        <f t="shared" si="57"/>
        <v>4.5361910858474633E-4</v>
      </c>
      <c r="S55" s="105">
        <f t="shared" si="57"/>
        <v>4.8591675957691366E-4</v>
      </c>
      <c r="T55" s="105">
        <f t="shared" si="57"/>
        <v>7.2358404176608483E-4</v>
      </c>
      <c r="U55" s="105">
        <f t="shared" si="57"/>
        <v>8.3212156191236647E-4</v>
      </c>
      <c r="V55" s="105">
        <f t="shared" si="57"/>
        <v>2.4096535743866349E-3</v>
      </c>
      <c r="W55" s="105">
        <f t="shared" ref="W55" si="58">IF(W13=0,0,W13/W$3)</f>
        <v>2.4845499251562576E-3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395.45948514350158</v>
      </c>
      <c r="C57" s="62">
        <v>395.67751417308205</v>
      </c>
      <c r="D57" s="62">
        <v>393.4095247345175</v>
      </c>
      <c r="E57" s="62">
        <v>391.77551998253205</v>
      </c>
      <c r="F57" s="62">
        <v>395.22869013444245</v>
      </c>
      <c r="G57" s="62">
        <v>394.78940264503353</v>
      </c>
      <c r="H57" s="62">
        <v>397.92247219752448</v>
      </c>
      <c r="I57" s="62">
        <v>399.65548514961375</v>
      </c>
      <c r="J57" s="62">
        <v>400.88265958167312</v>
      </c>
      <c r="K57" s="62">
        <v>401.1701135199333</v>
      </c>
      <c r="L57" s="62">
        <v>398.53972470875641</v>
      </c>
      <c r="M57" s="62">
        <v>392.01159156790197</v>
      </c>
      <c r="N57" s="62">
        <v>388.01038325627934</v>
      </c>
      <c r="O57" s="62">
        <v>388.9024315338612</v>
      </c>
      <c r="P57" s="62">
        <v>385.42024532476859</v>
      </c>
      <c r="Q57" s="62">
        <v>384.04186475248366</v>
      </c>
      <c r="R57" s="62">
        <v>385.16824882349277</v>
      </c>
      <c r="S57" s="62">
        <v>386.77765917449256</v>
      </c>
      <c r="T57" s="62">
        <v>386.28302875900465</v>
      </c>
      <c r="U57" s="62">
        <v>391.61212115167513</v>
      </c>
      <c r="V57" s="62">
        <v>393.9602319614221</v>
      </c>
      <c r="W57" s="62">
        <v>394.52278328921005</v>
      </c>
      <c r="DA57" s="172" t="s">
        <v>313</v>
      </c>
    </row>
    <row r="58" spans="1:105" ht="11.45" customHeight="1" x14ac:dyDescent="0.25">
      <c r="A58" s="10" t="s">
        <v>33</v>
      </c>
      <c r="B58" s="14">
        <v>396.35689787566292</v>
      </c>
      <c r="C58" s="14">
        <v>396.82530323736205</v>
      </c>
      <c r="D58" s="14">
        <v>394.48969733594492</v>
      </c>
      <c r="E58" s="14">
        <v>392.57950713741013</v>
      </c>
      <c r="F58" s="14">
        <v>395.88080961966955</v>
      </c>
      <c r="G58" s="14">
        <v>395.45062703736335</v>
      </c>
      <c r="H58" s="14">
        <v>398.70565501041244</v>
      </c>
      <c r="I58" s="14">
        <v>400.44787381412732</v>
      </c>
      <c r="J58" s="14">
        <v>401.75447597889945</v>
      </c>
      <c r="K58" s="14">
        <v>401.99486956568097</v>
      </c>
      <c r="L58" s="14">
        <v>399.35256188306425</v>
      </c>
      <c r="M58" s="14">
        <v>392.65277152952729</v>
      </c>
      <c r="N58" s="14">
        <v>388.5206113980006</v>
      </c>
      <c r="O58" s="14">
        <v>389.40822821804255</v>
      </c>
      <c r="P58" s="14">
        <v>385.78032991508633</v>
      </c>
      <c r="Q58" s="14">
        <v>384.36250207650858</v>
      </c>
      <c r="R58" s="14">
        <v>385.47218595826024</v>
      </c>
      <c r="S58" s="14">
        <v>387.08168131618839</v>
      </c>
      <c r="T58" s="14">
        <v>386.66967417773878</v>
      </c>
      <c r="U58" s="14">
        <v>391.96167704966064</v>
      </c>
      <c r="V58" s="14">
        <v>394.90145370208256</v>
      </c>
      <c r="W58" s="14">
        <v>395.08315224471397</v>
      </c>
      <c r="DA58" s="189" t="s">
        <v>314</v>
      </c>
    </row>
    <row r="59" spans="1:105" ht="11.45" customHeight="1" x14ac:dyDescent="0.25">
      <c r="A59" s="83" t="s">
        <v>27</v>
      </c>
      <c r="B59" s="87">
        <v>550.07673330198531</v>
      </c>
      <c r="C59" s="87">
        <v>550.07673330198531</v>
      </c>
      <c r="D59" s="87">
        <v>550.07673330198543</v>
      </c>
      <c r="E59" s="87">
        <v>550.07673330198531</v>
      </c>
      <c r="F59" s="87">
        <v>550.07673330198531</v>
      </c>
      <c r="G59" s="87">
        <v>554.05972006692116</v>
      </c>
      <c r="H59" s="87">
        <v>558.15674334960431</v>
      </c>
      <c r="I59" s="87">
        <v>563.71270649748215</v>
      </c>
      <c r="J59" s="87">
        <v>561.49427321345752</v>
      </c>
      <c r="K59" s="87">
        <v>571.11032085557144</v>
      </c>
      <c r="L59" s="87">
        <v>579.52721842931396</v>
      </c>
      <c r="M59" s="87">
        <v>617.20357706735069</v>
      </c>
      <c r="N59" s="87">
        <v>631.35798465110804</v>
      </c>
      <c r="O59" s="87">
        <v>644.06493589254194</v>
      </c>
      <c r="P59" s="87">
        <v>641.16351180557672</v>
      </c>
      <c r="Q59" s="87">
        <v>637.10084159024507</v>
      </c>
      <c r="R59" s="87">
        <v>628.70120190017997</v>
      </c>
      <c r="S59" s="87">
        <v>642.99908749875431</v>
      </c>
      <c r="T59" s="87">
        <v>643.14651890647315</v>
      </c>
      <c r="U59" s="87">
        <v>649.65648628453971</v>
      </c>
      <c r="V59" s="87">
        <v>658.57687213430484</v>
      </c>
      <c r="W59" s="87">
        <v>658.20217563396079</v>
      </c>
      <c r="DA59" s="171" t="s">
        <v>315</v>
      </c>
    </row>
    <row r="60" spans="1:105" ht="11.45" customHeight="1" x14ac:dyDescent="0.25">
      <c r="A60" s="83" t="s">
        <v>173</v>
      </c>
      <c r="B60" s="87">
        <v>333.64917018558384</v>
      </c>
      <c r="C60" s="87">
        <v>333.64924293229024</v>
      </c>
      <c r="D60" s="87">
        <v>333.64881804780021</v>
      </c>
      <c r="E60" s="87">
        <v>333.64929033833766</v>
      </c>
      <c r="F60" s="87">
        <v>332.91771231550626</v>
      </c>
      <c r="G60" s="87">
        <v>332.59722614753366</v>
      </c>
      <c r="H60" s="87">
        <v>332.60572334080757</v>
      </c>
      <c r="I60" s="87">
        <v>331.49836729453091</v>
      </c>
      <c r="J60" s="87">
        <v>331.07755354072827</v>
      </c>
      <c r="K60" s="87">
        <v>331.05112923821537</v>
      </c>
      <c r="L60" s="87">
        <v>331.49499151232374</v>
      </c>
      <c r="M60" s="87">
        <v>331.23519766648758</v>
      </c>
      <c r="N60" s="87">
        <v>332.54989874279119</v>
      </c>
      <c r="O60" s="87">
        <v>333.16721121967583</v>
      </c>
      <c r="P60" s="87">
        <v>332.61897823778224</v>
      </c>
      <c r="Q60" s="87">
        <v>331.8301255378762</v>
      </c>
      <c r="R60" s="87">
        <v>331.883723685767</v>
      </c>
      <c r="S60" s="87">
        <v>331.82553846925452</v>
      </c>
      <c r="T60" s="87">
        <v>331.24172031910683</v>
      </c>
      <c r="U60" s="87">
        <v>331.11022919836654</v>
      </c>
      <c r="V60" s="87">
        <v>327.38134241079354</v>
      </c>
      <c r="W60" s="87">
        <v>327.41246285432339</v>
      </c>
      <c r="DA60" s="171" t="s">
        <v>316</v>
      </c>
    </row>
    <row r="61" spans="1:105" ht="11.45" customHeight="1" x14ac:dyDescent="0.25">
      <c r="A61" s="83" t="s">
        <v>174</v>
      </c>
      <c r="B61" s="87">
        <v>553.01156231212178</v>
      </c>
      <c r="C61" s="87">
        <v>553.01156231212178</v>
      </c>
      <c r="D61" s="87">
        <v>553.01156231212178</v>
      </c>
      <c r="E61" s="87">
        <v>553.01156231212178</v>
      </c>
      <c r="F61" s="87">
        <v>553.01156231212178</v>
      </c>
      <c r="G61" s="87">
        <v>547.2455673978377</v>
      </c>
      <c r="H61" s="87">
        <v>554.17849669636382</v>
      </c>
      <c r="I61" s="87">
        <v>554.54398471235277</v>
      </c>
      <c r="J61" s="87">
        <v>549.24860986301439</v>
      </c>
      <c r="K61" s="87">
        <v>521.63087331445149</v>
      </c>
      <c r="L61" s="87">
        <v>504.4104434244058</v>
      </c>
      <c r="M61" s="87">
        <v>469.72851839545598</v>
      </c>
      <c r="N61" s="87">
        <v>429.52721169311974</v>
      </c>
      <c r="O61" s="87">
        <v>435.91095150662045</v>
      </c>
      <c r="P61" s="87">
        <v>440.35205692966986</v>
      </c>
      <c r="Q61" s="87">
        <v>440.1518632149419</v>
      </c>
      <c r="R61" s="87">
        <v>449.02546168016238</v>
      </c>
      <c r="S61" s="87">
        <v>461.18758904780395</v>
      </c>
      <c r="T61" s="87">
        <v>470.96699893681608</v>
      </c>
      <c r="U61" s="87">
        <v>488.20309121069528</v>
      </c>
      <c r="V61" s="87">
        <v>471.70298633949591</v>
      </c>
      <c r="W61" s="87">
        <v>501.40567687780566</v>
      </c>
      <c r="DA61" s="171" t="s">
        <v>317</v>
      </c>
    </row>
    <row r="62" spans="1:105" ht="11.45" customHeight="1" x14ac:dyDescent="0.25">
      <c r="A62" s="12" t="s">
        <v>34</v>
      </c>
      <c r="B62" s="15">
        <v>347.37512660112463</v>
      </c>
      <c r="C62" s="15">
        <v>345.20508391646956</v>
      </c>
      <c r="D62" s="15">
        <v>345.64435793771366</v>
      </c>
      <c r="E62" s="15">
        <v>349.28625085179965</v>
      </c>
      <c r="F62" s="15">
        <v>346.8913628513393</v>
      </c>
      <c r="G62" s="15">
        <v>346.49528914358916</v>
      </c>
      <c r="H62" s="15">
        <v>346.71276546492084</v>
      </c>
      <c r="I62" s="15">
        <v>341.30875721846473</v>
      </c>
      <c r="J62" s="15">
        <v>339.93575007368702</v>
      </c>
      <c r="K62" s="15">
        <v>337.08942665886627</v>
      </c>
      <c r="L62" s="15">
        <v>333.18650595767184</v>
      </c>
      <c r="M62" s="15">
        <v>338.74925061974125</v>
      </c>
      <c r="N62" s="15">
        <v>344.310743173682</v>
      </c>
      <c r="O62" s="15">
        <v>342.14300256418369</v>
      </c>
      <c r="P62" s="15">
        <v>340.66068555638367</v>
      </c>
      <c r="Q62" s="15">
        <v>340.95007586202655</v>
      </c>
      <c r="R62" s="15">
        <v>340.19103512126924</v>
      </c>
      <c r="S62" s="15">
        <v>338.92200220821013</v>
      </c>
      <c r="T62" s="15">
        <v>338.02440236711431</v>
      </c>
      <c r="U62" s="15">
        <v>346.38002100518736</v>
      </c>
      <c r="V62" s="15">
        <v>340.3702109632867</v>
      </c>
      <c r="W62" s="15">
        <v>351.55379128297648</v>
      </c>
      <c r="DA62" s="193" t="s">
        <v>318</v>
      </c>
    </row>
    <row r="63" spans="1:105" ht="11.45" customHeight="1" x14ac:dyDescent="0.25">
      <c r="A63" s="92" t="s">
        <v>27</v>
      </c>
      <c r="B63" s="101">
        <v>549.44922769848199</v>
      </c>
      <c r="C63" s="101">
        <v>549.44922769848199</v>
      </c>
      <c r="D63" s="101">
        <v>549.44922769848199</v>
      </c>
      <c r="E63" s="101">
        <v>549.44922769848199</v>
      </c>
      <c r="F63" s="101">
        <v>549.4492276984821</v>
      </c>
      <c r="G63" s="101">
        <v>553.42407948300979</v>
      </c>
      <c r="H63" s="101">
        <v>556.64592877160021</v>
      </c>
      <c r="I63" s="101">
        <v>561.27401362472267</v>
      </c>
      <c r="J63" s="101">
        <v>558.2079728283145</v>
      </c>
      <c r="K63" s="101">
        <v>566.74642846006941</v>
      </c>
      <c r="L63" s="101">
        <v>574.02521550549966</v>
      </c>
      <c r="M63" s="101">
        <v>592.85721104234892</v>
      </c>
      <c r="N63" s="101">
        <v>588.13902995102274</v>
      </c>
      <c r="O63" s="101">
        <v>597.63670534797654</v>
      </c>
      <c r="P63" s="101">
        <v>594.23724681161775</v>
      </c>
      <c r="Q63" s="101">
        <v>589.91182360863763</v>
      </c>
      <c r="R63" s="101">
        <v>582.07747963684426</v>
      </c>
      <c r="S63" s="101">
        <v>592.71470031497381</v>
      </c>
      <c r="T63" s="101">
        <v>591.83302797146064</v>
      </c>
      <c r="U63" s="101">
        <v>578.5554669292876</v>
      </c>
      <c r="V63" s="101">
        <v>585.12075884796445</v>
      </c>
      <c r="W63" s="101">
        <v>584.84558295338661</v>
      </c>
      <c r="DA63" s="175" t="s">
        <v>319</v>
      </c>
    </row>
    <row r="64" spans="1:105" ht="11.45" customHeight="1" x14ac:dyDescent="0.25">
      <c r="A64" s="92" t="s">
        <v>173</v>
      </c>
      <c r="B64" s="101">
        <v>332.78901923413167</v>
      </c>
      <c r="C64" s="101">
        <v>332.76799451233251</v>
      </c>
      <c r="D64" s="101">
        <v>332.78286433192187</v>
      </c>
      <c r="E64" s="101">
        <v>332.77258188830064</v>
      </c>
      <c r="F64" s="101">
        <v>330.62182683795072</v>
      </c>
      <c r="G64" s="101">
        <v>330.02323432919036</v>
      </c>
      <c r="H64" s="101">
        <v>333.60765807049927</v>
      </c>
      <c r="I64" s="101">
        <v>328.87224994721549</v>
      </c>
      <c r="J64" s="101">
        <v>328.39313492404079</v>
      </c>
      <c r="K64" s="101">
        <v>326.99714189798226</v>
      </c>
      <c r="L64" s="101">
        <v>326.4584786336876</v>
      </c>
      <c r="M64" s="101">
        <v>328.81388498745753</v>
      </c>
      <c r="N64" s="101">
        <v>331.1847172717047</v>
      </c>
      <c r="O64" s="101">
        <v>330.70948549109562</v>
      </c>
      <c r="P64" s="101">
        <v>330.72753003646437</v>
      </c>
      <c r="Q64" s="101">
        <v>327.74105914217643</v>
      </c>
      <c r="R64" s="101">
        <v>328.12999122030578</v>
      </c>
      <c r="S64" s="101">
        <v>326.33020894716975</v>
      </c>
      <c r="T64" s="101">
        <v>325.47861891712057</v>
      </c>
      <c r="U64" s="101">
        <v>327.48339875735331</v>
      </c>
      <c r="V64" s="101">
        <v>325.67610981384996</v>
      </c>
      <c r="W64" s="101">
        <v>324.29299493342512</v>
      </c>
      <c r="DA64" s="175" t="s">
        <v>320</v>
      </c>
    </row>
    <row r="65" spans="1:105" ht="11.45" customHeight="1" x14ac:dyDescent="0.25">
      <c r="A65" s="85" t="s">
        <v>174</v>
      </c>
      <c r="B65" s="88">
        <v>492.49496001095031</v>
      </c>
      <c r="C65" s="88">
        <v>492.49496001095019</v>
      </c>
      <c r="D65" s="88">
        <v>492.49496001095025</v>
      </c>
      <c r="E65" s="88">
        <v>492.49496001095019</v>
      </c>
      <c r="F65" s="88">
        <v>492.49496001095025</v>
      </c>
      <c r="G65" s="88">
        <v>494.17559425381569</v>
      </c>
      <c r="H65" s="88">
        <v>471.5701639590975</v>
      </c>
      <c r="I65" s="88">
        <v>450.88406944691161</v>
      </c>
      <c r="J65" s="88">
        <v>431.43367375485059</v>
      </c>
      <c r="K65" s="88">
        <v>424.32820931063316</v>
      </c>
      <c r="L65" s="88">
        <v>421.20430003268552</v>
      </c>
      <c r="M65" s="88">
        <v>467.03703115199772</v>
      </c>
      <c r="N65" s="88">
        <v>530.46709719467606</v>
      </c>
      <c r="O65" s="88">
        <v>510.61744084751263</v>
      </c>
      <c r="P65" s="88">
        <v>496.76982625076596</v>
      </c>
      <c r="Q65" s="88">
        <v>500.58615876762309</v>
      </c>
      <c r="R65" s="88">
        <v>469.6475442885457</v>
      </c>
      <c r="S65" s="88">
        <v>436.31510123495576</v>
      </c>
      <c r="T65" s="88">
        <v>412.90438464302559</v>
      </c>
      <c r="U65" s="88">
        <v>435.20652911437537</v>
      </c>
      <c r="V65" s="88">
        <v>457.80052766027444</v>
      </c>
      <c r="W65" s="88">
        <v>427.97864820965293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1.3684258665826954</v>
      </c>
      <c r="C67" s="59">
        <f t="shared" ref="C67:W67" si="60">IF(C3=0,0,C17/C57)</f>
        <v>1.3109298090959702</v>
      </c>
      <c r="D67" s="59">
        <f t="shared" si="60"/>
        <v>1.2961852611395179</v>
      </c>
      <c r="E67" s="59">
        <f t="shared" si="60"/>
        <v>1.2889067624645587</v>
      </c>
      <c r="F67" s="59">
        <f t="shared" si="60"/>
        <v>1.235842618247839</v>
      </c>
      <c r="G67" s="59">
        <f t="shared" si="60"/>
        <v>1.2493666759977038</v>
      </c>
      <c r="H67" s="59">
        <f t="shared" si="60"/>
        <v>1.2682212880005148</v>
      </c>
      <c r="I67" s="59">
        <f t="shared" si="60"/>
        <v>1.2097534627677851</v>
      </c>
      <c r="J67" s="59">
        <f t="shared" si="60"/>
        <v>1.2634096459794588</v>
      </c>
      <c r="K67" s="59">
        <f t="shared" si="60"/>
        <v>1.0881193172958161</v>
      </c>
      <c r="L67" s="59">
        <f t="shared" si="60"/>
        <v>0.92150953864848262</v>
      </c>
      <c r="M67" s="59">
        <f t="shared" si="60"/>
        <v>0.9786886561579683</v>
      </c>
      <c r="N67" s="59">
        <f t="shared" si="60"/>
        <v>0.95090767993208525</v>
      </c>
      <c r="O67" s="59">
        <f t="shared" si="60"/>
        <v>0.94035604495393921</v>
      </c>
      <c r="P67" s="59">
        <f t="shared" si="60"/>
        <v>0.93762371372579068</v>
      </c>
      <c r="Q67" s="59">
        <f t="shared" si="60"/>
        <v>0.93376820318732168</v>
      </c>
      <c r="R67" s="59">
        <f t="shared" si="60"/>
        <v>0.93551154807761172</v>
      </c>
      <c r="S67" s="59">
        <f t="shared" si="60"/>
        <v>0.95382680251846952</v>
      </c>
      <c r="T67" s="59">
        <f t="shared" si="60"/>
        <v>0.96945120095488413</v>
      </c>
      <c r="U67" s="59">
        <f t="shared" si="60"/>
        <v>0.96425675567183522</v>
      </c>
      <c r="V67" s="59">
        <f t="shared" si="60"/>
        <v>0.79815604937581097</v>
      </c>
      <c r="W67" s="59">
        <f t="shared" si="60"/>
        <v>0.83770494340545387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1.363601072167729</v>
      </c>
      <c r="C68" s="23">
        <f t="shared" ref="C68:W68" si="62">IF(C6=0,0,C18/C58)</f>
        <v>1.3053304138584176</v>
      </c>
      <c r="D68" s="23">
        <f t="shared" si="62"/>
        <v>1.2904906020892739</v>
      </c>
      <c r="E68" s="23">
        <f t="shared" si="62"/>
        <v>1.2842728482240175</v>
      </c>
      <c r="F68" s="23">
        <f t="shared" si="62"/>
        <v>1.2339356006238791</v>
      </c>
      <c r="G68" s="23">
        <f t="shared" si="62"/>
        <v>1.2474729510508535</v>
      </c>
      <c r="H68" s="23">
        <f t="shared" si="62"/>
        <v>1.2661677960335438</v>
      </c>
      <c r="I68" s="23">
        <f t="shared" si="62"/>
        <v>1.2080558364926315</v>
      </c>
      <c r="J68" s="23">
        <f t="shared" si="62"/>
        <v>1.2611489074006936</v>
      </c>
      <c r="K68" s="23">
        <f t="shared" si="62"/>
        <v>1.0866832491924039</v>
      </c>
      <c r="L68" s="23">
        <f t="shared" si="62"/>
        <v>0.92013362193122117</v>
      </c>
      <c r="M68" s="23">
        <f t="shared" si="62"/>
        <v>0.97752318635368196</v>
      </c>
      <c r="N68" s="23">
        <f t="shared" si="62"/>
        <v>0.94986517847769891</v>
      </c>
      <c r="O68" s="23">
        <f t="shared" si="62"/>
        <v>0.93910515290572805</v>
      </c>
      <c r="P68" s="23">
        <f t="shared" si="62"/>
        <v>0.93690327761811232</v>
      </c>
      <c r="Q68" s="23">
        <f t="shared" si="62"/>
        <v>0.93325917075133236</v>
      </c>
      <c r="R68" s="23">
        <f t="shared" si="62"/>
        <v>0.93502854232477051</v>
      </c>
      <c r="S68" s="23">
        <f t="shared" si="62"/>
        <v>0.95346479257262506</v>
      </c>
      <c r="T68" s="23">
        <f t="shared" si="62"/>
        <v>0.96908552249060465</v>
      </c>
      <c r="U68" s="23">
        <f t="shared" si="62"/>
        <v>0.96411452974000222</v>
      </c>
      <c r="V68" s="23">
        <f t="shared" si="62"/>
        <v>0.79723662278468643</v>
      </c>
      <c r="W68" s="23">
        <f t="shared" si="62"/>
        <v>0.83780689234201222</v>
      </c>
      <c r="DA68" s="189"/>
    </row>
    <row r="69" spans="1:105" ht="11.45" customHeight="1" x14ac:dyDescent="0.25">
      <c r="A69" s="83" t="s">
        <v>27</v>
      </c>
      <c r="B69" s="91">
        <f t="shared" si="61"/>
        <v>2.1659366828777991</v>
      </c>
      <c r="C69" s="91">
        <f t="shared" ref="C69:W69" si="63">IF(C7=0,0,C19/C59)</f>
        <v>1.9332480596097259</v>
      </c>
      <c r="D69" s="91">
        <f t="shared" si="63"/>
        <v>1.9284040213102949</v>
      </c>
      <c r="E69" s="91">
        <f t="shared" si="63"/>
        <v>1.9367866440120431</v>
      </c>
      <c r="F69" s="91">
        <f t="shared" si="63"/>
        <v>1.8320172254475366</v>
      </c>
      <c r="G69" s="91">
        <f t="shared" si="63"/>
        <v>1.9032324278871029</v>
      </c>
      <c r="H69" s="91">
        <f t="shared" si="63"/>
        <v>1.638344292315858</v>
      </c>
      <c r="I69" s="91">
        <f t="shared" si="63"/>
        <v>1.5800955967983932</v>
      </c>
      <c r="J69" s="91">
        <f t="shared" si="63"/>
        <v>1.6073956240254308</v>
      </c>
      <c r="K69" s="91">
        <f t="shared" si="63"/>
        <v>1.176921907702597</v>
      </c>
      <c r="L69" s="91">
        <f t="shared" si="63"/>
        <v>1.0805303292911612</v>
      </c>
      <c r="M69" s="91">
        <f t="shared" si="63"/>
        <v>1.1484006355388021</v>
      </c>
      <c r="N69" s="91">
        <f t="shared" si="63"/>
        <v>1.0304957014093636</v>
      </c>
      <c r="O69" s="91">
        <f t="shared" si="63"/>
        <v>1.069853254729648</v>
      </c>
      <c r="P69" s="91">
        <f t="shared" si="63"/>
        <v>1.0320386929274541</v>
      </c>
      <c r="Q69" s="91">
        <f t="shared" si="63"/>
        <v>0.87532335398703254</v>
      </c>
      <c r="R69" s="91">
        <f t="shared" si="63"/>
        <v>0.93881687324586216</v>
      </c>
      <c r="S69" s="91">
        <f t="shared" si="63"/>
        <v>0.96841222176740993</v>
      </c>
      <c r="T69" s="91">
        <f t="shared" si="63"/>
        <v>1.0478397597938238</v>
      </c>
      <c r="U69" s="91">
        <f t="shared" si="63"/>
        <v>1.0432756302922963</v>
      </c>
      <c r="V69" s="91">
        <f t="shared" si="63"/>
        <v>0.68145046714268342</v>
      </c>
      <c r="W69" s="91">
        <f t="shared" si="63"/>
        <v>0.83358264047678343</v>
      </c>
      <c r="DA69" s="171"/>
    </row>
    <row r="70" spans="1:105" ht="11.45" customHeight="1" x14ac:dyDescent="0.25">
      <c r="A70" s="83" t="s">
        <v>173</v>
      </c>
      <c r="B70" s="91">
        <f t="shared" si="61"/>
        <v>1.159925278148209</v>
      </c>
      <c r="C70" s="91">
        <f t="shared" ref="C70:W70" si="64">IF(C8=0,0,C20/C60)</f>
        <v>1.1533053869276881</v>
      </c>
      <c r="D70" s="91">
        <f t="shared" si="64"/>
        <v>1.1527689893504571</v>
      </c>
      <c r="E70" s="91">
        <f t="shared" si="64"/>
        <v>1.1567020365339891</v>
      </c>
      <c r="F70" s="91">
        <f t="shared" si="64"/>
        <v>1.1148088393184972</v>
      </c>
      <c r="G70" s="91">
        <f t="shared" si="64"/>
        <v>1.1098651017830836</v>
      </c>
      <c r="H70" s="91">
        <f t="shared" si="64"/>
        <v>1.2609724680538907</v>
      </c>
      <c r="I70" s="91">
        <f t="shared" si="64"/>
        <v>1.2392467477408287</v>
      </c>
      <c r="J70" s="91">
        <f t="shared" si="64"/>
        <v>1.3442121565002476</v>
      </c>
      <c r="K70" s="91">
        <f t="shared" si="64"/>
        <v>1.1745905371635876</v>
      </c>
      <c r="L70" s="91">
        <f t="shared" si="64"/>
        <v>0.97150564099318659</v>
      </c>
      <c r="M70" s="91">
        <f t="shared" si="64"/>
        <v>1.0287055610276505</v>
      </c>
      <c r="N70" s="91">
        <f t="shared" si="64"/>
        <v>1.0003249154637717</v>
      </c>
      <c r="O70" s="91">
        <f t="shared" si="64"/>
        <v>1.0189118769405183</v>
      </c>
      <c r="P70" s="91">
        <f t="shared" si="64"/>
        <v>1.0114382737957794</v>
      </c>
      <c r="Q70" s="91">
        <f t="shared" si="64"/>
        <v>1.0110720313091395</v>
      </c>
      <c r="R70" s="91">
        <f t="shared" si="64"/>
        <v>1.0242217723615303</v>
      </c>
      <c r="S70" s="91">
        <f t="shared" si="64"/>
        <v>1.0694588490655472</v>
      </c>
      <c r="T70" s="91">
        <f t="shared" si="64"/>
        <v>1.0699282632485014</v>
      </c>
      <c r="U70" s="91">
        <f t="shared" si="64"/>
        <v>1.0963319950459549</v>
      </c>
      <c r="V70" s="91">
        <f t="shared" si="64"/>
        <v>0.79975095852560452</v>
      </c>
      <c r="W70" s="91">
        <f t="shared" si="64"/>
        <v>0.92093817121653121</v>
      </c>
      <c r="DA70" s="171"/>
    </row>
    <row r="71" spans="1:105" ht="11.45" customHeight="1" x14ac:dyDescent="0.25">
      <c r="A71" s="83" t="s">
        <v>174</v>
      </c>
      <c r="B71" s="91">
        <f t="shared" si="61"/>
        <v>0.91550245293230903</v>
      </c>
      <c r="C71" s="91">
        <f t="shared" ref="C71:W71" si="65">IF(C9=0,0,C21/C61)</f>
        <v>0.91027731501537801</v>
      </c>
      <c r="D71" s="91">
        <f t="shared" si="65"/>
        <v>0.90985165550753189</v>
      </c>
      <c r="E71" s="91">
        <f t="shared" si="65"/>
        <v>0.91295815516372147</v>
      </c>
      <c r="F71" s="91">
        <f t="shared" si="65"/>
        <v>0.88006151183616677</v>
      </c>
      <c r="G71" s="91">
        <f t="shared" si="65"/>
        <v>0.88507042462559538</v>
      </c>
      <c r="H71" s="91">
        <f t="shared" si="65"/>
        <v>0.8708995827442404</v>
      </c>
      <c r="I71" s="91">
        <f t="shared" si="65"/>
        <v>0.76026563047536999</v>
      </c>
      <c r="J71" s="91">
        <f t="shared" si="65"/>
        <v>0.76191946483279605</v>
      </c>
      <c r="K71" s="91">
        <f t="shared" si="65"/>
        <v>0.75809097158371241</v>
      </c>
      <c r="L71" s="91">
        <f t="shared" si="65"/>
        <v>0.63008595597629224</v>
      </c>
      <c r="M71" s="91">
        <f t="shared" si="65"/>
        <v>0.69051206251662323</v>
      </c>
      <c r="N71" s="91">
        <f t="shared" si="65"/>
        <v>0.72960440032697826</v>
      </c>
      <c r="O71" s="91">
        <f t="shared" si="65"/>
        <v>0.64478711079895223</v>
      </c>
      <c r="P71" s="91">
        <f t="shared" si="65"/>
        <v>0.66745494609835909</v>
      </c>
      <c r="Q71" s="91">
        <f t="shared" si="65"/>
        <v>0.74941370512939542</v>
      </c>
      <c r="R71" s="91">
        <f t="shared" si="65"/>
        <v>0.67628327745211625</v>
      </c>
      <c r="S71" s="91">
        <f t="shared" si="65"/>
        <v>0.63181916483615397</v>
      </c>
      <c r="T71" s="91">
        <f t="shared" si="65"/>
        <v>0.63959070071634572</v>
      </c>
      <c r="U71" s="91">
        <f t="shared" si="65"/>
        <v>0.59658746877275304</v>
      </c>
      <c r="V71" s="91">
        <f t="shared" si="65"/>
        <v>0.95864602874384242</v>
      </c>
      <c r="W71" s="91">
        <f t="shared" si="65"/>
        <v>0.63010681154115722</v>
      </c>
      <c r="DA71" s="171"/>
    </row>
    <row r="72" spans="1:105" ht="11.45" customHeight="1" x14ac:dyDescent="0.25">
      <c r="A72" s="12" t="s">
        <v>34</v>
      </c>
      <c r="B72" s="24">
        <f t="shared" si="61"/>
        <v>1.6396697337464601</v>
      </c>
      <c r="C72" s="24">
        <f t="shared" ref="C72:W72" si="66">IF(C10=0,0,C22/C62)</f>
        <v>1.5728885938780282</v>
      </c>
      <c r="D72" s="24">
        <f t="shared" si="66"/>
        <v>1.5591414492879765</v>
      </c>
      <c r="E72" s="24">
        <f t="shared" si="66"/>
        <v>1.5381193656786341</v>
      </c>
      <c r="F72" s="24">
        <f t="shared" si="66"/>
        <v>1.399111901318125</v>
      </c>
      <c r="G72" s="24">
        <f t="shared" si="66"/>
        <v>1.4100397754026519</v>
      </c>
      <c r="H72" s="24">
        <f t="shared" si="66"/>
        <v>1.4276613117609782</v>
      </c>
      <c r="I72" s="24">
        <f t="shared" si="66"/>
        <v>1.3646337942789288</v>
      </c>
      <c r="J72" s="24">
        <f t="shared" si="66"/>
        <v>1.4558712989290328</v>
      </c>
      <c r="K72" s="24">
        <f t="shared" si="66"/>
        <v>1.2311630245010967</v>
      </c>
      <c r="L72" s="24">
        <f t="shared" si="66"/>
        <v>1.0602577641941022</v>
      </c>
      <c r="M72" s="24">
        <f t="shared" si="66"/>
        <v>1.0951088945751846</v>
      </c>
      <c r="N72" s="24">
        <f t="shared" si="66"/>
        <v>1.0535604655864703</v>
      </c>
      <c r="O72" s="24">
        <f t="shared" si="66"/>
        <v>1.0716879513146715</v>
      </c>
      <c r="P72" s="24">
        <f t="shared" si="66"/>
        <v>1.0405946467989038</v>
      </c>
      <c r="Q72" s="24">
        <f t="shared" si="66"/>
        <v>1.0137936940417169</v>
      </c>
      <c r="R72" s="24">
        <f t="shared" si="66"/>
        <v>1.0191550818176265</v>
      </c>
      <c r="S72" s="24">
        <f t="shared" si="66"/>
        <v>1.0218018613832758</v>
      </c>
      <c r="T72" s="24">
        <f t="shared" si="66"/>
        <v>1.0264755536672729</v>
      </c>
      <c r="U72" s="24">
        <f t="shared" si="66"/>
        <v>0.99042083522836255</v>
      </c>
      <c r="V72" s="24">
        <f t="shared" si="66"/>
        <v>0.86130132951103411</v>
      </c>
      <c r="W72" s="24">
        <f t="shared" si="66"/>
        <v>0.8323793202228329</v>
      </c>
      <c r="DA72" s="193"/>
    </row>
    <row r="73" spans="1:105" ht="11.45" customHeight="1" x14ac:dyDescent="0.25">
      <c r="A73" s="92" t="s">
        <v>27</v>
      </c>
      <c r="B73" s="93">
        <f t="shared" si="61"/>
        <v>2.1659366828777982</v>
      </c>
      <c r="C73" s="93">
        <f t="shared" ref="C73:W73" si="67">IF(C11=0,0,C23/C63)</f>
        <v>1.9332480596097252</v>
      </c>
      <c r="D73" s="93">
        <f t="shared" si="67"/>
        <v>1.9284040213102949</v>
      </c>
      <c r="E73" s="93">
        <f t="shared" si="67"/>
        <v>1.9367866440120429</v>
      </c>
      <c r="F73" s="93">
        <f t="shared" si="67"/>
        <v>1.8320172254475364</v>
      </c>
      <c r="G73" s="93">
        <f t="shared" si="67"/>
        <v>1.9032324278871027</v>
      </c>
      <c r="H73" s="93">
        <f t="shared" si="67"/>
        <v>1.6383442923158578</v>
      </c>
      <c r="I73" s="93">
        <f t="shared" si="67"/>
        <v>1.5800955967983932</v>
      </c>
      <c r="J73" s="93">
        <f t="shared" si="67"/>
        <v>1.6073956240254312</v>
      </c>
      <c r="K73" s="93">
        <f t="shared" si="67"/>
        <v>1.176921907702597</v>
      </c>
      <c r="L73" s="93">
        <f t="shared" si="67"/>
        <v>1.0805303292911612</v>
      </c>
      <c r="M73" s="93">
        <f t="shared" si="67"/>
        <v>1.1484006355388023</v>
      </c>
      <c r="N73" s="93">
        <f t="shared" si="67"/>
        <v>1.0304957014093639</v>
      </c>
      <c r="O73" s="93">
        <f t="shared" si="67"/>
        <v>1.0698532547296482</v>
      </c>
      <c r="P73" s="93">
        <f t="shared" si="67"/>
        <v>1.0320386929274539</v>
      </c>
      <c r="Q73" s="93">
        <f t="shared" si="67"/>
        <v>0.87532335398703265</v>
      </c>
      <c r="R73" s="93">
        <f t="shared" si="67"/>
        <v>0.93881687324586227</v>
      </c>
      <c r="S73" s="93">
        <f t="shared" si="67"/>
        <v>0.96841222176741004</v>
      </c>
      <c r="T73" s="93">
        <f t="shared" si="67"/>
        <v>1.0478397597938238</v>
      </c>
      <c r="U73" s="93">
        <f t="shared" si="67"/>
        <v>1.0432756302922961</v>
      </c>
      <c r="V73" s="93">
        <f t="shared" si="67"/>
        <v>0.68145046714268342</v>
      </c>
      <c r="W73" s="93">
        <f t="shared" si="67"/>
        <v>0.83358264047678354</v>
      </c>
      <c r="DA73" s="175"/>
    </row>
    <row r="74" spans="1:105" ht="11.45" customHeight="1" x14ac:dyDescent="0.25">
      <c r="A74" s="92" t="s">
        <v>173</v>
      </c>
      <c r="B74" s="93">
        <f t="shared" si="61"/>
        <v>1.1660100869522376</v>
      </c>
      <c r="C74" s="93">
        <f t="shared" ref="C74:W74" si="68">IF(C12=0,0,C24/C64)</f>
        <v>1.1594253615062651</v>
      </c>
      <c r="D74" s="93">
        <f t="shared" si="68"/>
        <v>1.158890611236187</v>
      </c>
      <c r="E74" s="93">
        <f t="shared" si="68"/>
        <v>1.1628996367196485</v>
      </c>
      <c r="F74" s="93">
        <f t="shared" si="68"/>
        <v>1.1173897958863208</v>
      </c>
      <c r="G74" s="93">
        <f t="shared" si="68"/>
        <v>1.1142823057150688</v>
      </c>
      <c r="H74" s="93">
        <f t="shared" si="68"/>
        <v>1.273793110550586</v>
      </c>
      <c r="I74" s="93">
        <f t="shared" si="68"/>
        <v>1.2448647061371432</v>
      </c>
      <c r="J74" s="93">
        <f t="shared" si="68"/>
        <v>1.3534877292423095</v>
      </c>
      <c r="K74" s="93">
        <f t="shared" si="68"/>
        <v>1.1790480987490208</v>
      </c>
      <c r="L74" s="93">
        <f t="shared" si="68"/>
        <v>0.97991251903886822</v>
      </c>
      <c r="M74" s="93">
        <f t="shared" si="68"/>
        <v>1.033375103395819</v>
      </c>
      <c r="N74" s="93">
        <f t="shared" si="68"/>
        <v>1.0154966550710938</v>
      </c>
      <c r="O74" s="93">
        <f t="shared" si="68"/>
        <v>1.0341926850969676</v>
      </c>
      <c r="P74" s="93">
        <f t="shared" si="68"/>
        <v>1.0185349742726038</v>
      </c>
      <c r="Q74" s="93">
        <f t="shared" si="68"/>
        <v>1.0135705818154421</v>
      </c>
      <c r="R74" s="93">
        <f t="shared" si="68"/>
        <v>1.0297928669418062</v>
      </c>
      <c r="S74" s="93">
        <f t="shared" si="68"/>
        <v>1.0659482928215027</v>
      </c>
      <c r="T74" s="93">
        <f t="shared" si="68"/>
        <v>1.0643317891619855</v>
      </c>
      <c r="U74" s="93">
        <f t="shared" si="68"/>
        <v>1.0669977592335875</v>
      </c>
      <c r="V74" s="93">
        <f t="shared" si="68"/>
        <v>0.84698656821096419</v>
      </c>
      <c r="W74" s="93">
        <f t="shared" si="68"/>
        <v>0.9310724949394078</v>
      </c>
      <c r="DA74" s="175"/>
    </row>
    <row r="75" spans="1:105" ht="11.45" customHeight="1" x14ac:dyDescent="0.25">
      <c r="A75" s="85" t="s">
        <v>174</v>
      </c>
      <c r="B75" s="94">
        <f t="shared" si="61"/>
        <v>0.82395220763907828</v>
      </c>
      <c r="C75" s="94">
        <f t="shared" ref="C75:W75" si="69">IF(C13=0,0,C25/C65)</f>
        <v>0.81924958351384014</v>
      </c>
      <c r="D75" s="94">
        <f t="shared" si="69"/>
        <v>0.81886648995677869</v>
      </c>
      <c r="E75" s="94">
        <f t="shared" si="69"/>
        <v>0.82166233964734925</v>
      </c>
      <c r="F75" s="94">
        <f t="shared" si="69"/>
        <v>0.79205536065254989</v>
      </c>
      <c r="G75" s="94">
        <f t="shared" si="69"/>
        <v>0.7965633821630359</v>
      </c>
      <c r="H75" s="94">
        <f t="shared" si="69"/>
        <v>0.78380962446981639</v>
      </c>
      <c r="I75" s="94">
        <f t="shared" si="69"/>
        <v>0.68423906742783314</v>
      </c>
      <c r="J75" s="94">
        <f t="shared" si="69"/>
        <v>0.68572751834951651</v>
      </c>
      <c r="K75" s="94">
        <f t="shared" si="69"/>
        <v>0.68228187442534127</v>
      </c>
      <c r="L75" s="94">
        <f t="shared" si="69"/>
        <v>0.56707736037866319</v>
      </c>
      <c r="M75" s="94">
        <f t="shared" si="69"/>
        <v>0.62146085626496106</v>
      </c>
      <c r="N75" s="94">
        <f t="shared" si="69"/>
        <v>0.65664396029428052</v>
      </c>
      <c r="O75" s="94">
        <f t="shared" si="69"/>
        <v>0.58030839971905701</v>
      </c>
      <c r="P75" s="94">
        <f t="shared" si="69"/>
        <v>0.60070945148852328</v>
      </c>
      <c r="Q75" s="94">
        <f t="shared" si="69"/>
        <v>0.67447233461645595</v>
      </c>
      <c r="R75" s="94">
        <f t="shared" si="69"/>
        <v>0.60865494970690437</v>
      </c>
      <c r="S75" s="94">
        <f t="shared" si="69"/>
        <v>0.5686372483525387</v>
      </c>
      <c r="T75" s="94">
        <f t="shared" si="69"/>
        <v>0.57563163064471112</v>
      </c>
      <c r="U75" s="94">
        <f t="shared" si="69"/>
        <v>0.53692872189547747</v>
      </c>
      <c r="V75" s="94">
        <f t="shared" si="69"/>
        <v>0.86278142586945816</v>
      </c>
      <c r="W75" s="94">
        <f t="shared" si="69"/>
        <v>0.56709613038704165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4090.5634449600007</v>
      </c>
      <c r="C3" s="79">
        <f t="shared" si="0"/>
        <v>3678.3897350399998</v>
      </c>
      <c r="D3" s="79">
        <f t="shared" ref="D3" si="1">SUM(D4:D5)</f>
        <v>3564.226799999999</v>
      </c>
      <c r="E3" s="79">
        <f t="shared" ref="E3" si="2">SUM(E4:E5)</f>
        <v>3586.4510612399999</v>
      </c>
      <c r="F3" s="79">
        <f t="shared" ref="F3" si="3">SUM(F4:F5)</f>
        <v>3729.1653424800006</v>
      </c>
      <c r="G3" s="79">
        <f t="shared" ref="G3" si="4">SUM(G4:G5)</f>
        <v>3646.6098775199998</v>
      </c>
      <c r="H3" s="79">
        <f t="shared" ref="H3" si="5">SUM(H4:H5)</f>
        <v>3998.5818037200006</v>
      </c>
      <c r="I3" s="79">
        <f t="shared" ref="I3" si="6">SUM(I4:I5)</f>
        <v>4049.1420562800004</v>
      </c>
      <c r="J3" s="79">
        <f t="shared" ref="J3" si="7">SUM(J4:J5)</f>
        <v>4122.0414950400009</v>
      </c>
      <c r="K3" s="79">
        <f t="shared" ref="K3" si="8">SUM(K4:K5)</f>
        <v>3440.6536878000011</v>
      </c>
      <c r="L3" s="79">
        <f t="shared" ref="L3" si="9">SUM(L4:L5)</f>
        <v>2766.8262009600003</v>
      </c>
      <c r="M3" s="79">
        <f t="shared" ref="M3" si="10">SUM(M4:M5)</f>
        <v>2893.6677992400005</v>
      </c>
      <c r="N3" s="79">
        <f t="shared" ref="N3" si="11">SUM(N4:N5)</f>
        <v>2544.4176447600003</v>
      </c>
      <c r="O3" s="79">
        <f t="shared" ref="O3" si="12">SUM(O4:O5)</f>
        <v>2559.9043180800004</v>
      </c>
      <c r="P3" s="79">
        <f t="shared" ref="P3" si="13">SUM(P4:P5)</f>
        <v>2881.4408017200003</v>
      </c>
      <c r="Q3" s="79">
        <f t="shared" ref="Q3" si="14">SUM(Q4:Q5)</f>
        <v>2983.4786289599997</v>
      </c>
      <c r="R3" s="79">
        <f t="shared" ref="R3" si="15">SUM(R4:R5)</f>
        <v>3215.34440172</v>
      </c>
      <c r="S3" s="79">
        <f t="shared" ref="S3" si="16">SUM(S4:S5)</f>
        <v>3557.14503552</v>
      </c>
      <c r="T3" s="79">
        <f t="shared" ref="T3" si="17">SUM(T4:T5)</f>
        <v>3947.8723883999996</v>
      </c>
      <c r="U3" s="79">
        <f t="shared" ref="U3" si="18">SUM(U4:U5)</f>
        <v>4079.6170365600001</v>
      </c>
      <c r="V3" s="79">
        <f t="shared" ref="V3:W3" si="19">SUM(V4:V5)</f>
        <v>1342.3860485999999</v>
      </c>
      <c r="W3" s="79">
        <f t="shared" si="19"/>
        <v>2552.1589213200009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1576.1269749600006</v>
      </c>
      <c r="C4" s="96">
        <f t="shared" si="20"/>
        <v>1341.5175050399998</v>
      </c>
      <c r="D4" s="96">
        <f t="shared" ref="D4:V4" si="21">SUM(D7,D11)</f>
        <v>1227.35457</v>
      </c>
      <c r="E4" s="96">
        <f t="shared" si="21"/>
        <v>1173.4798712400004</v>
      </c>
      <c r="F4" s="96">
        <f t="shared" si="21"/>
        <v>1243.2659824800003</v>
      </c>
      <c r="G4" s="96">
        <f t="shared" si="21"/>
        <v>1246.3218475199999</v>
      </c>
      <c r="H4" s="96">
        <f t="shared" si="21"/>
        <v>1119.5044837200001</v>
      </c>
      <c r="I4" s="96">
        <f t="shared" si="21"/>
        <v>1106.6489362799998</v>
      </c>
      <c r="J4" s="96">
        <f t="shared" si="21"/>
        <v>1062.2291450400003</v>
      </c>
      <c r="K4" s="96">
        <f t="shared" si="21"/>
        <v>874.5426590400001</v>
      </c>
      <c r="L4" s="96">
        <f t="shared" si="21"/>
        <v>713.93742971999995</v>
      </c>
      <c r="M4" s="96">
        <f t="shared" si="21"/>
        <v>667.64379924000013</v>
      </c>
      <c r="N4" s="96">
        <f t="shared" si="21"/>
        <v>562.63791599999979</v>
      </c>
      <c r="O4" s="96">
        <f t="shared" si="21"/>
        <v>531.74900304000028</v>
      </c>
      <c r="P4" s="96">
        <f t="shared" si="21"/>
        <v>541.02401676000011</v>
      </c>
      <c r="Q4" s="96">
        <f t="shared" si="21"/>
        <v>503.93534400000016</v>
      </c>
      <c r="R4" s="96">
        <f t="shared" si="21"/>
        <v>568.84931676000019</v>
      </c>
      <c r="S4" s="96">
        <f t="shared" si="21"/>
        <v>587.31688080000015</v>
      </c>
      <c r="T4" s="96">
        <f t="shared" si="21"/>
        <v>668.59135415999992</v>
      </c>
      <c r="U4" s="96">
        <f t="shared" si="21"/>
        <v>676.09566791999998</v>
      </c>
      <c r="V4" s="96">
        <f t="shared" si="21"/>
        <v>272.49527160000002</v>
      </c>
      <c r="W4" s="96">
        <f t="shared" ref="W4" si="22">SUM(W7,W11)</f>
        <v>455.59477692000013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2514.4364700000001</v>
      </c>
      <c r="C5" s="96">
        <f t="shared" si="23"/>
        <v>2336.8722299999999</v>
      </c>
      <c r="D5" s="96">
        <f t="shared" ref="D5:V5" si="24">SUM(D8:D9,D12:D13)</f>
        <v>2336.872229999999</v>
      </c>
      <c r="E5" s="96">
        <f t="shared" si="24"/>
        <v>2412.9711899999998</v>
      </c>
      <c r="F5" s="96">
        <f t="shared" si="24"/>
        <v>2485.8993600000003</v>
      </c>
      <c r="G5" s="96">
        <f t="shared" si="24"/>
        <v>2400.2880299999997</v>
      </c>
      <c r="H5" s="96">
        <f t="shared" si="24"/>
        <v>2879.0773200000003</v>
      </c>
      <c r="I5" s="96">
        <f t="shared" si="24"/>
        <v>2942.4931200000005</v>
      </c>
      <c r="J5" s="96">
        <f t="shared" si="24"/>
        <v>3059.8123500000002</v>
      </c>
      <c r="K5" s="96">
        <f t="shared" si="24"/>
        <v>2566.1110287600009</v>
      </c>
      <c r="L5" s="96">
        <f t="shared" si="24"/>
        <v>2052.8887712400001</v>
      </c>
      <c r="M5" s="96">
        <f t="shared" si="24"/>
        <v>2226.0240000000003</v>
      </c>
      <c r="N5" s="96">
        <f t="shared" si="24"/>
        <v>1981.7797287600004</v>
      </c>
      <c r="O5" s="96">
        <f t="shared" si="24"/>
        <v>2028.15531504</v>
      </c>
      <c r="P5" s="96">
        <f t="shared" si="24"/>
        <v>2340.4167849600003</v>
      </c>
      <c r="Q5" s="96">
        <f t="shared" si="24"/>
        <v>2479.5432849599997</v>
      </c>
      <c r="R5" s="96">
        <f t="shared" si="24"/>
        <v>2646.49508496</v>
      </c>
      <c r="S5" s="96">
        <f t="shared" si="24"/>
        <v>2969.8281547199999</v>
      </c>
      <c r="T5" s="96">
        <f t="shared" si="24"/>
        <v>3279.2810342399998</v>
      </c>
      <c r="U5" s="96">
        <f t="shared" si="24"/>
        <v>3403.5213686400002</v>
      </c>
      <c r="V5" s="96">
        <f t="shared" si="24"/>
        <v>1069.8907769999998</v>
      </c>
      <c r="W5" s="96">
        <f t="shared" ref="W5" si="25">SUM(W8:W9,W12:W13)</f>
        <v>2096.5641444000007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3989.3470573810423</v>
      </c>
      <c r="C6" s="21">
        <f t="shared" si="26"/>
        <v>3567.8267877340563</v>
      </c>
      <c r="D6" s="21">
        <f t="shared" ref="D6:V6" si="27">SUM(D7:D9)</f>
        <v>3457.3262802105091</v>
      </c>
      <c r="E6" s="21">
        <f t="shared" si="27"/>
        <v>3496.1012519715537</v>
      </c>
      <c r="F6" s="21">
        <f t="shared" si="27"/>
        <v>3669.242642575533</v>
      </c>
      <c r="G6" s="21">
        <f t="shared" si="27"/>
        <v>3587.7739158549161</v>
      </c>
      <c r="H6" s="21">
        <f t="shared" si="27"/>
        <v>3929.025004850937</v>
      </c>
      <c r="I6" s="21">
        <f t="shared" si="27"/>
        <v>3988.7342697890035</v>
      </c>
      <c r="J6" s="21">
        <f t="shared" si="27"/>
        <v>4055.9237725100807</v>
      </c>
      <c r="K6" s="21">
        <f t="shared" si="27"/>
        <v>3392.6791935720275</v>
      </c>
      <c r="L6" s="21">
        <f t="shared" si="27"/>
        <v>2729.4081057146145</v>
      </c>
      <c r="M6" s="21">
        <f t="shared" si="27"/>
        <v>2856.7038407151008</v>
      </c>
      <c r="N6" s="21">
        <f t="shared" si="27"/>
        <v>2512.5420714035317</v>
      </c>
      <c r="O6" s="21">
        <f t="shared" si="27"/>
        <v>2529.6947042621255</v>
      </c>
      <c r="P6" s="21">
        <f t="shared" si="27"/>
        <v>2857.1604543690801</v>
      </c>
      <c r="Q6" s="21">
        <f t="shared" si="27"/>
        <v>2960.6282599389651</v>
      </c>
      <c r="R6" s="21">
        <f t="shared" si="27"/>
        <v>3193.2113547524568</v>
      </c>
      <c r="S6" s="21">
        <f t="shared" si="27"/>
        <v>3535.1562972070324</v>
      </c>
      <c r="T6" s="21">
        <f t="shared" si="27"/>
        <v>3917.0926915250611</v>
      </c>
      <c r="U6" s="21">
        <f t="shared" si="27"/>
        <v>4049.6846576519142</v>
      </c>
      <c r="V6" s="21">
        <f t="shared" si="27"/>
        <v>1319.9647647109182</v>
      </c>
      <c r="W6" s="21">
        <f t="shared" ref="W6" si="28">SUM(W7:W9)</f>
        <v>2522.1452728623972</v>
      </c>
      <c r="DA6" s="189" t="s">
        <v>326</v>
      </c>
    </row>
    <row r="7" spans="1:105" ht="11.45" customHeight="1" x14ac:dyDescent="0.25">
      <c r="A7" s="83" t="s">
        <v>27</v>
      </c>
      <c r="B7" s="96">
        <v>1528.5889271612609</v>
      </c>
      <c r="C7" s="96">
        <v>1291.6031845634107</v>
      </c>
      <c r="D7" s="96">
        <v>1179.9011720155856</v>
      </c>
      <c r="E7" s="96">
        <v>1134.1459774510431</v>
      </c>
      <c r="F7" s="96">
        <v>1220.9905349016578</v>
      </c>
      <c r="G7" s="96">
        <v>1224.3628357449597</v>
      </c>
      <c r="H7" s="96">
        <v>1099.9030782566085</v>
      </c>
      <c r="I7" s="96">
        <v>1090.9326712951611</v>
      </c>
      <c r="J7" s="96">
        <v>1045.1010039916218</v>
      </c>
      <c r="K7" s="96">
        <v>864.1156232181379</v>
      </c>
      <c r="L7" s="96">
        <v>705.54399946183764</v>
      </c>
      <c r="M7" s="96">
        <v>660.80617737584032</v>
      </c>
      <c r="N7" s="96">
        <v>557.5615255965962</v>
      </c>
      <c r="O7" s="96">
        <v>526.91568841625235</v>
      </c>
      <c r="P7" s="96">
        <v>538.02089064395057</v>
      </c>
      <c r="Q7" s="96">
        <v>501.5117903966327</v>
      </c>
      <c r="R7" s="96">
        <v>566.68175869919514</v>
      </c>
      <c r="S7" s="96">
        <v>585.80164699346153</v>
      </c>
      <c r="T7" s="96">
        <v>665.51932704254591</v>
      </c>
      <c r="U7" s="96">
        <v>673.42113231507483</v>
      </c>
      <c r="V7" s="96">
        <v>271.36434064167332</v>
      </c>
      <c r="W7" s="96">
        <v>454.03919209263074</v>
      </c>
      <c r="DA7" s="171" t="s">
        <v>327</v>
      </c>
    </row>
    <row r="8" spans="1:105" ht="11.45" customHeight="1" x14ac:dyDescent="0.25">
      <c r="A8" s="83" t="s">
        <v>173</v>
      </c>
      <c r="B8" s="96">
        <v>2033.3528814192462</v>
      </c>
      <c r="C8" s="96">
        <v>1880.8658617345418</v>
      </c>
      <c r="D8" s="96">
        <v>1881.8679006218138</v>
      </c>
      <c r="E8" s="96">
        <v>1951.7249372794993</v>
      </c>
      <c r="F8" s="96">
        <v>1984.2650618673356</v>
      </c>
      <c r="G8" s="96">
        <v>1912.1482722885003</v>
      </c>
      <c r="H8" s="96">
        <v>2299.4746179806198</v>
      </c>
      <c r="I8" s="96">
        <v>2360.8090321691457</v>
      </c>
      <c r="J8" s="96">
        <v>2437.376228230507</v>
      </c>
      <c r="K8" s="96">
        <v>2025.8456921326108</v>
      </c>
      <c r="L8" s="96">
        <v>1611.1898780469332</v>
      </c>
      <c r="M8" s="96">
        <v>1749.8239362822492</v>
      </c>
      <c r="N8" s="96">
        <v>1551.2309185042652</v>
      </c>
      <c r="O8" s="96">
        <v>1588.9966673757058</v>
      </c>
      <c r="P8" s="96">
        <v>1857.2222937874335</v>
      </c>
      <c r="Q8" s="96">
        <v>1974.8915181535922</v>
      </c>
      <c r="R8" s="96">
        <v>2134.6746986730568</v>
      </c>
      <c r="S8" s="96">
        <v>2416.7031381177867</v>
      </c>
      <c r="T8" s="96">
        <v>2666.5909083753472</v>
      </c>
      <c r="U8" s="96">
        <v>2754.1382961756217</v>
      </c>
      <c r="V8" s="96">
        <v>789.33905524211332</v>
      </c>
      <c r="W8" s="96">
        <v>1628.9908787686202</v>
      </c>
      <c r="DA8" s="171" t="s">
        <v>328</v>
      </c>
    </row>
    <row r="9" spans="1:105" ht="11.45" customHeight="1" x14ac:dyDescent="0.25">
      <c r="A9" s="83" t="s">
        <v>174</v>
      </c>
      <c r="B9" s="96">
        <v>427.40524880053505</v>
      </c>
      <c r="C9" s="96">
        <v>395.35774143610399</v>
      </c>
      <c r="D9" s="96">
        <v>395.55720757310968</v>
      </c>
      <c r="E9" s="96">
        <v>410.23033724101094</v>
      </c>
      <c r="F9" s="96">
        <v>463.9870458065397</v>
      </c>
      <c r="G9" s="96">
        <v>451.26280782145614</v>
      </c>
      <c r="H9" s="96">
        <v>529.64730861370833</v>
      </c>
      <c r="I9" s="96">
        <v>536.99256632469678</v>
      </c>
      <c r="J9" s="96">
        <v>573.44654028795173</v>
      </c>
      <c r="K9" s="96">
        <v>502.71787822127862</v>
      </c>
      <c r="L9" s="96">
        <v>412.67422820584358</v>
      </c>
      <c r="M9" s="96">
        <v>446.0737270570113</v>
      </c>
      <c r="N9" s="96">
        <v>403.74962730267043</v>
      </c>
      <c r="O9" s="96">
        <v>413.78234847016722</v>
      </c>
      <c r="P9" s="96">
        <v>461.91726993769612</v>
      </c>
      <c r="Q9" s="96">
        <v>484.22495138873995</v>
      </c>
      <c r="R9" s="96">
        <v>491.85489738020482</v>
      </c>
      <c r="S9" s="96">
        <v>532.65151209578426</v>
      </c>
      <c r="T9" s="96">
        <v>584.98245610716845</v>
      </c>
      <c r="U9" s="96">
        <v>622.12522916121782</v>
      </c>
      <c r="V9" s="96">
        <v>259.26136882713149</v>
      </c>
      <c r="W9" s="96">
        <v>439.11520200114614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101.21638757895853</v>
      </c>
      <c r="C10" s="22">
        <f t="shared" si="29"/>
        <v>110.56294730594345</v>
      </c>
      <c r="D10" s="22">
        <f t="shared" ref="D10:V10" si="30">SUM(D11:D13)</f>
        <v>106.90051978949015</v>
      </c>
      <c r="E10" s="22">
        <f t="shared" si="30"/>
        <v>90.349809268447004</v>
      </c>
      <c r="F10" s="22">
        <f t="shared" si="30"/>
        <v>59.922699904467322</v>
      </c>
      <c r="G10" s="22">
        <f t="shared" si="30"/>
        <v>58.835961665083488</v>
      </c>
      <c r="H10" s="22">
        <f t="shared" si="30"/>
        <v>69.556798869063428</v>
      </c>
      <c r="I10" s="22">
        <f t="shared" si="30"/>
        <v>60.407786490996699</v>
      </c>
      <c r="J10" s="22">
        <f t="shared" si="30"/>
        <v>66.117722529919959</v>
      </c>
      <c r="K10" s="22">
        <f t="shared" si="30"/>
        <v>47.974494227973615</v>
      </c>
      <c r="L10" s="22">
        <f t="shared" si="30"/>
        <v>37.418095245385899</v>
      </c>
      <c r="M10" s="22">
        <f t="shared" si="30"/>
        <v>36.963958524899773</v>
      </c>
      <c r="N10" s="22">
        <f t="shared" si="30"/>
        <v>31.875573356468408</v>
      </c>
      <c r="O10" s="22">
        <f t="shared" si="30"/>
        <v>30.209613817874938</v>
      </c>
      <c r="P10" s="22">
        <f t="shared" si="30"/>
        <v>24.280347350919936</v>
      </c>
      <c r="Q10" s="22">
        <f t="shared" si="30"/>
        <v>22.850369021035096</v>
      </c>
      <c r="R10" s="22">
        <f t="shared" si="30"/>
        <v>22.133046967543141</v>
      </c>
      <c r="S10" s="22">
        <f t="shared" si="30"/>
        <v>21.988738312967648</v>
      </c>
      <c r="T10" s="22">
        <f t="shared" si="30"/>
        <v>30.779696874937823</v>
      </c>
      <c r="U10" s="22">
        <f t="shared" si="30"/>
        <v>29.932378908086125</v>
      </c>
      <c r="V10" s="22">
        <f t="shared" si="30"/>
        <v>22.421283889081849</v>
      </c>
      <c r="W10" s="22">
        <f t="shared" ref="W10" si="31">SUM(W11:W13)</f>
        <v>30.013648457603498</v>
      </c>
      <c r="DA10" s="193" t="s">
        <v>330</v>
      </c>
    </row>
    <row r="11" spans="1:105" ht="11.45" customHeight="1" x14ac:dyDescent="0.25">
      <c r="A11" s="92" t="s">
        <v>27</v>
      </c>
      <c r="B11" s="97">
        <v>47.538047798739655</v>
      </c>
      <c r="C11" s="97">
        <v>49.914320476589076</v>
      </c>
      <c r="D11" s="97">
        <v>47.453397984414316</v>
      </c>
      <c r="E11" s="97">
        <v>39.333893788957212</v>
      </c>
      <c r="F11" s="97">
        <v>22.275447578342337</v>
      </c>
      <c r="G11" s="97">
        <v>21.959011775040199</v>
      </c>
      <c r="H11" s="97">
        <v>19.601405463391593</v>
      </c>
      <c r="I11" s="97">
        <v>15.716264984838745</v>
      </c>
      <c r="J11" s="97">
        <v>17.128141048378417</v>
      </c>
      <c r="K11" s="97">
        <v>10.427035821862153</v>
      </c>
      <c r="L11" s="97">
        <v>8.393430258162331</v>
      </c>
      <c r="M11" s="97">
        <v>6.8376218641598259</v>
      </c>
      <c r="N11" s="97">
        <v>5.0763904034036402</v>
      </c>
      <c r="O11" s="97">
        <v>4.8333146237478841</v>
      </c>
      <c r="P11" s="97">
        <v>3.003126116049569</v>
      </c>
      <c r="Q11" s="97">
        <v>2.4235536033674254</v>
      </c>
      <c r="R11" s="97">
        <v>2.1675580608050109</v>
      </c>
      <c r="S11" s="97">
        <v>1.5152338065386293</v>
      </c>
      <c r="T11" s="97">
        <v>3.0720271174540579</v>
      </c>
      <c r="U11" s="97">
        <v>2.6745356049252007</v>
      </c>
      <c r="V11" s="97">
        <v>1.1309309583267053</v>
      </c>
      <c r="W11" s="97">
        <v>1.5555848273693644</v>
      </c>
      <c r="DA11" s="175" t="s">
        <v>331</v>
      </c>
    </row>
    <row r="12" spans="1:105" ht="11.45" customHeight="1" x14ac:dyDescent="0.25">
      <c r="A12" s="92" t="s">
        <v>173</v>
      </c>
      <c r="B12" s="97">
        <v>48.572835884360885</v>
      </c>
      <c r="C12" s="97">
        <v>55.727661002900767</v>
      </c>
      <c r="D12" s="97">
        <v>54.45942320639751</v>
      </c>
      <c r="E12" s="97">
        <v>45.526300271318611</v>
      </c>
      <c r="F12" s="97">
        <v>33.674223148384094</v>
      </c>
      <c r="G12" s="97">
        <v>32.943635969786975</v>
      </c>
      <c r="H12" s="97">
        <v>45.776239019772127</v>
      </c>
      <c r="I12" s="97">
        <v>41.170301704304975</v>
      </c>
      <c r="J12" s="97">
        <v>45.194704089528152</v>
      </c>
      <c r="K12" s="97">
        <v>34.546409484299019</v>
      </c>
      <c r="L12" s="97">
        <v>27.457556716105639</v>
      </c>
      <c r="M12" s="97">
        <v>28.257024043562449</v>
      </c>
      <c r="N12" s="97">
        <v>24.975265705207875</v>
      </c>
      <c r="O12" s="97">
        <v>23.967114349856683</v>
      </c>
      <c r="P12" s="97">
        <v>20.141865460678165</v>
      </c>
      <c r="Q12" s="97">
        <v>18.842182204613891</v>
      </c>
      <c r="R12" s="97">
        <v>18.506871401700995</v>
      </c>
      <c r="S12" s="97">
        <v>18.744940019752089</v>
      </c>
      <c r="T12" s="97">
        <v>24.850937859693001</v>
      </c>
      <c r="U12" s="97">
        <v>23.862957969682952</v>
      </c>
      <c r="V12" s="97">
        <v>18.055295187117753</v>
      </c>
      <c r="W12" s="97">
        <v>22.116707996348687</v>
      </c>
      <c r="DA12" s="175" t="s">
        <v>332</v>
      </c>
    </row>
    <row r="13" spans="1:105" ht="11.45" customHeight="1" x14ac:dyDescent="0.25">
      <c r="A13" s="85" t="s">
        <v>174</v>
      </c>
      <c r="B13" s="98">
        <v>5.1055038958579937</v>
      </c>
      <c r="C13" s="98">
        <v>4.9209658264536067</v>
      </c>
      <c r="D13" s="98">
        <v>4.9876985986783273</v>
      </c>
      <c r="E13" s="98">
        <v>5.4896152081711724</v>
      </c>
      <c r="F13" s="98">
        <v>3.9730291777408895</v>
      </c>
      <c r="G13" s="98">
        <v>3.9333139202563103</v>
      </c>
      <c r="H13" s="98">
        <v>4.1791543858997038</v>
      </c>
      <c r="I13" s="98">
        <v>3.5212198018529812</v>
      </c>
      <c r="J13" s="98">
        <v>3.794877392013392</v>
      </c>
      <c r="K13" s="98">
        <v>3.0010489218124401</v>
      </c>
      <c r="L13" s="98">
        <v>1.5671082711179314</v>
      </c>
      <c r="M13" s="98">
        <v>1.8693126171775012</v>
      </c>
      <c r="N13" s="98">
        <v>1.8239172478568937</v>
      </c>
      <c r="O13" s="98">
        <v>1.4091848442703714</v>
      </c>
      <c r="P13" s="98">
        <v>1.135355774192204</v>
      </c>
      <c r="Q13" s="98">
        <v>1.5846332130537821</v>
      </c>
      <c r="R13" s="98">
        <v>1.4586175050371344</v>
      </c>
      <c r="S13" s="98">
        <v>1.7285644866769301</v>
      </c>
      <c r="T13" s="98">
        <v>2.8567318977907625</v>
      </c>
      <c r="U13" s="98">
        <v>3.3948853334779741</v>
      </c>
      <c r="V13" s="98">
        <v>3.2350577436373915</v>
      </c>
      <c r="W13" s="98">
        <v>6.3413556338854455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3.0103092000000014</v>
      </c>
      <c r="C18" s="97">
        <f>IF(C4=0,0,C4/TrAvia_ene!C4)</f>
        <v>3.0103092</v>
      </c>
      <c r="D18" s="97">
        <f>IF(D4=0,0,D4/TrAvia_ene!D4)</f>
        <v>3.0103092</v>
      </c>
      <c r="E18" s="97">
        <f>IF(E4=0,0,E4/TrAvia_ene!E4)</f>
        <v>3.0103092000000005</v>
      </c>
      <c r="F18" s="97">
        <f>IF(F4=0,0,F4/TrAvia_ene!F4)</f>
        <v>3.0103092000000009</v>
      </c>
      <c r="G18" s="97">
        <f>IF(G4=0,0,G4/TrAvia_ene!G4)</f>
        <v>3.0103092000000005</v>
      </c>
      <c r="H18" s="97">
        <f>IF(H4=0,0,H4/TrAvia_ene!H4)</f>
        <v>3.0103092</v>
      </c>
      <c r="I18" s="97">
        <f>IF(I4=0,0,I4/TrAvia_ene!I4)</f>
        <v>3.0103092</v>
      </c>
      <c r="J18" s="97">
        <f>IF(J4=0,0,J4/TrAvia_ene!J4)</f>
        <v>3.0103092000000009</v>
      </c>
      <c r="K18" s="97">
        <f>IF(K4=0,0,K4/TrAvia_ene!K4)</f>
        <v>3.0089037424244989</v>
      </c>
      <c r="L18" s="97">
        <f>IF(L4=0,0,L4/TrAvia_ene!L4)</f>
        <v>3.0092761028671706</v>
      </c>
      <c r="M18" s="97">
        <f>IF(M4=0,0,M4/TrAvia_ene!M4)</f>
        <v>3.0095726299074426</v>
      </c>
      <c r="N18" s="97">
        <f>IF(N4=0,0,N4/TrAvia_ene!N4)</f>
        <v>3.0094189634614383</v>
      </c>
      <c r="O18" s="97">
        <f>IF(O4=0,0,O4/TrAvia_ene!O4)</f>
        <v>3.0093629709757681</v>
      </c>
      <c r="P18" s="97">
        <f>IF(P4=0,0,P4/TrAvia_ene!P4)</f>
        <v>3.0093791875863838</v>
      </c>
      <c r="Q18" s="97">
        <f>IF(Q4=0,0,Q4/TrAvia_ene!Q4)</f>
        <v>3.0098098987788764</v>
      </c>
      <c r="R18" s="97">
        <f>IF(R4=0,0,R4/TrAvia_ene!R4)</f>
        <v>3.0094246658348855</v>
      </c>
      <c r="S18" s="97">
        <f>IF(S4=0,0,S4/TrAvia_ene!S4)</f>
        <v>3.009365507728178</v>
      </c>
      <c r="T18" s="97">
        <f>IF(T4=0,0,T4/TrAvia_ene!T4)</f>
        <v>3.0095769056433941</v>
      </c>
      <c r="U18" s="97">
        <f>IF(U4=0,0,U4/TrAvia_ene!U4)</f>
        <v>3.0095091153839917</v>
      </c>
      <c r="V18" s="97">
        <f>IF(V4=0,0,V4/TrAvia_ene!V4)</f>
        <v>3.0085278031060052</v>
      </c>
      <c r="W18" s="97">
        <f>IF(W4=0,0,W4/TrAvia_ene!W4)</f>
        <v>3.0092313285371017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</v>
      </c>
      <c r="C19" s="98">
        <f>IF(C5=0,0,C5/TrAvia_ene!C5)</f>
        <v>3.0103092000000014</v>
      </c>
      <c r="D19" s="98">
        <f>IF(D5=0,0,D5/TrAvia_ene!D5)</f>
        <v>3.0103091999999991</v>
      </c>
      <c r="E19" s="98">
        <f>IF(E5=0,0,E5/TrAvia_ene!E5)</f>
        <v>3.0103091999999982</v>
      </c>
      <c r="F19" s="98">
        <f>IF(F5=0,0,F5/TrAvia_ene!F5)</f>
        <v>3.0103092000000009</v>
      </c>
      <c r="G19" s="98">
        <f>IF(G5=0,0,G5/TrAvia_ene!G5)</f>
        <v>3.0103092</v>
      </c>
      <c r="H19" s="98">
        <f>IF(H5=0,0,H5/TrAvia_ene!H5)</f>
        <v>3.0103092000000009</v>
      </c>
      <c r="I19" s="98">
        <f>IF(I5=0,0,I5/TrAvia_ene!I5)</f>
        <v>3.0103092000000005</v>
      </c>
      <c r="J19" s="98">
        <f>IF(J5=0,0,J5/TrAvia_ene!J5)</f>
        <v>3.0103092</v>
      </c>
      <c r="K19" s="98">
        <f>IF(K5=0,0,K5/TrAvia_ene!K5)</f>
        <v>3.0103092000000018</v>
      </c>
      <c r="L19" s="98">
        <f>IF(L5=0,0,L5/TrAvia_ene!L5)</f>
        <v>3.0103092000000009</v>
      </c>
      <c r="M19" s="98">
        <f>IF(M5=0,0,M5/TrAvia_ene!M5)</f>
        <v>3.0103092000000005</v>
      </c>
      <c r="N19" s="98">
        <f>IF(N5=0,0,N5/TrAvia_ene!N5)</f>
        <v>3.0103092000000009</v>
      </c>
      <c r="O19" s="98">
        <f>IF(O5=0,0,O5/TrAvia_ene!O5)</f>
        <v>3.0103092000000005</v>
      </c>
      <c r="P19" s="98">
        <f>IF(P5=0,0,P5/TrAvia_ene!P5)</f>
        <v>3.0103092000000009</v>
      </c>
      <c r="Q19" s="98">
        <f>IF(Q5=0,0,Q5/TrAvia_ene!Q5)</f>
        <v>3.0103091999999996</v>
      </c>
      <c r="R19" s="98">
        <f>IF(R5=0,0,R5/TrAvia_ene!R5)</f>
        <v>3.0103092</v>
      </c>
      <c r="S19" s="98">
        <f>IF(S5=0,0,S5/TrAvia_ene!S5)</f>
        <v>3.0102944848291338</v>
      </c>
      <c r="T19" s="98">
        <f>IF(T5=0,0,T5/TrAvia_ene!T5)</f>
        <v>3.0102888209070335</v>
      </c>
      <c r="U19" s="98">
        <f>IF(U5=0,0,U5/TrAvia_ene!U5)</f>
        <v>3.010300995263214</v>
      </c>
      <c r="V19" s="98">
        <f>IF(V5=0,0,V5/TrAvia_ene!V5)</f>
        <v>3.010234098077444</v>
      </c>
      <c r="W19" s="98">
        <f>IF(W5=0,0,W5/TrAvia_ene!W5)</f>
        <v>3.0102664691067043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16290.498615949793</v>
      </c>
      <c r="C21" s="54">
        <f>IF(C3=0,0,C3/TrAvia_act!C13*1000)</f>
        <v>15614.637825612032</v>
      </c>
      <c r="D21" s="54">
        <f>IF(D3=0,0,D3/TrAvia_act!D13*1000)</f>
        <v>15350.518697931197</v>
      </c>
      <c r="E21" s="54">
        <f>IF(E3=0,0,E3/TrAvia_act!E13*1000)</f>
        <v>15200.921066779971</v>
      </c>
      <c r="F21" s="54">
        <f>IF(F3=0,0,F3/TrAvia_act!F13*1000)</f>
        <v>14703.568080494555</v>
      </c>
      <c r="G21" s="54">
        <f>IF(G3=0,0,G3/TrAvia_act!G13*1000)</f>
        <v>14847.950471372202</v>
      </c>
      <c r="H21" s="54">
        <f>IF(H3=0,0,H3/TrAvia_act!H13*1000)</f>
        <v>15191.638270857944</v>
      </c>
      <c r="I21" s="54">
        <f>IF(I3=0,0,I3/TrAvia_act!I13*1000)</f>
        <v>14554.381607328995</v>
      </c>
      <c r="J21" s="54">
        <f>IF(J3=0,0,J3/TrAvia_act!J13*1000)</f>
        <v>15246.58450567052</v>
      </c>
      <c r="K21" s="54">
        <f>IF(K3=0,0,K3/TrAvia_act!K13*1000)</f>
        <v>13139.070356699109</v>
      </c>
      <c r="L21" s="54">
        <f>IF(L3=0,0,L3/TrAvia_act!L13*1000)</f>
        <v>11054.626845682491</v>
      </c>
      <c r="M21" s="54">
        <f>IF(M3=0,0,M3/TrAvia_act!M13*1000)</f>
        <v>11548.618798734697</v>
      </c>
      <c r="N21" s="54">
        <f>IF(N3=0,0,N3/TrAvia_act!N13*1000)</f>
        <v>11106.172149101552</v>
      </c>
      <c r="O21" s="54">
        <f>IF(O3=0,0,O3/TrAvia_act!O13*1000)</f>
        <v>11008.185026337014</v>
      </c>
      <c r="P21" s="54">
        <f>IF(P3=0,0,P3/TrAvia_act!P13*1000)</f>
        <v>10877.998952526308</v>
      </c>
      <c r="Q21" s="54">
        <f>IF(Q3=0,0,Q3/TrAvia_act!Q13*1000)</f>
        <v>10794.849401386835</v>
      </c>
      <c r="R21" s="54">
        <f>IF(R3=0,0,R3/TrAvia_act!R13*1000)</f>
        <v>10846.463401726913</v>
      </c>
      <c r="S21" s="54">
        <f>IF(S3=0,0,S3/TrAvia_act!S13*1000)</f>
        <v>11104.97923506167</v>
      </c>
      <c r="T21" s="54">
        <f>IF(T3=0,0,T3/TrAvia_act!T13*1000)</f>
        <v>11272.554634184085</v>
      </c>
      <c r="U21" s="54">
        <f>IF(U3=0,0,U3/TrAvia_act!U13*1000)</f>
        <v>11366.841398700182</v>
      </c>
      <c r="V21" s="54">
        <f>IF(V3=0,0,V3/TrAvia_act!V13*1000)</f>
        <v>9464.3429343794087</v>
      </c>
      <c r="W21" s="54">
        <f>IF(W3=0,0,W3/TrAvia_act!W13*1000)</f>
        <v>9948.1297271430285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16269.899137780583</v>
      </c>
      <c r="C22" s="11">
        <f>IF(C6=0,0,C6/TrAvia_act!C14*1000)</f>
        <v>15593.044552180518</v>
      </c>
      <c r="D22" s="11">
        <f>IF(D6=0,0,D6/TrAvia_act!D14*1000)</f>
        <v>15325.040027279507</v>
      </c>
      <c r="E22" s="11">
        <f>IF(E6=0,0,E6/TrAvia_act!E14*1000)</f>
        <v>15177.352895842774</v>
      </c>
      <c r="F22" s="11">
        <f>IF(F6=0,0,F6/TrAvia_act!F14*1000)</f>
        <v>14705.102295749632</v>
      </c>
      <c r="G22" s="11">
        <f>IF(G6=0,0,G6/TrAvia_act!G14*1000)</f>
        <v>14850.275543993326</v>
      </c>
      <c r="H22" s="11">
        <f>IF(H6=0,0,H6/TrAvia_act!H14*1000)</f>
        <v>15196.891569147774</v>
      </c>
      <c r="I22" s="11">
        <f>IF(I6=0,0,I6/TrAvia_act!I14*1000)</f>
        <v>14562.773870689367</v>
      </c>
      <c r="J22" s="11">
        <f>IF(J6=0,0,J6/TrAvia_act!J14*1000)</f>
        <v>15252.400405065597</v>
      </c>
      <c r="K22" s="11">
        <f>IF(K6=0,0,K6/TrAvia_act!K14*1000)</f>
        <v>13148.703247309719</v>
      </c>
      <c r="L22" s="11">
        <f>IF(L6=0,0,L6/TrAvia_act!L14*1000)</f>
        <v>11060.631971868195</v>
      </c>
      <c r="M22" s="11">
        <f>IF(M6=0,0,M6/TrAvia_act!M14*1000)</f>
        <v>11553.731068859706</v>
      </c>
      <c r="N22" s="11">
        <f>IF(N6=0,0,N6/TrAvia_act!N14*1000)</f>
        <v>11108.582071287605</v>
      </c>
      <c r="O22" s="11">
        <f>IF(O6=0,0,O6/TrAvia_act!O14*1000)</f>
        <v>11007.837532245652</v>
      </c>
      <c r="P22" s="11">
        <f>IF(P6=0,0,P6/TrAvia_act!P14*1000)</f>
        <v>10879.793984629616</v>
      </c>
      <c r="Q22" s="11">
        <f>IF(Q6=0,0,Q6/TrAvia_act!Q14*1000)</f>
        <v>10797.971579326018</v>
      </c>
      <c r="R22" s="11">
        <f>IF(R6=0,0,R6/TrAvia_act!R14*1000)</f>
        <v>10849.416163510699</v>
      </c>
      <c r="S22" s="11">
        <f>IF(S6=0,0,S6/TrAvia_act!S14*1000)</f>
        <v>11109.488091674424</v>
      </c>
      <c r="T22" s="11">
        <f>IF(T6=0,0,T6/TrAvia_act!T14*1000)</f>
        <v>11279.58002530802</v>
      </c>
      <c r="U22" s="11">
        <f>IF(U6=0,0,U6/TrAvia_act!U14*1000)</f>
        <v>11375.307753743398</v>
      </c>
      <c r="V22" s="11">
        <f>IF(V6=0,0,V6/TrAvia_act!V14*1000)</f>
        <v>9476.0121567516453</v>
      </c>
      <c r="W22" s="11">
        <f>IF(W6=0,0,W6/TrAvia_act!W14*1000)</f>
        <v>9963.4670114425608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35865.768295008063</v>
      </c>
      <c r="C23" s="84">
        <f>IF(C7=0,0,C7/TrAvia_act!C15*1000)</f>
        <v>32012.674936836233</v>
      </c>
      <c r="D23" s="84">
        <f>IF(D7=0,0,D7/TrAvia_act!D15*1000)</f>
        <v>31932.462455726822</v>
      </c>
      <c r="E23" s="84">
        <f>IF(E7=0,0,E7/TrAvia_act!E15*1000)</f>
        <v>32071.270393143484</v>
      </c>
      <c r="F23" s="84">
        <f>IF(F7=0,0,F7/TrAvia_act!F15*1000)</f>
        <v>30336.392490044</v>
      </c>
      <c r="G23" s="84">
        <f>IF(G7=0,0,G7/TrAvia_act!G15*1000)</f>
        <v>31743.843756830054</v>
      </c>
      <c r="H23" s="84">
        <f>IF(H7=0,0,H7/TrAvia_act!H15*1000)</f>
        <v>27527.86022041359</v>
      </c>
      <c r="I23" s="84">
        <f>IF(I7=0,0,I7/TrAvia_act!I15*1000)</f>
        <v>26813.425064551899</v>
      </c>
      <c r="J23" s="84">
        <f>IF(J7=0,0,J7/TrAvia_act!J15*1000)</f>
        <v>27169.348138436708</v>
      </c>
      <c r="K23" s="84">
        <f>IF(K7=0,0,K7/TrAvia_act!K15*1000)</f>
        <v>20224.414154791219</v>
      </c>
      <c r="L23" s="84">
        <f>IF(L7=0,0,L7/TrAvia_act!L15*1000)</f>
        <v>18843.988738275828</v>
      </c>
      <c r="M23" s="84">
        <f>IF(M7=0,0,M7/TrAvia_act!M15*1000)</f>
        <v>21331.759916534964</v>
      </c>
      <c r="N23" s="84">
        <f>IF(N7=0,0,N7/TrAvia_act!N15*1000)</f>
        <v>19579.631554288128</v>
      </c>
      <c r="O23" s="84">
        <f>IF(O7=0,0,O7/TrAvia_act!O15*1000)</f>
        <v>20736.165054309953</v>
      </c>
      <c r="P23" s="84">
        <f>IF(P7=0,0,P7/TrAvia_act!P15*1000)</f>
        <v>19913.229185353164</v>
      </c>
      <c r="Q23" s="84">
        <f>IF(Q7=0,0,Q7/TrAvia_act!Q15*1000)</f>
        <v>16784.784153165401</v>
      </c>
      <c r="R23" s="84">
        <f>IF(R7=0,0,R7/TrAvia_act!R15*1000)</f>
        <v>17762.686601556899</v>
      </c>
      <c r="S23" s="84">
        <f>IF(S7=0,0,S7/TrAvia_act!S15*1000)</f>
        <v>18738.963156717073</v>
      </c>
      <c r="T23" s="84">
        <f>IF(T7=0,0,T7/TrAvia_act!T15*1000)</f>
        <v>20281.974971692136</v>
      </c>
      <c r="U23" s="84">
        <f>IF(U7=0,0,U7/TrAvia_act!U15*1000)</f>
        <v>20397.57341158784</v>
      </c>
      <c r="V23" s="84">
        <f>IF(V7=0,0,V7/TrAvia_act!V15*1000)</f>
        <v>13501.897230786864</v>
      </c>
      <c r="W23" s="84">
        <f>IF(W7=0,0,W7/TrAvia_act!W15*1000)</f>
        <v>16510.626378471014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11650.140635661512</v>
      </c>
      <c r="C24" s="84">
        <f>IF(C8=0,0,C8/TrAvia_act!C16*1000)</f>
        <v>11583.6538234253</v>
      </c>
      <c r="D24" s="84">
        <f>IF(D8=0,0,D8/TrAvia_act!D16*1000)</f>
        <v>11578.251569519336</v>
      </c>
      <c r="E24" s="84">
        <f>IF(E8=0,0,E8/TrAvia_act!E16*1000)</f>
        <v>11617.770994296225</v>
      </c>
      <c r="F24" s="84">
        <f>IF(F8=0,0,F8/TrAvia_act!F16*1000)</f>
        <v>11172.449778165415</v>
      </c>
      <c r="G24" s="84">
        <f>IF(G8=0,0,G8/TrAvia_act!G16*1000)</f>
        <v>11112.196807818957</v>
      </c>
      <c r="H24" s="84">
        <f>IF(H8=0,0,H8/TrAvia_act!H16*1000)</f>
        <v>12625.43726687448</v>
      </c>
      <c r="I24" s="84">
        <f>IF(I8=0,0,I8/TrAvia_act!I16*1000)</f>
        <v>12366.599253071199</v>
      </c>
      <c r="J24" s="84">
        <f>IF(J8=0,0,J8/TrAvia_act!J16*1000)</f>
        <v>13397.034072591721</v>
      </c>
      <c r="K24" s="84">
        <f>IF(K8=0,0,K8/TrAvia_act!K16*1000)</f>
        <v>11705.572986715233</v>
      </c>
      <c r="L24" s="84">
        <f>IF(L8=0,0,L8/TrAvia_act!L16*1000)</f>
        <v>9694.678328171889</v>
      </c>
      <c r="M24" s="84">
        <f>IF(M8=0,0,M8/TrAvia_act!M16*1000)</f>
        <v>10257.432623283636</v>
      </c>
      <c r="N24" s="84">
        <f>IF(N8=0,0,N8/TrAvia_act!N16*1000)</f>
        <v>10014.032853735176</v>
      </c>
      <c r="O24" s="84">
        <f>IF(O8=0,0,O8/TrAvia_act!O16*1000)</f>
        <v>10219.037293562411</v>
      </c>
      <c r="P24" s="84">
        <f>IF(P8=0,0,P8/TrAvia_act!P16*1000)</f>
        <v>10127.389533597745</v>
      </c>
      <c r="Q24" s="84">
        <f>IF(Q8=0,0,Q8/TrAvia_act!Q16*1000)</f>
        <v>10099.712567081999</v>
      </c>
      <c r="R24" s="84">
        <f>IF(R8=0,0,R8/TrAvia_act!R16*1000)</f>
        <v>10232.719364790915</v>
      </c>
      <c r="S24" s="84">
        <f>IF(S8=0,0,S8/TrAvia_act!S16*1000)</f>
        <v>10682.745179083966</v>
      </c>
      <c r="T24" s="84">
        <f>IF(T8=0,0,T8/TrAvia_act!T16*1000)</f>
        <v>10668.610439332444</v>
      </c>
      <c r="U24" s="84">
        <f>IF(U8=0,0,U8/TrAvia_act!U16*1000)</f>
        <v>10927.595451617775</v>
      </c>
      <c r="V24" s="84">
        <f>IF(V8=0,0,V8/TrAvia_act!V16*1000)</f>
        <v>7881.5015500116288</v>
      </c>
      <c r="W24" s="84">
        <f>IF(W8=0,0,W8/TrAvia_act!W16*1000)</f>
        <v>9076.755182044446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15240.697026481985</v>
      </c>
      <c r="C25" s="84">
        <f>IF(C9=0,0,C9/TrAvia_act!C17*1000)</f>
        <v>15153.712285306839</v>
      </c>
      <c r="D25" s="84">
        <f>IF(D9=0,0,D9/TrAvia_act!D17*1000)</f>
        <v>15146.626179120289</v>
      </c>
      <c r="E25" s="84">
        <f>IF(E9=0,0,E9/TrAvia_act!E17*1000)</f>
        <v>15198.341190829109</v>
      </c>
      <c r="F25" s="84">
        <f>IF(F9=0,0,F9/TrAvia_act!F17*1000)</f>
        <v>14650.698994418128</v>
      </c>
      <c r="G25" s="84">
        <f>IF(G9=0,0,G9/TrAvia_act!G17*1000)</f>
        <v>14580.458700889372</v>
      </c>
      <c r="H25" s="84">
        <f>IF(H9=0,0,H9/TrAvia_act!H17*1000)</f>
        <v>14528.77033209088</v>
      </c>
      <c r="I25" s="84">
        <f>IF(I9=0,0,I9/TrAvia_act!I17*1000)</f>
        <v>12691.485627590042</v>
      </c>
      <c r="J25" s="84">
        <f>IF(J9=0,0,J9/TrAvia_act!J17*1000)</f>
        <v>12597.638477373948</v>
      </c>
      <c r="K25" s="84">
        <f>IF(K9=0,0,K9/TrAvia_act!K17*1000)</f>
        <v>11904.076744109279</v>
      </c>
      <c r="L25" s="84">
        <f>IF(L9=0,0,L9/TrAvia_act!L17*1000)</f>
        <v>9567.4229925572217</v>
      </c>
      <c r="M25" s="84">
        <f>IF(M9=0,0,M9/TrAvia_act!M17*1000)</f>
        <v>9764.0344627290542</v>
      </c>
      <c r="N25" s="84">
        <f>IF(N9=0,0,N9/TrAvia_act!N17*1000)</f>
        <v>9433.8557919614341</v>
      </c>
      <c r="O25" s="84">
        <f>IF(O9=0,0,O9/TrAvia_act!O17*1000)</f>
        <v>8461.0689336331961</v>
      </c>
      <c r="P25" s="84">
        <f>IF(P9=0,0,P9/TrAvia_act!P17*1000)</f>
        <v>8847.7550541809032</v>
      </c>
      <c r="Q25" s="84">
        <f>IF(Q9=0,0,Q9/TrAvia_act!Q17*1000)</f>
        <v>9929.6806570616955</v>
      </c>
      <c r="R25" s="84">
        <f>IF(R9=0,0,R9/TrAvia_act!R17*1000)</f>
        <v>9141.358110350202</v>
      </c>
      <c r="S25" s="84">
        <f>IF(S9=0,0,S9/TrAvia_act!S17*1000)</f>
        <v>8771.6115270564096</v>
      </c>
      <c r="T25" s="84">
        <f>IF(T9=0,0,T9/TrAvia_act!T17*1000)</f>
        <v>9067.7760012060025</v>
      </c>
      <c r="U25" s="84">
        <f>IF(U9=0,0,U9/TrAvia_act!U17*1000)</f>
        <v>8767.677643917501</v>
      </c>
      <c r="V25" s="84">
        <f>IF(V9=0,0,V9/TrAvia_act!V17*1000)</f>
        <v>13612.164040086995</v>
      </c>
      <c r="W25" s="84">
        <f>IF(W9=0,0,W9/TrAvia_act!W17*1000)</f>
        <v>9510.6097638015981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17146.133631309007</v>
      </c>
      <c r="C26" s="13">
        <f>IF(C10=0,0,C10/TrAvia_act!C18*1000)</f>
        <v>16345.049945709687</v>
      </c>
      <c r="D26" s="13">
        <f>IF(D10=0,0,D10/TrAvia_act!D18*1000)</f>
        <v>16222.810504626366</v>
      </c>
      <c r="E26" s="13">
        <f>IF(E10=0,0,E10/TrAvia_act!E18*1000)</f>
        <v>16172.70395095608</v>
      </c>
      <c r="F26" s="13">
        <f>IF(F10=0,0,F10/TrAvia_act!F18*1000)</f>
        <v>14610.229681083605</v>
      </c>
      <c r="G26" s="13">
        <f>IF(G10=0,0,G10/TrAvia_act!G18*1000)</f>
        <v>14707.532069487213</v>
      </c>
      <c r="H26" s="13">
        <f>IF(H10=0,0,H10/TrAvia_act!H18*1000)</f>
        <v>14900.68139073014</v>
      </c>
      <c r="I26" s="13">
        <f>IF(I10=0,0,I10/TrAvia_act!I18*1000)</f>
        <v>14020.860212396019</v>
      </c>
      <c r="J26" s="13">
        <f>IF(J10=0,0,J10/TrAvia_act!J18*1000)</f>
        <v>14898.101569721654</v>
      </c>
      <c r="K26" s="13">
        <f>IF(K10=0,0,K10/TrAvia_act!K18*1000)</f>
        <v>12491.87736298657</v>
      </c>
      <c r="L26" s="13">
        <f>IF(L10=0,0,L10/TrAvia_act!L18*1000)</f>
        <v>10633.507177797657</v>
      </c>
      <c r="M26" s="13">
        <f>IF(M10=0,0,M10/TrAvia_act!M18*1000)</f>
        <v>11166.757735568135</v>
      </c>
      <c r="N26" s="13">
        <f>IF(N10=0,0,N10/TrAvia_act!N18*1000)</f>
        <v>10919.448031891214</v>
      </c>
      <c r="O26" s="13">
        <f>IF(O10=0,0,O10/TrAvia_act!O18*1000)</f>
        <v>11037.361555066624</v>
      </c>
      <c r="P26" s="13">
        <f>IF(P10=0,0,P10/TrAvia_act!P18*1000)</f>
        <v>10670.827747192188</v>
      </c>
      <c r="Q26" s="13">
        <f>IF(Q10=0,0,Q10/TrAvia_act!Q18*1000)</f>
        <v>10405.04209557731</v>
      </c>
      <c r="R26" s="13">
        <f>IF(R10=0,0,R10/TrAvia_act!R18*1000)</f>
        <v>10436.665012998437</v>
      </c>
      <c r="S26" s="13">
        <f>IF(S10=0,0,S10/TrAvia_act!S18*1000)</f>
        <v>10424.76317250552</v>
      </c>
      <c r="T26" s="13">
        <f>IF(T10=0,0,T10/TrAvia_act!T18*1000)</f>
        <v>10444.666487054325</v>
      </c>
      <c r="U26" s="13">
        <f>IF(U10=0,0,U10/TrAvia_act!U18*1000)</f>
        <v>10326.955693737415</v>
      </c>
      <c r="V26" s="13">
        <f>IF(V10=0,0,V10/TrAvia_act!V18*1000)</f>
        <v>8824.5894263896807</v>
      </c>
      <c r="W26" s="13">
        <f>IF(W10=0,0,W10/TrAvia_act!W18*1000)</f>
        <v>8808.66849630656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35824.854056654476</v>
      </c>
      <c r="C27" s="102">
        <f>IF(C11=0,0,C11/TrAvia_act!C19*1000)</f>
        <v>31976.156153746797</v>
      </c>
      <c r="D27" s="102">
        <f>IF(D11=0,0,D11/TrAvia_act!D19*1000)</f>
        <v>31896.035175837431</v>
      </c>
      <c r="E27" s="102">
        <f>IF(E11=0,0,E11/TrAvia_act!E19*1000)</f>
        <v>32034.68476669395</v>
      </c>
      <c r="F27" s="102">
        <f>IF(F11=0,0,F11/TrAvia_act!F19*1000)</f>
        <v>30301.785943129522</v>
      </c>
      <c r="G27" s="102">
        <f>IF(G11=0,0,G11/TrAvia_act!G19*1000)</f>
        <v>31707.425885885124</v>
      </c>
      <c r="H27" s="102">
        <f>IF(H11=0,0,H11/TrAvia_act!H19*1000)</f>
        <v>27453.348010326023</v>
      </c>
      <c r="I27" s="102">
        <f>IF(I11=0,0,I11/TrAvia_act!I19*1000)</f>
        <v>26697.426777045697</v>
      </c>
      <c r="J27" s="102">
        <f>IF(J11=0,0,J11/TrAvia_act!J19*1000)</f>
        <v>27010.332021067548</v>
      </c>
      <c r="K27" s="102">
        <f>IF(K11=0,0,K11/TrAvia_act!K19*1000)</f>
        <v>20069.878045197962</v>
      </c>
      <c r="L27" s="102">
        <f>IF(L11=0,0,L11/TrAvia_act!L19*1000)</f>
        <v>18665.084835512956</v>
      </c>
      <c r="M27" s="102">
        <f>IF(M11=0,0,M11/TrAvia_act!M19*1000)</f>
        <v>20490.302001865839</v>
      </c>
      <c r="N27" s="102">
        <f>IF(N11=0,0,N11/TrAvia_act!N19*1000)</f>
        <v>18239.328224384477</v>
      </c>
      <c r="O27" s="102">
        <f>IF(O11=0,0,O11/TrAvia_act!O19*1000)</f>
        <v>19241.372529364471</v>
      </c>
      <c r="P27" s="102">
        <f>IF(P11=0,0,P11/TrAvia_act!P19*1000)</f>
        <v>18455.795235305362</v>
      </c>
      <c r="Q27" s="102">
        <f>IF(Q11=0,0,Q11/TrAvia_act!Q19*1000)</f>
        <v>15541.562626029927</v>
      </c>
      <c r="R27" s="102">
        <f>IF(R11=0,0,R11/TrAvia_act!R19*1000)</f>
        <v>16445.427203517527</v>
      </c>
      <c r="S27" s="102">
        <f>IF(S11=0,0,S11/TrAvia_act!S19*1000)</f>
        <v>17273.522074272641</v>
      </c>
      <c r="T27" s="102">
        <f>IF(T11=0,0,T11/TrAvia_act!T19*1000)</f>
        <v>18663.776150335507</v>
      </c>
      <c r="U27" s="102">
        <f>IF(U11=0,0,U11/TrAvia_act!U19*1000)</f>
        <v>18165.180920239298</v>
      </c>
      <c r="V27" s="102">
        <f>IF(V11=0,0,V11/TrAvia_act!V19*1000)</f>
        <v>11995.927412334227</v>
      </c>
      <c r="W27" s="102">
        <f>IF(W11=0,0,W11/TrAvia_act!W19*1000)</f>
        <v>14670.518066795983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11681.063938255849</v>
      </c>
      <c r="C28" s="102">
        <f>IF(C12=0,0,C12/TrAvia_act!C20*1000)</f>
        <v>11614.364489653819</v>
      </c>
      <c r="D28" s="102">
        <f>IF(D12=0,0,D12/TrAvia_act!D20*1000)</f>
        <v>11609.526462775329</v>
      </c>
      <c r="E28" s="102">
        <f>IF(E12=0,0,E12/TrAvia_act!E20*1000)</f>
        <v>11649.328094710043</v>
      </c>
      <c r="F28" s="102">
        <f>IF(F12=0,0,F12/TrAvia_act!F20*1000)</f>
        <v>11121.089301985947</v>
      </c>
      <c r="G28" s="102">
        <f>IF(G12=0,0,G12/TrAvia_act!G20*1000)</f>
        <v>11070.08246882914</v>
      </c>
      <c r="H28" s="102">
        <f>IF(H12=0,0,H12/TrAvia_act!H20*1000)</f>
        <v>12792.222744507226</v>
      </c>
      <c r="I28" s="102">
        <f>IF(I12=0,0,I12/TrAvia_act!I20*1000)</f>
        <v>12324.249718599156</v>
      </c>
      <c r="J28" s="102">
        <f>IF(J12=0,0,J12/TrAvia_act!J20*1000)</f>
        <v>13380.104282496493</v>
      </c>
      <c r="K28" s="102">
        <f>IF(K12=0,0,K12/TrAvia_act!K20*1000)</f>
        <v>11606.107395628847</v>
      </c>
      <c r="L28" s="102">
        <f>IF(L12=0,0,L12/TrAvia_act!L20*1000)</f>
        <v>9630.0017129214502</v>
      </c>
      <c r="M28" s="102">
        <f>IF(M12=0,0,M12/TrAvia_act!M20*1000)</f>
        <v>10228.671904897308</v>
      </c>
      <c r="N28" s="102">
        <f>IF(N12=0,0,N12/TrAvia_act!N20*1000)</f>
        <v>10124.18076734175</v>
      </c>
      <c r="O28" s="102">
        <f>IF(O12=0,0,O12/TrAvia_act!O20*1000)</f>
        <v>10295.779174277686</v>
      </c>
      <c r="P28" s="102">
        <f>IF(P12=0,0,P12/TrAvia_act!P20*1000)</f>
        <v>10140.454008101724</v>
      </c>
      <c r="Q28" s="102">
        <f>IF(Q12=0,0,Q12/TrAvia_act!Q20*1000)</f>
        <v>9999.9068770343347</v>
      </c>
      <c r="R28" s="102">
        <f>IF(R12=0,0,R12/TrAvia_act!R20*1000)</f>
        <v>10172.013129207498</v>
      </c>
      <c r="S28" s="102">
        <f>IF(S12=0,0,S12/TrAvia_act!S20*1000)</f>
        <v>10471.343355415169</v>
      </c>
      <c r="T28" s="102">
        <f>IF(T12=0,0,T12/TrAvia_act!T20*1000)</f>
        <v>10428.15947367855</v>
      </c>
      <c r="U28" s="102">
        <f>IF(U12=0,0,U12/TrAvia_act!U20*1000)</f>
        <v>10518.715734921931</v>
      </c>
      <c r="V28" s="102">
        <f>IF(V12=0,0,V12/TrAvia_act!V20*1000)</f>
        <v>8303.5287908859009</v>
      </c>
      <c r="W28" s="102">
        <f>IF(W12=0,0,W12/TrAvia_act!W20*1000)</f>
        <v>9089.2072428974134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12215.603227340614</v>
      </c>
      <c r="C29" s="86">
        <f>IF(C13=0,0,C13/TrAvia_act!C21*1000)</f>
        <v>12145.883903927634</v>
      </c>
      <c r="D29" s="86">
        <f>IF(D13=0,0,D13/TrAvia_act!D21*1000)</f>
        <v>12140.204304008332</v>
      </c>
      <c r="E29" s="86">
        <f>IF(E13=0,0,E13/TrAvia_act!E21*1000)</f>
        <v>12181.654512147405</v>
      </c>
      <c r="F29" s="86">
        <f>IF(F13=0,0,F13/TrAvia_act!F21*1000)</f>
        <v>11742.712659928844</v>
      </c>
      <c r="G29" s="86">
        <f>IF(G13=0,0,G13/TrAvia_act!G21*1000)</f>
        <v>11849.846842140589</v>
      </c>
      <c r="H29" s="86">
        <f>IF(H13=0,0,H13/TrAvia_act!H21*1000)</f>
        <v>11126.741985883713</v>
      </c>
      <c r="I29" s="86">
        <f>IF(I13=0,0,I13/TrAvia_act!I21*1000)</f>
        <v>9287.1800260474247</v>
      </c>
      <c r="J29" s="86">
        <f>IF(J13=0,0,J13/TrAvia_act!J21*1000)</f>
        <v>8905.8776229875057</v>
      </c>
      <c r="K29" s="86">
        <f>IF(K13=0,0,K13/TrAvia_act!K21*1000)</f>
        <v>8715.1896945933149</v>
      </c>
      <c r="L29" s="86">
        <f>IF(L13=0,0,L13/TrAvia_act!L21*1000)</f>
        <v>7190.2867625114141</v>
      </c>
      <c r="M29" s="86">
        <f>IF(M13=0,0,M13/TrAvia_act!M21*1000)</f>
        <v>8737.2789602050161</v>
      </c>
      <c r="N29" s="86">
        <f>IF(N13=0,0,N13/TrAvia_act!N21*1000)</f>
        <v>10485.750297006416</v>
      </c>
      <c r="O29" s="86">
        <f>IF(O13=0,0,O13/TrAvia_act!O21*1000)</f>
        <v>8920.0154658066767</v>
      </c>
      <c r="P29" s="86">
        <f>IF(P13=0,0,P13/TrAvia_act!P21*1000)</f>
        <v>8983.1940253865887</v>
      </c>
      <c r="Q29" s="86">
        <f>IF(Q13=0,0,Q13/TrAvia_act!Q21*1000)</f>
        <v>10163.752563583486</v>
      </c>
      <c r="R29" s="86">
        <f>IF(R13=0,0,R13/TrAvia_act!R21*1000)</f>
        <v>8605.0682621235428</v>
      </c>
      <c r="S29" s="86">
        <f>IF(S13=0,0,S13/TrAvia_act!S21*1000)</f>
        <v>7468.6916909252695</v>
      </c>
      <c r="T29" s="86">
        <f>IF(T13=0,0,T13/TrAvia_act!T21*1000)</f>
        <v>7154.87928130811</v>
      </c>
      <c r="U29" s="86">
        <f>IF(U13=0,0,U13/TrAvia_act!U21*1000)</f>
        <v>7034.3174020187389</v>
      </c>
      <c r="V29" s="86">
        <f>IF(V13=0,0,V13/TrAvia_act!V21*1000)</f>
        <v>11889.876584538879</v>
      </c>
      <c r="W29" s="86">
        <f>IF(W13=0,0,W13/TrAvia_act!W21*1000)</f>
        <v>7306.0682961073881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119.03949929455678</v>
      </c>
      <c r="C32" s="14">
        <f>IF(C6=0,0,C6/TrAvia_act!C4*1000)</f>
        <v>114.1198300925668</v>
      </c>
      <c r="D32" s="14">
        <f>IF(D6=0,0,D6/TrAvia_act!D4*1000)</f>
        <v>111.96837755350558</v>
      </c>
      <c r="E32" s="14">
        <f>IF(E6=0,0,E6/TrAvia_act!E4*1000)</f>
        <v>111.63344390180926</v>
      </c>
      <c r="F32" s="14">
        <f>IF(F6=0,0,F6/TrAvia_act!F4*1000)</f>
        <v>109.62421078585965</v>
      </c>
      <c r="G32" s="14">
        <f>IF(G6=0,0,G6/TrAvia_act!G4*1000)</f>
        <v>104.42638608373223</v>
      </c>
      <c r="H32" s="14">
        <f>IF(H6=0,0,H6/TrAvia_act!H4*1000)</f>
        <v>109.48375325168757</v>
      </c>
      <c r="I32" s="14">
        <f>IF(I6=0,0,I6/TrAvia_act!I4*1000)</f>
        <v>108.89957733276886</v>
      </c>
      <c r="J32" s="14">
        <f>IF(J6=0,0,J6/TrAvia_act!J4*1000)</f>
        <v>114.97736739514285</v>
      </c>
      <c r="K32" s="14">
        <f>IF(K6=0,0,K6/TrAvia_act!K4*1000)</f>
        <v>103.42340765001664</v>
      </c>
      <c r="L32" s="14">
        <f>IF(L6=0,0,L6/TrAvia_act!L4*1000)</f>
        <v>84.452609613311679</v>
      </c>
      <c r="M32" s="14">
        <f>IF(M6=0,0,M6/TrAvia_act!M4*1000)</f>
        <v>84.624470383463063</v>
      </c>
      <c r="N32" s="14">
        <f>IF(N6=0,0,N6/TrAvia_act!N4*1000)</f>
        <v>79.801571514956692</v>
      </c>
      <c r="O32" s="14">
        <f>IF(O6=0,0,O6/TrAvia_act!O4*1000)</f>
        <v>75.770416428326627</v>
      </c>
      <c r="P32" s="14">
        <f>IF(P6=0,0,P6/TrAvia_act!P4*1000)</f>
        <v>76.273423112569617</v>
      </c>
      <c r="Q32" s="14">
        <f>IF(Q6=0,0,Q6/TrAvia_act!Q4*1000)</f>
        <v>76.575964411527437</v>
      </c>
      <c r="R32" s="14">
        <f>IF(R6=0,0,R6/TrAvia_act!R4*1000)</f>
        <v>75.879370476175595</v>
      </c>
      <c r="S32" s="14">
        <f>IF(S6=0,0,S6/TrAvia_act!S4*1000)</f>
        <v>74.954999636400544</v>
      </c>
      <c r="T32" s="14">
        <f>IF(T6=0,0,T6/TrAvia_act!T4*1000)</f>
        <v>75.851183803010215</v>
      </c>
      <c r="U32" s="14">
        <f>IF(U6=0,0,U6/TrAvia_act!U4*1000)</f>
        <v>75.339437594130999</v>
      </c>
      <c r="V32" s="14">
        <f>IF(V6=0,0,V6/TrAvia_act!V4*1000)</f>
        <v>82.545080835904685</v>
      </c>
      <c r="W32" s="14">
        <f>IF(W6=0,0,W6/TrAvia_act!W4*1000)</f>
        <v>82.9457587439679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614.26131151070899</v>
      </c>
      <c r="C33" s="87">
        <f>IF(C7=0,0,C7/TrAvia_act!C5*1000)</f>
        <v>544.58967447722625</v>
      </c>
      <c r="D33" s="87">
        <f>IF(D7=0,0,D7/TrAvia_act!D5*1000)</f>
        <v>539.67611766471941</v>
      </c>
      <c r="E33" s="87">
        <f>IF(E7=0,0,E7/TrAvia_act!E5*1000)</f>
        <v>539.2140649970238</v>
      </c>
      <c r="F33" s="87">
        <f>IF(F7=0,0,F7/TrAvia_act!F5*1000)</f>
        <v>498.91691414294615</v>
      </c>
      <c r="G33" s="87">
        <f>IF(G7=0,0,G7/TrAvia_act!G5*1000)</f>
        <v>489.70621715462255</v>
      </c>
      <c r="H33" s="87">
        <f>IF(H7=0,0,H7/TrAvia_act!H5*1000)</f>
        <v>418.48853340092245</v>
      </c>
      <c r="I33" s="87">
        <f>IF(I7=0,0,I7/TrAvia_act!I5*1000)</f>
        <v>387.54477844048159</v>
      </c>
      <c r="J33" s="87">
        <f>IF(J7=0,0,J7/TrAvia_act!J5*1000)</f>
        <v>376.77833823807373</v>
      </c>
      <c r="K33" s="87">
        <f>IF(K7=0,0,K7/TrAvia_act!K5*1000)</f>
        <v>306.1111464433427</v>
      </c>
      <c r="L33" s="87">
        <f>IF(L7=0,0,L7/TrAvia_act!L5*1000)</f>
        <v>280.16157991471101</v>
      </c>
      <c r="M33" s="87">
        <f>IF(M7=0,0,M7/TrAvia_act!M5*1000)</f>
        <v>312.7736391117096</v>
      </c>
      <c r="N33" s="87">
        <f>IF(N7=0,0,N7/TrAvia_act!N5*1000)</f>
        <v>289.20754615532121</v>
      </c>
      <c r="O33" s="87">
        <f>IF(O7=0,0,O7/TrAvia_act!O5*1000)</f>
        <v>282.79151308714808</v>
      </c>
      <c r="P33" s="87">
        <f>IF(P7=0,0,P7/TrAvia_act!P5*1000)</f>
        <v>237.73566420858515</v>
      </c>
      <c r="Q33" s="87">
        <f>IF(Q7=0,0,Q7/TrAvia_act!Q5*1000)</f>
        <v>185.10302491135195</v>
      </c>
      <c r="R33" s="87">
        <f>IF(R7=0,0,R7/TrAvia_act!R5*1000)</f>
        <v>194.75894063859948</v>
      </c>
      <c r="S33" s="87">
        <f>IF(S7=0,0,S7/TrAvia_act!S5*1000)</f>
        <v>202.18109697842709</v>
      </c>
      <c r="T33" s="87">
        <f>IF(T7=0,0,T7/TrAvia_act!T5*1000)</f>
        <v>229.03881419434302</v>
      </c>
      <c r="U33" s="87">
        <f>IF(U7=0,0,U7/TrAvia_act!U5*1000)</f>
        <v>234.24440857044544</v>
      </c>
      <c r="V33" s="87">
        <f>IF(V7=0,0,V7/TrAvia_act!V5*1000)</f>
        <v>211.79613517574535</v>
      </c>
      <c r="W33" s="87">
        <f>IF(W7=0,0,W7/TrAvia_act!W5*1000)</f>
        <v>226.75909296491653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73.761665699551031</v>
      </c>
      <c r="C34" s="87">
        <f>IF(C8=0,0,C8/TrAvia_act!C6*1000)</f>
        <v>73.323914606762273</v>
      </c>
      <c r="D34" s="87">
        <f>IF(D8=0,0,D8/TrAvia_act!D6*1000)</f>
        <v>74.037031423583016</v>
      </c>
      <c r="E34" s="87">
        <f>IF(E8=0,0,E8/TrAvia_act!E6*1000)</f>
        <v>75.652870592244767</v>
      </c>
      <c r="F34" s="87">
        <f>IF(F8=0,0,F8/TrAvia_act!F6*1000)</f>
        <v>73.164575839253104</v>
      </c>
      <c r="G34" s="87">
        <f>IF(G8=0,0,G8/TrAvia_act!G6*1000)</f>
        <v>69.268421142428991</v>
      </c>
      <c r="H34" s="87">
        <f>IF(H8=0,0,H8/TrAvia_act!H6*1000)</f>
        <v>81.910058965752498</v>
      </c>
      <c r="I34" s="87">
        <f>IF(I8=0,0,I8/TrAvia_act!I6*1000)</f>
        <v>85.000683628852443</v>
      </c>
      <c r="J34" s="87">
        <f>IF(J8=0,0,J8/TrAvia_act!J6*1000)</f>
        <v>93.833848453343109</v>
      </c>
      <c r="K34" s="87">
        <f>IF(K8=0,0,K8/TrAvia_act!K6*1000)</f>
        <v>83.507197399441679</v>
      </c>
      <c r="L34" s="87">
        <f>IF(L8=0,0,L8/TrAvia_act!L6*1000)</f>
        <v>68.29823896953215</v>
      </c>
      <c r="M34" s="87">
        <f>IF(M8=0,0,M8/TrAvia_act!M6*1000)</f>
        <v>70.576412749940161</v>
      </c>
      <c r="N34" s="87">
        <f>IF(N8=0,0,N8/TrAvia_act!N6*1000)</f>
        <v>67.152862255372469</v>
      </c>
      <c r="O34" s="87">
        <f>IF(O8=0,0,O8/TrAvia_act!O6*1000)</f>
        <v>66.690505020752511</v>
      </c>
      <c r="P34" s="87">
        <f>IF(P8=0,0,P8/TrAvia_act!P6*1000)</f>
        <v>68.218734615431259</v>
      </c>
      <c r="Q34" s="87">
        <f>IF(Q8=0,0,Q8/TrAvia_act!Q6*1000)</f>
        <v>68.711729508602716</v>
      </c>
      <c r="R34" s="87">
        <f>IF(R8=0,0,R8/TrAvia_act!R6*1000)</f>
        <v>68.584384950841596</v>
      </c>
      <c r="S34" s="87">
        <f>IF(S8=0,0,S8/TrAvia_act!S6*1000)</f>
        <v>69.683812167514773</v>
      </c>
      <c r="T34" s="87">
        <f>IF(T8=0,0,T8/TrAvia_act!T6*1000)</f>
        <v>70.477691600703821</v>
      </c>
      <c r="U34" s="87">
        <f>IF(U8=0,0,U8/TrAvia_act!U6*1000)</f>
        <v>70.609759546718536</v>
      </c>
      <c r="V34" s="87">
        <f>IF(V8=0,0,V8/TrAvia_act!V6*1000)</f>
        <v>62.094050684334945</v>
      </c>
      <c r="W34" s="87">
        <f>IF(W8=0,0,W8/TrAvia_act!W6*1000)</f>
        <v>72.037070309987584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123.6069966027197</v>
      </c>
      <c r="C35" s="87">
        <f>IF(C9=0,0,C9/TrAvia_act!C7*1000)</f>
        <v>121.99770077360468</v>
      </c>
      <c r="D35" s="87">
        <f>IF(D9=0,0,D9/TrAvia_act!D7*1000)</f>
        <v>120.83758439691938</v>
      </c>
      <c r="E35" s="87">
        <f>IF(E9=0,0,E9/TrAvia_act!E7*1000)</f>
        <v>120.09330921153118</v>
      </c>
      <c r="F35" s="87">
        <f>IF(F9=0,0,F9/TrAvia_act!F7*1000)</f>
        <v>118.87215059833609</v>
      </c>
      <c r="G35" s="87">
        <f>IF(G9=0,0,G9/TrAvia_act!G7*1000)</f>
        <v>106.13298017106793</v>
      </c>
      <c r="H35" s="87">
        <f>IF(H9=0,0,H9/TrAvia_act!H7*1000)</f>
        <v>102.14221274399023</v>
      </c>
      <c r="I35" s="87">
        <f>IF(I9=0,0,I9/TrAvia_act!I7*1000)</f>
        <v>88.925894610225924</v>
      </c>
      <c r="J35" s="87">
        <f>IF(J9=0,0,J9/TrAvia_act!J7*1000)</f>
        <v>87.862780336874053</v>
      </c>
      <c r="K35" s="87">
        <f>IF(K9=0,0,K9/TrAvia_act!K7*1000)</f>
        <v>87.866714946024302</v>
      </c>
      <c r="L35" s="87">
        <f>IF(L9=0,0,L9/TrAvia_act!L7*1000)</f>
        <v>66.453579336182884</v>
      </c>
      <c r="M35" s="87">
        <f>IF(M9=0,0,M9/TrAvia_act!M7*1000)</f>
        <v>65.107269845654727</v>
      </c>
      <c r="N35" s="87">
        <f>IF(N9=0,0,N9/TrAvia_act!N7*1000)</f>
        <v>62.529189326688858</v>
      </c>
      <c r="O35" s="87">
        <f>IF(O9=0,0,O9/TrAvia_act!O7*1000)</f>
        <v>53.76159877443235</v>
      </c>
      <c r="P35" s="87">
        <f>IF(P9=0,0,P9/TrAvia_act!P7*1000)</f>
        <v>57.943734193158193</v>
      </c>
      <c r="Q35" s="87">
        <f>IF(Q9=0,0,Q9/TrAvia_act!Q7*1000)</f>
        <v>67.145555773709063</v>
      </c>
      <c r="R35" s="87">
        <f>IF(R9=0,0,R9/TrAvia_act!R7*1000)</f>
        <v>61.113007671736526</v>
      </c>
      <c r="S35" s="87">
        <f>IF(S9=0,0,S9/TrAvia_act!S7*1000)</f>
        <v>55.569497615454274</v>
      </c>
      <c r="T35" s="87">
        <f>IF(T9=0,0,T9/TrAvia_act!T7*1000)</f>
        <v>53.667371167908058</v>
      </c>
      <c r="U35" s="87">
        <f>IF(U9=0,0,U9/TrAvia_act!U7*1000)</f>
        <v>52.400129333689108</v>
      </c>
      <c r="V35" s="87">
        <f>IF(V9=0,0,V9/TrAvia_act!V7*1000)</f>
        <v>129.78703044508734</v>
      </c>
      <c r="W35" s="87">
        <f>IF(W9=0,0,W9/TrAvia_act!W7*1000)</f>
        <v>75.818858353466766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684.1729135037848</v>
      </c>
      <c r="C36" s="15">
        <f>IF(C10=0,0,C10/TrAvia_act!C8*1000)</f>
        <v>641.49168486915005</v>
      </c>
      <c r="D36" s="15">
        <f>IF(D10=0,0,D10/TrAvia_act!D8*1000)</f>
        <v>664.57673665780237</v>
      </c>
      <c r="E36" s="15">
        <f>IF(E10=0,0,E10/TrAvia_act!E8*1000)</f>
        <v>635.34035842577896</v>
      </c>
      <c r="F36" s="15">
        <f>IF(F10=0,0,F10/TrAvia_act!F8*1000)</f>
        <v>600.72273081787125</v>
      </c>
      <c r="G36" s="15">
        <f>IF(G10=0,0,G10/TrAvia_act!G8*1000)</f>
        <v>620.23541781030178</v>
      </c>
      <c r="H36" s="15">
        <f>IF(H10=0,0,H10/TrAvia_act!H8*1000)</f>
        <v>716.96168114338775</v>
      </c>
      <c r="I36" s="15">
        <f>IF(I10=0,0,I10/TrAvia_act!I8*1000)</f>
        <v>666.6254523401916</v>
      </c>
      <c r="J36" s="15">
        <f>IF(J10=0,0,J10/TrAvia_act!J8*1000)</f>
        <v>717.86785538788342</v>
      </c>
      <c r="K36" s="15">
        <f>IF(K10=0,0,K10/TrAvia_act!K8*1000)</f>
        <v>578.11239760106218</v>
      </c>
      <c r="L36" s="15">
        <f>IF(L10=0,0,L10/TrAvia_act!L8*1000)</f>
        <v>516.5944662605142</v>
      </c>
      <c r="M36" s="15">
        <f>IF(M10=0,0,M10/TrAvia_act!M8*1000)</f>
        <v>511.2084191840882</v>
      </c>
      <c r="N36" s="15">
        <f>IF(N10=0,0,N10/TrAvia_act!N8*1000)</f>
        <v>469.32298048795974</v>
      </c>
      <c r="O36" s="15">
        <f>IF(O10=0,0,O10/TrAvia_act!O8*1000)</f>
        <v>484.00985819452046</v>
      </c>
      <c r="P36" s="15">
        <f>IF(P10=0,0,P10/TrAvia_act!P8*1000)</f>
        <v>412.14852041694633</v>
      </c>
      <c r="Q36" s="15">
        <f>IF(Q10=0,0,Q10/TrAvia_act!Q8*1000)</f>
        <v>387.40353234060905</v>
      </c>
      <c r="R36" s="15">
        <f>IF(R10=0,0,R10/TrAvia_act!R8*1000)</f>
        <v>345.66733822005358</v>
      </c>
      <c r="S36" s="15">
        <f>IF(S10=0,0,S10/TrAvia_act!S8*1000)</f>
        <v>339.35729790270733</v>
      </c>
      <c r="T36" s="15">
        <f>IF(T10=0,0,T10/TrAvia_act!T8*1000)</f>
        <v>312.29616895583024</v>
      </c>
      <c r="U36" s="15">
        <f>IF(U10=0,0,U10/TrAvia_act!U8*1000)</f>
        <v>275.15907792497234</v>
      </c>
      <c r="V36" s="15">
        <f>IF(V10=0,0,V10/TrAvia_act!V8*1000)</f>
        <v>345.19146055461005</v>
      </c>
      <c r="W36" s="15">
        <f>IF(W10=0,0,W10/TrAvia_act!W8*1000)</f>
        <v>285.79579284966093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3348.7541159589614</v>
      </c>
      <c r="C37" s="101">
        <f>IF(C11=0,0,C11/TrAvia_act!C9*1000)</f>
        <v>3011.9594383881495</v>
      </c>
      <c r="D37" s="101">
        <f>IF(D11=0,0,D11/TrAvia_act!D9*1000)</f>
        <v>2921.6451096594697</v>
      </c>
      <c r="E37" s="101">
        <f>IF(E11=0,0,E11/TrAvia_act!E9*1000)</f>
        <v>2758.6536903945976</v>
      </c>
      <c r="F37" s="101">
        <f>IF(F11=0,0,F11/TrAvia_act!F9*1000)</f>
        <v>2771.0967501143773</v>
      </c>
      <c r="G37" s="101">
        <f>IF(G11=0,0,G11/TrAvia_act!G9*1000)</f>
        <v>2962.9565221425041</v>
      </c>
      <c r="H37" s="101">
        <f>IF(H11=0,0,H11/TrAvia_act!H9*1000)</f>
        <v>2667.058584960906</v>
      </c>
      <c r="I37" s="101">
        <f>IF(I11=0,0,I11/TrAvia_act!I9*1000)</f>
        <v>2603.287578877324</v>
      </c>
      <c r="J37" s="101">
        <f>IF(J11=0,0,J11/TrAvia_act!J9*1000)</f>
        <v>2737.5745196880125</v>
      </c>
      <c r="K37" s="101">
        <f>IF(K11=0,0,K11/TrAvia_act!K9*1000)</f>
        <v>2016.7177189242996</v>
      </c>
      <c r="L37" s="101">
        <f>IF(L11=0,0,L11/TrAvia_act!L9*1000)</f>
        <v>1753.5798372702066</v>
      </c>
      <c r="M37" s="101">
        <f>IF(M11=0,0,M11/TrAvia_act!M9*1000)</f>
        <v>1742.8008279055746</v>
      </c>
      <c r="N37" s="101">
        <f>IF(N11=0,0,N11/TrAvia_act!N9*1000)</f>
        <v>1488.3698882668884</v>
      </c>
      <c r="O37" s="101">
        <f>IF(O11=0,0,O11/TrAvia_act!O9*1000)</f>
        <v>1503.8692418339151</v>
      </c>
      <c r="P37" s="101">
        <f>IF(P11=0,0,P11/TrAvia_act!P9*1000)</f>
        <v>1287.0034810440764</v>
      </c>
      <c r="Q37" s="101">
        <f>IF(Q11=0,0,Q11/TrAvia_act!Q9*1000)</f>
        <v>1059.3521983057881</v>
      </c>
      <c r="R37" s="101">
        <f>IF(R11=0,0,R11/TrAvia_act!R9*1000)</f>
        <v>1007.6037974972121</v>
      </c>
      <c r="S37" s="101">
        <f>IF(S11=0,0,S11/TrAvia_act!S9*1000)</f>
        <v>1145.3623024236158</v>
      </c>
      <c r="T37" s="101">
        <f>IF(T11=0,0,T11/TrAvia_act!T9*1000)</f>
        <v>1242.9550198355948</v>
      </c>
      <c r="U37" s="101">
        <f>IF(U11=0,0,U11/TrAvia_act!U9*1000)</f>
        <v>1094.4215535808753</v>
      </c>
      <c r="V37" s="101">
        <f>IF(V11=0,0,V11/TrAvia_act!V9*1000)</f>
        <v>767.80567270072982</v>
      </c>
      <c r="W37" s="101">
        <f>IF(W11=0,0,W11/TrAvia_act!W9*1000)</f>
        <v>901.74703273205773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490.77704059586381</v>
      </c>
      <c r="C38" s="101">
        <f>IF(C12=0,0,C12/TrAvia_act!C10*1000)</f>
        <v>462.58879175627459</v>
      </c>
      <c r="D38" s="101">
        <f>IF(D12=0,0,D12/TrAvia_act!D10*1000)</f>
        <v>491.52969764292192</v>
      </c>
      <c r="E38" s="101">
        <f>IF(E12=0,0,E12/TrAvia_act!E10*1000)</f>
        <v>483.09484210490717</v>
      </c>
      <c r="F38" s="101">
        <f>IF(F12=0,0,F12/TrAvia_act!F10*1000)</f>
        <v>501.51003850036767</v>
      </c>
      <c r="G38" s="101">
        <f>IF(G12=0,0,G12/TrAvia_act!G10*1000)</f>
        <v>508.51866256822154</v>
      </c>
      <c r="H38" s="101">
        <f>IF(H12=0,0,H12/TrAvia_act!H10*1000)</f>
        <v>705.62538247445184</v>
      </c>
      <c r="I38" s="101">
        <f>IF(I12=0,0,I12/TrAvia_act!I10*1000)</f>
        <v>686.52397803879091</v>
      </c>
      <c r="J38" s="101">
        <f>IF(J12=0,0,J12/TrAvia_act!J10*1000)</f>
        <v>769.33749515463637</v>
      </c>
      <c r="K38" s="101">
        <f>IF(K12=0,0,K12/TrAvia_act!K10*1000)</f>
        <v>650.40740633835867</v>
      </c>
      <c r="L38" s="101">
        <f>IF(L12=0,0,L12/TrAvia_act!L10*1000)</f>
        <v>530.5559572366119</v>
      </c>
      <c r="M38" s="101">
        <f>IF(M12=0,0,M12/TrAvia_act!M10*1000)</f>
        <v>541.79895628846157</v>
      </c>
      <c r="N38" s="101">
        <f>IF(N12=0,0,N12/TrAvia_act!N10*1000)</f>
        <v>495.59494065451781</v>
      </c>
      <c r="O38" s="101">
        <f>IF(O12=0,0,O12/TrAvia_act!O10*1000)</f>
        <v>510.58517666760571</v>
      </c>
      <c r="P38" s="101">
        <f>IF(P12=0,0,P12/TrAvia_act!P10*1000)</f>
        <v>443.58286552468593</v>
      </c>
      <c r="Q38" s="101">
        <f>IF(Q12=0,0,Q12/TrAvia_act!Q10*1000)</f>
        <v>441.47394589877518</v>
      </c>
      <c r="R38" s="101">
        <f>IF(R12=0,0,R12/TrAvia_act!R10*1000)</f>
        <v>407.29766361137655</v>
      </c>
      <c r="S38" s="101">
        <f>IF(S12=0,0,S12/TrAvia_act!S10*1000)</f>
        <v>453.88909727015255</v>
      </c>
      <c r="T38" s="101">
        <f>IF(T12=0,0,T12/TrAvia_act!T10*1000)</f>
        <v>446.4518409700313</v>
      </c>
      <c r="U38" s="101">
        <f>IF(U12=0,0,U12/TrAvia_act!U10*1000)</f>
        <v>421.7723306454709</v>
      </c>
      <c r="V38" s="101">
        <f>IF(V12=0,0,V12/TrAvia_act!V10*1000)</f>
        <v>393.3409432401445</v>
      </c>
      <c r="W38" s="101">
        <f>IF(W12=0,0,W12/TrAvia_act!W10*1000)</f>
        <v>473.87790364244626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146.82486789905866</v>
      </c>
      <c r="C39" s="88">
        <f>IF(C13=0,0,C13/TrAvia_act!C11*1000)</f>
        <v>139.35779341503135</v>
      </c>
      <c r="D39" s="88">
        <f>IF(D13=0,0,D13/TrAvia_act!D11*1000)</f>
        <v>147.4898355694819</v>
      </c>
      <c r="E39" s="88">
        <f>IF(E13=0,0,E13/TrAvia_act!E11*1000)</f>
        <v>162.84957498023394</v>
      </c>
      <c r="F39" s="88">
        <f>IF(F13=0,0,F13/TrAvia_act!F11*1000)</f>
        <v>161.72315015409754</v>
      </c>
      <c r="G39" s="88">
        <f>IF(G13=0,0,G13/TrAvia_act!G11*1000)</f>
        <v>173.53383701214517</v>
      </c>
      <c r="H39" s="88">
        <f>IF(H13=0,0,H13/TrAvia_act!H11*1000)</f>
        <v>168.55964776290151</v>
      </c>
      <c r="I39" s="88">
        <f>IF(I13=0,0,I13/TrAvia_act!I11*1000)</f>
        <v>143.07511790776468</v>
      </c>
      <c r="J39" s="88">
        <f>IF(J13=0,0,J13/TrAvia_act!J11*1000)</f>
        <v>140.0258348445804</v>
      </c>
      <c r="K39" s="88">
        <f>IF(K13=0,0,K13/TrAvia_act!K11*1000)</f>
        <v>121.50297227902577</v>
      </c>
      <c r="L39" s="88">
        <f>IF(L13=0,0,L13/TrAvia_act!L11*1000)</f>
        <v>98.601424603488866</v>
      </c>
      <c r="M39" s="88">
        <f>IF(M13=0,0,M13/TrAvia_act!M11*1000)</f>
        <v>115.17926220659648</v>
      </c>
      <c r="N39" s="88">
        <f>IF(N13=0,0,N13/TrAvia_act!N11*1000)</f>
        <v>129.23681734527878</v>
      </c>
      <c r="O39" s="88">
        <f>IF(O13=0,0,O13/TrAvia_act!O11*1000)</f>
        <v>114.93337453849857</v>
      </c>
      <c r="P39" s="88">
        <f>IF(P13=0,0,P13/TrAvia_act!P11*1000)</f>
        <v>101.63422507853898</v>
      </c>
      <c r="Q39" s="88">
        <f>IF(Q13=0,0,Q13/TrAvia_act!Q11*1000)</f>
        <v>113.06338925204827</v>
      </c>
      <c r="R39" s="88">
        <f>IF(R13=0,0,R13/TrAvia_act!R11*1000)</f>
        <v>88.72095197786598</v>
      </c>
      <c r="S39" s="88">
        <f>IF(S13=0,0,S13/TrAvia_act!S11*1000)</f>
        <v>77.955231247362008</v>
      </c>
      <c r="T39" s="88">
        <f>IF(T13=0,0,T13/TrAvia_act!T11*1000)</f>
        <v>70.668215313917926</v>
      </c>
      <c r="U39" s="88">
        <f>IF(U13=0,0,U13/TrAvia_act!U11*1000)</f>
        <v>68.224528379482678</v>
      </c>
      <c r="V39" s="88">
        <f>IF(V13=0,0,V13/TrAvia_act!V11*1000)</f>
        <v>184.04183961359232</v>
      </c>
      <c r="W39" s="88">
        <f>IF(W13=0,0,W13/TrAvia_act!W11*1000)</f>
        <v>111.99655538450946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19388.302477284687</v>
      </c>
      <c r="C41" s="54">
        <f>IF(C3=0,0,C3/TrAvia_act!C23*1000000)</f>
        <v>18453.861380130336</v>
      </c>
      <c r="D41" s="54">
        <f>IF(D3=0,0,D3/TrAvia_act!D23*1000000)</f>
        <v>18695.523640674335</v>
      </c>
      <c r="E41" s="54">
        <f>IF(E3=0,0,E3/TrAvia_act!E23*1000000)</f>
        <v>19005.193505556173</v>
      </c>
      <c r="F41" s="54">
        <f>IF(F3=0,0,F3/TrAvia_act!F23*1000000)</f>
        <v>18054.890157543599</v>
      </c>
      <c r="G41" s="54">
        <f>IF(G3=0,0,G3/TrAvia_act!G23*1000000)</f>
        <v>18124.753982554237</v>
      </c>
      <c r="H41" s="54">
        <f>IF(H3=0,0,H3/TrAvia_act!H23*1000000)</f>
        <v>18810.305134776598</v>
      </c>
      <c r="I41" s="54">
        <f>IF(I3=0,0,I3/TrAvia_act!I23*1000000)</f>
        <v>18154.087132436351</v>
      </c>
      <c r="J41" s="54">
        <f>IF(J3=0,0,J3/TrAvia_act!J23*1000000)</f>
        <v>19272.953590334633</v>
      </c>
      <c r="K41" s="54">
        <f>IF(K3=0,0,K3/TrAvia_act!K23*1000000)</f>
        <v>15481.35475623749</v>
      </c>
      <c r="L41" s="54">
        <f>IF(L3=0,0,L3/TrAvia_act!L23*1000000)</f>
        <v>13376.649588860957</v>
      </c>
      <c r="M41" s="54">
        <f>IF(M3=0,0,M3/TrAvia_act!M23*1000000)</f>
        <v>14443.135724360993</v>
      </c>
      <c r="N41" s="54">
        <f>IF(N3=0,0,N3/TrAvia_act!N23*1000000)</f>
        <v>13573.702306510468</v>
      </c>
      <c r="O41" s="54">
        <f>IF(O3=0,0,O3/TrAvia_act!O23*1000000)</f>
        <v>14055.986196505641</v>
      </c>
      <c r="P41" s="54">
        <f>IF(P3=0,0,P3/TrAvia_act!P23*1000000)</f>
        <v>14279.827943345361</v>
      </c>
      <c r="Q41" s="54">
        <f>IF(Q3=0,0,Q3/TrAvia_act!Q23*1000000)</f>
        <v>13827.572980353443</v>
      </c>
      <c r="R41" s="54">
        <f>IF(R3=0,0,R3/TrAvia_act!R23*1000000)</f>
        <v>14080.279218245036</v>
      </c>
      <c r="S41" s="54">
        <f>IF(S3=0,0,S3/TrAvia_act!S23*1000000)</f>
        <v>14867.029872943693</v>
      </c>
      <c r="T41" s="54">
        <f>IF(T3=0,0,T3/TrAvia_act!T23*1000000)</f>
        <v>15314.94958239422</v>
      </c>
      <c r="U41" s="54">
        <f>IF(U3=0,0,U3/TrAvia_act!U23*1000000)</f>
        <v>15510.908220640571</v>
      </c>
      <c r="V41" s="54">
        <f>IF(V3=0,0,V3/TrAvia_act!V23*1000000)</f>
        <v>10545.556338869075</v>
      </c>
      <c r="W41" s="54">
        <f>IF(W3=0,0,W3/TrAvia_act!W23*1000000)</f>
        <v>12651.046775819768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19434.632714868429</v>
      </c>
      <c r="C42" s="11">
        <f>IF(C6=0,0,C6/TrAvia_act!C24*1000000)</f>
        <v>18513.199533692008</v>
      </c>
      <c r="D42" s="11">
        <f>IF(D6=0,0,D6/TrAvia_act!D24*1000000)</f>
        <v>18762.386946314949</v>
      </c>
      <c r="E42" s="11">
        <f>IF(E6=0,0,E6/TrAvia_act!E24*1000000)</f>
        <v>19068.013744124884</v>
      </c>
      <c r="F42" s="11">
        <f>IF(F6=0,0,F6/TrAvia_act!F24*1000000)</f>
        <v>18082.21290447237</v>
      </c>
      <c r="G42" s="11">
        <f>IF(G6=0,0,G6/TrAvia_act!G24*1000000)</f>
        <v>18150.596284938387</v>
      </c>
      <c r="H42" s="11">
        <f>IF(H6=0,0,H6/TrAvia_act!H24*1000000)</f>
        <v>18826.366351622619</v>
      </c>
      <c r="I42" s="11">
        <f>IF(I6=0,0,I6/TrAvia_act!I24*1000000)</f>
        <v>18170.254508878479</v>
      </c>
      <c r="J42" s="11">
        <f>IF(J6=0,0,J6/TrAvia_act!J24*1000000)</f>
        <v>19297.657557725539</v>
      </c>
      <c r="K42" s="11">
        <f>IF(K6=0,0,K6/TrAvia_act!K24*1000000)</f>
        <v>15490.978464782555</v>
      </c>
      <c r="L42" s="11">
        <f>IF(L6=0,0,L6/TrAvia_act!L24*1000000)</f>
        <v>13385.028593848489</v>
      </c>
      <c r="M42" s="11">
        <f>IF(M6=0,0,M6/TrAvia_act!M24*1000000)</f>
        <v>14443.845892987667</v>
      </c>
      <c r="N42" s="11">
        <f>IF(N6=0,0,N6/TrAvia_act!N24*1000000)</f>
        <v>13563.785549498389</v>
      </c>
      <c r="O42" s="11">
        <f>IF(O6=0,0,O6/TrAvia_act!O24*1000000)</f>
        <v>14049.254434724871</v>
      </c>
      <c r="P42" s="11">
        <f>IF(P6=0,0,P6/TrAvia_act!P24*1000000)</f>
        <v>14273.170515938795</v>
      </c>
      <c r="Q42" s="11">
        <f>IF(Q6=0,0,Q6/TrAvia_act!Q24*1000000)</f>
        <v>13824.956502369661</v>
      </c>
      <c r="R42" s="11">
        <f>IF(R6=0,0,R6/TrAvia_act!R24*1000000)</f>
        <v>14076.560110173672</v>
      </c>
      <c r="S42" s="11">
        <f>IF(S6=0,0,S6/TrAvia_act!S24*1000000)</f>
        <v>14864.777699223501</v>
      </c>
      <c r="T42" s="11">
        <f>IF(T6=0,0,T6/TrAvia_act!T24*1000000)</f>
        <v>15322.810738329439</v>
      </c>
      <c r="U42" s="11">
        <f>IF(U6=0,0,U6/TrAvia_act!U24*1000000)</f>
        <v>15525.193630156928</v>
      </c>
      <c r="V42" s="11">
        <f>IF(V6=0,0,V6/TrAvia_act!V24*1000000)</f>
        <v>10529.477458426743</v>
      </c>
      <c r="W42" s="11">
        <f>IF(W6=0,0,W6/TrAvia_act!W24*1000000)</f>
        <v>12656.924137413545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14265.346390813791</v>
      </c>
      <c r="C43" s="84">
        <f>IF(C7=0,0,C7/TrAvia_act!C25*1000000)</f>
        <v>12732.806756409376</v>
      </c>
      <c r="D43" s="84">
        <f>IF(D7=0,0,D7/TrAvia_act!D25*1000000)</f>
        <v>12700.902830122883</v>
      </c>
      <c r="E43" s="84">
        <f>IF(E7=0,0,E7/TrAvia_act!E25*1000000)</f>
        <v>12756.112669565215</v>
      </c>
      <c r="F43" s="84">
        <f>IF(F7=0,0,F7/TrAvia_act!F25*1000000)</f>
        <v>12066.077702799214</v>
      </c>
      <c r="G43" s="84">
        <f>IF(G7=0,0,G7/TrAvia_act!G25*1000000)</f>
        <v>12503.960821758612</v>
      </c>
      <c r="H43" s="84">
        <f>IF(H7=0,0,H7/TrAvia_act!H25*1000000)</f>
        <v>10735.684443175003</v>
      </c>
      <c r="I43" s="84">
        <f>IF(I7=0,0,I7/TrAvia_act!I25*1000000)</f>
        <v>10318.685173613949</v>
      </c>
      <c r="J43" s="84">
        <f>IF(J7=0,0,J7/TrAvia_act!J25*1000000)</f>
        <v>10509.759596058184</v>
      </c>
      <c r="K43" s="84">
        <f>IF(K7=0,0,K7/TrAvia_act!K25*1000000)</f>
        <v>7647.9207627261358</v>
      </c>
      <c r="L43" s="84">
        <f>IF(L7=0,0,L7/TrAvia_act!L25*1000000)</f>
        <v>6988.9056131808939</v>
      </c>
      <c r="M43" s="84">
        <f>IF(M7=0,0,M7/TrAvia_act!M25*1000000)</f>
        <v>7292.780979967557</v>
      </c>
      <c r="N43" s="84">
        <f>IF(N7=0,0,N7/TrAvia_act!N25*1000000)</f>
        <v>6505.2097257799114</v>
      </c>
      <c r="O43" s="84">
        <f>IF(O7=0,0,O7/TrAvia_act!O25*1000000)</f>
        <v>6717.3504725367129</v>
      </c>
      <c r="P43" s="84">
        <f>IF(P7=0,0,P7/TrAvia_act!P25*1000000)</f>
        <v>6487.8073828375282</v>
      </c>
      <c r="Q43" s="84">
        <f>IF(Q7=0,0,Q7/TrAvia_act!Q25*1000000)</f>
        <v>5512.8754261977192</v>
      </c>
      <c r="R43" s="84">
        <f>IF(R7=0,0,R7/TrAvia_act!R25*1000000)</f>
        <v>5933.5297492193622</v>
      </c>
      <c r="S43" s="84">
        <f>IF(S7=0,0,S7/TrAvia_act!S25*1000000)</f>
        <v>6083.2803409603775</v>
      </c>
      <c r="T43" s="84">
        <f>IF(T7=0,0,T7/TrAvia_act!T25*1000000)</f>
        <v>6582.3269115149878</v>
      </c>
      <c r="U43" s="84">
        <f>IF(U7=0,0,U7/TrAvia_act!U25*1000000)</f>
        <v>6535.5946031606945</v>
      </c>
      <c r="V43" s="84">
        <f>IF(V7=0,0,V7/TrAvia_act!V25*1000000)</f>
        <v>4252.4930757317998</v>
      </c>
      <c r="W43" s="84">
        <f>IF(W7=0,0,W7/TrAvia_act!W25*1000000)</f>
        <v>5203.8279457270492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23654.91549947354</v>
      </c>
      <c r="C44" s="84">
        <f>IF(C8=0,0,C8/TrAvia_act!C26*1000000)</f>
        <v>23519.937247365127</v>
      </c>
      <c r="D44" s="84">
        <f>IF(D8=0,0,D8/TrAvia_act!D26*1000000)</f>
        <v>23508.949526187884</v>
      </c>
      <c r="E44" s="84">
        <f>IF(E8=0,0,E8/TrAvia_act!E26*1000000)</f>
        <v>23589.220639603314</v>
      </c>
      <c r="F44" s="84">
        <f>IF(F8=0,0,F8/TrAvia_act!F26*1000000)</f>
        <v>22548.722847615718</v>
      </c>
      <c r="G44" s="84">
        <f>IF(G8=0,0,G8/TrAvia_act!G26*1000000)</f>
        <v>22225.237081286687</v>
      </c>
      <c r="H44" s="84">
        <f>IF(H8=0,0,H8/TrAvia_act!H26*1000000)</f>
        <v>25285.901736115637</v>
      </c>
      <c r="I44" s="84">
        <f>IF(I8=0,0,I8/TrAvia_act!I26*1000000)</f>
        <v>24462.314338387965</v>
      </c>
      <c r="J44" s="84">
        <f>IF(J8=0,0,J8/TrAvia_act!J26*1000000)</f>
        <v>26406.251456946218</v>
      </c>
      <c r="K44" s="84">
        <f>IF(K8=0,0,K8/TrAvia_act!K26*1000000)</f>
        <v>23087.6130209082</v>
      </c>
      <c r="L44" s="84">
        <f>IF(L8=0,0,L8/TrAvia_act!L26*1000000)</f>
        <v>19282.755015162686</v>
      </c>
      <c r="M44" s="84">
        <f>IF(M8=0,0,M8/TrAvia_act!M26*1000000)</f>
        <v>20384.952484095218</v>
      </c>
      <c r="N44" s="84">
        <f>IF(N8=0,0,N8/TrAvia_act!N26*1000000)</f>
        <v>19989.831555060697</v>
      </c>
      <c r="O44" s="84">
        <f>IF(O8=0,0,O8/TrAvia_act!O26*1000000)</f>
        <v>20653.755343805886</v>
      </c>
      <c r="P44" s="84">
        <f>IF(P8=0,0,P8/TrAvia_act!P26*1000000)</f>
        <v>20439.808214426484</v>
      </c>
      <c r="Q44" s="84">
        <f>IF(Q8=0,0,Q8/TrAvia_act!Q26*1000000)</f>
        <v>20263.402983281438</v>
      </c>
      <c r="R44" s="84">
        <f>IF(R8=0,0,R8/TrAvia_act!R26*1000000)</f>
        <v>20519.996334416908</v>
      </c>
      <c r="S44" s="84">
        <f>IF(S8=0,0,S8/TrAvia_act!S26*1000000)</f>
        <v>21521.021756247264</v>
      </c>
      <c r="T44" s="84">
        <f>IF(T8=0,0,T8/TrAvia_act!T26*1000000)</f>
        <v>21437.686178532873</v>
      </c>
      <c r="U44" s="84">
        <f>IF(U8=0,0,U8/TrAvia_act!U26*1000000)</f>
        <v>21977.547130259678</v>
      </c>
      <c r="V44" s="84">
        <f>IF(V8=0,0,V8/TrAvia_act!V26*1000000)</f>
        <v>15203.864923668803</v>
      </c>
      <c r="W44" s="84">
        <f>IF(W8=0,0,W8/TrAvia_act!W26*1000000)</f>
        <v>17691.807623795779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35157.131595009872</v>
      </c>
      <c r="C45" s="84">
        <f>IF(C9=0,0,C9/TrAvia_act!C27*1000000)</f>
        <v>34956.475812210789</v>
      </c>
      <c r="D45" s="84">
        <f>IF(D9=0,0,D9/TrAvia_act!D27*1000000)</f>
        <v>34940.129632815981</v>
      </c>
      <c r="E45" s="84">
        <f>IF(E9=0,0,E9/TrAvia_act!E27*1000000)</f>
        <v>35059.425454321077</v>
      </c>
      <c r="F45" s="84">
        <f>IF(F9=0,0,F9/TrAvia_act!F27*1000000)</f>
        <v>33796.128327375605</v>
      </c>
      <c r="G45" s="84">
        <f>IF(G9=0,0,G9/TrAvia_act!G27*1000000)</f>
        <v>32905.265263340829</v>
      </c>
      <c r="H45" s="84">
        <f>IF(H9=0,0,H9/TrAvia_act!H27*1000000)</f>
        <v>34603.90099397023</v>
      </c>
      <c r="I45" s="84">
        <f>IF(I9=0,0,I9/TrAvia_act!I27*1000000)</f>
        <v>31061.578339003747</v>
      </c>
      <c r="J45" s="84">
        <f>IF(J9=0,0,J9/TrAvia_act!J27*1000000)</f>
        <v>31109.778130958159</v>
      </c>
      <c r="K45" s="84">
        <f>IF(K9=0,0,K9/TrAvia_act!K27*1000000)</f>
        <v>27505.492051281864</v>
      </c>
      <c r="L45" s="84">
        <f>IF(L9=0,0,L9/TrAvia_act!L27*1000000)</f>
        <v>21264.194785687825</v>
      </c>
      <c r="M45" s="84">
        <f>IF(M9=0,0,M9/TrAvia_act!M27*1000000)</f>
        <v>20912.973607923643</v>
      </c>
      <c r="N45" s="84">
        <f>IF(N9=0,0,N9/TrAvia_act!N27*1000000)</f>
        <v>18412.514926243635</v>
      </c>
      <c r="O45" s="84">
        <f>IF(O9=0,0,O9/TrAvia_act!O27*1000000)</f>
        <v>16763.8596795433</v>
      </c>
      <c r="P45" s="84">
        <f>IF(P9=0,0,P9/TrAvia_act!P27*1000000)</f>
        <v>17506.149849833098</v>
      </c>
      <c r="Q45" s="84">
        <f>IF(Q9=0,0,Q9/TrAvia_act!Q27*1000000)</f>
        <v>18827.518620037325</v>
      </c>
      <c r="R45" s="84">
        <f>IF(R9=0,0,R9/TrAvia_act!R27*1000000)</f>
        <v>18008.746974963564</v>
      </c>
      <c r="S45" s="84">
        <f>IF(S9=0,0,S9/TrAvia_act!S27*1000000)</f>
        <v>18223.391566450591</v>
      </c>
      <c r="T45" s="84">
        <f>IF(T9=0,0,T9/TrAvia_act!T27*1000000)</f>
        <v>19406.908937636217</v>
      </c>
      <c r="U45" s="84">
        <f>IF(U9=0,0,U9/TrAvia_act!U27*1000000)</f>
        <v>19147.61716048191</v>
      </c>
      <c r="V45" s="84">
        <f>IF(V9=0,0,V9/TrAvia_act!V27*1000000)</f>
        <v>26925.056478048758</v>
      </c>
      <c r="W45" s="84">
        <f>IF(W9=0,0,W9/TrAvia_act!W27*1000000)</f>
        <v>22018.512861713192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17723.058585004121</v>
      </c>
      <c r="C46" s="13">
        <f>IF(C10=0,0,C10/TrAvia_act!C28*1000000)</f>
        <v>16724.088232634011</v>
      </c>
      <c r="D46" s="13">
        <f>IF(D10=0,0,D10/TrAvia_act!D28*1000000)</f>
        <v>16763.449865060393</v>
      </c>
      <c r="E46" s="13">
        <f>IF(E10=0,0,E10/TrAvia_act!E28*1000000)</f>
        <v>16856.307699337129</v>
      </c>
      <c r="F46" s="13">
        <f>IF(F10=0,0,F10/TrAvia_act!F28*1000000)</f>
        <v>16525.841120923145</v>
      </c>
      <c r="G46" s="13">
        <f>IF(G10=0,0,G10/TrAvia_act!G28*1000000)</f>
        <v>16676.859882393277</v>
      </c>
      <c r="H46" s="13">
        <f>IF(H10=0,0,H10/TrAvia_act!H28*1000000)</f>
        <v>17945.510544134009</v>
      </c>
      <c r="I46" s="13">
        <f>IF(I10=0,0,I10/TrAvia_act!I28*1000000)</f>
        <v>17146.689324722312</v>
      </c>
      <c r="J46" s="13">
        <f>IF(J10=0,0,J10/TrAvia_act!J28*1000000)</f>
        <v>17869.654737816207</v>
      </c>
      <c r="K46" s="13">
        <f>IF(K10=0,0,K10/TrAvia_act!K28*1000000)</f>
        <v>14829.828200300963</v>
      </c>
      <c r="L46" s="13">
        <f>IF(L10=0,0,L10/TrAvia_act!L28*1000000)</f>
        <v>12792.511195003726</v>
      </c>
      <c r="M46" s="13">
        <f>IF(M10=0,0,M10/TrAvia_act!M28*1000000)</f>
        <v>14388.461862553435</v>
      </c>
      <c r="N46" s="13">
        <f>IF(N10=0,0,N10/TrAvia_act!N28*1000000)</f>
        <v>14403.783712818982</v>
      </c>
      <c r="O46" s="13">
        <f>IF(O10=0,0,O10/TrAvia_act!O28*1000000)</f>
        <v>14643.535539444953</v>
      </c>
      <c r="P46" s="13">
        <f>IF(P10=0,0,P10/TrAvia_act!P28*1000000)</f>
        <v>15109.114717436176</v>
      </c>
      <c r="Q46" s="13">
        <f>IF(Q10=0,0,Q10/TrAvia_act!Q28*1000000)</f>
        <v>14175.166886498198</v>
      </c>
      <c r="R46" s="13">
        <f>IF(R10=0,0,R10/TrAvia_act!R28*1000000)</f>
        <v>14638.258576417422</v>
      </c>
      <c r="S46" s="13">
        <f>IF(S10=0,0,S10/TrAvia_act!S28*1000000)</f>
        <v>15238.210889097469</v>
      </c>
      <c r="T46" s="13">
        <f>IF(T10=0,0,T10/TrAvia_act!T28*1000000)</f>
        <v>14376.318017252603</v>
      </c>
      <c r="U46" s="13">
        <f>IF(U10=0,0,U10/TrAvia_act!U28*1000000)</f>
        <v>13793.72299911803</v>
      </c>
      <c r="V46" s="13">
        <f>IF(V10=0,0,V10/TrAvia_act!V28*1000000)</f>
        <v>11587.226816062972</v>
      </c>
      <c r="W46" s="13">
        <f>IF(W10=0,0,W10/TrAvia_act!W28*1000000)</f>
        <v>12175.922295173832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14258.562627096479</v>
      </c>
      <c r="C47" s="102">
        <f>IF(C11=0,0,C11/TrAvia_act!C29*1000000)</f>
        <v>12726.751778834541</v>
      </c>
      <c r="D47" s="102">
        <f>IF(D11=0,0,D11/TrAvia_act!D29*1000000)</f>
        <v>12694.863024187885</v>
      </c>
      <c r="E47" s="102">
        <f>IF(E11=0,0,E11/TrAvia_act!E29*1000000)</f>
        <v>12750.046609062305</v>
      </c>
      <c r="F47" s="102">
        <f>IF(F11=0,0,F11/TrAvia_act!F29*1000000)</f>
        <v>12060.339782535104</v>
      </c>
      <c r="G47" s="102">
        <f>IF(G11=0,0,G11/TrAvia_act!G29*1000000)</f>
        <v>12498.014669914741</v>
      </c>
      <c r="H47" s="102">
        <f>IF(H11=0,0,H11/TrAvia_act!H29*1000000)</f>
        <v>10740.496144324161</v>
      </c>
      <c r="I47" s="102">
        <f>IF(I11=0,0,I11/TrAvia_act!I29*1000000)</f>
        <v>10332.850088651378</v>
      </c>
      <c r="J47" s="102">
        <f>IF(J11=0,0,J11/TrAvia_act!J29*1000000)</f>
        <v>10533.912083873565</v>
      </c>
      <c r="K47" s="102">
        <f>IF(K11=0,0,K11/TrAvia_act!K29*1000000)</f>
        <v>7672.5797070361687</v>
      </c>
      <c r="L47" s="102">
        <f>IF(L11=0,0,L11/TrAvia_act!L29*1000000)</f>
        <v>7017.9182760554604</v>
      </c>
      <c r="M47" s="102">
        <f>IF(M11=0,0,M11/TrAvia_act!M29*1000000)</f>
        <v>7376.0753658682052</v>
      </c>
      <c r="N47" s="102">
        <f>IF(N11=0,0,N11/TrAvia_act!N29*1000000)</f>
        <v>6627.1415188037081</v>
      </c>
      <c r="O47" s="102">
        <f>IF(O11=0,0,O11/TrAvia_act!O29*1000000)</f>
        <v>6846.0547078581931</v>
      </c>
      <c r="P47" s="102">
        <f>IF(P11=0,0,P11/TrAvia_act!P29*1000000)</f>
        <v>6614.8152335893592</v>
      </c>
      <c r="Q47" s="102">
        <f>IF(Q11=0,0,Q11/TrAvia_act!Q29*1000000)</f>
        <v>5623.0942073490151</v>
      </c>
      <c r="R47" s="102">
        <f>IF(R11=0,0,R11/TrAvia_act!R29*1000000)</f>
        <v>6054.6314547626007</v>
      </c>
      <c r="S47" s="102">
        <f>IF(S11=0,0,S11/TrAvia_act!S29*1000000)</f>
        <v>6209.9746169615955</v>
      </c>
      <c r="T47" s="102">
        <f>IF(T11=0,0,T11/TrAvia_act!T29*1000000)</f>
        <v>6722.159994429011</v>
      </c>
      <c r="U47" s="102">
        <f>IF(U11=0,0,U11/TrAvia_act!U29*1000000)</f>
        <v>6736.8655035899264</v>
      </c>
      <c r="V47" s="102">
        <f>IF(V11=0,0,V11/TrAvia_act!V29*1000000)</f>
        <v>4383.4533268476953</v>
      </c>
      <c r="W47" s="102">
        <f>IF(W11=0,0,W11/TrAvia_act!W29*1000000)</f>
        <v>5364.0856116184987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23318.692215247665</v>
      </c>
      <c r="C48" s="102">
        <f>IF(C12=0,0,C12/TrAvia_act!C30*1000000)</f>
        <v>23181.223378910468</v>
      </c>
      <c r="D48" s="102">
        <f>IF(D12=0,0,D12/TrAvia_act!D30*1000000)</f>
        <v>23174.222641020217</v>
      </c>
      <c r="E48" s="102">
        <f>IF(E12=0,0,E12/TrAvia_act!E30*1000000)</f>
        <v>23251.430169212774</v>
      </c>
      <c r="F48" s="102">
        <f>IF(F12=0,0,F12/TrAvia_act!F30*1000000)</f>
        <v>21852.188934707392</v>
      </c>
      <c r="G48" s="102">
        <f>IF(G12=0,0,G12/TrAvia_act!G30*1000000)</f>
        <v>21545.87048383713</v>
      </c>
      <c r="H48" s="102">
        <f>IF(H12=0,0,H12/TrAvia_act!H30*1000000)</f>
        <v>25601.923389134299</v>
      </c>
      <c r="I48" s="102">
        <f>IF(I12=0,0,I12/TrAvia_act!I30*1000000)</f>
        <v>23715.611580820838</v>
      </c>
      <c r="J48" s="102">
        <f>IF(J12=0,0,J12/TrAvia_act!J30*1000000)</f>
        <v>25606.064639959292</v>
      </c>
      <c r="K48" s="102">
        <f>IF(K12=0,0,K12/TrAvia_act!K30*1000000)</f>
        <v>21906.410579771098</v>
      </c>
      <c r="L48" s="102">
        <f>IF(L12=0,0,L12/TrAvia_act!L30*1000000)</f>
        <v>18183.812394771943</v>
      </c>
      <c r="M48" s="102">
        <f>IF(M12=0,0,M12/TrAvia_act!M30*1000000)</f>
        <v>19663.899821546591</v>
      </c>
      <c r="N48" s="102">
        <f>IF(N12=0,0,N12/TrAvia_act!N30*1000000)</f>
        <v>19665.563547407775</v>
      </c>
      <c r="O48" s="102">
        <f>IF(O12=0,0,O12/TrAvia_act!O30*1000000)</f>
        <v>20005.938522417931</v>
      </c>
      <c r="P48" s="102">
        <f>IF(P12=0,0,P12/TrAvia_act!P30*1000000)</f>
        <v>19689.018045628705</v>
      </c>
      <c r="Q48" s="102">
        <f>IF(Q12=0,0,Q12/TrAvia_act!Q30*1000000)</f>
        <v>18804.573058496895</v>
      </c>
      <c r="R48" s="102">
        <f>IF(R12=0,0,R12/TrAvia_act!R30*1000000)</f>
        <v>19059.599795778573</v>
      </c>
      <c r="S48" s="102">
        <f>IF(S12=0,0,S12/TrAvia_act!S30*1000000)</f>
        <v>19304.778599126766</v>
      </c>
      <c r="T48" s="102">
        <f>IF(T12=0,0,T12/TrAvia_act!T30*1000000)</f>
        <v>19013.724452710787</v>
      </c>
      <c r="U48" s="102">
        <f>IF(U12=0,0,U12/TrAvia_act!U30*1000000)</f>
        <v>17304.538049081184</v>
      </c>
      <c r="V48" s="102">
        <f>IF(V12=0,0,V12/TrAvia_act!V30*1000000)</f>
        <v>12805.173891572875</v>
      </c>
      <c r="W48" s="102">
        <f>IF(W12=0,0,W12/TrAvia_act!W30*1000000)</f>
        <v>14408.278824982857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17365.659509721067</v>
      </c>
      <c r="C49" s="86">
        <f>IF(C13=0,0,C13/TrAvia_act!C31*1000000)</f>
        <v>17266.54675948634</v>
      </c>
      <c r="D49" s="86">
        <f>IF(D13=0,0,D13/TrAvia_act!D31*1000000)</f>
        <v>17258.472659786599</v>
      </c>
      <c r="E49" s="86">
        <f>IF(E13=0,0,E13/TrAvia_act!E31*1000000)</f>
        <v>17317.398133032089</v>
      </c>
      <c r="F49" s="86">
        <f>IF(F13=0,0,F13/TrAvia_act!F31*1000000)</f>
        <v>16693.399906474326</v>
      </c>
      <c r="G49" s="86">
        <f>IF(G13=0,0,G13/TrAvia_act!G31*1000000)</f>
        <v>16253.363306844258</v>
      </c>
      <c r="H49" s="86">
        <f>IF(H13=0,0,H13/TrAvia_act!H31*1000000)</f>
        <v>15890.320858934236</v>
      </c>
      <c r="I49" s="86">
        <f>IF(I13=0,0,I13/TrAvia_act!I31*1000000)</f>
        <v>13237.668428018726</v>
      </c>
      <c r="J49" s="86">
        <f>IF(J13=0,0,J13/TrAvia_act!J31*1000000)</f>
        <v>12281.156608457579</v>
      </c>
      <c r="K49" s="86">
        <f>IF(K13=0,0,K13/TrAvia_act!K31*1000000)</f>
        <v>10036.952915760668</v>
      </c>
      <c r="L49" s="86">
        <f>IF(L13=0,0,L13/TrAvia_act!L31*1000000)</f>
        <v>7155.7455302188655</v>
      </c>
      <c r="M49" s="86">
        <f>IF(M13=0,0,M13/TrAvia_act!M31*1000000)</f>
        <v>9118.5981325731773</v>
      </c>
      <c r="N49" s="86">
        <f>IF(N13=0,0,N13/TrAvia_act!N31*1000000)</f>
        <v>10304.617219530472</v>
      </c>
      <c r="O49" s="86">
        <f>IF(O13=0,0,O13/TrAvia_act!O31*1000000)</f>
        <v>8862.7977627067376</v>
      </c>
      <c r="P49" s="86">
        <f>IF(P13=0,0,P13/TrAvia_act!P31*1000000)</f>
        <v>8733.5059553246465</v>
      </c>
      <c r="Q49" s="86">
        <f>IF(Q13=0,0,Q13/TrAvia_act!Q31*1000000)</f>
        <v>8852.6995142669402</v>
      </c>
      <c r="R49" s="86">
        <f>IF(R13=0,0,R13/TrAvia_act!R31*1000000)</f>
        <v>7970.5874592193131</v>
      </c>
      <c r="S49" s="86">
        <f>IF(S13=0,0,S13/TrAvia_act!S31*1000000)</f>
        <v>7581.4231871795182</v>
      </c>
      <c r="T49" s="86">
        <f>IF(T13=0,0,T13/TrAvia_act!T31*1000000)</f>
        <v>7577.5381904264259</v>
      </c>
      <c r="U49" s="86">
        <f>IF(U13=0,0,U13/TrAvia_act!U31*1000000)</f>
        <v>8616.4602372537429</v>
      </c>
      <c r="V49" s="86">
        <f>IF(V13=0,0,V13/TrAvia_act!V31*1000000)</f>
        <v>12116.321137218694</v>
      </c>
      <c r="W49" s="86">
        <f>IF(W13=0,0,W13/TrAvia_act!W31*1000000)</f>
        <v>9908.3681779460094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0.97525612572916642</v>
      </c>
      <c r="C52" s="16">
        <f t="shared" si="35"/>
        <v>0.96994256855038197</v>
      </c>
      <c r="D52" s="16">
        <f t="shared" ref="D52:V52" si="36">IF(D6=0,0,D6/D$3)</f>
        <v>0.9700073744494907</v>
      </c>
      <c r="E52" s="16">
        <f t="shared" si="36"/>
        <v>0.97480801836531727</v>
      </c>
      <c r="F52" s="16">
        <f t="shared" si="36"/>
        <v>0.98393133733656946</v>
      </c>
      <c r="G52" s="16">
        <f t="shared" si="36"/>
        <v>0.98386557278095865</v>
      </c>
      <c r="H52" s="16">
        <f t="shared" si="36"/>
        <v>0.98260463277146093</v>
      </c>
      <c r="I52" s="16">
        <f t="shared" si="36"/>
        <v>0.98508133682360988</v>
      </c>
      <c r="J52" s="16">
        <f t="shared" si="36"/>
        <v>0.98395995707236839</v>
      </c>
      <c r="K52" s="16">
        <f t="shared" si="36"/>
        <v>0.9860565757030173</v>
      </c>
      <c r="L52" s="16">
        <f t="shared" si="36"/>
        <v>0.98647616708544872</v>
      </c>
      <c r="M52" s="16">
        <f t="shared" si="36"/>
        <v>0.98722591496694678</v>
      </c>
      <c r="N52" s="16">
        <f t="shared" si="36"/>
        <v>0.98747235013791335</v>
      </c>
      <c r="O52" s="16">
        <f t="shared" si="36"/>
        <v>0.98819892852849556</v>
      </c>
      <c r="P52" s="16">
        <f t="shared" si="36"/>
        <v>0.99157353941249571</v>
      </c>
      <c r="Q52" s="16">
        <f t="shared" si="36"/>
        <v>0.99234103143919627</v>
      </c>
      <c r="R52" s="16">
        <f t="shared" si="36"/>
        <v>0.99311643040300646</v>
      </c>
      <c r="S52" s="16">
        <f t="shared" si="36"/>
        <v>0.99381843076585341</v>
      </c>
      <c r="T52" s="16">
        <f t="shared" si="36"/>
        <v>0.99220347218786042</v>
      </c>
      <c r="U52" s="16">
        <f t="shared" si="36"/>
        <v>0.99266294393815813</v>
      </c>
      <c r="V52" s="16">
        <f t="shared" si="36"/>
        <v>0.98329743972498429</v>
      </c>
      <c r="W52" s="16">
        <f t="shared" ref="W52" si="37">IF(W6=0,0,W6/W$3)</f>
        <v>0.98823989830457726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0.37368664432882504</v>
      </c>
      <c r="C53" s="103">
        <f t="shared" si="38"/>
        <v>0.35113277210941474</v>
      </c>
      <c r="D53" s="103">
        <f t="shared" ref="D53:V53" si="39">IF(D7=0,0,D7/D$3)</f>
        <v>0.33103986873550978</v>
      </c>
      <c r="E53" s="103">
        <f t="shared" si="39"/>
        <v>0.31623071333891756</v>
      </c>
      <c r="F53" s="103">
        <f t="shared" si="39"/>
        <v>0.32741657254855439</v>
      </c>
      <c r="G53" s="103">
        <f t="shared" si="39"/>
        <v>0.33575372109111629</v>
      </c>
      <c r="H53" s="103">
        <f t="shared" si="39"/>
        <v>0.27507329654562418</v>
      </c>
      <c r="I53" s="103">
        <f t="shared" si="39"/>
        <v>0.26942316573042518</v>
      </c>
      <c r="J53" s="103">
        <f t="shared" si="39"/>
        <v>0.25353966117254723</v>
      </c>
      <c r="K53" s="103">
        <f t="shared" si="39"/>
        <v>0.25114867743945041</v>
      </c>
      <c r="L53" s="103">
        <f t="shared" si="39"/>
        <v>0.2550011992864013</v>
      </c>
      <c r="M53" s="103">
        <f t="shared" si="39"/>
        <v>0.22836283333884974</v>
      </c>
      <c r="N53" s="103">
        <f t="shared" si="39"/>
        <v>0.21913129188710198</v>
      </c>
      <c r="O53" s="103">
        <f t="shared" si="39"/>
        <v>0.20583413399273212</v>
      </c>
      <c r="P53" s="103">
        <f t="shared" si="39"/>
        <v>0.18671939757457212</v>
      </c>
      <c r="Q53" s="103">
        <f t="shared" si="39"/>
        <v>0.16809632404554978</v>
      </c>
      <c r="R53" s="103">
        <f t="shared" si="39"/>
        <v>0.1762429425588305</v>
      </c>
      <c r="S53" s="103">
        <f t="shared" si="39"/>
        <v>0.16468309308277229</v>
      </c>
      <c r="T53" s="103">
        <f t="shared" si="39"/>
        <v>0.16857670703795688</v>
      </c>
      <c r="U53" s="103">
        <f t="shared" si="39"/>
        <v>0.16506969313053818</v>
      </c>
      <c r="V53" s="103">
        <f t="shared" si="39"/>
        <v>0.20215074562543645</v>
      </c>
      <c r="W53" s="103">
        <f t="shared" ref="W53" si="40">IF(W7=0,0,W7/W$3)</f>
        <v>0.17790396526631552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0.49708381468194762</v>
      </c>
      <c r="C54" s="103">
        <f t="shared" si="41"/>
        <v>0.51132859680897536</v>
      </c>
      <c r="D54" s="103">
        <f t="shared" ref="D54:V54" si="42">IF(D8=0,0,D8/D$3)</f>
        <v>0.52798769725366923</v>
      </c>
      <c r="E54" s="103">
        <f t="shared" si="42"/>
        <v>0.54419394101663798</v>
      </c>
      <c r="F54" s="103">
        <f t="shared" si="42"/>
        <v>0.53209361335202776</v>
      </c>
      <c r="G54" s="103">
        <f t="shared" si="42"/>
        <v>0.52436326794269561</v>
      </c>
      <c r="H54" s="103">
        <f t="shared" si="42"/>
        <v>0.57507254593149737</v>
      </c>
      <c r="I54" s="103">
        <f t="shared" si="42"/>
        <v>0.58303932026974914</v>
      </c>
      <c r="J54" s="103">
        <f t="shared" si="42"/>
        <v>0.59130317614787964</v>
      </c>
      <c r="K54" s="103">
        <f t="shared" si="42"/>
        <v>0.58879674502433377</v>
      </c>
      <c r="L54" s="103">
        <f t="shared" si="42"/>
        <v>0.58232420868643708</v>
      </c>
      <c r="M54" s="103">
        <f t="shared" si="42"/>
        <v>0.60470795463868621</v>
      </c>
      <c r="N54" s="103">
        <f t="shared" si="42"/>
        <v>0.60966049410122825</v>
      </c>
      <c r="O54" s="103">
        <f t="shared" si="42"/>
        <v>0.62072502325692303</v>
      </c>
      <c r="P54" s="103">
        <f t="shared" si="42"/>
        <v>0.64454639938422942</v>
      </c>
      <c r="Q54" s="103">
        <f t="shared" si="42"/>
        <v>0.66194257233275799</v>
      </c>
      <c r="R54" s="103">
        <f t="shared" si="42"/>
        <v>0.66390234823092198</v>
      </c>
      <c r="S54" s="103">
        <f t="shared" si="42"/>
        <v>0.67939404044134</v>
      </c>
      <c r="T54" s="103">
        <f t="shared" si="42"/>
        <v>0.67545012757012335</v>
      </c>
      <c r="U54" s="103">
        <f t="shared" si="42"/>
        <v>0.67509726317300511</v>
      </c>
      <c r="V54" s="103">
        <f t="shared" si="42"/>
        <v>0.58801196277727275</v>
      </c>
      <c r="W54" s="103">
        <f t="shared" ref="W54" si="43">IF(W8=0,0,W8/W$3)</f>
        <v>0.63827956212307135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0.10448566671839371</v>
      </c>
      <c r="C55" s="103">
        <f t="shared" si="44"/>
        <v>0.1074811996319919</v>
      </c>
      <c r="D55" s="103">
        <f t="shared" ref="D55:V55" si="45">IF(D9=0,0,D9/D$3)</f>
        <v>0.11097980846031173</v>
      </c>
      <c r="E55" s="103">
        <f t="shared" si="45"/>
        <v>0.11438336400976166</v>
      </c>
      <c r="F55" s="103">
        <f t="shared" si="45"/>
        <v>0.12442115143598732</v>
      </c>
      <c r="G55" s="103">
        <f t="shared" si="45"/>
        <v>0.12374858374714671</v>
      </c>
      <c r="H55" s="103">
        <f t="shared" si="45"/>
        <v>0.13245879029433924</v>
      </c>
      <c r="I55" s="103">
        <f t="shared" si="45"/>
        <v>0.13261885082343564</v>
      </c>
      <c r="J55" s="103">
        <f t="shared" si="45"/>
        <v>0.13911711975194149</v>
      </c>
      <c r="K55" s="103">
        <f t="shared" si="45"/>
        <v>0.14611115323923315</v>
      </c>
      <c r="L55" s="103">
        <f t="shared" si="45"/>
        <v>0.14915075911261025</v>
      </c>
      <c r="M55" s="103">
        <f t="shared" si="45"/>
        <v>0.15415512698941086</v>
      </c>
      <c r="N55" s="103">
        <f t="shared" si="45"/>
        <v>0.15868056414958312</v>
      </c>
      <c r="O55" s="103">
        <f t="shared" si="45"/>
        <v>0.16163977127884041</v>
      </c>
      <c r="P55" s="103">
        <f t="shared" si="45"/>
        <v>0.16030774245369425</v>
      </c>
      <c r="Q55" s="103">
        <f t="shared" si="45"/>
        <v>0.16230213506088836</v>
      </c>
      <c r="R55" s="103">
        <f t="shared" si="45"/>
        <v>0.15297113961325401</v>
      </c>
      <c r="S55" s="103">
        <f t="shared" si="45"/>
        <v>0.14974129724174118</v>
      </c>
      <c r="T55" s="103">
        <f t="shared" si="45"/>
        <v>0.14817663757978031</v>
      </c>
      <c r="U55" s="103">
        <f t="shared" si="45"/>
        <v>0.15249598763461483</v>
      </c>
      <c r="V55" s="103">
        <f t="shared" si="45"/>
        <v>0.1931347313222751</v>
      </c>
      <c r="W55" s="103">
        <f t="shared" ref="W55" si="46">IF(W9=0,0,W9/W$3)</f>
        <v>0.17205637091519033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2.4743874270833677E-2</v>
      </c>
      <c r="C56" s="17">
        <f t="shared" si="47"/>
        <v>3.005743144961804E-2</v>
      </c>
      <c r="D56" s="17">
        <f t="shared" ref="D56:V56" si="48">IF(D10=0,0,D10/D$3)</f>
        <v>2.9992625550509348E-2</v>
      </c>
      <c r="E56" s="17">
        <f t="shared" si="48"/>
        <v>2.5191981634682881E-2</v>
      </c>
      <c r="F56" s="17">
        <f t="shared" si="48"/>
        <v>1.6068662663430478E-2</v>
      </c>
      <c r="G56" s="17">
        <f t="shared" si="48"/>
        <v>1.6134427219041285E-2</v>
      </c>
      <c r="H56" s="17">
        <f t="shared" si="48"/>
        <v>1.739536722853904E-2</v>
      </c>
      <c r="I56" s="17">
        <f t="shared" si="48"/>
        <v>1.4918663176390042E-2</v>
      </c>
      <c r="J56" s="17">
        <f t="shared" si="48"/>
        <v>1.6040042927631504E-2</v>
      </c>
      <c r="K56" s="17">
        <f t="shared" si="48"/>
        <v>1.3943424296982686E-2</v>
      </c>
      <c r="L56" s="17">
        <f t="shared" si="48"/>
        <v>1.3523832914551342E-2</v>
      </c>
      <c r="M56" s="17">
        <f t="shared" si="48"/>
        <v>1.2774085033053231E-2</v>
      </c>
      <c r="N56" s="17">
        <f t="shared" si="48"/>
        <v>1.2527649862086631E-2</v>
      </c>
      <c r="O56" s="17">
        <f t="shared" si="48"/>
        <v>1.1801071471504446E-2</v>
      </c>
      <c r="P56" s="17">
        <f t="shared" si="48"/>
        <v>8.426460587504148E-3</v>
      </c>
      <c r="Q56" s="17">
        <f t="shared" si="48"/>
        <v>7.6589685608039453E-3</v>
      </c>
      <c r="R56" s="17">
        <f t="shared" si="48"/>
        <v>6.8835695969935292E-3</v>
      </c>
      <c r="S56" s="17">
        <f t="shared" si="48"/>
        <v>6.1815692341465724E-3</v>
      </c>
      <c r="T56" s="17">
        <f t="shared" si="48"/>
        <v>7.7965278121394071E-3</v>
      </c>
      <c r="U56" s="17">
        <f t="shared" si="48"/>
        <v>7.337056061841922E-3</v>
      </c>
      <c r="V56" s="17">
        <f t="shared" si="48"/>
        <v>1.6702560275015845E-2</v>
      </c>
      <c r="W56" s="17">
        <f t="shared" ref="W56" si="49">IF(W10=0,0,W10/W$3)</f>
        <v>1.1760101695422695E-2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1.1621393589998334E-2</v>
      </c>
      <c r="C57" s="104">
        <f t="shared" si="50"/>
        <v>1.3569611724692978E-2</v>
      </c>
      <c r="D57" s="104">
        <f t="shared" ref="D57:V57" si="51">IF(D11=0,0,D11/D$3)</f>
        <v>1.3313798657373411E-2</v>
      </c>
      <c r="E57" s="104">
        <f t="shared" si="51"/>
        <v>1.0967358293007821E-2</v>
      </c>
      <c r="F57" s="104">
        <f t="shared" si="51"/>
        <v>5.9733064996062993E-3</v>
      </c>
      <c r="G57" s="104">
        <f t="shared" si="51"/>
        <v>6.0217606249600153E-3</v>
      </c>
      <c r="H57" s="104">
        <f t="shared" si="51"/>
        <v>4.9020893970846907E-3</v>
      </c>
      <c r="I57" s="104">
        <f t="shared" si="51"/>
        <v>3.8813814794330733E-3</v>
      </c>
      <c r="J57" s="104">
        <f t="shared" si="51"/>
        <v>4.1552568233455406E-3</v>
      </c>
      <c r="K57" s="104">
        <f t="shared" si="51"/>
        <v>3.0305391847004911E-3</v>
      </c>
      <c r="L57" s="104">
        <f t="shared" si="51"/>
        <v>3.0335950466458929E-3</v>
      </c>
      <c r="M57" s="104">
        <f t="shared" si="51"/>
        <v>2.3629602077873883E-3</v>
      </c>
      <c r="N57" s="104">
        <f t="shared" si="51"/>
        <v>1.9951089452071719E-3</v>
      </c>
      <c r="O57" s="104">
        <f t="shared" si="51"/>
        <v>1.8880840934605732E-3</v>
      </c>
      <c r="P57" s="104">
        <f t="shared" si="51"/>
        <v>1.0422307181382773E-3</v>
      </c>
      <c r="Q57" s="104">
        <f t="shared" si="51"/>
        <v>8.1232477412189258E-4</v>
      </c>
      <c r="R57" s="104">
        <f t="shared" si="51"/>
        <v>6.7412935909618528E-4</v>
      </c>
      <c r="S57" s="104">
        <f t="shared" si="51"/>
        <v>4.2596908234221757E-4</v>
      </c>
      <c r="T57" s="104">
        <f t="shared" si="51"/>
        <v>7.7814752231621499E-4</v>
      </c>
      <c r="U57" s="104">
        <f t="shared" si="51"/>
        <v>6.5558496813720849E-4</v>
      </c>
      <c r="V57" s="104">
        <f t="shared" si="51"/>
        <v>8.4247818241717785E-4</v>
      </c>
      <c r="W57" s="104">
        <f t="shared" ref="W57" si="52">IF(W11=0,0,W11/W$3)</f>
        <v>6.0951722652318266E-4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1.1874363162416577E-2</v>
      </c>
      <c r="C58" s="104">
        <f t="shared" si="53"/>
        <v>1.5150015364615726E-2</v>
      </c>
      <c r="D58" s="104">
        <f t="shared" ref="D58:V58" si="54">IF(D12=0,0,D12/D$3)</f>
        <v>1.5279449446482341E-2</v>
      </c>
      <c r="E58" s="104">
        <f t="shared" si="54"/>
        <v>1.2693969468407604E-2</v>
      </c>
      <c r="F58" s="104">
        <f t="shared" si="54"/>
        <v>9.0299624864554218E-3</v>
      </c>
      <c r="G58" s="104">
        <f t="shared" si="54"/>
        <v>9.034044517038221E-3</v>
      </c>
      <c r="H58" s="104">
        <f t="shared" si="54"/>
        <v>1.144811867477242E-2</v>
      </c>
      <c r="I58" s="104">
        <f t="shared" si="54"/>
        <v>1.0167660490066547E-2</v>
      </c>
      <c r="J58" s="104">
        <f t="shared" si="54"/>
        <v>1.096415553892661E-2</v>
      </c>
      <c r="K58" s="104">
        <f t="shared" si="54"/>
        <v>1.0040652916274304E-2</v>
      </c>
      <c r="L58" s="104">
        <f t="shared" si="54"/>
        <v>9.923845851459244E-3</v>
      </c>
      <c r="M58" s="104">
        <f t="shared" si="54"/>
        <v>9.7651237128822937E-3</v>
      </c>
      <c r="N58" s="104">
        <f t="shared" si="54"/>
        <v>9.8157099942465E-3</v>
      </c>
      <c r="O58" s="104">
        <f t="shared" si="54"/>
        <v>9.3625039735206542E-3</v>
      </c>
      <c r="P58" s="104">
        <f t="shared" si="54"/>
        <v>6.9902062359410641E-3</v>
      </c>
      <c r="Q58" s="104">
        <f t="shared" si="54"/>
        <v>6.315507683452729E-3</v>
      </c>
      <c r="R58" s="104">
        <f t="shared" si="54"/>
        <v>5.7557975412528195E-3</v>
      </c>
      <c r="S58" s="104">
        <f t="shared" si="54"/>
        <v>5.269658625828808E-3</v>
      </c>
      <c r="T58" s="104">
        <f t="shared" si="54"/>
        <v>6.2947672606420372E-3</v>
      </c>
      <c r="U58" s="104">
        <f t="shared" si="54"/>
        <v>5.8493132457855873E-3</v>
      </c>
      <c r="V58" s="104">
        <f t="shared" si="54"/>
        <v>1.3450151099192342E-2</v>
      </c>
      <c r="W58" s="104">
        <f t="shared" ref="W58" si="55">IF(W12=0,0,W12/W$3)</f>
        <v>8.6658819760760484E-3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1.2481175184187658E-3</v>
      </c>
      <c r="C59" s="105">
        <f t="shared" si="56"/>
        <v>1.3378043603093337E-3</v>
      </c>
      <c r="D59" s="105">
        <f t="shared" ref="D59:V59" si="57">IF(D13=0,0,D13/D$3)</f>
        <v>1.3993774466535991E-3</v>
      </c>
      <c r="E59" s="105">
        <f t="shared" si="57"/>
        <v>1.5306538732674528E-3</v>
      </c>
      <c r="F59" s="105">
        <f t="shared" si="57"/>
        <v>1.0653936773687574E-3</v>
      </c>
      <c r="G59" s="105">
        <f t="shared" si="57"/>
        <v>1.0786220770430462E-3</v>
      </c>
      <c r="H59" s="105">
        <f t="shared" si="57"/>
        <v>1.0451591566819293E-3</v>
      </c>
      <c r="I59" s="105">
        <f t="shared" si="57"/>
        <v>8.6962120689042255E-4</v>
      </c>
      <c r="J59" s="105">
        <f t="shared" si="57"/>
        <v>9.2063056535935381E-4</v>
      </c>
      <c r="K59" s="105">
        <f t="shared" si="57"/>
        <v>8.7223219600788995E-4</v>
      </c>
      <c r="L59" s="105">
        <f t="shared" si="57"/>
        <v>5.6639201644620646E-4</v>
      </c>
      <c r="M59" s="105">
        <f t="shared" si="57"/>
        <v>6.460011123835506E-4</v>
      </c>
      <c r="N59" s="105">
        <f t="shared" si="57"/>
        <v>7.1683092263295984E-4</v>
      </c>
      <c r="O59" s="105">
        <f t="shared" si="57"/>
        <v>5.5048340452322031E-4</v>
      </c>
      <c r="P59" s="105">
        <f t="shared" si="57"/>
        <v>3.940236334248072E-4</v>
      </c>
      <c r="Q59" s="105">
        <f t="shared" si="57"/>
        <v>5.3113610322932459E-4</v>
      </c>
      <c r="R59" s="105">
        <f t="shared" si="57"/>
        <v>4.53642696644524E-4</v>
      </c>
      <c r="S59" s="105">
        <f t="shared" si="57"/>
        <v>4.8594152597554701E-4</v>
      </c>
      <c r="T59" s="105">
        <f t="shared" si="57"/>
        <v>7.2361302918115436E-4</v>
      </c>
      <c r="U59" s="105">
        <f t="shared" si="57"/>
        <v>8.3215784791912644E-4</v>
      </c>
      <c r="V59" s="105">
        <f t="shared" si="57"/>
        <v>2.409930993406327E-3</v>
      </c>
      <c r="W59" s="105">
        <f t="shared" ref="W59" si="58">IF(W13=0,0,W13/W$3)</f>
        <v>2.4847024928234627E-3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27368775</v>
      </c>
      <c r="C4" s="11">
        <f t="shared" si="0"/>
        <v>25739083</v>
      </c>
      <c r="D4" s="11">
        <f t="shared" ref="D4" si="1">SUM(D5:D7)</f>
        <v>25088132</v>
      </c>
      <c r="E4" s="11">
        <f t="shared" ref="E4" si="2">SUM(E5:E7)</f>
        <v>25387744</v>
      </c>
      <c r="F4" s="11">
        <f t="shared" ref="F4" si="3">SUM(F5:F7)</f>
        <v>28042409</v>
      </c>
      <c r="G4" s="11">
        <f t="shared" ref="G4" si="4">SUM(G5:G7)</f>
        <v>29091736</v>
      </c>
      <c r="H4" s="11">
        <f t="shared" ref="H4" si="5">SUM(H5:H7)</f>
        <v>30892360</v>
      </c>
      <c r="I4" s="11">
        <f t="shared" ref="I4" si="6">SUM(I5:I7)</f>
        <v>32826580</v>
      </c>
      <c r="J4" s="11">
        <f t="shared" ref="J4" si="7">SUM(J5:J7)</f>
        <v>32060819</v>
      </c>
      <c r="K4" s="11">
        <f t="shared" ref="K4" si="8">SUM(K5:K7)</f>
        <v>30964261</v>
      </c>
      <c r="L4" s="11">
        <f t="shared" ref="L4" si="9">SUM(L5:L7)</f>
        <v>29582505</v>
      </c>
      <c r="M4" s="11">
        <f t="shared" ref="M4" si="10">SUM(M5:M7)</f>
        <v>29790584</v>
      </c>
      <c r="N4" s="11">
        <f t="shared" ref="N4" si="11">SUM(N5:N7)</f>
        <v>27983328</v>
      </c>
      <c r="O4" s="11">
        <f t="shared" ref="O4" si="12">SUM(O5:O7)</f>
        <v>27940390</v>
      </c>
      <c r="P4" s="11">
        <f t="shared" ref="P4" si="13">SUM(P5:P7)</f>
        <v>31956812</v>
      </c>
      <c r="Q4" s="11">
        <f t="shared" ref="Q4" si="14">SUM(Q5:Q7)</f>
        <v>34180454</v>
      </c>
      <c r="R4" s="11">
        <f t="shared" ref="R4" si="15">SUM(R5:R7)</f>
        <v>36454956</v>
      </c>
      <c r="S4" s="11">
        <f t="shared" ref="S4" si="16">SUM(S5:S7)</f>
        <v>37819276</v>
      </c>
      <c r="T4" s="11">
        <f t="shared" ref="T4" si="17">SUM(T5:T7)</f>
        <v>39958157</v>
      </c>
      <c r="U4" s="11">
        <f t="shared" ref="U4" si="18">SUM(U5:U7)</f>
        <v>40620119</v>
      </c>
      <c r="V4" s="11">
        <f t="shared" ref="V4:W4" si="19">SUM(V5:V7)</f>
        <v>17427599</v>
      </c>
      <c r="W4" s="11">
        <f t="shared" si="19"/>
        <v>33313536</v>
      </c>
      <c r="DA4" s="189" t="s">
        <v>361</v>
      </c>
    </row>
    <row r="5" spans="1:105" ht="11.45" customHeight="1" x14ac:dyDescent="0.25">
      <c r="A5" s="83" t="s">
        <v>27</v>
      </c>
      <c r="B5" s="84">
        <v>9862567</v>
      </c>
      <c r="C5" s="84">
        <v>9398991</v>
      </c>
      <c r="D5" s="84">
        <v>8664770</v>
      </c>
      <c r="E5" s="84">
        <v>8333912</v>
      </c>
      <c r="F5" s="84">
        <v>9689026</v>
      </c>
      <c r="G5" s="84">
        <v>9979680</v>
      </c>
      <c r="H5" s="84">
        <v>10612685</v>
      </c>
      <c r="I5" s="84">
        <v>11538743</v>
      </c>
      <c r="J5" s="84">
        <v>11264785</v>
      </c>
      <c r="K5" s="84">
        <v>11631128</v>
      </c>
      <c r="L5" s="84">
        <v>10459288</v>
      </c>
      <c r="M5" s="84">
        <v>9829051</v>
      </c>
      <c r="N5" s="84">
        <v>9127668</v>
      </c>
      <c r="O5" s="84">
        <v>8185055</v>
      </c>
      <c r="P5" s="84">
        <v>9289544</v>
      </c>
      <c r="Q5" s="84">
        <v>10506238</v>
      </c>
      <c r="R5" s="84">
        <v>11582224</v>
      </c>
      <c r="S5" s="84">
        <v>10895305</v>
      </c>
      <c r="T5" s="84">
        <v>11006944</v>
      </c>
      <c r="U5" s="84">
        <v>10839882</v>
      </c>
      <c r="V5" s="84">
        <v>6280416</v>
      </c>
      <c r="W5" s="84">
        <v>10804425</v>
      </c>
      <c r="DA5" s="171" t="s">
        <v>362</v>
      </c>
    </row>
    <row r="6" spans="1:105" ht="11.45" customHeight="1" x14ac:dyDescent="0.25">
      <c r="A6" s="83" t="s">
        <v>173</v>
      </c>
      <c r="B6" s="84">
        <v>15659871</v>
      </c>
      <c r="C6" s="84">
        <v>14611404</v>
      </c>
      <c r="D6" s="84">
        <v>14679576</v>
      </c>
      <c r="E6" s="84">
        <v>15237554</v>
      </c>
      <c r="F6" s="84">
        <v>16282522</v>
      </c>
      <c r="G6" s="84">
        <v>16811560</v>
      </c>
      <c r="H6" s="84">
        <v>17636310</v>
      </c>
      <c r="I6" s="84">
        <v>18310485</v>
      </c>
      <c r="J6" s="84">
        <v>17634286</v>
      </c>
      <c r="K6" s="84">
        <v>16389598</v>
      </c>
      <c r="L6" s="84">
        <v>15814388</v>
      </c>
      <c r="M6" s="84">
        <v>16352076</v>
      </c>
      <c r="N6" s="84">
        <v>15118503</v>
      </c>
      <c r="O6" s="84">
        <v>15323641</v>
      </c>
      <c r="P6" s="84">
        <v>17905065</v>
      </c>
      <c r="Q6" s="84">
        <v>19128489</v>
      </c>
      <c r="R6" s="84">
        <v>19922085</v>
      </c>
      <c r="S6" s="84">
        <v>21577021</v>
      </c>
      <c r="T6" s="84">
        <v>23254147</v>
      </c>
      <c r="U6" s="84">
        <v>23592720</v>
      </c>
      <c r="V6" s="84">
        <v>9383875</v>
      </c>
      <c r="W6" s="84">
        <v>18150417</v>
      </c>
      <c r="DA6" s="171" t="s">
        <v>363</v>
      </c>
    </row>
    <row r="7" spans="1:105" ht="11.45" customHeight="1" x14ac:dyDescent="0.25">
      <c r="A7" s="85" t="s">
        <v>174</v>
      </c>
      <c r="B7" s="86">
        <v>1846337</v>
      </c>
      <c r="C7" s="86">
        <v>1728688</v>
      </c>
      <c r="D7" s="86">
        <v>1743786</v>
      </c>
      <c r="E7" s="86">
        <v>1816278</v>
      </c>
      <c r="F7" s="86">
        <v>2070861</v>
      </c>
      <c r="G7" s="86">
        <v>2300496</v>
      </c>
      <c r="H7" s="86">
        <v>2643365</v>
      </c>
      <c r="I7" s="86">
        <v>2977352</v>
      </c>
      <c r="J7" s="86">
        <v>3161748</v>
      </c>
      <c r="K7" s="86">
        <v>2943535</v>
      </c>
      <c r="L7" s="86">
        <v>3308829</v>
      </c>
      <c r="M7" s="86">
        <v>3609457</v>
      </c>
      <c r="N7" s="86">
        <v>3737157</v>
      </c>
      <c r="O7" s="86">
        <v>4431694</v>
      </c>
      <c r="P7" s="86">
        <v>4762203</v>
      </c>
      <c r="Q7" s="86">
        <v>4545727</v>
      </c>
      <c r="R7" s="86">
        <v>4950647</v>
      </c>
      <c r="S7" s="86">
        <v>5346950</v>
      </c>
      <c r="T7" s="86">
        <v>5697066</v>
      </c>
      <c r="U7" s="86">
        <v>6187517</v>
      </c>
      <c r="V7" s="86">
        <v>1763308</v>
      </c>
      <c r="W7" s="86">
        <v>4358694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133.33061333852973</v>
      </c>
      <c r="C12" s="14">
        <f>IF(C4=0,0,C4/TrAvia_act!C24)</f>
        <v>133.55827167156156</v>
      </c>
      <c r="D12" s="14">
        <f>IF(D4=0,0,D4/TrAvia_act!D24)</f>
        <v>136.14949883051409</v>
      </c>
      <c r="E12" s="14">
        <f>IF(E4=0,0,E4/TrAvia_act!E24)</f>
        <v>138.46677102138545</v>
      </c>
      <c r="F12" s="14">
        <f>IF(F4=0,0,F4/TrAvia_act!F24)</f>
        <v>138.19440666272422</v>
      </c>
      <c r="G12" s="14">
        <f>IF(G4=0,0,G4/TrAvia_act!G24)</f>
        <v>147.17548199750084</v>
      </c>
      <c r="H12" s="14">
        <f>IF(H4=0,0,H4/TrAvia_act!H24)</f>
        <v>148.02422639411972</v>
      </c>
      <c r="I12" s="14">
        <f>IF(I4=0,0,I4/TrAvia_act!I24)</f>
        <v>149.53799198250729</v>
      </c>
      <c r="J12" s="14">
        <f>IF(J4=0,0,J4/TrAvia_act!J24)</f>
        <v>152.54199555612649</v>
      </c>
      <c r="K12" s="14">
        <f>IF(K4=0,0,K4/TrAvia_act!K24)</f>
        <v>141.38286379617369</v>
      </c>
      <c r="L12" s="14">
        <f>IF(L4=0,0,L4/TrAvia_act!L24)</f>
        <v>145.07272638109015</v>
      </c>
      <c r="M12" s="14">
        <f>IF(M4=0,0,M4/TrAvia_act!M24)</f>
        <v>150.6248559004955</v>
      </c>
      <c r="N12" s="14">
        <f>IF(N4=0,0,N4/TrAvia_act!N24)</f>
        <v>151.06607139965126</v>
      </c>
      <c r="O12" s="14">
        <f>IF(O4=0,0,O4/TrAvia_act!O24)</f>
        <v>155.17352645521746</v>
      </c>
      <c r="P12" s="14">
        <f>IF(P4=0,0,P4/TrAvia_act!P24)</f>
        <v>159.64277614311334</v>
      </c>
      <c r="Q12" s="14">
        <f>IF(Q4=0,0,Q4/TrAvia_act!Q24)</f>
        <v>159.60912627071554</v>
      </c>
      <c r="R12" s="14">
        <f>IF(R4=0,0,R4/TrAvia_act!R24)</f>
        <v>160.70354337303721</v>
      </c>
      <c r="S12" s="14">
        <f>IF(S4=0,0,S4/TrAvia_act!S24)</f>
        <v>159.02412318508459</v>
      </c>
      <c r="T12" s="14">
        <f>IF(T4=0,0,T4/TrAvia_act!T24)</f>
        <v>156.30757946784124</v>
      </c>
      <c r="U12" s="14">
        <f>IF(U4=0,0,U4/TrAvia_act!U24)</f>
        <v>155.72452328193646</v>
      </c>
      <c r="V12" s="14">
        <f>IF(V4=0,0,V4/TrAvia_act!V24)</f>
        <v>139.02152218827527</v>
      </c>
      <c r="W12" s="14">
        <f>IF(W4=0,0,W4/TrAvia_act!W24)</f>
        <v>167.17787925929642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92.041053063814701</v>
      </c>
      <c r="C13" s="87">
        <f>IF(C5=0,0,C5/TrAvia_act!C25)</f>
        <v>92.656581788069673</v>
      </c>
      <c r="D13" s="87">
        <f>IF(D5=0,0,D5/TrAvia_act!D25)</f>
        <v>93.270864056663683</v>
      </c>
      <c r="E13" s="87">
        <f>IF(E5=0,0,E5/TrAvia_act!E25)</f>
        <v>93.734248116072436</v>
      </c>
      <c r="F13" s="87">
        <f>IF(F5=0,0,F5/TrAvia_act!F25)</f>
        <v>95.748932721954304</v>
      </c>
      <c r="G13" s="87">
        <f>IF(G5=0,0,G5/TrAvia_act!G25)</f>
        <v>101.91874834044813</v>
      </c>
      <c r="H13" s="87">
        <f>IF(H5=0,0,H5/TrAvia_act!H25)</f>
        <v>103.58588816335295</v>
      </c>
      <c r="I13" s="87">
        <f>IF(I5=0,0,I5/TrAvia_act!I25)</f>
        <v>109.14024251825508</v>
      </c>
      <c r="J13" s="87">
        <f>IF(J5=0,0,J5/TrAvia_act!J25)</f>
        <v>113.28109130036907</v>
      </c>
      <c r="K13" s="87">
        <f>IF(K5=0,0,K5/TrAvia_act!K25)</f>
        <v>102.94217918875623</v>
      </c>
      <c r="L13" s="87">
        <f>IF(L5=0,0,L5/TrAvia_act!L25)</f>
        <v>103.60654568507806</v>
      </c>
      <c r="M13" s="87">
        <f>IF(M5=0,0,M5/TrAvia_act!M25)</f>
        <v>108.47525134917394</v>
      </c>
      <c r="N13" s="87">
        <f>IF(N5=0,0,N5/TrAvia_act!N25)</f>
        <v>106.49478473923696</v>
      </c>
      <c r="O13" s="87">
        <f>IF(O5=0,0,O5/TrAvia_act!O25)</f>
        <v>104.34664269960862</v>
      </c>
      <c r="P13" s="87">
        <f>IF(P5=0,0,P5/TrAvia_act!P25)</f>
        <v>112.01939031448968</v>
      </c>
      <c r="Q13" s="87">
        <f>IF(Q5=0,0,Q5/TrAvia_act!Q25)</f>
        <v>115.48996933088567</v>
      </c>
      <c r="R13" s="87">
        <f>IF(R5=0,0,R5/TrAvia_act!R25)</f>
        <v>121.27348306371394</v>
      </c>
      <c r="S13" s="87">
        <f>IF(S5=0,0,S5/TrAvia_act!S25)</f>
        <v>113.14272511085495</v>
      </c>
      <c r="T13" s="87">
        <f>IF(T5=0,0,T5/TrAvia_act!T25)</f>
        <v>108.86431206543563</v>
      </c>
      <c r="U13" s="87">
        <f>IF(U5=0,0,U5/TrAvia_act!U25)</f>
        <v>105.20173914731315</v>
      </c>
      <c r="V13" s="87">
        <f>IF(V5=0,0,V5/TrAvia_act!V25)</f>
        <v>98.419068214940523</v>
      </c>
      <c r="W13" s="87">
        <f>IF(W5=0,0,W5/TrAvia_act!W25)</f>
        <v>123.83153201682502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182.1783757372701</v>
      </c>
      <c r="C14" s="87">
        <f>IF(C6=0,0,C6/TrAvia_act!C26)</f>
        <v>182.71335142367667</v>
      </c>
      <c r="D14" s="87">
        <f>IF(D6=0,0,D6/TrAvia_act!D26)</f>
        <v>183.38237829329535</v>
      </c>
      <c r="E14" s="87">
        <f>IF(E6=0,0,E6/TrAvia_act!E26)</f>
        <v>184.16633227779255</v>
      </c>
      <c r="F14" s="87">
        <f>IF(F6=0,0,F6/TrAvia_act!F26)</f>
        <v>185.03076171320129</v>
      </c>
      <c r="G14" s="87">
        <f>IF(G6=0,0,G6/TrAvia_act!G26)</f>
        <v>195.40373103969316</v>
      </c>
      <c r="H14" s="87">
        <f>IF(H6=0,0,H6/TrAvia_act!H26)</f>
        <v>193.93560518589385</v>
      </c>
      <c r="I14" s="87">
        <f>IF(I6=0,0,I6/TrAvia_act!I26)</f>
        <v>189.73022961826999</v>
      </c>
      <c r="J14" s="87">
        <f>IF(J6=0,0,J6/TrAvia_act!J26)</f>
        <v>191.04780993033813</v>
      </c>
      <c r="K14" s="87">
        <f>IF(K6=0,0,K6/TrAvia_act!K26)</f>
        <v>186.78455997994212</v>
      </c>
      <c r="L14" s="87">
        <f>IF(L6=0,0,L6/TrAvia_act!L26)</f>
        <v>189.26693475034708</v>
      </c>
      <c r="M14" s="87">
        <f>IF(M6=0,0,M6/TrAvia_act!M26)</f>
        <v>190.4970467969105</v>
      </c>
      <c r="N14" s="87">
        <f>IF(N6=0,0,N6/TrAvia_act!N26)</f>
        <v>194.82355897475549</v>
      </c>
      <c r="O14" s="87">
        <f>IF(O6=0,0,O6/TrAvia_act!O26)</f>
        <v>199.17646064859946</v>
      </c>
      <c r="P14" s="87">
        <f>IF(P6=0,0,P6/TrAvia_act!P26)</f>
        <v>197.05562220045564</v>
      </c>
      <c r="Q14" s="87">
        <f>IF(Q6=0,0,Q6/TrAvia_act!Q26)</f>
        <v>196.26813802444053</v>
      </c>
      <c r="R14" s="87">
        <f>IF(R6=0,0,R6/TrAvia_act!R26)</f>
        <v>191.50510915225561</v>
      </c>
      <c r="S14" s="87">
        <f>IF(S6=0,0,S6/TrAvia_act!S26)</f>
        <v>192.14587470501803</v>
      </c>
      <c r="T14" s="87">
        <f>IF(T6=0,0,T6/TrAvia_act!T26)</f>
        <v>186.94847573720938</v>
      </c>
      <c r="U14" s="87">
        <f>IF(U6=0,0,U6/TrAvia_act!U26)</f>
        <v>188.26582399693575</v>
      </c>
      <c r="V14" s="87">
        <f>IF(V6=0,0,V6/TrAvia_act!V26)</f>
        <v>180.74763564920931</v>
      </c>
      <c r="W14" s="87">
        <f>IF(W6=0,0,W6/TrAvia_act!W26)</f>
        <v>197.12429949172423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151.87439335362342</v>
      </c>
      <c r="C15" s="88">
        <f>IF(C7=0,0,C7/TrAvia_act!C27)</f>
        <v>152.84597701149426</v>
      </c>
      <c r="D15" s="88">
        <f>IF(D7=0,0,D7/TrAvia_act!D27)</f>
        <v>154.03109265965904</v>
      </c>
      <c r="E15" s="88">
        <f>IF(E7=0,0,E7/TrAvia_act!E27)</f>
        <v>155.22416887445519</v>
      </c>
      <c r="F15" s="88">
        <f>IF(F7=0,0,F7/TrAvia_act!F27)</f>
        <v>150.83844416927673</v>
      </c>
      <c r="G15" s="88">
        <f>IF(G7=0,0,G7/TrAvia_act!G27)</f>
        <v>167.74799474989061</v>
      </c>
      <c r="H15" s="88">
        <f>IF(H7=0,0,H7/TrAvia_act!H27)</f>
        <v>172.70122827649288</v>
      </c>
      <c r="I15" s="88">
        <f>IF(I7=0,0,I7/TrAvia_act!I27)</f>
        <v>172.22073114298937</v>
      </c>
      <c r="J15" s="88">
        <f>IF(J7=0,0,J7/TrAvia_act!J27)</f>
        <v>171.52650138338848</v>
      </c>
      <c r="K15" s="88">
        <f>IF(K7=0,0,K7/TrAvia_act!K27)</f>
        <v>161.05132133282268</v>
      </c>
      <c r="L15" s="88">
        <f>IF(L7=0,0,L7/TrAvia_act!L27)</f>
        <v>170.49667645694853</v>
      </c>
      <c r="M15" s="88">
        <f>IF(M7=0,0,M7/TrAvia_act!M27)</f>
        <v>169.21973745897796</v>
      </c>
      <c r="N15" s="88">
        <f>IF(N7=0,0,N7/TrAvia_act!N27)</f>
        <v>170.4285388544327</v>
      </c>
      <c r="O15" s="88">
        <f>IF(O7=0,0,O7/TrAvia_act!O27)</f>
        <v>179.54438277356886</v>
      </c>
      <c r="P15" s="88">
        <f>IF(P7=0,0,P7/TrAvia_act!P27)</f>
        <v>180.4821875236868</v>
      </c>
      <c r="Q15" s="88">
        <f>IF(Q7=0,0,Q7/TrAvia_act!Q27)</f>
        <v>176.74586881293985</v>
      </c>
      <c r="R15" s="88">
        <f>IF(R7=0,0,R7/TrAvia_act!R27)</f>
        <v>181.26270503807851</v>
      </c>
      <c r="S15" s="88">
        <f>IF(S7=0,0,S7/TrAvia_act!S27)</f>
        <v>182.93304594751788</v>
      </c>
      <c r="T15" s="88">
        <f>IF(T7=0,0,T7/TrAvia_act!T27)</f>
        <v>189.00129383273065</v>
      </c>
      <c r="U15" s="88">
        <f>IF(U7=0,0,U7/TrAvia_act!U27)</f>
        <v>190.43787510387492</v>
      </c>
      <c r="V15" s="88">
        <f>IF(V7=0,0,V7/TrAvia_act!V27)</f>
        <v>183.12472738602139</v>
      </c>
      <c r="W15" s="88">
        <f>IF(W7=0,0,W7/TrAvia_act!W27)</f>
        <v>218.55758912901771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0.64991798134918355</v>
      </c>
      <c r="C18" s="25">
        <f>IF(TrAvia_act!C34=0,0,(TrAvia_act!C34/TrAvia_act!C24)/TrAvia_png!C12)</f>
        <v>0.64979894582880049</v>
      </c>
      <c r="D18" s="25">
        <f>IF(TrAvia_act!D34=0,0,(TrAvia_act!D34/TrAvia_act!D24)/TrAvia_png!D12)</f>
        <v>0.65190541089308673</v>
      </c>
      <c r="E18" s="25">
        <f>IF(TrAvia_act!E34=0,0,(TrAvia_act!E34/TrAvia_act!E24)/TrAvia_png!E12)</f>
        <v>0.65399871686117517</v>
      </c>
      <c r="F18" s="25">
        <f>IF(TrAvia_act!F34=0,0,(TrAvia_act!F34/TrAvia_act!F24)/TrAvia_png!F12)</f>
        <v>0.65384286350006526</v>
      </c>
      <c r="G18" s="25">
        <f>IF(TrAvia_act!G34=0,0,(TrAvia_act!G34/TrAvia_act!G24)/TrAvia_png!G12)</f>
        <v>0.65540251705845265</v>
      </c>
      <c r="H18" s="25">
        <f>IF(TrAvia_act!H34=0,0,(TrAvia_act!H34/TrAvia_act!H24)/TrAvia_png!H12)</f>
        <v>0.65637112218037086</v>
      </c>
      <c r="I18" s="25">
        <f>IF(TrAvia_act!I34=0,0,(TrAvia_act!I34/TrAvia_act!I24)/TrAvia_png!I12)</f>
        <v>0.65701209203029987</v>
      </c>
      <c r="J18" s="25">
        <f>IF(TrAvia_act!J34=0,0,(TrAvia_act!J34/TrAvia_act!J24)/TrAvia_png!J12)</f>
        <v>0.65962999884687923</v>
      </c>
      <c r="K18" s="25">
        <f>IF(TrAvia_act!K34=0,0,(TrAvia_act!K34/TrAvia_act!K24)/TrAvia_png!K12)</f>
        <v>0.66075476498534869</v>
      </c>
      <c r="L18" s="25">
        <f>IF(TrAvia_act!L34=0,0,(TrAvia_act!L34/TrAvia_act!L24)/TrAvia_png!L12)</f>
        <v>0.66647814307814712</v>
      </c>
      <c r="M18" s="25">
        <f>IF(TrAvia_act!M34=0,0,(TrAvia_act!M34/TrAvia_act!M24)/TrAvia_png!M12)</f>
        <v>0.67097513093398908</v>
      </c>
      <c r="N18" s="25">
        <f>IF(TrAvia_act!N34=0,0,(TrAvia_act!N34/TrAvia_act!N24)/TrAvia_png!N12)</f>
        <v>0.67562264216750767</v>
      </c>
      <c r="O18" s="25">
        <f>IF(TrAvia_act!O34=0,0,(TrAvia_act!O34/TrAvia_act!O24)/TrAvia_png!O12)</f>
        <v>0.70665985693113087</v>
      </c>
      <c r="P18" s="25">
        <f>IF(TrAvia_act!P34=0,0,(TrAvia_act!P34/TrAvia_act!P24)/TrAvia_png!P12)</f>
        <v>0.71340777046221004</v>
      </c>
      <c r="Q18" s="25">
        <f>IF(TrAvia_act!Q34=0,0,(TrAvia_act!Q34/TrAvia_act!Q24)/TrAvia_png!Q12)</f>
        <v>0.72851440182743032</v>
      </c>
      <c r="R18" s="25">
        <f>IF(TrAvia_act!R34=0,0,(TrAvia_act!R34/TrAvia_act!R24)/TrAvia_png!R12)</f>
        <v>0.7373539005231553</v>
      </c>
      <c r="S18" s="25">
        <f>IF(TrAvia_act!S34=0,0,(TrAvia_act!S34/TrAvia_act!S24)/TrAvia_png!S12)</f>
        <v>0.77538990963232601</v>
      </c>
      <c r="T18" s="25">
        <f>IF(TrAvia_act!T34=0,0,(TrAvia_act!T34/TrAvia_act!T24)/TrAvia_png!T12)</f>
        <v>0.78768292541620477</v>
      </c>
      <c r="U18" s="25">
        <f>IF(TrAvia_act!U34=0,0,(TrAvia_act!U34/TrAvia_act!U24)/TrAvia_png!U12)</f>
        <v>0.79885612841262243</v>
      </c>
      <c r="V18" s="25">
        <f>IF(TrAvia_act!V34=0,0,(TrAvia_act!V34/TrAvia_act!V24)/TrAvia_png!V12)</f>
        <v>0.62431732563963638</v>
      </c>
      <c r="W18" s="25">
        <f>IF(TrAvia_act!W34=0,0,(TrAvia_act!W34/TrAvia_act!W24)/TrAvia_png!W12)</f>
        <v>0.5837871128420592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0.59436503701318333</v>
      </c>
      <c r="C19" s="89">
        <f>IF(TrAvia_act!C35=0,0,(TrAvia_act!C35/TrAvia_act!C25)/TrAvia_png!C13)</f>
        <v>0.59440731457238338</v>
      </c>
      <c r="D19" s="89">
        <f>IF(TrAvia_act!D35=0,0,(TrAvia_act!D35/TrAvia_act!D25)/TrAvia_png!D13)</f>
        <v>0.5943757306887546</v>
      </c>
      <c r="E19" s="89">
        <f>IF(TrAvia_act!E35=0,0,(TrAvia_act!E35/TrAvia_act!E25)/TrAvia_png!E13)</f>
        <v>0.59451731671752706</v>
      </c>
      <c r="F19" s="89">
        <f>IF(TrAvia_act!F35=0,0,(TrAvia_act!F35/TrAvia_act!F25)/TrAvia_png!F13)</f>
        <v>0.59498994016529627</v>
      </c>
      <c r="G19" s="89">
        <f>IF(TrAvia_act!G35=0,0,(TrAvia_act!G35/TrAvia_act!G25)/TrAvia_png!G13)</f>
        <v>0.59590588074968331</v>
      </c>
      <c r="H19" s="89">
        <f>IF(TrAvia_act!H35=0,0,(TrAvia_act!H35/TrAvia_act!H25)/TrAvia_png!H13)</f>
        <v>0.59497148930737132</v>
      </c>
      <c r="I19" s="89">
        <f>IF(TrAvia_act!I35=0,0,(TrAvia_act!I35/TrAvia_act!I25)/TrAvia_png!I13)</f>
        <v>0.59395473146425048</v>
      </c>
      <c r="J19" s="89">
        <f>IF(TrAvia_act!J35=0,0,(TrAvia_act!J35/TrAvia_act!J25)/TrAvia_png!J13)</f>
        <v>0.59640836465143365</v>
      </c>
      <c r="K19" s="89">
        <f>IF(TrAvia_act!K35=0,0,(TrAvia_act!K35/TrAvia_act!K25)/TrAvia_png!K13)</f>
        <v>0.60132783337953122</v>
      </c>
      <c r="L19" s="89">
        <f>IF(TrAvia_act!L35=0,0,(TrAvia_act!L35/TrAvia_act!L25)/TrAvia_png!L13)</f>
        <v>0.60825392703595116</v>
      </c>
      <c r="M19" s="89">
        <f>IF(TrAvia_act!M35=0,0,(TrAvia_act!M35/TrAvia_act!M25)/TrAvia_png!M13)</f>
        <v>0.58265167206884982</v>
      </c>
      <c r="N19" s="89">
        <f>IF(TrAvia_act!N35=0,0,(TrAvia_act!N35/TrAvia_act!N25)/TrAvia_png!N13)</f>
        <v>0.58056318437524246</v>
      </c>
      <c r="O19" s="89">
        <f>IF(TrAvia_act!O35=0,0,(TrAvia_act!O35/TrAvia_act!O25)/TrAvia_png!O13)</f>
        <v>0.63010902186973694</v>
      </c>
      <c r="P19" s="89">
        <f>IF(TrAvia_act!P35=0,0,(TrAvia_act!P35/TrAvia_act!P25)/TrAvia_png!P13)</f>
        <v>0.67093282512037178</v>
      </c>
      <c r="Q19" s="89">
        <f>IF(TrAvia_act!Q35=0,0,(TrAvia_act!Q35/TrAvia_act!Q25)/TrAvia_png!Q13)</f>
        <v>0.70859740660738879</v>
      </c>
      <c r="R19" s="89">
        <f>IF(TrAvia_act!R35=0,0,(TrAvia_act!R35/TrAvia_act!R25)/TrAvia_png!R13)</f>
        <v>0.70320561923167779</v>
      </c>
      <c r="S19" s="89">
        <f>IF(TrAvia_act!S35=0,0,(TrAvia_act!S35/TrAvia_act!S25)/TrAvia_png!S13)</f>
        <v>0.7624720923370204</v>
      </c>
      <c r="T19" s="89">
        <f>IF(TrAvia_act!T35=0,0,(TrAvia_act!T35/TrAvia_act!T25)/TrAvia_png!T13)</f>
        <v>0.77399412588998362</v>
      </c>
      <c r="U19" s="89">
        <f>IF(TrAvia_act!U35=0,0,(TrAvia_act!U35/TrAvia_act!U25)/TrAvia_png!U13)</f>
        <v>0.7880968630470333</v>
      </c>
      <c r="V19" s="89">
        <f>IF(TrAvia_act!V35=0,0,(TrAvia_act!V35/TrAvia_act!V25)/TrAvia_png!V13)</f>
        <v>0.60386493506162653</v>
      </c>
      <c r="W19" s="89">
        <f>IF(TrAvia_act!W35=0,0,(TrAvia_act!W35/TrAvia_act!W25)/TrAvia_png!W13)</f>
        <v>0.53250543180224763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0.68665093090485863</v>
      </c>
      <c r="C20" s="89">
        <f>IF(TrAvia_act!C36=0,0,(TrAvia_act!C36/TrAvia_act!C26)/TrAvia_png!C14)</f>
        <v>0.68709262983899422</v>
      </c>
      <c r="D20" s="89">
        <f>IF(TrAvia_act!D36=0,0,(TrAvia_act!D36/TrAvia_act!D26)/TrAvia_png!D14)</f>
        <v>0.68767905830522635</v>
      </c>
      <c r="E20" s="89">
        <f>IF(TrAvia_act!E36=0,0,(TrAvia_act!E36/TrAvia_act!E26)/TrAvia_png!E14)</f>
        <v>0.68846082514293305</v>
      </c>
      <c r="F20" s="89">
        <f>IF(TrAvia_act!F36=0,0,(TrAvia_act!F36/TrAvia_act!F26)/TrAvia_png!F14)</f>
        <v>0.69072567505205884</v>
      </c>
      <c r="G20" s="89">
        <f>IF(TrAvia_act!G36=0,0,(TrAvia_act!G36/TrAvia_act!G26)/TrAvia_png!G14)</f>
        <v>0.6927366050503343</v>
      </c>
      <c r="H20" s="89">
        <f>IF(TrAvia_act!H36=0,0,(TrAvia_act!H36/TrAvia_act!H26)/TrAvia_png!H14)</f>
        <v>0.69512494393668522</v>
      </c>
      <c r="I20" s="89">
        <f>IF(TrAvia_act!I36=0,0,(TrAvia_act!I36/TrAvia_act!I26)/TrAvia_png!I14)</f>
        <v>0.69816681535196912</v>
      </c>
      <c r="J20" s="89">
        <f>IF(TrAvia_act!J36=0,0,(TrAvia_act!J36/TrAvia_act!J26)/TrAvia_png!J14)</f>
        <v>0.70103955442256061</v>
      </c>
      <c r="K20" s="89">
        <f>IF(TrAvia_act!K36=0,0,(TrAvia_act!K36/TrAvia_act!K26)/TrAvia_png!K14)</f>
        <v>0.70340816168889553</v>
      </c>
      <c r="L20" s="89">
        <f>IF(TrAvia_act!L36=0,0,(TrAvia_act!L36/TrAvia_act!L26)/TrAvia_png!L14)</f>
        <v>0.70621797062270131</v>
      </c>
      <c r="M20" s="89">
        <f>IF(TrAvia_act!M36=0,0,(TrAvia_act!M36/TrAvia_act!M26)/TrAvia_png!M14)</f>
        <v>0.7187703873196285</v>
      </c>
      <c r="N20" s="89">
        <f>IF(TrAvia_act!N36=0,0,(TrAvia_act!N36/TrAvia_act!N26)/TrAvia_png!N14)</f>
        <v>0.72607711226435578</v>
      </c>
      <c r="O20" s="89">
        <f>IF(TrAvia_act!O36=0,0,(TrAvia_act!O36/TrAvia_act!O26)/TrAvia_png!O14)</f>
        <v>0.73969854814531355</v>
      </c>
      <c r="P20" s="89">
        <f>IF(TrAvia_act!P36=0,0,(TrAvia_act!P36/TrAvia_act!P26)/TrAvia_png!P14)</f>
        <v>0.73471729926699514</v>
      </c>
      <c r="Q20" s="89">
        <f>IF(TrAvia_act!Q36=0,0,(TrAvia_act!Q36/TrAvia_act!Q26)/TrAvia_png!Q14)</f>
        <v>0.74741941195668937</v>
      </c>
      <c r="R20" s="89">
        <f>IF(TrAvia_act!R36=0,0,(TrAvia_act!R36/TrAvia_act!R26)/TrAvia_png!R14)</f>
        <v>0.76876526729004524</v>
      </c>
      <c r="S20" s="89">
        <f>IF(TrAvia_act!S36=0,0,(TrAvia_act!S36/TrAvia_act!S26)/TrAvia_png!S14)</f>
        <v>0.79382547757635313</v>
      </c>
      <c r="T20" s="89">
        <f>IF(TrAvia_act!T36=0,0,(TrAvia_act!T36/TrAvia_act!T26)/TrAvia_png!T14)</f>
        <v>0.80934450100448752</v>
      </c>
      <c r="U20" s="89">
        <f>IF(TrAvia_act!U36=0,0,(TrAvia_act!U36/TrAvia_act!U26)/TrAvia_png!U14)</f>
        <v>0.82176094998796245</v>
      </c>
      <c r="V20" s="89">
        <f>IF(TrAvia_act!V36=0,0,(TrAvia_act!V36/TrAvia_act!V26)/TrAvia_png!V14)</f>
        <v>0.66327524610035837</v>
      </c>
      <c r="W20" s="89">
        <f>IF(TrAvia_act!W36=0,0,(TrAvia_act!W36/TrAvia_act!W26)/TrAvia_png!W14)</f>
        <v>0.6372502626248201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0.63511103335956554</v>
      </c>
      <c r="C21" s="90">
        <f>IF(TrAvia_act!C37=0,0,(TrAvia_act!C37/TrAvia_act!C27)/TrAvia_png!C15)</f>
        <v>0.63574919245115369</v>
      </c>
      <c r="D21" s="90">
        <f>IF(TrAvia_act!D37=0,0,(TrAvia_act!D37/TrAvia_act!D27)/TrAvia_png!D15)</f>
        <v>0.63661653436832277</v>
      </c>
      <c r="E21" s="90">
        <f>IF(TrAvia_act!E37=0,0,(TrAvia_act!E37/TrAvia_act!E27)/TrAvia_png!E15)</f>
        <v>0.63780874954164501</v>
      </c>
      <c r="F21" s="90">
        <f>IF(TrAvia_act!F37=0,0,(TrAvia_act!F37/TrAvia_act!F27)/TrAvia_png!F15)</f>
        <v>0.6392027277543012</v>
      </c>
      <c r="G21" s="90">
        <f>IF(TrAvia_act!G37=0,0,(TrAvia_act!G37/TrAvia_act!G27)/TrAvia_png!G15)</f>
        <v>0.64067227241429681</v>
      </c>
      <c r="H21" s="90">
        <f>IF(TrAvia_act!H37=0,0,(TrAvia_act!H37/TrAvia_act!H27)/TrAvia_png!H15)</f>
        <v>0.64431851068618973</v>
      </c>
      <c r="I21" s="90">
        <f>IF(TrAvia_act!I37=0,0,(TrAvia_act!I37/TrAvia_act!I27)/TrAvia_png!I15)</f>
        <v>0.64829284545461874</v>
      </c>
      <c r="J21" s="90">
        <f>IF(TrAvia_act!J37=0,0,(TrAvia_act!J37/TrAvia_act!J27)/TrAvia_png!J15)</f>
        <v>0.65392118536961208</v>
      </c>
      <c r="K21" s="90">
        <f>IF(TrAvia_act!K37=0,0,(TrAvia_act!K37/TrAvia_act!K27)/TrAvia_png!K15)</f>
        <v>0.6580811846979906</v>
      </c>
      <c r="L21" s="90">
        <f>IF(TrAvia_act!L37=0,0,(TrAvia_act!L37/TrAvia_act!L27)/TrAvia_png!L15)</f>
        <v>0.66059170782170962</v>
      </c>
      <c r="M21" s="90">
        <f>IF(TrAvia_act!M37=0,0,(TrAvia_act!M37/TrAvia_act!M27)/TrAvia_png!M15)</f>
        <v>0.69496325901652245</v>
      </c>
      <c r="N21" s="90">
        <f>IF(TrAvia_act!N37=0,0,(TrAvia_act!N37/TrAvia_act!N27)/TrAvia_png!N15)</f>
        <v>0.70368544859100102</v>
      </c>
      <c r="O21" s="90">
        <f>IF(TrAvia_act!O37=0,0,(TrAvia_act!O37/TrAvia_act!O27)/TrAvia_png!O15)</f>
        <v>0.73380517698198477</v>
      </c>
      <c r="P21" s="90">
        <f>IF(TrAvia_act!P37=0,0,(TrAvia_act!P37/TrAvia_act!P27)/TrAvia_png!P15)</f>
        <v>0.71614271798157281</v>
      </c>
      <c r="Q21" s="90">
        <f>IF(TrAvia_act!Q37=0,0,(TrAvia_act!Q37/TrAvia_act!Q27)/TrAvia_png!Q15)</f>
        <v>0.69499466201995852</v>
      </c>
      <c r="R21" s="90">
        <f>IF(TrAvia_act!R37=0,0,(TrAvia_act!R37/TrAvia_act!R27)/TrAvia_png!R15)</f>
        <v>0.69084141931347554</v>
      </c>
      <c r="S21" s="90">
        <f>IF(TrAvia_act!S37=0,0,(TrAvia_act!S37/TrAvia_act!S27)/TrAvia_png!S15)</f>
        <v>0.72731744265422349</v>
      </c>
      <c r="T21" s="90">
        <f>IF(TrAvia_act!T37=0,0,(TrAvia_act!T37/TrAvia_act!T27)/TrAvia_png!T15)</f>
        <v>0.72571249832808682</v>
      </c>
      <c r="U21" s="90">
        <f>IF(TrAvia_act!U37=0,0,(TrAvia_act!U37/TrAvia_act!U27)/TrAvia_png!U15)</f>
        <v>0.73037019534653391</v>
      </c>
      <c r="V21" s="90">
        <f>IF(TrAvia_act!V37=0,0,(TrAvia_act!V37/TrAvia_act!V27)/TrAvia_png!V15)</f>
        <v>0.48983898445421897</v>
      </c>
      <c r="W21" s="90">
        <f>IF(TrAvia_act!W37=0,0,(TrAvia_act!W37/TrAvia_act!W27)/TrAvia_png!W15)</f>
        <v>0.48827469879739205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4.0536278756331486E-2</v>
      </c>
      <c r="C24" s="23">
        <f>IF(TrAvia_ene!C6=0,0,TrAvia_ene!C6/(C12*TrAvia_act!C14))</f>
        <v>3.8783680772548706E-2</v>
      </c>
      <c r="D24" s="23">
        <f>IF(TrAvia_ene!D6=0,0,TrAvia_ene!D6/(D12*TrAvia_act!D14))</f>
        <v>3.7391635768473486E-2</v>
      </c>
      <c r="E24" s="23">
        <f>IF(TrAvia_ene!E6=0,0,TrAvia_ene!E6/(E12*TrAvia_act!E14))</f>
        <v>3.6411566332248402E-2</v>
      </c>
      <c r="F24" s="23">
        <f>IF(TrAvia_ene!F6=0,0,TrAvia_ene!F6/(F12*TrAvia_act!F14))</f>
        <v>3.5348132850681967E-2</v>
      </c>
      <c r="G24" s="23">
        <f>IF(TrAvia_ene!G6=0,0,TrAvia_ene!G6/(G12*TrAvia_act!G14))</f>
        <v>3.3518759647315911E-2</v>
      </c>
      <c r="H24" s="23">
        <f>IF(TrAvia_ene!H6=0,0,TrAvia_ene!H6/(H12*TrAvia_act!H14))</f>
        <v>3.4104434981238906E-2</v>
      </c>
      <c r="I24" s="23">
        <f>IF(TrAvia_ene!I6=0,0,TrAvia_ene!I6/(I12*TrAvia_act!I14))</f>
        <v>3.2350534119035865E-2</v>
      </c>
      <c r="J24" s="23">
        <f>IF(TrAvia_ene!J6=0,0,TrAvia_ene!J6/(J12*TrAvia_act!J14))</f>
        <v>3.3215260923848446E-2</v>
      </c>
      <c r="K24" s="23">
        <f>IF(TrAvia_ene!K6=0,0,TrAvia_ene!K6/(K12*TrAvia_act!K14))</f>
        <v>3.0897739604998239E-2</v>
      </c>
      <c r="L24" s="23">
        <f>IF(TrAvia_ene!L6=0,0,TrAvia_ene!L6/(L12*TrAvia_act!L14))</f>
        <v>2.5329207519524031E-2</v>
      </c>
      <c r="M24" s="23">
        <f>IF(TrAvia_ene!M6=0,0,TrAvia_ene!M6/(M12*TrAvia_act!M14))</f>
        <v>2.5482327339765784E-2</v>
      </c>
      <c r="N24" s="23">
        <f>IF(TrAvia_ene!N6=0,0,TrAvia_ene!N6/(N12*TrAvia_act!N14))</f>
        <v>2.4429191576148878E-2</v>
      </c>
      <c r="O24" s="23">
        <f>IF(TrAvia_ene!O6=0,0,TrAvia_ene!O6/(O12*TrAvia_act!O14))</f>
        <v>2.3566859763865192E-2</v>
      </c>
      <c r="P24" s="23">
        <f>IF(TrAvia_ene!P6=0,0,TrAvia_ene!P6/(P12*TrAvia_act!P14))</f>
        <v>2.2640476711205879E-2</v>
      </c>
      <c r="Q24" s="23">
        <f>IF(TrAvia_ene!Q6=0,0,TrAvia_ene!Q6/(Q12*TrAvia_act!Q14))</f>
        <v>2.2474268128466306E-2</v>
      </c>
      <c r="R24" s="23">
        <f>IF(TrAvia_ene!R6=0,0,TrAvia_ene!R6/(R12*TrAvia_act!R14))</f>
        <v>2.2428098881842537E-2</v>
      </c>
      <c r="S24" s="23">
        <f>IF(TrAvia_ene!S6=0,0,TrAvia_ene!S6/(S12*TrAvia_act!S14))</f>
        <v>2.320835025483849E-2</v>
      </c>
      <c r="T24" s="23">
        <f>IF(TrAvia_ene!T6=0,0,TrAvia_ene!T6/(T12*TrAvia_act!T14))</f>
        <v>2.3972988674480757E-2</v>
      </c>
      <c r="U24" s="23">
        <f>IF(TrAvia_ene!U6=0,0,TrAvia_ene!U6/(U12*TrAvia_act!U14))</f>
        <v>2.4266951664424902E-2</v>
      </c>
      <c r="V24" s="23">
        <f>IF(TrAvia_ene!V6=0,0,TrAvia_ene!V6/(V12*TrAvia_act!V14))</f>
        <v>2.2646126752650639E-2</v>
      </c>
      <c r="W24" s="23">
        <f>IF(TrAvia_ene!W6=0,0,TrAvia_ene!W6/(W12*TrAvia_act!W14))</f>
        <v>1.97994728408677E-2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0.12944564793606875</v>
      </c>
      <c r="C25" s="91">
        <f>IF(TrAvia_ene!C7=0,0,TrAvia_ene!C7/(C13*TrAvia_act!C15))</f>
        <v>0.11477163918315904</v>
      </c>
      <c r="D25" s="91">
        <f>IF(TrAvia_ene!D7=0,0,TrAvia_ene!D7/(D13*TrAvia_act!D15))</f>
        <v>0.11373006943350956</v>
      </c>
      <c r="E25" s="91">
        <f>IF(TrAvia_ene!E7=0,0,TrAvia_ene!E7/(E13*TrAvia_act!E15))</f>
        <v>0.11365976595041155</v>
      </c>
      <c r="F25" s="91">
        <f>IF(TrAvia_ene!F7=0,0,TrAvia_ene!F7/(F13*TrAvia_act!F15))</f>
        <v>0.10524922023450194</v>
      </c>
      <c r="G25" s="91">
        <f>IF(TrAvia_ene!G7=0,0,TrAvia_ene!G7/(G13*TrAvia_act!G15))</f>
        <v>0.10346520570434804</v>
      </c>
      <c r="H25" s="91">
        <f>IF(TrAvia_ene!H7=0,0,TrAvia_ene!H7/(H13*TrAvia_act!H15))</f>
        <v>8.8279680842467359E-2</v>
      </c>
      <c r="I25" s="91">
        <f>IF(TrAvia_ene!I7=0,0,TrAvia_ene!I7/(I13*TrAvia_act!I15))</f>
        <v>8.1612423139612547E-2</v>
      </c>
      <c r="J25" s="91">
        <f>IF(TrAvia_ene!J7=0,0,TrAvia_ene!J7/(J13*TrAvia_act!J15))</f>
        <v>7.9672911632314991E-2</v>
      </c>
      <c r="K25" s="91">
        <f>IF(TrAvia_ene!K7=0,0,TrAvia_ene!K7/(K13*TrAvia_act!K15))</f>
        <v>6.5294153827607782E-2</v>
      </c>
      <c r="L25" s="91">
        <f>IF(TrAvia_ene!L7=0,0,TrAvia_ene!L7/(L13*TrAvia_act!L15))</f>
        <v>6.0439881671762494E-2</v>
      </c>
      <c r="M25" s="91">
        <f>IF(TrAvia_ene!M7=0,0,TrAvia_ene!M7/(M13*TrAvia_act!M15))</f>
        <v>6.5341814961958622E-2</v>
      </c>
      <c r="N25" s="91">
        <f>IF(TrAvia_ene!N7=0,0,TrAvia_ene!N7/(N13*TrAvia_act!N15))</f>
        <v>6.1093291171631849E-2</v>
      </c>
      <c r="O25" s="91">
        <f>IF(TrAvia_ene!O7=0,0,TrAvia_ene!O7/(O13*TrAvia_act!O15))</f>
        <v>6.6035183317351004E-2</v>
      </c>
      <c r="P25" s="91">
        <f>IF(TrAvia_ene!P7=0,0,TrAvia_ene!P7/(P13*TrAvia_act!P15))</f>
        <v>5.9070626149534775E-2</v>
      </c>
      <c r="Q25" s="91">
        <f>IF(TrAvia_ene!Q7=0,0,TrAvia_ene!Q7/(Q13*TrAvia_act!Q15))</f>
        <v>4.8287245093206206E-2</v>
      </c>
      <c r="R25" s="91">
        <f>IF(TrAvia_ene!R7=0,0,TrAvia_ene!R7/(R13*TrAvia_act!R15))</f>
        <v>4.8669773611082649E-2</v>
      </c>
      <c r="S25" s="91">
        <f>IF(TrAvia_ene!S7=0,0,TrAvia_ene!S7/(S13*TrAvia_act!S15))</f>
        <v>5.5035635239383582E-2</v>
      </c>
      <c r="T25" s="91">
        <f>IF(TrAvia_ene!T7=0,0,TrAvia_ene!T7/(T13*TrAvia_act!T15))</f>
        <v>6.1904078673470114E-2</v>
      </c>
      <c r="U25" s="91">
        <f>IF(TrAvia_ene!U7=0,0,TrAvia_ene!U7/(U13*TrAvia_act!U15))</f>
        <v>6.4425815171449269E-2</v>
      </c>
      <c r="V25" s="91">
        <f>IF(TrAvia_ene!V7=0,0,TrAvia_ene!V7/(V13*TrAvia_act!V15))</f>
        <v>4.5599651094559039E-2</v>
      </c>
      <c r="W25" s="91">
        <f>IF(TrAvia_ene!W7=0,0,TrAvia_ene!W7/(W13*TrAvia_act!W15))</f>
        <v>4.4307447271020865E-2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2.1243361346549663E-2</v>
      </c>
      <c r="C26" s="93">
        <f>IF(TrAvia_ene!C8=0,0,TrAvia_ene!C8/(C14*TrAvia_act!C16))</f>
        <v>2.1060281923562345E-2</v>
      </c>
      <c r="D26" s="93">
        <f>IF(TrAvia_ene!D8=0,0,TrAvia_ene!D8/(D14*TrAvia_act!D16))</f>
        <v>2.0973662483741457E-2</v>
      </c>
      <c r="E26" s="93">
        <f>IF(TrAvia_ene!E8=0,0,TrAvia_ene!E8/(E14*TrAvia_act!E16))</f>
        <v>2.0955665937916521E-2</v>
      </c>
      <c r="F26" s="93">
        <f>IF(TrAvia_ene!F8=0,0,TrAvia_ene!F8/(F14*TrAvia_act!F16))</f>
        <v>2.0058265178105213E-2</v>
      </c>
      <c r="G26" s="93">
        <f>IF(TrAvia_ene!G8=0,0,TrAvia_ene!G8/(G14*TrAvia_act!G16))</f>
        <v>1.8891044315628713E-2</v>
      </c>
      <c r="H26" s="93">
        <f>IF(TrAvia_ene!H8=0,0,TrAvia_ene!H8/(H14*TrAvia_act!H16))</f>
        <v>2.1626078380392925E-2</v>
      </c>
      <c r="I26" s="93">
        <f>IF(TrAvia_ene!I8=0,0,TrAvia_ene!I8/(I14*TrAvia_act!I16))</f>
        <v>2.1652230874208752E-2</v>
      </c>
      <c r="J26" s="93">
        <f>IF(TrAvia_ene!J8=0,0,TrAvia_ene!J8/(J14*TrAvia_act!J16))</f>
        <v>2.3294612609068021E-2</v>
      </c>
      <c r="K26" s="93">
        <f>IF(TrAvia_ene!K8=0,0,TrAvia_ene!K8/(K14*TrAvia_act!K16))</f>
        <v>2.0818076385022633E-2</v>
      </c>
      <c r="L26" s="93">
        <f>IF(TrAvia_ene!L8=0,0,TrAvia_ene!L8/(L14*TrAvia_act!L16))</f>
        <v>1.70156110278856E-2</v>
      </c>
      <c r="M26" s="93">
        <f>IF(TrAvia_ene!M8=0,0,TrAvia_ene!M8/(M14*TrAvia_act!M16))</f>
        <v>1.7887074659528792E-2</v>
      </c>
      <c r="N26" s="93">
        <f>IF(TrAvia_ene!N8=0,0,TrAvia_ene!N8/(N14*TrAvia_act!N16))</f>
        <v>1.7074831765621995E-2</v>
      </c>
      <c r="O26" s="93">
        <f>IF(TrAvia_ene!O8=0,0,TrAvia_ene!O8/(O14*TrAvia_act!O16))</f>
        <v>1.7043581727149495E-2</v>
      </c>
      <c r="P26" s="93">
        <f>IF(TrAvia_ene!P8=0,0,TrAvia_ene!P8/(P14*TrAvia_act!P16))</f>
        <v>1.7072517973545059E-2</v>
      </c>
      <c r="Q26" s="93">
        <f>IF(TrAvia_ene!Q8=0,0,TrAvia_ene!Q8/(Q14*TrAvia_act!Q16))</f>
        <v>1.7094173433049444E-2</v>
      </c>
      <c r="R26" s="93">
        <f>IF(TrAvia_ene!R8=0,0,TrAvia_ene!R8/(R14*TrAvia_act!R16))</f>
        <v>1.7750050491923231E-2</v>
      </c>
      <c r="S26" s="93">
        <f>IF(TrAvia_ene!S8=0,0,TrAvia_ene!S8/(S14*TrAvia_act!S16))</f>
        <v>1.8468976188361366E-2</v>
      </c>
      <c r="T26" s="93">
        <f>IF(TrAvia_ene!T8=0,0,TrAvia_ene!T8/(T14*TrAvia_act!T16))</f>
        <v>1.8957355877811454E-2</v>
      </c>
      <c r="U26" s="93">
        <f>IF(TrAvia_ene!U8=0,0,TrAvia_ene!U8/(U14*TrAvia_act!U16))</f>
        <v>1.9281605681288016E-2</v>
      </c>
      <c r="V26" s="93">
        <f>IF(TrAvia_ene!V8=0,0,TrAvia_ene!V8/(V14*TrAvia_act!V16))</f>
        <v>1.4485586019203713E-2</v>
      </c>
      <c r="W26" s="93">
        <f>IF(TrAvia_ene!W8=0,0,TrAvia_ene!W8/(W14*TrAvia_act!W16))</f>
        <v>1.5296269184064742E-2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3.3335668417640928E-2</v>
      </c>
      <c r="C27" s="94">
        <f>IF(TrAvia_ene!C9=0,0,TrAvia_ene!C9/(C15*TrAvia_act!C17))</f>
        <v>3.2934715715552107E-2</v>
      </c>
      <c r="D27" s="94">
        <f>IF(TrAvia_ene!D9=0,0,TrAvia_ene!D9/(D15*TrAvia_act!D17))</f>
        <v>3.2666033642717161E-2</v>
      </c>
      <c r="E27" s="94">
        <f>IF(TrAvia_ene!E9=0,0,TrAvia_ene!E9/(E15*TrAvia_act!E17))</f>
        <v>3.2525631760413842E-2</v>
      </c>
      <c r="F27" s="94">
        <f>IF(TrAvia_ene!F9=0,0,TrAvia_ene!F9/(F15*TrAvia_act!F17))</f>
        <v>3.2265261967639416E-2</v>
      </c>
      <c r="G27" s="94">
        <f>IF(TrAvia_ene!G9=0,0,TrAvia_ene!G9/(G15*TrAvia_act!G17))</f>
        <v>2.8873720215459975E-2</v>
      </c>
      <c r="H27" s="94">
        <f>IF(TrAvia_ene!H9=0,0,TrAvia_ene!H9/(H15*TrAvia_act!H17))</f>
        <v>2.7946171915233974E-2</v>
      </c>
      <c r="I27" s="94">
        <f>IF(TrAvia_ene!I9=0,0,TrAvia_ene!I9/(I15*TrAvia_act!I17))</f>
        <v>2.4480254459819894E-2</v>
      </c>
      <c r="J27" s="94">
        <f>IF(TrAvia_ene!J9=0,0,TrAvia_ene!J9/(J15*TrAvia_act!J17))</f>
        <v>2.4397583085520407E-2</v>
      </c>
      <c r="K27" s="94">
        <f>IF(TrAvia_ene!K9=0,0,TrAvia_ene!K9/(K15*TrAvia_act!K17))</f>
        <v>2.4553890789992573E-2</v>
      </c>
      <c r="L27" s="94">
        <f>IF(TrAvia_ene!L9=0,0,TrAvia_ene!L9/(L15*TrAvia_act!L17))</f>
        <v>1.8640946149454368E-2</v>
      </c>
      <c r="M27" s="94">
        <f>IF(TrAvia_ene!M9=0,0,TrAvia_ene!M9/(M15*TrAvia_act!M17))</f>
        <v>1.9167575421794588E-2</v>
      </c>
      <c r="N27" s="94">
        <f>IF(TrAvia_ene!N9=0,0,TrAvia_ene!N9/(N15*TrAvia_act!N17))</f>
        <v>1.8388055534475221E-2</v>
      </c>
      <c r="O27" s="94">
        <f>IF(TrAvia_ene!O9=0,0,TrAvia_ene!O9/(O15*TrAvia_act!O17))</f>
        <v>1.5654611892929292E-2</v>
      </c>
      <c r="P27" s="94">
        <f>IF(TrAvia_ene!P9=0,0,TrAvia_ene!P9/(P15*TrAvia_act!P17))</f>
        <v>1.6284995348015738E-2</v>
      </c>
      <c r="Q27" s="94">
        <f>IF(TrAvia_ene!Q9=0,0,TrAvia_ene!Q9/(Q15*TrAvia_act!Q17))</f>
        <v>1.8662718446937027E-2</v>
      </c>
      <c r="R27" s="94">
        <f>IF(TrAvia_ene!R9=0,0,TrAvia_ene!R9/(R15*TrAvia_act!R17))</f>
        <v>1.6752944894026442E-2</v>
      </c>
      <c r="S27" s="94">
        <f>IF(TrAvia_ene!S9=0,0,TrAvia_ene!S9/(S15*TrAvia_act!S17))</f>
        <v>1.5928623275019413E-2</v>
      </c>
      <c r="T27" s="94">
        <f>IF(TrAvia_ene!T9=0,0,TrAvia_ene!T9/(T15*TrAvia_act!T17))</f>
        <v>1.5937780464659827E-2</v>
      </c>
      <c r="U27" s="94">
        <f>IF(TrAvia_ene!U9=0,0,TrAvia_ene!U9/(U15*TrAvia_act!U17))</f>
        <v>1.5294008414741855E-2</v>
      </c>
      <c r="V27" s="94">
        <f>IF(TrAvia_ene!V9=0,0,TrAvia_ene!V9/(V15*TrAvia_act!V17))</f>
        <v>2.4693344315415842E-2</v>
      </c>
      <c r="W27" s="94">
        <f>IF(TrAvia_ene!W9=0,0,TrAvia_ene!W9/(W15*TrAvia_act!W17))</f>
        <v>1.4455646843707015E-2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11104.962</v>
      </c>
      <c r="C3" s="54">
        <f t="shared" si="0"/>
        <v>4476.2839999999997</v>
      </c>
      <c r="D3" s="54">
        <f t="shared" si="0"/>
        <v>5768.0540000000001</v>
      </c>
      <c r="E3" s="54">
        <f t="shared" si="0"/>
        <v>6880.18</v>
      </c>
      <c r="F3" s="54">
        <f t="shared" si="0"/>
        <v>6676.83</v>
      </c>
      <c r="G3" s="54">
        <f t="shared" si="0"/>
        <v>6170.8639999999996</v>
      </c>
      <c r="H3" s="54">
        <f t="shared" si="0"/>
        <v>6359.5829999999996</v>
      </c>
      <c r="I3" s="54">
        <f t="shared" si="0"/>
        <v>6490.7039999999997</v>
      </c>
      <c r="J3" s="54">
        <f t="shared" si="0"/>
        <v>5779.1660000000002</v>
      </c>
      <c r="K3" s="54">
        <f t="shared" si="0"/>
        <v>5137.6329999999998</v>
      </c>
      <c r="L3" s="54">
        <f t="shared" si="0"/>
        <v>4662.5950000000003</v>
      </c>
      <c r="M3" s="54">
        <f t="shared" si="0"/>
        <v>4692.0420000000004</v>
      </c>
      <c r="N3" s="54">
        <f t="shared" si="0"/>
        <v>4779.2709999999997</v>
      </c>
      <c r="O3" s="54">
        <f t="shared" si="0"/>
        <v>4886.317</v>
      </c>
      <c r="P3" s="54">
        <f t="shared" si="0"/>
        <v>4883.9089999999997</v>
      </c>
      <c r="Q3" s="54">
        <f t="shared" si="0"/>
        <v>5462.6589999999997</v>
      </c>
      <c r="R3" s="54">
        <f t="shared" ref="R3:V3" si="1">SUM(R4:R5)</f>
        <v>5305.98</v>
      </c>
      <c r="S3" s="54">
        <f t="shared" si="1"/>
        <v>5340.6120000000001</v>
      </c>
      <c r="T3" s="54">
        <f t="shared" si="1"/>
        <v>5453.2139999999999</v>
      </c>
      <c r="U3" s="54">
        <f t="shared" si="1"/>
        <v>5544.518</v>
      </c>
      <c r="V3" s="54">
        <f t="shared" si="1"/>
        <v>4717.97</v>
      </c>
      <c r="W3" s="54">
        <f t="shared" ref="W3" si="2">SUM(W4:W5)</f>
        <v>4838.3500000000004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11104.962</v>
      </c>
      <c r="C4" s="56">
        <v>4476.2839999999997</v>
      </c>
      <c r="D4" s="56">
        <v>5768.0540000000001</v>
      </c>
      <c r="E4" s="56">
        <v>6880.18</v>
      </c>
      <c r="F4" s="56">
        <v>6676.83</v>
      </c>
      <c r="G4" s="56">
        <v>6170.8639999999996</v>
      </c>
      <c r="H4" s="56">
        <v>6359.5829999999996</v>
      </c>
      <c r="I4" s="56">
        <v>6490.7039999999997</v>
      </c>
      <c r="J4" s="56">
        <v>5779.1660000000002</v>
      </c>
      <c r="K4" s="56">
        <v>5137.6329999999998</v>
      </c>
      <c r="L4" s="56">
        <v>4662.5950000000003</v>
      </c>
      <c r="M4" s="56">
        <v>4692.0420000000004</v>
      </c>
      <c r="N4" s="56">
        <v>4779.2709999999997</v>
      </c>
      <c r="O4" s="56">
        <v>4886.317</v>
      </c>
      <c r="P4" s="56">
        <v>4883.9089999999997</v>
      </c>
      <c r="Q4" s="56">
        <v>5462.6589999999997</v>
      </c>
      <c r="R4" s="56">
        <v>5305.98</v>
      </c>
      <c r="S4" s="56">
        <v>5340.6120000000001</v>
      </c>
      <c r="T4" s="56">
        <v>5453.2139999999999</v>
      </c>
      <c r="U4" s="56">
        <v>5544.518</v>
      </c>
      <c r="V4" s="56">
        <v>4717.97</v>
      </c>
      <c r="W4" s="56">
        <v>4838.3500000000004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6.04</v>
      </c>
      <c r="C7" s="59">
        <f t="shared" si="3"/>
        <v>3.9870000000000001</v>
      </c>
      <c r="D7" s="59">
        <f t="shared" si="3"/>
        <v>4.2619999999999996</v>
      </c>
      <c r="E7" s="59">
        <f t="shared" si="3"/>
        <v>5.141</v>
      </c>
      <c r="F7" s="59">
        <f t="shared" si="3"/>
        <v>5.569</v>
      </c>
      <c r="G7" s="59">
        <f t="shared" si="3"/>
        <v>5.1630000000000003</v>
      </c>
      <c r="H7" s="59">
        <f t="shared" si="3"/>
        <v>5.9509999999999996</v>
      </c>
      <c r="I7" s="59">
        <f t="shared" si="3"/>
        <v>6.37</v>
      </c>
      <c r="J7" s="59">
        <f t="shared" si="3"/>
        <v>5.4009999999999998</v>
      </c>
      <c r="K7" s="59">
        <f t="shared" si="3"/>
        <v>5.5250000000000004</v>
      </c>
      <c r="L7" s="59">
        <f t="shared" si="3"/>
        <v>4.2389999999999999</v>
      </c>
      <c r="M7" s="59">
        <f t="shared" si="3"/>
        <v>4.2409999999999997</v>
      </c>
      <c r="N7" s="59">
        <f t="shared" si="3"/>
        <v>3.9710000000000001</v>
      </c>
      <c r="O7" s="59">
        <f t="shared" si="3"/>
        <v>4.03</v>
      </c>
      <c r="P7" s="59">
        <f t="shared" si="3"/>
        <v>4.0640000000000001</v>
      </c>
      <c r="Q7" s="59">
        <f t="shared" si="3"/>
        <v>4.5880000000000001</v>
      </c>
      <c r="R7" s="59">
        <f t="shared" ref="R7:V7" si="4">SUM(R8:R9)</f>
        <v>4.2720000000000002</v>
      </c>
      <c r="S7" s="59">
        <f t="shared" si="4"/>
        <v>4.2539999999999996</v>
      </c>
      <c r="T7" s="59">
        <f t="shared" si="4"/>
        <v>4.202</v>
      </c>
      <c r="U7" s="59">
        <f t="shared" si="4"/>
        <v>4.2130000000000001</v>
      </c>
      <c r="V7" s="59">
        <f t="shared" si="4"/>
        <v>3.7109999999999999</v>
      </c>
      <c r="W7" s="59">
        <f t="shared" ref="W7" si="5">SUM(W8:W9)</f>
        <v>3.6160000000000001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6.04</v>
      </c>
      <c r="C8" s="60">
        <v>3.9870000000000001</v>
      </c>
      <c r="D8" s="60">
        <v>4.2619999999999996</v>
      </c>
      <c r="E8" s="60">
        <v>5.141</v>
      </c>
      <c r="F8" s="60">
        <v>5.569</v>
      </c>
      <c r="G8" s="60">
        <v>5.1630000000000003</v>
      </c>
      <c r="H8" s="60">
        <v>5.9509999999999996</v>
      </c>
      <c r="I8" s="60">
        <v>6.37</v>
      </c>
      <c r="J8" s="60">
        <v>5.4009999999999998</v>
      </c>
      <c r="K8" s="60">
        <v>5.5250000000000004</v>
      </c>
      <c r="L8" s="60">
        <v>4.2389999999999999</v>
      </c>
      <c r="M8" s="60">
        <v>4.2409999999999997</v>
      </c>
      <c r="N8" s="60">
        <v>3.9710000000000001</v>
      </c>
      <c r="O8" s="60">
        <v>4.03</v>
      </c>
      <c r="P8" s="60">
        <v>4.0640000000000001</v>
      </c>
      <c r="Q8" s="60">
        <v>4.5880000000000001</v>
      </c>
      <c r="R8" s="60">
        <v>4.2720000000000002</v>
      </c>
      <c r="S8" s="60">
        <v>4.2539999999999996</v>
      </c>
      <c r="T8" s="60">
        <v>4.202</v>
      </c>
      <c r="U8" s="60">
        <v>4.2130000000000001</v>
      </c>
      <c r="V8" s="60">
        <v>3.7109999999999999</v>
      </c>
      <c r="W8" s="60">
        <v>3.6160000000000001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1838.5698675496687</v>
      </c>
      <c r="C13" s="62">
        <f t="shared" si="6"/>
        <v>1122.7198394783043</v>
      </c>
      <c r="D13" s="62">
        <f t="shared" si="6"/>
        <v>1353.3679023932427</v>
      </c>
      <c r="E13" s="62">
        <f t="shared" si="6"/>
        <v>1338.2960513518772</v>
      </c>
      <c r="F13" s="62">
        <f t="shared" ref="F13:V13" si="7">IF(F3=0,0,F3/F7)</f>
        <v>1198.9279942539056</v>
      </c>
      <c r="G13" s="62">
        <f t="shared" si="7"/>
        <v>1195.2089870230484</v>
      </c>
      <c r="H13" s="62">
        <f t="shared" si="7"/>
        <v>1068.6578726264493</v>
      </c>
      <c r="I13" s="62">
        <f t="shared" si="7"/>
        <v>1018.9488226059653</v>
      </c>
      <c r="J13" s="62">
        <f t="shared" si="7"/>
        <v>1070.0177744862062</v>
      </c>
      <c r="K13" s="62">
        <f t="shared" si="7"/>
        <v>929.8883257918551</v>
      </c>
      <c r="L13" s="62">
        <f t="shared" si="7"/>
        <v>1099.9280490681765</v>
      </c>
      <c r="M13" s="62">
        <f t="shared" si="7"/>
        <v>1106.3527469936337</v>
      </c>
      <c r="N13" s="62">
        <f t="shared" si="7"/>
        <v>1203.5434399395617</v>
      </c>
      <c r="O13" s="62">
        <f t="shared" si="7"/>
        <v>1212.4856079404465</v>
      </c>
      <c r="P13" s="62">
        <f t="shared" si="7"/>
        <v>1201.7492618110234</v>
      </c>
      <c r="Q13" s="62">
        <f t="shared" si="7"/>
        <v>1190.6405841325195</v>
      </c>
      <c r="R13" s="62">
        <f t="shared" si="7"/>
        <v>1242.0365168539324</v>
      </c>
      <c r="S13" s="62">
        <f t="shared" si="7"/>
        <v>1255.4330042313118</v>
      </c>
      <c r="T13" s="62">
        <f t="shared" si="7"/>
        <v>1297.7663017610662</v>
      </c>
      <c r="U13" s="62">
        <f t="shared" si="7"/>
        <v>1316.049845715642</v>
      </c>
      <c r="V13" s="62">
        <f t="shared" si="7"/>
        <v>1271.3473457289142</v>
      </c>
      <c r="W13" s="62">
        <f t="shared" ref="W13" si="8">IF(W3=0,0,W3/W7)</f>
        <v>1338.0392699115046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1838.5698675496687</v>
      </c>
      <c r="C14" s="63">
        <f t="shared" si="6"/>
        <v>1122.7198394783043</v>
      </c>
      <c r="D14" s="63">
        <f t="shared" si="6"/>
        <v>1353.3679023932427</v>
      </c>
      <c r="E14" s="63">
        <f t="shared" si="6"/>
        <v>1338.2960513518772</v>
      </c>
      <c r="F14" s="63">
        <f t="shared" ref="F14:V14" si="9">IF(F4=0,0,F4/F8)</f>
        <v>1198.9279942539056</v>
      </c>
      <c r="G14" s="63">
        <f t="shared" si="9"/>
        <v>1195.2089870230484</v>
      </c>
      <c r="H14" s="63">
        <f t="shared" si="9"/>
        <v>1068.6578726264493</v>
      </c>
      <c r="I14" s="63">
        <f t="shared" si="9"/>
        <v>1018.9488226059653</v>
      </c>
      <c r="J14" s="63">
        <f t="shared" si="9"/>
        <v>1070.0177744862062</v>
      </c>
      <c r="K14" s="63">
        <f t="shared" si="9"/>
        <v>929.8883257918551</v>
      </c>
      <c r="L14" s="63">
        <f t="shared" si="9"/>
        <v>1099.9280490681765</v>
      </c>
      <c r="M14" s="63">
        <f t="shared" si="9"/>
        <v>1106.3527469936337</v>
      </c>
      <c r="N14" s="63">
        <f t="shared" si="9"/>
        <v>1203.5434399395617</v>
      </c>
      <c r="O14" s="63">
        <f t="shared" si="9"/>
        <v>1212.4856079404465</v>
      </c>
      <c r="P14" s="63">
        <f t="shared" si="9"/>
        <v>1201.7492618110234</v>
      </c>
      <c r="Q14" s="63">
        <f t="shared" si="9"/>
        <v>1190.6405841325195</v>
      </c>
      <c r="R14" s="63">
        <f t="shared" si="9"/>
        <v>1242.0365168539324</v>
      </c>
      <c r="S14" s="63">
        <f t="shared" si="9"/>
        <v>1255.4330042313118</v>
      </c>
      <c r="T14" s="63">
        <f t="shared" si="9"/>
        <v>1297.7663017610662</v>
      </c>
      <c r="U14" s="63">
        <f t="shared" si="9"/>
        <v>1316.049845715642</v>
      </c>
      <c r="V14" s="63">
        <f t="shared" si="9"/>
        <v>1271.3473457289142</v>
      </c>
      <c r="W14" s="63">
        <f t="shared" ref="W14" si="10">IF(W4=0,0,W4/W8)</f>
        <v>1338.0392699115046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0</v>
      </c>
      <c r="C15" s="64">
        <f t="shared" si="6"/>
        <v>0</v>
      </c>
      <c r="D15" s="64">
        <f t="shared" si="6"/>
        <v>0</v>
      </c>
      <c r="E15" s="64">
        <f t="shared" si="6"/>
        <v>0</v>
      </c>
      <c r="F15" s="64">
        <f t="shared" ref="F15:V15" si="11">IF(F5=0,0,F5/F9)</f>
        <v>0</v>
      </c>
      <c r="G15" s="64">
        <f t="shared" si="11"/>
        <v>0</v>
      </c>
      <c r="H15" s="64">
        <f t="shared" si="11"/>
        <v>0</v>
      </c>
      <c r="I15" s="64">
        <f t="shared" si="11"/>
        <v>0</v>
      </c>
      <c r="J15" s="64">
        <f t="shared" si="11"/>
        <v>0</v>
      </c>
      <c r="K15" s="64">
        <f t="shared" si="11"/>
        <v>0</v>
      </c>
      <c r="L15" s="64">
        <f t="shared" si="11"/>
        <v>0</v>
      </c>
      <c r="M15" s="64">
        <f t="shared" si="11"/>
        <v>0</v>
      </c>
      <c r="N15" s="64">
        <f t="shared" si="11"/>
        <v>0</v>
      </c>
      <c r="O15" s="64">
        <f t="shared" si="11"/>
        <v>0</v>
      </c>
      <c r="P15" s="64">
        <f t="shared" si="11"/>
        <v>0</v>
      </c>
      <c r="Q15" s="64">
        <f t="shared" si="11"/>
        <v>0</v>
      </c>
      <c r="R15" s="64">
        <f t="shared" si="11"/>
        <v>0</v>
      </c>
      <c r="S15" s="64">
        <f t="shared" si="11"/>
        <v>0</v>
      </c>
      <c r="T15" s="64">
        <f t="shared" si="11"/>
        <v>0</v>
      </c>
      <c r="U15" s="64">
        <f t="shared" si="11"/>
        <v>0</v>
      </c>
      <c r="V15" s="64">
        <f t="shared" si="11"/>
        <v>0</v>
      </c>
      <c r="W15" s="64">
        <f t="shared" ref="W15" si="12">IF(W5=0,0,W5/W9)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1</v>
      </c>
      <c r="C18" s="66">
        <f t="shared" si="16"/>
        <v>1</v>
      </c>
      <c r="D18" s="66">
        <f t="shared" si="16"/>
        <v>1</v>
      </c>
      <c r="E18" s="66">
        <f t="shared" si="16"/>
        <v>1</v>
      </c>
      <c r="F18" s="66">
        <f t="shared" ref="F18:V18" si="17">IF(F4=0,0,F4/F$3)</f>
        <v>1</v>
      </c>
      <c r="G18" s="66">
        <f t="shared" si="17"/>
        <v>1</v>
      </c>
      <c r="H18" s="66">
        <f t="shared" si="17"/>
        <v>1</v>
      </c>
      <c r="I18" s="66">
        <f t="shared" si="17"/>
        <v>1</v>
      </c>
      <c r="J18" s="66">
        <f t="shared" si="17"/>
        <v>1</v>
      </c>
      <c r="K18" s="66">
        <f t="shared" si="17"/>
        <v>1</v>
      </c>
      <c r="L18" s="66">
        <f t="shared" si="17"/>
        <v>1</v>
      </c>
      <c r="M18" s="66">
        <f t="shared" si="17"/>
        <v>1</v>
      </c>
      <c r="N18" s="66">
        <f t="shared" si="17"/>
        <v>1</v>
      </c>
      <c r="O18" s="66">
        <f t="shared" si="17"/>
        <v>1</v>
      </c>
      <c r="P18" s="66">
        <f t="shared" si="17"/>
        <v>1</v>
      </c>
      <c r="Q18" s="66">
        <f t="shared" si="17"/>
        <v>1</v>
      </c>
      <c r="R18" s="66">
        <f t="shared" si="17"/>
        <v>1</v>
      </c>
      <c r="S18" s="66">
        <f t="shared" si="17"/>
        <v>1</v>
      </c>
      <c r="T18" s="66">
        <f t="shared" si="17"/>
        <v>1</v>
      </c>
      <c r="U18" s="66">
        <f t="shared" si="17"/>
        <v>1</v>
      </c>
      <c r="V18" s="66">
        <f t="shared" si="17"/>
        <v>1</v>
      </c>
      <c r="W18" s="66">
        <f t="shared" ref="W18" si="18">IF(W4=0,0,W4/W$3)</f>
        <v>1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</v>
      </c>
      <c r="C19" s="67">
        <f t="shared" si="19"/>
        <v>0</v>
      </c>
      <c r="D19" s="67">
        <f t="shared" si="19"/>
        <v>0</v>
      </c>
      <c r="E19" s="67">
        <f t="shared" si="19"/>
        <v>0</v>
      </c>
      <c r="F19" s="67">
        <f t="shared" ref="F19:V19" si="20">IF(F5=0,0,F5/F$3)</f>
        <v>0</v>
      </c>
      <c r="G19" s="67">
        <f t="shared" si="20"/>
        <v>0</v>
      </c>
      <c r="H19" s="67">
        <f t="shared" si="20"/>
        <v>0</v>
      </c>
      <c r="I19" s="67">
        <f t="shared" si="20"/>
        <v>0</v>
      </c>
      <c r="J19" s="67">
        <f t="shared" si="20"/>
        <v>0</v>
      </c>
      <c r="K19" s="67">
        <f t="shared" si="20"/>
        <v>0</v>
      </c>
      <c r="L19" s="67">
        <f t="shared" si="20"/>
        <v>0</v>
      </c>
      <c r="M19" s="67">
        <f t="shared" si="20"/>
        <v>0</v>
      </c>
      <c r="N19" s="67">
        <f t="shared" si="20"/>
        <v>0</v>
      </c>
      <c r="O19" s="67">
        <f t="shared" si="20"/>
        <v>0</v>
      </c>
      <c r="P19" s="67">
        <f t="shared" si="20"/>
        <v>0</v>
      </c>
      <c r="Q19" s="67">
        <f t="shared" si="20"/>
        <v>0</v>
      </c>
      <c r="R19" s="67">
        <f t="shared" si="20"/>
        <v>0</v>
      </c>
      <c r="S19" s="67">
        <f t="shared" si="20"/>
        <v>0</v>
      </c>
      <c r="T19" s="67">
        <f t="shared" si="20"/>
        <v>0</v>
      </c>
      <c r="U19" s="67">
        <f t="shared" si="20"/>
        <v>0</v>
      </c>
      <c r="V19" s="67">
        <f t="shared" si="20"/>
        <v>0</v>
      </c>
      <c r="W19" s="67">
        <f t="shared" ref="W19" si="21">IF(W5=0,0,W5/W$3)</f>
        <v>0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1</v>
      </c>
      <c r="C22" s="66">
        <f t="shared" si="25"/>
        <v>1</v>
      </c>
      <c r="D22" s="66">
        <f t="shared" si="25"/>
        <v>1</v>
      </c>
      <c r="E22" s="66">
        <f t="shared" si="25"/>
        <v>1</v>
      </c>
      <c r="F22" s="66">
        <f t="shared" ref="F22:V22" si="26">IF(F8=0,0,F8/F$7)</f>
        <v>1</v>
      </c>
      <c r="G22" s="66">
        <f t="shared" si="26"/>
        <v>1</v>
      </c>
      <c r="H22" s="66">
        <f t="shared" si="26"/>
        <v>1</v>
      </c>
      <c r="I22" s="66">
        <f t="shared" si="26"/>
        <v>1</v>
      </c>
      <c r="J22" s="66">
        <f t="shared" si="26"/>
        <v>1</v>
      </c>
      <c r="K22" s="66">
        <f t="shared" si="26"/>
        <v>1</v>
      </c>
      <c r="L22" s="66">
        <f t="shared" si="26"/>
        <v>1</v>
      </c>
      <c r="M22" s="66">
        <f t="shared" si="26"/>
        <v>1</v>
      </c>
      <c r="N22" s="66">
        <f t="shared" si="26"/>
        <v>1</v>
      </c>
      <c r="O22" s="66">
        <f t="shared" si="26"/>
        <v>1</v>
      </c>
      <c r="P22" s="66">
        <f t="shared" si="26"/>
        <v>1</v>
      </c>
      <c r="Q22" s="66">
        <f t="shared" si="26"/>
        <v>1</v>
      </c>
      <c r="R22" s="66">
        <f t="shared" si="26"/>
        <v>1</v>
      </c>
      <c r="S22" s="66">
        <f t="shared" si="26"/>
        <v>1</v>
      </c>
      <c r="T22" s="66">
        <f t="shared" si="26"/>
        <v>1</v>
      </c>
      <c r="U22" s="66">
        <f t="shared" si="26"/>
        <v>1</v>
      </c>
      <c r="V22" s="66">
        <f t="shared" si="26"/>
        <v>1</v>
      </c>
      <c r="W22" s="66">
        <f t="shared" ref="W22" si="27">IF(W8=0,0,W8/W$7)</f>
        <v>1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</v>
      </c>
      <c r="C23" s="67">
        <f t="shared" si="28"/>
        <v>0</v>
      </c>
      <c r="D23" s="67">
        <f t="shared" si="28"/>
        <v>0</v>
      </c>
      <c r="E23" s="67">
        <f t="shared" si="28"/>
        <v>0</v>
      </c>
      <c r="F23" s="67">
        <f t="shared" ref="F23:V23" si="29">IF(F9=0,0,F9/F$7)</f>
        <v>0</v>
      </c>
      <c r="G23" s="67">
        <f t="shared" si="29"/>
        <v>0</v>
      </c>
      <c r="H23" s="67">
        <f t="shared" si="29"/>
        <v>0</v>
      </c>
      <c r="I23" s="67">
        <f t="shared" si="29"/>
        <v>0</v>
      </c>
      <c r="J23" s="67">
        <f t="shared" si="29"/>
        <v>0</v>
      </c>
      <c r="K23" s="67">
        <f t="shared" si="29"/>
        <v>0</v>
      </c>
      <c r="L23" s="67">
        <f t="shared" si="29"/>
        <v>0</v>
      </c>
      <c r="M23" s="67">
        <f t="shared" si="29"/>
        <v>0</v>
      </c>
      <c r="N23" s="67">
        <f t="shared" si="29"/>
        <v>0</v>
      </c>
      <c r="O23" s="67">
        <f t="shared" si="29"/>
        <v>0</v>
      </c>
      <c r="P23" s="67">
        <f t="shared" si="29"/>
        <v>0</v>
      </c>
      <c r="Q23" s="67">
        <f t="shared" si="29"/>
        <v>0</v>
      </c>
      <c r="R23" s="67">
        <f t="shared" si="29"/>
        <v>0</v>
      </c>
      <c r="S23" s="67">
        <f t="shared" si="29"/>
        <v>0</v>
      </c>
      <c r="T23" s="67">
        <f t="shared" si="29"/>
        <v>0</v>
      </c>
      <c r="U23" s="67">
        <f t="shared" si="29"/>
        <v>0</v>
      </c>
      <c r="V23" s="67">
        <f t="shared" si="29"/>
        <v>0</v>
      </c>
      <c r="W23" s="67">
        <f t="shared" ref="W23" si="30">IF(W9=0,0,W9/W$7)</f>
        <v>0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497.83602751504731</v>
      </c>
      <c r="C3" s="62">
        <f t="shared" ref="C3:V3" si="0">SUM(C4,C10)</f>
        <v>677.58185726569207</v>
      </c>
      <c r="D3" s="62">
        <f t="shared" si="0"/>
        <v>611.99965606190881</v>
      </c>
      <c r="E3" s="62">
        <f t="shared" si="0"/>
        <v>604.4091143594153</v>
      </c>
      <c r="F3" s="62">
        <f t="shared" si="0"/>
        <v>678.17901977644021</v>
      </c>
      <c r="G3" s="62">
        <f t="shared" si="0"/>
        <v>651.43783319002569</v>
      </c>
      <c r="H3" s="62">
        <f t="shared" si="0"/>
        <v>714.09191745485805</v>
      </c>
      <c r="I3" s="62">
        <f t="shared" si="0"/>
        <v>666.38005159071372</v>
      </c>
      <c r="J3" s="62">
        <f t="shared" si="0"/>
        <v>599.11625107480654</v>
      </c>
      <c r="K3" s="62">
        <f t="shared" si="0"/>
        <v>880.6821152192606</v>
      </c>
      <c r="L3" s="62">
        <f t="shared" si="0"/>
        <v>717.12519346517615</v>
      </c>
      <c r="M3" s="62">
        <f t="shared" si="0"/>
        <v>515.62536543422175</v>
      </c>
      <c r="N3" s="62">
        <f t="shared" si="0"/>
        <v>525.21255374032671</v>
      </c>
      <c r="O3" s="62">
        <f t="shared" si="0"/>
        <v>430.52932072226992</v>
      </c>
      <c r="P3" s="62">
        <f t="shared" si="0"/>
        <v>449.10189165950123</v>
      </c>
      <c r="Q3" s="62">
        <f t="shared" si="0"/>
        <v>534.28392089423915</v>
      </c>
      <c r="R3" s="62">
        <f t="shared" si="0"/>
        <v>556.84058469475485</v>
      </c>
      <c r="S3" s="62">
        <f t="shared" si="0"/>
        <v>570.55064488392077</v>
      </c>
      <c r="T3" s="62">
        <f t="shared" si="0"/>
        <v>615.65838349097157</v>
      </c>
      <c r="U3" s="62">
        <f t="shared" si="0"/>
        <v>640.72433361994854</v>
      </c>
      <c r="V3" s="62">
        <f t="shared" si="0"/>
        <v>514.79716251074797</v>
      </c>
      <c r="W3" s="62">
        <f t="shared" ref="W3" si="1">SUM(W4,W10)</f>
        <v>574.65391229578688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497.83602751504731</v>
      </c>
      <c r="C4" s="71">
        <f t="shared" ref="C4:V4" si="2">SUM(C5:C9)</f>
        <v>677.58185726569207</v>
      </c>
      <c r="D4" s="71">
        <f t="shared" si="2"/>
        <v>611.99965606190881</v>
      </c>
      <c r="E4" s="71">
        <f t="shared" si="2"/>
        <v>604.4091143594153</v>
      </c>
      <c r="F4" s="71">
        <f t="shared" si="2"/>
        <v>678.17901977644021</v>
      </c>
      <c r="G4" s="71">
        <f t="shared" si="2"/>
        <v>651.43783319002569</v>
      </c>
      <c r="H4" s="71">
        <f t="shared" si="2"/>
        <v>714.09191745485805</v>
      </c>
      <c r="I4" s="71">
        <f t="shared" si="2"/>
        <v>666.38005159071372</v>
      </c>
      <c r="J4" s="71">
        <f t="shared" si="2"/>
        <v>599.11625107480654</v>
      </c>
      <c r="K4" s="71">
        <f t="shared" si="2"/>
        <v>880.6821152192606</v>
      </c>
      <c r="L4" s="71">
        <f t="shared" si="2"/>
        <v>717.12519346517615</v>
      </c>
      <c r="M4" s="71">
        <f t="shared" si="2"/>
        <v>515.62536543422175</v>
      </c>
      <c r="N4" s="71">
        <f t="shared" si="2"/>
        <v>525.21255374032671</v>
      </c>
      <c r="O4" s="71">
        <f t="shared" si="2"/>
        <v>430.52932072226992</v>
      </c>
      <c r="P4" s="71">
        <f t="shared" si="2"/>
        <v>449.10189165950123</v>
      </c>
      <c r="Q4" s="71">
        <f t="shared" si="2"/>
        <v>534.28392089423915</v>
      </c>
      <c r="R4" s="71">
        <f t="shared" si="2"/>
        <v>556.84058469475485</v>
      </c>
      <c r="S4" s="71">
        <f t="shared" si="2"/>
        <v>570.55064488392077</v>
      </c>
      <c r="T4" s="71">
        <f t="shared" si="2"/>
        <v>615.65838349097157</v>
      </c>
      <c r="U4" s="71">
        <f t="shared" si="2"/>
        <v>640.72433361994854</v>
      </c>
      <c r="V4" s="71">
        <f t="shared" si="2"/>
        <v>514.79716251074797</v>
      </c>
      <c r="W4" s="71">
        <f t="shared" ref="W4" si="3">SUM(W5:W9)</f>
        <v>574.65391229578688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270.11083404987102</v>
      </c>
      <c r="C5" s="73">
        <v>354.32785898538259</v>
      </c>
      <c r="D5" s="73">
        <v>338.92235597592429</v>
      </c>
      <c r="E5" s="73">
        <v>309.13826311263972</v>
      </c>
      <c r="F5" s="73">
        <v>316.32751504729151</v>
      </c>
      <c r="G5" s="73">
        <v>336.86827171109189</v>
      </c>
      <c r="H5" s="73">
        <v>367.67936371453129</v>
      </c>
      <c r="I5" s="73">
        <v>328.6519346517627</v>
      </c>
      <c r="J5" s="73">
        <v>317.35451418744623</v>
      </c>
      <c r="K5" s="73">
        <v>278.79045571797081</v>
      </c>
      <c r="L5" s="73">
        <v>275.73800515907129</v>
      </c>
      <c r="M5" s="73">
        <v>261.49329320722268</v>
      </c>
      <c r="N5" s="73">
        <v>199.42674118658641</v>
      </c>
      <c r="O5" s="73">
        <v>182.1295786758383</v>
      </c>
      <c r="P5" s="73">
        <v>190.26938950988821</v>
      </c>
      <c r="Q5" s="73">
        <v>222.82889079965611</v>
      </c>
      <c r="R5" s="73">
        <v>249.2834909716251</v>
      </c>
      <c r="S5" s="73">
        <v>256.48830610490108</v>
      </c>
      <c r="T5" s="73">
        <v>274.58830610490111</v>
      </c>
      <c r="U5" s="73">
        <v>297.26388650042992</v>
      </c>
      <c r="V5" s="73">
        <v>222.74041272570929</v>
      </c>
      <c r="W5" s="73">
        <v>276.89896818572657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227.72519346517629</v>
      </c>
      <c r="C6" s="73">
        <v>323.25399828030947</v>
      </c>
      <c r="D6" s="73">
        <v>273.07730008598452</v>
      </c>
      <c r="E6" s="73">
        <v>295.27085124677558</v>
      </c>
      <c r="F6" s="73">
        <v>361.8515047291487</v>
      </c>
      <c r="G6" s="73">
        <v>314.56956147893379</v>
      </c>
      <c r="H6" s="73">
        <v>346.41255374032676</v>
      </c>
      <c r="I6" s="73">
        <v>337.72811693895102</v>
      </c>
      <c r="J6" s="73">
        <v>281.76173688736031</v>
      </c>
      <c r="K6" s="73">
        <v>601.89165950128972</v>
      </c>
      <c r="L6" s="73">
        <v>441.38718830610486</v>
      </c>
      <c r="M6" s="73">
        <v>254.13207222699907</v>
      </c>
      <c r="N6" s="73">
        <v>325.7858125537403</v>
      </c>
      <c r="O6" s="73">
        <v>248.39974204643161</v>
      </c>
      <c r="P6" s="73">
        <v>257.95356835769553</v>
      </c>
      <c r="Q6" s="73">
        <v>311.45503009458304</v>
      </c>
      <c r="R6" s="73">
        <v>306.67815993121229</v>
      </c>
      <c r="S6" s="73">
        <v>313.61582115219255</v>
      </c>
      <c r="T6" s="73">
        <v>340.7677558039552</v>
      </c>
      <c r="U6" s="73">
        <v>343.05460017196918</v>
      </c>
      <c r="V6" s="73">
        <v>291.69294926913159</v>
      </c>
      <c r="W6" s="73">
        <v>297.37592433362005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0.8789337919174548</v>
      </c>
      <c r="Q7" s="73">
        <v>0</v>
      </c>
      <c r="R7" s="73">
        <v>0.8789337919174548</v>
      </c>
      <c r="S7" s="73">
        <v>0.44651762682717111</v>
      </c>
      <c r="T7" s="73">
        <v>0.30232158211521931</v>
      </c>
      <c r="U7" s="73">
        <v>0.40584694754944095</v>
      </c>
      <c r="V7" s="73">
        <v>0.36380051590713663</v>
      </c>
      <c r="W7" s="73">
        <v>0.37901977644024071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0</v>
      </c>
      <c r="C10" s="71">
        <f t="shared" ref="C10:V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0</v>
      </c>
      <c r="J10" s="71">
        <f t="shared" si="4"/>
        <v>0</v>
      </c>
      <c r="K10" s="71">
        <f t="shared" si="4"/>
        <v>0</v>
      </c>
      <c r="L10" s="71">
        <f t="shared" si="4"/>
        <v>0</v>
      </c>
      <c r="M10" s="71">
        <f t="shared" si="4"/>
        <v>0</v>
      </c>
      <c r="N10" s="71">
        <f t="shared" si="4"/>
        <v>0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</v>
      </c>
      <c r="S10" s="71">
        <f t="shared" si="4"/>
        <v>0</v>
      </c>
      <c r="T10" s="71">
        <f t="shared" si="4"/>
        <v>0</v>
      </c>
      <c r="U10" s="71">
        <f t="shared" si="4"/>
        <v>0</v>
      </c>
      <c r="V10" s="71">
        <f t="shared" si="4"/>
        <v>0</v>
      </c>
      <c r="W10" s="71">
        <f t="shared" ref="W10" si="5">SUM(W11:W15)</f>
        <v>0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8242.318336341843</v>
      </c>
      <c r="C19" s="62">
        <f>IF(C3=0,0,C3/TrNavi_act!C7*100)</f>
        <v>16994.779464903237</v>
      </c>
      <c r="D19" s="62">
        <f>IF(D3=0,0,D3/TrNavi_act!D7*100)</f>
        <v>14359.447584746806</v>
      </c>
      <c r="E19" s="62">
        <f>IF(E3=0,0,E3/TrNavi_act!E7*100)</f>
        <v>11756.644900980651</v>
      </c>
      <c r="F19" s="62">
        <f>IF(F3=0,0,F3/TrNavi_act!F7*100)</f>
        <v>12177.75219566242</v>
      </c>
      <c r="G19" s="62">
        <f>IF(G3=0,0,G3/TrNavi_act!G7*100)</f>
        <v>12617.428494867821</v>
      </c>
      <c r="H19" s="62">
        <f>IF(H3=0,0,H3/TrNavi_act!H7*100)</f>
        <v>11999.52810376169</v>
      </c>
      <c r="I19" s="62">
        <f>IF(I3=0,0,I3/TrNavi_act!I7*100)</f>
        <v>10461.225299697233</v>
      </c>
      <c r="J19" s="62">
        <f>IF(J3=0,0,J3/TrNavi_act!J7*100)</f>
        <v>11092.691188202307</v>
      </c>
      <c r="K19" s="62">
        <f>IF(K3=0,0,K3/TrNavi_act!K7*100)</f>
        <v>15939.947786773948</v>
      </c>
      <c r="L19" s="62">
        <f>IF(L3=0,0,L3/TrNavi_act!L7*100)</f>
        <v>16917.319968510878</v>
      </c>
      <c r="M19" s="62">
        <f>IF(M3=0,0,M3/TrNavi_act!M7*100)</f>
        <v>12158.108121533171</v>
      </c>
      <c r="N19" s="62">
        <f>IF(N3=0,0,N3/TrNavi_act!N7*100)</f>
        <v>13226.203821211953</v>
      </c>
      <c r="O19" s="62">
        <f>IF(O3=0,0,O3/TrNavi_act!O7*100)</f>
        <v>10683.109695341685</v>
      </c>
      <c r="P19" s="62">
        <f>IF(P3=0,0,P3/TrNavi_act!P7*100)</f>
        <v>11050.73552311765</v>
      </c>
      <c r="Q19" s="62">
        <f>IF(Q3=0,0,Q3/TrNavi_act!Q7*100)</f>
        <v>11645.246750092396</v>
      </c>
      <c r="R19" s="62">
        <f>IF(R3=0,0,R3/TrNavi_act!R7*100)</f>
        <v>13034.657881431527</v>
      </c>
      <c r="S19" s="62">
        <f>IF(S3=0,0,S3/TrNavi_act!S7*100)</f>
        <v>13412.097905122726</v>
      </c>
      <c r="T19" s="62">
        <f>IF(T3=0,0,T3/TrNavi_act!T7*100)</f>
        <v>14651.556008828453</v>
      </c>
      <c r="U19" s="62">
        <f>IF(U3=0,0,U3/TrNavi_act!U7*100)</f>
        <v>15208.268065985012</v>
      </c>
      <c r="V19" s="62">
        <f>IF(V3=0,0,V3/TrNavi_act!V7*100)</f>
        <v>13872.195163318458</v>
      </c>
      <c r="W19" s="62">
        <f>IF(W3=0,0,W3/TrNavi_act!W7*100)</f>
        <v>15891.977663047202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8242.318336341843</v>
      </c>
      <c r="C20" s="63">
        <f>IF(C4=0,0,C4/TrNavi_act!C8*100)</f>
        <v>16994.779464903237</v>
      </c>
      <c r="D20" s="63">
        <f>IF(D4=0,0,D4/TrNavi_act!D8*100)</f>
        <v>14359.447584746806</v>
      </c>
      <c r="E20" s="63">
        <f>IF(E4=0,0,E4/TrNavi_act!E8*100)</f>
        <v>11756.644900980651</v>
      </c>
      <c r="F20" s="63">
        <f>IF(F4=0,0,F4/TrNavi_act!F8*100)</f>
        <v>12177.75219566242</v>
      </c>
      <c r="G20" s="63">
        <f>IF(G4=0,0,G4/TrNavi_act!G8*100)</f>
        <v>12617.428494867821</v>
      </c>
      <c r="H20" s="63">
        <f>IF(H4=0,0,H4/TrNavi_act!H8*100)</f>
        <v>11999.52810376169</v>
      </c>
      <c r="I20" s="63">
        <f>IF(I4=0,0,I4/TrNavi_act!I8*100)</f>
        <v>10461.225299697233</v>
      </c>
      <c r="J20" s="63">
        <f>IF(J4=0,0,J4/TrNavi_act!J8*100)</f>
        <v>11092.691188202307</v>
      </c>
      <c r="K20" s="63">
        <f>IF(K4=0,0,K4/TrNavi_act!K8*100)</f>
        <v>15939.947786773948</v>
      </c>
      <c r="L20" s="63">
        <f>IF(L4=0,0,L4/TrNavi_act!L8*100)</f>
        <v>16917.319968510878</v>
      </c>
      <c r="M20" s="63">
        <f>IF(M4=0,0,M4/TrNavi_act!M8*100)</f>
        <v>12158.108121533171</v>
      </c>
      <c r="N20" s="63">
        <f>IF(N4=0,0,N4/TrNavi_act!N8*100)</f>
        <v>13226.203821211953</v>
      </c>
      <c r="O20" s="63">
        <f>IF(O4=0,0,O4/TrNavi_act!O8*100)</f>
        <v>10683.109695341685</v>
      </c>
      <c r="P20" s="63">
        <f>IF(P4=0,0,P4/TrNavi_act!P8*100)</f>
        <v>11050.73552311765</v>
      </c>
      <c r="Q20" s="63">
        <f>IF(Q4=0,0,Q4/TrNavi_act!Q8*100)</f>
        <v>11645.246750092396</v>
      </c>
      <c r="R20" s="63">
        <f>IF(R4=0,0,R4/TrNavi_act!R8*100)</f>
        <v>13034.657881431527</v>
      </c>
      <c r="S20" s="63">
        <f>IF(S4=0,0,S4/TrNavi_act!S8*100)</f>
        <v>13412.097905122726</v>
      </c>
      <c r="T20" s="63">
        <f>IF(T4=0,0,T4/TrNavi_act!T8*100)</f>
        <v>14651.556008828453</v>
      </c>
      <c r="U20" s="63">
        <f>IF(U4=0,0,U4/TrNavi_act!U8*100)</f>
        <v>15208.268065985012</v>
      </c>
      <c r="V20" s="63">
        <f>IF(V4=0,0,V4/TrNavi_act!V8*100)</f>
        <v>13872.195163318458</v>
      </c>
      <c r="W20" s="63">
        <f>IF(W4=0,0,W4/TrNavi_act!W8*100)</f>
        <v>15891.977663047202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0</v>
      </c>
      <c r="C21" s="64">
        <f>IF(C10=0,0,C10/TrNavi_act!C9*100)</f>
        <v>0</v>
      </c>
      <c r="D21" s="64">
        <f>IF(D10=0,0,D10/TrNavi_act!D9*100)</f>
        <v>0</v>
      </c>
      <c r="E21" s="64">
        <f>IF(E10=0,0,E10/TrNavi_act!E9*100)</f>
        <v>0</v>
      </c>
      <c r="F21" s="64">
        <f>IF(F10=0,0,F10/TrNavi_act!F9*100)</f>
        <v>0</v>
      </c>
      <c r="G21" s="64">
        <f>IF(G10=0,0,G10/TrNavi_act!G9*100)</f>
        <v>0</v>
      </c>
      <c r="H21" s="64">
        <f>IF(H10=0,0,H10/TrNavi_act!H9*100)</f>
        <v>0</v>
      </c>
      <c r="I21" s="64">
        <f>IF(I10=0,0,I10/TrNavi_act!I9*100)</f>
        <v>0</v>
      </c>
      <c r="J21" s="64">
        <f>IF(J10=0,0,J10/TrNavi_act!J9*100)</f>
        <v>0</v>
      </c>
      <c r="K21" s="64">
        <f>IF(K10=0,0,K10/TrNavi_act!K9*100)</f>
        <v>0</v>
      </c>
      <c r="L21" s="64">
        <f>IF(L10=0,0,L10/TrNavi_act!L9*100)</f>
        <v>0</v>
      </c>
      <c r="M21" s="64">
        <f>IF(M10=0,0,M10/TrNavi_act!M9*100)</f>
        <v>0</v>
      </c>
      <c r="N21" s="64">
        <f>IF(N10=0,0,N10/TrNavi_act!N9*100)</f>
        <v>0</v>
      </c>
      <c r="O21" s="64">
        <f>IF(O10=0,0,O10/TrNavi_act!O9*100)</f>
        <v>0</v>
      </c>
      <c r="P21" s="64">
        <f>IF(P10=0,0,P10/TrNavi_act!P9*100)</f>
        <v>0</v>
      </c>
      <c r="Q21" s="64">
        <f>IF(Q10=0,0,Q10/TrNavi_act!Q9*100)</f>
        <v>0</v>
      </c>
      <c r="R21" s="64">
        <f>IF(R10=0,0,R10/TrNavi_act!R9*100)</f>
        <v>0</v>
      </c>
      <c r="S21" s="64">
        <f>IF(S10=0,0,S10/TrNavi_act!S9*100)</f>
        <v>0</v>
      </c>
      <c r="T21" s="64">
        <f>IF(T10=0,0,T10/TrNavi_act!T9*100)</f>
        <v>0</v>
      </c>
      <c r="U21" s="64">
        <f>IF(U10=0,0,U10/TrNavi_act!U9*100)</f>
        <v>0</v>
      </c>
      <c r="V21" s="64">
        <f>IF(V10=0,0,V10/TrNavi_act!V9*100)</f>
        <v>0</v>
      </c>
      <c r="W21" s="64">
        <f>IF(W10=0,0,W10/TrNavi_act!W9*100)</f>
        <v>0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44.83005232391136</v>
      </c>
      <c r="C23" s="62">
        <f>IF(C3=0,0,C3/TrNavi_act!C3*1000)</f>
        <v>151.37150754190128</v>
      </c>
      <c r="D23" s="62">
        <f>IF(D3=0,0,D3/TrNavi_act!D3*1000)</f>
        <v>106.10158227747327</v>
      </c>
      <c r="E23" s="62">
        <f>IF(E3=0,0,E3/TrNavi_act!E3*1000)</f>
        <v>87.847863625575968</v>
      </c>
      <c r="F23" s="62">
        <f>IF(F3=0,0,F3/TrNavi_act!F3*1000)</f>
        <v>101.57200644264422</v>
      </c>
      <c r="G23" s="62">
        <f>IF(G3=0,0,G3/TrNavi_act!G3*1000)</f>
        <v>105.56671370330406</v>
      </c>
      <c r="H23" s="62">
        <f>IF(H3=0,0,H3/TrNavi_act!H3*1000)</f>
        <v>112.2859655192578</v>
      </c>
      <c r="I23" s="62">
        <f>IF(I3=0,0,I3/TrNavi_act!I3*1000)</f>
        <v>102.66683730928321</v>
      </c>
      <c r="J23" s="62">
        <f>IF(J3=0,0,J3/TrNavi_act!J3*1000)</f>
        <v>103.6682890013553</v>
      </c>
      <c r="K23" s="62">
        <f>IF(K3=0,0,K3/TrNavi_act!K3*1000)</f>
        <v>171.41787185251664</v>
      </c>
      <c r="L23" s="62">
        <f>IF(L3=0,0,L3/TrNavi_act!L3*1000)</f>
        <v>153.80387819769382</v>
      </c>
      <c r="M23" s="62">
        <f>IF(M3=0,0,M3/TrNavi_act!M3*1000)</f>
        <v>109.89359546104271</v>
      </c>
      <c r="N23" s="62">
        <f>IF(N3=0,0,N3/TrNavi_act!N3*1000)</f>
        <v>109.89386325661941</v>
      </c>
      <c r="O23" s="62">
        <f>IF(O3=0,0,O3/TrNavi_act!O3*1000)</f>
        <v>88.109167031584306</v>
      </c>
      <c r="P23" s="62">
        <f>IF(P3=0,0,P3/TrNavi_act!P3*1000)</f>
        <v>91.955417609030235</v>
      </c>
      <c r="Q23" s="62">
        <f>IF(Q3=0,0,Q3/TrNavi_act!Q3*1000)</f>
        <v>97.80656652634535</v>
      </c>
      <c r="R23" s="62">
        <f>IF(R3=0,0,R3/TrNavi_act!R3*1000)</f>
        <v>104.9458506618485</v>
      </c>
      <c r="S23" s="62">
        <f>IF(S3=0,0,S3/TrNavi_act!S3*1000)</f>
        <v>106.83244633459999</v>
      </c>
      <c r="T23" s="62">
        <f>IF(T3=0,0,T3/TrNavi_act!T3*1000)</f>
        <v>112.89826210579149</v>
      </c>
      <c r="U23" s="62">
        <f>IF(U3=0,0,U3/TrNavi_act!U3*1000)</f>
        <v>115.55996997754332</v>
      </c>
      <c r="V23" s="62">
        <f>IF(V3=0,0,V3/TrNavi_act!V3*1000)</f>
        <v>109.11412376737196</v>
      </c>
      <c r="W23" s="62">
        <f>IF(W3=0,0,W3/TrNavi_act!W3*1000)</f>
        <v>118.7706371584914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44.83005232391136</v>
      </c>
      <c r="C24" s="63">
        <f>IF(C4=0,0,C4/TrNavi_act!C4*1000)</f>
        <v>151.37150754190128</v>
      </c>
      <c r="D24" s="63">
        <f>IF(D4=0,0,D4/TrNavi_act!D4*1000)</f>
        <v>106.10158227747327</v>
      </c>
      <c r="E24" s="63">
        <f>IF(E4=0,0,E4/TrNavi_act!E4*1000)</f>
        <v>87.847863625575968</v>
      </c>
      <c r="F24" s="63">
        <f>IF(F4=0,0,F4/TrNavi_act!F4*1000)</f>
        <v>101.57200644264422</v>
      </c>
      <c r="G24" s="63">
        <f>IF(G4=0,0,G4/TrNavi_act!G4*1000)</f>
        <v>105.56671370330406</v>
      </c>
      <c r="H24" s="63">
        <f>IF(H4=0,0,H4/TrNavi_act!H4*1000)</f>
        <v>112.2859655192578</v>
      </c>
      <c r="I24" s="63">
        <f>IF(I4=0,0,I4/TrNavi_act!I4*1000)</f>
        <v>102.66683730928321</v>
      </c>
      <c r="J24" s="63">
        <f>IF(J4=0,0,J4/TrNavi_act!J4*1000)</f>
        <v>103.6682890013553</v>
      </c>
      <c r="K24" s="63">
        <f>IF(K4=0,0,K4/TrNavi_act!K4*1000)</f>
        <v>171.41787185251664</v>
      </c>
      <c r="L24" s="63">
        <f>IF(L4=0,0,L4/TrNavi_act!L4*1000)</f>
        <v>153.80387819769382</v>
      </c>
      <c r="M24" s="63">
        <f>IF(M4=0,0,M4/TrNavi_act!M4*1000)</f>
        <v>109.89359546104271</v>
      </c>
      <c r="N24" s="63">
        <f>IF(N4=0,0,N4/TrNavi_act!N4*1000)</f>
        <v>109.89386325661941</v>
      </c>
      <c r="O24" s="63">
        <f>IF(O4=0,0,O4/TrNavi_act!O4*1000)</f>
        <v>88.109167031584306</v>
      </c>
      <c r="P24" s="63">
        <f>IF(P4=0,0,P4/TrNavi_act!P4*1000)</f>
        <v>91.955417609030235</v>
      </c>
      <c r="Q24" s="63">
        <f>IF(Q4=0,0,Q4/TrNavi_act!Q4*1000)</f>
        <v>97.80656652634535</v>
      </c>
      <c r="R24" s="63">
        <f>IF(R4=0,0,R4/TrNavi_act!R4*1000)</f>
        <v>104.9458506618485</v>
      </c>
      <c r="S24" s="63">
        <f>IF(S4=0,0,S4/TrNavi_act!S4*1000)</f>
        <v>106.83244633459999</v>
      </c>
      <c r="T24" s="63">
        <f>IF(T4=0,0,T4/TrNavi_act!T4*1000)</f>
        <v>112.89826210579149</v>
      </c>
      <c r="U24" s="63">
        <f>IF(U4=0,0,U4/TrNavi_act!U4*1000)</f>
        <v>115.55996997754332</v>
      </c>
      <c r="V24" s="63">
        <f>IF(V4=0,0,V4/TrNavi_act!V4*1000)</f>
        <v>109.11412376737196</v>
      </c>
      <c r="W24" s="63">
        <f>IF(W4=0,0,W4/TrNavi_act!W4*1000)</f>
        <v>118.7706371584914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0</v>
      </c>
      <c r="C25" s="64">
        <f>IF(C10=0,0,C10/TrNavi_act!C5*1000)</f>
        <v>0</v>
      </c>
      <c r="D25" s="64">
        <f>IF(D10=0,0,D10/TrNavi_act!D5*1000)</f>
        <v>0</v>
      </c>
      <c r="E25" s="64">
        <f>IF(E10=0,0,E10/TrNavi_act!E5*1000)</f>
        <v>0</v>
      </c>
      <c r="F25" s="64">
        <f>IF(F10=0,0,F10/TrNavi_act!F5*1000)</f>
        <v>0</v>
      </c>
      <c r="G25" s="64">
        <f>IF(G10=0,0,G10/TrNavi_act!G5*1000)</f>
        <v>0</v>
      </c>
      <c r="H25" s="64">
        <f>IF(H10=0,0,H10/TrNavi_act!H5*1000)</f>
        <v>0</v>
      </c>
      <c r="I25" s="64">
        <f>IF(I10=0,0,I10/TrNavi_act!I5*1000)</f>
        <v>0</v>
      </c>
      <c r="J25" s="64">
        <f>IF(J10=0,0,J10/TrNavi_act!J5*1000)</f>
        <v>0</v>
      </c>
      <c r="K25" s="64">
        <f>IF(K10=0,0,K10/TrNavi_act!K5*1000)</f>
        <v>0</v>
      </c>
      <c r="L25" s="64">
        <f>IF(L10=0,0,L10/TrNavi_act!L5*1000)</f>
        <v>0</v>
      </c>
      <c r="M25" s="64">
        <f>IF(M10=0,0,M10/TrNavi_act!M5*1000)</f>
        <v>0</v>
      </c>
      <c r="N25" s="64">
        <f>IF(N10=0,0,N10/TrNavi_act!N5*1000)</f>
        <v>0</v>
      </c>
      <c r="O25" s="64">
        <f>IF(O10=0,0,O10/TrNavi_act!O5*1000)</f>
        <v>0</v>
      </c>
      <c r="P25" s="64">
        <f>IF(P10=0,0,P10/TrNavi_act!P5*1000)</f>
        <v>0</v>
      </c>
      <c r="Q25" s="64">
        <f>IF(Q10=0,0,Q10/TrNavi_act!Q5*1000)</f>
        <v>0</v>
      </c>
      <c r="R25" s="64">
        <f>IF(R10=0,0,R10/TrNavi_act!R5*1000)</f>
        <v>0</v>
      </c>
      <c r="S25" s="64">
        <f>IF(S10=0,0,S10/TrNavi_act!S5*1000)</f>
        <v>0</v>
      </c>
      <c r="T25" s="64">
        <f>IF(T10=0,0,T10/TrNavi_act!T5*1000)</f>
        <v>0</v>
      </c>
      <c r="U25" s="64">
        <f>IF(U10=0,0,U10/TrNavi_act!U5*1000)</f>
        <v>0</v>
      </c>
      <c r="V25" s="64">
        <f>IF(V10=0,0,V10/TrNavi_act!V5*1000)</f>
        <v>0</v>
      </c>
      <c r="W25" s="64">
        <f>IF(W10=0,0,W10/TrNavi_act!W5*1000)</f>
        <v>0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1</v>
      </c>
      <c r="C28" s="77">
        <f t="shared" si="8"/>
        <v>1</v>
      </c>
      <c r="D28" s="77">
        <f t="shared" si="8"/>
        <v>1</v>
      </c>
      <c r="E28" s="77">
        <f t="shared" si="8"/>
        <v>1</v>
      </c>
      <c r="F28" s="77">
        <f t="shared" si="8"/>
        <v>1</v>
      </c>
      <c r="G28" s="77">
        <f t="shared" si="8"/>
        <v>1</v>
      </c>
      <c r="H28" s="77">
        <f t="shared" si="8"/>
        <v>1</v>
      </c>
      <c r="I28" s="77">
        <f t="shared" si="8"/>
        <v>1</v>
      </c>
      <c r="J28" s="77">
        <f t="shared" si="8"/>
        <v>1</v>
      </c>
      <c r="K28" s="77">
        <f t="shared" si="8"/>
        <v>1</v>
      </c>
      <c r="L28" s="77">
        <f t="shared" si="8"/>
        <v>1</v>
      </c>
      <c r="M28" s="77">
        <f t="shared" si="8"/>
        <v>1</v>
      </c>
      <c r="N28" s="77">
        <f t="shared" si="8"/>
        <v>1</v>
      </c>
      <c r="O28" s="77">
        <f t="shared" si="8"/>
        <v>1</v>
      </c>
      <c r="P28" s="77">
        <f t="shared" si="8"/>
        <v>1</v>
      </c>
      <c r="Q28" s="77">
        <f t="shared" si="8"/>
        <v>1</v>
      </c>
      <c r="R28" s="77">
        <f t="shared" si="8"/>
        <v>1</v>
      </c>
      <c r="S28" s="77">
        <f t="shared" si="8"/>
        <v>1</v>
      </c>
      <c r="T28" s="77">
        <f t="shared" si="8"/>
        <v>1</v>
      </c>
      <c r="U28" s="77">
        <f t="shared" si="8"/>
        <v>1</v>
      </c>
      <c r="V28" s="77">
        <f t="shared" ref="V28:W28" si="9">IF(V4=0,0,V4/V$3)</f>
        <v>1</v>
      </c>
      <c r="W28" s="77">
        <f t="shared" si="9"/>
        <v>1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0</v>
      </c>
      <c r="C29" s="78">
        <f t="shared" si="10"/>
        <v>0</v>
      </c>
      <c r="D29" s="78">
        <f t="shared" si="10"/>
        <v>0</v>
      </c>
      <c r="E29" s="78">
        <f t="shared" si="10"/>
        <v>0</v>
      </c>
      <c r="F29" s="78">
        <f t="shared" si="10"/>
        <v>0</v>
      </c>
      <c r="G29" s="78">
        <f t="shared" si="10"/>
        <v>0</v>
      </c>
      <c r="H29" s="78">
        <f t="shared" si="10"/>
        <v>0</v>
      </c>
      <c r="I29" s="78">
        <f t="shared" si="10"/>
        <v>0</v>
      </c>
      <c r="J29" s="78">
        <f t="shared" si="10"/>
        <v>0</v>
      </c>
      <c r="K29" s="78">
        <f t="shared" si="10"/>
        <v>0</v>
      </c>
      <c r="L29" s="78">
        <f t="shared" si="10"/>
        <v>0</v>
      </c>
      <c r="M29" s="78">
        <f t="shared" si="10"/>
        <v>0</v>
      </c>
      <c r="N29" s="78">
        <f t="shared" si="10"/>
        <v>0</v>
      </c>
      <c r="O29" s="78">
        <f t="shared" si="10"/>
        <v>0</v>
      </c>
      <c r="P29" s="78">
        <f t="shared" si="10"/>
        <v>0</v>
      </c>
      <c r="Q29" s="78">
        <f t="shared" si="10"/>
        <v>0</v>
      </c>
      <c r="R29" s="78">
        <f t="shared" si="10"/>
        <v>0</v>
      </c>
      <c r="S29" s="78">
        <f t="shared" si="10"/>
        <v>0</v>
      </c>
      <c r="T29" s="78">
        <f t="shared" si="10"/>
        <v>0</v>
      </c>
      <c r="U29" s="78">
        <f t="shared" si="10"/>
        <v>0</v>
      </c>
      <c r="V29" s="78">
        <f t="shared" ref="V29:W29" si="11">IF(V10=0,0,V10/V$3)</f>
        <v>0</v>
      </c>
      <c r="W29" s="78">
        <f t="shared" si="11"/>
        <v>0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1575.9593658000001</v>
      </c>
      <c r="C3" s="54">
        <f t="shared" ref="C3:V3" si="1">SUM(C4:C5)</f>
        <v>2146.80488724</v>
      </c>
      <c r="D3" s="54">
        <f t="shared" si="1"/>
        <v>1936.4087998800001</v>
      </c>
      <c r="E3" s="54">
        <f t="shared" si="1"/>
        <v>1915.9261192800002</v>
      </c>
      <c r="F3" s="54">
        <f t="shared" si="1"/>
        <v>2153.99033676</v>
      </c>
      <c r="G3" s="54">
        <f t="shared" si="1"/>
        <v>2064.4952954399996</v>
      </c>
      <c r="H3" s="54">
        <f t="shared" si="1"/>
        <v>2263.2740722799999</v>
      </c>
      <c r="I3" s="54">
        <f t="shared" si="1"/>
        <v>2114.0520026400004</v>
      </c>
      <c r="J3" s="54">
        <f t="shared" si="1"/>
        <v>1897.6389620400003</v>
      </c>
      <c r="K3" s="54">
        <f t="shared" si="1"/>
        <v>2815.4047510800006</v>
      </c>
      <c r="L3" s="54">
        <f t="shared" si="1"/>
        <v>2285.8066782000001</v>
      </c>
      <c r="M3" s="54">
        <f t="shared" si="1"/>
        <v>1634.7978327599999</v>
      </c>
      <c r="N3" s="54">
        <f t="shared" si="1"/>
        <v>1674.4413020400002</v>
      </c>
      <c r="O3" s="54">
        <f t="shared" si="1"/>
        <v>1370.0022598799999</v>
      </c>
      <c r="P3" s="54">
        <f t="shared" si="1"/>
        <v>1426.2153310799999</v>
      </c>
      <c r="Q3" s="54">
        <f t="shared" si="1"/>
        <v>1700.6044780800003</v>
      </c>
      <c r="R3" s="54">
        <f t="shared" si="1"/>
        <v>1767.1978817999998</v>
      </c>
      <c r="S3" s="54">
        <f t="shared" si="1"/>
        <v>1812.0262388400004</v>
      </c>
      <c r="T3" s="54">
        <f t="shared" si="1"/>
        <v>1956.1603579199998</v>
      </c>
      <c r="U3" s="54">
        <f t="shared" si="1"/>
        <v>2033.9111037600005</v>
      </c>
      <c r="V3" s="54">
        <f t="shared" si="1"/>
        <v>1636.2640292399997</v>
      </c>
      <c r="W3" s="54">
        <f t="shared" ref="W3" si="2">SUM(W4:W5)</f>
        <v>1822.7121386400001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1575.9593658000001</v>
      </c>
      <c r="C4" s="56">
        <v>2146.80488724</v>
      </c>
      <c r="D4" s="56">
        <v>1936.4087998800001</v>
      </c>
      <c r="E4" s="56">
        <v>1915.9261192800002</v>
      </c>
      <c r="F4" s="56">
        <v>2153.99033676</v>
      </c>
      <c r="G4" s="56">
        <v>2064.4952954399996</v>
      </c>
      <c r="H4" s="56">
        <v>2263.2740722799999</v>
      </c>
      <c r="I4" s="56">
        <v>2114.0520026400004</v>
      </c>
      <c r="J4" s="56">
        <v>1897.6389620400003</v>
      </c>
      <c r="K4" s="56">
        <v>2815.4047510800006</v>
      </c>
      <c r="L4" s="56">
        <v>2285.8066782000001</v>
      </c>
      <c r="M4" s="56">
        <v>1634.7978327599999</v>
      </c>
      <c r="N4" s="56">
        <v>1674.4413020400002</v>
      </c>
      <c r="O4" s="56">
        <v>1370.0022598799999</v>
      </c>
      <c r="P4" s="56">
        <v>1426.2153310799999</v>
      </c>
      <c r="Q4" s="56">
        <v>1700.6044780800003</v>
      </c>
      <c r="R4" s="56">
        <v>1767.1978817999998</v>
      </c>
      <c r="S4" s="56">
        <v>1812.0262388400004</v>
      </c>
      <c r="T4" s="56">
        <v>1956.1603579199998</v>
      </c>
      <c r="U4" s="56">
        <v>2033.9111037600005</v>
      </c>
      <c r="V4" s="56">
        <v>1636.2640292399997</v>
      </c>
      <c r="W4" s="56">
        <v>1822.7121386400001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3.165619357976992</v>
      </c>
      <c r="C9" s="79">
        <f>IF(C3=0,0,C3/TrNavi_ene!C3)</f>
        <v>3.1683328947194629</v>
      </c>
      <c r="D9" s="79">
        <f>IF(D3=0,0,D3/TrNavi_ene!D3)</f>
        <v>3.1640684446465053</v>
      </c>
      <c r="E9" s="79">
        <f>IF(E3=0,0,E3/TrNavi_ene!E3)</f>
        <v>3.1699159952453728</v>
      </c>
      <c r="F9" s="79">
        <f>IF(F3=0,0,F3/TrNavi_ene!F3)</f>
        <v>3.1761382672528806</v>
      </c>
      <c r="G9" s="79">
        <f>IF(G3=0,0,G3/TrNavi_ene!G3)</f>
        <v>3.1691363170148921</v>
      </c>
      <c r="H9" s="79">
        <f>IF(H3=0,0,H3/TrNavi_ene!H3)</f>
        <v>3.1694436205729422</v>
      </c>
      <c r="I9" s="79">
        <f>IF(I3=0,0,I3/TrNavi_ene!I3)</f>
        <v>3.1724419084778326</v>
      </c>
      <c r="J9" s="79">
        <f>IF(J3=0,0,J3/TrNavi_ene!J3)</f>
        <v>3.1673969094239411</v>
      </c>
      <c r="K9" s="79">
        <f>IF(K3=0,0,K3/TrNavi_ene!K3)</f>
        <v>3.1968456068612889</v>
      </c>
      <c r="L9" s="79">
        <f>IF(L3=0,0,L3/TrNavi_ene!L3)</f>
        <v>3.1874583392543991</v>
      </c>
      <c r="M9" s="79">
        <f>IF(M3=0,0,M3/TrNavi_ene!M3)</f>
        <v>3.1705147619789678</v>
      </c>
      <c r="N9" s="79">
        <f>IF(N3=0,0,N3/TrNavi_ene!N3)</f>
        <v>3.1881212475128118</v>
      </c>
      <c r="O9" s="79">
        <f>IF(O3=0,0,O3/TrNavi_ene!O3)</f>
        <v>3.1821346280937144</v>
      </c>
      <c r="P9" s="79">
        <f>IF(P3=0,0,P3/TrNavi_ene!P3)</f>
        <v>3.175705463653054</v>
      </c>
      <c r="Q9" s="79">
        <f>IF(Q3=0,0,Q3/TrNavi_ene!Q3)</f>
        <v>3.1829602418760286</v>
      </c>
      <c r="R9" s="79">
        <f>IF(R3=0,0,R3/TrNavi_ene!R3)</f>
        <v>3.1736154482502932</v>
      </c>
      <c r="S9" s="79">
        <f>IF(S3=0,0,S3/TrNavi_ene!S3)</f>
        <v>3.1759253189673622</v>
      </c>
      <c r="T9" s="79">
        <f>IF(T3=0,0,T3/TrNavi_ene!T3)</f>
        <v>3.1773470651499482</v>
      </c>
      <c r="U9" s="79">
        <f>IF(U3=0,0,U3/TrNavi_ene!U3)</f>
        <v>3.1743934123257964</v>
      </c>
      <c r="V9" s="79">
        <f>IF(V3=0,0,V3/TrNavi_ene!V3)</f>
        <v>3.1784635743905012</v>
      </c>
      <c r="W9" s="79">
        <f>IF(W3=0,0,W3/TrNavi_ene!W3)</f>
        <v>3.171843260160057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3.165619357976992</v>
      </c>
      <c r="C10" s="80">
        <f>IF(C4=0,0,C4/TrNavi_ene!C4)</f>
        <v>3.1683328947194629</v>
      </c>
      <c r="D10" s="80">
        <f>IF(D4=0,0,D4/TrNavi_ene!D4)</f>
        <v>3.1640684446465053</v>
      </c>
      <c r="E10" s="80">
        <f>IF(E4=0,0,E4/TrNavi_ene!E4)</f>
        <v>3.1699159952453728</v>
      </c>
      <c r="F10" s="80">
        <f>IF(F4=0,0,F4/TrNavi_ene!F4)</f>
        <v>3.1761382672528806</v>
      </c>
      <c r="G10" s="80">
        <f>IF(G4=0,0,G4/TrNavi_ene!G4)</f>
        <v>3.1691363170148921</v>
      </c>
      <c r="H10" s="80">
        <f>IF(H4=0,0,H4/TrNavi_ene!H4)</f>
        <v>3.1694436205729422</v>
      </c>
      <c r="I10" s="80">
        <f>IF(I4=0,0,I4/TrNavi_ene!I4)</f>
        <v>3.1724419084778326</v>
      </c>
      <c r="J10" s="80">
        <f>IF(J4=0,0,J4/TrNavi_ene!J4)</f>
        <v>3.1673969094239411</v>
      </c>
      <c r="K10" s="80">
        <f>IF(K4=0,0,K4/TrNavi_ene!K4)</f>
        <v>3.1968456068612889</v>
      </c>
      <c r="L10" s="80">
        <f>IF(L4=0,0,L4/TrNavi_ene!L4)</f>
        <v>3.1874583392543991</v>
      </c>
      <c r="M10" s="80">
        <f>IF(M4=0,0,M4/TrNavi_ene!M4)</f>
        <v>3.1705147619789678</v>
      </c>
      <c r="N10" s="80">
        <f>IF(N4=0,0,N4/TrNavi_ene!N4)</f>
        <v>3.1881212475128118</v>
      </c>
      <c r="O10" s="80">
        <f>IF(O4=0,0,O4/TrNavi_ene!O4)</f>
        <v>3.1821346280937144</v>
      </c>
      <c r="P10" s="80">
        <f>IF(P4=0,0,P4/TrNavi_ene!P4)</f>
        <v>3.175705463653054</v>
      </c>
      <c r="Q10" s="80">
        <f>IF(Q4=0,0,Q4/TrNavi_ene!Q4)</f>
        <v>3.1829602418760286</v>
      </c>
      <c r="R10" s="80">
        <f>IF(R4=0,0,R4/TrNavi_ene!R4)</f>
        <v>3.1736154482502932</v>
      </c>
      <c r="S10" s="80">
        <f>IF(S4=0,0,S4/TrNavi_ene!S4)</f>
        <v>3.1759253189673622</v>
      </c>
      <c r="T10" s="80">
        <f>IF(T4=0,0,T4/TrNavi_ene!T4)</f>
        <v>3.1773470651499482</v>
      </c>
      <c r="U10" s="80">
        <f>IF(U4=0,0,U4/TrNavi_ene!U4)</f>
        <v>3.1743934123257964</v>
      </c>
      <c r="V10" s="80">
        <f>IF(V4=0,0,V4/TrNavi_ene!V4)</f>
        <v>3.1784635743905012</v>
      </c>
      <c r="W10" s="80">
        <f>IF(W4=0,0,W4/TrNavi_ene!W4)</f>
        <v>3.171843260160057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0</v>
      </c>
      <c r="C11" s="81">
        <f>IF(C5=0,0,C5/TrNavi_ene!C10)</f>
        <v>0</v>
      </c>
      <c r="D11" s="81">
        <f>IF(D5=0,0,D5/TrNavi_ene!D10)</f>
        <v>0</v>
      </c>
      <c r="E11" s="81">
        <f>IF(E5=0,0,E5/TrNavi_ene!E10)</f>
        <v>0</v>
      </c>
      <c r="F11" s="81">
        <f>IF(F5=0,0,F5/TrNavi_ene!F10)</f>
        <v>0</v>
      </c>
      <c r="G11" s="81">
        <f>IF(G5=0,0,G5/TrNavi_ene!G10)</f>
        <v>0</v>
      </c>
      <c r="H11" s="81">
        <f>IF(H5=0,0,H5/TrNavi_ene!H10)</f>
        <v>0</v>
      </c>
      <c r="I11" s="81">
        <f>IF(I5=0,0,I5/TrNavi_ene!I10)</f>
        <v>0</v>
      </c>
      <c r="J11" s="81">
        <f>IF(J5=0,0,J5/TrNavi_ene!J10)</f>
        <v>0</v>
      </c>
      <c r="K11" s="81">
        <f>IF(K5=0,0,K5/TrNavi_ene!K10)</f>
        <v>0</v>
      </c>
      <c r="L11" s="81">
        <f>IF(L5=0,0,L5/TrNavi_ene!L10)</f>
        <v>0</v>
      </c>
      <c r="M11" s="81">
        <f>IF(M5=0,0,M5/TrNavi_ene!M10)</f>
        <v>0</v>
      </c>
      <c r="N11" s="81">
        <f>IF(N5=0,0,N5/TrNavi_ene!N10)</f>
        <v>0</v>
      </c>
      <c r="O11" s="81">
        <f>IF(O5=0,0,O5/TrNavi_ene!O10)</f>
        <v>0</v>
      </c>
      <c r="P11" s="81">
        <f>IF(P5=0,0,P5/TrNavi_ene!P10)</f>
        <v>0</v>
      </c>
      <c r="Q11" s="81">
        <f>IF(Q5=0,0,Q5/TrNavi_ene!Q10)</f>
        <v>0</v>
      </c>
      <c r="R11" s="81">
        <f>IF(R5=0,0,R5/TrNavi_ene!R10)</f>
        <v>0</v>
      </c>
      <c r="S11" s="81">
        <f>IF(S5=0,0,S5/TrNavi_ene!S10)</f>
        <v>0</v>
      </c>
      <c r="T11" s="81">
        <f>IF(T5=0,0,T5/TrNavi_ene!T10)</f>
        <v>0</v>
      </c>
      <c r="U11" s="81">
        <f>IF(U5=0,0,U5/TrNavi_ene!U10)</f>
        <v>0</v>
      </c>
      <c r="V11" s="81">
        <f>IF(V5=0,0,V5/TrNavi_ene!V10)</f>
        <v>0</v>
      </c>
      <c r="W11" s="81">
        <f>IF(W5=0,0,W5/TrNavi_ene!W10)</f>
        <v>0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260920.42480132455</v>
      </c>
      <c r="C13" s="54">
        <f>IF(C3=0,0,C3/TrNavi_act!C7*1000)</f>
        <v>538451.1881715575</v>
      </c>
      <c r="D13" s="54">
        <f>IF(D3=0,0,D3/TrNavi_act!D7*1000)</f>
        <v>454342.74985452846</v>
      </c>
      <c r="E13" s="54">
        <f>IF(E3=0,0,E3/TrNavi_act!E7*1000)</f>
        <v>372675.7672203852</v>
      </c>
      <c r="F13" s="54">
        <f>IF(F3=0,0,F3/TrNavi_act!F7*1000)</f>
        <v>386782.24757766206</v>
      </c>
      <c r="G13" s="54">
        <f>IF(G3=0,0,G3/TrNavi_act!G7*1000)</f>
        <v>399863.5087042416</v>
      </c>
      <c r="H13" s="54">
        <f>IF(H3=0,0,H3/TrNavi_act!H7*1000)</f>
        <v>380318.27798353217</v>
      </c>
      <c r="I13" s="54">
        <f>IF(I3=0,0,I3/TrNavi_act!I7*1000)</f>
        <v>331876.29554788076</v>
      </c>
      <c r="J13" s="54">
        <f>IF(J3=0,0,J3/TrNavi_act!J7*1000)</f>
        <v>351349.5578670617</v>
      </c>
      <c r="K13" s="54">
        <f>IF(K3=0,0,K3/TrNavi_act!K7*1000)</f>
        <v>509575.52055746614</v>
      </c>
      <c r="L13" s="54">
        <f>IF(L3=0,0,L3/TrNavi_act!L7*1000)</f>
        <v>539232.52611464961</v>
      </c>
      <c r="M13" s="54">
        <f>IF(M3=0,0,M3/TrNavi_act!M7*1000)</f>
        <v>385474.612770573</v>
      </c>
      <c r="N13" s="54">
        <f>IF(N3=0,0,N3/TrNavi_act!N7*1000)</f>
        <v>421667.41426340974</v>
      </c>
      <c r="O13" s="54">
        <f>IF(O3=0,0,O3/TrNavi_act!O7*1000)</f>
        <v>339950.93297270464</v>
      </c>
      <c r="P13" s="54">
        <f>IF(P3=0,0,P3/TrNavi_act!P7*1000)</f>
        <v>350938.81178149604</v>
      </c>
      <c r="Q13" s="54">
        <f>IF(Q3=0,0,Q3/TrNavi_act!Q7*1000)</f>
        <v>370663.57412380126</v>
      </c>
      <c r="R13" s="54">
        <f>IF(R3=0,0,R3/TrNavi_act!R7*1000)</f>
        <v>413669.91615168529</v>
      </c>
      <c r="S13" s="54">
        <f>IF(S3=0,0,S3/TrNavi_act!S7*1000)</f>
        <v>425958.21317348391</v>
      </c>
      <c r="T13" s="54">
        <f>IF(T3=0,0,T3/TrNavi_act!T7*1000)</f>
        <v>465530.78484531172</v>
      </c>
      <c r="U13" s="54">
        <f>IF(U3=0,0,U3/TrNavi_act!U7*1000)</f>
        <v>482770.25961547601</v>
      </c>
      <c r="V13" s="54">
        <f>IF(V3=0,0,V3/TrNavi_act!V7*1000)</f>
        <v>440922.67023443809</v>
      </c>
      <c r="W13" s="54">
        <f>IF(W3=0,0,W3/TrNavi_act!W7*1000)</f>
        <v>504068.62241150445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260920.42480132455</v>
      </c>
      <c r="C14" s="56">
        <f>IF(C4=0,0,C4/TrNavi_act!C8*1000)</f>
        <v>538451.1881715575</v>
      </c>
      <c r="D14" s="56">
        <f>IF(D4=0,0,D4/TrNavi_act!D8*1000)</f>
        <v>454342.74985452846</v>
      </c>
      <c r="E14" s="56">
        <f>IF(E4=0,0,E4/TrNavi_act!E8*1000)</f>
        <v>372675.7672203852</v>
      </c>
      <c r="F14" s="56">
        <f>IF(F4=0,0,F4/TrNavi_act!F8*1000)</f>
        <v>386782.24757766206</v>
      </c>
      <c r="G14" s="56">
        <f>IF(G4=0,0,G4/TrNavi_act!G8*1000)</f>
        <v>399863.5087042416</v>
      </c>
      <c r="H14" s="56">
        <f>IF(H4=0,0,H4/TrNavi_act!H8*1000)</f>
        <v>380318.27798353217</v>
      </c>
      <c r="I14" s="56">
        <f>IF(I4=0,0,I4/TrNavi_act!I8*1000)</f>
        <v>331876.29554788076</v>
      </c>
      <c r="J14" s="56">
        <f>IF(J4=0,0,J4/TrNavi_act!J8*1000)</f>
        <v>351349.5578670617</v>
      </c>
      <c r="K14" s="56">
        <f>IF(K4=0,0,K4/TrNavi_act!K8*1000)</f>
        <v>509575.52055746614</v>
      </c>
      <c r="L14" s="56">
        <f>IF(L4=0,0,L4/TrNavi_act!L8*1000)</f>
        <v>539232.52611464961</v>
      </c>
      <c r="M14" s="56">
        <f>IF(M4=0,0,M4/TrNavi_act!M8*1000)</f>
        <v>385474.612770573</v>
      </c>
      <c r="N14" s="56">
        <f>IF(N4=0,0,N4/TrNavi_act!N8*1000)</f>
        <v>421667.41426340974</v>
      </c>
      <c r="O14" s="56">
        <f>IF(O4=0,0,O4/TrNavi_act!O8*1000)</f>
        <v>339950.93297270464</v>
      </c>
      <c r="P14" s="56">
        <f>IF(P4=0,0,P4/TrNavi_act!P8*1000)</f>
        <v>350938.81178149604</v>
      </c>
      <c r="Q14" s="56">
        <f>IF(Q4=0,0,Q4/TrNavi_act!Q8*1000)</f>
        <v>370663.57412380126</v>
      </c>
      <c r="R14" s="56">
        <f>IF(R4=0,0,R4/TrNavi_act!R8*1000)</f>
        <v>413669.91615168529</v>
      </c>
      <c r="S14" s="56">
        <f>IF(S4=0,0,S4/TrNavi_act!S8*1000)</f>
        <v>425958.21317348391</v>
      </c>
      <c r="T14" s="56">
        <f>IF(T4=0,0,T4/TrNavi_act!T8*1000)</f>
        <v>465530.78484531172</v>
      </c>
      <c r="U14" s="56">
        <f>IF(U4=0,0,U4/TrNavi_act!U8*1000)</f>
        <v>482770.25961547601</v>
      </c>
      <c r="V14" s="56">
        <f>IF(V4=0,0,V4/TrNavi_act!V8*1000)</f>
        <v>440922.67023443809</v>
      </c>
      <c r="W14" s="56">
        <f>IF(W4=0,0,W4/TrNavi_act!W8*1000)</f>
        <v>504068.62241150445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0</v>
      </c>
      <c r="C15" s="58">
        <f>IF(C5=0,0,C5/TrNavi_act!C9*1000)</f>
        <v>0</v>
      </c>
      <c r="D15" s="58">
        <f>IF(D5=0,0,D5/TrNavi_act!D9*1000)</f>
        <v>0</v>
      </c>
      <c r="E15" s="58">
        <f>IF(E5=0,0,E5/TrNavi_act!E9*1000)</f>
        <v>0</v>
      </c>
      <c r="F15" s="58">
        <f>IF(F5=0,0,F5/TrNavi_act!F9*1000)</f>
        <v>0</v>
      </c>
      <c r="G15" s="58">
        <f>IF(G5=0,0,G5/TrNavi_act!G9*1000)</f>
        <v>0</v>
      </c>
      <c r="H15" s="58">
        <f>IF(H5=0,0,H5/TrNavi_act!H9*1000)</f>
        <v>0</v>
      </c>
      <c r="I15" s="58">
        <f>IF(I5=0,0,I5/TrNavi_act!I9*1000)</f>
        <v>0</v>
      </c>
      <c r="J15" s="58">
        <f>IF(J5=0,0,J5/TrNavi_act!J9*1000)</f>
        <v>0</v>
      </c>
      <c r="K15" s="58">
        <f>IF(K5=0,0,K5/TrNavi_act!K9*1000)</f>
        <v>0</v>
      </c>
      <c r="L15" s="58">
        <f>IF(L5=0,0,L5/TrNavi_act!L9*1000)</f>
        <v>0</v>
      </c>
      <c r="M15" s="58">
        <f>IF(M5=0,0,M5/TrNavi_act!M9*1000)</f>
        <v>0</v>
      </c>
      <c r="N15" s="58">
        <f>IF(N5=0,0,N5/TrNavi_act!N9*1000)</f>
        <v>0</v>
      </c>
      <c r="O15" s="58">
        <f>IF(O5=0,0,O5/TrNavi_act!O9*1000)</f>
        <v>0</v>
      </c>
      <c r="P15" s="58">
        <f>IF(P5=0,0,P5/TrNavi_act!P9*1000)</f>
        <v>0</v>
      </c>
      <c r="Q15" s="58">
        <f>IF(Q5=0,0,Q5/TrNavi_act!Q9*1000)</f>
        <v>0</v>
      </c>
      <c r="R15" s="58">
        <f>IF(R5=0,0,R5/TrNavi_act!R9*1000)</f>
        <v>0</v>
      </c>
      <c r="S15" s="58">
        <f>IF(S5=0,0,S5/TrNavi_act!S9*1000)</f>
        <v>0</v>
      </c>
      <c r="T15" s="58">
        <f>IF(T5=0,0,T5/TrNavi_act!T9*1000)</f>
        <v>0</v>
      </c>
      <c r="U15" s="58">
        <f>IF(U5=0,0,U5/TrNavi_act!U9*1000)</f>
        <v>0</v>
      </c>
      <c r="V15" s="58">
        <f>IF(V5=0,0,V5/TrNavi_act!V9*1000)</f>
        <v>0</v>
      </c>
      <c r="W15" s="58">
        <f>IF(W5=0,0,W5/TrNavi_act!W9*1000)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141.91488145569522</v>
      </c>
      <c r="C17" s="62">
        <f>IF(C3=0,0,C3/TrNavi_act!C3*1000)</f>
        <v>479.59532666828113</v>
      </c>
      <c r="D17" s="62">
        <f>IF(D3=0,0,D3/TrNavi_act!D3*1000)</f>
        <v>335.71266841121803</v>
      </c>
      <c r="E17" s="62">
        <f>IF(E3=0,0,E3/TrNavi_act!E3*1000)</f>
        <v>278.47034805484742</v>
      </c>
      <c r="F17" s="62">
        <f>IF(F3=0,0,F3/TrNavi_act!F3*1000)</f>
        <v>322.60673654413847</v>
      </c>
      <c r="G17" s="62">
        <f>IF(G3=0,0,G3/TrNavi_act!G3*1000)</f>
        <v>334.55530626505458</v>
      </c>
      <c r="H17" s="62">
        <f>IF(H3=0,0,H3/TrNavi_act!H3*1000)</f>
        <v>355.884037094885</v>
      </c>
      <c r="I17" s="62">
        <f>IF(I3=0,0,I3/TrNavi_act!I3*1000)</f>
        <v>325.70457729084558</v>
      </c>
      <c r="J17" s="62">
        <f>IF(J3=0,0,J3/TrNavi_act!J3*1000)</f>
        <v>328.35861818816073</v>
      </c>
      <c r="K17" s="62">
        <f>IF(K3=0,0,K3/TrNavi_act!K3*1000)</f>
        <v>547.99647056922913</v>
      </c>
      <c r="L17" s="62">
        <f>IF(L3=0,0,L3/TrNavi_act!L3*1000)</f>
        <v>490.243454170907</v>
      </c>
      <c r="M17" s="62">
        <f>IF(M3=0,0,M3/TrNavi_act!M3*1000)</f>
        <v>348.41926665618081</v>
      </c>
      <c r="N17" s="62">
        <f>IF(N3=0,0,N3/TrNavi_act!N3*1000)</f>
        <v>350.35496041969589</v>
      </c>
      <c r="O17" s="62">
        <f>IF(O3=0,0,O3/TrNavi_act!O3*1000)</f>
        <v>280.37523146369745</v>
      </c>
      <c r="P17" s="62">
        <f>IF(P3=0,0,P3/TrNavi_act!P3*1000)</f>
        <v>292.02332211349557</v>
      </c>
      <c r="Q17" s="62">
        <f>IF(Q3=0,0,Q3/TrNavi_act!Q3*1000)</f>
        <v>311.31441264776004</v>
      </c>
      <c r="R17" s="62">
        <f>IF(R3=0,0,R3/TrNavi_act!R3*1000)</f>
        <v>333.05777289021069</v>
      </c>
      <c r="S17" s="62">
        <f>IF(S3=0,0,S3/TrNavi_act!S3*1000)</f>
        <v>339.29187120127813</v>
      </c>
      <c r="T17" s="62">
        <f>IF(T3=0,0,T3/TrNavi_act!T3*1000)</f>
        <v>358.71696176236617</v>
      </c>
      <c r="U17" s="62">
        <f>IF(U3=0,0,U3/TrNavi_act!U3*1000)</f>
        <v>366.83280742528035</v>
      </c>
      <c r="V17" s="62">
        <f>IF(V3=0,0,V3/TrNavi_act!V3*1000)</f>
        <v>346.81526784612868</v>
      </c>
      <c r="W17" s="62">
        <f>IF(W3=0,0,W3/TrNavi_act!W3*1000)</f>
        <v>376.72184497607657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141.91488145569522</v>
      </c>
      <c r="C18" s="63">
        <f>IF(C4=0,0,C4/TrNavi_act!C4*1000)</f>
        <v>479.59532666828113</v>
      </c>
      <c r="D18" s="63">
        <f>IF(D4=0,0,D4/TrNavi_act!D4*1000)</f>
        <v>335.71266841121803</v>
      </c>
      <c r="E18" s="63">
        <f>IF(E4=0,0,E4/TrNavi_act!E4*1000)</f>
        <v>278.47034805484742</v>
      </c>
      <c r="F18" s="63">
        <f>IF(F4=0,0,F4/TrNavi_act!F4*1000)</f>
        <v>322.60673654413847</v>
      </c>
      <c r="G18" s="63">
        <f>IF(G4=0,0,G4/TrNavi_act!G4*1000)</f>
        <v>334.55530626505458</v>
      </c>
      <c r="H18" s="63">
        <f>IF(H4=0,0,H4/TrNavi_act!H4*1000)</f>
        <v>355.884037094885</v>
      </c>
      <c r="I18" s="63">
        <f>IF(I4=0,0,I4/TrNavi_act!I4*1000)</f>
        <v>325.70457729084558</v>
      </c>
      <c r="J18" s="63">
        <f>IF(J4=0,0,J4/TrNavi_act!J4*1000)</f>
        <v>328.35861818816073</v>
      </c>
      <c r="K18" s="63">
        <f>IF(K4=0,0,K4/TrNavi_act!K4*1000)</f>
        <v>547.99647056922913</v>
      </c>
      <c r="L18" s="63">
        <f>IF(L4=0,0,L4/TrNavi_act!L4*1000)</f>
        <v>490.243454170907</v>
      </c>
      <c r="M18" s="63">
        <f>IF(M4=0,0,M4/TrNavi_act!M4*1000)</f>
        <v>348.41926665618081</v>
      </c>
      <c r="N18" s="63">
        <f>IF(N4=0,0,N4/TrNavi_act!N4*1000)</f>
        <v>350.35496041969589</v>
      </c>
      <c r="O18" s="63">
        <f>IF(O4=0,0,O4/TrNavi_act!O4*1000)</f>
        <v>280.37523146369745</v>
      </c>
      <c r="P18" s="63">
        <f>IF(P4=0,0,P4/TrNavi_act!P4*1000)</f>
        <v>292.02332211349557</v>
      </c>
      <c r="Q18" s="63">
        <f>IF(Q4=0,0,Q4/TrNavi_act!Q4*1000)</f>
        <v>311.31441264776004</v>
      </c>
      <c r="R18" s="63">
        <f>IF(R4=0,0,R4/TrNavi_act!R4*1000)</f>
        <v>333.05777289021069</v>
      </c>
      <c r="S18" s="63">
        <f>IF(S4=0,0,S4/TrNavi_act!S4*1000)</f>
        <v>339.29187120127813</v>
      </c>
      <c r="T18" s="63">
        <f>IF(T4=0,0,T4/TrNavi_act!T4*1000)</f>
        <v>358.71696176236617</v>
      </c>
      <c r="U18" s="63">
        <f>IF(U4=0,0,U4/TrNavi_act!U4*1000)</f>
        <v>366.83280742528035</v>
      </c>
      <c r="V18" s="63">
        <f>IF(V4=0,0,V4/TrNavi_act!V4*1000)</f>
        <v>346.81526784612868</v>
      </c>
      <c r="W18" s="63">
        <f>IF(W4=0,0,W4/TrNavi_act!W4*1000)</f>
        <v>376.72184497607657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0</v>
      </c>
      <c r="C19" s="64">
        <f>IF(C5=0,0,C5/TrNavi_act!C5*1000)</f>
        <v>0</v>
      </c>
      <c r="D19" s="64">
        <f>IF(D5=0,0,D5/TrNavi_act!D5*1000)</f>
        <v>0</v>
      </c>
      <c r="E19" s="64">
        <f>IF(E5=0,0,E5/TrNavi_act!E5*1000)</f>
        <v>0</v>
      </c>
      <c r="F19" s="64">
        <f>IF(F5=0,0,F5/TrNavi_act!F5*1000)</f>
        <v>0</v>
      </c>
      <c r="G19" s="64">
        <f>IF(G5=0,0,G5/TrNavi_act!G5*1000)</f>
        <v>0</v>
      </c>
      <c r="H19" s="64">
        <f>IF(H5=0,0,H5/TrNavi_act!H5*1000)</f>
        <v>0</v>
      </c>
      <c r="I19" s="64">
        <f>IF(I5=0,0,I5/TrNavi_act!I5*1000)</f>
        <v>0</v>
      </c>
      <c r="J19" s="64">
        <f>IF(J5=0,0,J5/TrNavi_act!J5*1000)</f>
        <v>0</v>
      </c>
      <c r="K19" s="64">
        <f>IF(K5=0,0,K5/TrNavi_act!K5*1000)</f>
        <v>0</v>
      </c>
      <c r="L19" s="64">
        <f>IF(L5=0,0,L5/TrNavi_act!L5*1000)</f>
        <v>0</v>
      </c>
      <c r="M19" s="64">
        <f>IF(M5=0,0,M5/TrNavi_act!M5*1000)</f>
        <v>0</v>
      </c>
      <c r="N19" s="64">
        <f>IF(N5=0,0,N5/TrNavi_act!N5*1000)</f>
        <v>0</v>
      </c>
      <c r="O19" s="64">
        <f>IF(O5=0,0,O5/TrNavi_act!O5*1000)</f>
        <v>0</v>
      </c>
      <c r="P19" s="64">
        <f>IF(P5=0,0,P5/TrNavi_act!P5*1000)</f>
        <v>0</v>
      </c>
      <c r="Q19" s="64">
        <f>IF(Q5=0,0,Q5/TrNavi_act!Q5*1000)</f>
        <v>0</v>
      </c>
      <c r="R19" s="64">
        <f>IF(R5=0,0,R5/TrNavi_act!R5*1000)</f>
        <v>0</v>
      </c>
      <c r="S19" s="64">
        <f>IF(S5=0,0,S5/TrNavi_act!S5*1000)</f>
        <v>0</v>
      </c>
      <c r="T19" s="64">
        <f>IF(T5=0,0,T5/TrNavi_act!T5*1000)</f>
        <v>0</v>
      </c>
      <c r="U19" s="64">
        <f>IF(U5=0,0,U5/TrNavi_act!U5*1000)</f>
        <v>0</v>
      </c>
      <c r="V19" s="64">
        <f>IF(V5=0,0,V5/TrNavi_act!V5*1000)</f>
        <v>0</v>
      </c>
      <c r="W19" s="64">
        <f>IF(W5=0,0,W5/TrNavi_act!W5*1000)</f>
        <v>0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1</v>
      </c>
      <c r="C22" s="77">
        <f t="shared" si="5"/>
        <v>1</v>
      </c>
      <c r="D22" s="77">
        <f t="shared" si="5"/>
        <v>1</v>
      </c>
      <c r="E22" s="77">
        <f t="shared" si="5"/>
        <v>1</v>
      </c>
      <c r="F22" s="77">
        <f t="shared" si="5"/>
        <v>1</v>
      </c>
      <c r="G22" s="77">
        <f t="shared" si="5"/>
        <v>1</v>
      </c>
      <c r="H22" s="77">
        <f t="shared" si="5"/>
        <v>1</v>
      </c>
      <c r="I22" s="77">
        <f t="shared" si="5"/>
        <v>1</v>
      </c>
      <c r="J22" s="77">
        <f t="shared" si="5"/>
        <v>1</v>
      </c>
      <c r="K22" s="77">
        <f t="shared" si="5"/>
        <v>1</v>
      </c>
      <c r="L22" s="77">
        <f t="shared" si="5"/>
        <v>1</v>
      </c>
      <c r="M22" s="77">
        <f t="shared" si="5"/>
        <v>1</v>
      </c>
      <c r="N22" s="77">
        <f t="shared" si="5"/>
        <v>1</v>
      </c>
      <c r="O22" s="77">
        <f t="shared" si="5"/>
        <v>1</v>
      </c>
      <c r="P22" s="77">
        <f t="shared" si="5"/>
        <v>1</v>
      </c>
      <c r="Q22" s="77">
        <f t="shared" si="5"/>
        <v>1</v>
      </c>
      <c r="R22" s="77">
        <f t="shared" si="5"/>
        <v>1</v>
      </c>
      <c r="S22" s="77">
        <f t="shared" si="5"/>
        <v>1</v>
      </c>
      <c r="T22" s="77">
        <f t="shared" si="5"/>
        <v>1</v>
      </c>
      <c r="U22" s="77">
        <f t="shared" si="5"/>
        <v>1</v>
      </c>
      <c r="V22" s="77">
        <f t="shared" ref="V22:W22" si="6">IF(V4=0,0,V4/V$3)</f>
        <v>1</v>
      </c>
      <c r="W22" s="77">
        <f t="shared" si="6"/>
        <v>1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0</v>
      </c>
      <c r="C23" s="78">
        <f t="shared" si="7"/>
        <v>0</v>
      </c>
      <c r="D23" s="78">
        <f t="shared" si="7"/>
        <v>0</v>
      </c>
      <c r="E23" s="78">
        <f t="shared" si="7"/>
        <v>0</v>
      </c>
      <c r="F23" s="78">
        <f t="shared" si="7"/>
        <v>0</v>
      </c>
      <c r="G23" s="78">
        <f t="shared" si="7"/>
        <v>0</v>
      </c>
      <c r="H23" s="78">
        <f t="shared" si="7"/>
        <v>0</v>
      </c>
      <c r="I23" s="78">
        <f t="shared" si="7"/>
        <v>0</v>
      </c>
      <c r="J23" s="78">
        <f t="shared" si="7"/>
        <v>0</v>
      </c>
      <c r="K23" s="78">
        <f t="shared" si="7"/>
        <v>0</v>
      </c>
      <c r="L23" s="78">
        <f t="shared" si="7"/>
        <v>0</v>
      </c>
      <c r="M23" s="78">
        <f t="shared" si="7"/>
        <v>0</v>
      </c>
      <c r="N23" s="78">
        <f t="shared" si="7"/>
        <v>0</v>
      </c>
      <c r="O23" s="78">
        <f t="shared" si="7"/>
        <v>0</v>
      </c>
      <c r="P23" s="78">
        <f t="shared" si="7"/>
        <v>0</v>
      </c>
      <c r="Q23" s="78">
        <f t="shared" si="7"/>
        <v>0</v>
      </c>
      <c r="R23" s="78">
        <f t="shared" si="7"/>
        <v>0</v>
      </c>
      <c r="S23" s="78">
        <f t="shared" si="7"/>
        <v>0</v>
      </c>
      <c r="T23" s="78">
        <f t="shared" si="7"/>
        <v>0</v>
      </c>
      <c r="U23" s="78">
        <f t="shared" si="7"/>
        <v>0</v>
      </c>
      <c r="V23" s="78">
        <f t="shared" ref="V23:W23" si="8">IF(V5=0,0,V5/V$3)</f>
        <v>0</v>
      </c>
      <c r="W23" s="78">
        <f t="shared" si="8"/>
        <v>0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76319.078676000005</v>
      </c>
      <c r="C3" s="54">
        <f t="shared" si="0"/>
        <v>107675.05111900001</v>
      </c>
      <c r="D3" s="54">
        <f t="shared" si="0"/>
        <v>113285.97455599999</v>
      </c>
      <c r="E3" s="54">
        <f t="shared" si="0"/>
        <v>128164.97952399999</v>
      </c>
      <c r="F3" s="54">
        <f t="shared" si="0"/>
        <v>129305.38149699999</v>
      </c>
      <c r="G3" s="54">
        <f t="shared" si="0"/>
        <v>128433.737788</v>
      </c>
      <c r="H3" s="54">
        <f t="shared" si="0"/>
        <v>127172.196205</v>
      </c>
      <c r="I3" s="54">
        <f t="shared" si="0"/>
        <v>132434.087486</v>
      </c>
      <c r="J3" s="54">
        <f t="shared" si="0"/>
        <v>110262.345714</v>
      </c>
      <c r="K3" s="54">
        <f t="shared" si="0"/>
        <v>99718.654808000007</v>
      </c>
      <c r="L3" s="54">
        <f t="shared" si="0"/>
        <v>103618.624423</v>
      </c>
      <c r="M3" s="54">
        <f t="shared" si="0"/>
        <v>131568.88694900001</v>
      </c>
      <c r="N3" s="54">
        <f t="shared" si="0"/>
        <v>171151.44077400002</v>
      </c>
      <c r="O3" s="54">
        <f t="shared" si="0"/>
        <v>183469.47256200001</v>
      </c>
      <c r="P3" s="54">
        <f t="shared" si="0"/>
        <v>205875.90151499998</v>
      </c>
      <c r="Q3" s="54">
        <f t="shared" si="0"/>
        <v>207400.26730400001</v>
      </c>
      <c r="R3" s="54">
        <f t="shared" ref="R3:W3" si="1">SUM(R4:R5)</f>
        <v>230327.25884999998</v>
      </c>
      <c r="S3" s="54">
        <f t="shared" si="1"/>
        <v>237025.21445300002</v>
      </c>
      <c r="T3" s="54">
        <f t="shared" si="1"/>
        <v>251975.365548</v>
      </c>
      <c r="U3" s="54">
        <f t="shared" si="1"/>
        <v>268143.911097</v>
      </c>
      <c r="V3" s="54">
        <f t="shared" si="1"/>
        <v>260218.24799499998</v>
      </c>
      <c r="W3" s="54">
        <f t="shared" si="1"/>
        <v>265285.889302</v>
      </c>
      <c r="DA3" s="172" t="s">
        <v>387</v>
      </c>
    </row>
    <row r="4" spans="1:105" ht="11.45" customHeight="1" x14ac:dyDescent="0.25">
      <c r="A4" s="55" t="s">
        <v>170</v>
      </c>
      <c r="B4" s="56">
        <v>42664.711851</v>
      </c>
      <c r="C4" s="56">
        <v>34945.89183</v>
      </c>
      <c r="D4" s="56">
        <v>32645.760199</v>
      </c>
      <c r="E4" s="56">
        <v>39228.227635000003</v>
      </c>
      <c r="F4" s="56">
        <v>35441.027677999999</v>
      </c>
      <c r="G4" s="56">
        <v>32943.818490999998</v>
      </c>
      <c r="H4" s="56">
        <v>29876.122778000001</v>
      </c>
      <c r="I4" s="56">
        <v>36134.745738000005</v>
      </c>
      <c r="J4" s="56">
        <v>33632.609439</v>
      </c>
      <c r="K4" s="56">
        <v>31069.483886000002</v>
      </c>
      <c r="L4" s="56">
        <v>29151.649155999999</v>
      </c>
      <c r="M4" s="56">
        <v>30706.255432000002</v>
      </c>
      <c r="N4" s="56">
        <v>35510.680774</v>
      </c>
      <c r="O4" s="56">
        <v>34505.919642000001</v>
      </c>
      <c r="P4" s="56">
        <v>35867.444308999999</v>
      </c>
      <c r="Q4" s="56">
        <v>37308.703419999998</v>
      </c>
      <c r="R4" s="56">
        <v>39080.819460999999</v>
      </c>
      <c r="S4" s="56">
        <v>40706.587770000006</v>
      </c>
      <c r="T4" s="56">
        <v>43638.737887999996</v>
      </c>
      <c r="U4" s="56">
        <v>48078.052691999997</v>
      </c>
      <c r="V4" s="56">
        <v>45774.340607000006</v>
      </c>
      <c r="W4" s="56">
        <v>46498.824658999998</v>
      </c>
      <c r="DA4" s="181" t="s">
        <v>388</v>
      </c>
    </row>
    <row r="5" spans="1:105" ht="11.45" customHeight="1" x14ac:dyDescent="0.25">
      <c r="A5" s="57" t="s">
        <v>171</v>
      </c>
      <c r="B5" s="58">
        <v>33654.366824999997</v>
      </c>
      <c r="C5" s="58">
        <v>72729.159289000003</v>
      </c>
      <c r="D5" s="58">
        <v>80640.21435699999</v>
      </c>
      <c r="E5" s="58">
        <v>88936.751888999992</v>
      </c>
      <c r="F5" s="58">
        <v>93864.353818999996</v>
      </c>
      <c r="G5" s="58">
        <v>95489.919297</v>
      </c>
      <c r="H5" s="58">
        <v>97296.073426999996</v>
      </c>
      <c r="I5" s="58">
        <v>96299.341748000006</v>
      </c>
      <c r="J5" s="58">
        <v>76629.736275000003</v>
      </c>
      <c r="K5" s="58">
        <v>68649.170922000005</v>
      </c>
      <c r="L5" s="58">
        <v>74466.975267000002</v>
      </c>
      <c r="M5" s="58">
        <v>100862.631517</v>
      </c>
      <c r="N5" s="58">
        <v>135640.76</v>
      </c>
      <c r="O5" s="58">
        <v>148963.55292000002</v>
      </c>
      <c r="P5" s="58">
        <v>170008.45720599999</v>
      </c>
      <c r="Q5" s="58">
        <v>170091.563884</v>
      </c>
      <c r="R5" s="58">
        <v>191246.43938899998</v>
      </c>
      <c r="S5" s="58">
        <v>196318.62668300001</v>
      </c>
      <c r="T5" s="58">
        <v>208336.62766</v>
      </c>
      <c r="U5" s="58">
        <v>220065.85840500001</v>
      </c>
      <c r="V5" s="58">
        <v>214443.90738799999</v>
      </c>
      <c r="W5" s="58">
        <v>218787.06464300002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15.070521000000001</v>
      </c>
      <c r="C7" s="59">
        <f t="shared" si="2"/>
        <v>14.767332</v>
      </c>
      <c r="D7" s="59">
        <f t="shared" si="2"/>
        <v>13.965135</v>
      </c>
      <c r="E7" s="59">
        <f t="shared" si="2"/>
        <v>16.549782</v>
      </c>
      <c r="F7" s="59">
        <f t="shared" si="2"/>
        <v>15.888461999999999</v>
      </c>
      <c r="G7" s="59">
        <f t="shared" si="2"/>
        <v>15.456339000000002</v>
      </c>
      <c r="H7" s="59">
        <f t="shared" si="2"/>
        <v>14.807286999999999</v>
      </c>
      <c r="I7" s="59">
        <f t="shared" si="2"/>
        <v>16.481087000000002</v>
      </c>
      <c r="J7" s="59">
        <f t="shared" si="2"/>
        <v>14.557915999999999</v>
      </c>
      <c r="K7" s="59">
        <f t="shared" si="2"/>
        <v>11.052553</v>
      </c>
      <c r="L7" s="59">
        <f t="shared" si="2"/>
        <v>10.646694</v>
      </c>
      <c r="M7" s="59">
        <f t="shared" si="2"/>
        <v>15.244326000000001</v>
      </c>
      <c r="N7" s="59">
        <f t="shared" si="2"/>
        <v>18.430120000000002</v>
      </c>
      <c r="O7" s="59">
        <f t="shared" si="2"/>
        <v>17.013946000000001</v>
      </c>
      <c r="P7" s="59">
        <f t="shared" si="2"/>
        <v>17.515426999999999</v>
      </c>
      <c r="Q7" s="59">
        <f t="shared" si="2"/>
        <v>16.143355</v>
      </c>
      <c r="R7" s="59">
        <f t="shared" si="2"/>
        <v>17.073931999999999</v>
      </c>
      <c r="S7" s="59">
        <f t="shared" si="2"/>
        <v>17.148409999999998</v>
      </c>
      <c r="T7" s="59">
        <f t="shared" si="2"/>
        <v>17.946909999999999</v>
      </c>
      <c r="U7" s="59">
        <f t="shared" si="2"/>
        <v>20.190567999999999</v>
      </c>
      <c r="V7" s="59">
        <f t="shared" si="2"/>
        <v>17.403545000000001</v>
      </c>
      <c r="W7" s="59">
        <f t="shared" si="2"/>
        <v>18.389202000000001</v>
      </c>
      <c r="DA7" s="172" t="s">
        <v>961</v>
      </c>
    </row>
    <row r="8" spans="1:105" ht="11.45" customHeight="1" x14ac:dyDescent="0.25">
      <c r="A8" s="55" t="s">
        <v>170</v>
      </c>
      <c r="B8" s="60">
        <v>11.180986000000001</v>
      </c>
      <c r="C8" s="60">
        <v>8.9119029999999988</v>
      </c>
      <c r="D8" s="60">
        <v>7.6951310000000008</v>
      </c>
      <c r="E8" s="60">
        <v>9.5791909999999998</v>
      </c>
      <c r="F8" s="60">
        <v>8.8002969999999987</v>
      </c>
      <c r="G8" s="60">
        <v>8.4660620000000009</v>
      </c>
      <c r="H8" s="60">
        <v>7.438561</v>
      </c>
      <c r="I8" s="60">
        <v>8.8964639999999999</v>
      </c>
      <c r="J8" s="60">
        <v>8.7595479999999988</v>
      </c>
      <c r="K8" s="60">
        <v>6.605505</v>
      </c>
      <c r="L8" s="60">
        <v>6.0447830000000007</v>
      </c>
      <c r="M8" s="60">
        <v>8.7214720000000003</v>
      </c>
      <c r="N8" s="60">
        <v>10.242594</v>
      </c>
      <c r="O8" s="60">
        <v>9.3691240000000011</v>
      </c>
      <c r="P8" s="60">
        <v>9.4230629999999991</v>
      </c>
      <c r="Q8" s="60">
        <v>9.1258710000000001</v>
      </c>
      <c r="R8" s="60">
        <v>9.178604</v>
      </c>
      <c r="S8" s="60">
        <v>9.4819800000000001</v>
      </c>
      <c r="T8" s="60">
        <v>9.9991819999999993</v>
      </c>
      <c r="U8" s="60">
        <v>11.509460000000001</v>
      </c>
      <c r="V8" s="60">
        <v>9.6396680000000003</v>
      </c>
      <c r="W8" s="60">
        <v>10.444141</v>
      </c>
      <c r="DA8" s="181" t="s">
        <v>962</v>
      </c>
    </row>
    <row r="9" spans="1:105" ht="11.45" customHeight="1" x14ac:dyDescent="0.25">
      <c r="A9" s="57" t="s">
        <v>171</v>
      </c>
      <c r="B9" s="61">
        <v>3.889535</v>
      </c>
      <c r="C9" s="61">
        <v>5.855429</v>
      </c>
      <c r="D9" s="61">
        <v>6.2700040000000001</v>
      </c>
      <c r="E9" s="61">
        <v>6.9705910000000006</v>
      </c>
      <c r="F9" s="61">
        <v>7.088165</v>
      </c>
      <c r="G9" s="61">
        <v>6.9902770000000007</v>
      </c>
      <c r="H9" s="61">
        <v>7.3687259999999997</v>
      </c>
      <c r="I9" s="61">
        <v>7.5846230000000006</v>
      </c>
      <c r="J9" s="61">
        <v>5.798368</v>
      </c>
      <c r="K9" s="61">
        <v>4.4470480000000006</v>
      </c>
      <c r="L9" s="61">
        <v>4.6019109999999994</v>
      </c>
      <c r="M9" s="61">
        <v>6.5228539999999997</v>
      </c>
      <c r="N9" s="61">
        <v>8.1875260000000001</v>
      </c>
      <c r="O9" s="61">
        <v>7.6448219999999996</v>
      </c>
      <c r="P9" s="61">
        <v>8.0923639999999999</v>
      </c>
      <c r="Q9" s="61">
        <v>7.0174839999999996</v>
      </c>
      <c r="R9" s="61">
        <v>7.8953280000000001</v>
      </c>
      <c r="S9" s="61">
        <v>7.6664300000000001</v>
      </c>
      <c r="T9" s="61">
        <v>7.9477280000000006</v>
      </c>
      <c r="U9" s="61">
        <v>8.681108</v>
      </c>
      <c r="V9" s="61">
        <v>7.7638769999999999</v>
      </c>
      <c r="W9" s="61">
        <v>7.9450609999999999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5064.1300772547938</v>
      </c>
      <c r="C13" s="62">
        <f t="shared" si="3"/>
        <v>7291.435658045747</v>
      </c>
      <c r="D13" s="62">
        <f t="shared" si="3"/>
        <v>8112.0572451322514</v>
      </c>
      <c r="E13" s="62">
        <f t="shared" si="3"/>
        <v>7744.209532427677</v>
      </c>
      <c r="F13" s="62">
        <f t="shared" si="3"/>
        <v>8138.3195866912738</v>
      </c>
      <c r="G13" s="62">
        <f t="shared" si="3"/>
        <v>8309.4539908836105</v>
      </c>
      <c r="H13" s="62">
        <f t="shared" si="3"/>
        <v>8588.4872904131607</v>
      </c>
      <c r="I13" s="62">
        <f t="shared" si="3"/>
        <v>8035.5189852465428</v>
      </c>
      <c r="J13" s="62">
        <f t="shared" si="3"/>
        <v>7574.0473920855156</v>
      </c>
      <c r="K13" s="62">
        <f t="shared" si="3"/>
        <v>9022.2281501839443</v>
      </c>
      <c r="L13" s="62">
        <f t="shared" si="3"/>
        <v>9732.4694804791052</v>
      </c>
      <c r="M13" s="62">
        <f t="shared" si="3"/>
        <v>8630.6791752551071</v>
      </c>
      <c r="N13" s="62">
        <f t="shared" si="3"/>
        <v>9286.5071293078927</v>
      </c>
      <c r="O13" s="62">
        <f t="shared" si="3"/>
        <v>10783.47565943844</v>
      </c>
      <c r="P13" s="62">
        <f t="shared" si="3"/>
        <v>11753.97559619871</v>
      </c>
      <c r="Q13" s="62">
        <f t="shared" si="3"/>
        <v>12847.407946117768</v>
      </c>
      <c r="R13" s="62">
        <f t="shared" si="3"/>
        <v>13489.995090176064</v>
      </c>
      <c r="S13" s="62">
        <f t="shared" si="3"/>
        <v>13821.993668975727</v>
      </c>
      <c r="T13" s="62">
        <f t="shared" si="3"/>
        <v>14040.041742450372</v>
      </c>
      <c r="U13" s="62">
        <f t="shared" si="3"/>
        <v>13280.652188536747</v>
      </c>
      <c r="V13" s="62">
        <f t="shared" si="3"/>
        <v>14952.025463490339</v>
      </c>
      <c r="W13" s="62">
        <f t="shared" si="3"/>
        <v>14426.177345922895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3815.8273206853132</v>
      </c>
      <c r="C14" s="63">
        <f t="shared" si="3"/>
        <v>3921.2603447322085</v>
      </c>
      <c r="D14" s="63">
        <f t="shared" si="3"/>
        <v>4242.3917408293628</v>
      </c>
      <c r="E14" s="63">
        <f t="shared" si="3"/>
        <v>4095.1503769994779</v>
      </c>
      <c r="F14" s="63">
        <f t="shared" si="3"/>
        <v>4027.2535890550062</v>
      </c>
      <c r="G14" s="63">
        <f t="shared" si="3"/>
        <v>3891.2800887827179</v>
      </c>
      <c r="H14" s="63">
        <f t="shared" si="3"/>
        <v>4016.3847252176865</v>
      </c>
      <c r="I14" s="63">
        <f t="shared" si="3"/>
        <v>4061.6975169010975</v>
      </c>
      <c r="J14" s="63">
        <f t="shared" si="3"/>
        <v>3839.537090155794</v>
      </c>
      <c r="K14" s="63">
        <f t="shared" si="3"/>
        <v>4703.5743498793809</v>
      </c>
      <c r="L14" s="63">
        <f t="shared" si="3"/>
        <v>4822.6130129071626</v>
      </c>
      <c r="M14" s="63">
        <f t="shared" si="3"/>
        <v>3520.7652368774447</v>
      </c>
      <c r="N14" s="63">
        <f t="shared" si="3"/>
        <v>3466.9616675228949</v>
      </c>
      <c r="O14" s="63">
        <f t="shared" si="3"/>
        <v>3682.9397969329893</v>
      </c>
      <c r="P14" s="63">
        <f t="shared" si="3"/>
        <v>3806.3466527815854</v>
      </c>
      <c r="Q14" s="63">
        <f t="shared" si="3"/>
        <v>4088.2348019164415</v>
      </c>
      <c r="R14" s="63">
        <f t="shared" si="3"/>
        <v>4257.8173610060967</v>
      </c>
      <c r="S14" s="63">
        <f t="shared" si="3"/>
        <v>4293.0472084944286</v>
      </c>
      <c r="T14" s="63">
        <f t="shared" si="3"/>
        <v>4364.2307828780395</v>
      </c>
      <c r="U14" s="63">
        <f t="shared" si="3"/>
        <v>4177.2639804126338</v>
      </c>
      <c r="V14" s="63">
        <f t="shared" si="3"/>
        <v>4748.5391205381766</v>
      </c>
      <c r="W14" s="63">
        <f t="shared" si="3"/>
        <v>4452.1444759315291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8652.5424825846785</v>
      </c>
      <c r="C15" s="64">
        <f t="shared" si="3"/>
        <v>12420.807986741876</v>
      </c>
      <c r="D15" s="64">
        <f t="shared" si="3"/>
        <v>12861.270001901114</v>
      </c>
      <c r="E15" s="64">
        <f t="shared" si="3"/>
        <v>12758.853860311125</v>
      </c>
      <c r="F15" s="64">
        <f t="shared" si="3"/>
        <v>13242.405307861765</v>
      </c>
      <c r="G15" s="64">
        <f t="shared" si="3"/>
        <v>13660.391325980358</v>
      </c>
      <c r="H15" s="64">
        <f t="shared" si="3"/>
        <v>13203.920654262351</v>
      </c>
      <c r="I15" s="64">
        <f t="shared" si="3"/>
        <v>12696.655027942721</v>
      </c>
      <c r="J15" s="64">
        <f t="shared" si="3"/>
        <v>13215.74213209648</v>
      </c>
      <c r="K15" s="64">
        <f t="shared" si="3"/>
        <v>15437.020450869879</v>
      </c>
      <c r="L15" s="64">
        <f t="shared" si="3"/>
        <v>16181.750422161578</v>
      </c>
      <c r="M15" s="64">
        <f t="shared" si="3"/>
        <v>15462.960157777563</v>
      </c>
      <c r="N15" s="64">
        <f t="shared" si="3"/>
        <v>16566.757772738678</v>
      </c>
      <c r="O15" s="64">
        <f t="shared" si="3"/>
        <v>19485.548900942365</v>
      </c>
      <c r="P15" s="64">
        <f t="shared" si="3"/>
        <v>21008.503473892179</v>
      </c>
      <c r="Q15" s="64">
        <f t="shared" si="3"/>
        <v>24238.254605781789</v>
      </c>
      <c r="R15" s="64">
        <f t="shared" si="3"/>
        <v>24222.735190862237</v>
      </c>
      <c r="S15" s="64">
        <f t="shared" si="3"/>
        <v>25607.567887921759</v>
      </c>
      <c r="T15" s="64">
        <f t="shared" si="3"/>
        <v>26213.356529060882</v>
      </c>
      <c r="U15" s="64">
        <f t="shared" si="3"/>
        <v>25349.973575377706</v>
      </c>
      <c r="V15" s="64">
        <f t="shared" si="3"/>
        <v>27620.72446382136</v>
      </c>
      <c r="W15" s="64">
        <f t="shared" si="3"/>
        <v>27537.493373933823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0.55903075077892328</v>
      </c>
      <c r="C18" s="66">
        <f t="shared" si="4"/>
        <v>0.32454957268957874</v>
      </c>
      <c r="D18" s="66">
        <f t="shared" si="4"/>
        <v>0.28817124385386661</v>
      </c>
      <c r="E18" s="66">
        <f t="shared" si="4"/>
        <v>0.3060760262334703</v>
      </c>
      <c r="F18" s="66">
        <f t="shared" si="4"/>
        <v>0.2740878010465656</v>
      </c>
      <c r="G18" s="66">
        <f t="shared" si="4"/>
        <v>0.25650439719646662</v>
      </c>
      <c r="H18" s="66">
        <f t="shared" si="4"/>
        <v>0.23492653008712738</v>
      </c>
      <c r="I18" s="66">
        <f t="shared" si="4"/>
        <v>0.27285079260141326</v>
      </c>
      <c r="J18" s="66">
        <f t="shared" si="4"/>
        <v>0.30502352567608826</v>
      </c>
      <c r="K18" s="66">
        <f t="shared" si="4"/>
        <v>0.31157143009822702</v>
      </c>
      <c r="L18" s="66">
        <f t="shared" si="4"/>
        <v>0.28133599841081536</v>
      </c>
      <c r="M18" s="66">
        <f t="shared" si="4"/>
        <v>0.23338538574019141</v>
      </c>
      <c r="N18" s="66">
        <f t="shared" si="4"/>
        <v>0.20748105077824447</v>
      </c>
      <c r="O18" s="66">
        <f t="shared" si="4"/>
        <v>0.18807444726445913</v>
      </c>
      <c r="P18" s="66">
        <f t="shared" si="4"/>
        <v>0.17421876016113874</v>
      </c>
      <c r="Q18" s="66">
        <f t="shared" si="4"/>
        <v>0.17988744134699794</v>
      </c>
      <c r="R18" s="66">
        <f t="shared" si="4"/>
        <v>0.16967518154875139</v>
      </c>
      <c r="S18" s="66">
        <f t="shared" si="4"/>
        <v>0.17173948292354255</v>
      </c>
      <c r="T18" s="66">
        <f t="shared" si="4"/>
        <v>0.17318652477433172</v>
      </c>
      <c r="U18" s="66">
        <f t="shared" si="4"/>
        <v>0.17929943848177834</v>
      </c>
      <c r="V18" s="66">
        <f t="shared" si="4"/>
        <v>0.17590749672513184</v>
      </c>
      <c r="W18" s="66">
        <f t="shared" si="4"/>
        <v>0.1752781679468296</v>
      </c>
      <c r="DA18" s="181"/>
    </row>
    <row r="19" spans="1:105" ht="11.45" customHeight="1" x14ac:dyDescent="0.25">
      <c r="A19" s="57" t="s">
        <v>171</v>
      </c>
      <c r="B19" s="67">
        <f t="shared" si="4"/>
        <v>0.44096924922107655</v>
      </c>
      <c r="C19" s="67">
        <f t="shared" si="4"/>
        <v>0.67545042731042115</v>
      </c>
      <c r="D19" s="67">
        <f t="shared" si="4"/>
        <v>0.71182875614613339</v>
      </c>
      <c r="E19" s="67">
        <f t="shared" si="4"/>
        <v>0.6939239737665297</v>
      </c>
      <c r="F19" s="67">
        <f t="shared" si="4"/>
        <v>0.7259121989534344</v>
      </c>
      <c r="G19" s="67">
        <f t="shared" si="4"/>
        <v>0.74349560280353333</v>
      </c>
      <c r="H19" s="67">
        <f t="shared" si="4"/>
        <v>0.76507346991287262</v>
      </c>
      <c r="I19" s="67">
        <f t="shared" si="4"/>
        <v>0.72714920739858679</v>
      </c>
      <c r="J19" s="67">
        <f t="shared" si="4"/>
        <v>0.69497647432391174</v>
      </c>
      <c r="K19" s="67">
        <f t="shared" si="4"/>
        <v>0.68842856990177304</v>
      </c>
      <c r="L19" s="67">
        <f t="shared" si="4"/>
        <v>0.71866400158918464</v>
      </c>
      <c r="M19" s="67">
        <f t="shared" si="4"/>
        <v>0.76661461425980859</v>
      </c>
      <c r="N19" s="67">
        <f t="shared" si="4"/>
        <v>0.79251894922175548</v>
      </c>
      <c r="O19" s="67">
        <f t="shared" si="4"/>
        <v>0.8119255527355409</v>
      </c>
      <c r="P19" s="67">
        <f t="shared" si="4"/>
        <v>0.82578123983886131</v>
      </c>
      <c r="Q19" s="67">
        <f t="shared" si="4"/>
        <v>0.82011255865300203</v>
      </c>
      <c r="R19" s="67">
        <f t="shared" si="4"/>
        <v>0.83032481845124861</v>
      </c>
      <c r="S19" s="67">
        <f t="shared" si="4"/>
        <v>0.82826051707645743</v>
      </c>
      <c r="T19" s="67">
        <f t="shared" si="4"/>
        <v>0.82681347522566828</v>
      </c>
      <c r="U19" s="67">
        <f t="shared" si="4"/>
        <v>0.82070056151822168</v>
      </c>
      <c r="V19" s="67">
        <f t="shared" si="4"/>
        <v>0.82409250327486816</v>
      </c>
      <c r="W19" s="67">
        <f t="shared" si="4"/>
        <v>0.82472183205317051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0.7419110460746513</v>
      </c>
      <c r="C22" s="66">
        <f t="shared" si="5"/>
        <v>0.60348768484381599</v>
      </c>
      <c r="D22" s="66">
        <f t="shared" si="5"/>
        <v>0.55102446199052146</v>
      </c>
      <c r="E22" s="66">
        <f t="shared" si="5"/>
        <v>0.57881070578452332</v>
      </c>
      <c r="F22" s="66">
        <f t="shared" si="5"/>
        <v>0.55387972731407231</v>
      </c>
      <c r="G22" s="66">
        <f t="shared" si="5"/>
        <v>0.54774044487507678</v>
      </c>
      <c r="H22" s="66">
        <f t="shared" si="5"/>
        <v>0.50235812948043757</v>
      </c>
      <c r="I22" s="66">
        <f t="shared" si="5"/>
        <v>0.53979837616293136</v>
      </c>
      <c r="J22" s="66">
        <f t="shared" si="5"/>
        <v>0.60170343062839482</v>
      </c>
      <c r="K22" s="66">
        <f t="shared" si="5"/>
        <v>0.597645177544048</v>
      </c>
      <c r="L22" s="66">
        <f t="shared" si="5"/>
        <v>0.56776150418148585</v>
      </c>
      <c r="M22" s="66">
        <f t="shared" si="5"/>
        <v>0.57211266670628791</v>
      </c>
      <c r="N22" s="66">
        <f t="shared" si="5"/>
        <v>0.55575297393614365</v>
      </c>
      <c r="O22" s="66">
        <f t="shared" si="5"/>
        <v>0.55067319480148824</v>
      </c>
      <c r="P22" s="66">
        <f t="shared" si="5"/>
        <v>0.53798648471430355</v>
      </c>
      <c r="Q22" s="66">
        <f t="shared" si="5"/>
        <v>0.56530200816373055</v>
      </c>
      <c r="R22" s="66">
        <f t="shared" si="5"/>
        <v>0.5375799786481521</v>
      </c>
      <c r="S22" s="66">
        <f t="shared" si="5"/>
        <v>0.55293639468615463</v>
      </c>
      <c r="T22" s="66">
        <f t="shared" si="5"/>
        <v>0.55715340412360681</v>
      </c>
      <c r="U22" s="66">
        <f t="shared" si="5"/>
        <v>0.57004141735883807</v>
      </c>
      <c r="V22" s="66">
        <f t="shared" si="5"/>
        <v>0.55389106070056415</v>
      </c>
      <c r="W22" s="66">
        <f t="shared" si="5"/>
        <v>0.5679496587181978</v>
      </c>
      <c r="DA22" s="181"/>
    </row>
    <row r="23" spans="1:105" ht="11.45" customHeight="1" x14ac:dyDescent="0.25">
      <c r="A23" s="57" t="s">
        <v>171</v>
      </c>
      <c r="B23" s="67">
        <f t="shared" si="5"/>
        <v>0.2580889539253487</v>
      </c>
      <c r="C23" s="67">
        <f t="shared" si="5"/>
        <v>0.39651231515618396</v>
      </c>
      <c r="D23" s="67">
        <f t="shared" si="5"/>
        <v>0.44897553800947859</v>
      </c>
      <c r="E23" s="67">
        <f t="shared" si="5"/>
        <v>0.42118929421547668</v>
      </c>
      <c r="F23" s="67">
        <f t="shared" si="5"/>
        <v>0.44612027268592774</v>
      </c>
      <c r="G23" s="67">
        <f t="shared" si="5"/>
        <v>0.45225955512492316</v>
      </c>
      <c r="H23" s="67">
        <f t="shared" si="5"/>
        <v>0.49764187051956243</v>
      </c>
      <c r="I23" s="67">
        <f t="shared" si="5"/>
        <v>0.46020162383706847</v>
      </c>
      <c r="J23" s="67">
        <f t="shared" si="5"/>
        <v>0.39829656937160512</v>
      </c>
      <c r="K23" s="67">
        <f t="shared" si="5"/>
        <v>0.40235482245595211</v>
      </c>
      <c r="L23" s="67">
        <f t="shared" si="5"/>
        <v>0.43223849581851415</v>
      </c>
      <c r="M23" s="67">
        <f t="shared" si="5"/>
        <v>0.42788733329371198</v>
      </c>
      <c r="N23" s="67">
        <f t="shared" si="5"/>
        <v>0.4442470260638563</v>
      </c>
      <c r="O23" s="67">
        <f t="shared" si="5"/>
        <v>0.44932680519851181</v>
      </c>
      <c r="P23" s="67">
        <f t="shared" si="5"/>
        <v>0.46201351528569645</v>
      </c>
      <c r="Q23" s="67">
        <f t="shared" si="5"/>
        <v>0.43469799183626945</v>
      </c>
      <c r="R23" s="67">
        <f t="shared" si="5"/>
        <v>0.46242002135184795</v>
      </c>
      <c r="S23" s="67">
        <f t="shared" si="5"/>
        <v>0.44706360531384548</v>
      </c>
      <c r="T23" s="67">
        <f t="shared" si="5"/>
        <v>0.44284659587639325</v>
      </c>
      <c r="U23" s="67">
        <f t="shared" si="5"/>
        <v>0.42995858264116199</v>
      </c>
      <c r="V23" s="67">
        <f t="shared" si="5"/>
        <v>0.44610893929943579</v>
      </c>
      <c r="W23" s="67">
        <f t="shared" si="5"/>
        <v>0.4320503412818022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3603.1527085124681</v>
      </c>
      <c r="C3" s="62">
        <f t="shared" ref="C3:W3" si="0">SUM(C4,C10)</f>
        <v>3496.154600171968</v>
      </c>
      <c r="D3" s="62">
        <f t="shared" si="0"/>
        <v>3142.8871883061047</v>
      </c>
      <c r="E3" s="62">
        <f t="shared" si="0"/>
        <v>3212.0570077386069</v>
      </c>
      <c r="F3" s="62">
        <f t="shared" si="0"/>
        <v>3244.2390369733448</v>
      </c>
      <c r="G3" s="62">
        <f t="shared" si="0"/>
        <v>2869.3369733447971</v>
      </c>
      <c r="H3" s="62">
        <f t="shared" si="0"/>
        <v>3096.9571797076524</v>
      </c>
      <c r="I3" s="62">
        <f t="shared" si="0"/>
        <v>3227.7252794496985</v>
      </c>
      <c r="J3" s="62">
        <f t="shared" si="0"/>
        <v>3087.5084264832321</v>
      </c>
      <c r="K3" s="62">
        <f t="shared" si="0"/>
        <v>2598.3758383490981</v>
      </c>
      <c r="L3" s="62">
        <f t="shared" si="0"/>
        <v>2710.0507308684437</v>
      </c>
      <c r="M3" s="62">
        <f t="shared" si="0"/>
        <v>2752.3073086844361</v>
      </c>
      <c r="N3" s="62">
        <f t="shared" si="0"/>
        <v>2248.5525365434223</v>
      </c>
      <c r="O3" s="62">
        <f t="shared" si="0"/>
        <v>2120.6314703353391</v>
      </c>
      <c r="P3" s="62">
        <f t="shared" si="0"/>
        <v>1864.9183147033536</v>
      </c>
      <c r="Q3" s="62">
        <f t="shared" si="0"/>
        <v>1783.0563198624243</v>
      </c>
      <c r="R3" s="62">
        <f t="shared" si="0"/>
        <v>1719.1983662940672</v>
      </c>
      <c r="S3" s="62">
        <f t="shared" si="0"/>
        <v>2134.2343078245913</v>
      </c>
      <c r="T3" s="62">
        <f t="shared" si="0"/>
        <v>2185.1139294926907</v>
      </c>
      <c r="U3" s="62">
        <f t="shared" si="0"/>
        <v>2518.2967325881336</v>
      </c>
      <c r="V3" s="62">
        <f t="shared" si="0"/>
        <v>1626.8252794496993</v>
      </c>
      <c r="W3" s="62">
        <f t="shared" si="0"/>
        <v>1810.7943250214967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1929.9969958515417</v>
      </c>
      <c r="C4" s="71">
        <f t="shared" ref="C4:W4" si="1">SUM(C5:C9)</f>
        <v>1610.7760488624515</v>
      </c>
      <c r="D4" s="71">
        <f t="shared" si="1"/>
        <v>1375.4498769002687</v>
      </c>
      <c r="E4" s="71">
        <f t="shared" si="1"/>
        <v>1466.2646651502696</v>
      </c>
      <c r="F4" s="71">
        <f t="shared" si="1"/>
        <v>1421.9207330186709</v>
      </c>
      <c r="G4" s="71">
        <f t="shared" si="1"/>
        <v>1234.1318658947202</v>
      </c>
      <c r="H4" s="71">
        <f t="shared" si="1"/>
        <v>1269.4436429653017</v>
      </c>
      <c r="I4" s="71">
        <f t="shared" si="1"/>
        <v>1404.4409410049861</v>
      </c>
      <c r="J4" s="71">
        <f t="shared" si="1"/>
        <v>1418.33460890794</v>
      </c>
      <c r="K4" s="71">
        <f t="shared" si="1"/>
        <v>1214.2785203714084</v>
      </c>
      <c r="L4" s="71">
        <f t="shared" si="1"/>
        <v>1209.6779959550554</v>
      </c>
      <c r="M4" s="71">
        <f t="shared" si="1"/>
        <v>1166.060938398678</v>
      </c>
      <c r="N4" s="71">
        <f t="shared" si="1"/>
        <v>915.53704041245214</v>
      </c>
      <c r="O4" s="71">
        <f t="shared" si="1"/>
        <v>821.15289805029317</v>
      </c>
      <c r="P4" s="71">
        <f t="shared" si="1"/>
        <v>699.43335848889217</v>
      </c>
      <c r="Q4" s="71">
        <f t="shared" si="1"/>
        <v>685.3531726432002</v>
      </c>
      <c r="R4" s="71">
        <f t="shared" si="1"/>
        <v>631.85563682420207</v>
      </c>
      <c r="S4" s="71">
        <f t="shared" si="1"/>
        <v>797.69705178716094</v>
      </c>
      <c r="T4" s="71">
        <f t="shared" si="1"/>
        <v>817.52552719526113</v>
      </c>
      <c r="U4" s="71">
        <f t="shared" si="1"/>
        <v>962.04543310310214</v>
      </c>
      <c r="V4" s="71">
        <f t="shared" si="1"/>
        <v>555.69419995982025</v>
      </c>
      <c r="W4" s="71">
        <f t="shared" si="1"/>
        <v>624.31128315472017</v>
      </c>
      <c r="DA4" s="186" t="s">
        <v>969</v>
      </c>
    </row>
    <row r="5" spans="1:105" ht="11.45" customHeight="1" x14ac:dyDescent="0.25">
      <c r="A5" s="72" t="s">
        <v>145</v>
      </c>
      <c r="B5" s="73">
        <v>657.26614184655625</v>
      </c>
      <c r="C5" s="73">
        <v>510.83103078024237</v>
      </c>
      <c r="D5" s="73">
        <v>449.10222939582917</v>
      </c>
      <c r="E5" s="73">
        <v>414.65887911019206</v>
      </c>
      <c r="F5" s="73">
        <v>386.45334068630683</v>
      </c>
      <c r="G5" s="73">
        <v>312.97652245376156</v>
      </c>
      <c r="H5" s="73">
        <v>318.31058509534864</v>
      </c>
      <c r="I5" s="73">
        <v>297.84346396105866</v>
      </c>
      <c r="J5" s="73">
        <v>285.7112632083531</v>
      </c>
      <c r="K5" s="73">
        <v>265.42843372330066</v>
      </c>
      <c r="L5" s="73">
        <v>282.92630547851411</v>
      </c>
      <c r="M5" s="73">
        <v>245.13749848297172</v>
      </c>
      <c r="N5" s="73">
        <v>210.54122509839237</v>
      </c>
      <c r="O5" s="73">
        <v>217.71005235304983</v>
      </c>
      <c r="P5" s="73">
        <v>202.70894524399293</v>
      </c>
      <c r="Q5" s="73">
        <v>236.59619253243787</v>
      </c>
      <c r="R5" s="73">
        <v>234.69773038376709</v>
      </c>
      <c r="S5" s="73">
        <v>259.33329568824587</v>
      </c>
      <c r="T5" s="73">
        <v>246.47556464858701</v>
      </c>
      <c r="U5" s="73">
        <v>297.74808354166714</v>
      </c>
      <c r="V5" s="73">
        <v>252.69271469202127</v>
      </c>
      <c r="W5" s="73">
        <v>289.36350941699919</v>
      </c>
      <c r="DA5" s="187" t="s">
        <v>970</v>
      </c>
    </row>
    <row r="6" spans="1:105" ht="11.45" customHeight="1" x14ac:dyDescent="0.25">
      <c r="A6" s="72" t="s">
        <v>146</v>
      </c>
      <c r="B6" s="73">
        <v>1272.7308540049853</v>
      </c>
      <c r="C6" s="73">
        <v>1099.9450180822091</v>
      </c>
      <c r="D6" s="73">
        <v>926.34764750443958</v>
      </c>
      <c r="E6" s="73">
        <v>1051.6057860400776</v>
      </c>
      <c r="F6" s="73">
        <v>1035.4673923323642</v>
      </c>
      <c r="G6" s="73">
        <v>921.15534344095875</v>
      </c>
      <c r="H6" s="73">
        <v>951.13305786995306</v>
      </c>
      <c r="I6" s="73">
        <v>1106.5974770439275</v>
      </c>
      <c r="J6" s="73">
        <v>1132.6233456995869</v>
      </c>
      <c r="K6" s="73">
        <v>948.85008664810766</v>
      </c>
      <c r="L6" s="73">
        <v>926.75169047654117</v>
      </c>
      <c r="M6" s="73">
        <v>920.92343991570624</v>
      </c>
      <c r="N6" s="73">
        <v>704.99581531405977</v>
      </c>
      <c r="O6" s="73">
        <v>603.44284569724334</v>
      </c>
      <c r="P6" s="73">
        <v>496.72441324489921</v>
      </c>
      <c r="Q6" s="73">
        <v>448.75698011076236</v>
      </c>
      <c r="R6" s="73">
        <v>397.157906440435</v>
      </c>
      <c r="S6" s="73">
        <v>538.36375609891513</v>
      </c>
      <c r="T6" s="73">
        <v>571.04208096089667</v>
      </c>
      <c r="U6" s="73">
        <v>664.28325776834617</v>
      </c>
      <c r="V6" s="73">
        <v>302.99246844339325</v>
      </c>
      <c r="W6" s="73">
        <v>334.94051069783973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7.8815857773998025E-3</v>
      </c>
      <c r="U7" s="73">
        <v>1.4091793088841384E-2</v>
      </c>
      <c r="V7" s="73">
        <v>9.0168244058034738E-3</v>
      </c>
      <c r="W7" s="73">
        <v>7.2630398811648379E-3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1673.1557126609262</v>
      </c>
      <c r="C10" s="71">
        <f t="shared" ref="C10:W10" si="2">SUM(C11:C15)</f>
        <v>1885.3785513095163</v>
      </c>
      <c r="D10" s="71">
        <f t="shared" si="2"/>
        <v>1767.4373114058358</v>
      </c>
      <c r="E10" s="71">
        <f t="shared" si="2"/>
        <v>1745.7923425883373</v>
      </c>
      <c r="F10" s="71">
        <f t="shared" si="2"/>
        <v>1822.3183039546739</v>
      </c>
      <c r="G10" s="71">
        <f t="shared" si="2"/>
        <v>1635.2051074500771</v>
      </c>
      <c r="H10" s="71">
        <f t="shared" si="2"/>
        <v>1827.5135367423507</v>
      </c>
      <c r="I10" s="71">
        <f t="shared" si="2"/>
        <v>1823.2843384447124</v>
      </c>
      <c r="J10" s="71">
        <f t="shared" si="2"/>
        <v>1669.1738175752921</v>
      </c>
      <c r="K10" s="71">
        <f t="shared" si="2"/>
        <v>1384.0973179776897</v>
      </c>
      <c r="L10" s="71">
        <f t="shared" si="2"/>
        <v>1500.3727349133885</v>
      </c>
      <c r="M10" s="71">
        <f t="shared" si="2"/>
        <v>1586.2463702857583</v>
      </c>
      <c r="N10" s="71">
        <f t="shared" si="2"/>
        <v>1333.0154961309702</v>
      </c>
      <c r="O10" s="71">
        <f t="shared" si="2"/>
        <v>1299.4785722850461</v>
      </c>
      <c r="P10" s="71">
        <f t="shared" si="2"/>
        <v>1165.4849562144614</v>
      </c>
      <c r="Q10" s="71">
        <f t="shared" si="2"/>
        <v>1097.7031472192241</v>
      </c>
      <c r="R10" s="71">
        <f t="shared" si="2"/>
        <v>1087.3427294698652</v>
      </c>
      <c r="S10" s="71">
        <f t="shared" si="2"/>
        <v>1336.5372560374303</v>
      </c>
      <c r="T10" s="71">
        <f t="shared" si="2"/>
        <v>1367.5884022974294</v>
      </c>
      <c r="U10" s="71">
        <f t="shared" si="2"/>
        <v>1556.2512994850315</v>
      </c>
      <c r="V10" s="71">
        <f t="shared" si="2"/>
        <v>1071.1310794898791</v>
      </c>
      <c r="W10" s="71">
        <f t="shared" si="2"/>
        <v>1186.4830418667764</v>
      </c>
      <c r="DA10" s="186" t="s">
        <v>975</v>
      </c>
    </row>
    <row r="11" spans="1:105" ht="11.45" customHeight="1" x14ac:dyDescent="0.25">
      <c r="A11" s="72" t="s">
        <v>145</v>
      </c>
      <c r="B11" s="73">
        <v>113.0118461156105</v>
      </c>
      <c r="C11" s="73">
        <v>117.71583078467586</v>
      </c>
      <c r="D11" s="73">
        <v>114.74127877270048</v>
      </c>
      <c r="E11" s="73">
        <v>95.778696126265345</v>
      </c>
      <c r="F11" s="73">
        <v>98.3083102165307</v>
      </c>
      <c r="G11" s="73">
        <v>81.405850719067374</v>
      </c>
      <c r="H11" s="73">
        <v>90.450291946783764</v>
      </c>
      <c r="I11" s="73">
        <v>77.025151688124424</v>
      </c>
      <c r="J11" s="73">
        <v>62.454428967055321</v>
      </c>
      <c r="K11" s="73">
        <v>58.131325520035546</v>
      </c>
      <c r="L11" s="73">
        <v>67.08805393679107</v>
      </c>
      <c r="M11" s="73">
        <v>66.212458524766902</v>
      </c>
      <c r="N11" s="73">
        <v>58.074424084754646</v>
      </c>
      <c r="O11" s="73">
        <v>68.20284532536796</v>
      </c>
      <c r="P11" s="73">
        <v>65.90670393915407</v>
      </c>
      <c r="Q11" s="73">
        <v>73.736309617175138</v>
      </c>
      <c r="R11" s="73">
        <v>79.704677182870867</v>
      </c>
      <c r="S11" s="73">
        <v>86.374012996190899</v>
      </c>
      <c r="T11" s="73">
        <v>82.172672668695782</v>
      </c>
      <c r="U11" s="73">
        <v>92.419242339674142</v>
      </c>
      <c r="V11" s="73">
        <v>95.387422883215123</v>
      </c>
      <c r="W11" s="73">
        <v>100.85162385901111</v>
      </c>
      <c r="DA11" s="187" t="s">
        <v>976</v>
      </c>
    </row>
    <row r="12" spans="1:105" ht="11.45" customHeight="1" x14ac:dyDescent="0.25">
      <c r="A12" s="72" t="s">
        <v>146</v>
      </c>
      <c r="B12" s="73">
        <v>1560.1438665453156</v>
      </c>
      <c r="C12" s="73">
        <v>1767.6627205248406</v>
      </c>
      <c r="D12" s="73">
        <v>1652.6960326331352</v>
      </c>
      <c r="E12" s="73">
        <v>1650.0136464620721</v>
      </c>
      <c r="F12" s="73">
        <v>1724.0099937381431</v>
      </c>
      <c r="G12" s="73">
        <v>1553.7992567310098</v>
      </c>
      <c r="H12" s="73">
        <v>1737.0632447955668</v>
      </c>
      <c r="I12" s="73">
        <v>1746.259186756588</v>
      </c>
      <c r="J12" s="73">
        <v>1606.7193886082368</v>
      </c>
      <c r="K12" s="73">
        <v>1325.9659924576542</v>
      </c>
      <c r="L12" s="73">
        <v>1433.2846809765974</v>
      </c>
      <c r="M12" s="73">
        <v>1520.0339117609915</v>
      </c>
      <c r="N12" s="73">
        <v>1274.9410720462156</v>
      </c>
      <c r="O12" s="73">
        <v>1231.2757269596782</v>
      </c>
      <c r="P12" s="73">
        <v>1099.5782522753072</v>
      </c>
      <c r="Q12" s="73">
        <v>1023.9668376020489</v>
      </c>
      <c r="R12" s="73">
        <v>1007.6380522869943</v>
      </c>
      <c r="S12" s="73">
        <v>1250.1632430412394</v>
      </c>
      <c r="T12" s="73">
        <v>1285.4025450064287</v>
      </c>
      <c r="U12" s="73">
        <v>1463.8092615781711</v>
      </c>
      <c r="V12" s="73">
        <v>975.72627618257445</v>
      </c>
      <c r="W12" s="73">
        <v>1085.6176148395639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1.3184622305145338E-2</v>
      </c>
      <c r="U13" s="73">
        <v>2.2795567186309089E-2</v>
      </c>
      <c r="V13" s="73">
        <v>1.7380424089467376E-2</v>
      </c>
      <c r="W13" s="73">
        <v>1.3803168201380304E-2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23908.614098427439</v>
      </c>
      <c r="C19" s="62">
        <f>IF(C3=0,0,C3/MBunk_act!C7*100)</f>
        <v>23674.923812723708</v>
      </c>
      <c r="D19" s="62">
        <f>IF(D3=0,0,D3/MBunk_act!D7*100)</f>
        <v>22505.240288089622</v>
      </c>
      <c r="E19" s="62">
        <f>IF(E3=0,0,E3/MBunk_act!E7*100)</f>
        <v>19408.455094687088</v>
      </c>
      <c r="F19" s="62">
        <f>IF(F3=0,0,F3/MBunk_act!F7*100)</f>
        <v>20418.836240873061</v>
      </c>
      <c r="G19" s="62">
        <f>IF(G3=0,0,G3/MBunk_act!G7*100)</f>
        <v>18564.143639349502</v>
      </c>
      <c r="H19" s="62">
        <f>IF(H3=0,0,H3/MBunk_act!H7*100)</f>
        <v>20915.088494655723</v>
      </c>
      <c r="I19" s="62">
        <f>IF(I3=0,0,I3/MBunk_act!I7*100)</f>
        <v>19584.41988352891</v>
      </c>
      <c r="J19" s="62">
        <f>IF(J3=0,0,J3/MBunk_act!J7*100)</f>
        <v>21208.450622212909</v>
      </c>
      <c r="K19" s="62">
        <f>IF(K3=0,0,K3/MBunk_act!K7*100)</f>
        <v>23509.281867719597</v>
      </c>
      <c r="L19" s="62">
        <f>IF(L3=0,0,L3/MBunk_act!L7*100)</f>
        <v>25454.387351307774</v>
      </c>
      <c r="M19" s="62">
        <f>IF(M3=0,0,M3/MBunk_act!M7*100)</f>
        <v>18054.634286123481</v>
      </c>
      <c r="N19" s="62">
        <f>IF(N3=0,0,N3/MBunk_act!N7*100)</f>
        <v>12200.422658905216</v>
      </c>
      <c r="O19" s="62">
        <f>IF(O3=0,0,O3/MBunk_act!O7*100)</f>
        <v>12464.077823776679</v>
      </c>
      <c r="P19" s="62">
        <f>IF(P3=0,0,P3/MBunk_act!P7*100)</f>
        <v>10647.290041535121</v>
      </c>
      <c r="Q19" s="62">
        <f>IF(Q3=0,0,Q3/MBunk_act!Q7*100)</f>
        <v>11045.140987498722</v>
      </c>
      <c r="R19" s="62">
        <f>IF(R3=0,0,R3/MBunk_act!R7*100)</f>
        <v>10069.141462517639</v>
      </c>
      <c r="S19" s="62">
        <f>IF(S3=0,0,S3/MBunk_act!S7*100)</f>
        <v>12445.668769434551</v>
      </c>
      <c r="T19" s="62">
        <f>IF(T3=0,0,T3/MBunk_act!T7*100)</f>
        <v>12175.432592533705</v>
      </c>
      <c r="U19" s="62">
        <f>IF(U3=0,0,U3/MBunk_act!U7*100)</f>
        <v>12472.63936600562</v>
      </c>
      <c r="V19" s="62">
        <f>IF(V3=0,0,V3/MBunk_act!V7*100)</f>
        <v>9347.6661188838207</v>
      </c>
      <c r="W19" s="62">
        <f>IF(W3=0,0,W3/MBunk_act!W7*100)</f>
        <v>9847.0522267442411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17261.420377876708</v>
      </c>
      <c r="C20" s="63">
        <f>IF(C4=0,0,C4/MBunk_act!C8*100)</f>
        <v>18074.434257895889</v>
      </c>
      <c r="D20" s="63">
        <f>IF(D4=0,0,D4/MBunk_act!D8*100)</f>
        <v>17874.287999778931</v>
      </c>
      <c r="E20" s="63">
        <f>IF(E4=0,0,E4/MBunk_act!E8*100)</f>
        <v>15306.769278849015</v>
      </c>
      <c r="F20" s="63">
        <f>IF(F4=0,0,F4/MBunk_act!F8*100)</f>
        <v>16157.64482742652</v>
      </c>
      <c r="G20" s="63">
        <f>IF(G4=0,0,G4/MBunk_act!G8*100)</f>
        <v>14577.401699807066</v>
      </c>
      <c r="H20" s="63">
        <f>IF(H4=0,0,H4/MBunk_act!H8*100)</f>
        <v>17065.715303878016</v>
      </c>
      <c r="I20" s="63">
        <f>IF(I4=0,0,I4/MBunk_act!I8*100)</f>
        <v>15786.507324763932</v>
      </c>
      <c r="J20" s="63">
        <f>IF(J4=0,0,J4/MBunk_act!J8*100)</f>
        <v>16191.869819172634</v>
      </c>
      <c r="K20" s="63">
        <f>IF(K4=0,0,K4/MBunk_act!K8*100)</f>
        <v>18382.826451140503</v>
      </c>
      <c r="L20" s="63">
        <f>IF(L4=0,0,L4/MBunk_act!L8*100)</f>
        <v>20011.934191104217</v>
      </c>
      <c r="M20" s="63">
        <f>IF(M4=0,0,M4/MBunk_act!M8*100)</f>
        <v>13370.001513490817</v>
      </c>
      <c r="N20" s="63">
        <f>IF(N4=0,0,N4/MBunk_act!N8*100)</f>
        <v>8938.5270997996413</v>
      </c>
      <c r="O20" s="63">
        <f>IF(O4=0,0,O4/MBunk_act!O8*100)</f>
        <v>8764.4575741584067</v>
      </c>
      <c r="P20" s="63">
        <f>IF(P4=0,0,P4/MBunk_act!P8*100)</f>
        <v>7422.5690573106876</v>
      </c>
      <c r="Q20" s="63">
        <f>IF(Q4=0,0,Q4/MBunk_act!Q8*100)</f>
        <v>7510.0028549954313</v>
      </c>
      <c r="R20" s="63">
        <f>IF(R4=0,0,R4/MBunk_act!R8*100)</f>
        <v>6884.005855620333</v>
      </c>
      <c r="S20" s="63">
        <f>IF(S4=0,0,S4/MBunk_act!S8*100)</f>
        <v>8412.7687654599667</v>
      </c>
      <c r="T20" s="63">
        <f>IF(T4=0,0,T4/MBunk_act!T8*100)</f>
        <v>8175.9240625409275</v>
      </c>
      <c r="U20" s="63">
        <f>IF(U4=0,0,U4/MBunk_act!U8*100)</f>
        <v>8358.7364924427566</v>
      </c>
      <c r="V20" s="63">
        <f>IF(V4=0,0,V4/MBunk_act!V8*100)</f>
        <v>5764.6611891594221</v>
      </c>
      <c r="W20" s="63">
        <f>IF(W4=0,0,W4/MBunk_act!W8*100)</f>
        <v>5977.622124736924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43016.857096309097</v>
      </c>
      <c r="C21" s="64">
        <f>IF(C10=0,0,C10/MBunk_act!C9*100)</f>
        <v>32198.811586811422</v>
      </c>
      <c r="D21" s="64">
        <f>IF(D10=0,0,D10/MBunk_act!D9*100)</f>
        <v>28188.77486211868</v>
      </c>
      <c r="E21" s="64">
        <f>IF(E10=0,0,E10/MBunk_act!E9*100)</f>
        <v>25045.112280843005</v>
      </c>
      <c r="F21" s="64">
        <f>IF(F10=0,0,F10/MBunk_act!F9*100)</f>
        <v>25709.309870109875</v>
      </c>
      <c r="G21" s="64">
        <f>IF(G10=0,0,G10/MBunk_act!G9*100)</f>
        <v>23392.565236686285</v>
      </c>
      <c r="H21" s="64">
        <f>IF(H10=0,0,H10/MBunk_act!H9*100)</f>
        <v>24800.943022475672</v>
      </c>
      <c r="I21" s="64">
        <f>IF(I10=0,0,I10/MBunk_act!I9*100)</f>
        <v>24039.22170481924</v>
      </c>
      <c r="J21" s="64">
        <f>IF(J10=0,0,J10/MBunk_act!J9*100)</f>
        <v>28786.958978376191</v>
      </c>
      <c r="K21" s="64">
        <f>IF(K10=0,0,K10/MBunk_act!K9*100)</f>
        <v>31123.957240346619</v>
      </c>
      <c r="L21" s="64">
        <f>IF(L10=0,0,L10/MBunk_act!L9*100)</f>
        <v>32603.254059311199</v>
      </c>
      <c r="M21" s="64">
        <f>IF(M10=0,0,M10/MBunk_act!M9*100)</f>
        <v>24318.287214243312</v>
      </c>
      <c r="N21" s="64">
        <f>IF(N10=0,0,N10/MBunk_act!N9*100)</f>
        <v>16281.053594589746</v>
      </c>
      <c r="O21" s="64">
        <f>IF(O10=0,0,O10/MBunk_act!O9*100)</f>
        <v>16998.153420511899</v>
      </c>
      <c r="P21" s="64">
        <f>IF(P10=0,0,P10/MBunk_act!P9*100)</f>
        <v>14402.280424044957</v>
      </c>
      <c r="Q21" s="64">
        <f>IF(Q10=0,0,Q10/MBunk_act!Q9*100)</f>
        <v>15642.403277573902</v>
      </c>
      <c r="R21" s="64">
        <f>IF(R10=0,0,R10/MBunk_act!R9*100)</f>
        <v>13771.976661005916</v>
      </c>
      <c r="S21" s="64">
        <f>IF(S10=0,0,S10/MBunk_act!S9*100)</f>
        <v>17433.632812631568</v>
      </c>
      <c r="T21" s="64">
        <f>IF(T10=0,0,T10/MBunk_act!T9*100)</f>
        <v>17207.287444882728</v>
      </c>
      <c r="U21" s="64">
        <f>IF(U10=0,0,U10/MBunk_act!U9*100)</f>
        <v>17926.874075118423</v>
      </c>
      <c r="V21" s="64">
        <f>IF(V10=0,0,V10/MBunk_act!V9*100)</f>
        <v>13796.34272271288</v>
      </c>
      <c r="W21" s="64">
        <f>IF(W10=0,0,W10/MBunk_act!W9*100)</f>
        <v>14933.592603842519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47.211690327251667</v>
      </c>
      <c r="C23" s="62">
        <f>IF(C3=0,0,C3/MBunk_act!C3*1000)</f>
        <v>32.469495615173635</v>
      </c>
      <c r="D23" s="62">
        <f>IF(D3=0,0,D3/MBunk_act!D3*1000)</f>
        <v>27.742950534026608</v>
      </c>
      <c r="E23" s="62">
        <f>IF(E3=0,0,E3/MBunk_act!E3*1000)</f>
        <v>25.061893035586383</v>
      </c>
      <c r="F23" s="62">
        <f>IF(F3=0,0,F3/MBunk_act!F3*1000)</f>
        <v>25.08974490786073</v>
      </c>
      <c r="G23" s="62">
        <f>IF(G3=0,0,G3/MBunk_act!G3*1000)</f>
        <v>22.340990948041139</v>
      </c>
      <c r="H23" s="62">
        <f>IF(H3=0,0,H3/MBunk_act!H3*1000)</f>
        <v>24.352470682470528</v>
      </c>
      <c r="I23" s="62">
        <f>IF(I3=0,0,I3/MBunk_act!I3*1000)</f>
        <v>24.372314867884075</v>
      </c>
      <c r="J23" s="62">
        <f>IF(J3=0,0,J3/MBunk_act!J3*1000)</f>
        <v>28.001475993369983</v>
      </c>
      <c r="K23" s="62">
        <f>IF(K3=0,0,K3/MBunk_act!K3*1000)</f>
        <v>26.057068693436101</v>
      </c>
      <c r="L23" s="62">
        <f>IF(L3=0,0,L3/MBunk_act!L3*1000)</f>
        <v>26.154089054543551</v>
      </c>
      <c r="M23" s="62">
        <f>IF(M3=0,0,M3/MBunk_act!M3*1000)</f>
        <v>20.91913500606957</v>
      </c>
      <c r="N23" s="62">
        <f>IF(N3=0,0,N3/MBunk_act!N3*1000)</f>
        <v>13.137794963190311</v>
      </c>
      <c r="O23" s="62">
        <f>IF(O3=0,0,O3/MBunk_act!O3*1000)</f>
        <v>11.558497665701374</v>
      </c>
      <c r="P23" s="62">
        <f>IF(P3=0,0,P3/MBunk_act!P3*1000)</f>
        <v>9.0584585227303887</v>
      </c>
      <c r="Q23" s="62">
        <f>IF(Q3=0,0,Q3/MBunk_act!Q3*1000)</f>
        <v>8.5971746470745067</v>
      </c>
      <c r="R23" s="62">
        <f>IF(R3=0,0,R3/MBunk_act!R3*1000)</f>
        <v>7.4641550239335359</v>
      </c>
      <c r="S23" s="62">
        <f>IF(S3=0,0,S3/MBunk_act!S3*1000)</f>
        <v>9.0042500868522186</v>
      </c>
      <c r="T23" s="62">
        <f>IF(T3=0,0,T3/MBunk_act!T3*1000)</f>
        <v>8.671934753385397</v>
      </c>
      <c r="U23" s="62">
        <f>IF(U3=0,0,U3/MBunk_act!U3*1000)</f>
        <v>9.3915864890817886</v>
      </c>
      <c r="V23" s="62">
        <f>IF(V3=0,0,V3/MBunk_act!V3*1000)</f>
        <v>6.2517724717021315</v>
      </c>
      <c r="W23" s="62">
        <f>IF(W3=0,0,W3/MBunk_act!W3*1000)</f>
        <v>6.8258222470328924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45.236377139772131</v>
      </c>
      <c r="C24" s="63">
        <f>IF(C4=0,0,C4/MBunk_act!C4*1000)</f>
        <v>46.093430858721099</v>
      </c>
      <c r="D24" s="63">
        <f>IF(D4=0,0,D4/MBunk_act!D4*1000)</f>
        <v>42.132573066636731</v>
      </c>
      <c r="E24" s="63">
        <f>IF(E4=0,0,E4/MBunk_act!E4*1000)</f>
        <v>37.377795366978212</v>
      </c>
      <c r="F24" s="63">
        <f>IF(F4=0,0,F4/MBunk_act!F4*1000)</f>
        <v>40.120753436879809</v>
      </c>
      <c r="G24" s="63">
        <f>IF(G4=0,0,G4/MBunk_act!G4*1000)</f>
        <v>37.46171277114933</v>
      </c>
      <c r="H24" s="63">
        <f>IF(H4=0,0,H4/MBunk_act!H4*1000)</f>
        <v>42.490240530812351</v>
      </c>
      <c r="I24" s="63">
        <f>IF(I4=0,0,I4/MBunk_act!I4*1000)</f>
        <v>38.866772474008265</v>
      </c>
      <c r="J24" s="63">
        <f>IF(J4=0,0,J4/MBunk_act!J4*1000)</f>
        <v>42.171411394063732</v>
      </c>
      <c r="K24" s="63">
        <f>IF(K4=0,0,K4/MBunk_act!K4*1000)</f>
        <v>39.082674331727986</v>
      </c>
      <c r="L24" s="63">
        <f>IF(L4=0,0,L4/MBunk_act!L4*1000)</f>
        <v>41.496039880339978</v>
      </c>
      <c r="M24" s="63">
        <f>IF(M4=0,0,M4/MBunk_act!M4*1000)</f>
        <v>37.974703264647744</v>
      </c>
      <c r="N24" s="63">
        <f>IF(N4=0,0,N4/MBunk_act!N4*1000)</f>
        <v>25.782018830874811</v>
      </c>
      <c r="O24" s="63">
        <f>IF(O4=0,0,O4/MBunk_act!O4*1000)</f>
        <v>23.797450019294669</v>
      </c>
      <c r="P24" s="63">
        <f>IF(P4=0,0,P4/MBunk_act!P4*1000)</f>
        <v>19.500507269579494</v>
      </c>
      <c r="Q24" s="63">
        <f>IF(Q4=0,0,Q4/MBunk_act!Q4*1000)</f>
        <v>18.369793367726746</v>
      </c>
      <c r="R24" s="63">
        <f>IF(R4=0,0,R4/MBunk_act!R4*1000)</f>
        <v>16.16792189976341</v>
      </c>
      <c r="S24" s="63">
        <f>IF(S4=0,0,S4/MBunk_act!S4*1000)</f>
        <v>19.596264277770018</v>
      </c>
      <c r="T24" s="63">
        <f>IF(T4=0,0,T4/MBunk_act!T4*1000)</f>
        <v>18.733940685760953</v>
      </c>
      <c r="U24" s="63">
        <f>IF(U4=0,0,U4/MBunk_act!U4*1000)</f>
        <v>20.010074851953867</v>
      </c>
      <c r="V24" s="63">
        <f>IF(V4=0,0,V4/MBunk_act!V4*1000)</f>
        <v>12.139862477338257</v>
      </c>
      <c r="W24" s="63">
        <f>IF(W4=0,0,W4/MBunk_act!W4*1000)</f>
        <v>13.426388467517592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49.715857717995448</v>
      </c>
      <c r="C25" s="64">
        <f>IF(C10=0,0,C10/MBunk_act!C5*1000)</f>
        <v>25.923282624754226</v>
      </c>
      <c r="D25" s="64">
        <f>IF(D10=0,0,D10/MBunk_act!D5*1000)</f>
        <v>21.917567128247754</v>
      </c>
      <c r="E25" s="64">
        <f>IF(E10=0,0,E10/MBunk_act!E5*1000)</f>
        <v>19.629594127377423</v>
      </c>
      <c r="F25" s="64">
        <f>IF(F10=0,0,F10/MBunk_act!F5*1000)</f>
        <v>19.414380750638063</v>
      </c>
      <c r="G25" s="64">
        <f>IF(G10=0,0,G10/MBunk_act!G5*1000)</f>
        <v>17.124374169425547</v>
      </c>
      <c r="H25" s="64">
        <f>IF(H10=0,0,H10/MBunk_act!H5*1000)</f>
        <v>18.783014281799471</v>
      </c>
      <c r="I25" s="64">
        <f>IF(I10=0,0,I10/MBunk_act!I5*1000)</f>
        <v>18.93350780336543</v>
      </c>
      <c r="J25" s="64">
        <f>IF(J10=0,0,J10/MBunk_act!J5*1000)</f>
        <v>21.782324965665453</v>
      </c>
      <c r="K25" s="64">
        <f>IF(K10=0,0,K10/MBunk_act!K5*1000)</f>
        <v>20.161894155288739</v>
      </c>
      <c r="L25" s="64">
        <f>IF(L10=0,0,L10/MBunk_act!L5*1000)</f>
        <v>20.148162719565676</v>
      </c>
      <c r="M25" s="64">
        <f>IF(M10=0,0,M10/MBunk_act!M5*1000)</f>
        <v>15.726799374834899</v>
      </c>
      <c r="N25" s="64">
        <f>IF(N10=0,0,N10/MBunk_act!N5*1000)</f>
        <v>9.8275436980076645</v>
      </c>
      <c r="O25" s="64">
        <f>IF(O10=0,0,O10/MBunk_act!O5*1000)</f>
        <v>8.7234665581783162</v>
      </c>
      <c r="P25" s="64">
        <f>IF(P10=0,0,P10/MBunk_act!P5*1000)</f>
        <v>6.8554528131635131</v>
      </c>
      <c r="Q25" s="64">
        <f>IF(Q10=0,0,Q10/MBunk_act!Q5*1000)</f>
        <v>6.4536013553725793</v>
      </c>
      <c r="R25" s="64">
        <f>IF(R10=0,0,R10/MBunk_act!R5*1000)</f>
        <v>5.6855580315311558</v>
      </c>
      <c r="S25" s="64">
        <f>IF(S10=0,0,S10/MBunk_act!S5*1000)</f>
        <v>6.8080002321713788</v>
      </c>
      <c r="T25" s="64">
        <f>IF(T10=0,0,T10/MBunk_act!T5*1000)</f>
        <v>6.5643205309500283</v>
      </c>
      <c r="U25" s="64">
        <f>IF(U10=0,0,U10/MBunk_act!U5*1000)</f>
        <v>7.0717525688195195</v>
      </c>
      <c r="V25" s="64">
        <f>IF(V10=0,0,V10/MBunk_act!V5*1000)</f>
        <v>4.9949242789716957</v>
      </c>
      <c r="W25" s="64">
        <f>IF(W10=0,0,W10/MBunk_act!W5*1000)</f>
        <v>5.4230036122235497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0.53564118758883383</v>
      </c>
      <c r="C28" s="77">
        <f t="shared" si="3"/>
        <v>0.46072792341140206</v>
      </c>
      <c r="D28" s="77">
        <f t="shared" si="3"/>
        <v>0.43763895885858484</v>
      </c>
      <c r="E28" s="77">
        <f t="shared" si="3"/>
        <v>0.45648774651810053</v>
      </c>
      <c r="F28" s="77">
        <f t="shared" si="3"/>
        <v>0.43829098806024686</v>
      </c>
      <c r="G28" s="77">
        <f t="shared" si="3"/>
        <v>0.4301104671076984</v>
      </c>
      <c r="H28" s="77">
        <f t="shared" si="3"/>
        <v>0.40990028899435255</v>
      </c>
      <c r="I28" s="77">
        <f t="shared" si="3"/>
        <v>0.43511786766574884</v>
      </c>
      <c r="J28" s="77">
        <f t="shared" si="3"/>
        <v>0.45937837666842163</v>
      </c>
      <c r="K28" s="77">
        <f t="shared" si="3"/>
        <v>0.46732212578720383</v>
      </c>
      <c r="L28" s="77">
        <f t="shared" si="3"/>
        <v>0.44636728832283173</v>
      </c>
      <c r="M28" s="77">
        <f t="shared" si="3"/>
        <v>0.42366669402045753</v>
      </c>
      <c r="N28" s="77">
        <f t="shared" si="3"/>
        <v>0.40716728897064486</v>
      </c>
      <c r="O28" s="77">
        <f t="shared" si="3"/>
        <v>0.38722093373463085</v>
      </c>
      <c r="P28" s="77">
        <f t="shared" si="3"/>
        <v>0.37504771816247012</v>
      </c>
      <c r="Q28" s="77">
        <f t="shared" si="3"/>
        <v>0.38436989623304785</v>
      </c>
      <c r="R28" s="77">
        <f t="shared" si="3"/>
        <v>0.36752922129994847</v>
      </c>
      <c r="S28" s="77">
        <f t="shared" si="3"/>
        <v>0.3737626411789095</v>
      </c>
      <c r="T28" s="77">
        <f t="shared" si="3"/>
        <v>0.37413405139248862</v>
      </c>
      <c r="U28" s="77">
        <f t="shared" si="3"/>
        <v>0.38202226951800772</v>
      </c>
      <c r="V28" s="77">
        <f t="shared" si="3"/>
        <v>0.34158197993320649</v>
      </c>
      <c r="W28" s="77">
        <f t="shared" si="3"/>
        <v>0.34477205639978398</v>
      </c>
      <c r="DA28" s="184"/>
    </row>
    <row r="29" spans="1:105" ht="11.45" customHeight="1" x14ac:dyDescent="0.25">
      <c r="A29" s="57" t="s">
        <v>171</v>
      </c>
      <c r="B29" s="78">
        <f>IF(B10=0,0,B10/B$3)</f>
        <v>0.46435881241116611</v>
      </c>
      <c r="C29" s="78">
        <f t="shared" ref="C29:W29" si="4">IF(C10=0,0,C10/C$3)</f>
        <v>0.53927207658859788</v>
      </c>
      <c r="D29" s="78">
        <f t="shared" si="4"/>
        <v>0.56236104114141505</v>
      </c>
      <c r="E29" s="78">
        <f t="shared" si="4"/>
        <v>0.54351225348189947</v>
      </c>
      <c r="F29" s="78">
        <f t="shared" si="4"/>
        <v>0.5617090119397532</v>
      </c>
      <c r="G29" s="78">
        <f t="shared" si="4"/>
        <v>0.56988953289230171</v>
      </c>
      <c r="H29" s="78">
        <f t="shared" si="4"/>
        <v>0.59009971100564751</v>
      </c>
      <c r="I29" s="78">
        <f t="shared" si="4"/>
        <v>0.56488213233425111</v>
      </c>
      <c r="J29" s="78">
        <f t="shared" si="4"/>
        <v>0.54062162333157837</v>
      </c>
      <c r="K29" s="78">
        <f t="shared" si="4"/>
        <v>0.53267787421279622</v>
      </c>
      <c r="L29" s="78">
        <f t="shared" si="4"/>
        <v>0.55363271167716843</v>
      </c>
      <c r="M29" s="78">
        <f t="shared" si="4"/>
        <v>0.57633330597954258</v>
      </c>
      <c r="N29" s="78">
        <f t="shared" si="4"/>
        <v>0.59283271102935509</v>
      </c>
      <c r="O29" s="78">
        <f t="shared" si="4"/>
        <v>0.61277906626536915</v>
      </c>
      <c r="P29" s="78">
        <f t="shared" si="4"/>
        <v>0.62495228183752982</v>
      </c>
      <c r="Q29" s="78">
        <f t="shared" si="4"/>
        <v>0.61563010376695215</v>
      </c>
      <c r="R29" s="78">
        <f t="shared" si="4"/>
        <v>0.63247077870005153</v>
      </c>
      <c r="S29" s="78">
        <f t="shared" si="4"/>
        <v>0.62623735882109055</v>
      </c>
      <c r="T29" s="78">
        <f t="shared" si="4"/>
        <v>0.62586594860751132</v>
      </c>
      <c r="U29" s="78">
        <f t="shared" si="4"/>
        <v>0.61797773048199234</v>
      </c>
      <c r="V29" s="78">
        <f t="shared" si="4"/>
        <v>0.65841802006679351</v>
      </c>
      <c r="W29" s="78">
        <f t="shared" si="4"/>
        <v>0.65522794360021597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11563.627983120003</v>
      </c>
      <c r="C3" s="62">
        <f t="shared" ref="C3:W3" si="1">SUM(C4:C5)</f>
        <v>11236.309081919997</v>
      </c>
      <c r="D3" s="62">
        <f t="shared" si="1"/>
        <v>10098.808137</v>
      </c>
      <c r="E3" s="62">
        <f t="shared" si="1"/>
        <v>10331.326410480004</v>
      </c>
      <c r="F3" s="62">
        <f t="shared" si="1"/>
        <v>10437.843897360002</v>
      </c>
      <c r="G3" s="62">
        <f t="shared" si="1"/>
        <v>9240.0447319200011</v>
      </c>
      <c r="H3" s="62">
        <f t="shared" si="1"/>
        <v>9975.3507014400002</v>
      </c>
      <c r="I3" s="62">
        <f t="shared" si="1"/>
        <v>10391.931272519998</v>
      </c>
      <c r="J3" s="62">
        <f t="shared" si="1"/>
        <v>9953.2681527599998</v>
      </c>
      <c r="K3" s="62">
        <f t="shared" si="1"/>
        <v>8371.9324490400031</v>
      </c>
      <c r="L3" s="62">
        <f t="shared" si="1"/>
        <v>8729.4803407200015</v>
      </c>
      <c r="M3" s="62">
        <f t="shared" si="1"/>
        <v>8872.7915408400004</v>
      </c>
      <c r="N3" s="62">
        <f t="shared" si="1"/>
        <v>7248.1308591600018</v>
      </c>
      <c r="O3" s="62">
        <f t="shared" si="1"/>
        <v>6831.202137119999</v>
      </c>
      <c r="P3" s="62">
        <f t="shared" si="1"/>
        <v>6003.3824449200019</v>
      </c>
      <c r="Q3" s="62">
        <f t="shared" si="1"/>
        <v>5733.5434459200005</v>
      </c>
      <c r="R3" s="62">
        <f t="shared" si="1"/>
        <v>5526.3885282000019</v>
      </c>
      <c r="S3" s="62">
        <f t="shared" si="1"/>
        <v>6867.1262318400004</v>
      </c>
      <c r="T3" s="62">
        <f t="shared" si="1"/>
        <v>7034.3287822799984</v>
      </c>
      <c r="U3" s="62">
        <f t="shared" si="1"/>
        <v>8105.5124323199998</v>
      </c>
      <c r="V3" s="62">
        <f t="shared" si="1"/>
        <v>5222.4896235600017</v>
      </c>
      <c r="W3" s="62">
        <f t="shared" si="1"/>
        <v>5812.9823473200022</v>
      </c>
      <c r="DA3" s="172" t="s">
        <v>985</v>
      </c>
    </row>
    <row r="4" spans="1:105" ht="11.45" customHeight="1" x14ac:dyDescent="0.25">
      <c r="A4" s="55" t="s">
        <v>170</v>
      </c>
      <c r="B4" s="63">
        <v>6160.6911994364727</v>
      </c>
      <c r="C4" s="63">
        <v>5146.8095222740076</v>
      </c>
      <c r="D4" s="63">
        <v>4392.3089982610854</v>
      </c>
      <c r="E4" s="63">
        <v>4691.5028264256598</v>
      </c>
      <c r="F4" s="63">
        <v>4551.3041419666351</v>
      </c>
      <c r="G4" s="63">
        <v>3954.6538563626623</v>
      </c>
      <c r="H4" s="63">
        <v>4068.3006416724861</v>
      </c>
      <c r="I4" s="63">
        <v>4503.8549302380225</v>
      </c>
      <c r="J4" s="63">
        <v>4555.120643673019</v>
      </c>
      <c r="K4" s="63">
        <v>3896.7894572991318</v>
      </c>
      <c r="L4" s="63">
        <v>3879.2813355301473</v>
      </c>
      <c r="M4" s="63">
        <v>3743.6138264683627</v>
      </c>
      <c r="N4" s="63">
        <v>2937.2941300343937</v>
      </c>
      <c r="O4" s="63">
        <v>2630.4814133402765</v>
      </c>
      <c r="P4" s="63">
        <v>2237.6539083756752</v>
      </c>
      <c r="Q4" s="63">
        <v>2187.7300903664113</v>
      </c>
      <c r="R4" s="63">
        <v>2014.7644226276566</v>
      </c>
      <c r="S4" s="63">
        <v>2548.7897997265532</v>
      </c>
      <c r="T4" s="63">
        <v>2614.7986973787356</v>
      </c>
      <c r="U4" s="63">
        <v>3076.0264412101187</v>
      </c>
      <c r="V4" s="63">
        <v>1765.5477240876774</v>
      </c>
      <c r="W4" s="63">
        <v>1982.8782263687472</v>
      </c>
      <c r="DA4" s="181" t="s">
        <v>986</v>
      </c>
    </row>
    <row r="5" spans="1:105" ht="11.45" customHeight="1" x14ac:dyDescent="0.25">
      <c r="A5" s="57" t="s">
        <v>171</v>
      </c>
      <c r="B5" s="64">
        <v>5402.9367836835299</v>
      </c>
      <c r="C5" s="64">
        <v>6089.4995596459894</v>
      </c>
      <c r="D5" s="64">
        <v>5706.4991387389136</v>
      </c>
      <c r="E5" s="64">
        <v>5639.8235840543439</v>
      </c>
      <c r="F5" s="64">
        <v>5886.5397553933662</v>
      </c>
      <c r="G5" s="64">
        <v>5285.3908755573393</v>
      </c>
      <c r="H5" s="64">
        <v>5907.0500597675145</v>
      </c>
      <c r="I5" s="64">
        <v>5888.0763422819755</v>
      </c>
      <c r="J5" s="64">
        <v>5398.1475090869799</v>
      </c>
      <c r="K5" s="64">
        <v>4475.1429917408705</v>
      </c>
      <c r="L5" s="64">
        <v>4850.1990051898547</v>
      </c>
      <c r="M5" s="64">
        <v>5129.1777143716372</v>
      </c>
      <c r="N5" s="64">
        <v>4310.8367291256081</v>
      </c>
      <c r="O5" s="64">
        <v>4200.7207237797229</v>
      </c>
      <c r="P5" s="64">
        <v>3765.7285365443267</v>
      </c>
      <c r="Q5" s="64">
        <v>3545.8133555535887</v>
      </c>
      <c r="R5" s="64">
        <v>3511.6241055723453</v>
      </c>
      <c r="S5" s="64">
        <v>4318.3364321134477</v>
      </c>
      <c r="T5" s="64">
        <v>4419.5300849012629</v>
      </c>
      <c r="U5" s="64">
        <v>5029.4859911098811</v>
      </c>
      <c r="V5" s="64">
        <v>3456.9418994723242</v>
      </c>
      <c r="W5" s="64">
        <v>3830.104120951255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3.2093083248458685</v>
      </c>
      <c r="C9" s="79">
        <f>IF(C3=0,0,C3/MBunk_ene!C3)</f>
        <v>3.2139050948625978</v>
      </c>
      <c r="D9" s="79">
        <f>IF(D3=0,0,D3/MBunk_ene!D3)</f>
        <v>3.2132264163267243</v>
      </c>
      <c r="E9" s="79">
        <f>IF(E3=0,0,E3/MBunk_ene!E3)</f>
        <v>3.2164206256580719</v>
      </c>
      <c r="F9" s="79">
        <f>IF(F3=0,0,F3/MBunk_ene!F3)</f>
        <v>3.2173473589349948</v>
      </c>
      <c r="G9" s="79">
        <f>IF(G3=0,0,G3/MBunk_ene!G3)</f>
        <v>3.2202717274955841</v>
      </c>
      <c r="H9" s="79">
        <f>IF(H3=0,0,H3/MBunk_ene!H3)</f>
        <v>3.2210166697821947</v>
      </c>
      <c r="I9" s="79">
        <f>IF(I3=0,0,I3/MBunk_ene!I3)</f>
        <v>3.2195835682433729</v>
      </c>
      <c r="J9" s="79">
        <f>IF(J3=0,0,J3/MBunk_ene!J3)</f>
        <v>3.2237217775295535</v>
      </c>
      <c r="K9" s="79">
        <f>IF(K3=0,0,K3/MBunk_ene!K3)</f>
        <v>3.22198672165886</v>
      </c>
      <c r="L9" s="79">
        <f>IF(L3=0,0,L3/MBunk_ene!L3)</f>
        <v>3.2211501582933888</v>
      </c>
      <c r="M9" s="79">
        <f>IF(M3=0,0,M3/MBunk_ene!M3)</f>
        <v>3.2237648437161872</v>
      </c>
      <c r="N9" s="79">
        <f>IF(N3=0,0,N3/MBunk_ene!N3)</f>
        <v>3.2234652032200946</v>
      </c>
      <c r="O9" s="79">
        <f>IF(O3=0,0,O3/MBunk_ene!O3)</f>
        <v>3.2213056500759034</v>
      </c>
      <c r="P9" s="79">
        <f>IF(P3=0,0,P3/MBunk_ene!P3)</f>
        <v>3.2191128145336165</v>
      </c>
      <c r="Q9" s="79">
        <f>IF(Q3=0,0,Q3/MBunk_ene!Q3)</f>
        <v>3.2155705807219737</v>
      </c>
      <c r="R9" s="79">
        <f>IF(R3=0,0,R3/MBunk_ene!R3)</f>
        <v>3.2145147625476036</v>
      </c>
      <c r="S9" s="79">
        <f>IF(S3=0,0,S3/MBunk_ene!S3)</f>
        <v>3.2176065236434184</v>
      </c>
      <c r="T9" s="79">
        <f>IF(T3=0,0,T3/MBunk_ene!T3)</f>
        <v>3.2192045857824589</v>
      </c>
      <c r="U9" s="79">
        <f>IF(U3=0,0,U3/MBunk_ene!U3)</f>
        <v>3.2186486713143241</v>
      </c>
      <c r="V9" s="79">
        <f>IF(V3=0,0,V3/MBunk_ene!V3)</f>
        <v>3.2102338766991596</v>
      </c>
      <c r="W9" s="79">
        <f>IF(W3=0,0,W3/MBunk_ene!W3)</f>
        <v>3.2101836564188448</v>
      </c>
      <c r="DA9" s="172"/>
    </row>
    <row r="10" spans="1:105" ht="11.45" customHeight="1" x14ac:dyDescent="0.25">
      <c r="A10" s="55" t="s">
        <v>170</v>
      </c>
      <c r="B10" s="80">
        <f>IF(B4=0,0,B4/MBunk_ene!B4)</f>
        <v>3.1920729476152836</v>
      </c>
      <c r="C10" s="80">
        <f>IF(C4=0,0,C4/MBunk_ene!C4)</f>
        <v>3.1952359397873735</v>
      </c>
      <c r="D10" s="80">
        <f>IF(D4=0,0,D4/MBunk_ene!D4)</f>
        <v>3.1933617298797166</v>
      </c>
      <c r="E10" s="80">
        <f>IF(E4=0,0,E4/MBunk_ene!E4)</f>
        <v>3.1996289196158547</v>
      </c>
      <c r="F10" s="80">
        <f>IF(F4=0,0,F4/MBunk_ene!F4)</f>
        <v>3.2008142481363433</v>
      </c>
      <c r="G10" s="80">
        <f>IF(G4=0,0,G4/MBunk_ene!G4)</f>
        <v>3.2044013817726191</v>
      </c>
      <c r="H10" s="80">
        <f>IF(H4=0,0,H4/MBunk_ene!H4)</f>
        <v>3.2047902750289223</v>
      </c>
      <c r="I10" s="80">
        <f>IF(I4=0,0,I4/MBunk_ene!I4)</f>
        <v>3.2068667316228803</v>
      </c>
      <c r="J10" s="80">
        <f>IF(J4=0,0,J4/MBunk_ene!J4)</f>
        <v>3.211598035515947</v>
      </c>
      <c r="K10" s="80">
        <f>IF(K4=0,0,K4/MBunk_ene!K4)</f>
        <v>3.2091397417680008</v>
      </c>
      <c r="L10" s="80">
        <f>IF(L4=0,0,L4/MBunk_ene!L4)</f>
        <v>3.2068710421300239</v>
      </c>
      <c r="M10" s="80">
        <f>IF(M4=0,0,M4/MBunk_ene!M4)</f>
        <v>3.2104787178699024</v>
      </c>
      <c r="N10" s="80">
        <f>IF(N4=0,0,N4/MBunk_ene!N4)</f>
        <v>3.2082744885025449</v>
      </c>
      <c r="O10" s="80">
        <f>IF(O4=0,0,O4/MBunk_ene!O4)</f>
        <v>3.2034002675822832</v>
      </c>
      <c r="P10" s="80">
        <f>IF(P4=0,0,P4/MBunk_ene!P4)</f>
        <v>3.1992381850503513</v>
      </c>
      <c r="Q10" s="80">
        <f>IF(Q4=0,0,Q4/MBunk_ene!Q4)</f>
        <v>3.1921207600586383</v>
      </c>
      <c r="R10" s="80">
        <f>IF(R4=0,0,R4/MBunk_ene!R4)</f>
        <v>3.1886467496818645</v>
      </c>
      <c r="S10" s="80">
        <f>IF(S4=0,0,S4/MBunk_ene!S4)</f>
        <v>3.1951851821643857</v>
      </c>
      <c r="T10" s="80">
        <f>IF(T4=0,0,T4/MBunk_ene!T4)</f>
        <v>3.1984306427097127</v>
      </c>
      <c r="U10" s="80">
        <f>IF(U4=0,0,U4/MBunk_ene!U4)</f>
        <v>3.1973816780027913</v>
      </c>
      <c r="V10" s="80">
        <f>IF(V4=0,0,V4/MBunk_ene!V4)</f>
        <v>3.1771930033017011</v>
      </c>
      <c r="W10" s="80">
        <f>IF(W4=0,0,W4/MBunk_ene!W4)</f>
        <v>3.1761050614831507</v>
      </c>
      <c r="DA10" s="181"/>
    </row>
    <row r="11" spans="1:105" ht="11.45" customHeight="1" x14ac:dyDescent="0.25">
      <c r="A11" s="57" t="s">
        <v>171</v>
      </c>
      <c r="B11" s="81">
        <f>IF(B5=0,0,B5/MBunk_ene!B10)</f>
        <v>3.2291894548720128</v>
      </c>
      <c r="C11" s="81">
        <f>IF(C5=0,0,C5/MBunk_ene!C10)</f>
        <v>3.229855116054249</v>
      </c>
      <c r="D11" s="81">
        <f>IF(D5=0,0,D5/MBunk_ene!D10)</f>
        <v>3.2286854543089349</v>
      </c>
      <c r="E11" s="81">
        <f>IF(E5=0,0,E5/MBunk_ene!E10)</f>
        <v>3.2305237263743858</v>
      </c>
      <c r="F11" s="81">
        <f>IF(F5=0,0,F5/MBunk_ene!F10)</f>
        <v>3.2302478346503953</v>
      </c>
      <c r="G11" s="81">
        <f>IF(G5=0,0,G5/MBunk_ene!G10)</f>
        <v>3.2322494905849006</v>
      </c>
      <c r="H11" s="81">
        <f>IF(H5=0,0,H5/MBunk_ene!H10)</f>
        <v>3.2322879918565066</v>
      </c>
      <c r="I11" s="81">
        <f>IF(I5=0,0,I5/MBunk_ene!I10)</f>
        <v>3.2293791034834363</v>
      </c>
      <c r="J11" s="81">
        <f>IF(J5=0,0,J5/MBunk_ene!J10)</f>
        <v>3.234023594336354</v>
      </c>
      <c r="K11" s="81">
        <f>IF(K5=0,0,K5/MBunk_ene!K10)</f>
        <v>3.233257469409391</v>
      </c>
      <c r="L11" s="81">
        <f>IF(L5=0,0,L5/MBunk_ene!L10)</f>
        <v>3.2326627192874446</v>
      </c>
      <c r="M11" s="81">
        <f>IF(M5=0,0,M5/MBunk_ene!M10)</f>
        <v>3.233531568899747</v>
      </c>
      <c r="N11" s="81">
        <f>IF(N5=0,0,N5/MBunk_ene!N10)</f>
        <v>3.2338984367681078</v>
      </c>
      <c r="O11" s="81">
        <f>IF(O5=0,0,O5/MBunk_ene!O10)</f>
        <v>3.2326202319696868</v>
      </c>
      <c r="P11" s="81">
        <f>IF(P5=0,0,P5/MBunk_ene!P10)</f>
        <v>3.2310400202637997</v>
      </c>
      <c r="Q11" s="81">
        <f>IF(Q5=0,0,Q5/MBunk_ene!Q10)</f>
        <v>3.2302115235217128</v>
      </c>
      <c r="R11" s="81">
        <f>IF(R5=0,0,R5/MBunk_ene!R10)</f>
        <v>3.2295466833023663</v>
      </c>
      <c r="S11" s="81">
        <f>IF(S5=0,0,S5/MBunk_ene!S10)</f>
        <v>3.2309884461556009</v>
      </c>
      <c r="T11" s="81">
        <f>IF(T5=0,0,T5/MBunk_ene!T10)</f>
        <v>3.2316229630763447</v>
      </c>
      <c r="U11" s="81">
        <f>IF(U5=0,0,U5/MBunk_ene!U10)</f>
        <v>3.2317955286361233</v>
      </c>
      <c r="V11" s="81">
        <f>IF(V5=0,0,V5/MBunk_ene!V10)</f>
        <v>3.2273752164101857</v>
      </c>
      <c r="W11" s="81">
        <f>IF(W5=0,0,W5/MBunk_ene!W10)</f>
        <v>3.2281153508313829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76730.114261610477</v>
      </c>
      <c r="C13" s="62">
        <f>IF(C3=0,0,C3/MBunk_act!C7*100)</f>
        <v>76088.958262196567</v>
      </c>
      <c r="D13" s="62">
        <f>IF(D3=0,0,D3/MBunk_act!D7*100)</f>
        <v>72314.432599470034</v>
      </c>
      <c r="E13" s="62">
        <f>IF(E3=0,0,E3/MBunk_act!E7*100)</f>
        <v>62425.755278710043</v>
      </c>
      <c r="F13" s="62">
        <f>IF(F3=0,0,F3/MBunk_act!F7*100)</f>
        <v>65694.488852099108</v>
      </c>
      <c r="G13" s="62">
        <f>IF(G3=0,0,G3/MBunk_act!G7*100)</f>
        <v>59781.586906964199</v>
      </c>
      <c r="H13" s="62">
        <f>IF(H3=0,0,H3/MBunk_act!H7*100)</f>
        <v>67367.848691255873</v>
      </c>
      <c r="I13" s="62">
        <f>IF(I3=0,0,I3/MBunk_act!I7*100)</f>
        <v>63053.676450588464</v>
      </c>
      <c r="J13" s="62">
        <f>IF(J3=0,0,J3/MBunk_act!J7*100)</f>
        <v>68370.144138487958</v>
      </c>
      <c r="K13" s="62">
        <f>IF(K3=0,0,K3/MBunk_act!K7*100)</f>
        <v>75746.594013527938</v>
      </c>
      <c r="L13" s="62">
        <f>IF(L3=0,0,L3/MBunk_act!L7*100)</f>
        <v>81992.403845926267</v>
      </c>
      <c r="M13" s="62">
        <f>IF(M3=0,0,M3/MBunk_act!M7*100)</f>
        <v>58203.895277757772</v>
      </c>
      <c r="N13" s="62">
        <f>IF(N3=0,0,N3/MBunk_act!N7*100)</f>
        <v>39327.63790555895</v>
      </c>
      <c r="O13" s="62">
        <f>IF(O3=0,0,O3/MBunk_act!O7*100)</f>
        <v>40150.604316717581</v>
      </c>
      <c r="P13" s="62">
        <f>IF(P3=0,0,P3/MBunk_act!P7*100)</f>
        <v>34274.827812761876</v>
      </c>
      <c r="Q13" s="62">
        <f>IF(Q3=0,0,Q3/MBunk_act!Q7*100)</f>
        <v>35516.430419327335</v>
      </c>
      <c r="R13" s="62">
        <f>IF(R3=0,0,R3/MBunk_act!R7*100)</f>
        <v>32367.403877443121</v>
      </c>
      <c r="S13" s="62">
        <f>IF(S3=0,0,S3/MBunk_act!S7*100)</f>
        <v>40045.265023637767</v>
      </c>
      <c r="T13" s="62">
        <f>IF(T3=0,0,T3/MBunk_act!T7*100)</f>
        <v>39195.208435769717</v>
      </c>
      <c r="U13" s="62">
        <f>IF(U3=0,0,U3/MBunk_act!U7*100)</f>
        <v>40145.044123176725</v>
      </c>
      <c r="V13" s="62">
        <f>IF(V3=0,0,V3/MBunk_act!V7*100)</f>
        <v>30008.194442913795</v>
      </c>
      <c r="W13" s="62">
        <f>IF(W3=0,0,W3/MBunk_act!W7*100)</f>
        <v>31610.846122197152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55099.713025635414</v>
      </c>
      <c r="C14" s="63">
        <f>IF(C4=0,0,C4/MBunk_act!C8*100)</f>
        <v>57752.08193215308</v>
      </c>
      <c r="D14" s="63">
        <f>IF(D4=0,0,D4/MBunk_act!D8*100)</f>
        <v>57079.067247342311</v>
      </c>
      <c r="E14" s="63">
        <f>IF(E4=0,0,E4/MBunk_act!E8*100)</f>
        <v>48975.981650492824</v>
      </c>
      <c r="F14" s="63">
        <f>IF(F4=0,0,F4/MBunk_act!F8*100)</f>
        <v>51717.619779953297</v>
      </c>
      <c r="G14" s="63">
        <f>IF(G4=0,0,G4/MBunk_act!G8*100)</f>
        <v>46711.846149516292</v>
      </c>
      <c r="H14" s="63">
        <f>IF(H4=0,0,H4/MBunk_act!H8*100)</f>
        <v>54692.038442280522</v>
      </c>
      <c r="I14" s="63">
        <f>IF(I4=0,0,I4/MBunk_act!I8*100)</f>
        <v>50625.225148306366</v>
      </c>
      <c r="J14" s="63">
        <f>IF(J4=0,0,J4/MBunk_act!J8*100)</f>
        <v>52001.777302584786</v>
      </c>
      <c r="K14" s="63">
        <f>IF(K4=0,0,K4/MBunk_act!K8*100)</f>
        <v>58993.058930379004</v>
      </c>
      <c r="L14" s="63">
        <f>IF(L4=0,0,L4/MBunk_act!L8*100)</f>
        <v>64175.692254463844</v>
      </c>
      <c r="M14" s="63">
        <f>IF(M4=0,0,M4/MBunk_act!M8*100)</f>
        <v>42924.105316950656</v>
      </c>
      <c r="N14" s="63">
        <f>IF(N4=0,0,N4/MBunk_act!N8*100)</f>
        <v>28677.248459075832</v>
      </c>
      <c r="O14" s="63">
        <f>IF(O4=0,0,O4/MBunk_act!O8*100)</f>
        <v>28076.065738272609</v>
      </c>
      <c r="P14" s="63">
        <f>IF(P4=0,0,P4/MBunk_act!P8*100)</f>
        <v>23746.566359321543</v>
      </c>
      <c r="Q14" s="63">
        <f>IF(Q4=0,0,Q4/MBunk_act!Q8*100)</f>
        <v>23972.836021530562</v>
      </c>
      <c r="R14" s="63">
        <f>IF(R4=0,0,R4/MBunk_act!R8*100)</f>
        <v>21950.662896314698</v>
      </c>
      <c r="S14" s="63">
        <f>IF(S4=0,0,S4/MBunk_act!S8*100)</f>
        <v>26880.354100373057</v>
      </c>
      <c r="T14" s="63">
        <f>IF(T4=0,0,T4/MBunk_act!T8*100)</f>
        <v>26150.126054098582</v>
      </c>
      <c r="U14" s="63">
        <f>IF(U4=0,0,U4/MBunk_act!U8*100)</f>
        <v>26726.070912189782</v>
      </c>
      <c r="V14" s="63">
        <f>IF(V4=0,0,V4/MBunk_act!V8*100)</f>
        <v>18315.44119660218</v>
      </c>
      <c r="W14" s="63">
        <f>IF(W4=0,0,W4/MBunk_act!W8*100)</f>
        <v>18985.555886010607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138909.58131713764</v>
      </c>
      <c r="C15" s="64">
        <f>IF(C5=0,0,C5/MBunk_act!C9*100)</f>
        <v>103997.4963345297</v>
      </c>
      <c r="D15" s="64">
        <f>IF(D5=0,0,D5/MBunk_act!D9*100)</f>
        <v>91012.687372111948</v>
      </c>
      <c r="E15" s="64">
        <f>IF(E5=0,0,E5/MBunk_act!E9*100)</f>
        <v>80908.829452973834</v>
      </c>
      <c r="F15" s="64">
        <f>IF(F5=0,0,F5/MBunk_act!F9*100)</f>
        <v>83047.442538278468</v>
      </c>
      <c r="G15" s="64">
        <f>IF(G5=0,0,G5/MBunk_act!G9*100)</f>
        <v>75610.6070697533</v>
      </c>
      <c r="H15" s="64">
        <f>IF(H5=0,0,H5/MBunk_act!H9*100)</f>
        <v>80163.790318265528</v>
      </c>
      <c r="I15" s="64">
        <f>IF(I5=0,0,I5/MBunk_act!I9*100)</f>
        <v>77631.760237548719</v>
      </c>
      <c r="J15" s="64">
        <f>IF(J5=0,0,J5/MBunk_act!J9*100)</f>
        <v>93097.704545261353</v>
      </c>
      <c r="K15" s="64">
        <f>IF(K5=0,0,K5/MBunk_act!K9*100)</f>
        <v>100631.76722492921</v>
      </c>
      <c r="L15" s="64">
        <f>IF(L5=0,0,L5/MBunk_act!L9*100)</f>
        <v>105395.32392499236</v>
      </c>
      <c r="M15" s="64">
        <f>IF(M5=0,0,M5/MBunk_act!M9*100)</f>
        <v>78633.94940882684</v>
      </c>
      <c r="N15" s="64">
        <f>IF(N5=0,0,N5/MBunk_act!N9*100)</f>
        <v>52651.273768481566</v>
      </c>
      <c r="O15" s="64">
        <f>IF(O5=0,0,O5/MBunk_act!O9*100)</f>
        <v>54948.574653271498</v>
      </c>
      <c r="P15" s="64">
        <f>IF(P5=0,0,P5/MBunk_act!P9*100)</f>
        <v>46534.344433151135</v>
      </c>
      <c r="Q15" s="64">
        <f>IF(Q5=0,0,Q5/MBunk_act!Q9*100)</f>
        <v>50528.271322793022</v>
      </c>
      <c r="R15" s="64">
        <f>IF(R5=0,0,R5/MBunk_act!R9*100)</f>
        <v>44477.241548069251</v>
      </c>
      <c r="S15" s="64">
        <f>IF(S5=0,0,S5/MBunk_act!S9*100)</f>
        <v>56327.866192131776</v>
      </c>
      <c r="T15" s="64">
        <f>IF(T5=0,0,T5/MBunk_act!T9*100)</f>
        <v>55607.465239138313</v>
      </c>
      <c r="U15" s="64">
        <f>IF(U5=0,0,U5/MBunk_act!U9*100)</f>
        <v>57935.991478390555</v>
      </c>
      <c r="V15" s="64">
        <f>IF(V5=0,0,V5/MBunk_act!V9*100)</f>
        <v>44525.974580384573</v>
      </c>
      <c r="W15" s="64">
        <f>IF(W5=0,0,W5/MBunk_act!W9*100)</f>
        <v>48207.359527526038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151.51687079729393</v>
      </c>
      <c r="C17" s="62">
        <f>IF(C3=0,0,C3/MBunk_act!C3*1000)</f>
        <v>104.35387738522533</v>
      </c>
      <c r="D17" s="62">
        <f>IF(D3=0,0,D3/MBunk_act!D3*1000)</f>
        <v>89.144381522779909</v>
      </c>
      <c r="E17" s="62">
        <f>IF(E3=0,0,E3/MBunk_act!E3*1000)</f>
        <v>80.60958967769642</v>
      </c>
      <c r="F17" s="62">
        <f>IF(F3=0,0,F3/MBunk_act!F3*1000)</f>
        <v>80.72242451565846</v>
      </c>
      <c r="G17" s="62">
        <f>IF(G3=0,0,G3/MBunk_act!G3*1000)</f>
        <v>71.944061514211654</v>
      </c>
      <c r="H17" s="62">
        <f>IF(H3=0,0,H3/MBunk_act!H3*1000)</f>
        <v>78.439714018619753</v>
      </c>
      <c r="I17" s="62">
        <f>IF(I3=0,0,I3/MBunk_act!I3*1000)</f>
        <v>78.468704468693218</v>
      </c>
      <c r="J17" s="62">
        <f>IF(J3=0,0,J3/MBunk_act!J3*1000)</f>
        <v>90.268967962797788</v>
      </c>
      <c r="K17" s="62">
        <f>IF(K3=0,0,K3/MBunk_act!K3*1000)</f>
        <v>83.955529335603899</v>
      </c>
      <c r="L17" s="62">
        <f>IF(L3=0,0,L3/MBunk_act!L3*1000)</f>
        <v>84.246248098062352</v>
      </c>
      <c r="M17" s="62">
        <f>IF(M3=0,0,M3/MBunk_act!M3*1000)</f>
        <v>67.438371993519695</v>
      </c>
      <c r="N17" s="62">
        <f>IF(N3=0,0,N3/MBunk_act!N3*1000)</f>
        <v>42.349224910884189</v>
      </c>
      <c r="O17" s="62">
        <f>IF(O3=0,0,O3/MBunk_act!O3*1000)</f>
        <v>37.233453836912979</v>
      </c>
      <c r="P17" s="62">
        <f>IF(P3=0,0,P3/MBunk_act!P3*1000)</f>
        <v>29.16019991044265</v>
      </c>
      <c r="Q17" s="62">
        <f>IF(Q3=0,0,Q3/MBunk_act!Q3*1000)</f>
        <v>27.644821872461591</v>
      </c>
      <c r="R17" s="62">
        <f>IF(R3=0,0,R3/MBunk_act!R3*1000)</f>
        <v>23.993636514378213</v>
      </c>
      <c r="S17" s="62">
        <f>IF(S3=0,0,S3/MBunk_act!S3*1000)</f>
        <v>28.972133819972516</v>
      </c>
      <c r="T17" s="62">
        <f>IF(T3=0,0,T3/MBunk_act!T3*1000)</f>
        <v>27.916732125704549</v>
      </c>
      <c r="U17" s="62">
        <f>IF(U3=0,0,U3/MBunk_act!U3*1000)</f>
        <v>30.228217374616658</v>
      </c>
      <c r="V17" s="62">
        <f>IF(V3=0,0,V3/MBunk_act!V3*1000)</f>
        <v>20.069651778073418</v>
      </c>
      <c r="W17" s="62">
        <f>IF(W3=0,0,W3/MBunk_act!W3*1000)</f>
        <v>21.912143019045146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144.39781571598905</v>
      </c>
      <c r="C18" s="63">
        <f>IF(C4=0,0,C4/MBunk_act!C4*1000)</f>
        <v>147.27938686789003</v>
      </c>
      <c r="D18" s="63">
        <f>IF(D4=0,0,D4/MBunk_act!D4*1000)</f>
        <v>134.54454641235864</v>
      </c>
      <c r="E18" s="63">
        <f>IF(E4=0,0,E4/MBunk_act!E4*1000)</f>
        <v>119.59507500766698</v>
      </c>
      <c r="F18" s="63">
        <f>IF(F4=0,0,F4/MBunk_act!F4*1000)</f>
        <v>128.41907924673004</v>
      </c>
      <c r="G18" s="63">
        <f>IF(G4=0,0,G4/MBunk_act!G4*1000)</f>
        <v>120.04236416743991</v>
      </c>
      <c r="H18" s="63">
        <f>IF(H4=0,0,H4/MBunk_act!H4*1000)</f>
        <v>136.17230963678716</v>
      </c>
      <c r="I18" s="63">
        <f>IF(I4=0,0,I4/MBunk_act!I4*1000)</f>
        <v>124.64055961245302</v>
      </c>
      <c r="J18" s="63">
        <f>IF(J4=0,0,J4/MBunk_act!J4*1000)</f>
        <v>135.4376219881099</v>
      </c>
      <c r="K18" s="63">
        <f>IF(K4=0,0,K4/MBunk_act!K4*1000)</f>
        <v>125.42176341252443</v>
      </c>
      <c r="L18" s="63">
        <f>IF(L4=0,0,L4/MBunk_act!L4*1000)</f>
        <v>133.07244865533491</v>
      </c>
      <c r="M18" s="63">
        <f>IF(M4=0,0,M4/MBunk_act!M4*1000)</f>
        <v>121.91697664857627</v>
      </c>
      <c r="N18" s="63">
        <f>IF(N4=0,0,N4/MBunk_act!N4*1000)</f>
        <v>82.715793277187871</v>
      </c>
      <c r="O18" s="63">
        <f>IF(O4=0,0,O4/MBunk_act!O4*1000)</f>
        <v>76.232757759584544</v>
      </c>
      <c r="P18" s="63">
        <f>IF(P4=0,0,P4/MBunk_act!P4*1000)</f>
        <v>62.386767484690687</v>
      </c>
      <c r="Q18" s="63">
        <f>IF(Q4=0,0,Q4/MBunk_act!Q4*1000)</f>
        <v>58.638598767108036</v>
      </c>
      <c r="R18" s="63">
        <f>IF(R4=0,0,R4/MBunk_act!R4*1000)</f>
        <v>51.553791614790846</v>
      </c>
      <c r="S18" s="63">
        <f>IF(S4=0,0,S4/MBunk_act!S4*1000)</f>
        <v>62.613693246108035</v>
      </c>
      <c r="T18" s="63">
        <f>IF(T4=0,0,T4/MBunk_act!T4*1000)</f>
        <v>59.919209948044042</v>
      </c>
      <c r="U18" s="63">
        <f>IF(U4=0,0,U4/MBunk_act!U4*1000)</f>
        <v>63.979846707101714</v>
      </c>
      <c r="V18" s="63">
        <f>IF(V4=0,0,V4/MBunk_act!V4*1000)</f>
        <v>38.570686124043959</v>
      </c>
      <c r="W18" s="63">
        <f>IF(W4=0,0,W4/MBunk_act!W4*1000)</f>
        <v>42.643620369121621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160.54192348286827</v>
      </c>
      <c r="C19" s="64">
        <f>IF(C5=0,0,C5/MBunk_act!C5*1000)</f>
        <v>83.728447010482654</v>
      </c>
      <c r="D19" s="64">
        <f>IF(D5=0,0,D5/MBunk_act!D5*1000)</f>
        <v>70.764930180813181</v>
      </c>
      <c r="E19" s="64">
        <f>IF(E5=0,0,E5/MBunk_act!E5*1000)</f>
        <v>63.41386956759208</v>
      </c>
      <c r="F19" s="64">
        <f>IF(F5=0,0,F5/MBunk_act!F5*1000)</f>
        <v>62.713261380826921</v>
      </c>
      <c r="G19" s="64">
        <f>IF(G5=0,0,G5/MBunk_act!G5*1000)</f>
        <v>55.350249685710963</v>
      </c>
      <c r="H19" s="64">
        <f>IF(H5=0,0,H5/MBunk_act!H5*1000)</f>
        <v>60.712111513929685</v>
      </c>
      <c r="I19" s="64">
        <f>IF(I5=0,0,I5/MBunk_act!I5*1000)</f>
        <v>61.143474455828894</v>
      </c>
      <c r="J19" s="64">
        <f>IF(J5=0,0,J5/MBunk_act!J5*1000)</f>
        <v>70.444552878463881</v>
      </c>
      <c r="K19" s="64">
        <f>IF(K5=0,0,K5/MBunk_act!K5*1000)</f>
        <v>65.188594875028869</v>
      </c>
      <c r="L19" s="64">
        <f>IF(L5=0,0,L5/MBunk_act!L5*1000)</f>
        <v>65.132214485677096</v>
      </c>
      <c r="M19" s="64">
        <f>IF(M5=0,0,M5/MBunk_act!M5*1000)</f>
        <v>50.853102256281453</v>
      </c>
      <c r="N19" s="64">
        <f>IF(N5=0,0,N5/MBunk_act!N5*1000)</f>
        <v>31.781278202257255</v>
      </c>
      <c r="O19" s="64">
        <f>IF(O5=0,0,O5/MBunk_act!O5*1000)</f>
        <v>28.199654488878195</v>
      </c>
      <c r="P19" s="64">
        <f>IF(P5=0,0,P5/MBunk_act!P5*1000)</f>
        <v>22.150242396361357</v>
      </c>
      <c r="Q19" s="64">
        <f>IF(Q5=0,0,Q5/MBunk_act!Q5*1000)</f>
        <v>20.846497466339851</v>
      </c>
      <c r="R19" s="64">
        <f>IF(R5=0,0,R5/MBunk_act!R5*1000)</f>
        <v>18.361775083454575</v>
      </c>
      <c r="S19" s="64">
        <f>IF(S5=0,0,S5/MBunk_act!S5*1000)</f>
        <v>21.996570091570376</v>
      </c>
      <c r="T19" s="64">
        <f>IF(T5=0,0,T5/MBunk_act!T5*1000)</f>
        <v>21.213408964811613</v>
      </c>
      <c r="U19" s="64">
        <f>IF(U5=0,0,U5/MBunk_act!U5*1000)</f>
        <v>22.854458331531941</v>
      </c>
      <c r="V19" s="64">
        <f>IF(V5=0,0,V5/MBunk_act!V5*1000)</f>
        <v>16.120494825798769</v>
      </c>
      <c r="W19" s="64">
        <f>IF(W5=0,0,W5/MBunk_act!W5*1000)</f>
        <v>17.506081208232878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0.53276456216245771</v>
      </c>
      <c r="C22" s="77">
        <f t="shared" si="2"/>
        <v>0.45805161505886149</v>
      </c>
      <c r="D22" s="77">
        <f t="shared" si="2"/>
        <v>0.43493340389036106</v>
      </c>
      <c r="E22" s="77">
        <f t="shared" si="2"/>
        <v>0.45410459799882441</v>
      </c>
      <c r="F22" s="77">
        <f t="shared" si="2"/>
        <v>0.43603872473296679</v>
      </c>
      <c r="G22" s="77">
        <f t="shared" si="2"/>
        <v>0.4279907696443499</v>
      </c>
      <c r="H22" s="77">
        <f t="shared" si="2"/>
        <v>0.40783534969704904</v>
      </c>
      <c r="I22" s="77">
        <f t="shared" si="2"/>
        <v>0.4333992221588141</v>
      </c>
      <c r="J22" s="77">
        <f t="shared" si="2"/>
        <v>0.45765075086517215</v>
      </c>
      <c r="K22" s="77">
        <f t="shared" si="2"/>
        <v>0.46545877920287937</v>
      </c>
      <c r="L22" s="77">
        <f t="shared" si="2"/>
        <v>0.44438857573624901</v>
      </c>
      <c r="M22" s="77">
        <f t="shared" si="2"/>
        <v>0.42192063334714042</v>
      </c>
      <c r="N22" s="77">
        <f t="shared" si="2"/>
        <v>0.40524849607569058</v>
      </c>
      <c r="O22" s="77">
        <f t="shared" si="2"/>
        <v>0.38506859562045903</v>
      </c>
      <c r="P22" s="77">
        <f t="shared" si="2"/>
        <v>0.37273219371008987</v>
      </c>
      <c r="Q22" s="77">
        <f t="shared" si="2"/>
        <v>0.38156684622721465</v>
      </c>
      <c r="R22" s="77">
        <f t="shared" si="2"/>
        <v>0.36457162075137067</v>
      </c>
      <c r="S22" s="77">
        <f t="shared" si="2"/>
        <v>0.37115814005411429</v>
      </c>
      <c r="T22" s="77">
        <f t="shared" si="2"/>
        <v>0.37171971602544501</v>
      </c>
      <c r="U22" s="77">
        <f t="shared" si="2"/>
        <v>0.37949808440793215</v>
      </c>
      <c r="V22" s="77">
        <f t="shared" si="2"/>
        <v>0.33806629622064444</v>
      </c>
      <c r="W22" s="77">
        <f t="shared" si="2"/>
        <v>0.34111203301398751</v>
      </c>
      <c r="DA22" s="184"/>
    </row>
    <row r="23" spans="1:105" ht="11.45" customHeight="1" x14ac:dyDescent="0.25">
      <c r="A23" s="57" t="s">
        <v>171</v>
      </c>
      <c r="B23" s="78">
        <f t="shared" si="2"/>
        <v>0.46723543783754223</v>
      </c>
      <c r="C23" s="78">
        <f t="shared" si="2"/>
        <v>0.54194838494113851</v>
      </c>
      <c r="D23" s="78">
        <f t="shared" si="2"/>
        <v>0.56506659610963883</v>
      </c>
      <c r="E23" s="78">
        <f t="shared" si="2"/>
        <v>0.54589540200117559</v>
      </c>
      <c r="F23" s="78">
        <f t="shared" si="2"/>
        <v>0.5639612752670331</v>
      </c>
      <c r="G23" s="78">
        <f t="shared" si="2"/>
        <v>0.5720092303556501</v>
      </c>
      <c r="H23" s="78">
        <f t="shared" si="2"/>
        <v>0.59216465030295096</v>
      </c>
      <c r="I23" s="78">
        <f t="shared" si="2"/>
        <v>0.5666007778411859</v>
      </c>
      <c r="J23" s="78">
        <f t="shared" si="2"/>
        <v>0.54234924913482774</v>
      </c>
      <c r="K23" s="78">
        <f t="shared" si="2"/>
        <v>0.53454122079712052</v>
      </c>
      <c r="L23" s="78">
        <f t="shared" si="2"/>
        <v>0.55561142426375099</v>
      </c>
      <c r="M23" s="78">
        <f t="shared" si="2"/>
        <v>0.57807936665285953</v>
      </c>
      <c r="N23" s="78">
        <f t="shared" si="2"/>
        <v>0.59475150392430942</v>
      </c>
      <c r="O23" s="78">
        <f t="shared" si="2"/>
        <v>0.61493140437954097</v>
      </c>
      <c r="P23" s="78">
        <f t="shared" si="2"/>
        <v>0.62726780628991008</v>
      </c>
      <c r="Q23" s="78">
        <f t="shared" si="2"/>
        <v>0.61843315377278529</v>
      </c>
      <c r="R23" s="78">
        <f t="shared" si="2"/>
        <v>0.63542837924862938</v>
      </c>
      <c r="S23" s="78">
        <f t="shared" si="2"/>
        <v>0.62884185994588571</v>
      </c>
      <c r="T23" s="78">
        <f t="shared" si="2"/>
        <v>0.62828028397455493</v>
      </c>
      <c r="U23" s="78">
        <f t="shared" si="2"/>
        <v>0.6205019155920678</v>
      </c>
      <c r="V23" s="78">
        <f t="shared" si="2"/>
        <v>0.66193370377935556</v>
      </c>
      <c r="W23" s="78">
        <f t="shared" si="2"/>
        <v>0.65888796698601249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2024-05-20T16:49:20Z</dcterms:created>
  <dcterms:modified xsi:type="dcterms:W3CDTF">2024-05-20T16:49:20Z</dcterms:modified>
</cp:coreProperties>
</file>